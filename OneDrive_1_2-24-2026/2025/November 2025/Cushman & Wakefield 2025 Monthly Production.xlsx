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147791D5-95FF-4ECE-8DC4-2A4E42448917}" xr6:coauthVersionLast="47" xr6:coauthVersionMax="47" xr10:uidLastSave="{00000000-0000-0000-0000-000000000000}"/>
  <bookViews>
    <workbookView xWindow="-108" yWindow="-108" windowWidth="23256" windowHeight="12456" tabRatio="866" firstSheet="14" activeTab="1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26" l="1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4" i="3"/>
  <c r="I34" i="3" s="1"/>
  <c r="E6" i="3"/>
  <c r="F6" i="3" s="1"/>
  <c r="E29" i="20"/>
  <c r="F29" i="20" s="1"/>
  <c r="E18" i="33"/>
  <c r="F18" i="33" s="1"/>
  <c r="H18" i="33"/>
  <c r="I18" i="33" s="1"/>
  <c r="E19" i="33"/>
  <c r="F19" i="33" s="1"/>
  <c r="H19" i="33"/>
  <c r="I19" i="33" s="1"/>
  <c r="E20" i="33"/>
  <c r="F20" i="33" s="1"/>
  <c r="H20" i="33"/>
  <c r="I20" i="33" s="1"/>
  <c r="E21" i="33"/>
  <c r="F21" i="33"/>
  <c r="H21" i="33"/>
  <c r="I21" i="33" s="1"/>
  <c r="E22" i="33"/>
  <c r="F22" i="33" s="1"/>
  <c r="H22" i="33"/>
  <c r="I22" i="33" s="1"/>
  <c r="E23" i="33"/>
  <c r="F23" i="33"/>
  <c r="H23" i="33"/>
  <c r="I23" i="33"/>
  <c r="E24" i="33"/>
  <c r="F24" i="33" s="1"/>
  <c r="H24" i="33"/>
  <c r="I24" i="33" s="1"/>
  <c r="E25" i="33"/>
  <c r="F25" i="33" s="1"/>
  <c r="H25" i="33"/>
  <c r="I25" i="33"/>
  <c r="E26" i="33"/>
  <c r="F26" i="33" s="1"/>
  <c r="H26" i="33"/>
  <c r="I26" i="33" s="1"/>
  <c r="E27" i="33"/>
  <c r="F27" i="33" s="1"/>
  <c r="H27" i="33"/>
  <c r="I27" i="33" s="1"/>
  <c r="E28" i="33"/>
  <c r="F28" i="33" s="1"/>
  <c r="H28" i="33"/>
  <c r="I28" i="33" s="1"/>
  <c r="E29" i="33"/>
  <c r="F29" i="33"/>
  <c r="H29" i="33"/>
  <c r="I29" i="33" s="1"/>
  <c r="E30" i="33"/>
  <c r="F30" i="33" s="1"/>
  <c r="H30" i="33"/>
  <c r="I30" i="33" s="1"/>
  <c r="E31" i="33"/>
  <c r="F31" i="33"/>
  <c r="H31" i="33"/>
  <c r="I31" i="33"/>
  <c r="E32" i="33"/>
  <c r="F32" i="33" s="1"/>
  <c r="H32" i="33"/>
  <c r="I32" i="33" s="1"/>
  <c r="E33" i="33"/>
  <c r="F33" i="33" s="1"/>
  <c r="H33" i="33"/>
  <c r="I33" i="33"/>
  <c r="E34" i="33"/>
  <c r="F34" i="33" s="1"/>
  <c r="H34" i="33"/>
  <c r="I34" i="33" s="1"/>
  <c r="E35" i="33"/>
  <c r="F35" i="33" s="1"/>
  <c r="H35" i="33"/>
  <c r="I35" i="33" s="1"/>
  <c r="E36" i="33"/>
  <c r="F36" i="33" s="1"/>
  <c r="H36" i="33"/>
  <c r="I36" i="33" s="1"/>
  <c r="E37" i="33"/>
  <c r="F37" i="33"/>
  <c r="H37" i="33"/>
  <c r="I37" i="33" s="1"/>
  <c r="E38" i="33"/>
  <c r="F38" i="33" s="1"/>
  <c r="H38" i="33"/>
  <c r="I38" i="33" s="1"/>
  <c r="E18" i="32"/>
  <c r="F18" i="32" s="1"/>
  <c r="H18" i="32"/>
  <c r="I18" i="32" s="1"/>
  <c r="E19" i="32"/>
  <c r="F19" i="32" s="1"/>
  <c r="H19" i="32"/>
  <c r="E20" i="32"/>
  <c r="F20" i="32" s="1"/>
  <c r="H20" i="32"/>
  <c r="I20" i="32" s="1"/>
  <c r="E21" i="32"/>
  <c r="F21" i="32" s="1"/>
  <c r="H21" i="32"/>
  <c r="I21" i="32" s="1"/>
  <c r="E22" i="32"/>
  <c r="F22" i="32" s="1"/>
  <c r="H22" i="32"/>
  <c r="I22" i="32" s="1"/>
  <c r="E23" i="32"/>
  <c r="F23" i="32" s="1"/>
  <c r="H23" i="32"/>
  <c r="I23" i="32" s="1"/>
  <c r="E24" i="32"/>
  <c r="F24" i="32" s="1"/>
  <c r="H24" i="32"/>
  <c r="I24" i="32" s="1"/>
  <c r="E25" i="32"/>
  <c r="F25" i="32" s="1"/>
  <c r="H25" i="32"/>
  <c r="I25" i="32" s="1"/>
  <c r="E26" i="32"/>
  <c r="F26" i="32" s="1"/>
  <c r="H26" i="32"/>
  <c r="I26" i="32" s="1"/>
  <c r="E27" i="32"/>
  <c r="F27" i="32"/>
  <c r="H27" i="32"/>
  <c r="I27" i="32" s="1"/>
  <c r="E28" i="32"/>
  <c r="F28" i="32" s="1"/>
  <c r="H28" i="32"/>
  <c r="I28" i="32" s="1"/>
  <c r="E29" i="32"/>
  <c r="F29" i="32" s="1"/>
  <c r="H29" i="32"/>
  <c r="I29" i="32" s="1"/>
  <c r="E30" i="32"/>
  <c r="F30" i="32" s="1"/>
  <c r="H30" i="32"/>
  <c r="I30" i="32"/>
  <c r="E31" i="32"/>
  <c r="F31" i="32" s="1"/>
  <c r="H31" i="32"/>
  <c r="I31" i="32" s="1"/>
  <c r="E32" i="32"/>
  <c r="F32" i="32" s="1"/>
  <c r="H32" i="32"/>
  <c r="I32" i="32" s="1"/>
  <c r="E33" i="32"/>
  <c r="F33" i="32" s="1"/>
  <c r="H33" i="32"/>
  <c r="I33" i="32" s="1"/>
  <c r="E34" i="32"/>
  <c r="F34" i="32" s="1"/>
  <c r="H34" i="32"/>
  <c r="I34" i="32" s="1"/>
  <c r="E35" i="32"/>
  <c r="F35" i="32" s="1"/>
  <c r="H35" i="32"/>
  <c r="I35" i="32" s="1"/>
  <c r="E36" i="32"/>
  <c r="F36" i="32" s="1"/>
  <c r="H36" i="32"/>
  <c r="I36" i="32" s="1"/>
  <c r="E37" i="32"/>
  <c r="F37" i="32" s="1"/>
  <c r="H37" i="32"/>
  <c r="E38" i="32"/>
  <c r="F38" i="32" s="1"/>
  <c r="H38" i="32"/>
  <c r="I38" i="32" s="1"/>
  <c r="E18" i="31"/>
  <c r="F18" i="31" s="1"/>
  <c r="H18" i="31"/>
  <c r="I18" i="31" s="1"/>
  <c r="E19" i="31"/>
  <c r="F19" i="31"/>
  <c r="H19" i="31"/>
  <c r="I19" i="31" s="1"/>
  <c r="E20" i="31"/>
  <c r="F20" i="31" s="1"/>
  <c r="H20" i="31"/>
  <c r="I20" i="31" s="1"/>
  <c r="E21" i="31"/>
  <c r="F21" i="31" s="1"/>
  <c r="H21" i="31"/>
  <c r="I21" i="31" s="1"/>
  <c r="E22" i="31"/>
  <c r="F22" i="31" s="1"/>
  <c r="H22" i="31"/>
  <c r="I22" i="31" s="1"/>
  <c r="E23" i="31"/>
  <c r="F23" i="31" s="1"/>
  <c r="H23" i="31"/>
  <c r="I23" i="31" s="1"/>
  <c r="E24" i="31"/>
  <c r="F24" i="31" s="1"/>
  <c r="H24" i="31"/>
  <c r="I24" i="31" s="1"/>
  <c r="E25" i="31"/>
  <c r="F25" i="31" s="1"/>
  <c r="H25" i="31"/>
  <c r="I25" i="31" s="1"/>
  <c r="E26" i="31"/>
  <c r="F26" i="31" s="1"/>
  <c r="H26" i="31"/>
  <c r="E27" i="31"/>
  <c r="F27" i="31" s="1"/>
  <c r="H27" i="31"/>
  <c r="I27" i="31" s="1"/>
  <c r="E28" i="31"/>
  <c r="F28" i="31" s="1"/>
  <c r="H28" i="31"/>
  <c r="I28" i="31" s="1"/>
  <c r="E29" i="31"/>
  <c r="F29" i="31" s="1"/>
  <c r="H29" i="31"/>
  <c r="I29" i="31" s="1"/>
  <c r="E30" i="31"/>
  <c r="F30" i="31" s="1"/>
  <c r="H30" i="31"/>
  <c r="I30" i="31" s="1"/>
  <c r="E31" i="31"/>
  <c r="F31" i="31"/>
  <c r="H31" i="31"/>
  <c r="E32" i="31"/>
  <c r="F32" i="31"/>
  <c r="H32" i="31"/>
  <c r="E33" i="31"/>
  <c r="F33" i="31"/>
  <c r="H33" i="31"/>
  <c r="E34" i="31"/>
  <c r="F34" i="31" s="1"/>
  <c r="H34" i="31"/>
  <c r="I34" i="31" s="1"/>
  <c r="E35" i="31"/>
  <c r="F35" i="31" s="1"/>
  <c r="H35" i="31"/>
  <c r="I35" i="31" s="1"/>
  <c r="E36" i="31"/>
  <c r="F36" i="31" s="1"/>
  <c r="H36" i="31"/>
  <c r="I36" i="31" s="1"/>
  <c r="E37" i="31"/>
  <c r="F37" i="31" s="1"/>
  <c r="H37" i="31"/>
  <c r="I37" i="31" s="1"/>
  <c r="E38" i="31"/>
  <c r="F38" i="31" s="1"/>
  <c r="H38" i="31"/>
  <c r="I38" i="31" s="1"/>
  <c r="E18" i="28"/>
  <c r="F18" i="28" s="1"/>
  <c r="H18" i="28"/>
  <c r="I18" i="28" s="1"/>
  <c r="E19" i="28"/>
  <c r="F19" i="28" s="1"/>
  <c r="H19" i="28"/>
  <c r="I19" i="28" s="1"/>
  <c r="E20" i="28"/>
  <c r="F20" i="28"/>
  <c r="H20" i="28"/>
  <c r="I20" i="28"/>
  <c r="E21" i="28"/>
  <c r="F21" i="28" s="1"/>
  <c r="H21" i="28"/>
  <c r="I21" i="28" s="1"/>
  <c r="E22" i="28"/>
  <c r="F22" i="28" s="1"/>
  <c r="H22" i="28"/>
  <c r="I22" i="28" s="1"/>
  <c r="E23" i="28"/>
  <c r="F23" i="28"/>
  <c r="H23" i="28"/>
  <c r="I23" i="28"/>
  <c r="E24" i="28"/>
  <c r="F24" i="28" s="1"/>
  <c r="H24" i="28"/>
  <c r="I24" i="28" s="1"/>
  <c r="E25" i="28"/>
  <c r="F25" i="28" s="1"/>
  <c r="H25" i="28"/>
  <c r="I25" i="28" s="1"/>
  <c r="E26" i="28"/>
  <c r="F26" i="28"/>
  <c r="H26" i="28"/>
  <c r="I26" i="28" s="1"/>
  <c r="E27" i="28"/>
  <c r="F27" i="28" s="1"/>
  <c r="H27" i="28"/>
  <c r="I27" i="28" s="1"/>
  <c r="E28" i="28"/>
  <c r="F28" i="28" s="1"/>
  <c r="H28" i="28"/>
  <c r="I28" i="28" s="1"/>
  <c r="E29" i="28"/>
  <c r="F29" i="28" s="1"/>
  <c r="H29" i="28"/>
  <c r="I29" i="28" s="1"/>
  <c r="E30" i="28"/>
  <c r="F30" i="28"/>
  <c r="H30" i="28"/>
  <c r="I30" i="28" s="1"/>
  <c r="E31" i="28"/>
  <c r="F31" i="28" s="1"/>
  <c r="H31" i="28"/>
  <c r="I31" i="28" s="1"/>
  <c r="E32" i="28"/>
  <c r="F32" i="28" s="1"/>
  <c r="H32" i="28"/>
  <c r="I32" i="28" s="1"/>
  <c r="E33" i="28"/>
  <c r="F33" i="28" s="1"/>
  <c r="H33" i="28"/>
  <c r="I33" i="28"/>
  <c r="E34" i="28"/>
  <c r="F34" i="28"/>
  <c r="H34" i="28"/>
  <c r="I34" i="28" s="1"/>
  <c r="E35" i="28"/>
  <c r="F35" i="28"/>
  <c r="H35" i="28"/>
  <c r="I35" i="28" s="1"/>
  <c r="E36" i="28"/>
  <c r="F36" i="28" s="1"/>
  <c r="H36" i="28"/>
  <c r="I36" i="28" s="1"/>
  <c r="E37" i="28"/>
  <c r="F37" i="28" s="1"/>
  <c r="H37" i="28"/>
  <c r="I37" i="28"/>
  <c r="E38" i="28"/>
  <c r="F38" i="28" s="1"/>
  <c r="H38" i="28"/>
  <c r="I38" i="28" s="1"/>
  <c r="E18" i="27"/>
  <c r="F18" i="27" s="1"/>
  <c r="H18" i="27"/>
  <c r="I18" i="27" s="1"/>
  <c r="E19" i="27"/>
  <c r="F19" i="27"/>
  <c r="H19" i="27"/>
  <c r="I19" i="27"/>
  <c r="E20" i="27"/>
  <c r="F20" i="27" s="1"/>
  <c r="H20" i="27"/>
  <c r="I20" i="27"/>
  <c r="E21" i="27"/>
  <c r="F21" i="27"/>
  <c r="H21" i="27"/>
  <c r="E22" i="27"/>
  <c r="F22" i="27" s="1"/>
  <c r="H22" i="27"/>
  <c r="E23" i="27"/>
  <c r="F23" i="27" s="1"/>
  <c r="H23" i="27"/>
  <c r="I23" i="27" s="1"/>
  <c r="E24" i="27"/>
  <c r="F24" i="27" s="1"/>
  <c r="H24" i="27"/>
  <c r="I24" i="27" s="1"/>
  <c r="E25" i="27"/>
  <c r="F25" i="27"/>
  <c r="H25" i="27"/>
  <c r="I25" i="27" s="1"/>
  <c r="E26" i="27"/>
  <c r="F26" i="27" s="1"/>
  <c r="H26" i="27"/>
  <c r="I26" i="27"/>
  <c r="E27" i="27"/>
  <c r="F27" i="27"/>
  <c r="H27" i="27"/>
  <c r="I27" i="27" s="1"/>
  <c r="E28" i="27"/>
  <c r="F28" i="27"/>
  <c r="H28" i="27"/>
  <c r="I28" i="27" s="1"/>
  <c r="E29" i="27"/>
  <c r="F29" i="27" s="1"/>
  <c r="H29" i="27"/>
  <c r="I29" i="27"/>
  <c r="E30" i="27"/>
  <c r="F30" i="27" s="1"/>
  <c r="H30" i="27"/>
  <c r="I30" i="27" s="1"/>
  <c r="E31" i="27"/>
  <c r="F31" i="27" s="1"/>
  <c r="H31" i="27"/>
  <c r="I31" i="27"/>
  <c r="E32" i="27"/>
  <c r="F32" i="27"/>
  <c r="H32" i="27"/>
  <c r="I32" i="27" s="1"/>
  <c r="E33" i="27"/>
  <c r="F33" i="27" s="1"/>
  <c r="H33" i="27"/>
  <c r="I33" i="27" s="1"/>
  <c r="E34" i="27"/>
  <c r="F34" i="27"/>
  <c r="H34" i="27"/>
  <c r="I34" i="27" s="1"/>
  <c r="E35" i="27"/>
  <c r="F35" i="27" s="1"/>
  <c r="H35" i="27"/>
  <c r="I35" i="27" s="1"/>
  <c r="E36" i="27"/>
  <c r="F36" i="27"/>
  <c r="H36" i="27"/>
  <c r="I36" i="27" s="1"/>
  <c r="E37" i="27"/>
  <c r="F37" i="27" s="1"/>
  <c r="H37" i="27"/>
  <c r="I37" i="27" s="1"/>
  <c r="E38" i="27"/>
  <c r="F38" i="27" s="1"/>
  <c r="H38" i="27"/>
  <c r="I38" i="27" s="1"/>
  <c r="E18" i="19"/>
  <c r="F18" i="19"/>
  <c r="H18" i="19"/>
  <c r="I18" i="19"/>
  <c r="E19" i="19"/>
  <c r="F19" i="19" s="1"/>
  <c r="H19" i="19"/>
  <c r="I19" i="19"/>
  <c r="E20" i="19"/>
  <c r="F20" i="19"/>
  <c r="H20" i="19"/>
  <c r="I20" i="19"/>
  <c r="E21" i="19"/>
  <c r="F21" i="19" s="1"/>
  <c r="H21" i="19"/>
  <c r="I21" i="19"/>
  <c r="E22" i="19"/>
  <c r="F22" i="19"/>
  <c r="H22" i="19"/>
  <c r="I22" i="19"/>
  <c r="E23" i="19"/>
  <c r="F23" i="19" s="1"/>
  <c r="H23" i="19"/>
  <c r="I23" i="19"/>
  <c r="E24" i="19"/>
  <c r="F24" i="19"/>
  <c r="H24" i="19"/>
  <c r="I24" i="19"/>
  <c r="E25" i="19"/>
  <c r="F25" i="19" s="1"/>
  <c r="H25" i="19"/>
  <c r="I25" i="19"/>
  <c r="E26" i="19"/>
  <c r="F26" i="19"/>
  <c r="H26" i="19"/>
  <c r="I26" i="19"/>
  <c r="E27" i="19"/>
  <c r="F27" i="19" s="1"/>
  <c r="H27" i="19"/>
  <c r="I27" i="19"/>
  <c r="E28" i="19"/>
  <c r="F28" i="19"/>
  <c r="H28" i="19"/>
  <c r="I28" i="19"/>
  <c r="E29" i="19"/>
  <c r="F29" i="19" s="1"/>
  <c r="H29" i="19"/>
  <c r="I29" i="19"/>
  <c r="E30" i="19"/>
  <c r="F30" i="19"/>
  <c r="H30" i="19"/>
  <c r="I30" i="19"/>
  <c r="E31" i="19"/>
  <c r="F31" i="19" s="1"/>
  <c r="H31" i="19"/>
  <c r="I31" i="19"/>
  <c r="E32" i="19"/>
  <c r="F32" i="19"/>
  <c r="H32" i="19"/>
  <c r="I32" i="19"/>
  <c r="E33" i="19"/>
  <c r="F33" i="19" s="1"/>
  <c r="H33" i="19"/>
  <c r="I33" i="19"/>
  <c r="E34" i="19"/>
  <c r="F34" i="19"/>
  <c r="H34" i="19"/>
  <c r="I34" i="19"/>
  <c r="E35" i="19"/>
  <c r="F35" i="19" s="1"/>
  <c r="H35" i="19"/>
  <c r="I35" i="19"/>
  <c r="E36" i="19"/>
  <c r="F36" i="19"/>
  <c r="H36" i="19"/>
  <c r="I36" i="19"/>
  <c r="E37" i="19"/>
  <c r="F37" i="19" s="1"/>
  <c r="H37" i="19"/>
  <c r="I37" i="19"/>
  <c r="E38" i="19"/>
  <c r="F38" i="19"/>
  <c r="H38" i="19"/>
  <c r="I38" i="19"/>
  <c r="E18" i="20"/>
  <c r="F18" i="20" s="1"/>
  <c r="H18" i="20"/>
  <c r="I18" i="20"/>
  <c r="E19" i="20"/>
  <c r="F19" i="20"/>
  <c r="H19" i="20"/>
  <c r="I19" i="20"/>
  <c r="E20" i="20"/>
  <c r="F20" i="20" s="1"/>
  <c r="H20" i="20"/>
  <c r="I20" i="20"/>
  <c r="E21" i="20"/>
  <c r="F21" i="20"/>
  <c r="H21" i="20"/>
  <c r="I21" i="20"/>
  <c r="E22" i="20"/>
  <c r="F22" i="20" s="1"/>
  <c r="H22" i="20"/>
  <c r="I22" i="20"/>
  <c r="E23" i="20"/>
  <c r="F23" i="20"/>
  <c r="H23" i="20"/>
  <c r="I23" i="20"/>
  <c r="E24" i="20"/>
  <c r="F24" i="20" s="1"/>
  <c r="H24" i="20"/>
  <c r="I24" i="20"/>
  <c r="E25" i="20"/>
  <c r="F25" i="20"/>
  <c r="H25" i="20"/>
  <c r="I25" i="20"/>
  <c r="E26" i="20"/>
  <c r="F26" i="20" s="1"/>
  <c r="H26" i="20"/>
  <c r="I26" i="20"/>
  <c r="E27" i="20"/>
  <c r="F27" i="20"/>
  <c r="H27" i="20"/>
  <c r="I27" i="20"/>
  <c r="E28" i="20"/>
  <c r="F28" i="20" s="1"/>
  <c r="H28" i="20"/>
  <c r="I28" i="20"/>
  <c r="H29" i="20"/>
  <c r="I29" i="20" s="1"/>
  <c r="E30" i="20"/>
  <c r="F30" i="20"/>
  <c r="H30" i="20"/>
  <c r="I30" i="20"/>
  <c r="E31" i="20"/>
  <c r="F31" i="20" s="1"/>
  <c r="H31" i="20"/>
  <c r="I31" i="20" s="1"/>
  <c r="E32" i="20"/>
  <c r="F32" i="20" s="1"/>
  <c r="H32" i="20"/>
  <c r="I32" i="20"/>
  <c r="E33" i="20"/>
  <c r="F33" i="20" s="1"/>
  <c r="H33" i="20"/>
  <c r="I33" i="20" s="1"/>
  <c r="E34" i="20"/>
  <c r="F34" i="20"/>
  <c r="H34" i="20"/>
  <c r="I34" i="20" s="1"/>
  <c r="E35" i="20"/>
  <c r="F35" i="20" s="1"/>
  <c r="H35" i="20"/>
  <c r="I35" i="20" s="1"/>
  <c r="E36" i="20"/>
  <c r="F36" i="20"/>
  <c r="H36" i="20"/>
  <c r="I36" i="20"/>
  <c r="E37" i="20"/>
  <c r="F37" i="20" s="1"/>
  <c r="H37" i="20"/>
  <c r="I37" i="20" s="1"/>
  <c r="E38" i="20"/>
  <c r="F38" i="20"/>
  <c r="H38" i="20"/>
  <c r="I38" i="20"/>
  <c r="E18" i="21"/>
  <c r="F18" i="21" s="1"/>
  <c r="H18" i="21"/>
  <c r="I18" i="21" s="1"/>
  <c r="E19" i="21"/>
  <c r="F19" i="21" s="1"/>
  <c r="H19" i="21"/>
  <c r="I19" i="21"/>
  <c r="E20" i="21"/>
  <c r="F20" i="21" s="1"/>
  <c r="H20" i="21"/>
  <c r="H20" i="18" s="1"/>
  <c r="I20" i="18" s="1"/>
  <c r="E21" i="21"/>
  <c r="F21" i="21"/>
  <c r="H21" i="21"/>
  <c r="I21" i="21" s="1"/>
  <c r="E22" i="21"/>
  <c r="F22" i="21" s="1"/>
  <c r="H22" i="21"/>
  <c r="I22" i="21" s="1"/>
  <c r="E23" i="21"/>
  <c r="F23" i="21"/>
  <c r="H23" i="21"/>
  <c r="I23" i="21"/>
  <c r="E24" i="21"/>
  <c r="F24" i="21" s="1"/>
  <c r="H24" i="21"/>
  <c r="E25" i="21"/>
  <c r="F25" i="21"/>
  <c r="H25" i="21"/>
  <c r="H25" i="18" s="1"/>
  <c r="I25" i="18" s="1"/>
  <c r="I25" i="21"/>
  <c r="E26" i="21"/>
  <c r="F26" i="21" s="1"/>
  <c r="H26" i="21"/>
  <c r="I26" i="21" s="1"/>
  <c r="E27" i="21"/>
  <c r="F27" i="21" s="1"/>
  <c r="H27" i="21"/>
  <c r="I27" i="21"/>
  <c r="E28" i="21"/>
  <c r="F28" i="21" s="1"/>
  <c r="H28" i="21"/>
  <c r="I28" i="21" s="1"/>
  <c r="E29" i="21"/>
  <c r="F29" i="21" s="1"/>
  <c r="H29" i="21"/>
  <c r="I29" i="21"/>
  <c r="E30" i="21"/>
  <c r="F30" i="21"/>
  <c r="H30" i="21"/>
  <c r="I30" i="21" s="1"/>
  <c r="E31" i="21"/>
  <c r="F31" i="21" s="1"/>
  <c r="H31" i="21"/>
  <c r="H31" i="18" s="1"/>
  <c r="I31" i="18" s="1"/>
  <c r="E32" i="21"/>
  <c r="F32" i="21"/>
  <c r="H32" i="21"/>
  <c r="I32" i="21" s="1"/>
  <c r="E33" i="21"/>
  <c r="F33" i="21" s="1"/>
  <c r="H33" i="21"/>
  <c r="H33" i="18" s="1"/>
  <c r="I33" i="18" s="1"/>
  <c r="I33" i="21"/>
  <c r="E34" i="21"/>
  <c r="F34" i="21" s="1"/>
  <c r="H34" i="21"/>
  <c r="I34" i="21" s="1"/>
  <c r="E35" i="21"/>
  <c r="F35" i="21" s="1"/>
  <c r="H35" i="21"/>
  <c r="I35" i="21"/>
  <c r="E36" i="21"/>
  <c r="F36" i="21"/>
  <c r="H36" i="21"/>
  <c r="I36" i="21" s="1"/>
  <c r="E37" i="21"/>
  <c r="F37" i="21" s="1"/>
  <c r="H37" i="21"/>
  <c r="I37" i="21"/>
  <c r="E38" i="21"/>
  <c r="F38" i="21"/>
  <c r="H38" i="21"/>
  <c r="I38" i="21" s="1"/>
  <c r="E18" i="4"/>
  <c r="F18" i="4" s="1"/>
  <c r="I18" i="4"/>
  <c r="E19" i="4"/>
  <c r="F19" i="4" s="1"/>
  <c r="I19" i="4"/>
  <c r="E20" i="4"/>
  <c r="F20" i="4" s="1"/>
  <c r="I20" i="4"/>
  <c r="E21" i="4"/>
  <c r="F21" i="4" s="1"/>
  <c r="I21" i="4"/>
  <c r="E22" i="4"/>
  <c r="F22" i="4" s="1"/>
  <c r="I22" i="4"/>
  <c r="E23" i="4"/>
  <c r="F23" i="4" s="1"/>
  <c r="H23" i="1"/>
  <c r="I23" i="1" s="1"/>
  <c r="E24" i="4"/>
  <c r="F24" i="4" s="1"/>
  <c r="I24" i="4"/>
  <c r="E25" i="4"/>
  <c r="F25" i="4" s="1"/>
  <c r="I25" i="4"/>
  <c r="E26" i="4"/>
  <c r="F26" i="4" s="1"/>
  <c r="I26" i="4"/>
  <c r="E27" i="4"/>
  <c r="F27" i="4" s="1"/>
  <c r="I27" i="4"/>
  <c r="E28" i="4"/>
  <c r="F28" i="4" s="1"/>
  <c r="I28" i="4"/>
  <c r="E29" i="4"/>
  <c r="F29" i="4" s="1"/>
  <c r="I29" i="4"/>
  <c r="E30" i="4"/>
  <c r="F30" i="4" s="1"/>
  <c r="I30" i="4"/>
  <c r="E31" i="4"/>
  <c r="F31" i="4" s="1"/>
  <c r="I31" i="4"/>
  <c r="E32" i="4"/>
  <c r="F32" i="4" s="1"/>
  <c r="I32" i="4"/>
  <c r="E33" i="4"/>
  <c r="F33" i="4" s="1"/>
  <c r="I33" i="4"/>
  <c r="E34" i="4"/>
  <c r="F34" i="4" s="1"/>
  <c r="I34" i="4"/>
  <c r="E35" i="4"/>
  <c r="F35" i="4" s="1"/>
  <c r="I35" i="4"/>
  <c r="E36" i="4"/>
  <c r="F36" i="4" s="1"/>
  <c r="I36" i="4"/>
  <c r="E37" i="4"/>
  <c r="F37" i="4" s="1"/>
  <c r="H37" i="4"/>
  <c r="I37" i="4" s="1"/>
  <c r="E38" i="4"/>
  <c r="F38" i="4" s="1"/>
  <c r="H38" i="4"/>
  <c r="I38" i="4" s="1"/>
  <c r="E18" i="3"/>
  <c r="F18" i="3" s="1"/>
  <c r="H18" i="3"/>
  <c r="I18" i="3" s="1"/>
  <c r="E19" i="3"/>
  <c r="F19" i="3" s="1"/>
  <c r="H19" i="3"/>
  <c r="I19" i="3" s="1"/>
  <c r="E20" i="3"/>
  <c r="F20" i="3" s="1"/>
  <c r="H20" i="3"/>
  <c r="I20" i="3" s="1"/>
  <c r="E21" i="3"/>
  <c r="F21" i="3" s="1"/>
  <c r="H21" i="3"/>
  <c r="I21" i="3" s="1"/>
  <c r="E22" i="3"/>
  <c r="F22" i="3" s="1"/>
  <c r="H22" i="3"/>
  <c r="I22" i="3" s="1"/>
  <c r="E23" i="3"/>
  <c r="F23" i="3" s="1"/>
  <c r="H23" i="3"/>
  <c r="I23" i="3" s="1"/>
  <c r="E24" i="3"/>
  <c r="F24" i="3" s="1"/>
  <c r="H24" i="3"/>
  <c r="I24" i="3" s="1"/>
  <c r="E25" i="3"/>
  <c r="F25" i="3" s="1"/>
  <c r="H25" i="3"/>
  <c r="I25" i="3" s="1"/>
  <c r="E26" i="3"/>
  <c r="F26" i="3"/>
  <c r="H26" i="3"/>
  <c r="I26" i="3" s="1"/>
  <c r="E27" i="3"/>
  <c r="F27" i="3" s="1"/>
  <c r="H27" i="3"/>
  <c r="I27" i="3" s="1"/>
  <c r="E28" i="3"/>
  <c r="F28" i="3" s="1"/>
  <c r="H28" i="3"/>
  <c r="I28" i="3" s="1"/>
  <c r="E29" i="3"/>
  <c r="F29" i="3" s="1"/>
  <c r="H29" i="3"/>
  <c r="I29" i="3" s="1"/>
  <c r="E30" i="3"/>
  <c r="F30" i="3" s="1"/>
  <c r="H30" i="3"/>
  <c r="I30" i="3" s="1"/>
  <c r="E31" i="3"/>
  <c r="F31" i="3" s="1"/>
  <c r="H31" i="3"/>
  <c r="I31" i="3" s="1"/>
  <c r="E32" i="3"/>
  <c r="F32" i="3" s="1"/>
  <c r="H32" i="3"/>
  <c r="I32" i="3" s="1"/>
  <c r="E33" i="3"/>
  <c r="F33" i="3" s="1"/>
  <c r="H33" i="3"/>
  <c r="I33" i="3" s="1"/>
  <c r="E34" i="3"/>
  <c r="F34" i="3" s="1"/>
  <c r="E35" i="3"/>
  <c r="F35" i="3" s="1"/>
  <c r="H35" i="3"/>
  <c r="E36" i="3"/>
  <c r="F36" i="3" s="1"/>
  <c r="H36" i="3"/>
  <c r="I36" i="3" s="1"/>
  <c r="E37" i="3"/>
  <c r="F37" i="3" s="1"/>
  <c r="H37" i="3"/>
  <c r="I37" i="3" s="1"/>
  <c r="E38" i="3"/>
  <c r="F38" i="3" s="1"/>
  <c r="H38" i="3"/>
  <c r="I38" i="3" s="1"/>
  <c r="E18" i="72"/>
  <c r="F18" i="72" s="1"/>
  <c r="H18" i="72"/>
  <c r="I18" i="72" s="1"/>
  <c r="E19" i="72"/>
  <c r="F19" i="72" s="1"/>
  <c r="H19" i="72"/>
  <c r="I19" i="72"/>
  <c r="E20" i="72"/>
  <c r="F20" i="72" s="1"/>
  <c r="H20" i="72"/>
  <c r="I20" i="72" s="1"/>
  <c r="E21" i="72"/>
  <c r="F21" i="72" s="1"/>
  <c r="H21" i="72"/>
  <c r="I21" i="72"/>
  <c r="E22" i="72"/>
  <c r="F22" i="72"/>
  <c r="H22" i="72"/>
  <c r="I22" i="72" s="1"/>
  <c r="E23" i="72"/>
  <c r="F23" i="72" s="1"/>
  <c r="H23" i="72"/>
  <c r="I23" i="72"/>
  <c r="E24" i="72"/>
  <c r="F24" i="72" s="1"/>
  <c r="H24" i="72"/>
  <c r="I24" i="72" s="1"/>
  <c r="E25" i="72"/>
  <c r="F25" i="72" s="1"/>
  <c r="H25" i="72"/>
  <c r="I25" i="72" s="1"/>
  <c r="E26" i="72"/>
  <c r="F26" i="72" s="1"/>
  <c r="H26" i="72"/>
  <c r="I26" i="72" s="1"/>
  <c r="E27" i="72"/>
  <c r="F27" i="72" s="1"/>
  <c r="H27" i="72"/>
  <c r="E28" i="72"/>
  <c r="F28" i="72"/>
  <c r="H28" i="72"/>
  <c r="I28" i="72" s="1"/>
  <c r="E29" i="72"/>
  <c r="F29" i="72"/>
  <c r="H29" i="72"/>
  <c r="H29" i="34" s="1"/>
  <c r="E30" i="72"/>
  <c r="F30" i="72" s="1"/>
  <c r="H30" i="72"/>
  <c r="I30" i="72" s="1"/>
  <c r="E31" i="72"/>
  <c r="F31" i="72"/>
  <c r="H31" i="72"/>
  <c r="I31" i="72" s="1"/>
  <c r="E32" i="72"/>
  <c r="F32" i="72" s="1"/>
  <c r="H32" i="72"/>
  <c r="I32" i="72" s="1"/>
  <c r="E33" i="72"/>
  <c r="F33" i="72"/>
  <c r="H33" i="72"/>
  <c r="I33" i="72"/>
  <c r="E34" i="72"/>
  <c r="F34" i="72" s="1"/>
  <c r="H34" i="72"/>
  <c r="H34" i="1" s="1"/>
  <c r="I34" i="72"/>
  <c r="E35" i="72"/>
  <c r="F35" i="72" s="1"/>
  <c r="H35" i="72"/>
  <c r="I35" i="72"/>
  <c r="E36" i="72"/>
  <c r="F36" i="72" s="1"/>
  <c r="H36" i="72"/>
  <c r="E37" i="72"/>
  <c r="F37" i="72" s="1"/>
  <c r="H37" i="72"/>
  <c r="I37" i="72" s="1"/>
  <c r="E38" i="72"/>
  <c r="F38" i="72" s="1"/>
  <c r="H38" i="72"/>
  <c r="H38" i="34" s="1"/>
  <c r="C18" i="30"/>
  <c r="D18" i="30"/>
  <c r="C19" i="30"/>
  <c r="D19" i="30"/>
  <c r="C20" i="30"/>
  <c r="D20" i="30"/>
  <c r="C21" i="30"/>
  <c r="D21" i="30"/>
  <c r="E21" i="30" s="1"/>
  <c r="F21" i="30" s="1"/>
  <c r="C22" i="30"/>
  <c r="D22" i="30"/>
  <c r="C23" i="30"/>
  <c r="D23" i="30"/>
  <c r="C24" i="30"/>
  <c r="D24" i="30"/>
  <c r="C25" i="30"/>
  <c r="D25" i="30"/>
  <c r="C26" i="30"/>
  <c r="D26" i="30"/>
  <c r="C27" i="30"/>
  <c r="D27" i="30"/>
  <c r="C28" i="30"/>
  <c r="E28" i="30" s="1"/>
  <c r="F28" i="30" s="1"/>
  <c r="D28" i="30"/>
  <c r="C29" i="30"/>
  <c r="D29" i="30"/>
  <c r="C30" i="30"/>
  <c r="D30" i="30"/>
  <c r="C31" i="30"/>
  <c r="D31" i="30"/>
  <c r="E31" i="30" s="1"/>
  <c r="F31" i="30" s="1"/>
  <c r="C32" i="30"/>
  <c r="D32" i="30"/>
  <c r="C33" i="30"/>
  <c r="D33" i="30"/>
  <c r="C34" i="30"/>
  <c r="D34" i="30"/>
  <c r="C35" i="30"/>
  <c r="D35" i="30"/>
  <c r="C36" i="30"/>
  <c r="D36" i="30"/>
  <c r="C37" i="30"/>
  <c r="D37" i="30"/>
  <c r="C38" i="30"/>
  <c r="D38" i="30"/>
  <c r="C18" i="29"/>
  <c r="D18" i="29"/>
  <c r="E18" i="29" s="1"/>
  <c r="F18" i="29" s="1"/>
  <c r="C19" i="29"/>
  <c r="D19" i="29"/>
  <c r="C20" i="29"/>
  <c r="D20" i="29"/>
  <c r="C21" i="29"/>
  <c r="D21" i="29"/>
  <c r="C22" i="29"/>
  <c r="D22" i="29"/>
  <c r="C23" i="29"/>
  <c r="D23" i="29"/>
  <c r="C24" i="29"/>
  <c r="D24" i="29"/>
  <c r="E24" i="29"/>
  <c r="F24" i="29" s="1"/>
  <c r="C25" i="29"/>
  <c r="D25" i="29"/>
  <c r="E25" i="29" s="1"/>
  <c r="F25" i="29" s="1"/>
  <c r="C26" i="29"/>
  <c r="D26" i="29"/>
  <c r="C27" i="29"/>
  <c r="D27" i="29"/>
  <c r="C28" i="29"/>
  <c r="D28" i="29"/>
  <c r="E28" i="29" s="1"/>
  <c r="F28" i="29" s="1"/>
  <c r="C29" i="29"/>
  <c r="D29" i="29"/>
  <c r="C30" i="29"/>
  <c r="D30" i="29"/>
  <c r="C31" i="29"/>
  <c r="D31" i="29"/>
  <c r="E31" i="29"/>
  <c r="F31" i="29" s="1"/>
  <c r="C32" i="29"/>
  <c r="D32" i="29"/>
  <c r="C33" i="29"/>
  <c r="D33" i="29"/>
  <c r="C34" i="29"/>
  <c r="D34" i="29"/>
  <c r="C35" i="29"/>
  <c r="D35" i="29"/>
  <c r="C36" i="29"/>
  <c r="D36" i="29"/>
  <c r="C37" i="29"/>
  <c r="D37" i="29"/>
  <c r="C38" i="29"/>
  <c r="D38" i="29"/>
  <c r="C18" i="18"/>
  <c r="D18" i="18"/>
  <c r="E18" i="18"/>
  <c r="F18" i="18"/>
  <c r="C19" i="18"/>
  <c r="D19" i="18"/>
  <c r="E19" i="18"/>
  <c r="F19" i="18"/>
  <c r="C20" i="18"/>
  <c r="D20" i="18"/>
  <c r="C21" i="18"/>
  <c r="D21" i="18"/>
  <c r="E21" i="18"/>
  <c r="F21" i="18" s="1"/>
  <c r="C22" i="18"/>
  <c r="D22" i="18"/>
  <c r="E22" i="18" s="1"/>
  <c r="F22" i="18" s="1"/>
  <c r="C23" i="18"/>
  <c r="D23" i="18"/>
  <c r="C24" i="18"/>
  <c r="D24" i="18"/>
  <c r="E24" i="18"/>
  <c r="F24" i="18"/>
  <c r="C25" i="18"/>
  <c r="D25" i="18"/>
  <c r="E25" i="18"/>
  <c r="F25" i="18" s="1"/>
  <c r="C26" i="18"/>
  <c r="D26" i="18"/>
  <c r="E26" i="18" s="1"/>
  <c r="F26" i="18" s="1"/>
  <c r="C27" i="18"/>
  <c r="D27" i="18"/>
  <c r="C28" i="18"/>
  <c r="D28" i="18"/>
  <c r="C29" i="18"/>
  <c r="D29" i="18"/>
  <c r="E29" i="18" s="1"/>
  <c r="F29" i="18" s="1"/>
  <c r="H29" i="18"/>
  <c r="I29" i="18" s="1"/>
  <c r="C30" i="18"/>
  <c r="D30" i="18"/>
  <c r="E30" i="18"/>
  <c r="F30" i="18"/>
  <c r="C31" i="18"/>
  <c r="D31" i="18"/>
  <c r="C32" i="18"/>
  <c r="D32" i="18"/>
  <c r="E32" i="18"/>
  <c r="F32" i="18"/>
  <c r="C33" i="18"/>
  <c r="D33" i="18"/>
  <c r="E33" i="18" s="1"/>
  <c r="F33" i="18" s="1"/>
  <c r="C34" i="18"/>
  <c r="D34" i="18"/>
  <c r="E34" i="18"/>
  <c r="F34" i="18"/>
  <c r="C35" i="18"/>
  <c r="D35" i="18"/>
  <c r="C36" i="18"/>
  <c r="D36" i="18"/>
  <c r="E36" i="18"/>
  <c r="F36" i="18"/>
  <c r="C37" i="18"/>
  <c r="D37" i="18"/>
  <c r="E37" i="18" s="1"/>
  <c r="F37" i="18" s="1"/>
  <c r="C38" i="18"/>
  <c r="D38" i="18"/>
  <c r="D17" i="34"/>
  <c r="D18" i="34"/>
  <c r="D19" i="34"/>
  <c r="D20" i="34"/>
  <c r="D21" i="34"/>
  <c r="D22" i="34"/>
  <c r="D23" i="34"/>
  <c r="D24" i="34"/>
  <c r="D25" i="34"/>
  <c r="D26" i="34"/>
  <c r="D27" i="34"/>
  <c r="D28" i="34"/>
  <c r="D29" i="34"/>
  <c r="D30" i="34"/>
  <c r="D31" i="34"/>
  <c r="D32" i="34"/>
  <c r="D33" i="34"/>
  <c r="D34" i="34"/>
  <c r="H34" i="34"/>
  <c r="D35" i="34"/>
  <c r="D36" i="34"/>
  <c r="D37" i="34"/>
  <c r="D38" i="34"/>
  <c r="C18" i="1"/>
  <c r="D18" i="1"/>
  <c r="G18" i="1"/>
  <c r="G18" i="34" s="1"/>
  <c r="C19" i="1"/>
  <c r="D19" i="1"/>
  <c r="G19" i="1"/>
  <c r="C20" i="1"/>
  <c r="D20" i="1"/>
  <c r="G20" i="1"/>
  <c r="G20" i="34" s="1"/>
  <c r="C21" i="1"/>
  <c r="D21" i="1"/>
  <c r="E21" i="1" s="1"/>
  <c r="F21" i="1" s="1"/>
  <c r="G21" i="1"/>
  <c r="C22" i="1"/>
  <c r="D22" i="1"/>
  <c r="G22" i="1"/>
  <c r="G22" i="34" s="1"/>
  <c r="C23" i="1"/>
  <c r="D23" i="1"/>
  <c r="E23" i="1" s="1"/>
  <c r="F23" i="1" s="1"/>
  <c r="G23" i="1"/>
  <c r="C24" i="1"/>
  <c r="D24" i="1"/>
  <c r="E24" i="1" s="1"/>
  <c r="F24" i="1" s="1"/>
  <c r="G24" i="1"/>
  <c r="G25" i="34" s="1"/>
  <c r="C25" i="1"/>
  <c r="D25" i="1"/>
  <c r="G25" i="1"/>
  <c r="H25" i="1"/>
  <c r="C26" i="1"/>
  <c r="D26" i="1"/>
  <c r="G26" i="1"/>
  <c r="G26" i="34" s="1"/>
  <c r="C27" i="1"/>
  <c r="D27" i="1"/>
  <c r="G27" i="1"/>
  <c r="C28" i="1"/>
  <c r="D28" i="1"/>
  <c r="G28" i="1"/>
  <c r="G29" i="34" s="1"/>
  <c r="C29" i="1"/>
  <c r="D29" i="1"/>
  <c r="E29" i="1" s="1"/>
  <c r="F29" i="1" s="1"/>
  <c r="G29" i="1"/>
  <c r="C30" i="1"/>
  <c r="D30" i="1"/>
  <c r="G30" i="1"/>
  <c r="C31" i="1"/>
  <c r="D31" i="1"/>
  <c r="G31" i="1"/>
  <c r="C32" i="1"/>
  <c r="D32" i="1"/>
  <c r="G32" i="1"/>
  <c r="G32" i="34" s="1"/>
  <c r="C33" i="1"/>
  <c r="D33" i="1"/>
  <c r="E33" i="1" s="1"/>
  <c r="F33" i="1" s="1"/>
  <c r="G33" i="1"/>
  <c r="C34" i="1"/>
  <c r="D34" i="1"/>
  <c r="E34" i="1" s="1"/>
  <c r="F34" i="1" s="1"/>
  <c r="G34" i="1"/>
  <c r="G34" i="34" s="1"/>
  <c r="C35" i="1"/>
  <c r="D35" i="1"/>
  <c r="E35" i="1" s="1"/>
  <c r="F35" i="1" s="1"/>
  <c r="G35" i="1"/>
  <c r="C36" i="1"/>
  <c r="D36" i="1"/>
  <c r="E36" i="1" s="1"/>
  <c r="F36" i="1" s="1"/>
  <c r="G36" i="1"/>
  <c r="G36" i="34" s="1"/>
  <c r="C37" i="1"/>
  <c r="D37" i="1"/>
  <c r="G37" i="1"/>
  <c r="C38" i="1"/>
  <c r="D38" i="1"/>
  <c r="G38" i="1"/>
  <c r="G38" i="34" s="1"/>
  <c r="C16" i="30"/>
  <c r="D16" i="30"/>
  <c r="C17" i="30"/>
  <c r="D17" i="30"/>
  <c r="C16" i="29"/>
  <c r="D16" i="29"/>
  <c r="C17" i="29"/>
  <c r="D17" i="29"/>
  <c r="C16" i="18"/>
  <c r="D16" i="18"/>
  <c r="C17" i="18"/>
  <c r="D17" i="18"/>
  <c r="E17" i="18"/>
  <c r="F17" i="18" s="1"/>
  <c r="C16" i="1"/>
  <c r="D16" i="1"/>
  <c r="G16" i="1"/>
  <c r="G16" i="34" s="1"/>
  <c r="C17" i="1"/>
  <c r="D17" i="1"/>
  <c r="G17" i="1"/>
  <c r="D16" i="34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19"/>
  <c r="I17" i="19" s="1"/>
  <c r="E17" i="19"/>
  <c r="F17" i="19" s="1"/>
  <c r="H16" i="19"/>
  <c r="I16" i="19" s="1"/>
  <c r="E16" i="19"/>
  <c r="F16" i="19" s="1"/>
  <c r="H17" i="20"/>
  <c r="I17" i="20" s="1"/>
  <c r="E17" i="20"/>
  <c r="F17" i="20" s="1"/>
  <c r="H16" i="20"/>
  <c r="I16" i="20" s="1"/>
  <c r="E16" i="20"/>
  <c r="F16" i="20" s="1"/>
  <c r="H17" i="21"/>
  <c r="I17" i="21" s="1"/>
  <c r="E17" i="21"/>
  <c r="F17" i="21" s="1"/>
  <c r="H16" i="21"/>
  <c r="I16" i="21" s="1"/>
  <c r="E16" i="21"/>
  <c r="F16" i="21" s="1"/>
  <c r="I17" i="4"/>
  <c r="E17" i="4"/>
  <c r="F17" i="4" s="1"/>
  <c r="I16" i="4"/>
  <c r="E16" i="4"/>
  <c r="F16" i="4" s="1"/>
  <c r="E16" i="3"/>
  <c r="F16" i="3" s="1"/>
  <c r="H16" i="3"/>
  <c r="I16" i="3" s="1"/>
  <c r="E17" i="3"/>
  <c r="F17" i="3" s="1"/>
  <c r="H17" i="3"/>
  <c r="I17" i="3" s="1"/>
  <c r="E16" i="72"/>
  <c r="F16" i="72"/>
  <c r="H16" i="72"/>
  <c r="I16" i="72" s="1"/>
  <c r="E17" i="72"/>
  <c r="F17" i="72" s="1"/>
  <c r="H17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6" i="34" s="1"/>
  <c r="G7" i="1"/>
  <c r="G8" i="1"/>
  <c r="G8" i="34" s="1"/>
  <c r="G9" i="1"/>
  <c r="G10" i="1"/>
  <c r="G10" i="34" s="1"/>
  <c r="G11" i="1"/>
  <c r="G12" i="1"/>
  <c r="G12" i="34" s="1"/>
  <c r="G13" i="1"/>
  <c r="G14" i="1"/>
  <c r="G15" i="34" s="1"/>
  <c r="G15" i="1"/>
  <c r="G5" i="1"/>
  <c r="G4" i="1"/>
  <c r="G5" i="34" s="1"/>
  <c r="D15" i="34"/>
  <c r="D14" i="34"/>
  <c r="D13" i="34"/>
  <c r="D12" i="34"/>
  <c r="D11" i="34"/>
  <c r="D10" i="34"/>
  <c r="D9" i="34"/>
  <c r="D8" i="34"/>
  <c r="D7" i="34"/>
  <c r="D6" i="34"/>
  <c r="D5" i="34"/>
  <c r="B4" i="34" a="1"/>
  <c r="B4" i="34" s="1"/>
  <c r="A4" i="34" a="1"/>
  <c r="A4" i="34" s="1"/>
  <c r="A1" i="34" a="1"/>
  <c r="A1" i="34" s="1"/>
  <c r="D15" i="30"/>
  <c r="C15" i="30"/>
  <c r="D14" i="30"/>
  <c r="C14" i="30"/>
  <c r="D13" i="30"/>
  <c r="C13" i="30"/>
  <c r="D12" i="30"/>
  <c r="C12" i="30"/>
  <c r="D11" i="30"/>
  <c r="C11" i="30"/>
  <c r="D10" i="30"/>
  <c r="C10" i="30"/>
  <c r="D9" i="30"/>
  <c r="C9" i="30"/>
  <c r="D8" i="30"/>
  <c r="C8" i="30"/>
  <c r="D7" i="30"/>
  <c r="C7" i="30"/>
  <c r="D6" i="30"/>
  <c r="C6" i="30"/>
  <c r="D5" i="30"/>
  <c r="C5" i="30"/>
  <c r="D4" i="30"/>
  <c r="C4" i="30"/>
  <c r="D15" i="29"/>
  <c r="C15" i="29"/>
  <c r="D14" i="29"/>
  <c r="C14" i="29"/>
  <c r="D13" i="29"/>
  <c r="C13" i="29"/>
  <c r="D12" i="29"/>
  <c r="C12" i="29"/>
  <c r="D11" i="29"/>
  <c r="C11" i="29"/>
  <c r="D10" i="29"/>
  <c r="C10" i="29"/>
  <c r="D9" i="29"/>
  <c r="C9" i="29"/>
  <c r="D8" i="29"/>
  <c r="C8" i="29"/>
  <c r="E8" i="29" s="1"/>
  <c r="F8" i="29" s="1"/>
  <c r="D7" i="29"/>
  <c r="C7" i="29"/>
  <c r="D6" i="29"/>
  <c r="C6" i="29"/>
  <c r="D5" i="29"/>
  <c r="C5" i="29"/>
  <c r="D4" i="29"/>
  <c r="C4" i="29"/>
  <c r="D15" i="18"/>
  <c r="C15" i="18"/>
  <c r="D14" i="18"/>
  <c r="C14" i="18"/>
  <c r="E14" i="18" s="1"/>
  <c r="F14" i="18" s="1"/>
  <c r="D13" i="18"/>
  <c r="C13" i="18"/>
  <c r="E13" i="18" s="1"/>
  <c r="F13" i="18" s="1"/>
  <c r="D12" i="18"/>
  <c r="C12" i="18"/>
  <c r="E12" i="18" s="1"/>
  <c r="F12" i="18" s="1"/>
  <c r="D11" i="18"/>
  <c r="C11" i="18"/>
  <c r="D10" i="18"/>
  <c r="C10" i="18"/>
  <c r="E10" i="18" s="1"/>
  <c r="F10" i="18" s="1"/>
  <c r="D9" i="18"/>
  <c r="C9" i="18"/>
  <c r="E9" i="18" s="1"/>
  <c r="F9" i="18" s="1"/>
  <c r="D8" i="18"/>
  <c r="C8" i="18"/>
  <c r="E8" i="18" s="1"/>
  <c r="F8" i="18" s="1"/>
  <c r="D7" i="18"/>
  <c r="C7" i="18"/>
  <c r="D6" i="18"/>
  <c r="C6" i="18"/>
  <c r="E6" i="18" s="1"/>
  <c r="F6" i="18" s="1"/>
  <c r="D5" i="18"/>
  <c r="C5" i="18"/>
  <c r="E5" i="18" s="1"/>
  <c r="F5" i="18" s="1"/>
  <c r="D4" i="18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9" i="34" s="1"/>
  <c r="C8" i="1"/>
  <c r="C8" i="34" s="1"/>
  <c r="C7" i="1"/>
  <c r="C6" i="1"/>
  <c r="C5" i="1"/>
  <c r="C5" i="34" s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I10" i="27" s="1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I15" i="4"/>
  <c r="E15" i="4"/>
  <c r="F15" i="4" s="1"/>
  <c r="I14" i="4"/>
  <c r="E14" i="4"/>
  <c r="F14" i="4" s="1"/>
  <c r="I13" i="4"/>
  <c r="E13" i="4"/>
  <c r="F13" i="4" s="1"/>
  <c r="I12" i="4"/>
  <c r="E12" i="4"/>
  <c r="F12" i="4" s="1"/>
  <c r="I11" i="4"/>
  <c r="E11" i="4"/>
  <c r="F11" i="4" s="1"/>
  <c r="I10" i="4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C33" i="34" l="1"/>
  <c r="E8" i="30"/>
  <c r="F8" i="30" s="1"/>
  <c r="C24" i="34"/>
  <c r="C14" i="34"/>
  <c r="E23" i="29"/>
  <c r="F23" i="29" s="1"/>
  <c r="H22" i="29"/>
  <c r="I22" i="29" s="1"/>
  <c r="H21" i="18"/>
  <c r="I21" i="18" s="1"/>
  <c r="H18" i="18"/>
  <c r="I18" i="18" s="1"/>
  <c r="E38" i="18"/>
  <c r="F38" i="18" s="1"/>
  <c r="E23" i="18"/>
  <c r="F23" i="18" s="1"/>
  <c r="D2" i="18"/>
  <c r="E16" i="18"/>
  <c r="F16" i="18" s="1"/>
  <c r="C6" i="34"/>
  <c r="C10" i="34"/>
  <c r="I23" i="4"/>
  <c r="I25" i="1"/>
  <c r="H35" i="34"/>
  <c r="C36" i="34"/>
  <c r="E36" i="34" s="1"/>
  <c r="F36" i="34" s="1"/>
  <c r="C29" i="34"/>
  <c r="E29" i="34" s="1"/>
  <c r="F29" i="34" s="1"/>
  <c r="G31" i="34"/>
  <c r="G30" i="34"/>
  <c r="I34" i="1"/>
  <c r="E38" i="1"/>
  <c r="F38" i="1" s="1"/>
  <c r="E30" i="1"/>
  <c r="F30" i="1" s="1"/>
  <c r="E22" i="1"/>
  <c r="F22" i="1" s="1"/>
  <c r="H37" i="1"/>
  <c r="I37" i="1" s="1"/>
  <c r="E37" i="1"/>
  <c r="F37" i="1" s="1"/>
  <c r="H37" i="34"/>
  <c r="I35" i="3"/>
  <c r="H35" i="1"/>
  <c r="I35" i="1" s="1"/>
  <c r="H36" i="1"/>
  <c r="I36" i="1" s="1"/>
  <c r="H36" i="34"/>
  <c r="H33" i="1"/>
  <c r="I33" i="1" s="1"/>
  <c r="H33" i="34"/>
  <c r="G33" i="34"/>
  <c r="H31" i="34"/>
  <c r="I31" i="34" s="1"/>
  <c r="E31" i="1"/>
  <c r="F31" i="1" s="1"/>
  <c r="E28" i="1"/>
  <c r="F28" i="1" s="1"/>
  <c r="H27" i="1"/>
  <c r="I27" i="1" s="1"/>
  <c r="H27" i="34"/>
  <c r="E27" i="1"/>
  <c r="F27" i="1" s="1"/>
  <c r="E26" i="1"/>
  <c r="F26" i="1" s="1"/>
  <c r="E25" i="1"/>
  <c r="F25" i="1" s="1"/>
  <c r="G24" i="34"/>
  <c r="H23" i="34"/>
  <c r="G23" i="34"/>
  <c r="H21" i="1"/>
  <c r="I21" i="1" s="1"/>
  <c r="H18" i="34"/>
  <c r="H18" i="1"/>
  <c r="I18" i="1" s="1"/>
  <c r="G21" i="34"/>
  <c r="E20" i="1"/>
  <c r="F20" i="1" s="1"/>
  <c r="E19" i="1"/>
  <c r="F19" i="1" s="1"/>
  <c r="H19" i="34"/>
  <c r="H19" i="1"/>
  <c r="I19" i="1" s="1"/>
  <c r="H17" i="34"/>
  <c r="E16" i="1"/>
  <c r="F16" i="1" s="1"/>
  <c r="G13" i="34"/>
  <c r="G11" i="34"/>
  <c r="C19" i="34"/>
  <c r="E19" i="34" s="1"/>
  <c r="F19" i="34" s="1"/>
  <c r="C20" i="34"/>
  <c r="E20" i="34" s="1"/>
  <c r="F20" i="34" s="1"/>
  <c r="H25" i="34"/>
  <c r="I25" i="34" s="1"/>
  <c r="C25" i="34"/>
  <c r="E25" i="34" s="1"/>
  <c r="F25" i="34" s="1"/>
  <c r="C22" i="34"/>
  <c r="E22" i="34" s="1"/>
  <c r="F22" i="34" s="1"/>
  <c r="C27" i="34"/>
  <c r="E27" i="34" s="1"/>
  <c r="F27" i="34" s="1"/>
  <c r="I27" i="72"/>
  <c r="C28" i="34"/>
  <c r="E28" i="34" s="1"/>
  <c r="F28" i="34" s="1"/>
  <c r="C21" i="34"/>
  <c r="E21" i="34" s="1"/>
  <c r="F21" i="34" s="1"/>
  <c r="H21" i="34"/>
  <c r="H29" i="1"/>
  <c r="I29" i="1" s="1"/>
  <c r="I29" i="72"/>
  <c r="C37" i="34"/>
  <c r="E37" i="34" s="1"/>
  <c r="F37" i="34" s="1"/>
  <c r="I38" i="72"/>
  <c r="H38" i="1"/>
  <c r="I38" i="1" s="1"/>
  <c r="C16" i="34"/>
  <c r="E16" i="34" s="1"/>
  <c r="F16" i="34" s="1"/>
  <c r="C35" i="34"/>
  <c r="E35" i="34" s="1"/>
  <c r="F35" i="34" s="1"/>
  <c r="C34" i="34"/>
  <c r="E34" i="34" s="1"/>
  <c r="F34" i="34" s="1"/>
  <c r="C30" i="34"/>
  <c r="E30" i="34" s="1"/>
  <c r="F30" i="34" s="1"/>
  <c r="I17" i="72"/>
  <c r="E17" i="1"/>
  <c r="F17" i="1" s="1"/>
  <c r="C17" i="34"/>
  <c r="E17" i="34" s="1"/>
  <c r="F17" i="34" s="1"/>
  <c r="G9" i="34"/>
  <c r="G7" i="34"/>
  <c r="I34" i="34"/>
  <c r="I38" i="34"/>
  <c r="I29" i="34"/>
  <c r="H22" i="1"/>
  <c r="I22" i="1" s="1"/>
  <c r="H24" i="34"/>
  <c r="G28" i="34"/>
  <c r="H31" i="1"/>
  <c r="I31" i="1" s="1"/>
  <c r="H26" i="1"/>
  <c r="I26" i="1" s="1"/>
  <c r="H26" i="34"/>
  <c r="I26" i="34" s="1"/>
  <c r="G27" i="34"/>
  <c r="G17" i="34"/>
  <c r="I17" i="34" s="1"/>
  <c r="H24" i="1"/>
  <c r="I24" i="1" s="1"/>
  <c r="H30" i="1"/>
  <c r="I30" i="1" s="1"/>
  <c r="H20" i="1"/>
  <c r="I20" i="1" s="1"/>
  <c r="G35" i="34"/>
  <c r="I35" i="34" s="1"/>
  <c r="G14" i="34"/>
  <c r="H30" i="34"/>
  <c r="H22" i="34"/>
  <c r="I22" i="34" s="1"/>
  <c r="I36" i="34"/>
  <c r="H28" i="1"/>
  <c r="I28" i="1" s="1"/>
  <c r="H28" i="34"/>
  <c r="H20" i="34"/>
  <c r="I20" i="34" s="1"/>
  <c r="E33" i="34"/>
  <c r="F33" i="34" s="1"/>
  <c r="E24" i="34"/>
  <c r="F24" i="34" s="1"/>
  <c r="G37" i="34"/>
  <c r="I36" i="72"/>
  <c r="E32" i="1"/>
  <c r="F32" i="1" s="1"/>
  <c r="H32" i="1"/>
  <c r="I32" i="1" s="1"/>
  <c r="H32" i="34"/>
  <c r="I32" i="34" s="1"/>
  <c r="C32" i="34"/>
  <c r="E32" i="34" s="1"/>
  <c r="F32" i="34" s="1"/>
  <c r="I18" i="34"/>
  <c r="G19" i="34"/>
  <c r="E18" i="1"/>
  <c r="F18" i="1" s="1"/>
  <c r="C18" i="34"/>
  <c r="E18" i="34" s="1"/>
  <c r="F18" i="34" s="1"/>
  <c r="G4" i="34"/>
  <c r="E26" i="30"/>
  <c r="F26" i="30" s="1"/>
  <c r="E27" i="29"/>
  <c r="F27" i="29" s="1"/>
  <c r="H24" i="18"/>
  <c r="I24" i="18" s="1"/>
  <c r="E21" i="29"/>
  <c r="F21" i="29" s="1"/>
  <c r="H19" i="18"/>
  <c r="I19" i="18" s="1"/>
  <c r="H27" i="30"/>
  <c r="I27" i="30" s="1"/>
  <c r="H26" i="18"/>
  <c r="I26" i="18" s="1"/>
  <c r="H22" i="18"/>
  <c r="I22" i="18" s="1"/>
  <c r="H37" i="18"/>
  <c r="I37" i="18" s="1"/>
  <c r="E7" i="18"/>
  <c r="F7" i="18" s="1"/>
  <c r="E11" i="18"/>
  <c r="F11" i="18" s="1"/>
  <c r="E15" i="18"/>
  <c r="F15" i="18" s="1"/>
  <c r="E31" i="18"/>
  <c r="F31" i="18" s="1"/>
  <c r="I31" i="21"/>
  <c r="H23" i="18"/>
  <c r="I23" i="18" s="1"/>
  <c r="H32" i="30"/>
  <c r="I32" i="30" s="1"/>
  <c r="H19" i="30"/>
  <c r="I19" i="30" s="1"/>
  <c r="H36" i="18"/>
  <c r="I36" i="18" s="1"/>
  <c r="H21" i="29"/>
  <c r="I21" i="29" s="1"/>
  <c r="H27" i="18"/>
  <c r="I27" i="18" s="1"/>
  <c r="C31" i="34"/>
  <c r="E31" i="34" s="1"/>
  <c r="F31" i="34" s="1"/>
  <c r="C7" i="34"/>
  <c r="E7" i="34" s="1"/>
  <c r="F7" i="34" s="1"/>
  <c r="H35" i="18"/>
  <c r="I35" i="18" s="1"/>
  <c r="C38" i="34"/>
  <c r="E38" i="34" s="1"/>
  <c r="F38" i="34" s="1"/>
  <c r="E16" i="29"/>
  <c r="F16" i="29" s="1"/>
  <c r="H38" i="18"/>
  <c r="I38" i="18" s="1"/>
  <c r="E23" i="30"/>
  <c r="F23" i="30" s="1"/>
  <c r="I24" i="21"/>
  <c r="I20" i="21"/>
  <c r="I22" i="27"/>
  <c r="H31" i="30"/>
  <c r="I31" i="30" s="1"/>
  <c r="C13" i="34"/>
  <c r="E13" i="34" s="1"/>
  <c r="F13" i="34" s="1"/>
  <c r="C26" i="34"/>
  <c r="E26" i="34" s="1"/>
  <c r="F26" i="34" s="1"/>
  <c r="H34" i="18"/>
  <c r="I34" i="18" s="1"/>
  <c r="H30" i="18"/>
  <c r="I30" i="18" s="1"/>
  <c r="C4" i="34"/>
  <c r="C23" i="34"/>
  <c r="E23" i="34" s="1"/>
  <c r="F23" i="34" s="1"/>
  <c r="H38" i="29"/>
  <c r="I38" i="29" s="1"/>
  <c r="H28" i="30"/>
  <c r="I28" i="30" s="1"/>
  <c r="C12" i="34"/>
  <c r="E12" i="34" s="1"/>
  <c r="F12" i="34" s="1"/>
  <c r="C15" i="34"/>
  <c r="E15" i="34" s="1"/>
  <c r="F15" i="34" s="1"/>
  <c r="E35" i="18"/>
  <c r="F35" i="18" s="1"/>
  <c r="H32" i="18"/>
  <c r="I32" i="18" s="1"/>
  <c r="E38" i="29"/>
  <c r="F38" i="29" s="1"/>
  <c r="H36" i="30"/>
  <c r="I36" i="30" s="1"/>
  <c r="H19" i="29"/>
  <c r="I19" i="29" s="1"/>
  <c r="H33" i="30"/>
  <c r="I33" i="30" s="1"/>
  <c r="H37" i="30"/>
  <c r="I37" i="30" s="1"/>
  <c r="I19" i="32"/>
  <c r="C11" i="34"/>
  <c r="E11" i="34" s="1"/>
  <c r="F11" i="34" s="1"/>
  <c r="E22" i="30"/>
  <c r="F22" i="30" s="1"/>
  <c r="E13" i="30"/>
  <c r="F13" i="30" s="1"/>
  <c r="E14" i="30"/>
  <c r="F14" i="30" s="1"/>
  <c r="E9" i="30"/>
  <c r="F9" i="30" s="1"/>
  <c r="E15" i="30"/>
  <c r="F15" i="30" s="1"/>
  <c r="E18" i="30"/>
  <c r="F18" i="30" s="1"/>
  <c r="E11" i="30"/>
  <c r="F11" i="30" s="1"/>
  <c r="H29" i="30"/>
  <c r="I29" i="30" s="1"/>
  <c r="H38" i="30"/>
  <c r="I38" i="30" s="1"/>
  <c r="I31" i="31"/>
  <c r="E36" i="30"/>
  <c r="F36" i="30" s="1"/>
  <c r="E4" i="30"/>
  <c r="F4" i="30" s="1"/>
  <c r="H34" i="30"/>
  <c r="I34" i="30" s="1"/>
  <c r="I33" i="31"/>
  <c r="H21" i="30"/>
  <c r="I21" i="30" s="1"/>
  <c r="E33" i="30"/>
  <c r="F33" i="30" s="1"/>
  <c r="I32" i="31"/>
  <c r="E35" i="30"/>
  <c r="F35" i="30" s="1"/>
  <c r="E17" i="30"/>
  <c r="F17" i="30" s="1"/>
  <c r="E34" i="30"/>
  <c r="F34" i="30" s="1"/>
  <c r="E30" i="30"/>
  <c r="F30" i="30" s="1"/>
  <c r="E20" i="30"/>
  <c r="F20" i="30" s="1"/>
  <c r="E19" i="30"/>
  <c r="F19" i="30" s="1"/>
  <c r="E38" i="30"/>
  <c r="F38" i="30" s="1"/>
  <c r="D4" i="34"/>
  <c r="D2" i="34" s="1"/>
  <c r="H18" i="30"/>
  <c r="I18" i="30" s="1"/>
  <c r="E29" i="30"/>
  <c r="F29" i="30" s="1"/>
  <c r="E25" i="30"/>
  <c r="F25" i="30" s="1"/>
  <c r="E32" i="30"/>
  <c r="F32" i="30" s="1"/>
  <c r="E10" i="30"/>
  <c r="F10" i="30" s="1"/>
  <c r="E37" i="30"/>
  <c r="F37" i="30" s="1"/>
  <c r="E24" i="30"/>
  <c r="F24" i="30" s="1"/>
  <c r="E16" i="30"/>
  <c r="F16" i="30" s="1"/>
  <c r="E27" i="30"/>
  <c r="F27" i="30" s="1"/>
  <c r="E12" i="30"/>
  <c r="F12" i="30" s="1"/>
  <c r="E6" i="30"/>
  <c r="F6" i="30" s="1"/>
  <c r="D2" i="30"/>
  <c r="E5" i="30"/>
  <c r="F5" i="30" s="1"/>
  <c r="I37" i="32"/>
  <c r="H30" i="30"/>
  <c r="I30" i="30" s="1"/>
  <c r="H25" i="30"/>
  <c r="I25" i="30" s="1"/>
  <c r="H20" i="30"/>
  <c r="I20" i="30" s="1"/>
  <c r="H26" i="30"/>
  <c r="I26" i="30" s="1"/>
  <c r="I26" i="31"/>
  <c r="H24" i="30"/>
  <c r="I24" i="30" s="1"/>
  <c r="H22" i="30"/>
  <c r="I22" i="30" s="1"/>
  <c r="H23" i="30"/>
  <c r="I23" i="30" s="1"/>
  <c r="H6" i="30"/>
  <c r="I6" i="30" s="1"/>
  <c r="H17" i="30"/>
  <c r="I17" i="30" s="1"/>
  <c r="H16" i="30"/>
  <c r="I16" i="30" s="1"/>
  <c r="H35" i="30"/>
  <c r="I35" i="30" s="1"/>
  <c r="E30" i="29"/>
  <c r="F30" i="29" s="1"/>
  <c r="E14" i="29"/>
  <c r="F14" i="29" s="1"/>
  <c r="H37" i="29"/>
  <c r="I37" i="29" s="1"/>
  <c r="H13" i="29"/>
  <c r="I13" i="29" s="1"/>
  <c r="H35" i="29"/>
  <c r="I35" i="29" s="1"/>
  <c r="E5" i="29"/>
  <c r="F5" i="29" s="1"/>
  <c r="H20" i="29"/>
  <c r="I20" i="29" s="1"/>
  <c r="I21" i="27"/>
  <c r="E11" i="29"/>
  <c r="F11" i="29" s="1"/>
  <c r="E17" i="29"/>
  <c r="F17" i="29" s="1"/>
  <c r="E6" i="29"/>
  <c r="F6" i="29" s="1"/>
  <c r="E12" i="29"/>
  <c r="F12" i="29" s="1"/>
  <c r="E26" i="29"/>
  <c r="F26" i="29" s="1"/>
  <c r="E22" i="29"/>
  <c r="F22" i="29" s="1"/>
  <c r="E32" i="29"/>
  <c r="F32" i="29" s="1"/>
  <c r="E37" i="29"/>
  <c r="F37" i="29" s="1"/>
  <c r="E13" i="29"/>
  <c r="F13" i="29" s="1"/>
  <c r="E29" i="29"/>
  <c r="F29" i="29" s="1"/>
  <c r="H31" i="29"/>
  <c r="I31" i="29" s="1"/>
  <c r="H28" i="29"/>
  <c r="I28" i="29" s="1"/>
  <c r="H34" i="29"/>
  <c r="I34" i="29" s="1"/>
  <c r="H16" i="29"/>
  <c r="I16" i="29" s="1"/>
  <c r="H24" i="29"/>
  <c r="I24" i="29" s="1"/>
  <c r="E33" i="29"/>
  <c r="F33" i="29" s="1"/>
  <c r="E36" i="29"/>
  <c r="F36" i="29" s="1"/>
  <c r="E35" i="29"/>
  <c r="F35" i="29" s="1"/>
  <c r="E20" i="29"/>
  <c r="F20" i="29" s="1"/>
  <c r="E34" i="29"/>
  <c r="F34" i="29" s="1"/>
  <c r="E19" i="29"/>
  <c r="F19" i="29" s="1"/>
  <c r="E9" i="29"/>
  <c r="F9" i="29" s="1"/>
  <c r="E10" i="29"/>
  <c r="F10" i="29" s="1"/>
  <c r="D2" i="29"/>
  <c r="I13" i="27"/>
  <c r="H36" i="29"/>
  <c r="I36" i="29" s="1"/>
  <c r="H32" i="29"/>
  <c r="I32" i="29" s="1"/>
  <c r="H33" i="29"/>
  <c r="I33" i="29" s="1"/>
  <c r="H30" i="29"/>
  <c r="I30" i="29" s="1"/>
  <c r="H29" i="29"/>
  <c r="I29" i="29" s="1"/>
  <c r="H27" i="29"/>
  <c r="I27" i="29" s="1"/>
  <c r="H26" i="29"/>
  <c r="I26" i="29" s="1"/>
  <c r="H25" i="29"/>
  <c r="I25" i="29" s="1"/>
  <c r="H23" i="29"/>
  <c r="I23" i="29" s="1"/>
  <c r="H18" i="29"/>
  <c r="I18" i="29" s="1"/>
  <c r="H17" i="29"/>
  <c r="I17" i="29" s="1"/>
  <c r="H15" i="29"/>
  <c r="I15" i="29" s="1"/>
  <c r="H12" i="29"/>
  <c r="I12" i="29" s="1"/>
  <c r="H10" i="29"/>
  <c r="I10" i="29" s="1"/>
  <c r="H9" i="29"/>
  <c r="I9" i="29" s="1"/>
  <c r="H7" i="29"/>
  <c r="I7" i="29" s="1"/>
  <c r="H6" i="29"/>
  <c r="I6" i="29" s="1"/>
  <c r="E28" i="18"/>
  <c r="F28" i="18" s="1"/>
  <c r="E27" i="18"/>
  <c r="F27" i="18" s="1"/>
  <c r="E20" i="18"/>
  <c r="F20" i="18" s="1"/>
  <c r="H17" i="18"/>
  <c r="I17" i="18" s="1"/>
  <c r="H16" i="18"/>
  <c r="I16" i="18" s="1"/>
  <c r="H28" i="18"/>
  <c r="I28" i="18" s="1"/>
  <c r="H17" i="1"/>
  <c r="I17" i="1" s="1"/>
  <c r="H16" i="1"/>
  <c r="I16" i="1" s="1"/>
  <c r="H16" i="34"/>
  <c r="I16" i="34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7" i="1"/>
  <c r="F7" i="1" s="1"/>
  <c r="E15" i="1"/>
  <c r="F15" i="1" s="1"/>
  <c r="E5" i="34"/>
  <c r="F5" i="34" s="1"/>
  <c r="G2" i="1"/>
  <c r="E6" i="34"/>
  <c r="F6" i="34" s="1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H14" i="29"/>
  <c r="I14" i="29" s="1"/>
  <c r="H4" i="29"/>
  <c r="I4" i="29" s="1"/>
  <c r="E15" i="29"/>
  <c r="F15" i="29" s="1"/>
  <c r="H5" i="29"/>
  <c r="I5" i="29" s="1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H5" i="18"/>
  <c r="I5" i="18" s="1"/>
  <c r="H13" i="18"/>
  <c r="I13" i="18" s="1"/>
  <c r="H8" i="18"/>
  <c r="I8" i="18" s="1"/>
  <c r="H11" i="18"/>
  <c r="I11" i="18" s="1"/>
  <c r="H6" i="34"/>
  <c r="I6" i="34" s="1"/>
  <c r="H7" i="34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8" i="34"/>
  <c r="F8" i="34" s="1"/>
  <c r="E14" i="34"/>
  <c r="F14" i="34" s="1"/>
  <c r="C2" i="29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30" i="34" l="1"/>
  <c r="I23" i="34"/>
  <c r="I37" i="34"/>
  <c r="I33" i="34"/>
  <c r="I28" i="34"/>
  <c r="I27" i="34"/>
  <c r="I24" i="34"/>
  <c r="I21" i="34"/>
  <c r="I19" i="34"/>
  <c r="I7" i="34"/>
  <c r="G2" i="34"/>
  <c r="E4" i="34"/>
  <c r="F4" i="34" s="1"/>
  <c r="E2" i="29"/>
  <c r="F2" i="29" s="1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<sst xmlns="http://schemas.openxmlformats.org/spreadsheetml/2006/main" count="1314" uniqueCount="241">
  <si>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</si>
  <si>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</si>
  <si>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</si>
  <si>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</si>
  <si>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</si>
  <si>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</si>
  <si>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</si>
  <si>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</si>
  <si>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</si>
  <si>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</si>
  <si>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</si>
  <si>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</si>
  <si>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</si>
  <si>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</si>
  <si>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</si>
  <si>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</si>
  <si>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</si>
  <si>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</si>
  <si>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</si>
  <si>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</si>
  <si>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</si>
  <si>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</si>
  <si>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</si>
  <si>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Site was offline on  01/03/25 at 07:30AM due to a power generation shutdown by command. Enphase later sent a command to reset the site remotely, but it remained offline until the gateway reported back, and the issue was resolved at 13:00 the same day.</t>
  </si>
  <si>
    <t>1. SR095278</t>
  </si>
  <si>
    <t>1. Site was offline from 12/30/24 because someone had turned OFF the disconnect. It was remotely turned back ON on 01/15/25 at 15:15, bringing the site back online</t>
  </si>
  <si>
    <t>1. SR095189</t>
  </si>
  <si>
    <t>1. Gateway stopped reporting since 12/19/24.</t>
  </si>
  <si>
    <t>1. SR095095</t>
  </si>
  <si>
    <t xml:space="preserve">1. 12 microinverters have not reported since 9/28/24 due to improper mapping with Enphase. On 01/13/25, the technician found the site map inadequate for locating them. To resolve this, we’ll schedule a follow-up visit with an additional technician and a lift to update the site information in the Enphase Enlighten portal.
</t>
  </si>
  <si>
    <t>1. SR091352</t>
  </si>
  <si>
    <t>1. 10 microinverters have not producing since 01/13/25 and remained offline through the month.</t>
  </si>
  <si>
    <t>1. SR095528</t>
  </si>
  <si>
    <t>1. Site has been offline since 01/21/25 due to a possible disconnection.This indicates it was shut off from its past history and back online at 09:00 on 01/31/25.</t>
  </si>
  <si>
    <t>1. SR095900</t>
  </si>
  <si>
    <t>1. 1 microinverter have not producing since 01/08/25 and remained offline through the month.</t>
  </si>
  <si>
    <t>1. SR095596</t>
  </si>
  <si>
    <t>1. Site has been offline since 08/21/24 due to heat anomalies on the breaker affecting the conduit. On 01/15/25, the technician re-energized it and brought it back online at 14:00</t>
  </si>
  <si>
    <t>1. SR095597,  SR089922 &amp; SR095037</t>
  </si>
  <si>
    <t>SR089922</t>
  </si>
  <si>
    <t>SR095037</t>
  </si>
  <si>
    <t>1. Meter was capturing only half of the inverter production due to a faulty CT since 10/31/24. On 01/15/25 at 11:15AM, the technician replaced the RMA'd IQ Gateway, installed 3 new CTs on the supply wires, updated the software, and re-paired all devices. Proper current readings were verified through the Enphase app, and the system back to normal.</t>
  </si>
  <si>
    <t>1. SR092849, SR095290</t>
  </si>
  <si>
    <t>SR095290</t>
  </si>
  <si>
    <t>1. 1 microinverter have not producing since 01/18/25 and remained offline through the month.</t>
  </si>
  <si>
    <t>1. SR096191</t>
  </si>
  <si>
    <t>1. Microinverter 1 (202305093235)  has not been reporting since 12/02/24 and was RMA'd on 12/22/24. Parts are needed to bring it back online.</t>
  </si>
  <si>
    <t>1. SR094909</t>
  </si>
  <si>
    <t>February Actual v. Expected</t>
  </si>
  <si>
    <t>February Actual v. Forecasted</t>
  </si>
  <si>
    <t>1. The gateway stopped reporting on 12/19/24. On 02/18/25, the technician found the disconnect open and re-energized the site at 06:30 AM. It stopped reporting again on 02/20/25 and was restored at 06:30 AM on 02/24 after contacting the site.</t>
  </si>
  <si>
    <t>1. SR095095, SR097621</t>
  </si>
  <si>
    <t>SR097621</t>
  </si>
  <si>
    <t>1. Site was offline from 02/07/25 due to a power off command and brought back online on 02/11/25 after remote reset by enphase</t>
  </si>
  <si>
    <t>1. SR096470</t>
  </si>
  <si>
    <t>1. Site was offline from 12:45 on 02/03/25 due to a disconnect, which self-resolved on 02/07 at 08:15. It went offline again from 15:30 on 02/09 and self-resolved on 02/11 at 06:00. The site was offline from 02/14 and came back online on 02/17. On 02/19, the technician updated the gateway firmware as per Enphase instructions.</t>
  </si>
  <si>
    <t>1. Site was offline from 02/07/25 due to a power off command and brought back online on 02/10/25 at 14:30 after remote reset by enphase.</t>
  </si>
  <si>
    <t>1. SR095166</t>
  </si>
  <si>
    <t>1. One microinverter has not been producing since 01/08/25. It was RMA'd on 02/27/25 and remained offline throughout the month.</t>
  </si>
  <si>
    <t>1. One microinverter has not been producing since 01/18/25 and self-resolved, coming back online on 02/03.</t>
  </si>
  <si>
    <t>1. Microinverter 121938054429 has not been reporting from 7:15 on 02/20/25 and remained offline throughout the month.</t>
  </si>
  <si>
    <t>1. SR097762</t>
  </si>
  <si>
    <t xml:space="preserve"> 1. Site stopped reporting from 02/08/25. Likely AC Disconnect is off.</t>
  </si>
  <si>
    <t>1. SR096627</t>
  </si>
  <si>
    <t>March Actual v. Expected</t>
  </si>
  <si>
    <t>March Actual v. Forecasted</t>
  </si>
  <si>
    <t>1. 12 microinverters haven't reported since 09/28/24 due to incorrect mapping with Enphase. On 01/13/25, the tech found the site map inadequate. On 03/20/25, the technician lifted all modules on Array 2, optimizers photographed, and manual mapping started. Enphase portal mapping doesn't match on-site. Need to return to finish mapping Arrays 1 &amp; 2, then submit to Enphase for correction.</t>
  </si>
  <si>
    <t>1. 10 microinverters have not producing since 01/13/25.On 03/25/25, technician tested Array 1 J-Box connections – all passed, NEC compliant. Replaced all wire nuts and Wagos with new ones. Found 18 microinverters offline and unmapped. Started mapping all 84 units and confirmed with Enphase; all serials added and mapped. Restored 83 units. One unit (S/N: 202403005673, Array 1, Row 4, Col 5) still offline – MCI head damaged. AC/DC tests passed. Opened RMA with Enphase. Installed spare (S/N: 202401030429) from van, updated mapping. Enphase confirmed new unit is producing the same day.</t>
  </si>
  <si>
    <t>1. One microinverter (202305093235) has not been producing since 01/08/25. It was RMA'd on 02/27/25 and remained offline throughout the month.</t>
  </si>
  <si>
    <t>1. SR097762, PM9175</t>
  </si>
  <si>
    <t>1.The site stopped reporting from 02/08/25, likely due to the AC disconnect being off.  Site is communicating and producing normally from 03/22</t>
  </si>
  <si>
    <t>1.SR096627</t>
  </si>
  <si>
    <t>April Actual v. Expected</t>
  </si>
  <si>
    <t>April Actual v. Forecasted</t>
  </si>
  <si>
    <t xml:space="preserve">1. 12 microinverters have not reported since 09/28/24 due to incorrect mapping in the Enphase system. On 01/13/25, a technician identified the site map as inadequate. On 03/20/25, all modules on Array 2 were lifted, optimizers photographed, and manual mapping was started. However, the Enphase portal mapping still doesn't match the physical layout. The technician needs to return to complete mapping for Arrays 1 and 2 and submit the corrected map to Enphase. On 04/17/25, Array 3 was mapped, and on 04/18/25, mapping continued on the west-facing array, with modules removed to retrieve microinverter serial numbers. Despite these efforts, the microinverters are still not reporting.
</t>
  </si>
  <si>
    <t>1. 	SR091352</t>
  </si>
  <si>
    <t>1. Three SMAs have been offline since 04/15. On 04/23, the technician found major thermal damage around the capacitors, which need to be replaced in order to bring the inverters back online.</t>
  </si>
  <si>
    <t>1. SR099807</t>
  </si>
  <si>
    <t>1.SR095596</t>
  </si>
  <si>
    <t xml:space="preserve">1. One microinverter (202305093235) is not reporting the production data.Issue to be addressed on  PM </t>
  </si>
  <si>
    <t>1.SR101279</t>
  </si>
  <si>
    <t>May Actual v. Expected</t>
  </si>
  <si>
    <t>May Actual v. Forecasted</t>
  </si>
  <si>
    <t>1. 8 microinverters have been offline since 5/10 due to an AC frequency out-of-range issue. Enphase approved a remote RMA on 5/19, pending confirmation and shipping details from ROC and the OEM.
2. Gateway not reporting since 05/22 at 16:16 and later self resolved on 05/29.</t>
  </si>
  <si>
    <t>1. SR101589, 	SR101905
2. SR101905</t>
  </si>
  <si>
    <t>SR101905</t>
  </si>
  <si>
    <t>1. 12 microinverters(gray)  have not reported since 09/28/24; 9 of them were previously RMA’d. On 05/29/25, Enphase confirmed 13 microinverters(white) are missing from the array builder. A device scan was run waiting 24 hours before replacing old SNs with new ones via the self-service install replacement option. Awaiting Enphase's response on data.</t>
  </si>
  <si>
    <t>1. SR102087, SR091352</t>
  </si>
  <si>
    <t>SR091352</t>
  </si>
  <si>
    <t>1. one microinverter have not reporting since 05/28 and remained offline throughout the month.</t>
  </si>
  <si>
    <t>1. SR102088</t>
  </si>
  <si>
    <t>1. Microinverters did not report from 19:10 on 05/20 to 06:35 on 05/23 due to a mapping issue, which requires further troubleshooting.</t>
  </si>
  <si>
    <t>1. 	SR101846</t>
  </si>
  <si>
    <t>1. Three SMAs have been offline since 04/15. On 04/23, a technician found major thermal damage around the capacitors, requiring replacement. On 05/14, SMA requested as-builts to review and recommend an alternate inverter model for repowering, as the same series is no longer available</t>
  </si>
  <si>
    <t>1. One microinverter (202305093235) has not produced since 01/08. It was RMA’d on 02/27, and on 05/02, the technician replaced three microinverters, which came back online at 10:15 the same day</t>
  </si>
  <si>
    <t>1. 	SR095596</t>
  </si>
  <si>
    <t xml:space="preserve">1. One microinverter have not reporting since 05/10 and remained offline throughout the month. Issue to be addressed on PM </t>
  </si>
  <si>
    <t>1. SR101326</t>
  </si>
  <si>
    <t xml:space="preserve">1. One microinverter (202305093235) is not reporting the production data.Issue to be addressed on PM </t>
  </si>
  <si>
    <t>1. SR101279</t>
  </si>
  <si>
    <t>June Actual v. Expected</t>
  </si>
  <si>
    <t>June Actual v. Forecasted</t>
  </si>
  <si>
    <t>1. 8 microinverters have been offline since 05/10/2025 due to "AC Frequency Out of Range" and are currently undergoing the RMA process.</t>
  </si>
  <si>
    <t>1. SR101589</t>
  </si>
  <si>
    <t>1. 12 microinverters are not reporting (gray) and have possibly been offline since 04/18/2025. Out of these, 9 have already been RMA'd. Additionally, it was confirmed that 13 microinverters are missing (white) from the Array Builder. A device scan was initiated, and a 24-hour wait period is being observed before replacing the old serial numbers with new ones using the Self-Service "Install Replacement" option. Awaiting Enphase’s response regarding the data</t>
  </si>
  <si>
    <t>1. SR102087</t>
  </si>
  <si>
    <t>1. One microinverter has not been reporting since 05/28/2025 and is currently undergoing the RMA process.</t>
  </si>
  <si>
    <t>1. The site experienced communication losses on 06/01, 06/02, 06/03, 06/05, 06/06, 06/07, 06/11, 06/21, 06/22, 06/23, 06/24, 06/25, 06/26, and 06/28, and production during these periods cannot be confirmed. Additionally, site production dropped to 13 W from 08:30 to 14:15 on 06/19. The site resumed production later at 15:30 on 06/20 and again at 17:45 on 06/29.</t>
  </si>
  <si>
    <t>1. SR101846</t>
  </si>
  <si>
    <t>1. Microinverter 202305093250 lost communications on 6/4. Possibly offline.</t>
  </si>
  <si>
    <t>1. SR102639</t>
  </si>
  <si>
    <t>1. One microinverter has not been reporting since 06/15</t>
  </si>
  <si>
    <t>1. SR103077</t>
  </si>
  <si>
    <t>1. Microinverters 202305094113 and 202305090271 have been offline since 06/27 and are currently undergoing the RMA process.</t>
  </si>
  <si>
    <t>1. SR103670</t>
  </si>
  <si>
    <t>July Actual v. Expected</t>
  </si>
  <si>
    <t>July Actual v. Forecasted</t>
  </si>
  <si>
    <t>1.	SR101589</t>
  </si>
  <si>
    <t>1. Site gateway was not reported from 7/4/25 to end of the month.</t>
  </si>
  <si>
    <t>1. SR104091</t>
  </si>
  <si>
    <t>1.SR102087</t>
  </si>
  <si>
    <t>1.	SR102088</t>
  </si>
  <si>
    <t xml:space="preserve">1. The site experienced communication losses on 07/01, 07/08, 07/30, 07/31, and production during these periods cannot be confirmed. </t>
  </si>
  <si>
    <t>1.	SR101846</t>
  </si>
  <si>
    <t>1. 3 micro inverters to have major thermal damage around the capacitors were offline for whole month.</t>
  </si>
  <si>
    <t>1.SR102639</t>
  </si>
  <si>
    <t>1. One microinverter has not been reporting since 06/15. Micro inveretr back online on 07/18</t>
  </si>
  <si>
    <t>1.	SR103077</t>
  </si>
  <si>
    <t>1. Microinverters 202305094113 and 202305090271 have been offline since 06/27 and are currently undergoing the RMA process. On 07/24 technicain  Replaced 3 micro inverters and 45/45 producing.</t>
  </si>
  <si>
    <t>1.	SR103670</t>
  </si>
  <si>
    <t>1. Site stopped communicating on 7/18/25. AC disconnect may be off. Requesting the customer to check breaker</t>
  </si>
  <si>
    <t>1.SR104706</t>
  </si>
  <si>
    <t>August Actual v. Expected</t>
  </si>
  <si>
    <t>August Actual v. Forecasted</t>
  </si>
  <si>
    <t>1. 8 microinverters were offline and being RMA'd.</t>
  </si>
  <si>
    <t>1. Site gateway was not communicated from 07/04 to 06:45 on 08/09.</t>
  </si>
  <si>
    <t>1.12 microinverter were offline for whole month.</t>
  </si>
  <si>
    <t>1. 1 micro inverter was offline for whole month.</t>
  </si>
  <si>
    <t>1. 2 microinverters were offline for whole month and being RMA'd.</t>
  </si>
  <si>
    <t>1. SR106651</t>
  </si>
  <si>
    <t xml:space="preserve">1. 1 micro inverter was offline from 06/07 to 14:00 on 08/22. </t>
  </si>
  <si>
    <t>1. Site was offline from 07/18 to 15:45 on 08/15.</t>
  </si>
  <si>
    <t>1. SR104706</t>
  </si>
  <si>
    <t>September Actual v. Expected</t>
  </si>
  <si>
    <t>September Actual v. Forecasted</t>
  </si>
  <si>
    <t>-</t>
  </si>
  <si>
    <t>1. 8 microinverters are offline from 5/10/25 and "reporting AC Frequency Out of Range" and back online on 09/30.</t>
  </si>
  <si>
    <t>1. 12 microinverter were offline and are being RMA'd. They remained offline for the entire month.</t>
  </si>
  <si>
    <t>October Actual v. Expected</t>
  </si>
  <si>
    <t>October Actual v. Forecasted</t>
  </si>
  <si>
    <t>Status</t>
  </si>
  <si>
    <t>1. pending</t>
  </si>
  <si>
    <t>1. 1 micro inverter was offline on 05/28.25 and after replaceing a new microinverter is back online at 10/24.</t>
  </si>
  <si>
    <t>1. completed</t>
  </si>
  <si>
    <t>1. 2 microinverters were offline was back online at 10/02.</t>
  </si>
  <si>
    <t>1. Closed</t>
  </si>
  <si>
    <t>November Actual v. Expected</t>
  </si>
  <si>
    <t>November Actual v. Forecasted</t>
  </si>
  <si>
    <t>1. 8 microinverters are offline from 9/3/25. tech found that 8 microinverters were offline, and String BR 3 was offline due to an AC issue. Wires are needed for repairs.</t>
  </si>
  <si>
    <t>1.SR109951</t>
  </si>
  <si>
    <t>1.Pending</t>
  </si>
  <si>
    <t>December Actual v. Expected</t>
  </si>
  <si>
    <t>December Actual v. Forecasted</t>
  </si>
  <si>
    <t>Portfolio:</t>
  </si>
  <si>
    <t>Cushman &amp; Wakefield</t>
  </si>
  <si>
    <t>Site DAS Name</t>
  </si>
  <si>
    <t>Update</t>
  </si>
  <si>
    <t>DAS</t>
  </si>
  <si>
    <t/>
  </si>
  <si>
    <t xml:space="preserve"> Adelanto - Bank of America</t>
  </si>
  <si>
    <t>CA</t>
  </si>
  <si>
    <t xml:space="preserve">Enlighten Manager </t>
  </si>
  <si>
    <t xml:space="preserve"> Apple Valley - Bank of America</t>
  </si>
  <si>
    <t>Bank of America - CAW-D36 (Arvin, CA)</t>
  </si>
  <si>
    <t xml:space="preserve"> Arvin - Bank of America</t>
  </si>
  <si>
    <t>Bank of America - CA8-122 (Bell, CA) (240 VAC High Leg Delta)</t>
  </si>
  <si>
    <t xml:space="preserve"> Bell - Bank of America</t>
  </si>
  <si>
    <t>Bank of America - CAW-G59 (Chula Vista, CA)</t>
  </si>
  <si>
    <t xml:space="preserve"> Chula Vista - Bank of America</t>
  </si>
  <si>
    <t>Bank of America - CAW-F39 (Cupertino, CA)</t>
  </si>
  <si>
    <t xml:space="preserve"> Cupertino - Bank of America</t>
  </si>
  <si>
    <t>Bank of America - CA7-202 (Diamond Bar, CA)</t>
  </si>
  <si>
    <t xml:space="preserve"> Diamond Bar - Bank of America</t>
  </si>
  <si>
    <t>Bank of America - CA0-119 (El Centro, CA)</t>
  </si>
  <si>
    <t xml:space="preserve"> El Centro - Bank of America</t>
  </si>
  <si>
    <t>Bank of America - CA6-174 (Moreno Valley, CA)</t>
  </si>
  <si>
    <t xml:space="preserve"> Moreno Valley - Bank of America</t>
  </si>
  <si>
    <t xml:space="preserve"> Redlands - Bank of America</t>
  </si>
  <si>
    <t>Bank of America - CA2-113 (Roseville, CA)</t>
  </si>
  <si>
    <t xml:space="preserve"> Roseville - Bank of America</t>
  </si>
  <si>
    <t>Bank of America - CAW-E84 (San Bernardino, CA)</t>
  </si>
  <si>
    <t xml:space="preserve"> San Bernardino - Bank of America</t>
  </si>
  <si>
    <t>Bank of America (San Diego, CA)</t>
  </si>
  <si>
    <t xml:space="preserve"> San Diego - Bank of America</t>
  </si>
  <si>
    <t>Bank of America - CA2-154 (Stockton, CA)</t>
  </si>
  <si>
    <t xml:space="preserve"> Stockton - Bank of America</t>
  </si>
  <si>
    <t xml:space="preserve"> Victorville - Bank of America</t>
  </si>
  <si>
    <t>BOA, Arapahoe Crossings #CO1-112</t>
  </si>
  <si>
    <t xml:space="preserve"> Aurora - BA - Colfax Ave</t>
  </si>
  <si>
    <t>CO</t>
  </si>
  <si>
    <t>BOA, Chambers Plaza #COW-139</t>
  </si>
  <si>
    <t xml:space="preserve"> Aurora - BA - Parker Rd</t>
  </si>
  <si>
    <t>BOA, BroomFeild #COW-107</t>
  </si>
  <si>
    <t xml:space="preserve"> Broomfield - Bank of America</t>
  </si>
  <si>
    <t>BOA, Garden of the Gods #CO1-140</t>
  </si>
  <si>
    <t xml:space="preserve"> Colorado Springs - Bank of America</t>
  </si>
  <si>
    <t>BOA, Green Valley Ranch #CO1-121</t>
  </si>
  <si>
    <t xml:space="preserve"> Denver - BA - 49th Ave</t>
  </si>
  <si>
    <t>BOA, South Wadsworth #COW-113</t>
  </si>
  <si>
    <t xml:space="preserve"> Denver - BA Wadsworth Blvd</t>
  </si>
  <si>
    <t>BOA, Front Range Village #COW-143</t>
  </si>
  <si>
    <t xml:space="preserve"> Fort Collins - Bank of America</t>
  </si>
  <si>
    <t>Bank of America - COW-135 (Lafayette, CO)</t>
  </si>
  <si>
    <t xml:space="preserve"> Lafayette - Bank of America</t>
  </si>
  <si>
    <t>BOA, Lakewood #COW-115</t>
  </si>
  <si>
    <t xml:space="preserve"> Lakewood - Bank of America</t>
  </si>
  <si>
    <t>BOA,Village at the Peaks #CO1-109</t>
  </si>
  <si>
    <t xml:space="preserve"> Longmont - Bank of America</t>
  </si>
  <si>
    <t>BOA, Thornton #COW-118</t>
  </si>
  <si>
    <t xml:space="preserve"> Thornton - Bank of America</t>
  </si>
  <si>
    <t>Bank of America - IL4-020 (River Oaks, IL)</t>
  </si>
  <si>
    <t xml:space="preserve"> Calumet City - Bank of America</t>
  </si>
  <si>
    <t>IL</t>
  </si>
  <si>
    <t>BOA, WoodRidge IL2-251</t>
  </si>
  <si>
    <t xml:space="preserve"> Downers Grove - Bank of America</t>
  </si>
  <si>
    <t xml:space="preserve"> Bloomington - Bank of America</t>
  </si>
  <si>
    <t>MN</t>
  </si>
  <si>
    <t>Bank of America - Forsyth (Clayton, MO)</t>
  </si>
  <si>
    <t xml:space="preserve"> Clayton - Bank of America</t>
  </si>
  <si>
    <t>MO</t>
  </si>
  <si>
    <t>Bank of America - MO1-064 (Manchester, MO)</t>
  </si>
  <si>
    <t xml:space="preserve"> Manchester - Bank of America</t>
  </si>
  <si>
    <t>Bank Of America (Las Vegas, NV)</t>
  </si>
  <si>
    <t xml:space="preserve"> Las Vegas - BA - Eastern Ave</t>
  </si>
  <si>
    <t>NV</t>
  </si>
  <si>
    <t xml:space="preserve"> Las Vegas - BA - Town Ctr Dr</t>
  </si>
  <si>
    <t>Bank of America - UTW-024 (Riverton, UT)</t>
  </si>
  <si>
    <t xml:space="preserve"> Riverton - Bank of America</t>
  </si>
  <si>
    <t>UT</t>
  </si>
  <si>
    <t>Bank of America - UT3-111 (Salt Lake City, UT)</t>
  </si>
  <si>
    <t xml:space="preserve"> Salt Lake City - Bank of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</si>
</sst>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43" x14ac:knownFonts="1">
    <font>
      <sz val="10"/>
      <name val="Arial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theme="1"/>
      <name val="Arial"/>
    </font>
    <font>
      <sz val="11"/>
      <color rgb="FF000000"/>
      <name val="Calibri"/>
    </font>
    <font>
      <u/>
      <sz val="10"/>
      <color theme="10"/>
      <name val="Arial"/>
    </font>
    <font>
      <sz val="11"/>
      <color rgb="FF000000"/>
      <name val="Aptos Narrow"/>
      <family val="2"/>
    </font>
    <font>
      <sz val="11"/>
      <name val="Calibri"/>
      <scheme val="minor"/>
    </font>
    <font>
      <b/>
      <sz val="11"/>
      <name val="Calibri"/>
      <scheme val="minor"/>
    </font>
    <font>
      <b/>
      <sz val="11"/>
      <color rgb="FFFF0000"/>
      <name val="Calibri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6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38" fillId="0" borderId="0" applyNumberFormat="0" applyFill="0" applyBorder="0" applyAlignment="0" applyProtection="0"/>
  </cellStyleXfs>
  <cellXfs count="92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49" fontId="29" fillId="40" borderId="0" xfId="0" applyNumberFormat="1" applyFont="1" applyFill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165" fontId="29" fillId="0" borderId="0" xfId="1" applyNumberFormat="1" applyFont="1" applyBorder="1" applyAlignment="1">
      <alignment horizontal="center" vertical="center"/>
    </xf>
    <xf numFmtId="49" fontId="28" fillId="40" borderId="0" xfId="0" applyNumberFormat="1" applyFont="1" applyFill="1" applyAlignment="1">
      <alignment horizontal="center" vertical="center"/>
    </xf>
    <xf numFmtId="3" fontId="31" fillId="3" borderId="0" xfId="0" applyNumberFormat="1" applyFont="1" applyFill="1" applyAlignment="1">
      <alignment horizontal="right" vertical="center"/>
    </xf>
    <xf numFmtId="9" fontId="31" fillId="3" borderId="0" xfId="2" applyFont="1" applyFill="1" applyBorder="1" applyAlignment="1">
      <alignment horizontal="center" vertical="center"/>
    </xf>
    <xf numFmtId="3" fontId="31" fillId="4" borderId="0" xfId="1" applyNumberFormat="1" applyFont="1" applyFill="1" applyBorder="1" applyAlignment="1">
      <alignment vertical="center"/>
    </xf>
    <xf numFmtId="9" fontId="31" fillId="37" borderId="0" xfId="2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30" fillId="43" borderId="1" xfId="0" applyFont="1" applyFill="1" applyBorder="1" applyAlignment="1">
      <alignment horizontal="center" vertical="center" wrapText="1"/>
    </xf>
    <xf numFmtId="165" fontId="29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9" fillId="40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5" fillId="40" borderId="0" xfId="0" applyFont="1" applyFill="1" applyAlignment="1">
      <alignment horizontal="center"/>
    </xf>
    <xf numFmtId="0" fontId="31" fillId="0" borderId="0" xfId="0" applyFont="1"/>
    <xf numFmtId="0" fontId="26" fillId="0" borderId="0" xfId="0" applyFont="1"/>
    <xf numFmtId="0" fontId="25" fillId="41" borderId="1" xfId="0" applyFont="1" applyFill="1" applyBorder="1" applyAlignment="1">
      <alignment horizontal="center" vertical="center" wrapText="1"/>
    </xf>
    <xf numFmtId="9" fontId="25" fillId="41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/>
    </xf>
    <xf numFmtId="0" fontId="25" fillId="42" borderId="1" xfId="0" applyFont="1" applyFill="1" applyBorder="1" applyAlignment="1">
      <alignment horizontal="center" vertical="center" wrapText="1"/>
    </xf>
    <xf numFmtId="9" fontId="25" fillId="42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 vertical="center"/>
    </xf>
    <xf numFmtId="49" fontId="31" fillId="38" borderId="0" xfId="2" applyNumberFormat="1" applyFont="1" applyFill="1" applyBorder="1" applyAlignment="1">
      <alignment vertical="top" wrapText="1"/>
    </xf>
    <xf numFmtId="49" fontId="29" fillId="0" borderId="0" xfId="0" applyNumberFormat="1" applyFont="1" applyAlignment="1">
      <alignment vertical="center" wrapText="1"/>
    </xf>
    <xf numFmtId="49" fontId="28" fillId="0" borderId="0" xfId="0" applyNumberFormat="1" applyFont="1" applyAlignment="1">
      <alignment vertical="center" wrapText="1"/>
    </xf>
    <xf numFmtId="0" fontId="23" fillId="40" borderId="12" xfId="43" applyFont="1" applyFill="1" applyBorder="1" applyAlignment="1">
      <alignment horizontal="left"/>
    </xf>
    <xf numFmtId="0" fontId="23" fillId="40" borderId="13" xfId="43" applyFont="1" applyFill="1" applyBorder="1"/>
    <xf numFmtId="0" fontId="36" fillId="40" borderId="13" xfId="0" applyFont="1" applyFill="1" applyBorder="1"/>
    <xf numFmtId="0" fontId="36" fillId="40" borderId="14" xfId="0" applyFont="1" applyFill="1" applyBorder="1"/>
    <xf numFmtId="0" fontId="23" fillId="0" borderId="12" xfId="43" applyFont="1" applyBorder="1" applyAlignment="1">
      <alignment horizontal="left"/>
    </xf>
    <xf numFmtId="0" fontId="23" fillId="0" borderId="13" xfId="43" applyFont="1" applyBorder="1"/>
    <xf numFmtId="0" fontId="36" fillId="0" borderId="13" xfId="0" applyFont="1" applyBorder="1"/>
    <xf numFmtId="0" fontId="36" fillId="0" borderId="14" xfId="0" applyFont="1" applyBorder="1"/>
    <xf numFmtId="0" fontId="23" fillId="0" borderId="15" xfId="43" applyFont="1" applyBorder="1" applyAlignment="1">
      <alignment horizontal="left"/>
    </xf>
    <xf numFmtId="0" fontId="23" fillId="0" borderId="16" xfId="43" applyFont="1" applyBorder="1"/>
    <xf numFmtId="0" fontId="36" fillId="40" borderId="16" xfId="0" applyFont="1" applyFill="1" applyBorder="1"/>
    <xf numFmtId="0" fontId="36" fillId="40" borderId="17" xfId="0" applyFont="1" applyFill="1" applyBorder="1"/>
    <xf numFmtId="49" fontId="28" fillId="0" borderId="0" xfId="0" applyNumberFormat="1" applyFont="1" applyAlignment="1">
      <alignment vertical="top" wrapText="1"/>
    </xf>
    <xf numFmtId="49" fontId="31" fillId="38" borderId="0" xfId="2" applyNumberFormat="1" applyFont="1" applyFill="1" applyBorder="1" applyAlignment="1">
      <alignment horizontal="left" vertical="top" wrapText="1" indent="1"/>
    </xf>
    <xf numFmtId="165" fontId="33" fillId="0" borderId="0" xfId="0" applyNumberFormat="1" applyFont="1"/>
    <xf numFmtId="165" fontId="0" fillId="0" borderId="0" xfId="0" applyNumberFormat="1"/>
    <xf numFmtId="49" fontId="29" fillId="0" borderId="0" xfId="0" applyNumberFormat="1" applyFont="1" applyAlignment="1">
      <alignment horizontal="left" vertical="top" wrapText="1"/>
    </xf>
    <xf numFmtId="49" fontId="37" fillId="0" borderId="0" xfId="0" applyNumberFormat="1" applyFont="1" applyAlignment="1">
      <alignment horizontal="left" vertical="top" wrapText="1"/>
    </xf>
    <xf numFmtId="49" fontId="31" fillId="38" borderId="0" xfId="2" applyNumberFormat="1" applyFont="1" applyFill="1" applyBorder="1" applyAlignment="1">
      <alignment horizontal="left" vertical="top" wrapText="1"/>
    </xf>
    <xf numFmtId="3" fontId="31" fillId="4" borderId="0" xfId="1" applyNumberFormat="1" applyFont="1" applyFill="1" applyBorder="1" applyAlignment="1">
      <alignment horizontal="right" vertical="center"/>
    </xf>
    <xf numFmtId="3" fontId="31" fillId="0" borderId="0" xfId="1" applyNumberFormat="1" applyFont="1" applyFill="1" applyBorder="1" applyAlignment="1">
      <alignment horizontal="right" vertical="center"/>
    </xf>
    <xf numFmtId="49" fontId="38" fillId="38" borderId="0" xfId="45" applyNumberFormat="1" applyFill="1" applyBorder="1" applyAlignment="1">
      <alignment vertical="top" wrapText="1"/>
    </xf>
    <xf numFmtId="49" fontId="38" fillId="0" borderId="0" xfId="45" applyNumberFormat="1" applyAlignment="1">
      <alignment horizontal="left" vertical="top" wrapText="1"/>
    </xf>
    <xf numFmtId="49" fontId="38" fillId="38" borderId="0" xfId="45" applyNumberFormat="1" applyFill="1" applyBorder="1" applyAlignment="1">
      <alignment horizontal="left" vertical="top" wrapText="1"/>
    </xf>
    <xf numFmtId="49" fontId="38" fillId="0" borderId="0" xfId="45" applyNumberFormat="1" applyAlignment="1">
      <alignment vertical="top" wrapText="1"/>
    </xf>
    <xf numFmtId="0" fontId="38" fillId="0" borderId="0" xfId="45" applyAlignment="1">
      <alignment vertical="top"/>
    </xf>
    <xf numFmtId="3" fontId="31" fillId="4" borderId="0" xfId="1" applyNumberFormat="1" applyFont="1" applyFill="1" applyBorder="1" applyAlignment="1">
      <alignment horizontal="right"/>
    </xf>
    <xf numFmtId="3" fontId="31" fillId="0" borderId="0" xfId="1" applyNumberFormat="1" applyFont="1" applyFill="1" applyBorder="1" applyAlignment="1">
      <alignment horizontal="right"/>
    </xf>
    <xf numFmtId="165" fontId="38" fillId="0" borderId="0" xfId="45" applyNumberFormat="1"/>
    <xf numFmtId="0" fontId="38" fillId="0" borderId="0" xfId="45"/>
    <xf numFmtId="49" fontId="38" fillId="0" borderId="0" xfId="45" applyNumberFormat="1" applyAlignment="1">
      <alignment vertical="center" wrapText="1"/>
    </xf>
    <xf numFmtId="165" fontId="29" fillId="0" borderId="0" xfId="1" applyNumberFormat="1" applyFont="1" applyBorder="1" applyAlignment="1">
      <alignment horizontal="center" vertical="center" wrapText="1"/>
    </xf>
    <xf numFmtId="165" fontId="29" fillId="44" borderId="0" xfId="1" applyNumberFormat="1" applyFont="1" applyFill="1" applyBorder="1" applyAlignment="1">
      <alignment horizontal="center" vertical="center" wrapText="1"/>
    </xf>
    <xf numFmtId="0" fontId="39" fillId="0" borderId="0" xfId="0" applyFont="1"/>
    <xf numFmtId="49" fontId="40" fillId="38" borderId="0" xfId="2" applyNumberFormat="1" applyFont="1" applyFill="1" applyBorder="1" applyAlignment="1">
      <alignment vertical="top" wrapText="1"/>
    </xf>
    <xf numFmtId="0" fontId="41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41" fillId="45" borderId="1" xfId="0" applyFont="1" applyFill="1" applyBorder="1" applyAlignment="1">
      <alignment horizontal="center" vertical="center"/>
    </xf>
    <xf numFmtId="0" fontId="40" fillId="0" borderId="0" xfId="0" applyFont="1"/>
    <xf numFmtId="0" fontId="40" fillId="0" borderId="0" xfId="0" applyFont="1" applyAlignment="1">
      <alignment vertical="top"/>
    </xf>
    <xf numFmtId="0" fontId="41" fillId="45" borderId="1" xfId="0" applyFont="1" applyFill="1" applyBorder="1" applyAlignment="1">
      <alignment horizontal="center" vertical="top"/>
    </xf>
    <xf numFmtId="1" fontId="39" fillId="0" borderId="0" xfId="0" applyNumberFormat="1" applyFont="1"/>
    <xf numFmtId="49" fontId="29" fillId="0" borderId="0" xfId="0" applyNumberFormat="1" applyFont="1" applyAlignment="1">
      <alignment vertical="top" wrapText="1"/>
    </xf>
    <xf numFmtId="49" fontId="1" fillId="0" borderId="0" xfId="0" applyNumberFormat="1" applyFont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9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38" totalsRowShown="0">
  <autoFilter ref="A3:E38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58" dataCellStyle="Normal 2"/>
    <tableColumn id="1" xr3:uid="{9A753695-C18C-437C-AD9C-C2CE5C1A806E}" name="Site" dataDxfId="57" dataCellStyle="Normal 2"/>
    <tableColumn id="2" xr3:uid="{250F229D-34D2-4043-BE8F-6D9C210E223F}" name="State" dataDxfId="56" dataCellStyle="Normal 2"/>
    <tableColumn id="5" xr3:uid="{61DF2E38-E0FD-4D7E-AE61-BDFE8D5E1312}" name="Update" dataDxfId="55"/>
    <tableColumn id="4" xr3:uid="{E086A54F-BF3D-477F-A0D7-706863BF0C38}" name="DAS" dataDxfId="5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5597" TargetMode="External"/><Relationship Id="rId13" Type="http://schemas.openxmlformats.org/officeDocument/2006/relationships/hyperlink" Target="https://us3.assetplanner.com/service_request?ID=096191" TargetMode="External"/><Relationship Id="rId3" Type="http://schemas.openxmlformats.org/officeDocument/2006/relationships/hyperlink" Target="https://us3.assetplanner.com/service_request?ID=095095" TargetMode="External"/><Relationship Id="rId7" Type="http://schemas.openxmlformats.org/officeDocument/2006/relationships/hyperlink" Target="https://us3.assetplanner.com/service_request?ID=095596" TargetMode="External"/><Relationship Id="rId12" Type="http://schemas.openxmlformats.org/officeDocument/2006/relationships/hyperlink" Target="https://us3.assetplanner.com/service_request?ID=095290" TargetMode="External"/><Relationship Id="rId2" Type="http://schemas.openxmlformats.org/officeDocument/2006/relationships/hyperlink" Target="https://us3.assetplanner.com/service_request?ID=095189" TargetMode="External"/><Relationship Id="rId1" Type="http://schemas.openxmlformats.org/officeDocument/2006/relationships/hyperlink" Target="https://us3.assetplanner.com/service_request?ID=095278" TargetMode="External"/><Relationship Id="rId6" Type="http://schemas.openxmlformats.org/officeDocument/2006/relationships/hyperlink" Target="https://us3.assetplanner.com/service_request?ID=095900" TargetMode="External"/><Relationship Id="rId11" Type="http://schemas.openxmlformats.org/officeDocument/2006/relationships/hyperlink" Target="https://us3.assetplanner.com/service_request?ID=092849" TargetMode="External"/><Relationship Id="rId5" Type="http://schemas.openxmlformats.org/officeDocument/2006/relationships/hyperlink" Target="https://us3.assetplanner.com/service_request?ID=095528" TargetMode="External"/><Relationship Id="rId15" Type="http://schemas.openxmlformats.org/officeDocument/2006/relationships/printerSettings" Target="../printerSettings/printerSettings3.bin"/><Relationship Id="rId10" Type="http://schemas.openxmlformats.org/officeDocument/2006/relationships/hyperlink" Target="https://us3.assetplanner.com/service_request?ID=095037" TargetMode="External"/><Relationship Id="rId4" Type="http://schemas.openxmlformats.org/officeDocument/2006/relationships/hyperlink" Target="https://us3.assetplanner.com/service_request?ID=091352" TargetMode="External"/><Relationship Id="rId9" Type="http://schemas.openxmlformats.org/officeDocument/2006/relationships/hyperlink" Target="https://us3.assetplanner.com/service_request?ID=089922" TargetMode="External"/><Relationship Id="rId14" Type="http://schemas.openxmlformats.org/officeDocument/2006/relationships/hyperlink" Target="https://us3.assetplanner.com/service_request?ID=094909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5596" TargetMode="External"/><Relationship Id="rId3" Type="http://schemas.openxmlformats.org/officeDocument/2006/relationships/hyperlink" Target="https://us3.assetplanner.com/service_request?ID=091352" TargetMode="External"/><Relationship Id="rId7" Type="http://schemas.openxmlformats.org/officeDocument/2006/relationships/hyperlink" Target="https://us3.assetplanner.com/service_request?ID=095166" TargetMode="External"/><Relationship Id="rId12" Type="http://schemas.openxmlformats.org/officeDocument/2006/relationships/hyperlink" Target="https://us3.assetplanner.com/service_request?ID=096627" TargetMode="External"/><Relationship Id="rId2" Type="http://schemas.openxmlformats.org/officeDocument/2006/relationships/hyperlink" Target="https://us3.assetplanner.com/service_request?ID=097621" TargetMode="External"/><Relationship Id="rId1" Type="http://schemas.openxmlformats.org/officeDocument/2006/relationships/hyperlink" Target="https://us3.assetplanner.com/service_request?ID=095095" TargetMode="External"/><Relationship Id="rId6" Type="http://schemas.openxmlformats.org/officeDocument/2006/relationships/hyperlink" Target="https://us3.assetplanner.com/service_request?ID=095900" TargetMode="External"/><Relationship Id="rId11" Type="http://schemas.openxmlformats.org/officeDocument/2006/relationships/hyperlink" Target="https://us3.assetplanner.com/service_request?ID=097762" TargetMode="External"/><Relationship Id="rId5" Type="http://schemas.openxmlformats.org/officeDocument/2006/relationships/hyperlink" Target="https://us3.assetplanner.com/service_request?ID=095528" TargetMode="External"/><Relationship Id="rId10" Type="http://schemas.openxmlformats.org/officeDocument/2006/relationships/hyperlink" Target="https://us3.assetplanner.com/service_request?ID=094909" TargetMode="External"/><Relationship Id="rId4" Type="http://schemas.openxmlformats.org/officeDocument/2006/relationships/hyperlink" Target="https://us3.assetplanner.com/service_request?ID=096470" TargetMode="External"/><Relationship Id="rId9" Type="http://schemas.openxmlformats.org/officeDocument/2006/relationships/hyperlink" Target="https://us3.assetplanner.com/service_request?ID=096191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5596" TargetMode="External"/><Relationship Id="rId2" Type="http://schemas.openxmlformats.org/officeDocument/2006/relationships/hyperlink" Target="https://us3.assetplanner.com/service_request?ID=095528" TargetMode="External"/><Relationship Id="rId1" Type="http://schemas.openxmlformats.org/officeDocument/2006/relationships/hyperlink" Target="https://us3.assetplanner.com/service_request?ID=091352" TargetMode="External"/><Relationship Id="rId4" Type="http://schemas.openxmlformats.org/officeDocument/2006/relationships/hyperlink" Target="https://us3.assetplanner.com/service_request?ID=096627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5596" TargetMode="External"/><Relationship Id="rId2" Type="http://schemas.openxmlformats.org/officeDocument/2006/relationships/hyperlink" Target="https://us3.assetplanner.com/service_request?ID=099807" TargetMode="External"/><Relationship Id="rId1" Type="http://schemas.openxmlformats.org/officeDocument/2006/relationships/hyperlink" Target="https://us3.assetplanner.com/service_request?ID=091352" TargetMode="External"/><Relationship Id="rId5" Type="http://schemas.openxmlformats.org/officeDocument/2006/relationships/hyperlink" Target="https://us3.assetplanner.com/service_request?ID=097762" TargetMode="External"/><Relationship Id="rId4" Type="http://schemas.openxmlformats.org/officeDocument/2006/relationships/hyperlink" Target="https://us3.assetplanner.com/service_request?ID=101279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9807" TargetMode="External"/><Relationship Id="rId3" Type="http://schemas.openxmlformats.org/officeDocument/2006/relationships/hyperlink" Target="https://us3.assetplanner.com/service_request?ID=101905" TargetMode="External"/><Relationship Id="rId7" Type="http://schemas.openxmlformats.org/officeDocument/2006/relationships/hyperlink" Target="https://us3.assetplanner.com/service_request?ID=101846" TargetMode="External"/><Relationship Id="rId12" Type="http://schemas.openxmlformats.org/officeDocument/2006/relationships/hyperlink" Target="https://us3.assetplanner.com/service_request?ID=097762" TargetMode="External"/><Relationship Id="rId2" Type="http://schemas.openxmlformats.org/officeDocument/2006/relationships/hyperlink" Target="https://us3.assetplanner.com/service_request?ID=101905" TargetMode="External"/><Relationship Id="rId1" Type="http://schemas.openxmlformats.org/officeDocument/2006/relationships/hyperlink" Target="https://us3.assetplanner.com/service_request?ID=101589" TargetMode="External"/><Relationship Id="rId6" Type="http://schemas.openxmlformats.org/officeDocument/2006/relationships/hyperlink" Target="https://us3.assetplanner.com/service_request?ID=102088" TargetMode="External"/><Relationship Id="rId11" Type="http://schemas.openxmlformats.org/officeDocument/2006/relationships/hyperlink" Target="https://us3.assetplanner.com/service_request?ID=101279" TargetMode="External"/><Relationship Id="rId5" Type="http://schemas.openxmlformats.org/officeDocument/2006/relationships/hyperlink" Target="https://us3.assetplanner.com/service_request?ID=091352" TargetMode="External"/><Relationship Id="rId10" Type="http://schemas.openxmlformats.org/officeDocument/2006/relationships/hyperlink" Target="https://us3.assetplanner.com/service_request?ID=101326" TargetMode="External"/><Relationship Id="rId4" Type="http://schemas.openxmlformats.org/officeDocument/2006/relationships/hyperlink" Target="https://us3.assetplanner.com/service_request?ID=102087" TargetMode="External"/><Relationship Id="rId9" Type="http://schemas.openxmlformats.org/officeDocument/2006/relationships/hyperlink" Target="https://us3.assetplanner.com/service_request?ID=095596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2088" TargetMode="External"/><Relationship Id="rId7" Type="http://schemas.openxmlformats.org/officeDocument/2006/relationships/hyperlink" Target="https://us3.assetplanner.com/service_request?ID=103670" TargetMode="External"/><Relationship Id="rId2" Type="http://schemas.openxmlformats.org/officeDocument/2006/relationships/hyperlink" Target="https://us3.assetplanner.com/service_request?ID=102087" TargetMode="External"/><Relationship Id="rId1" Type="http://schemas.openxmlformats.org/officeDocument/2006/relationships/hyperlink" Target="https://us3.assetplanner.com/service_request?ID=101589" TargetMode="External"/><Relationship Id="rId6" Type="http://schemas.openxmlformats.org/officeDocument/2006/relationships/hyperlink" Target="https://us3.assetplanner.com/service_request?ID=103077" TargetMode="External"/><Relationship Id="rId5" Type="http://schemas.openxmlformats.org/officeDocument/2006/relationships/hyperlink" Target="https://us3.assetplanner.com/service_request?ID=102639" TargetMode="External"/><Relationship Id="rId4" Type="http://schemas.openxmlformats.org/officeDocument/2006/relationships/hyperlink" Target="https://us3.assetplanner.com/service_request?ID=101846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3077" TargetMode="External"/><Relationship Id="rId3" Type="http://schemas.openxmlformats.org/officeDocument/2006/relationships/hyperlink" Target="https://us3.assetplanner.com/service_request?ID=102087" TargetMode="External"/><Relationship Id="rId7" Type="http://schemas.openxmlformats.org/officeDocument/2006/relationships/hyperlink" Target="https://us3.assetplanner.com/service_request?ID=102639" TargetMode="External"/><Relationship Id="rId2" Type="http://schemas.openxmlformats.org/officeDocument/2006/relationships/hyperlink" Target="https://us3.assetplanner.com/service_request?ID=104091" TargetMode="External"/><Relationship Id="rId1" Type="http://schemas.openxmlformats.org/officeDocument/2006/relationships/hyperlink" Target="https://us3.assetplanner.com/service_request?ID=101589" TargetMode="External"/><Relationship Id="rId6" Type="http://schemas.openxmlformats.org/officeDocument/2006/relationships/hyperlink" Target="https://us3.assetplanner.com/service_request?ID=099807" TargetMode="External"/><Relationship Id="rId5" Type="http://schemas.openxmlformats.org/officeDocument/2006/relationships/hyperlink" Target="https://us3.assetplanner.com/service_request?ID=101846" TargetMode="External"/><Relationship Id="rId10" Type="http://schemas.openxmlformats.org/officeDocument/2006/relationships/hyperlink" Target="https://us3.assetplanner.com/service_request?ID=104706" TargetMode="External"/><Relationship Id="rId4" Type="http://schemas.openxmlformats.org/officeDocument/2006/relationships/hyperlink" Target="https://us3.assetplanner.com/service_request?ID=102088" TargetMode="External"/><Relationship Id="rId9" Type="http://schemas.openxmlformats.org/officeDocument/2006/relationships/hyperlink" Target="https://us3.assetplanner.com/service_request?ID=103670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2087" TargetMode="External"/><Relationship Id="rId7" Type="http://schemas.openxmlformats.org/officeDocument/2006/relationships/hyperlink" Target="https://us3.assetplanner.com/service_request?ID=104706" TargetMode="External"/><Relationship Id="rId2" Type="http://schemas.openxmlformats.org/officeDocument/2006/relationships/hyperlink" Target="https://us3.assetplanner.com/service_request?ID=104091" TargetMode="External"/><Relationship Id="rId1" Type="http://schemas.openxmlformats.org/officeDocument/2006/relationships/hyperlink" Target="https://us3.assetplanner.com/service_request?ID=101589" TargetMode="External"/><Relationship Id="rId6" Type="http://schemas.openxmlformats.org/officeDocument/2006/relationships/hyperlink" Target="https://us3.assetplanner.com/service_request?ID=102639" TargetMode="External"/><Relationship Id="rId5" Type="http://schemas.openxmlformats.org/officeDocument/2006/relationships/hyperlink" Target="https://us3.assetplanner.com/service_request?ID=106651" TargetMode="External"/><Relationship Id="rId4" Type="http://schemas.openxmlformats.org/officeDocument/2006/relationships/hyperlink" Target="https://us3.assetplanner.com/service_request?ID=102088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2088" TargetMode="External"/><Relationship Id="rId2" Type="http://schemas.openxmlformats.org/officeDocument/2006/relationships/hyperlink" Target="https://us3.assetplanner.com/service_request?ID=102087" TargetMode="External"/><Relationship Id="rId1" Type="http://schemas.openxmlformats.org/officeDocument/2006/relationships/hyperlink" Target="https://us3.assetplanner.com/service_request?ID=101589" TargetMode="External"/><Relationship Id="rId4" Type="http://schemas.openxmlformats.org/officeDocument/2006/relationships/hyperlink" Target="https://us3.assetplanner.com/service_request?ID=106651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2088" TargetMode="External"/><Relationship Id="rId2" Type="http://schemas.openxmlformats.org/officeDocument/2006/relationships/hyperlink" Target="https://us3.assetplanner.com/service_request?ID=102087" TargetMode="External"/><Relationship Id="rId1" Type="http://schemas.openxmlformats.org/officeDocument/2006/relationships/hyperlink" Target="https://us3.assetplanner.com/service_request?ID=101589" TargetMode="External"/><Relationship Id="rId4" Type="http://schemas.openxmlformats.org/officeDocument/2006/relationships/hyperlink" Target="https://us3.assetplanner.com/service_request?ID=106651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us3.assetplanner.com/service_request?ID=102087" TargetMode="External"/><Relationship Id="rId1" Type="http://schemas.openxmlformats.org/officeDocument/2006/relationships/hyperlink" Target="https://us3.assetplanner.com/service_request?ID=109951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2"/>
  <sheetViews>
    <sheetView workbookViewId="0">
      <pane xSplit="2" ySplit="3" topLeftCell="C24" activePane="bottomRight" state="frozen"/>
      <selection pane="topRight"/>
      <selection pane="bottomLeft"/>
      <selection pane="bottomRight" activeCell="M13" sqref="M13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89" t="str" cm="1">
        <f t="array" ref="A1">portfolio</f>
        <v>Cushman &amp; Wakefield</v>
      </c>
      <c r="B1" s="89"/>
      <c r="C1" s="89"/>
      <c r="D1" s="90" t="s">
        <v>0</v>
      </c>
      <c r="E1" s="90"/>
      <c r="F1" s="90"/>
      <c r="G1" s="88" t="s">
        <v>1</v>
      </c>
      <c r="H1" s="88"/>
      <c r="I1" s="88"/>
    </row>
    <row r="2" spans="1:9" ht="19.5" customHeight="1" x14ac:dyDescent="0.25">
      <c r="A2" s="91" t="s">
        <v>2</v>
      </c>
      <c r="B2" s="91"/>
      <c r="C2" s="5">
        <f>SUM(C4:C100)</f>
        <v>552043.83000000007</v>
      </c>
      <c r="D2" s="5">
        <f>SUM(D4:D100)</f>
        <v>0</v>
      </c>
      <c r="E2" s="5">
        <f>C2-D2</f>
        <v>552043.83000000007</v>
      </c>
      <c r="F2" s="6">
        <f>IFERROR(E2/D2, 0)</f>
        <v>0</v>
      </c>
      <c r="G2" s="5">
        <f>SUM(G4:G100)</f>
        <v>0</v>
      </c>
      <c r="H2" s="7">
        <f>C2-G2</f>
        <v>552043.83000000007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 x14ac:dyDescent="0.25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SUM('1st Qtr'!C4, '2nd Qtr'!C4, '3rd Qtr'!C4, '4th Qtr'!C4)</f>
        <v>0</v>
      </c>
      <c r="D4" s="13">
        <f>SUM('1st Qtr'!D4, '2nd Qtr'!D4, '3rd Qtr'!D4, '4th Qtr'!D4)</f>
        <v>0</v>
      </c>
      <c r="E4" s="13">
        <f>IF(AND(ISNUMBER(C4),ISNUMBER(D4)), C4-D4, "")</f>
        <v>0</v>
      </c>
      <c r="F4" s="14" t="str">
        <f>IFERROR(E4/D4, "")</f>
        <v/>
      </c>
      <c r="G4" s="15">
        <f>SUM('1st Qtr'!G4, '2nd Qtr'!G4, '3rd Qtr'!G4, '4th Qtr'!G4)</f>
        <v>0</v>
      </c>
      <c r="H4" s="15">
        <f>SUM('1st Qtr'!H4, '2nd Qtr'!H4, '3rd Qtr'!H4, '4th Qtr'!H4)</f>
        <v>0</v>
      </c>
      <c r="I4" s="16" t="str">
        <f>IFERROR(H4/G4, "")</f>
        <v/>
      </c>
    </row>
    <row r="5" spans="1:9" ht="15.6" x14ac:dyDescent="0.25">
      <c r="A5" s="17" t="str">
        <v xml:space="preserve"> Apple Valley - Bank of America</v>
      </c>
      <c r="B5" s="10" t="str">
        <v>CA</v>
      </c>
      <c r="C5" s="18">
        <f>SUM('1st Qtr'!C5, '2nd Qtr'!C5, '3rd Qtr'!C5, '4th Qtr'!C5)</f>
        <v>0</v>
      </c>
      <c r="D5" s="18">
        <f>SUM(Jan!D5, Feb!D5, Mar!D5)</f>
        <v>0</v>
      </c>
      <c r="E5" s="18">
        <f t="shared" ref="E5:E13" si="0">IF(AND(ISNUMBER(C5),ISNUMBER(D5)), C5-D5, "")</f>
        <v>0</v>
      </c>
      <c r="F5" s="19" t="str">
        <f>IFERROR(E5/D5, "")</f>
        <v/>
      </c>
      <c r="G5" s="20">
        <f>SUM('1st Qtr'!G4, '2nd Qtr'!G4, '3rd Qtr'!G4, '4th Qtr'!G4)</f>
        <v>0</v>
      </c>
      <c r="H5" s="20">
        <f>SUM(Jan!H5, Feb!H5, Mar!H5)</f>
        <v>0</v>
      </c>
      <c r="I5" s="19" t="str">
        <f>IFERROR(H5/G5, "")</f>
        <v/>
      </c>
    </row>
    <row r="6" spans="1:9" ht="15.6" x14ac:dyDescent="0.25">
      <c r="A6" s="12" t="str">
        <v xml:space="preserve"> Arvin - Bank of America</v>
      </c>
      <c r="B6" s="9" t="str">
        <v>CA</v>
      </c>
      <c r="C6" s="24">
        <f>SUM('1st Qtr'!C6, '2nd Qtr'!C6, '3rd Qtr'!C6, '4th Qtr'!C6)</f>
        <v>1005.1389999999999</v>
      </c>
      <c r="D6" s="13">
        <f>SUM(Jan!D6, Feb!D6, Mar!D6)</f>
        <v>0</v>
      </c>
      <c r="E6" s="13">
        <f t="shared" si="0"/>
        <v>1005.1389999999999</v>
      </c>
      <c r="F6" s="14" t="str">
        <f t="shared" ref="F6:F13" si="1">IFERROR(E6/D6, "")</f>
        <v/>
      </c>
      <c r="G6" s="15">
        <f>SUM('1st Qtr'!G6, '2nd Qtr'!G6, '3rd Qtr'!G6, '4th Qtr'!G6)</f>
        <v>0</v>
      </c>
      <c r="H6" s="15">
        <f>SUM(Jan!H6, Feb!H6, Mar!H6)</f>
        <v>0</v>
      </c>
      <c r="I6" s="16" t="str">
        <f t="shared" ref="I6:I13" si="2">IFERROR(H6/G6, "")</f>
        <v/>
      </c>
    </row>
    <row r="7" spans="1:9" ht="15.6" x14ac:dyDescent="0.25">
      <c r="A7" s="17" t="str">
        <v xml:space="preserve"> Bell - Bank of America</v>
      </c>
      <c r="B7" s="10" t="str">
        <v>CA</v>
      </c>
      <c r="C7" s="18">
        <f>SUM('1st Qtr'!C7, '2nd Qtr'!C7, '3rd Qtr'!C7, '4th Qtr'!C7)</f>
        <v>21830.531999999999</v>
      </c>
      <c r="D7" s="18">
        <f>SUM(Jan!D7, Feb!D7, Mar!D7)</f>
        <v>0</v>
      </c>
      <c r="E7" s="18">
        <f t="shared" si="0"/>
        <v>21830.531999999999</v>
      </c>
      <c r="F7" s="19" t="str">
        <f t="shared" si="1"/>
        <v/>
      </c>
      <c r="G7" s="20">
        <f>SUM('1st Qtr'!G6, '2nd Qtr'!G6, '3rd Qtr'!G6, '4th Qtr'!G6)</f>
        <v>0</v>
      </c>
      <c r="H7" s="20">
        <f>SUM(Jan!H7, Feb!H7, Mar!H7)</f>
        <v>0</v>
      </c>
      <c r="I7" s="19" t="str">
        <f t="shared" si="2"/>
        <v/>
      </c>
    </row>
    <row r="8" spans="1:9" ht="15.6" x14ac:dyDescent="0.25">
      <c r="A8" s="12" t="str">
        <v xml:space="preserve"> Chula Vista - Bank of America</v>
      </c>
      <c r="B8" s="9" t="str">
        <v>CA</v>
      </c>
      <c r="C8" s="24">
        <f>SUM('1st Qtr'!C8, '2nd Qtr'!C8, '3rd Qtr'!C8, '4th Qtr'!C8)</f>
        <v>13078.738000000001</v>
      </c>
      <c r="D8" s="13">
        <f>SUM(Jan!D8, Feb!D8, Mar!D8)</f>
        <v>0</v>
      </c>
      <c r="E8" s="13">
        <f t="shared" si="0"/>
        <v>13078.738000000001</v>
      </c>
      <c r="F8" s="14" t="str">
        <f t="shared" si="1"/>
        <v/>
      </c>
      <c r="G8" s="15">
        <f>SUM('1st Qtr'!G8, '2nd Qtr'!G8, '3rd Qtr'!G8, '4th Qtr'!G8)</f>
        <v>0</v>
      </c>
      <c r="H8" s="15">
        <f>SUM(Jan!H8, Feb!H8, Mar!H8)</f>
        <v>0</v>
      </c>
      <c r="I8" s="16" t="str">
        <f t="shared" si="2"/>
        <v/>
      </c>
    </row>
    <row r="9" spans="1:9" ht="15.6" x14ac:dyDescent="0.25">
      <c r="A9" s="17" t="str">
        <v xml:space="preserve"> Cupertino - Bank of America</v>
      </c>
      <c r="B9" s="10" t="str">
        <v>CA</v>
      </c>
      <c r="C9" s="18">
        <f>SUM('1st Qtr'!C9, '2nd Qtr'!C9, '3rd Qtr'!C9, '4th Qtr'!C9)</f>
        <v>16644.072</v>
      </c>
      <c r="D9" s="18">
        <f>SUM(Jan!D9, Feb!D9, Mar!D9)</f>
        <v>0</v>
      </c>
      <c r="E9" s="18">
        <f t="shared" si="0"/>
        <v>16644.072</v>
      </c>
      <c r="F9" s="19" t="str">
        <f t="shared" si="1"/>
        <v/>
      </c>
      <c r="G9" s="20">
        <f>SUM('1st Qtr'!G8, '2nd Qtr'!G8, '3rd Qtr'!G8, '4th Qtr'!G8)</f>
        <v>0</v>
      </c>
      <c r="H9" s="20">
        <f>SUM(Jan!H9, Feb!H9, Mar!H9)</f>
        <v>0</v>
      </c>
      <c r="I9" s="19" t="str">
        <f t="shared" si="2"/>
        <v/>
      </c>
    </row>
    <row r="10" spans="1:9" ht="15.6" x14ac:dyDescent="0.25">
      <c r="A10" s="12" t="str">
        <v xml:space="preserve"> Diamond Bar - Bank of America</v>
      </c>
      <c r="B10" s="9" t="str">
        <v>CA</v>
      </c>
      <c r="C10" s="24">
        <f>SUM('1st Qtr'!C10, '2nd Qtr'!C10, '3rd Qtr'!C10, '4th Qtr'!C10)</f>
        <v>29084.788</v>
      </c>
      <c r="D10" s="13">
        <f>SUM(Jan!D10, Feb!D10, Mar!D10)</f>
        <v>0</v>
      </c>
      <c r="E10" s="13">
        <f t="shared" si="0"/>
        <v>29084.788</v>
      </c>
      <c r="F10" s="14" t="str">
        <f t="shared" si="1"/>
        <v/>
      </c>
      <c r="G10" s="15">
        <f>SUM('1st Qtr'!G10, '2nd Qtr'!G10, '3rd Qtr'!G10, '4th Qtr'!G10)</f>
        <v>0</v>
      </c>
      <c r="H10" s="15">
        <f>SUM(Jan!H10, Feb!H10, Mar!H10)</f>
        <v>0</v>
      </c>
      <c r="I10" s="16" t="str">
        <f t="shared" si="2"/>
        <v/>
      </c>
    </row>
    <row r="11" spans="1:9" ht="15.6" x14ac:dyDescent="0.25">
      <c r="A11" s="17" t="str">
        <v xml:space="preserve"> El Centro - Bank of America</v>
      </c>
      <c r="B11" s="10" t="str">
        <v>CA</v>
      </c>
      <c r="C11" s="18">
        <f>SUM('1st Qtr'!C11, '2nd Qtr'!C11, '3rd Qtr'!C11, '4th Qtr'!C11)</f>
        <v>28351.521000000001</v>
      </c>
      <c r="D11" s="18">
        <f>SUM(Jan!D11, Feb!D11, Mar!D11)</f>
        <v>0</v>
      </c>
      <c r="E11" s="18">
        <f t="shared" si="0"/>
        <v>28351.521000000001</v>
      </c>
      <c r="F11" s="19" t="str">
        <f t="shared" si="1"/>
        <v/>
      </c>
      <c r="G11" s="20">
        <f>SUM('1st Qtr'!G10, '2nd Qtr'!G10, '3rd Qtr'!G10, '4th Qtr'!G10)</f>
        <v>0</v>
      </c>
      <c r="H11" s="20">
        <f>SUM(Jan!H11, Feb!H11, Mar!H11)</f>
        <v>0</v>
      </c>
      <c r="I11" s="19" t="str">
        <f t="shared" si="2"/>
        <v/>
      </c>
    </row>
    <row r="12" spans="1:9" ht="15.6" x14ac:dyDescent="0.25">
      <c r="A12" s="12" t="str">
        <v xml:space="preserve"> Moreno Valley - Bank of America</v>
      </c>
      <c r="B12" s="9" t="str">
        <v>CA</v>
      </c>
      <c r="C12" s="24">
        <f>SUM('1st Qtr'!C12, '2nd Qtr'!C12, '3rd Qtr'!C12, '4th Qtr'!C12)</f>
        <v>45039.661</v>
      </c>
      <c r="D12" s="13">
        <f>SUM(Jan!D12, Feb!D12, Mar!D12)</f>
        <v>0</v>
      </c>
      <c r="E12" s="13">
        <f t="shared" si="0"/>
        <v>45039.661</v>
      </c>
      <c r="F12" s="14" t="str">
        <f t="shared" si="1"/>
        <v/>
      </c>
      <c r="G12" s="15">
        <f>SUM('1st Qtr'!G12, '2nd Qtr'!G12, '3rd Qtr'!G12, '4th Qtr'!G12)</f>
        <v>0</v>
      </c>
      <c r="H12" s="15">
        <f>SUM(Jan!H12, Feb!H12, Mar!H12)</f>
        <v>0</v>
      </c>
      <c r="I12" s="16" t="str">
        <f t="shared" si="2"/>
        <v/>
      </c>
    </row>
    <row r="13" spans="1:9" ht="15.6" x14ac:dyDescent="0.25">
      <c r="A13" s="17" t="str">
        <v xml:space="preserve"> Redlands - Bank of America</v>
      </c>
      <c r="B13" s="10" t="str">
        <v>CA</v>
      </c>
      <c r="C13" s="18">
        <f>SUM('1st Qtr'!C13, '2nd Qtr'!C13, '3rd Qtr'!C13, '4th Qtr'!C13)</f>
        <v>0</v>
      </c>
      <c r="D13" s="18">
        <f>SUM(Jan!D13, Feb!D13, Mar!D13)</f>
        <v>0</v>
      </c>
      <c r="E13" s="18">
        <f t="shared" si="0"/>
        <v>0</v>
      </c>
      <c r="F13" s="19" t="str">
        <f t="shared" si="1"/>
        <v/>
      </c>
      <c r="G13" s="20">
        <f>SUM('1st Qtr'!G12, '2nd Qtr'!G12, '3rd Qtr'!G12, '4th Qtr'!G12)</f>
        <v>0</v>
      </c>
      <c r="H13" s="20">
        <f>SUM(Jan!H13, Feb!H13, Mar!H13)</f>
        <v>0</v>
      </c>
      <c r="I13" s="19" t="str">
        <f t="shared" si="2"/>
        <v/>
      </c>
    </row>
    <row r="14" spans="1:9" ht="15.6" x14ac:dyDescent="0.25">
      <c r="A14" s="12" t="str">
        <v xml:space="preserve"> Roseville - Bank of America</v>
      </c>
      <c r="B14" s="9" t="str">
        <v>CA</v>
      </c>
      <c r="C14" s="24">
        <f>SUM('1st Qtr'!C14, '2nd Qtr'!C14, '3rd Qtr'!C14, '4th Qtr'!C14)</f>
        <v>65427.226999999999</v>
      </c>
      <c r="D14" s="13">
        <f>SUM(Jan!D14, Feb!D14, Mar!D14)</f>
        <v>0</v>
      </c>
      <c r="E14" s="13">
        <f>IF(AND(ISNUMBER(C14),ISNUMBER(D14)), C14-D14, "")</f>
        <v>65427.226999999999</v>
      </c>
      <c r="F14" s="14" t="str">
        <f>IFERROR(E14/D14, "")</f>
        <v/>
      </c>
      <c r="G14" s="15">
        <f>SUM('1st Qtr'!G14, '2nd Qtr'!G14, '3rd Qtr'!G14, '4th Qtr'!G14)</f>
        <v>0</v>
      </c>
      <c r="H14" s="15">
        <f>SUM(Jan!H14, Feb!H14, Mar!H14)</f>
        <v>0</v>
      </c>
      <c r="I14" s="16" t="str">
        <f>IFERROR(H14/G14, "")</f>
        <v/>
      </c>
    </row>
    <row r="15" spans="1:9" ht="15.6" x14ac:dyDescent="0.25">
      <c r="A15" s="17" t="str">
        <v xml:space="preserve"> San Bernardino - Bank of America</v>
      </c>
      <c r="B15" s="10" t="str">
        <v>CA</v>
      </c>
      <c r="C15" s="18">
        <f>SUM('1st Qtr'!C15, '2nd Qtr'!C15, '3rd Qtr'!C15, '4th Qtr'!C15)</f>
        <v>788.10100000000011</v>
      </c>
      <c r="D15" s="18">
        <f>SUM(Jan!D15, Feb!D15, Mar!D15)</f>
        <v>0</v>
      </c>
      <c r="E15" s="18">
        <f>IF(AND(ISNUMBER(C15),ISNUMBER(D15)), C15-D15, "")</f>
        <v>788.10100000000011</v>
      </c>
      <c r="F15" s="19" t="str">
        <f>IFERROR(E15/D15, "")</f>
        <v/>
      </c>
      <c r="G15" s="20">
        <f>SUM('1st Qtr'!G14, '2nd Qtr'!G14, '3rd Qtr'!G14, '4th Qtr'!G14)</f>
        <v>0</v>
      </c>
      <c r="H15" s="20">
        <f>SUM(Jan!H15, Feb!H15, Mar!H15)</f>
        <v>0</v>
      </c>
      <c r="I15" s="19" t="str">
        <f>IFERROR(H15/G15, "")</f>
        <v/>
      </c>
    </row>
    <row r="16" spans="1:9" ht="15.6" x14ac:dyDescent="0.25">
      <c r="A16" s="12" t="str">
        <v xml:space="preserve"> San Diego - Bank of America</v>
      </c>
      <c r="B16" s="9" t="str">
        <v>CA</v>
      </c>
      <c r="C16" s="24">
        <f>SUM('1st Qtr'!C16, '2nd Qtr'!C16, '3rd Qtr'!C16, '4th Qtr'!C16)</f>
        <v>965.76900000000012</v>
      </c>
      <c r="D16" s="13">
        <f>SUM(Jan!D16, Feb!D16, Mar!D16)</f>
        <v>0</v>
      </c>
      <c r="E16" s="13">
        <f t="shared" ref="E16:E17" si="3">IF(AND(ISNUMBER(C16),ISNUMBER(D16)), C16-D16, "")</f>
        <v>965.76900000000012</v>
      </c>
      <c r="F16" s="14" t="str">
        <f t="shared" ref="F16:F17" si="4">IFERROR(E16/D16, "")</f>
        <v/>
      </c>
      <c r="G16" s="15">
        <f>SUM('1st Qtr'!G16, '2nd Qtr'!G16, '3rd Qtr'!G16, '4th Qtr'!G16)</f>
        <v>0</v>
      </c>
      <c r="H16" s="15">
        <f>SUM(Jan!H16, Feb!H16, Mar!H16)</f>
        <v>0</v>
      </c>
      <c r="I16" s="16" t="str">
        <f t="shared" ref="I16:I17" si="5">IFERROR(H16/G16, "")</f>
        <v/>
      </c>
    </row>
    <row r="17" spans="1:9" ht="15.6" x14ac:dyDescent="0.25">
      <c r="A17" s="17" t="str">
        <v xml:space="preserve"> Stockton - Bank of America</v>
      </c>
      <c r="B17" s="10" t="str">
        <v>CA</v>
      </c>
      <c r="C17" s="18">
        <f>SUM('1st Qtr'!C17, '2nd Qtr'!C17, '3rd Qtr'!C17, '4th Qtr'!C17)</f>
        <v>16096.231</v>
      </c>
      <c r="D17" s="18">
        <f>SUM(Jan!D17, Feb!D17, Mar!D17)</f>
        <v>0</v>
      </c>
      <c r="E17" s="18">
        <f t="shared" si="3"/>
        <v>16096.231</v>
      </c>
      <c r="F17" s="19" t="str">
        <f t="shared" si="4"/>
        <v/>
      </c>
      <c r="G17" s="20">
        <f>SUM('1st Qtr'!G16, '2nd Qtr'!G16, '3rd Qtr'!G16, '4th Qtr'!G16)</f>
        <v>0</v>
      </c>
      <c r="H17" s="20">
        <f>SUM(Jan!H17, Feb!H17, Mar!H17)</f>
        <v>0</v>
      </c>
      <c r="I17" s="19" t="str">
        <f t="shared" si="5"/>
        <v/>
      </c>
    </row>
    <row r="18" spans="1:9" ht="12.75" customHeight="1" x14ac:dyDescent="0.25">
      <c r="A18" s="12" t="str">
        <v xml:space="preserve"> Victorville - Bank of America</v>
      </c>
      <c r="B18" s="9" t="str">
        <v>CA</v>
      </c>
      <c r="C18" s="24">
        <f>SUM('1st Qtr'!C18, '2nd Qtr'!C18, '3rd Qtr'!C18, '4th Qtr'!C18)</f>
        <v>0</v>
      </c>
      <c r="D18" s="13">
        <f>SUM(Jan!D18, Feb!D18, Mar!D18)</f>
        <v>0</v>
      </c>
      <c r="E18" s="13">
        <f t="shared" ref="E18:E38" si="6">IF(AND(ISNUMBER(C18),ISNUMBER(D18)), C18-D18, "")</f>
        <v>0</v>
      </c>
      <c r="F18" s="14" t="str">
        <f t="shared" ref="F18:F38" si="7">IFERROR(E18/D18, "")</f>
        <v/>
      </c>
      <c r="G18" s="15">
        <f>SUM('1st Qtr'!G18, '2nd Qtr'!G18, '3rd Qtr'!G18, '4th Qtr'!G18)</f>
        <v>0</v>
      </c>
      <c r="H18" s="15">
        <f>SUM(Jan!H18, Feb!H18, Mar!H18)</f>
        <v>0</v>
      </c>
      <c r="I18" s="16" t="str">
        <f t="shared" ref="I18:I38" si="8">IFERROR(H18/G18, "")</f>
        <v/>
      </c>
    </row>
    <row r="19" spans="1:9" ht="15.6" x14ac:dyDescent="0.25">
      <c r="A19" s="17" t="str">
        <v xml:space="preserve"> Aurora - BA - Colfax Ave</v>
      </c>
      <c r="B19" s="10" t="str">
        <v>CO</v>
      </c>
      <c r="C19" s="18">
        <f>SUM('1st Qtr'!C19, '2nd Qtr'!C19, '3rd Qtr'!C19, '4th Qtr'!C19)</f>
        <v>16574.842999999997</v>
      </c>
      <c r="D19" s="18">
        <f>SUM(Jan!D19, Feb!D19, Mar!D19)</f>
        <v>0</v>
      </c>
      <c r="E19" s="18">
        <f t="shared" si="6"/>
        <v>16574.842999999997</v>
      </c>
      <c r="F19" s="19" t="str">
        <f t="shared" si="7"/>
        <v/>
      </c>
      <c r="G19" s="20">
        <f>SUM('1st Qtr'!G18, '2nd Qtr'!G18, '3rd Qtr'!G18, '4th Qtr'!G18)</f>
        <v>0</v>
      </c>
      <c r="H19" s="20">
        <f>SUM(Jan!H19, Feb!H19, Mar!H19)</f>
        <v>0</v>
      </c>
      <c r="I19" s="19" t="str">
        <f t="shared" si="8"/>
        <v/>
      </c>
    </row>
    <row r="20" spans="1:9" ht="15.6" x14ac:dyDescent="0.25">
      <c r="A20" s="12" t="str">
        <v xml:space="preserve"> Aurora - BA - Parker Rd</v>
      </c>
      <c r="B20" s="9" t="str">
        <v>CO</v>
      </c>
      <c r="C20" s="24">
        <f>SUM('1st Qtr'!C20, '2nd Qtr'!C20, '3rd Qtr'!C20, '4th Qtr'!C20)</f>
        <v>25470.587</v>
      </c>
      <c r="D20" s="13">
        <f>SUM(Jan!D20, Feb!D20, Mar!D20)</f>
        <v>0</v>
      </c>
      <c r="E20" s="13">
        <f t="shared" si="6"/>
        <v>25470.587</v>
      </c>
      <c r="F20" s="14" t="str">
        <f t="shared" si="7"/>
        <v/>
      </c>
      <c r="G20" s="15">
        <f>SUM('1st Qtr'!G20, '2nd Qtr'!G20, '3rd Qtr'!G20, '4th Qtr'!G20)</f>
        <v>0</v>
      </c>
      <c r="H20" s="15">
        <f>SUM(Jan!H20, Feb!H20, Mar!H20)</f>
        <v>0</v>
      </c>
      <c r="I20" s="16" t="str">
        <f t="shared" si="8"/>
        <v/>
      </c>
    </row>
    <row r="21" spans="1:9" ht="15.6" x14ac:dyDescent="0.25">
      <c r="A21" s="17" t="str">
        <v xml:space="preserve"> Broomfield - Bank of America</v>
      </c>
      <c r="B21" s="10" t="str">
        <v>CO</v>
      </c>
      <c r="C21" s="18">
        <f>SUM('1st Qtr'!C21, '2nd Qtr'!C21, '3rd Qtr'!C21, '4th Qtr'!C21)</f>
        <v>15263.197999999999</v>
      </c>
      <c r="D21" s="18">
        <f>SUM(Jan!D21, Feb!D21, Mar!D21)</f>
        <v>0</v>
      </c>
      <c r="E21" s="18">
        <f t="shared" si="6"/>
        <v>15263.197999999999</v>
      </c>
      <c r="F21" s="19" t="str">
        <f t="shared" si="7"/>
        <v/>
      </c>
      <c r="G21" s="20">
        <f>SUM('1st Qtr'!G20, '2nd Qtr'!G20, '3rd Qtr'!G20, '4th Qtr'!G20)</f>
        <v>0</v>
      </c>
      <c r="H21" s="20">
        <f>SUM(Jan!H21, Feb!H21, Mar!H21)</f>
        <v>0</v>
      </c>
      <c r="I21" s="19" t="str">
        <f t="shared" si="8"/>
        <v/>
      </c>
    </row>
    <row r="22" spans="1:9" ht="15.6" x14ac:dyDescent="0.25">
      <c r="A22" s="12" t="str">
        <v xml:space="preserve"> Colorado Springs - Bank of America</v>
      </c>
      <c r="B22" s="9" t="str">
        <v>CO</v>
      </c>
      <c r="C22" s="24">
        <f>SUM('1st Qtr'!C22, '2nd Qtr'!C22, '3rd Qtr'!C22, '4th Qtr'!C22)</f>
        <v>26500.398000000001</v>
      </c>
      <c r="D22" s="13">
        <f>SUM(Jan!D22, Feb!D22, Mar!D22)</f>
        <v>0</v>
      </c>
      <c r="E22" s="13">
        <f t="shared" si="6"/>
        <v>26500.398000000001</v>
      </c>
      <c r="F22" s="14" t="str">
        <f t="shared" si="7"/>
        <v/>
      </c>
      <c r="G22" s="15">
        <f>SUM('1st Qtr'!G22, '2nd Qtr'!G22, '3rd Qtr'!G22, '4th Qtr'!G22)</f>
        <v>0</v>
      </c>
      <c r="H22" s="15">
        <f>SUM(Jan!H22, Feb!H22, Mar!H22)</f>
        <v>0</v>
      </c>
      <c r="I22" s="16" t="str">
        <f t="shared" si="8"/>
        <v/>
      </c>
    </row>
    <row r="23" spans="1:9" ht="15.6" x14ac:dyDescent="0.25">
      <c r="A23" s="17" t="str">
        <v xml:space="preserve"> Denver - BA - 49th Ave</v>
      </c>
      <c r="B23" s="10" t="str">
        <v>CO</v>
      </c>
      <c r="C23" s="18">
        <f>SUM('1st Qtr'!C23, '2nd Qtr'!C23, '3rd Qtr'!C23, '4th Qtr'!C23)</f>
        <v>11954.797</v>
      </c>
      <c r="D23" s="18">
        <f>SUM(Jan!D23, Feb!D23, Mar!D23)</f>
        <v>0</v>
      </c>
      <c r="E23" s="18">
        <f t="shared" si="6"/>
        <v>11954.797</v>
      </c>
      <c r="F23" s="19" t="str">
        <f t="shared" si="7"/>
        <v/>
      </c>
      <c r="G23" s="20">
        <f>SUM('1st Qtr'!G22, '2nd Qtr'!G22, '3rd Qtr'!G22, '4th Qtr'!G22)</f>
        <v>0</v>
      </c>
      <c r="H23" s="20">
        <f>SUM(Jan!H23, Feb!H23, Mar!H23)</f>
        <v>0</v>
      </c>
      <c r="I23" s="19" t="str">
        <f t="shared" si="8"/>
        <v/>
      </c>
    </row>
    <row r="24" spans="1:9" ht="15.6" x14ac:dyDescent="0.25">
      <c r="A24" s="12" t="str">
        <v xml:space="preserve"> Denver - BA Wadsworth Blvd</v>
      </c>
      <c r="B24" s="9" t="str">
        <v>CO</v>
      </c>
      <c r="C24" s="24">
        <f>SUM('1st Qtr'!C24, '2nd Qtr'!C24, '3rd Qtr'!C24, '4th Qtr'!C24)</f>
        <v>22720.22</v>
      </c>
      <c r="D24" s="13">
        <f>SUM(Jan!D24, Feb!D24, Mar!D24)</f>
        <v>0</v>
      </c>
      <c r="E24" s="13">
        <f t="shared" si="6"/>
        <v>22720.22</v>
      </c>
      <c r="F24" s="14" t="str">
        <f t="shared" si="7"/>
        <v/>
      </c>
      <c r="G24" s="15">
        <f>SUM('1st Qtr'!G24, '2nd Qtr'!G24, '3rd Qtr'!G24, '4th Qtr'!G24)</f>
        <v>0</v>
      </c>
      <c r="H24" s="15">
        <f>SUM(Jan!H24, Feb!H24, Mar!H24)</f>
        <v>0</v>
      </c>
      <c r="I24" s="16" t="str">
        <f t="shared" si="8"/>
        <v/>
      </c>
    </row>
    <row r="25" spans="1:9" ht="15.6" x14ac:dyDescent="0.25">
      <c r="A25" s="17" t="str">
        <v xml:space="preserve"> Fort Collins - Bank of America</v>
      </c>
      <c r="B25" s="10" t="str">
        <v>CO</v>
      </c>
      <c r="C25" s="18">
        <f>SUM('1st Qtr'!C25, '2nd Qtr'!C25, '3rd Qtr'!C25, '4th Qtr'!C25)</f>
        <v>14992.417000000001</v>
      </c>
      <c r="D25" s="18">
        <f>SUM(Jan!D25, Feb!D25, Mar!D25)</f>
        <v>0</v>
      </c>
      <c r="E25" s="18">
        <f t="shared" si="6"/>
        <v>14992.417000000001</v>
      </c>
      <c r="F25" s="19" t="str">
        <f t="shared" si="7"/>
        <v/>
      </c>
      <c r="G25" s="20">
        <f>SUM('1st Qtr'!G24, '2nd Qtr'!G24, '3rd Qtr'!G24, '4th Qtr'!G24)</f>
        <v>0</v>
      </c>
      <c r="H25" s="20">
        <f>SUM(Jan!H25, Feb!H25, Mar!H25)</f>
        <v>0</v>
      </c>
      <c r="I25" s="19" t="str">
        <f t="shared" si="8"/>
        <v/>
      </c>
    </row>
    <row r="26" spans="1:9" ht="15.6" x14ac:dyDescent="0.25">
      <c r="A26" s="12" t="str">
        <v xml:space="preserve"> Lafayette - Bank of America</v>
      </c>
      <c r="B26" s="9" t="str">
        <v>CO</v>
      </c>
      <c r="C26" s="24">
        <f>SUM('1st Qtr'!C26, '2nd Qtr'!C26, '3rd Qtr'!C26, '4th Qtr'!C26)</f>
        <v>21475.814999999999</v>
      </c>
      <c r="D26" s="13">
        <f>SUM(Jan!D26, Feb!D26, Mar!D26)</f>
        <v>0</v>
      </c>
      <c r="E26" s="13">
        <f t="shared" si="6"/>
        <v>21475.814999999999</v>
      </c>
      <c r="F26" s="14" t="str">
        <f t="shared" si="7"/>
        <v/>
      </c>
      <c r="G26" s="15">
        <f>SUM('1st Qtr'!G26, '2nd Qtr'!G26, '3rd Qtr'!G26, '4th Qtr'!G26)</f>
        <v>0</v>
      </c>
      <c r="H26" s="15">
        <f>SUM(Jan!H26, Feb!H26, Mar!H26)</f>
        <v>0</v>
      </c>
      <c r="I26" s="16" t="str">
        <f t="shared" si="8"/>
        <v/>
      </c>
    </row>
    <row r="27" spans="1:9" ht="15.6" x14ac:dyDescent="0.25">
      <c r="A27" s="17" t="str">
        <v xml:space="preserve"> Lakewood - Bank of America</v>
      </c>
      <c r="B27" s="10" t="str">
        <v>CO</v>
      </c>
      <c r="C27" s="18">
        <f>SUM('1st Qtr'!C27, '2nd Qtr'!C27, '3rd Qtr'!C27, '4th Qtr'!C27)</f>
        <v>12079.180999999999</v>
      </c>
      <c r="D27" s="18">
        <f>SUM(Jan!D27, Feb!D27, Mar!D27)</f>
        <v>0</v>
      </c>
      <c r="E27" s="18">
        <f t="shared" si="6"/>
        <v>12079.180999999999</v>
      </c>
      <c r="F27" s="19" t="str">
        <f t="shared" si="7"/>
        <v/>
      </c>
      <c r="G27" s="20">
        <f>SUM('1st Qtr'!G26, '2nd Qtr'!G26, '3rd Qtr'!G26, '4th Qtr'!G26)</f>
        <v>0</v>
      </c>
      <c r="H27" s="20">
        <f>SUM(Jan!H27, Feb!H27, Mar!H27)</f>
        <v>0</v>
      </c>
      <c r="I27" s="19" t="str">
        <f t="shared" si="8"/>
        <v/>
      </c>
    </row>
    <row r="28" spans="1:9" ht="15.6" x14ac:dyDescent="0.25">
      <c r="A28" s="12" t="str">
        <v xml:space="preserve"> Longmont - Bank of America</v>
      </c>
      <c r="B28" s="9" t="str">
        <v>CO</v>
      </c>
      <c r="C28" s="24">
        <f>SUM('1st Qtr'!C28, '2nd Qtr'!C28, '3rd Qtr'!C28, '4th Qtr'!C28)</f>
        <v>9648.268</v>
      </c>
      <c r="D28" s="13">
        <f>SUM(Jan!D28, Feb!D28, Mar!D28)</f>
        <v>0</v>
      </c>
      <c r="E28" s="13">
        <f t="shared" si="6"/>
        <v>9648.268</v>
      </c>
      <c r="F28" s="14" t="str">
        <f t="shared" si="7"/>
        <v/>
      </c>
      <c r="G28" s="15">
        <f>SUM('1st Qtr'!G28, '2nd Qtr'!G28, '3rd Qtr'!G28, '4th Qtr'!G28)</f>
        <v>0</v>
      </c>
      <c r="H28" s="15">
        <f>SUM(Jan!H28, Feb!H28, Mar!H28)</f>
        <v>0</v>
      </c>
      <c r="I28" s="16" t="str">
        <f t="shared" si="8"/>
        <v/>
      </c>
    </row>
    <row r="29" spans="1:9" ht="15.6" x14ac:dyDescent="0.25">
      <c r="A29" s="17" t="str">
        <v xml:space="preserve"> Thornton - Bank of America</v>
      </c>
      <c r="B29" s="10" t="str">
        <v>CO</v>
      </c>
      <c r="C29" s="18">
        <f>SUM('1st Qtr'!C29, '2nd Qtr'!C29, '3rd Qtr'!C29, '4th Qtr'!C29)</f>
        <v>12971.629000000001</v>
      </c>
      <c r="D29" s="18">
        <f>SUM(Jan!D29, Feb!D29, Mar!D29)</f>
        <v>0</v>
      </c>
      <c r="E29" s="18">
        <f t="shared" si="6"/>
        <v>12971.629000000001</v>
      </c>
      <c r="F29" s="19" t="str">
        <f t="shared" si="7"/>
        <v/>
      </c>
      <c r="G29" s="20">
        <f>SUM('1st Qtr'!G28, '2nd Qtr'!G28, '3rd Qtr'!G28, '4th Qtr'!G28)</f>
        <v>0</v>
      </c>
      <c r="H29" s="20">
        <f>SUM(Jan!H29, Feb!H29, Mar!H29)</f>
        <v>0</v>
      </c>
      <c r="I29" s="19" t="str">
        <f t="shared" si="8"/>
        <v/>
      </c>
    </row>
    <row r="30" spans="1:9" ht="15.6" x14ac:dyDescent="0.25">
      <c r="A30" s="12" t="str">
        <v xml:space="preserve"> Calumet City - Bank of America</v>
      </c>
      <c r="B30" s="9" t="str">
        <v>IL</v>
      </c>
      <c r="C30" s="24">
        <f>SUM('1st Qtr'!C30, '2nd Qtr'!C30, '3rd Qtr'!C30, '4th Qtr'!C30)</f>
        <v>22956.521000000001</v>
      </c>
      <c r="D30" s="13">
        <f>SUM(Jan!D30, Feb!D30, Mar!D30)</f>
        <v>0</v>
      </c>
      <c r="E30" s="13">
        <f t="shared" si="6"/>
        <v>22956.521000000001</v>
      </c>
      <c r="F30" s="14" t="str">
        <f t="shared" si="7"/>
        <v/>
      </c>
      <c r="G30" s="15">
        <f>SUM('1st Qtr'!G30, '2nd Qtr'!G30, '3rd Qtr'!G30, '4th Qtr'!G30)</f>
        <v>0</v>
      </c>
      <c r="H30" s="15">
        <f>SUM(Jan!H30, Feb!H30, Mar!H30)</f>
        <v>0</v>
      </c>
      <c r="I30" s="16" t="str">
        <f t="shared" si="8"/>
        <v/>
      </c>
    </row>
    <row r="31" spans="1:9" ht="15.6" x14ac:dyDescent="0.25">
      <c r="A31" s="17" t="str">
        <v xml:space="preserve"> Downers Grove - Bank of America</v>
      </c>
      <c r="B31" s="10" t="str">
        <v>IL</v>
      </c>
      <c r="C31" s="18">
        <f>SUM('1st Qtr'!C31, '2nd Qtr'!C31, '3rd Qtr'!C31, '4th Qtr'!C31)</f>
        <v>25459.993000000002</v>
      </c>
      <c r="D31" s="18">
        <f>SUM(Jan!D31, Feb!D31, Mar!D31)</f>
        <v>0</v>
      </c>
      <c r="E31" s="18">
        <f t="shared" si="6"/>
        <v>25459.993000000002</v>
      </c>
      <c r="F31" s="19" t="str">
        <f t="shared" si="7"/>
        <v/>
      </c>
      <c r="G31" s="20">
        <f>SUM('1st Qtr'!G30, '2nd Qtr'!G30, '3rd Qtr'!G30, '4th Qtr'!G30)</f>
        <v>0</v>
      </c>
      <c r="H31" s="20">
        <f>SUM(Jan!H31, Feb!H31, Mar!H31)</f>
        <v>0</v>
      </c>
      <c r="I31" s="19" t="str">
        <f t="shared" si="8"/>
        <v/>
      </c>
    </row>
    <row r="32" spans="1:9" ht="15.6" x14ac:dyDescent="0.25">
      <c r="A32" s="12" t="str">
        <v xml:space="preserve"> Bloomington - Bank of America</v>
      </c>
      <c r="B32" s="9" t="str">
        <v>MN</v>
      </c>
      <c r="C32" s="24">
        <f>SUM('1st Qtr'!C32, '2nd Qtr'!C32, '3rd Qtr'!C32, '4th Qtr'!C32)</f>
        <v>9162.6830000000009</v>
      </c>
      <c r="D32" s="13">
        <f>SUM(Jan!D32, Feb!D32, Mar!D32)</f>
        <v>0</v>
      </c>
      <c r="E32" s="13">
        <f t="shared" si="6"/>
        <v>9162.6830000000009</v>
      </c>
      <c r="F32" s="14" t="str">
        <f t="shared" si="7"/>
        <v/>
      </c>
      <c r="G32" s="15">
        <f>SUM('1st Qtr'!G32, '2nd Qtr'!G32, '3rd Qtr'!G32, '4th Qtr'!G32)</f>
        <v>0</v>
      </c>
      <c r="H32" s="15">
        <f>SUM(Jan!H32, Feb!H32, Mar!H32)</f>
        <v>0</v>
      </c>
      <c r="I32" s="16" t="str">
        <f t="shared" si="8"/>
        <v/>
      </c>
    </row>
    <row r="33" spans="1:9" ht="15.6" x14ac:dyDescent="0.25">
      <c r="A33" s="17" t="str">
        <v xml:space="preserve"> Clayton - Bank of America</v>
      </c>
      <c r="B33" s="10" t="str">
        <v>MO</v>
      </c>
      <c r="C33" s="18">
        <f>SUM('1st Qtr'!C33, '2nd Qtr'!C33, '3rd Qtr'!C33, '4th Qtr'!C33)</f>
        <v>21025.511000000002</v>
      </c>
      <c r="D33" s="18">
        <f>SUM(Jan!D33, Feb!D33, Mar!D33)</f>
        <v>0</v>
      </c>
      <c r="E33" s="18">
        <f t="shared" si="6"/>
        <v>21025.511000000002</v>
      </c>
      <c r="F33" s="19" t="str">
        <f t="shared" si="7"/>
        <v/>
      </c>
      <c r="G33" s="20">
        <f>SUM('1st Qtr'!G32, '2nd Qtr'!G32, '3rd Qtr'!G32, '4th Qtr'!G32)</f>
        <v>0</v>
      </c>
      <c r="H33" s="20">
        <f>SUM(Jan!H33, Feb!H33, Mar!H33)</f>
        <v>0</v>
      </c>
      <c r="I33" s="19" t="str">
        <f t="shared" si="8"/>
        <v/>
      </c>
    </row>
    <row r="34" spans="1:9" ht="15.6" x14ac:dyDescent="0.25">
      <c r="A34" s="12" t="str">
        <v xml:space="preserve"> Manchester - Bank of America</v>
      </c>
      <c r="B34" s="9" t="str">
        <v>MO</v>
      </c>
      <c r="C34" s="24">
        <f>SUM('1st Qtr'!C34, '2nd Qtr'!C34, '3rd Qtr'!C34, '4th Qtr'!C34)</f>
        <v>16772.216</v>
      </c>
      <c r="D34" s="13">
        <f>SUM(Jan!D34, Feb!D34, Mar!D34)</f>
        <v>0</v>
      </c>
      <c r="E34" s="13">
        <f t="shared" si="6"/>
        <v>16772.216</v>
      </c>
      <c r="F34" s="14" t="str">
        <f t="shared" si="7"/>
        <v/>
      </c>
      <c r="G34" s="15">
        <f>SUM('1st Qtr'!G34, '2nd Qtr'!G34, '3rd Qtr'!G34, '4th Qtr'!G34)</f>
        <v>0</v>
      </c>
      <c r="H34" s="15">
        <f>SUM(Jan!H34, Feb!H34, Mar!H34)</f>
        <v>0</v>
      </c>
      <c r="I34" s="16" t="str">
        <f t="shared" si="8"/>
        <v/>
      </c>
    </row>
    <row r="35" spans="1:9" ht="15.6" x14ac:dyDescent="0.25">
      <c r="A35" s="17" t="str">
        <v xml:space="preserve"> Las Vegas - BA - Eastern Ave</v>
      </c>
      <c r="B35" s="10" t="str">
        <v>NV</v>
      </c>
      <c r="C35" s="18">
        <f>SUM('1st Qtr'!C35, '2nd Qtr'!C35, '3rd Qtr'!C35, '4th Qtr'!C35)</f>
        <v>508.67599999999993</v>
      </c>
      <c r="D35" s="18">
        <f>SUM(Jan!D35, Feb!D35, Mar!D35)</f>
        <v>0</v>
      </c>
      <c r="E35" s="18">
        <f t="shared" si="6"/>
        <v>508.67599999999993</v>
      </c>
      <c r="F35" s="19" t="str">
        <f t="shared" si="7"/>
        <v/>
      </c>
      <c r="G35" s="20">
        <f>SUM('1st Qtr'!G34, '2nd Qtr'!G34, '3rd Qtr'!G34, '4th Qtr'!G34)</f>
        <v>0</v>
      </c>
      <c r="H35" s="20">
        <f>SUM(Jan!H35, Feb!H35, Mar!H35)</f>
        <v>0</v>
      </c>
      <c r="I35" s="19" t="str">
        <f t="shared" si="8"/>
        <v/>
      </c>
    </row>
    <row r="36" spans="1:9" ht="15.6" x14ac:dyDescent="0.25">
      <c r="A36" s="12" t="str">
        <v xml:space="preserve"> Las Vegas - BA - Town Ctr Dr</v>
      </c>
      <c r="B36" s="9" t="str">
        <v>NV</v>
      </c>
      <c r="C36" s="24">
        <f>SUM('1st Qtr'!C36, '2nd Qtr'!C36, '3rd Qtr'!C36, '4th Qtr'!C36)</f>
        <v>0</v>
      </c>
      <c r="D36" s="13">
        <f>SUM(Jan!D36, Feb!D36, Mar!D36)</f>
        <v>0</v>
      </c>
      <c r="E36" s="13">
        <f t="shared" si="6"/>
        <v>0</v>
      </c>
      <c r="F36" s="14" t="str">
        <f t="shared" si="7"/>
        <v/>
      </c>
      <c r="G36" s="15">
        <f>SUM('1st Qtr'!G36, '2nd Qtr'!G36, '3rd Qtr'!G36, '4th Qtr'!G36)</f>
        <v>0</v>
      </c>
      <c r="H36" s="15">
        <f>SUM(Jan!H36, Feb!H36, Mar!H36)</f>
        <v>0</v>
      </c>
      <c r="I36" s="16" t="str">
        <f t="shared" si="8"/>
        <v/>
      </c>
    </row>
    <row r="37" spans="1:9" ht="15.6" x14ac:dyDescent="0.25">
      <c r="A37" s="17" t="str">
        <v xml:space="preserve"> Riverton - Bank of America</v>
      </c>
      <c r="B37" s="10" t="str">
        <v>UT</v>
      </c>
      <c r="C37" s="18">
        <f>SUM('1st Qtr'!C37, '2nd Qtr'!C37, '3rd Qtr'!C37, '4th Qtr'!C37)</f>
        <v>24708.188000000002</v>
      </c>
      <c r="D37" s="18">
        <f>SUM(Jan!D37, Feb!D37, Mar!D37)</f>
        <v>0</v>
      </c>
      <c r="E37" s="18">
        <f t="shared" si="6"/>
        <v>24708.188000000002</v>
      </c>
      <c r="F37" s="19" t="str">
        <f t="shared" si="7"/>
        <v/>
      </c>
      <c r="G37" s="20">
        <f>SUM('1st Qtr'!G36, '2nd Qtr'!G36, '3rd Qtr'!G36, '4th Qtr'!G36)</f>
        <v>0</v>
      </c>
      <c r="H37" s="20">
        <f>SUM(Jan!H37, Feb!H37, Mar!H37)</f>
        <v>0</v>
      </c>
      <c r="I37" s="19" t="str">
        <f t="shared" si="8"/>
        <v/>
      </c>
    </row>
    <row r="38" spans="1:9" ht="15.6" x14ac:dyDescent="0.25">
      <c r="A38" s="12" t="str">
        <v xml:space="preserve"> Salt Lake City - Bank of America</v>
      </c>
      <c r="B38" s="9" t="str">
        <v>UT</v>
      </c>
      <c r="C38" s="24">
        <f>SUM('1st Qtr'!C38, '2nd Qtr'!C38, '3rd Qtr'!C38, '4th Qtr'!C38)</f>
        <v>3486.91</v>
      </c>
      <c r="D38" s="13">
        <f>SUM(Jan!D38, Feb!D38, Mar!D38)</f>
        <v>0</v>
      </c>
      <c r="E38" s="13">
        <f t="shared" si="6"/>
        <v>3486.91</v>
      </c>
      <c r="F38" s="14" t="str">
        <f t="shared" si="7"/>
        <v/>
      </c>
      <c r="G38" s="15">
        <f>SUM('1st Qtr'!G38, '2nd Qtr'!G38, '3rd Qtr'!G38, '4th Qtr'!G38)</f>
        <v>0</v>
      </c>
      <c r="H38" s="15">
        <f>SUM(Jan!H38, Feb!H38, Mar!H38)</f>
        <v>0</v>
      </c>
      <c r="I38" s="16" t="str">
        <f t="shared" si="8"/>
        <v/>
      </c>
    </row>
    <row r="39" spans="1:9" ht="13.8" x14ac:dyDescent="0.3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8" x14ac:dyDescent="0.3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8" x14ac:dyDescent="0.3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8" x14ac:dyDescent="0.3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8" x14ac:dyDescent="0.3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8" x14ac:dyDescent="0.3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8" x14ac:dyDescent="0.3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8" x14ac:dyDescent="0.3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8" x14ac:dyDescent="0.3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8" x14ac:dyDescent="0.3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8" x14ac:dyDescent="0.3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8" x14ac:dyDescent="0.3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8" x14ac:dyDescent="0.3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8" x14ac:dyDescent="0.3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8" x14ac:dyDescent="0.3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8" x14ac:dyDescent="0.3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8" x14ac:dyDescent="0.3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8" x14ac:dyDescent="0.3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8" x14ac:dyDescent="0.3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8" x14ac:dyDescent="0.3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8" x14ac:dyDescent="0.3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8" x14ac:dyDescent="0.3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8" x14ac:dyDescent="0.3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8" x14ac:dyDescent="0.3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8" x14ac:dyDescent="0.3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8" x14ac:dyDescent="0.3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8" x14ac:dyDescent="0.3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8" x14ac:dyDescent="0.3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8" x14ac:dyDescent="0.3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8" x14ac:dyDescent="0.3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8" x14ac:dyDescent="0.3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8" x14ac:dyDescent="0.3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8" x14ac:dyDescent="0.3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8" x14ac:dyDescent="0.3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8" x14ac:dyDescent="0.3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8" x14ac:dyDescent="0.3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8" x14ac:dyDescent="0.3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8" x14ac:dyDescent="0.3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8" x14ac:dyDescent="0.3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8" x14ac:dyDescent="0.3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8" x14ac:dyDescent="0.3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8" x14ac:dyDescent="0.3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8" x14ac:dyDescent="0.3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8" x14ac:dyDescent="0.3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8" x14ac:dyDescent="0.3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8" x14ac:dyDescent="0.3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8" x14ac:dyDescent="0.3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8" x14ac:dyDescent="0.3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8" x14ac:dyDescent="0.3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8" x14ac:dyDescent="0.3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8" x14ac:dyDescent="0.3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8" x14ac:dyDescent="0.3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8" x14ac:dyDescent="0.3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8" x14ac:dyDescent="0.3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8" x14ac:dyDescent="0.3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8" x14ac:dyDescent="0.3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8" x14ac:dyDescent="0.3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8" x14ac:dyDescent="0.3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8" x14ac:dyDescent="0.3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8" x14ac:dyDescent="0.3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8" x14ac:dyDescent="0.3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8" x14ac:dyDescent="0.3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8" x14ac:dyDescent="0.3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8" x14ac:dyDescent="0.3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8" x14ac:dyDescent="0.3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8" x14ac:dyDescent="0.3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8" x14ac:dyDescent="0.3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8" x14ac:dyDescent="0.3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8" x14ac:dyDescent="0.3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8" x14ac:dyDescent="0.3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8" x14ac:dyDescent="0.3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8" x14ac:dyDescent="0.3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8" x14ac:dyDescent="0.3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8" x14ac:dyDescent="0.3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8" x14ac:dyDescent="0.3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8" x14ac:dyDescent="0.3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8" x14ac:dyDescent="0.3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8" x14ac:dyDescent="0.3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8" x14ac:dyDescent="0.3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8" x14ac:dyDescent="0.3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8" x14ac:dyDescent="0.3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8" x14ac:dyDescent="0.3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8" x14ac:dyDescent="0.3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8" x14ac:dyDescent="0.3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8" x14ac:dyDescent="0.3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8" x14ac:dyDescent="0.3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8" x14ac:dyDescent="0.3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8" x14ac:dyDescent="0.3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8" x14ac:dyDescent="0.3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8" x14ac:dyDescent="0.3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8" x14ac:dyDescent="0.3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8" x14ac:dyDescent="0.3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8" x14ac:dyDescent="0.3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8" x14ac:dyDescent="0.3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8" x14ac:dyDescent="0.3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8" x14ac:dyDescent="0.3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8" x14ac:dyDescent="0.3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8" x14ac:dyDescent="0.3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8" x14ac:dyDescent="0.3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8" x14ac:dyDescent="0.3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8" x14ac:dyDescent="0.3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8" x14ac:dyDescent="0.3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8" x14ac:dyDescent="0.3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8" x14ac:dyDescent="0.3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8" x14ac:dyDescent="0.3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8" x14ac:dyDescent="0.3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8" x14ac:dyDescent="0.3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8" x14ac:dyDescent="0.3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8" x14ac:dyDescent="0.3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8" x14ac:dyDescent="0.3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8" x14ac:dyDescent="0.3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8" x14ac:dyDescent="0.3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8" x14ac:dyDescent="0.3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8" x14ac:dyDescent="0.3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8" x14ac:dyDescent="0.3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8" x14ac:dyDescent="0.3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8" x14ac:dyDescent="0.3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8" x14ac:dyDescent="0.3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8" x14ac:dyDescent="0.3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8" x14ac:dyDescent="0.3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8" x14ac:dyDescent="0.3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8" x14ac:dyDescent="0.3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8" x14ac:dyDescent="0.3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8" x14ac:dyDescent="0.3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8" x14ac:dyDescent="0.3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8" x14ac:dyDescent="0.3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8" x14ac:dyDescent="0.3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8" x14ac:dyDescent="0.3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8" x14ac:dyDescent="0.3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8" x14ac:dyDescent="0.3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8" x14ac:dyDescent="0.3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8" x14ac:dyDescent="0.3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8" x14ac:dyDescent="0.3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8" x14ac:dyDescent="0.3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8" x14ac:dyDescent="0.3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8" x14ac:dyDescent="0.3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8" x14ac:dyDescent="0.3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8" x14ac:dyDescent="0.3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8" x14ac:dyDescent="0.3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8" x14ac:dyDescent="0.3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8" x14ac:dyDescent="0.3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8" x14ac:dyDescent="0.3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8" x14ac:dyDescent="0.3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8" x14ac:dyDescent="0.3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8" x14ac:dyDescent="0.3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8" x14ac:dyDescent="0.3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8" x14ac:dyDescent="0.3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8" x14ac:dyDescent="0.3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8" x14ac:dyDescent="0.3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8" x14ac:dyDescent="0.3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8" x14ac:dyDescent="0.3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8" x14ac:dyDescent="0.3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8" x14ac:dyDescent="0.3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8" x14ac:dyDescent="0.3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8" x14ac:dyDescent="0.3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8" x14ac:dyDescent="0.3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8" x14ac:dyDescent="0.3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8" x14ac:dyDescent="0.3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8" x14ac:dyDescent="0.3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8" x14ac:dyDescent="0.3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8" x14ac:dyDescent="0.3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8" x14ac:dyDescent="0.3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8" x14ac:dyDescent="0.3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8" x14ac:dyDescent="0.3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8" x14ac:dyDescent="0.3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8" x14ac:dyDescent="0.3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8" x14ac:dyDescent="0.3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8" x14ac:dyDescent="0.3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8" x14ac:dyDescent="0.3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8" x14ac:dyDescent="0.3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8" x14ac:dyDescent="0.3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8" x14ac:dyDescent="0.3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8" x14ac:dyDescent="0.3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8" x14ac:dyDescent="0.3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8" x14ac:dyDescent="0.3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8" x14ac:dyDescent="0.3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8" x14ac:dyDescent="0.3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8" x14ac:dyDescent="0.3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8" x14ac:dyDescent="0.3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8" x14ac:dyDescent="0.3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8" x14ac:dyDescent="0.3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8" x14ac:dyDescent="0.3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8" x14ac:dyDescent="0.3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8" x14ac:dyDescent="0.3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8" x14ac:dyDescent="0.3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8" x14ac:dyDescent="0.3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8" x14ac:dyDescent="0.3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8" x14ac:dyDescent="0.3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8" x14ac:dyDescent="0.3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8" x14ac:dyDescent="0.3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8" x14ac:dyDescent="0.3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8" x14ac:dyDescent="0.3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8" x14ac:dyDescent="0.3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8" x14ac:dyDescent="0.3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8" x14ac:dyDescent="0.3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8" x14ac:dyDescent="0.3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8" x14ac:dyDescent="0.3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8" x14ac:dyDescent="0.3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8" x14ac:dyDescent="0.3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8" x14ac:dyDescent="0.3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8" x14ac:dyDescent="0.3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8" x14ac:dyDescent="0.3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8" x14ac:dyDescent="0.3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8" x14ac:dyDescent="0.3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8" x14ac:dyDescent="0.3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8" x14ac:dyDescent="0.3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8" x14ac:dyDescent="0.3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8" x14ac:dyDescent="0.3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8" x14ac:dyDescent="0.3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8" x14ac:dyDescent="0.3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8" x14ac:dyDescent="0.3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8" x14ac:dyDescent="0.3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8" x14ac:dyDescent="0.3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8" x14ac:dyDescent="0.3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8" x14ac:dyDescent="0.3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8" x14ac:dyDescent="0.3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8" x14ac:dyDescent="0.3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8" x14ac:dyDescent="0.3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8" x14ac:dyDescent="0.3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8" x14ac:dyDescent="0.3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8" x14ac:dyDescent="0.3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8" x14ac:dyDescent="0.3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8" x14ac:dyDescent="0.3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8" x14ac:dyDescent="0.3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8" x14ac:dyDescent="0.3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8" x14ac:dyDescent="0.3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8" x14ac:dyDescent="0.3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8" x14ac:dyDescent="0.3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8" x14ac:dyDescent="0.3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8" x14ac:dyDescent="0.3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8" x14ac:dyDescent="0.3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8" x14ac:dyDescent="0.3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8" x14ac:dyDescent="0.3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8" x14ac:dyDescent="0.3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8" x14ac:dyDescent="0.3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8" x14ac:dyDescent="0.3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8" x14ac:dyDescent="0.3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8" x14ac:dyDescent="0.3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8" x14ac:dyDescent="0.3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8" x14ac:dyDescent="0.3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8" x14ac:dyDescent="0.3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8" x14ac:dyDescent="0.3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8" x14ac:dyDescent="0.3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8" x14ac:dyDescent="0.3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8" x14ac:dyDescent="0.3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8" x14ac:dyDescent="0.3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8" x14ac:dyDescent="0.3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8" x14ac:dyDescent="0.3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8" x14ac:dyDescent="0.3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8" x14ac:dyDescent="0.3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8" x14ac:dyDescent="0.3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8" x14ac:dyDescent="0.3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8" x14ac:dyDescent="0.3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8" x14ac:dyDescent="0.3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8" x14ac:dyDescent="0.3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8" x14ac:dyDescent="0.3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8" x14ac:dyDescent="0.3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8" x14ac:dyDescent="0.3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8" x14ac:dyDescent="0.3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8" x14ac:dyDescent="0.3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8" x14ac:dyDescent="0.3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8" x14ac:dyDescent="0.3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8" x14ac:dyDescent="0.3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8" x14ac:dyDescent="0.3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8" x14ac:dyDescent="0.3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8" x14ac:dyDescent="0.3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8" x14ac:dyDescent="0.3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8" x14ac:dyDescent="0.3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8" x14ac:dyDescent="0.3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8" x14ac:dyDescent="0.3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8" x14ac:dyDescent="0.3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8" x14ac:dyDescent="0.3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8" x14ac:dyDescent="0.3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8" x14ac:dyDescent="0.3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8" x14ac:dyDescent="0.3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8" x14ac:dyDescent="0.3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8" x14ac:dyDescent="0.3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8" x14ac:dyDescent="0.3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8" x14ac:dyDescent="0.3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8" x14ac:dyDescent="0.3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8" x14ac:dyDescent="0.3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8" x14ac:dyDescent="0.3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8" x14ac:dyDescent="0.3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8" x14ac:dyDescent="0.3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8" x14ac:dyDescent="0.3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8" x14ac:dyDescent="0.3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8" x14ac:dyDescent="0.3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8" x14ac:dyDescent="0.3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8" x14ac:dyDescent="0.3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8" x14ac:dyDescent="0.3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8" x14ac:dyDescent="0.3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8" x14ac:dyDescent="0.3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8" x14ac:dyDescent="0.3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8" x14ac:dyDescent="0.3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8" x14ac:dyDescent="0.3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8" x14ac:dyDescent="0.3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8" x14ac:dyDescent="0.3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8" x14ac:dyDescent="0.3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8" x14ac:dyDescent="0.3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8" x14ac:dyDescent="0.3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8" x14ac:dyDescent="0.3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8" x14ac:dyDescent="0.3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8" x14ac:dyDescent="0.3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8" x14ac:dyDescent="0.3">
      <c r="A342" s="21"/>
      <c r="B342" s="21"/>
      <c r="C342" s="21"/>
      <c r="D342" s="21"/>
      <c r="E342" s="21"/>
      <c r="F342" s="22"/>
      <c r="G342" s="21"/>
      <c r="H342" s="21"/>
      <c r="I342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100 I4:I100">
    <cfRule type="cellIs" dxfId="53" priority="1" stopIfTrue="1" operator="lessThanOrEqual">
      <formula>-0.1</formula>
    </cfRule>
    <cfRule type="expression" dxfId="5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2"/>
  <sheetViews>
    <sheetView workbookViewId="0">
      <pane xSplit="2" ySplit="3" topLeftCell="C4" activePane="bottomRight" state="frozen"/>
      <selection pane="topRight"/>
      <selection pane="bottomLeft"/>
      <selection pane="bottomRight" activeCell="C12" sqref="C12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89" t="str" cm="1">
        <f t="array" ref="A1">portfolio</f>
        <v>Cushman &amp; Wakefield</v>
      </c>
      <c r="B1" s="89"/>
      <c r="C1" s="89"/>
      <c r="D1" s="90" t="s">
        <v>10</v>
      </c>
      <c r="E1" s="90"/>
      <c r="F1" s="90"/>
      <c r="G1" s="88" t="s">
        <v>11</v>
      </c>
      <c r="H1" s="88"/>
      <c r="I1" s="88"/>
    </row>
    <row r="2" spans="1:9" ht="19.5" customHeight="1" x14ac:dyDescent="0.25">
      <c r="A2" s="91" t="s">
        <v>2</v>
      </c>
      <c r="B2" s="91"/>
      <c r="C2" s="5">
        <f>SUM(C4:C100)</f>
        <v>109546.9</v>
      </c>
      <c r="D2" s="5">
        <f>SUM(D4:D100)</f>
        <v>0</v>
      </c>
      <c r="E2" s="5">
        <f>C2-D2</f>
        <v>109546.9</v>
      </c>
      <c r="F2" s="6">
        <f>IFERROR(E2/D2, 0)</f>
        <v>0</v>
      </c>
      <c r="G2" s="5">
        <f>SUM(G4:G100)</f>
        <v>0</v>
      </c>
      <c r="H2" s="7">
        <f>C2-G2</f>
        <v>109546.9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 x14ac:dyDescent="0.25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SUM(Jan!C4, Feb!C4, Mar!C4)</f>
        <v>0</v>
      </c>
      <c r="D4" s="13">
        <f>SUM(Jan!D4, Feb!D4, Mar!D4)</f>
        <v>0</v>
      </c>
      <c r="E4" s="13">
        <f>IF(AND(ISNUMBER(C4),ISNUMBER(D4)), C4-D4, "")</f>
        <v>0</v>
      </c>
      <c r="F4" s="14" t="str">
        <f>IFERROR(E4/D4, "")</f>
        <v/>
      </c>
      <c r="G4" s="15">
        <f>SUM(Jan!G4, Feb!G4, Mar!G4)</f>
        <v>0</v>
      </c>
      <c r="H4" s="15">
        <f>SUM(Jan!H4, Feb!H4, Mar!H4)</f>
        <v>0</v>
      </c>
      <c r="I4" s="16" t="str">
        <f>IFERROR(H4/G4, "")</f>
        <v/>
      </c>
    </row>
    <row r="5" spans="1:9" ht="15.6" x14ac:dyDescent="0.25">
      <c r="A5" s="17" t="str">
        <v xml:space="preserve"> Apple Valley - Bank of America</v>
      </c>
      <c r="B5" s="10" t="str">
        <v>CA</v>
      </c>
      <c r="C5" s="11">
        <f>SUM(Jan!C5, Feb!C5, Mar!C5)</f>
        <v>0</v>
      </c>
      <c r="D5" s="18">
        <f>SUM(Jan!D5, Feb!D5, Mar!D5)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>
        <f>SUM(Jan!G5, Feb!G5, Mar!G5)</f>
        <v>0</v>
      </c>
      <c r="H5" s="20">
        <f>SUM(Jan!H5, Feb!H5, Mar!H5)</f>
        <v>0</v>
      </c>
      <c r="I5" s="19" t="str">
        <f>IFERROR(H5/G5, "")</f>
        <v/>
      </c>
    </row>
    <row r="6" spans="1:9" ht="15.6" x14ac:dyDescent="0.25">
      <c r="A6" s="12" t="str">
        <v xml:space="preserve"> Arvin - Bank of America</v>
      </c>
      <c r="B6" s="9" t="str">
        <v>CA</v>
      </c>
      <c r="C6" s="24">
        <f>SUM(Jan!C6, Feb!C6, Mar!C6)</f>
        <v>242.4</v>
      </c>
      <c r="D6" s="13">
        <f>SUM(Jan!D6, Feb!D6, Mar!D6)</f>
        <v>0</v>
      </c>
      <c r="E6" s="13">
        <f t="shared" si="0"/>
        <v>242.4</v>
      </c>
      <c r="F6" s="14" t="str">
        <f t="shared" ref="F6:F15" si="1">IFERROR(E6/D6, "")</f>
        <v/>
      </c>
      <c r="G6" s="15">
        <f>SUM(Jan!G6, Feb!G6, Mar!G6)</f>
        <v>0</v>
      </c>
      <c r="H6" s="15">
        <f>SUM(Jan!H6, Feb!H6, Mar!H6)</f>
        <v>0</v>
      </c>
      <c r="I6" s="16" t="str">
        <f t="shared" ref="I6:I15" si="2">IFERROR(H6/G6, "")</f>
        <v/>
      </c>
    </row>
    <row r="7" spans="1:9" ht="15.6" x14ac:dyDescent="0.25">
      <c r="A7" s="17" t="str">
        <v xml:space="preserve"> Bell - Bank of America</v>
      </c>
      <c r="B7" s="10" t="str">
        <v>CA</v>
      </c>
      <c r="C7" s="11">
        <f>SUM(Jan!C7, Feb!C7, Mar!C7)</f>
        <v>5494</v>
      </c>
      <c r="D7" s="18">
        <f>SUM(Jan!D7, Feb!D7, Mar!D7)</f>
        <v>0</v>
      </c>
      <c r="E7" s="18">
        <f t="shared" si="0"/>
        <v>5494</v>
      </c>
      <c r="F7" s="19" t="str">
        <f t="shared" si="1"/>
        <v/>
      </c>
      <c r="G7" s="20">
        <f>SUM(Jan!G7, Feb!G7, Mar!G7)</f>
        <v>0</v>
      </c>
      <c r="H7" s="20">
        <f>SUM(Jan!H7, Feb!H7, Mar!H7)</f>
        <v>0</v>
      </c>
      <c r="I7" s="19" t="str">
        <f t="shared" si="2"/>
        <v/>
      </c>
    </row>
    <row r="8" spans="1:9" ht="15.6" x14ac:dyDescent="0.25">
      <c r="A8" s="12" t="str">
        <v xml:space="preserve"> Chula Vista - Bank of America</v>
      </c>
      <c r="B8" s="9" t="str">
        <v>CA</v>
      </c>
      <c r="C8" s="24">
        <f>SUM(Jan!C8, Feb!C8, Mar!C8)</f>
        <v>2635.3</v>
      </c>
      <c r="D8" s="13">
        <f>SUM(Jan!D8, Feb!D8, Mar!D8)</f>
        <v>0</v>
      </c>
      <c r="E8" s="13">
        <f t="shared" si="0"/>
        <v>2635.3</v>
      </c>
      <c r="F8" s="14" t="str">
        <f t="shared" si="1"/>
        <v/>
      </c>
      <c r="G8" s="15">
        <f>SUM(Jan!G8, Feb!G8, Mar!G8)</f>
        <v>0</v>
      </c>
      <c r="H8" s="15">
        <f>SUM(Jan!H8, Feb!H8, Mar!H8)</f>
        <v>0</v>
      </c>
      <c r="I8" s="16" t="str">
        <f t="shared" si="2"/>
        <v/>
      </c>
    </row>
    <row r="9" spans="1:9" ht="15.6" x14ac:dyDescent="0.25">
      <c r="A9" s="17" t="str">
        <v xml:space="preserve"> Cupertino - Bank of America</v>
      </c>
      <c r="B9" s="10" t="str">
        <v>CA</v>
      </c>
      <c r="C9" s="11">
        <f>SUM(Jan!C9, Feb!C9, Mar!C9)</f>
        <v>2148.1</v>
      </c>
      <c r="D9" s="18">
        <f>SUM(Jan!D9, Feb!D9, Mar!D9)</f>
        <v>0</v>
      </c>
      <c r="E9" s="18">
        <f t="shared" si="0"/>
        <v>2148.1</v>
      </c>
      <c r="F9" s="19" t="str">
        <f t="shared" si="1"/>
        <v/>
      </c>
      <c r="G9" s="20">
        <f>SUM(Jan!G9, Feb!G9, Mar!G9)</f>
        <v>0</v>
      </c>
      <c r="H9" s="20">
        <f>SUM(Jan!H9, Feb!H9, Mar!H9)</f>
        <v>0</v>
      </c>
      <c r="I9" s="19" t="str">
        <f t="shared" si="2"/>
        <v/>
      </c>
    </row>
    <row r="10" spans="1:9" ht="15.6" x14ac:dyDescent="0.25">
      <c r="A10" s="12" t="str">
        <v xml:space="preserve"> Diamond Bar - Bank of America</v>
      </c>
      <c r="B10" s="9" t="str">
        <v>CA</v>
      </c>
      <c r="C10" s="24">
        <f>SUM(Jan!C10, Feb!C10, Mar!C10)</f>
        <v>6675.8</v>
      </c>
      <c r="D10" s="13">
        <f>SUM(Jan!D10, Feb!D10, Mar!D10)</f>
        <v>0</v>
      </c>
      <c r="E10" s="13">
        <f t="shared" si="0"/>
        <v>6675.8</v>
      </c>
      <c r="F10" s="14" t="str">
        <f t="shared" si="1"/>
        <v/>
      </c>
      <c r="G10" s="15">
        <f>SUM(Jan!G10, Feb!G10, Mar!G10)</f>
        <v>0</v>
      </c>
      <c r="H10" s="15">
        <f>SUM(Jan!H10, Feb!H10, Mar!H10)</f>
        <v>0</v>
      </c>
      <c r="I10" s="16" t="str">
        <f t="shared" si="2"/>
        <v/>
      </c>
    </row>
    <row r="11" spans="1:9" ht="15.6" x14ac:dyDescent="0.25">
      <c r="A11" s="17" t="str">
        <v xml:space="preserve"> El Centro - Bank of America</v>
      </c>
      <c r="B11" s="10" t="str">
        <v>CA</v>
      </c>
      <c r="C11" s="11">
        <f>SUM(Jan!C11, Feb!C11, Mar!C11)</f>
        <v>6302.5</v>
      </c>
      <c r="D11" s="18">
        <f>SUM(Jan!D11, Feb!D11, Mar!D11)</f>
        <v>0</v>
      </c>
      <c r="E11" s="18">
        <f t="shared" si="0"/>
        <v>6302.5</v>
      </c>
      <c r="F11" s="19" t="str">
        <f t="shared" si="1"/>
        <v/>
      </c>
      <c r="G11" s="20">
        <f>SUM(Jan!G11, Feb!G11, Mar!G11)</f>
        <v>0</v>
      </c>
      <c r="H11" s="20">
        <f>SUM(Jan!H11, Feb!H11, Mar!H11)</f>
        <v>0</v>
      </c>
      <c r="I11" s="19" t="str">
        <f t="shared" si="2"/>
        <v/>
      </c>
    </row>
    <row r="12" spans="1:9" ht="15.6" x14ac:dyDescent="0.25">
      <c r="A12" s="12" t="str">
        <v xml:space="preserve"> Moreno Valley - Bank of America</v>
      </c>
      <c r="B12" s="9" t="str">
        <v>CA</v>
      </c>
      <c r="C12" s="24">
        <f>SUM(Jan!C12, Feb!C12, Mar!C12)</f>
        <v>9931.2000000000007</v>
      </c>
      <c r="D12" s="13">
        <f>SUM(Jan!D12, Feb!D12, Mar!D12)</f>
        <v>0</v>
      </c>
      <c r="E12" s="13">
        <f t="shared" si="0"/>
        <v>9931.2000000000007</v>
      </c>
      <c r="F12" s="14" t="str">
        <f t="shared" si="1"/>
        <v/>
      </c>
      <c r="G12" s="15">
        <f>SUM(Jan!G12, Feb!G12, Mar!G12)</f>
        <v>0</v>
      </c>
      <c r="H12" s="15">
        <f>SUM(Jan!H12, Feb!H12, Mar!H12)</f>
        <v>0</v>
      </c>
      <c r="I12" s="16" t="str">
        <f t="shared" si="2"/>
        <v/>
      </c>
    </row>
    <row r="13" spans="1:9" ht="15.6" x14ac:dyDescent="0.25">
      <c r="A13" s="17" t="str">
        <v xml:space="preserve"> Redlands - Bank of America</v>
      </c>
      <c r="B13" s="10" t="str">
        <v>CA</v>
      </c>
      <c r="C13" s="11">
        <f>SUM(Jan!C13, Feb!C13, Mar!C13)</f>
        <v>0</v>
      </c>
      <c r="D13" s="18">
        <f>SUM(Jan!D13, Feb!D13, Mar!D13)</f>
        <v>0</v>
      </c>
      <c r="E13" s="18">
        <f t="shared" si="0"/>
        <v>0</v>
      </c>
      <c r="F13" s="19" t="str">
        <f t="shared" si="1"/>
        <v/>
      </c>
      <c r="G13" s="20">
        <f>SUM(Jan!G13, Feb!G13, Mar!G13)</f>
        <v>0</v>
      </c>
      <c r="H13" s="20">
        <f>SUM(Jan!H13, Feb!H13, Mar!H13)</f>
        <v>0</v>
      </c>
      <c r="I13" s="19" t="str">
        <f t="shared" si="2"/>
        <v/>
      </c>
    </row>
    <row r="14" spans="1:9" ht="15.6" x14ac:dyDescent="0.25">
      <c r="A14" s="12" t="str">
        <v xml:space="preserve"> Roseville - Bank of America</v>
      </c>
      <c r="B14" s="9" t="str">
        <v>CA</v>
      </c>
      <c r="C14" s="24">
        <f>SUM(Jan!C14, Feb!C14, Mar!C14)</f>
        <v>13690.4</v>
      </c>
      <c r="D14" s="13">
        <f>SUM(Jan!D14, Feb!D14, Mar!D14)</f>
        <v>0</v>
      </c>
      <c r="E14" s="13">
        <f t="shared" si="0"/>
        <v>13690.4</v>
      </c>
      <c r="F14" s="14" t="str">
        <f t="shared" si="1"/>
        <v/>
      </c>
      <c r="G14" s="15">
        <f>SUM(Jan!G14, Feb!G14, Mar!G14)</f>
        <v>0</v>
      </c>
      <c r="H14" s="15">
        <f>SUM(Jan!H14, Feb!H14, Mar!H14)</f>
        <v>0</v>
      </c>
      <c r="I14" s="16" t="str">
        <f t="shared" si="2"/>
        <v/>
      </c>
    </row>
    <row r="15" spans="1:9" ht="15.6" x14ac:dyDescent="0.25">
      <c r="A15" s="17" t="str">
        <v xml:space="preserve"> San Bernardino - Bank of America</v>
      </c>
      <c r="B15" s="10" t="str">
        <v>CA</v>
      </c>
      <c r="C15" s="11">
        <f>SUM(Jan!C15, Feb!C15, Mar!C15)</f>
        <v>164.10000000000002</v>
      </c>
      <c r="D15" s="18">
        <f>SUM(Jan!D15, Feb!D15, Mar!D15)</f>
        <v>0</v>
      </c>
      <c r="E15" s="18">
        <f t="shared" si="0"/>
        <v>164.10000000000002</v>
      </c>
      <c r="F15" s="19" t="str">
        <f t="shared" si="1"/>
        <v/>
      </c>
      <c r="G15" s="20">
        <f>SUM(Jan!G15, Feb!G15, Mar!G15)</f>
        <v>0</v>
      </c>
      <c r="H15" s="20">
        <f>SUM(Jan!H15, Feb!H15, Mar!H15)</f>
        <v>0</v>
      </c>
      <c r="I15" s="19" t="str">
        <f t="shared" si="2"/>
        <v/>
      </c>
    </row>
    <row r="16" spans="1:9" ht="15.6" x14ac:dyDescent="0.25">
      <c r="A16" s="12" t="str">
        <v xml:space="preserve"> San Diego - Bank of America</v>
      </c>
      <c r="B16" s="9" t="str">
        <v>CA</v>
      </c>
      <c r="C16" s="24">
        <f>SUM(Jan!C16, Feb!C16, Mar!C16)</f>
        <v>519.6</v>
      </c>
      <c r="D16" s="13">
        <f>SUM(Jan!D16, Feb!D16, Mar!D16)</f>
        <v>0</v>
      </c>
      <c r="E16" s="13">
        <f t="shared" ref="E16:E17" si="3">IF(AND(ISNUMBER(C16),ISNUMBER(D16)), C16-D16, "")</f>
        <v>519.6</v>
      </c>
      <c r="F16" s="14" t="str">
        <f t="shared" ref="F16:F17" si="4">IFERROR(E16/D16, "")</f>
        <v/>
      </c>
      <c r="G16" s="15">
        <f>SUM(Jan!G16, Feb!G16, Mar!G16)</f>
        <v>0</v>
      </c>
      <c r="H16" s="15">
        <f>SUM(Jan!H16, Feb!H16, Mar!H16)</f>
        <v>0</v>
      </c>
      <c r="I16" s="16" t="str">
        <f t="shared" ref="I16:I17" si="5">IFERROR(H16/G16, "")</f>
        <v/>
      </c>
    </row>
    <row r="17" spans="1:9" ht="15.6" x14ac:dyDescent="0.25">
      <c r="A17" s="17" t="str">
        <v xml:space="preserve"> Stockton - Bank of America</v>
      </c>
      <c r="B17" s="10" t="str">
        <v>CA</v>
      </c>
      <c r="C17" s="11">
        <f>SUM(Jan!C17, Feb!C17, Mar!C17)</f>
        <v>3168.1</v>
      </c>
      <c r="D17" s="18">
        <f>SUM(Jan!D17, Feb!D17, Mar!D17)</f>
        <v>0</v>
      </c>
      <c r="E17" s="18">
        <f t="shared" si="3"/>
        <v>3168.1</v>
      </c>
      <c r="F17" s="19" t="str">
        <f t="shared" si="4"/>
        <v/>
      </c>
      <c r="G17" s="20">
        <f>SUM(Jan!G17, Feb!G17, Mar!G17)</f>
        <v>0</v>
      </c>
      <c r="H17" s="20">
        <f>SUM(Jan!H17, Feb!H17, Mar!H17)</f>
        <v>0</v>
      </c>
      <c r="I17" s="19" t="str">
        <f t="shared" si="5"/>
        <v/>
      </c>
    </row>
    <row r="18" spans="1:9" ht="12.75" customHeight="1" x14ac:dyDescent="0.25">
      <c r="A18" s="12" t="str">
        <v xml:space="preserve"> Victorville - Bank of America</v>
      </c>
      <c r="B18" s="9" t="str">
        <v>CA</v>
      </c>
      <c r="C18" s="24">
        <f>SUM(Jan!C18, Feb!C18, Mar!C18)</f>
        <v>0</v>
      </c>
      <c r="D18" s="13">
        <f>SUM(Jan!D18, Feb!D18, Mar!D18)</f>
        <v>0</v>
      </c>
      <c r="E18" s="13">
        <f t="shared" ref="E18:E38" si="6">IF(AND(ISNUMBER(C18),ISNUMBER(D18)), C18-D18, "")</f>
        <v>0</v>
      </c>
      <c r="F18" s="14" t="str">
        <f t="shared" ref="F18:F38" si="7">IFERROR(E18/D18, "")</f>
        <v/>
      </c>
      <c r="G18" s="15">
        <f>SUM(Jan!G18, Feb!G18, Mar!G18)</f>
        <v>0</v>
      </c>
      <c r="H18" s="15">
        <f>SUM(Jan!H18, Feb!H18, Mar!H18)</f>
        <v>0</v>
      </c>
      <c r="I18" s="16" t="str">
        <f t="shared" ref="I18:I38" si="8">IFERROR(H18/G18, "")</f>
        <v/>
      </c>
    </row>
    <row r="19" spans="1:9" ht="15.6" x14ac:dyDescent="0.25">
      <c r="A19" s="17" t="str">
        <v xml:space="preserve"> Aurora - BA - Colfax Ave</v>
      </c>
      <c r="B19" s="10" t="str">
        <v>CO</v>
      </c>
      <c r="C19" s="11">
        <f>SUM(Jan!C19, Feb!C19, Mar!C19)</f>
        <v>2330.3999999999996</v>
      </c>
      <c r="D19" s="18">
        <f>SUM(Jan!D19, Feb!D19, Mar!D19)</f>
        <v>0</v>
      </c>
      <c r="E19" s="18">
        <f t="shared" si="6"/>
        <v>2330.3999999999996</v>
      </c>
      <c r="F19" s="19" t="str">
        <f t="shared" si="7"/>
        <v/>
      </c>
      <c r="G19" s="20">
        <f>SUM(Jan!G19, Feb!G19, Mar!G19)</f>
        <v>0</v>
      </c>
      <c r="H19" s="20">
        <f>SUM(Jan!H19, Feb!H19, Mar!H19)</f>
        <v>0</v>
      </c>
      <c r="I19" s="19" t="str">
        <f t="shared" si="8"/>
        <v/>
      </c>
    </row>
    <row r="20" spans="1:9" ht="15.6" x14ac:dyDescent="0.25">
      <c r="A20" s="12" t="str">
        <v xml:space="preserve"> Aurora - BA - Parker Rd</v>
      </c>
      <c r="B20" s="9" t="str">
        <v>CO</v>
      </c>
      <c r="C20" s="24">
        <f>SUM(Jan!C20, Feb!C20, Mar!C20)</f>
        <v>6937.7</v>
      </c>
      <c r="D20" s="13">
        <f>SUM(Jan!D20, Feb!D20, Mar!D20)</f>
        <v>0</v>
      </c>
      <c r="E20" s="13">
        <f t="shared" si="6"/>
        <v>6937.7</v>
      </c>
      <c r="F20" s="14" t="str">
        <f t="shared" si="7"/>
        <v/>
      </c>
      <c r="G20" s="15">
        <f>SUM(Jan!G20, Feb!G20, Mar!G20)</f>
        <v>0</v>
      </c>
      <c r="H20" s="15">
        <f>SUM(Jan!H20, Feb!H20, Mar!H20)</f>
        <v>0</v>
      </c>
      <c r="I20" s="16" t="str">
        <f t="shared" si="8"/>
        <v/>
      </c>
    </row>
    <row r="21" spans="1:9" ht="15.6" x14ac:dyDescent="0.25">
      <c r="A21" s="17" t="str">
        <v xml:space="preserve"> Broomfield - Bank of America</v>
      </c>
      <c r="B21" s="10" t="str">
        <v>CO</v>
      </c>
      <c r="C21" s="11">
        <f>SUM(Jan!C21, Feb!C21, Mar!C21)</f>
        <v>2685.2</v>
      </c>
      <c r="D21" s="18">
        <f>SUM(Jan!D21, Feb!D21, Mar!D21)</f>
        <v>0</v>
      </c>
      <c r="E21" s="18">
        <f t="shared" si="6"/>
        <v>2685.2</v>
      </c>
      <c r="F21" s="19" t="str">
        <f t="shared" si="7"/>
        <v/>
      </c>
      <c r="G21" s="20">
        <f>SUM(Jan!G21, Feb!G21, Mar!G21)</f>
        <v>0</v>
      </c>
      <c r="H21" s="20">
        <f>SUM(Jan!H21, Feb!H21, Mar!H21)</f>
        <v>0</v>
      </c>
      <c r="I21" s="19" t="str">
        <f t="shared" si="8"/>
        <v/>
      </c>
    </row>
    <row r="22" spans="1:9" ht="15.6" x14ac:dyDescent="0.25">
      <c r="A22" s="12" t="str">
        <v xml:space="preserve"> Colorado Springs - Bank of America</v>
      </c>
      <c r="B22" s="9" t="str">
        <v>CO</v>
      </c>
      <c r="C22" s="24">
        <f>SUM(Jan!C22, Feb!C22, Mar!C22)</f>
        <v>5772.9</v>
      </c>
      <c r="D22" s="13">
        <f>SUM(Jan!D22, Feb!D22, Mar!D22)</f>
        <v>0</v>
      </c>
      <c r="E22" s="13">
        <f t="shared" si="6"/>
        <v>5772.9</v>
      </c>
      <c r="F22" s="14" t="str">
        <f t="shared" si="7"/>
        <v/>
      </c>
      <c r="G22" s="15">
        <f>SUM(Jan!G22, Feb!G22, Mar!G22)</f>
        <v>0</v>
      </c>
      <c r="H22" s="15">
        <f>SUM(Jan!H22, Feb!H22, Mar!H22)</f>
        <v>0</v>
      </c>
      <c r="I22" s="16" t="str">
        <f t="shared" si="8"/>
        <v/>
      </c>
    </row>
    <row r="23" spans="1:9" ht="15.6" x14ac:dyDescent="0.25">
      <c r="A23" s="17" t="str">
        <v xml:space="preserve"> Denver - BA - 49th Ave</v>
      </c>
      <c r="B23" s="10" t="str">
        <v>CO</v>
      </c>
      <c r="C23" s="11">
        <f>SUM(Jan!C23, Feb!C23, Mar!C23)</f>
        <v>2811.7</v>
      </c>
      <c r="D23" s="18">
        <f>SUM(Jan!D23, Feb!D23, Mar!D23)</f>
        <v>0</v>
      </c>
      <c r="E23" s="18">
        <f t="shared" si="6"/>
        <v>2811.7</v>
      </c>
      <c r="F23" s="19" t="str">
        <f t="shared" si="7"/>
        <v/>
      </c>
      <c r="G23" s="20">
        <f>SUM(Jan!G23, Feb!G23, Mar!G23)</f>
        <v>0</v>
      </c>
      <c r="H23" s="20">
        <f>SUM(Jan!H23, Feb!H23, Mar!H23)</f>
        <v>0</v>
      </c>
      <c r="I23" s="19" t="str">
        <f t="shared" si="8"/>
        <v/>
      </c>
    </row>
    <row r="24" spans="1:9" ht="15.6" x14ac:dyDescent="0.25">
      <c r="A24" s="12" t="str">
        <v xml:space="preserve"> Denver - BA Wadsworth Blvd</v>
      </c>
      <c r="B24" s="9" t="str">
        <v>CO</v>
      </c>
      <c r="C24" s="24">
        <f>SUM(Jan!C24, Feb!C24, Mar!C24)</f>
        <v>3998.8</v>
      </c>
      <c r="D24" s="13">
        <f>SUM(Jan!D24, Feb!D24, Mar!D24)</f>
        <v>0</v>
      </c>
      <c r="E24" s="13">
        <f t="shared" si="6"/>
        <v>3998.8</v>
      </c>
      <c r="F24" s="14" t="str">
        <f t="shared" si="7"/>
        <v/>
      </c>
      <c r="G24" s="15">
        <f>SUM(Jan!G24, Feb!G24, Mar!G24)</f>
        <v>0</v>
      </c>
      <c r="H24" s="15">
        <f>SUM(Jan!H24, Feb!H24, Mar!H24)</f>
        <v>0</v>
      </c>
      <c r="I24" s="16" t="str">
        <f t="shared" si="8"/>
        <v/>
      </c>
    </row>
    <row r="25" spans="1:9" ht="15.6" x14ac:dyDescent="0.25">
      <c r="A25" s="17" t="str">
        <v xml:space="preserve"> Fort Collins - Bank of America</v>
      </c>
      <c r="B25" s="10" t="str">
        <v>CO</v>
      </c>
      <c r="C25" s="11">
        <f>SUM(Jan!C25, Feb!C25, Mar!C25)</f>
        <v>2483.9</v>
      </c>
      <c r="D25" s="18">
        <f>SUM(Jan!D25, Feb!D25, Mar!D25)</f>
        <v>0</v>
      </c>
      <c r="E25" s="18">
        <f t="shared" si="6"/>
        <v>2483.9</v>
      </c>
      <c r="F25" s="19" t="str">
        <f t="shared" si="7"/>
        <v/>
      </c>
      <c r="G25" s="20">
        <f>SUM(Jan!G25, Feb!G25, Mar!G25)</f>
        <v>0</v>
      </c>
      <c r="H25" s="20">
        <f>SUM(Jan!H25, Feb!H25, Mar!H25)</f>
        <v>0</v>
      </c>
      <c r="I25" s="19" t="str">
        <f t="shared" si="8"/>
        <v/>
      </c>
    </row>
    <row r="26" spans="1:9" ht="15.6" x14ac:dyDescent="0.25">
      <c r="A26" s="12" t="str">
        <v xml:space="preserve"> Lafayette - Bank of America</v>
      </c>
      <c r="B26" s="9" t="str">
        <v>CO</v>
      </c>
      <c r="C26" s="24">
        <f>SUM(Jan!C26, Feb!C26, Mar!C26)</f>
        <v>3988.5</v>
      </c>
      <c r="D26" s="13">
        <f>SUM(Jan!D26, Feb!D26, Mar!D26)</f>
        <v>0</v>
      </c>
      <c r="E26" s="13">
        <f t="shared" si="6"/>
        <v>3988.5</v>
      </c>
      <c r="F26" s="14" t="str">
        <f t="shared" si="7"/>
        <v/>
      </c>
      <c r="G26" s="15">
        <f>SUM(Jan!G26, Feb!G26, Mar!G26)</f>
        <v>0</v>
      </c>
      <c r="H26" s="15">
        <f>SUM(Jan!H26, Feb!H26, Mar!H26)</f>
        <v>0</v>
      </c>
      <c r="I26" s="16" t="str">
        <f t="shared" si="8"/>
        <v/>
      </c>
    </row>
    <row r="27" spans="1:9" ht="15.6" x14ac:dyDescent="0.25">
      <c r="A27" s="17" t="str">
        <v xml:space="preserve"> Lakewood - Bank of America</v>
      </c>
      <c r="B27" s="10" t="str">
        <v>CO</v>
      </c>
      <c r="C27" s="11">
        <f>SUM(Jan!C27, Feb!C27, Mar!C27)</f>
        <v>2180.9</v>
      </c>
      <c r="D27" s="18">
        <f>SUM(Jan!D27, Feb!D27, Mar!D27)</f>
        <v>0</v>
      </c>
      <c r="E27" s="18">
        <f t="shared" si="6"/>
        <v>2180.9</v>
      </c>
      <c r="F27" s="19" t="str">
        <f t="shared" si="7"/>
        <v/>
      </c>
      <c r="G27" s="20">
        <f>SUM(Jan!G27, Feb!G27, Mar!G27)</f>
        <v>0</v>
      </c>
      <c r="H27" s="20">
        <f>SUM(Jan!H27, Feb!H27, Mar!H27)</f>
        <v>0</v>
      </c>
      <c r="I27" s="19" t="str">
        <f t="shared" si="8"/>
        <v/>
      </c>
    </row>
    <row r="28" spans="1:9" ht="15.6" x14ac:dyDescent="0.25">
      <c r="A28" s="12" t="str">
        <v xml:space="preserve"> Longmont - Bank of America</v>
      </c>
      <c r="B28" s="9" t="str">
        <v>CO</v>
      </c>
      <c r="C28" s="24">
        <f>SUM(Jan!C28, Feb!C28, Mar!C28)</f>
        <v>817.1</v>
      </c>
      <c r="D28" s="13">
        <f>SUM(Jan!D28, Feb!D28, Mar!D28)</f>
        <v>0</v>
      </c>
      <c r="E28" s="13">
        <f t="shared" si="6"/>
        <v>817.1</v>
      </c>
      <c r="F28" s="14" t="str">
        <f t="shared" si="7"/>
        <v/>
      </c>
      <c r="G28" s="15">
        <f>SUM(Jan!G28, Feb!G28, Mar!G28)</f>
        <v>0</v>
      </c>
      <c r="H28" s="15">
        <f>SUM(Jan!H28, Feb!H28, Mar!H28)</f>
        <v>0</v>
      </c>
      <c r="I28" s="16" t="str">
        <f t="shared" si="8"/>
        <v/>
      </c>
    </row>
    <row r="29" spans="1:9" ht="15.6" x14ac:dyDescent="0.25">
      <c r="A29" s="17" t="str">
        <v xml:space="preserve"> Thornton - Bank of America</v>
      </c>
      <c r="B29" s="10" t="str">
        <v>CO</v>
      </c>
      <c r="C29" s="11">
        <f>SUM(Jan!C29, Feb!C29, Mar!C29)</f>
        <v>2589.5</v>
      </c>
      <c r="D29" s="18">
        <f>SUM(Jan!D29, Feb!D29, Mar!D29)</f>
        <v>0</v>
      </c>
      <c r="E29" s="18">
        <f t="shared" si="6"/>
        <v>2589.5</v>
      </c>
      <c r="F29" s="19" t="str">
        <f t="shared" si="7"/>
        <v/>
      </c>
      <c r="G29" s="20">
        <f>SUM(Jan!G29, Feb!G29, Mar!G29)</f>
        <v>0</v>
      </c>
      <c r="H29" s="20">
        <f>SUM(Jan!H29, Feb!H29, Mar!H29)</f>
        <v>0</v>
      </c>
      <c r="I29" s="19" t="str">
        <f t="shared" si="8"/>
        <v/>
      </c>
    </row>
    <row r="30" spans="1:9" ht="15.6" x14ac:dyDescent="0.25">
      <c r="A30" s="12" t="str">
        <v xml:space="preserve"> Calumet City - Bank of America</v>
      </c>
      <c r="B30" s="9" t="str">
        <v>IL</v>
      </c>
      <c r="C30" s="24">
        <f>SUM(Jan!C30, Feb!C30, Mar!C30)</f>
        <v>4081.5</v>
      </c>
      <c r="D30" s="13">
        <f>SUM(Jan!D30, Feb!D30, Mar!D30)</f>
        <v>0</v>
      </c>
      <c r="E30" s="13">
        <f t="shared" si="6"/>
        <v>4081.5</v>
      </c>
      <c r="F30" s="14" t="str">
        <f t="shared" si="7"/>
        <v/>
      </c>
      <c r="G30" s="15">
        <f>SUM(Jan!G30, Feb!G30, Mar!G30)</f>
        <v>0</v>
      </c>
      <c r="H30" s="15">
        <f>SUM(Jan!H30, Feb!H30, Mar!H30)</f>
        <v>0</v>
      </c>
      <c r="I30" s="16" t="str">
        <f t="shared" si="8"/>
        <v/>
      </c>
    </row>
    <row r="31" spans="1:9" ht="15.6" x14ac:dyDescent="0.25">
      <c r="A31" s="17" t="str">
        <v xml:space="preserve"> Downers Grove - Bank of America</v>
      </c>
      <c r="B31" s="10" t="str">
        <v>IL</v>
      </c>
      <c r="C31" s="11">
        <f>SUM(Jan!C31, Feb!C31, Mar!C31)</f>
        <v>4372.3</v>
      </c>
      <c r="D31" s="18">
        <f>SUM(Jan!D31, Feb!D31, Mar!D31)</f>
        <v>0</v>
      </c>
      <c r="E31" s="18">
        <f t="shared" si="6"/>
        <v>4372.3</v>
      </c>
      <c r="F31" s="19" t="str">
        <f t="shared" si="7"/>
        <v/>
      </c>
      <c r="G31" s="20">
        <f>SUM(Jan!G31, Feb!G31, Mar!G31)</f>
        <v>0</v>
      </c>
      <c r="H31" s="20">
        <f>SUM(Jan!H31, Feb!H31, Mar!H31)</f>
        <v>0</v>
      </c>
      <c r="I31" s="19" t="str">
        <f t="shared" si="8"/>
        <v/>
      </c>
    </row>
    <row r="32" spans="1:9" ht="15.6" x14ac:dyDescent="0.25">
      <c r="A32" s="12" t="str">
        <v xml:space="preserve"> Bloomington - Bank of America</v>
      </c>
      <c r="B32" s="9" t="str">
        <v>MN</v>
      </c>
      <c r="C32" s="24">
        <f>SUM(Jan!C32, Feb!C32, Mar!C32)</f>
        <v>732.3</v>
      </c>
      <c r="D32" s="13">
        <f>SUM(Jan!D32, Feb!D32, Mar!D32)</f>
        <v>0</v>
      </c>
      <c r="E32" s="13">
        <f t="shared" si="6"/>
        <v>732.3</v>
      </c>
      <c r="F32" s="14" t="str">
        <f t="shared" si="7"/>
        <v/>
      </c>
      <c r="G32" s="15">
        <f>SUM(Jan!G32, Feb!G32, Mar!G32)</f>
        <v>0</v>
      </c>
      <c r="H32" s="15">
        <f>SUM(Jan!H32, Feb!H32, Mar!H32)</f>
        <v>0</v>
      </c>
      <c r="I32" s="16" t="str">
        <f t="shared" si="8"/>
        <v/>
      </c>
    </row>
    <row r="33" spans="1:9" ht="15.6" x14ac:dyDescent="0.25">
      <c r="A33" s="17" t="str">
        <v xml:space="preserve"> Clayton - Bank of America</v>
      </c>
      <c r="B33" s="10" t="str">
        <v>MO</v>
      </c>
      <c r="C33" s="11">
        <f>SUM(Jan!C33, Feb!C33, Mar!C33)</f>
        <v>4230.2</v>
      </c>
      <c r="D33" s="18">
        <f>SUM(Jan!D33, Feb!D33, Mar!D33)</f>
        <v>0</v>
      </c>
      <c r="E33" s="18">
        <f t="shared" si="6"/>
        <v>4230.2</v>
      </c>
      <c r="F33" s="19" t="str">
        <f t="shared" si="7"/>
        <v/>
      </c>
      <c r="G33" s="20">
        <f>SUM(Jan!G33, Feb!G33, Mar!G33)</f>
        <v>0</v>
      </c>
      <c r="H33" s="20">
        <f>SUM(Jan!H33, Feb!H33, Mar!H33)</f>
        <v>0</v>
      </c>
      <c r="I33" s="19" t="str">
        <f t="shared" si="8"/>
        <v/>
      </c>
    </row>
    <row r="34" spans="1:9" ht="15.6" x14ac:dyDescent="0.25">
      <c r="A34" s="12" t="str">
        <v xml:space="preserve"> Manchester - Bank of America</v>
      </c>
      <c r="B34" s="9" t="str">
        <v>MO</v>
      </c>
      <c r="C34" s="24">
        <f>SUM(Jan!C34, Feb!C34, Mar!C34)</f>
        <v>3265.5</v>
      </c>
      <c r="D34" s="13">
        <f>SUM(Jan!D34, Feb!D34, Mar!D34)</f>
        <v>0</v>
      </c>
      <c r="E34" s="13">
        <f t="shared" si="6"/>
        <v>3265.5</v>
      </c>
      <c r="F34" s="14" t="str">
        <f t="shared" si="7"/>
        <v/>
      </c>
      <c r="G34" s="15">
        <f>SUM(Jan!G34, Feb!G34, Mar!G34)</f>
        <v>0</v>
      </c>
      <c r="H34" s="15">
        <f>SUM(Jan!H34, Feb!H34, Mar!H34)</f>
        <v>0</v>
      </c>
      <c r="I34" s="16" t="str">
        <f t="shared" si="8"/>
        <v/>
      </c>
    </row>
    <row r="35" spans="1:9" ht="15.6" x14ac:dyDescent="0.25">
      <c r="A35" s="17" t="str">
        <v xml:space="preserve"> Las Vegas - BA - Eastern Ave</v>
      </c>
      <c r="B35" s="10" t="str">
        <v>NV</v>
      </c>
      <c r="C35" s="11">
        <f>SUM(Jan!C35, Feb!C35, Mar!C35)</f>
        <v>88.2</v>
      </c>
      <c r="D35" s="18">
        <f>SUM(Jan!D35, Feb!D35, Mar!D35)</f>
        <v>0</v>
      </c>
      <c r="E35" s="18">
        <f t="shared" si="6"/>
        <v>88.2</v>
      </c>
      <c r="F35" s="19" t="str">
        <f t="shared" si="7"/>
        <v/>
      </c>
      <c r="G35" s="20">
        <f>SUM(Jan!G35, Feb!G35, Mar!G35)</f>
        <v>0</v>
      </c>
      <c r="H35" s="20">
        <f>SUM(Jan!H35, Feb!H35, Mar!H35)</f>
        <v>0</v>
      </c>
      <c r="I35" s="19" t="str">
        <f t="shared" si="8"/>
        <v/>
      </c>
    </row>
    <row r="36" spans="1:9" ht="15.6" x14ac:dyDescent="0.25">
      <c r="A36" s="12" t="str">
        <v xml:space="preserve"> Las Vegas - BA - Town Ctr Dr</v>
      </c>
      <c r="B36" s="9" t="str">
        <v>NV</v>
      </c>
      <c r="C36" s="24">
        <f>SUM(Jan!C36, Feb!C36, Mar!C36)</f>
        <v>0</v>
      </c>
      <c r="D36" s="13">
        <f>SUM(Jan!D36, Feb!D36, Mar!D36)</f>
        <v>0</v>
      </c>
      <c r="E36" s="13">
        <f t="shared" si="6"/>
        <v>0</v>
      </c>
      <c r="F36" s="14" t="str">
        <f t="shared" si="7"/>
        <v/>
      </c>
      <c r="G36" s="15">
        <f>SUM(Jan!G36, Feb!G36, Mar!G36)</f>
        <v>0</v>
      </c>
      <c r="H36" s="15">
        <f>SUM(Jan!H36, Feb!H36, Mar!H36)</f>
        <v>0</v>
      </c>
      <c r="I36" s="16" t="str">
        <f t="shared" si="8"/>
        <v/>
      </c>
    </row>
    <row r="37" spans="1:9" ht="15.6" x14ac:dyDescent="0.25">
      <c r="A37" s="17" t="str">
        <v xml:space="preserve"> Riverton - Bank of America</v>
      </c>
      <c r="B37" s="10" t="str">
        <v>UT</v>
      </c>
      <c r="C37" s="11">
        <f>SUM(Jan!C37, Feb!C37, Mar!C37)</f>
        <v>4602.2</v>
      </c>
      <c r="D37" s="18">
        <f>SUM(Jan!D37, Feb!D37, Mar!D37)</f>
        <v>0</v>
      </c>
      <c r="E37" s="18">
        <f t="shared" si="6"/>
        <v>4602.2</v>
      </c>
      <c r="F37" s="19" t="str">
        <f t="shared" si="7"/>
        <v/>
      </c>
      <c r="G37" s="20">
        <f>SUM(Jan!G37, Feb!G37, Mar!G37)</f>
        <v>0</v>
      </c>
      <c r="H37" s="20">
        <f>SUM(Jan!H37, Feb!H37, Mar!H37)</f>
        <v>0</v>
      </c>
      <c r="I37" s="19" t="str">
        <f t="shared" si="8"/>
        <v/>
      </c>
    </row>
    <row r="38" spans="1:9" ht="15.6" x14ac:dyDescent="0.25">
      <c r="A38" s="12" t="str">
        <v xml:space="preserve"> Salt Lake City - Bank of America</v>
      </c>
      <c r="B38" s="9" t="str">
        <v>UT</v>
      </c>
      <c r="C38" s="24">
        <f>SUM(Jan!C38, Feb!C38, Mar!C38)</f>
        <v>606.6</v>
      </c>
      <c r="D38" s="13">
        <f>SUM(Jan!D38, Feb!D38, Mar!D38)</f>
        <v>0</v>
      </c>
      <c r="E38" s="13">
        <f t="shared" si="6"/>
        <v>606.6</v>
      </c>
      <c r="F38" s="14" t="str">
        <f t="shared" si="7"/>
        <v/>
      </c>
      <c r="G38" s="15">
        <f>SUM(Jan!G38, Feb!G38, Mar!G38)</f>
        <v>0</v>
      </c>
      <c r="H38" s="15">
        <f>SUM(Jan!H38, Feb!H38, Mar!H38)</f>
        <v>0</v>
      </c>
      <c r="I38" s="16" t="str">
        <f t="shared" si="8"/>
        <v/>
      </c>
    </row>
    <row r="39" spans="1:9" ht="13.8" x14ac:dyDescent="0.3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8" x14ac:dyDescent="0.3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8" x14ac:dyDescent="0.3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8" x14ac:dyDescent="0.3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8" x14ac:dyDescent="0.3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8" x14ac:dyDescent="0.3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8" x14ac:dyDescent="0.3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8" x14ac:dyDescent="0.3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8" x14ac:dyDescent="0.3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8" x14ac:dyDescent="0.3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8" x14ac:dyDescent="0.3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8" x14ac:dyDescent="0.3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8" x14ac:dyDescent="0.3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8" x14ac:dyDescent="0.3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8" x14ac:dyDescent="0.3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8" x14ac:dyDescent="0.3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8" x14ac:dyDescent="0.3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8" x14ac:dyDescent="0.3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8" x14ac:dyDescent="0.3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8" x14ac:dyDescent="0.3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8" x14ac:dyDescent="0.3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8" x14ac:dyDescent="0.3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8" x14ac:dyDescent="0.3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8" x14ac:dyDescent="0.3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8" x14ac:dyDescent="0.3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8" x14ac:dyDescent="0.3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8" x14ac:dyDescent="0.3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8" x14ac:dyDescent="0.3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8" x14ac:dyDescent="0.3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8" x14ac:dyDescent="0.3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8" x14ac:dyDescent="0.3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8" x14ac:dyDescent="0.3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8" x14ac:dyDescent="0.3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8" x14ac:dyDescent="0.3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8" x14ac:dyDescent="0.3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8" x14ac:dyDescent="0.3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8" x14ac:dyDescent="0.3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8" x14ac:dyDescent="0.3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8" x14ac:dyDescent="0.3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8" x14ac:dyDescent="0.3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8" x14ac:dyDescent="0.3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8" x14ac:dyDescent="0.3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8" x14ac:dyDescent="0.3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8" x14ac:dyDescent="0.3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8" x14ac:dyDescent="0.3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8" x14ac:dyDescent="0.3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8" x14ac:dyDescent="0.3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8" x14ac:dyDescent="0.3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8" x14ac:dyDescent="0.3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8" x14ac:dyDescent="0.3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8" x14ac:dyDescent="0.3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8" x14ac:dyDescent="0.3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8" x14ac:dyDescent="0.3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8" x14ac:dyDescent="0.3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8" x14ac:dyDescent="0.3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8" x14ac:dyDescent="0.3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8" x14ac:dyDescent="0.3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8" x14ac:dyDescent="0.3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8" x14ac:dyDescent="0.3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8" x14ac:dyDescent="0.3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8" x14ac:dyDescent="0.3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8" x14ac:dyDescent="0.3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8" x14ac:dyDescent="0.3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8" x14ac:dyDescent="0.3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8" x14ac:dyDescent="0.3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8" x14ac:dyDescent="0.3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8" x14ac:dyDescent="0.3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8" x14ac:dyDescent="0.3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8" x14ac:dyDescent="0.3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8" x14ac:dyDescent="0.3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8" x14ac:dyDescent="0.3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8" x14ac:dyDescent="0.3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8" x14ac:dyDescent="0.3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8" x14ac:dyDescent="0.3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8" x14ac:dyDescent="0.3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8" x14ac:dyDescent="0.3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8" x14ac:dyDescent="0.3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8" x14ac:dyDescent="0.3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8" x14ac:dyDescent="0.3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8" x14ac:dyDescent="0.3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8" x14ac:dyDescent="0.3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8" x14ac:dyDescent="0.3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8" x14ac:dyDescent="0.3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8" x14ac:dyDescent="0.3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8" x14ac:dyDescent="0.3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8" x14ac:dyDescent="0.3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8" x14ac:dyDescent="0.3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8" x14ac:dyDescent="0.3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8" x14ac:dyDescent="0.3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8" x14ac:dyDescent="0.3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8" x14ac:dyDescent="0.3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8" x14ac:dyDescent="0.3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8" x14ac:dyDescent="0.3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8" x14ac:dyDescent="0.3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8" x14ac:dyDescent="0.3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8" x14ac:dyDescent="0.3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8" x14ac:dyDescent="0.3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8" x14ac:dyDescent="0.3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8" x14ac:dyDescent="0.3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8" x14ac:dyDescent="0.3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8" x14ac:dyDescent="0.3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8" x14ac:dyDescent="0.3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8" x14ac:dyDescent="0.3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8" x14ac:dyDescent="0.3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8" x14ac:dyDescent="0.3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8" x14ac:dyDescent="0.3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8" x14ac:dyDescent="0.3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8" x14ac:dyDescent="0.3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8" x14ac:dyDescent="0.3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8" x14ac:dyDescent="0.3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8" x14ac:dyDescent="0.3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8" x14ac:dyDescent="0.3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8" x14ac:dyDescent="0.3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8" x14ac:dyDescent="0.3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8" x14ac:dyDescent="0.3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8" x14ac:dyDescent="0.3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8" x14ac:dyDescent="0.3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8" x14ac:dyDescent="0.3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8" x14ac:dyDescent="0.3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8" x14ac:dyDescent="0.3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8" x14ac:dyDescent="0.3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8" x14ac:dyDescent="0.3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8" x14ac:dyDescent="0.3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8" x14ac:dyDescent="0.3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8" x14ac:dyDescent="0.3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8" x14ac:dyDescent="0.3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8" x14ac:dyDescent="0.3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8" x14ac:dyDescent="0.3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8" x14ac:dyDescent="0.3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8" x14ac:dyDescent="0.3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8" x14ac:dyDescent="0.3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8" x14ac:dyDescent="0.3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8" x14ac:dyDescent="0.3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8" x14ac:dyDescent="0.3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8" x14ac:dyDescent="0.3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8" x14ac:dyDescent="0.3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8" x14ac:dyDescent="0.3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8" x14ac:dyDescent="0.3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8" x14ac:dyDescent="0.3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8" x14ac:dyDescent="0.3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8" x14ac:dyDescent="0.3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8" x14ac:dyDescent="0.3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8" x14ac:dyDescent="0.3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8" x14ac:dyDescent="0.3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8" x14ac:dyDescent="0.3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8" x14ac:dyDescent="0.3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8" x14ac:dyDescent="0.3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8" x14ac:dyDescent="0.3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8" x14ac:dyDescent="0.3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8" x14ac:dyDescent="0.3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8" x14ac:dyDescent="0.3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8" x14ac:dyDescent="0.3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8" x14ac:dyDescent="0.3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8" x14ac:dyDescent="0.3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8" x14ac:dyDescent="0.3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8" x14ac:dyDescent="0.3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8" x14ac:dyDescent="0.3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8" x14ac:dyDescent="0.3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8" x14ac:dyDescent="0.3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8" x14ac:dyDescent="0.3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8" x14ac:dyDescent="0.3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8" x14ac:dyDescent="0.3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8" x14ac:dyDescent="0.3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8" x14ac:dyDescent="0.3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8" x14ac:dyDescent="0.3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8" x14ac:dyDescent="0.3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8" x14ac:dyDescent="0.3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8" x14ac:dyDescent="0.3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8" x14ac:dyDescent="0.3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8" x14ac:dyDescent="0.3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8" x14ac:dyDescent="0.3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8" x14ac:dyDescent="0.3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8" x14ac:dyDescent="0.3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8" x14ac:dyDescent="0.3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8" x14ac:dyDescent="0.3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8" x14ac:dyDescent="0.3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8" x14ac:dyDescent="0.3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8" x14ac:dyDescent="0.3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8" x14ac:dyDescent="0.3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8" x14ac:dyDescent="0.3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8" x14ac:dyDescent="0.3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8" x14ac:dyDescent="0.3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8" x14ac:dyDescent="0.3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8" x14ac:dyDescent="0.3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8" x14ac:dyDescent="0.3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8" x14ac:dyDescent="0.3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8" x14ac:dyDescent="0.3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8" x14ac:dyDescent="0.3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8" x14ac:dyDescent="0.3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8" x14ac:dyDescent="0.3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8" x14ac:dyDescent="0.3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8" x14ac:dyDescent="0.3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8" x14ac:dyDescent="0.3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8" x14ac:dyDescent="0.3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8" x14ac:dyDescent="0.3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8" x14ac:dyDescent="0.3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8" x14ac:dyDescent="0.3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8" x14ac:dyDescent="0.3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8" x14ac:dyDescent="0.3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8" x14ac:dyDescent="0.3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8" x14ac:dyDescent="0.3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8" x14ac:dyDescent="0.3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8" x14ac:dyDescent="0.3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8" x14ac:dyDescent="0.3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8" x14ac:dyDescent="0.3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8" x14ac:dyDescent="0.3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8" x14ac:dyDescent="0.3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8" x14ac:dyDescent="0.3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8" x14ac:dyDescent="0.3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8" x14ac:dyDescent="0.3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8" x14ac:dyDescent="0.3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8" x14ac:dyDescent="0.3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8" x14ac:dyDescent="0.3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8" x14ac:dyDescent="0.3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8" x14ac:dyDescent="0.3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8" x14ac:dyDescent="0.3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8" x14ac:dyDescent="0.3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8" x14ac:dyDescent="0.3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8" x14ac:dyDescent="0.3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8" x14ac:dyDescent="0.3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8" x14ac:dyDescent="0.3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8" x14ac:dyDescent="0.3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8" x14ac:dyDescent="0.3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8" x14ac:dyDescent="0.3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8" x14ac:dyDescent="0.3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8" x14ac:dyDescent="0.3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8" x14ac:dyDescent="0.3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8" x14ac:dyDescent="0.3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8" x14ac:dyDescent="0.3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8" x14ac:dyDescent="0.3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8" x14ac:dyDescent="0.3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8" x14ac:dyDescent="0.3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8" x14ac:dyDescent="0.3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8" x14ac:dyDescent="0.3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8" x14ac:dyDescent="0.3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8" x14ac:dyDescent="0.3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8" x14ac:dyDescent="0.3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8" x14ac:dyDescent="0.3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8" x14ac:dyDescent="0.3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8" x14ac:dyDescent="0.3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8" x14ac:dyDescent="0.3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8" x14ac:dyDescent="0.3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8" x14ac:dyDescent="0.3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8" x14ac:dyDescent="0.3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8" x14ac:dyDescent="0.3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8" x14ac:dyDescent="0.3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8" x14ac:dyDescent="0.3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8" x14ac:dyDescent="0.3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8" x14ac:dyDescent="0.3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8" x14ac:dyDescent="0.3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8" x14ac:dyDescent="0.3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8" x14ac:dyDescent="0.3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8" x14ac:dyDescent="0.3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8" x14ac:dyDescent="0.3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8" x14ac:dyDescent="0.3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8" x14ac:dyDescent="0.3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8" x14ac:dyDescent="0.3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8" x14ac:dyDescent="0.3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8" x14ac:dyDescent="0.3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8" x14ac:dyDescent="0.3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8" x14ac:dyDescent="0.3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8" x14ac:dyDescent="0.3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8" x14ac:dyDescent="0.3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8" x14ac:dyDescent="0.3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8" x14ac:dyDescent="0.3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8" x14ac:dyDescent="0.3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8" x14ac:dyDescent="0.3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8" x14ac:dyDescent="0.3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8" x14ac:dyDescent="0.3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8" x14ac:dyDescent="0.3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8" x14ac:dyDescent="0.3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8" x14ac:dyDescent="0.3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8" x14ac:dyDescent="0.3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8" x14ac:dyDescent="0.3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8" x14ac:dyDescent="0.3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8" x14ac:dyDescent="0.3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8" x14ac:dyDescent="0.3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8" x14ac:dyDescent="0.3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8" x14ac:dyDescent="0.3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8" x14ac:dyDescent="0.3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8" x14ac:dyDescent="0.3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8" x14ac:dyDescent="0.3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8" x14ac:dyDescent="0.3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8" x14ac:dyDescent="0.3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8" x14ac:dyDescent="0.3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8" x14ac:dyDescent="0.3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8" x14ac:dyDescent="0.3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8" x14ac:dyDescent="0.3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8" x14ac:dyDescent="0.3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8" x14ac:dyDescent="0.3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8" x14ac:dyDescent="0.3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8" x14ac:dyDescent="0.3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8" x14ac:dyDescent="0.3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8" x14ac:dyDescent="0.3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8" x14ac:dyDescent="0.3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8" x14ac:dyDescent="0.3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8" x14ac:dyDescent="0.3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8" x14ac:dyDescent="0.3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8" x14ac:dyDescent="0.3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8" x14ac:dyDescent="0.3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8" x14ac:dyDescent="0.3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8" x14ac:dyDescent="0.3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8" x14ac:dyDescent="0.3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8" x14ac:dyDescent="0.3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100 I4:I100">
    <cfRule type="cellIs" dxfId="51" priority="1" stopIfTrue="1" operator="lessThanOrEqual">
      <formula>-0.1</formula>
    </cfRule>
    <cfRule type="expression" dxfId="50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2"/>
  <sheetViews>
    <sheetView workbookViewId="0">
      <pane xSplit="2" ySplit="3" topLeftCell="C4" activePane="bottomRight" state="frozen"/>
      <selection pane="topRight"/>
      <selection pane="bottomLeft"/>
      <selection pane="bottomRight" activeCell="M28" sqref="M28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89" t="str" cm="1">
        <f t="array" ref="A1">portfolio</f>
        <v>Cushman &amp; Wakefield</v>
      </c>
      <c r="B1" s="89"/>
      <c r="C1" s="89"/>
      <c r="D1" s="90" t="s">
        <v>12</v>
      </c>
      <c r="E1" s="90"/>
      <c r="F1" s="90"/>
      <c r="G1" s="88" t="s">
        <v>13</v>
      </c>
      <c r="H1" s="88"/>
      <c r="I1" s="88"/>
    </row>
    <row r="2" spans="1:9" ht="19.5" customHeight="1" x14ac:dyDescent="0.25">
      <c r="A2" s="91" t="s">
        <v>2</v>
      </c>
      <c r="B2" s="91"/>
      <c r="C2" s="5">
        <f>SUM(C4:C100)</f>
        <v>193421.44</v>
      </c>
      <c r="D2" s="5">
        <f>SUM(D4:D100)</f>
        <v>0</v>
      </c>
      <c r="E2" s="5">
        <f>C2-D2</f>
        <v>193421.44</v>
      </c>
      <c r="F2" s="6">
        <f>IFERROR(E2/D2, 0)</f>
        <v>0</v>
      </c>
      <c r="G2" s="5">
        <f>SUM(G4:G100)</f>
        <v>0</v>
      </c>
      <c r="H2" s="7">
        <f>C2-G2</f>
        <v>193421.44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 x14ac:dyDescent="0.25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SUM(Apr!C4, May!C4, Jun!C4)</f>
        <v>0</v>
      </c>
      <c r="D4" s="13">
        <f>SUM(Apr!D4, May!D4, Jun!D4)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SUM(Apr!H4, May!H4, Jun!H4)</f>
        <v>0</v>
      </c>
      <c r="I4" s="16" t="str">
        <f>IFERROR(H4/G4, "")</f>
        <v/>
      </c>
    </row>
    <row r="5" spans="1:9" ht="15.6" x14ac:dyDescent="0.25">
      <c r="A5" s="17" t="str">
        <v xml:space="preserve"> Apple Valley - Bank of America</v>
      </c>
      <c r="B5" s="10" t="str">
        <v>CA</v>
      </c>
      <c r="C5" s="11">
        <f>SUM(Apr!C5, May!C5, Jun!C5)</f>
        <v>0</v>
      </c>
      <c r="D5" s="18">
        <f>SUM(Apr!D5, May!D5, Jun!D5)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SUM(Apr!H5, May!H5, Jun!H5)</f>
        <v>0</v>
      </c>
      <c r="I5" s="19" t="str">
        <f>IFERROR(H5/G5, "")</f>
        <v/>
      </c>
    </row>
    <row r="6" spans="1:9" ht="15.6" x14ac:dyDescent="0.25">
      <c r="A6" s="12" t="str">
        <v xml:space="preserve"> Arvin - Bank of America</v>
      </c>
      <c r="B6" s="9" t="str">
        <v>CA</v>
      </c>
      <c r="C6" s="24">
        <f>SUM(Apr!C6, May!C6, Jun!C6)</f>
        <v>320.52599999999995</v>
      </c>
      <c r="D6" s="13">
        <f>SUM(Apr!D6, May!D6, Jun!D6)</f>
        <v>0</v>
      </c>
      <c r="E6" s="13">
        <f t="shared" si="0"/>
        <v>320.52599999999995</v>
      </c>
      <c r="F6" s="14" t="str">
        <f t="shared" ref="F6:F15" si="1">IFERROR(E6/D6, "")</f>
        <v/>
      </c>
      <c r="G6" s="15"/>
      <c r="H6" s="15">
        <f>SUM(Apr!H6, May!H6, Jun!H6)</f>
        <v>0</v>
      </c>
      <c r="I6" s="16" t="str">
        <f t="shared" ref="I6:I15" si="2">IFERROR(H6/G6, "")</f>
        <v/>
      </c>
    </row>
    <row r="7" spans="1:9" ht="15.6" x14ac:dyDescent="0.25">
      <c r="A7" s="17" t="str">
        <v xml:space="preserve"> Bell - Bank of America</v>
      </c>
      <c r="B7" s="10" t="str">
        <v>CA</v>
      </c>
      <c r="C7" s="11">
        <f>SUM(Apr!C7, May!C7, Jun!C7)</f>
        <v>6647.6880000000001</v>
      </c>
      <c r="D7" s="18">
        <f>SUM(Apr!D7, May!D7, Jun!D7)</f>
        <v>0</v>
      </c>
      <c r="E7" s="18">
        <f t="shared" si="0"/>
        <v>6647.6880000000001</v>
      </c>
      <c r="F7" s="19" t="str">
        <f t="shared" si="1"/>
        <v/>
      </c>
      <c r="G7" s="20"/>
      <c r="H7" s="20">
        <f>SUM(Apr!H7, May!H7, Jun!H7)</f>
        <v>0</v>
      </c>
      <c r="I7" s="19" t="str">
        <f t="shared" si="2"/>
        <v/>
      </c>
    </row>
    <row r="8" spans="1:9" ht="15.6" x14ac:dyDescent="0.25">
      <c r="A8" s="12" t="str">
        <v xml:space="preserve"> Chula Vista - Bank of America</v>
      </c>
      <c r="B8" s="9" t="str">
        <v>CA</v>
      </c>
      <c r="C8" s="24">
        <f>SUM(Apr!C8, May!C8, Jun!C8)</f>
        <v>4183.3420000000006</v>
      </c>
      <c r="D8" s="13">
        <f>SUM(Apr!D8, May!D8, Jun!D8)</f>
        <v>0</v>
      </c>
      <c r="E8" s="13">
        <f t="shared" si="0"/>
        <v>4183.3420000000006</v>
      </c>
      <c r="F8" s="14" t="str">
        <f t="shared" si="1"/>
        <v/>
      </c>
      <c r="G8" s="15"/>
      <c r="H8" s="15">
        <f>SUM(Apr!H8, May!H8, Jun!H8)</f>
        <v>0</v>
      </c>
      <c r="I8" s="16" t="str">
        <f t="shared" si="2"/>
        <v/>
      </c>
    </row>
    <row r="9" spans="1:9" ht="15.6" x14ac:dyDescent="0.25">
      <c r="A9" s="17" t="str">
        <v xml:space="preserve"> Cupertino - Bank of America</v>
      </c>
      <c r="B9" s="10" t="str">
        <v>CA</v>
      </c>
      <c r="C9" s="11">
        <f>SUM(Apr!C9, May!C9, Jun!C9)</f>
        <v>7810.1270000000004</v>
      </c>
      <c r="D9" s="18">
        <f>SUM(Apr!D9, May!D9, Jun!D9)</f>
        <v>0</v>
      </c>
      <c r="E9" s="18">
        <f t="shared" si="0"/>
        <v>7810.1270000000004</v>
      </c>
      <c r="F9" s="19" t="str">
        <f t="shared" si="1"/>
        <v/>
      </c>
      <c r="G9" s="20"/>
      <c r="H9" s="20">
        <f>SUM(Apr!H9, May!H9, Jun!H9)</f>
        <v>0</v>
      </c>
      <c r="I9" s="19" t="str">
        <f t="shared" si="2"/>
        <v/>
      </c>
    </row>
    <row r="10" spans="1:9" ht="15.6" x14ac:dyDescent="0.25">
      <c r="A10" s="12" t="str">
        <v xml:space="preserve"> Diamond Bar - Bank of America</v>
      </c>
      <c r="B10" s="9" t="str">
        <v>CA</v>
      </c>
      <c r="C10" s="24">
        <f>SUM(Apr!C10, May!C10, Jun!C10)</f>
        <v>9042.0499999999993</v>
      </c>
      <c r="D10" s="13">
        <f>SUM(Apr!D10, May!D10, Jun!D10)</f>
        <v>0</v>
      </c>
      <c r="E10" s="13">
        <f t="shared" si="0"/>
        <v>9042.0499999999993</v>
      </c>
      <c r="F10" s="14" t="str">
        <f t="shared" si="1"/>
        <v/>
      </c>
      <c r="G10" s="15"/>
      <c r="H10" s="15">
        <f>SUM(Apr!H10, May!H10, Jun!H10)</f>
        <v>0</v>
      </c>
      <c r="I10" s="16" t="str">
        <f t="shared" si="2"/>
        <v/>
      </c>
    </row>
    <row r="11" spans="1:9" ht="15.6" x14ac:dyDescent="0.25">
      <c r="A11" s="17" t="str">
        <v xml:space="preserve"> El Centro - Bank of America</v>
      </c>
      <c r="B11" s="10" t="str">
        <v>CA</v>
      </c>
      <c r="C11" s="11">
        <f>SUM(Apr!C11, May!C11, Jun!C11)</f>
        <v>9536.9750000000004</v>
      </c>
      <c r="D11" s="18">
        <f>SUM(Apr!D11, May!D11, Jun!D11)</f>
        <v>0</v>
      </c>
      <c r="E11" s="18">
        <f t="shared" si="0"/>
        <v>9536.9750000000004</v>
      </c>
      <c r="F11" s="19" t="str">
        <f t="shared" si="1"/>
        <v/>
      </c>
      <c r="G11" s="20"/>
      <c r="H11" s="20">
        <f>SUM(Apr!H11, May!H11, Jun!H11)</f>
        <v>0</v>
      </c>
      <c r="I11" s="19" t="str">
        <f t="shared" si="2"/>
        <v/>
      </c>
    </row>
    <row r="12" spans="1:9" ht="15.6" x14ac:dyDescent="0.25">
      <c r="A12" s="12" t="str">
        <v xml:space="preserve"> Moreno Valley - Bank of America</v>
      </c>
      <c r="B12" s="9" t="str">
        <v>CA</v>
      </c>
      <c r="C12" s="24">
        <f>SUM(Apr!C12, May!C12, Jun!C12)</f>
        <v>15867.794</v>
      </c>
      <c r="D12" s="13">
        <f>SUM(Apr!D12, May!D12, Jun!D12)</f>
        <v>0</v>
      </c>
      <c r="E12" s="13">
        <f t="shared" si="0"/>
        <v>15867.794</v>
      </c>
      <c r="F12" s="14" t="str">
        <f t="shared" si="1"/>
        <v/>
      </c>
      <c r="G12" s="15"/>
      <c r="H12" s="15">
        <f>SUM(Apr!H12, May!H12, Jun!H12)</f>
        <v>0</v>
      </c>
      <c r="I12" s="16" t="str">
        <f t="shared" si="2"/>
        <v/>
      </c>
    </row>
    <row r="13" spans="1:9" ht="15.6" x14ac:dyDescent="0.25">
      <c r="A13" s="17" t="str">
        <v xml:space="preserve"> Redlands - Bank of America</v>
      </c>
      <c r="B13" s="10" t="str">
        <v>CA</v>
      </c>
      <c r="C13" s="11">
        <f>SUM(Apr!C13, May!C13, Jun!C13)</f>
        <v>0</v>
      </c>
      <c r="D13" s="18">
        <f>SUM(Apr!D13, May!D13, Jun!D13)</f>
        <v>0</v>
      </c>
      <c r="E13" s="18">
        <f t="shared" si="0"/>
        <v>0</v>
      </c>
      <c r="F13" s="19" t="str">
        <f t="shared" si="1"/>
        <v/>
      </c>
      <c r="G13" s="20"/>
      <c r="H13" s="20">
        <f>SUM(Apr!H13, May!H13, Jun!H13)</f>
        <v>0</v>
      </c>
      <c r="I13" s="19" t="str">
        <f t="shared" si="2"/>
        <v/>
      </c>
    </row>
    <row r="14" spans="1:9" ht="15.6" x14ac:dyDescent="0.25">
      <c r="A14" s="12" t="str">
        <v xml:space="preserve"> Roseville - Bank of America</v>
      </c>
      <c r="B14" s="9" t="str">
        <v>CA</v>
      </c>
      <c r="C14" s="24">
        <f>SUM(Apr!C14, May!C14, Jun!C14)</f>
        <v>23639.883999999998</v>
      </c>
      <c r="D14" s="13">
        <f>SUM(Apr!D14, May!D14, Jun!D14)</f>
        <v>0</v>
      </c>
      <c r="E14" s="13">
        <f t="shared" si="0"/>
        <v>23639.883999999998</v>
      </c>
      <c r="F14" s="14" t="str">
        <f t="shared" si="1"/>
        <v/>
      </c>
      <c r="G14" s="15"/>
      <c r="H14" s="15">
        <f>SUM(Apr!H14, May!H14, Jun!H14)</f>
        <v>0</v>
      </c>
      <c r="I14" s="16" t="str">
        <f t="shared" si="2"/>
        <v/>
      </c>
    </row>
    <row r="15" spans="1:9" ht="15.6" x14ac:dyDescent="0.25">
      <c r="A15" s="17" t="str">
        <v xml:space="preserve"> San Bernardino - Bank of America</v>
      </c>
      <c r="B15" s="10" t="str">
        <v>CA</v>
      </c>
      <c r="C15" s="11">
        <f>SUM(Apr!C15, May!C15, Jun!C15)</f>
        <v>292.02999999999997</v>
      </c>
      <c r="D15" s="18">
        <f>SUM(Apr!D15, May!D15, Jun!D15)</f>
        <v>0</v>
      </c>
      <c r="E15" s="18">
        <f t="shared" si="0"/>
        <v>292.02999999999997</v>
      </c>
      <c r="F15" s="19" t="str">
        <f t="shared" si="1"/>
        <v/>
      </c>
      <c r="G15" s="20"/>
      <c r="H15" s="20">
        <f>SUM(Apr!H15, May!H15, Jun!H15)</f>
        <v>0</v>
      </c>
      <c r="I15" s="19" t="str">
        <f t="shared" si="2"/>
        <v/>
      </c>
    </row>
    <row r="16" spans="1:9" ht="15.6" x14ac:dyDescent="0.25">
      <c r="A16" s="12" t="str">
        <v xml:space="preserve"> San Diego - Bank of America</v>
      </c>
      <c r="B16" s="9" t="str">
        <v>CA</v>
      </c>
      <c r="C16" s="24">
        <f>SUM(Apr!C16, May!C16, Jun!C16)</f>
        <v>193.69400000000002</v>
      </c>
      <c r="D16" s="13">
        <f>SUM(Apr!D16, May!D16, Jun!D16)</f>
        <v>0</v>
      </c>
      <c r="E16" s="13">
        <f t="shared" ref="E16:E19" si="3">IF(AND(ISNUMBER(C16),ISNUMBER(D16)), C16-D16, "")</f>
        <v>193.69400000000002</v>
      </c>
      <c r="F16" s="14" t="str">
        <f t="shared" ref="F16:F19" si="4">IFERROR(E16/D16, "")</f>
        <v/>
      </c>
      <c r="G16" s="15"/>
      <c r="H16" s="15">
        <f>SUM(Apr!H16, May!H16, Jun!H16)</f>
        <v>0</v>
      </c>
      <c r="I16" s="16" t="str">
        <f t="shared" ref="I16:I19" si="5">IFERROR(H16/G16, "")</f>
        <v/>
      </c>
    </row>
    <row r="17" spans="1:9" ht="15.6" x14ac:dyDescent="0.25">
      <c r="A17" s="17" t="str">
        <v xml:space="preserve"> Stockton - Bank of America</v>
      </c>
      <c r="B17" s="10" t="str">
        <v>CA</v>
      </c>
      <c r="C17" s="11">
        <f>SUM(Apr!C17, May!C17, Jun!C17)</f>
        <v>7033.0360000000001</v>
      </c>
      <c r="D17" s="18">
        <f>SUM(Apr!D17, May!D17, Jun!D17)</f>
        <v>0</v>
      </c>
      <c r="E17" s="18">
        <f t="shared" si="3"/>
        <v>7033.0360000000001</v>
      </c>
      <c r="F17" s="19" t="str">
        <f t="shared" si="4"/>
        <v/>
      </c>
      <c r="G17" s="20"/>
      <c r="H17" s="20">
        <f>SUM(Apr!H17, May!H17, Jun!H17)</f>
        <v>0</v>
      </c>
      <c r="I17" s="19" t="str">
        <f t="shared" si="5"/>
        <v/>
      </c>
    </row>
    <row r="18" spans="1:9" ht="12.75" customHeight="1" x14ac:dyDescent="0.25">
      <c r="A18" s="12" t="str">
        <v xml:space="preserve"> Victorville - Bank of America</v>
      </c>
      <c r="B18" s="9" t="str">
        <v>CA</v>
      </c>
      <c r="C18" s="24">
        <f>SUM(Apr!C18, May!C18, Jun!C18)</f>
        <v>0</v>
      </c>
      <c r="D18" s="13">
        <f>SUM(Apr!D18, May!D18, Jun!D18)</f>
        <v>0</v>
      </c>
      <c r="E18" s="13">
        <f t="shared" si="3"/>
        <v>0</v>
      </c>
      <c r="F18" s="14" t="str">
        <f t="shared" si="4"/>
        <v/>
      </c>
      <c r="G18" s="15"/>
      <c r="H18" s="15">
        <f>SUM(Apr!H18, May!H18, Jun!H18)</f>
        <v>0</v>
      </c>
      <c r="I18" s="16" t="str">
        <f t="shared" si="5"/>
        <v/>
      </c>
    </row>
    <row r="19" spans="1:9" ht="15.6" x14ac:dyDescent="0.25">
      <c r="A19" s="17" t="str">
        <v xml:space="preserve"> Aurora - BA - Colfax Ave</v>
      </c>
      <c r="B19" s="10" t="str">
        <v>CO</v>
      </c>
      <c r="C19" s="11">
        <f>SUM(Apr!C19, May!C19, Jun!C19)</f>
        <v>4022.6930000000002</v>
      </c>
      <c r="D19" s="18">
        <f>SUM(Apr!D19, May!D19, Jun!D19)</f>
        <v>0</v>
      </c>
      <c r="E19" s="18">
        <f t="shared" si="3"/>
        <v>4022.6930000000002</v>
      </c>
      <c r="F19" s="19" t="str">
        <f t="shared" si="4"/>
        <v/>
      </c>
      <c r="G19" s="20"/>
      <c r="H19" s="20">
        <f>SUM(Apr!H19, May!H19, Jun!H19)</f>
        <v>0</v>
      </c>
      <c r="I19" s="19" t="str">
        <f t="shared" si="5"/>
        <v/>
      </c>
    </row>
    <row r="20" spans="1:9" ht="15.6" x14ac:dyDescent="0.25">
      <c r="A20" s="12" t="str">
        <v xml:space="preserve"> Aurora - BA - Parker Rd</v>
      </c>
      <c r="B20" s="9" t="str">
        <v>CO</v>
      </c>
      <c r="C20" s="24">
        <f>SUM(Apr!C20, May!C20, Jun!C20)</f>
        <v>7467</v>
      </c>
      <c r="D20" s="13">
        <f>SUM(Apr!D20, May!D20, Jun!D20)</f>
        <v>0</v>
      </c>
      <c r="E20" s="13">
        <f t="shared" ref="E20:E38" si="6">IF(AND(ISNUMBER(C20),ISNUMBER(D20)), C20-D20, "")</f>
        <v>7467</v>
      </c>
      <c r="F20" s="14" t="str">
        <f t="shared" ref="F20:F38" si="7">IFERROR(E20/D20, "")</f>
        <v/>
      </c>
      <c r="G20" s="15"/>
      <c r="H20" s="15">
        <f>SUM(Apr!H20, May!H20, Jun!H20)</f>
        <v>0</v>
      </c>
      <c r="I20" s="16" t="str">
        <f t="shared" ref="I20:I38" si="8">IFERROR(H20/G20, "")</f>
        <v/>
      </c>
    </row>
    <row r="21" spans="1:9" ht="15.6" x14ac:dyDescent="0.25">
      <c r="A21" s="17" t="str">
        <v xml:space="preserve"> Broomfield - Bank of America</v>
      </c>
      <c r="B21" s="10" t="str">
        <v>CO</v>
      </c>
      <c r="C21" s="11">
        <f>SUM(Apr!C21, May!C21, Jun!C21)</f>
        <v>5397.3969999999999</v>
      </c>
      <c r="D21" s="18">
        <f>SUM(Apr!D21, May!D21, Jun!D21)</f>
        <v>0</v>
      </c>
      <c r="E21" s="18">
        <f t="shared" si="6"/>
        <v>5397.3969999999999</v>
      </c>
      <c r="F21" s="19" t="str">
        <f t="shared" si="7"/>
        <v/>
      </c>
      <c r="G21" s="20"/>
      <c r="H21" s="20">
        <f>SUM(Apr!H21, May!H21, Jun!H21)</f>
        <v>0</v>
      </c>
      <c r="I21" s="19" t="str">
        <f t="shared" si="8"/>
        <v/>
      </c>
    </row>
    <row r="22" spans="1:9" ht="15.6" x14ac:dyDescent="0.25">
      <c r="A22" s="12" t="str">
        <v xml:space="preserve"> Colorado Springs - Bank of America</v>
      </c>
      <c r="B22" s="9" t="str">
        <v>CO</v>
      </c>
      <c r="C22" s="24">
        <f>SUM(Apr!C22, May!C22, Jun!C22)</f>
        <v>8614.2129999999997</v>
      </c>
      <c r="D22" s="13">
        <f>SUM(Apr!D22, May!D22, Jun!D22)</f>
        <v>0</v>
      </c>
      <c r="E22" s="13">
        <f t="shared" si="6"/>
        <v>8614.2129999999997</v>
      </c>
      <c r="F22" s="14" t="str">
        <f t="shared" si="7"/>
        <v/>
      </c>
      <c r="G22" s="15"/>
      <c r="H22" s="15">
        <f>SUM(Apr!H22, May!H22, Jun!H22)</f>
        <v>0</v>
      </c>
      <c r="I22" s="16" t="str">
        <f t="shared" si="8"/>
        <v/>
      </c>
    </row>
    <row r="23" spans="1:9" ht="15.6" x14ac:dyDescent="0.25">
      <c r="A23" s="17" t="str">
        <v xml:space="preserve"> Denver - BA - 49th Ave</v>
      </c>
      <c r="B23" s="10" t="str">
        <v>CO</v>
      </c>
      <c r="C23" s="11">
        <f>SUM(Apr!C23, May!C23, Jun!C23)</f>
        <v>3854.3130000000001</v>
      </c>
      <c r="D23" s="18">
        <f>SUM(Apr!D23, May!D23, Jun!D23)</f>
        <v>0</v>
      </c>
      <c r="E23" s="18">
        <f t="shared" si="6"/>
        <v>3854.3130000000001</v>
      </c>
      <c r="F23" s="19" t="str">
        <f t="shared" si="7"/>
        <v/>
      </c>
      <c r="G23" s="20"/>
      <c r="H23" s="20">
        <f>SUM(Apr!H23, May!H23, Jun!H23)</f>
        <v>0</v>
      </c>
      <c r="I23" s="19" t="str">
        <f t="shared" si="8"/>
        <v/>
      </c>
    </row>
    <row r="24" spans="1:9" ht="15.6" x14ac:dyDescent="0.25">
      <c r="A24" s="12" t="str">
        <v xml:space="preserve"> Denver - BA Wadsworth Blvd</v>
      </c>
      <c r="B24" s="9" t="str">
        <v>CO</v>
      </c>
      <c r="C24" s="24">
        <f>SUM(Apr!C24, May!C24, Jun!C24)</f>
        <v>7985.9490000000005</v>
      </c>
      <c r="D24" s="13">
        <f>SUM(Apr!D24, May!D24, Jun!D24)</f>
        <v>0</v>
      </c>
      <c r="E24" s="13">
        <f t="shared" si="6"/>
        <v>7985.9490000000005</v>
      </c>
      <c r="F24" s="14" t="str">
        <f t="shared" si="7"/>
        <v/>
      </c>
      <c r="G24" s="15"/>
      <c r="H24" s="15">
        <f>SUM(Apr!H24, May!H24, Jun!H24)</f>
        <v>0</v>
      </c>
      <c r="I24" s="16" t="str">
        <f t="shared" si="8"/>
        <v/>
      </c>
    </row>
    <row r="25" spans="1:9" ht="15.6" x14ac:dyDescent="0.25">
      <c r="A25" s="17" t="str">
        <v xml:space="preserve"> Fort Collins - Bank of America</v>
      </c>
      <c r="B25" s="10" t="str">
        <v>CO</v>
      </c>
      <c r="C25" s="11">
        <f>SUM(Apr!C25, May!C25, Jun!C25)</f>
        <v>5335.0389999999998</v>
      </c>
      <c r="D25" s="18">
        <f>SUM(Apr!D25, May!D25, Jun!D25)</f>
        <v>0</v>
      </c>
      <c r="E25" s="18">
        <f t="shared" si="6"/>
        <v>5335.0389999999998</v>
      </c>
      <c r="F25" s="19" t="str">
        <f t="shared" si="7"/>
        <v/>
      </c>
      <c r="G25" s="20"/>
      <c r="H25" s="20">
        <f>SUM(Apr!H25, May!H25, Jun!H25)</f>
        <v>0</v>
      </c>
      <c r="I25" s="19" t="str">
        <f t="shared" si="8"/>
        <v/>
      </c>
    </row>
    <row r="26" spans="1:9" ht="15.6" x14ac:dyDescent="0.25">
      <c r="A26" s="12" t="str">
        <v xml:space="preserve"> Lafayette - Bank of America</v>
      </c>
      <c r="B26" s="9" t="str">
        <v>CO</v>
      </c>
      <c r="C26" s="24">
        <f>SUM(Apr!C26, May!C26, Jun!C26)</f>
        <v>7397.1949999999997</v>
      </c>
      <c r="D26" s="13">
        <f>SUM(Apr!D26, May!D26, Jun!D26)</f>
        <v>0</v>
      </c>
      <c r="E26" s="13">
        <f t="shared" si="6"/>
        <v>7397.1949999999997</v>
      </c>
      <c r="F26" s="14" t="str">
        <f t="shared" si="7"/>
        <v/>
      </c>
      <c r="G26" s="15"/>
      <c r="H26" s="15">
        <f>SUM(Apr!H26, May!H26, Jun!H26)</f>
        <v>0</v>
      </c>
      <c r="I26" s="16" t="str">
        <f t="shared" si="8"/>
        <v/>
      </c>
    </row>
    <row r="27" spans="1:9" ht="15.6" x14ac:dyDescent="0.25">
      <c r="A27" s="17" t="str">
        <v xml:space="preserve"> Lakewood - Bank of America</v>
      </c>
      <c r="B27" s="10" t="str">
        <v>CO</v>
      </c>
      <c r="C27" s="11">
        <f>SUM(Apr!C27, May!C27, Jun!C27)</f>
        <v>4315.2610000000004</v>
      </c>
      <c r="D27" s="18">
        <f>SUM(Apr!D27, May!D27, Jun!D27)</f>
        <v>0</v>
      </c>
      <c r="E27" s="18">
        <f t="shared" si="6"/>
        <v>4315.2610000000004</v>
      </c>
      <c r="F27" s="19" t="str">
        <f t="shared" si="7"/>
        <v/>
      </c>
      <c r="G27" s="20"/>
      <c r="H27" s="20">
        <f>SUM(Apr!H27, May!H27, Jun!H27)</f>
        <v>0</v>
      </c>
      <c r="I27" s="19" t="str">
        <f t="shared" si="8"/>
        <v/>
      </c>
    </row>
    <row r="28" spans="1:9" ht="15.6" x14ac:dyDescent="0.25">
      <c r="A28" s="12" t="str">
        <v xml:space="preserve"> Longmont - Bank of America</v>
      </c>
      <c r="B28" s="9" t="str">
        <v>CO</v>
      </c>
      <c r="C28" s="24">
        <f>SUM(Apr!C28, May!C28, Jun!C28)</f>
        <v>3815.2429999999995</v>
      </c>
      <c r="D28" s="13">
        <f>SUM(Apr!D28, May!D28, Jun!D28)</f>
        <v>0</v>
      </c>
      <c r="E28" s="13">
        <f t="shared" si="6"/>
        <v>3815.2429999999995</v>
      </c>
      <c r="F28" s="14" t="str">
        <f t="shared" si="7"/>
        <v/>
      </c>
      <c r="G28" s="15"/>
      <c r="H28" s="15">
        <f>SUM(Apr!H28, May!H28, Jun!H28)</f>
        <v>0</v>
      </c>
      <c r="I28" s="16" t="str">
        <f t="shared" si="8"/>
        <v/>
      </c>
    </row>
    <row r="29" spans="1:9" ht="15.6" x14ac:dyDescent="0.25">
      <c r="A29" s="17" t="str">
        <v xml:space="preserve"> Thornton - Bank of America</v>
      </c>
      <c r="B29" s="10" t="str">
        <v>CO</v>
      </c>
      <c r="C29" s="11">
        <f>SUM(Apr!C29, May!C29, Jun!C29)</f>
        <v>4433.6880000000001</v>
      </c>
      <c r="D29" s="18">
        <f>SUM(Apr!D29, May!D29, Jun!D29)</f>
        <v>0</v>
      </c>
      <c r="E29" s="18">
        <f t="shared" si="6"/>
        <v>4433.6880000000001</v>
      </c>
      <c r="F29" s="19" t="str">
        <f t="shared" si="7"/>
        <v/>
      </c>
      <c r="G29" s="20"/>
      <c r="H29" s="20">
        <f>SUM(Apr!H29, May!H29, Jun!H29)</f>
        <v>0</v>
      </c>
      <c r="I29" s="19" t="str">
        <f t="shared" si="8"/>
        <v/>
      </c>
    </row>
    <row r="30" spans="1:9" ht="15.6" x14ac:dyDescent="0.25">
      <c r="A30" s="12" t="str">
        <v xml:space="preserve"> Calumet City - Bank of America</v>
      </c>
      <c r="B30" s="9" t="str">
        <v>IL</v>
      </c>
      <c r="C30" s="24">
        <f>SUM(Apr!C30, May!C30, Jun!C30)</f>
        <v>7962.2010000000009</v>
      </c>
      <c r="D30" s="13">
        <f>SUM(Apr!D30, May!D30, Jun!D30)</f>
        <v>0</v>
      </c>
      <c r="E30" s="13">
        <f t="shared" si="6"/>
        <v>7962.2010000000009</v>
      </c>
      <c r="F30" s="14" t="str">
        <f t="shared" si="7"/>
        <v/>
      </c>
      <c r="G30" s="15"/>
      <c r="H30" s="15">
        <f>SUM(Apr!H30, May!H30, Jun!H30)</f>
        <v>0</v>
      </c>
      <c r="I30" s="16" t="str">
        <f t="shared" si="8"/>
        <v/>
      </c>
    </row>
    <row r="31" spans="1:9" ht="15.6" x14ac:dyDescent="0.25">
      <c r="A31" s="17" t="str">
        <v xml:space="preserve"> Downers Grove - Bank of America</v>
      </c>
      <c r="B31" s="10" t="str">
        <v>IL</v>
      </c>
      <c r="C31" s="11">
        <f>SUM(Apr!C31, May!C31, Jun!C31)</f>
        <v>8850.5949999999993</v>
      </c>
      <c r="D31" s="18">
        <f>SUM(Apr!D31, May!D31, Jun!D31)</f>
        <v>0</v>
      </c>
      <c r="E31" s="18">
        <f t="shared" si="6"/>
        <v>8850.5949999999993</v>
      </c>
      <c r="F31" s="19" t="str">
        <f t="shared" si="7"/>
        <v/>
      </c>
      <c r="G31" s="20"/>
      <c r="H31" s="20">
        <f>SUM(Apr!H31, May!H31, Jun!H31)</f>
        <v>0</v>
      </c>
      <c r="I31" s="19" t="str">
        <f t="shared" si="8"/>
        <v/>
      </c>
    </row>
    <row r="32" spans="1:9" ht="15.6" x14ac:dyDescent="0.25">
      <c r="A32" s="12" t="str">
        <v xml:space="preserve"> Bloomington - Bank of America</v>
      </c>
      <c r="B32" s="9" t="str">
        <v>MN</v>
      </c>
      <c r="C32" s="24">
        <f>SUM(Apr!C32, May!C32, Jun!C32)</f>
        <v>6266.1560000000009</v>
      </c>
      <c r="D32" s="13">
        <f>SUM(Apr!D32, May!D32, Jun!D32)</f>
        <v>0</v>
      </c>
      <c r="E32" s="13">
        <f t="shared" si="6"/>
        <v>6266.1560000000009</v>
      </c>
      <c r="F32" s="14" t="str">
        <f t="shared" si="7"/>
        <v/>
      </c>
      <c r="G32" s="15"/>
      <c r="H32" s="15">
        <f>SUM(Apr!H32, May!H32, Jun!H32)</f>
        <v>0</v>
      </c>
      <c r="I32" s="16" t="str">
        <f t="shared" si="8"/>
        <v/>
      </c>
    </row>
    <row r="33" spans="1:9" ht="15.6" x14ac:dyDescent="0.25">
      <c r="A33" s="17" t="str">
        <v xml:space="preserve"> Clayton - Bank of America</v>
      </c>
      <c r="B33" s="10" t="str">
        <v>MO</v>
      </c>
      <c r="C33" s="11">
        <f>SUM(Apr!C33, May!C33, Jun!C33)</f>
        <v>6674.4880000000003</v>
      </c>
      <c r="D33" s="18">
        <f>SUM(Apr!D33, May!D33, Jun!D33)</f>
        <v>0</v>
      </c>
      <c r="E33" s="18">
        <f t="shared" si="6"/>
        <v>6674.4880000000003</v>
      </c>
      <c r="F33" s="19" t="str">
        <f t="shared" si="7"/>
        <v/>
      </c>
      <c r="G33" s="20"/>
      <c r="H33" s="20">
        <f>SUM(Apr!H33, May!H33, Jun!H33)</f>
        <v>0</v>
      </c>
      <c r="I33" s="19" t="str">
        <f t="shared" si="8"/>
        <v/>
      </c>
    </row>
    <row r="34" spans="1:9" ht="15.6" x14ac:dyDescent="0.25">
      <c r="A34" s="12" t="str">
        <v xml:space="preserve"> Manchester - Bank of America</v>
      </c>
      <c r="B34" s="9" t="str">
        <v>MO</v>
      </c>
      <c r="C34" s="24">
        <f>SUM(Apr!C34, May!C34, Jun!C34)</f>
        <v>5301.0109999999995</v>
      </c>
      <c r="D34" s="13">
        <f>SUM(Apr!D34, May!D34, Jun!D34)</f>
        <v>0</v>
      </c>
      <c r="E34" s="13">
        <f t="shared" si="6"/>
        <v>5301.0109999999995</v>
      </c>
      <c r="F34" s="14" t="str">
        <f t="shared" si="7"/>
        <v/>
      </c>
      <c r="G34" s="15"/>
      <c r="H34" s="15">
        <f>SUM(Apr!H34, May!H34, Jun!H34)</f>
        <v>0</v>
      </c>
      <c r="I34" s="16" t="str">
        <f t="shared" si="8"/>
        <v/>
      </c>
    </row>
    <row r="35" spans="1:9" ht="15.6" x14ac:dyDescent="0.25">
      <c r="A35" s="17" t="str">
        <v xml:space="preserve"> Las Vegas - BA - Eastern Ave</v>
      </c>
      <c r="B35" s="10" t="str">
        <v>NV</v>
      </c>
      <c r="C35" s="11">
        <f>SUM(Apr!C35, May!C35, Jun!C35)</f>
        <v>215.64699999999999</v>
      </c>
      <c r="D35" s="18">
        <f>SUM(Apr!D35, May!D35, Jun!D35)</f>
        <v>0</v>
      </c>
      <c r="E35" s="18">
        <f t="shared" si="6"/>
        <v>215.64699999999999</v>
      </c>
      <c r="F35" s="19" t="str">
        <f t="shared" si="7"/>
        <v/>
      </c>
      <c r="G35" s="20"/>
      <c r="H35" s="20">
        <f>SUM(Apr!H35, May!H35, Jun!H35)</f>
        <v>0</v>
      </c>
      <c r="I35" s="19" t="str">
        <f t="shared" si="8"/>
        <v/>
      </c>
    </row>
    <row r="36" spans="1:9" ht="15.6" x14ac:dyDescent="0.25">
      <c r="A36" s="12" t="str">
        <v xml:space="preserve"> Las Vegas - BA - Town Ctr Dr</v>
      </c>
      <c r="B36" s="9" t="str">
        <v>NV</v>
      </c>
      <c r="C36" s="24">
        <f>SUM(Apr!C36, May!C36, Jun!C36)</f>
        <v>0</v>
      </c>
      <c r="D36" s="13">
        <f>SUM(Apr!D36, May!D36, Jun!D36)</f>
        <v>0</v>
      </c>
      <c r="E36" s="13">
        <f t="shared" si="6"/>
        <v>0</v>
      </c>
      <c r="F36" s="14" t="str">
        <f t="shared" si="7"/>
        <v/>
      </c>
      <c r="G36" s="15"/>
      <c r="H36" s="15">
        <f>SUM(Apr!H36, May!H36, Jun!H36)</f>
        <v>0</v>
      </c>
      <c r="I36" s="16" t="str">
        <f t="shared" si="8"/>
        <v/>
      </c>
    </row>
    <row r="37" spans="1:9" ht="15.6" x14ac:dyDescent="0.25">
      <c r="A37" s="17" t="str">
        <v xml:space="preserve"> Riverton - Bank of America</v>
      </c>
      <c r="B37" s="10" t="str">
        <v>UT</v>
      </c>
      <c r="C37" s="11">
        <f>SUM(Apr!C37, May!C37, Jun!C37)</f>
        <v>8706.4529999999995</v>
      </c>
      <c r="D37" s="18">
        <f>SUM(Apr!D37, May!D37, Jun!D37)</f>
        <v>0</v>
      </c>
      <c r="E37" s="18">
        <f t="shared" si="6"/>
        <v>8706.4529999999995</v>
      </c>
      <c r="F37" s="19" t="str">
        <f t="shared" si="7"/>
        <v/>
      </c>
      <c r="G37" s="20"/>
      <c r="H37" s="20">
        <f>SUM(Apr!H37, May!H37, Jun!H37)</f>
        <v>0</v>
      </c>
      <c r="I37" s="19" t="str">
        <f t="shared" si="8"/>
        <v/>
      </c>
    </row>
    <row r="38" spans="1:9" ht="15.6" x14ac:dyDescent="0.25">
      <c r="A38" s="12" t="str">
        <v xml:space="preserve"> Salt Lake City - Bank of America</v>
      </c>
      <c r="B38" s="9" t="str">
        <v>UT</v>
      </c>
      <c r="C38" s="24">
        <f>SUM(Apr!C38, May!C38, Jun!C38)</f>
        <v>2239.752</v>
      </c>
      <c r="D38" s="13">
        <f>SUM(Apr!D38, May!D38, Jun!D38)</f>
        <v>0</v>
      </c>
      <c r="E38" s="13">
        <f t="shared" si="6"/>
        <v>2239.752</v>
      </c>
      <c r="F38" s="14" t="str">
        <f t="shared" si="7"/>
        <v/>
      </c>
      <c r="G38" s="15"/>
      <c r="H38" s="15">
        <f>SUM(Apr!H38, May!H38, Jun!H38)</f>
        <v>0</v>
      </c>
      <c r="I38" s="16" t="str">
        <f t="shared" si="8"/>
        <v/>
      </c>
    </row>
    <row r="39" spans="1:9" ht="13.8" x14ac:dyDescent="0.3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8" x14ac:dyDescent="0.3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8" x14ac:dyDescent="0.3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8" x14ac:dyDescent="0.3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8" x14ac:dyDescent="0.3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8" x14ac:dyDescent="0.3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8" x14ac:dyDescent="0.3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8" x14ac:dyDescent="0.3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8" x14ac:dyDescent="0.3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8" x14ac:dyDescent="0.3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8" x14ac:dyDescent="0.3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8" x14ac:dyDescent="0.3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8" x14ac:dyDescent="0.3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8" x14ac:dyDescent="0.3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8" x14ac:dyDescent="0.3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8" x14ac:dyDescent="0.3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8" x14ac:dyDescent="0.3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8" x14ac:dyDescent="0.3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8" x14ac:dyDescent="0.3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8" x14ac:dyDescent="0.3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8" x14ac:dyDescent="0.3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8" x14ac:dyDescent="0.3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8" x14ac:dyDescent="0.3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8" x14ac:dyDescent="0.3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8" x14ac:dyDescent="0.3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8" x14ac:dyDescent="0.3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8" x14ac:dyDescent="0.3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8" x14ac:dyDescent="0.3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8" x14ac:dyDescent="0.3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8" x14ac:dyDescent="0.3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8" x14ac:dyDescent="0.3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8" x14ac:dyDescent="0.3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8" x14ac:dyDescent="0.3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8" x14ac:dyDescent="0.3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8" x14ac:dyDescent="0.3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8" x14ac:dyDescent="0.3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8" x14ac:dyDescent="0.3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8" x14ac:dyDescent="0.3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8" x14ac:dyDescent="0.3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8" x14ac:dyDescent="0.3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8" x14ac:dyDescent="0.3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8" x14ac:dyDescent="0.3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8" x14ac:dyDescent="0.3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8" x14ac:dyDescent="0.3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8" x14ac:dyDescent="0.3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8" x14ac:dyDescent="0.3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8" x14ac:dyDescent="0.3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8" x14ac:dyDescent="0.3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8" x14ac:dyDescent="0.3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8" x14ac:dyDescent="0.3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8" x14ac:dyDescent="0.3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8" x14ac:dyDescent="0.3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8" x14ac:dyDescent="0.3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8" x14ac:dyDescent="0.3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8" x14ac:dyDescent="0.3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8" x14ac:dyDescent="0.3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8" x14ac:dyDescent="0.3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8" x14ac:dyDescent="0.3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8" x14ac:dyDescent="0.3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8" x14ac:dyDescent="0.3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8" x14ac:dyDescent="0.3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8" x14ac:dyDescent="0.3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8" x14ac:dyDescent="0.3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8" x14ac:dyDescent="0.3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8" x14ac:dyDescent="0.3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8" x14ac:dyDescent="0.3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8" x14ac:dyDescent="0.3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8" x14ac:dyDescent="0.3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8" x14ac:dyDescent="0.3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8" x14ac:dyDescent="0.3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8" x14ac:dyDescent="0.3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8" x14ac:dyDescent="0.3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8" x14ac:dyDescent="0.3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8" x14ac:dyDescent="0.3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8" x14ac:dyDescent="0.3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8" x14ac:dyDescent="0.3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8" x14ac:dyDescent="0.3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8" x14ac:dyDescent="0.3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8" x14ac:dyDescent="0.3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8" x14ac:dyDescent="0.3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8" x14ac:dyDescent="0.3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8" x14ac:dyDescent="0.3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8" x14ac:dyDescent="0.3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8" x14ac:dyDescent="0.3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8" x14ac:dyDescent="0.3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8" x14ac:dyDescent="0.3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8" x14ac:dyDescent="0.3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8" x14ac:dyDescent="0.3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8" x14ac:dyDescent="0.3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8" x14ac:dyDescent="0.3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8" x14ac:dyDescent="0.3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8" x14ac:dyDescent="0.3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8" x14ac:dyDescent="0.3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8" x14ac:dyDescent="0.3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8" x14ac:dyDescent="0.3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8" x14ac:dyDescent="0.3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8" x14ac:dyDescent="0.3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8" x14ac:dyDescent="0.3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8" x14ac:dyDescent="0.3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8" x14ac:dyDescent="0.3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8" x14ac:dyDescent="0.3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8" x14ac:dyDescent="0.3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8" x14ac:dyDescent="0.3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8" x14ac:dyDescent="0.3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8" x14ac:dyDescent="0.3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8" x14ac:dyDescent="0.3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8" x14ac:dyDescent="0.3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8" x14ac:dyDescent="0.3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8" x14ac:dyDescent="0.3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8" x14ac:dyDescent="0.3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8" x14ac:dyDescent="0.3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8" x14ac:dyDescent="0.3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8" x14ac:dyDescent="0.3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8" x14ac:dyDescent="0.3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8" x14ac:dyDescent="0.3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8" x14ac:dyDescent="0.3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8" x14ac:dyDescent="0.3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8" x14ac:dyDescent="0.3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8" x14ac:dyDescent="0.3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8" x14ac:dyDescent="0.3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8" x14ac:dyDescent="0.3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8" x14ac:dyDescent="0.3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8" x14ac:dyDescent="0.3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8" x14ac:dyDescent="0.3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8" x14ac:dyDescent="0.3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8" x14ac:dyDescent="0.3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8" x14ac:dyDescent="0.3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8" x14ac:dyDescent="0.3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8" x14ac:dyDescent="0.3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8" x14ac:dyDescent="0.3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8" x14ac:dyDescent="0.3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8" x14ac:dyDescent="0.3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8" x14ac:dyDescent="0.3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8" x14ac:dyDescent="0.3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8" x14ac:dyDescent="0.3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8" x14ac:dyDescent="0.3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8" x14ac:dyDescent="0.3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8" x14ac:dyDescent="0.3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8" x14ac:dyDescent="0.3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8" x14ac:dyDescent="0.3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8" x14ac:dyDescent="0.3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8" x14ac:dyDescent="0.3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8" x14ac:dyDescent="0.3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8" x14ac:dyDescent="0.3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8" x14ac:dyDescent="0.3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8" x14ac:dyDescent="0.3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8" x14ac:dyDescent="0.3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8" x14ac:dyDescent="0.3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8" x14ac:dyDescent="0.3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8" x14ac:dyDescent="0.3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8" x14ac:dyDescent="0.3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8" x14ac:dyDescent="0.3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8" x14ac:dyDescent="0.3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8" x14ac:dyDescent="0.3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8" x14ac:dyDescent="0.3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8" x14ac:dyDescent="0.3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8" x14ac:dyDescent="0.3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8" x14ac:dyDescent="0.3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8" x14ac:dyDescent="0.3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8" x14ac:dyDescent="0.3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8" x14ac:dyDescent="0.3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8" x14ac:dyDescent="0.3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8" x14ac:dyDescent="0.3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8" x14ac:dyDescent="0.3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8" x14ac:dyDescent="0.3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8" x14ac:dyDescent="0.3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8" x14ac:dyDescent="0.3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8" x14ac:dyDescent="0.3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8" x14ac:dyDescent="0.3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8" x14ac:dyDescent="0.3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8" x14ac:dyDescent="0.3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8" x14ac:dyDescent="0.3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8" x14ac:dyDescent="0.3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8" x14ac:dyDescent="0.3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8" x14ac:dyDescent="0.3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8" x14ac:dyDescent="0.3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8" x14ac:dyDescent="0.3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8" x14ac:dyDescent="0.3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8" x14ac:dyDescent="0.3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8" x14ac:dyDescent="0.3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8" x14ac:dyDescent="0.3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8" x14ac:dyDescent="0.3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8" x14ac:dyDescent="0.3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8" x14ac:dyDescent="0.3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8" x14ac:dyDescent="0.3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8" x14ac:dyDescent="0.3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8" x14ac:dyDescent="0.3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8" x14ac:dyDescent="0.3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8" x14ac:dyDescent="0.3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8" x14ac:dyDescent="0.3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8" x14ac:dyDescent="0.3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8" x14ac:dyDescent="0.3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8" x14ac:dyDescent="0.3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8" x14ac:dyDescent="0.3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8" x14ac:dyDescent="0.3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8" x14ac:dyDescent="0.3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8" x14ac:dyDescent="0.3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8" x14ac:dyDescent="0.3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8" x14ac:dyDescent="0.3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8" x14ac:dyDescent="0.3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8" x14ac:dyDescent="0.3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8" x14ac:dyDescent="0.3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8" x14ac:dyDescent="0.3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8" x14ac:dyDescent="0.3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8" x14ac:dyDescent="0.3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8" x14ac:dyDescent="0.3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8" x14ac:dyDescent="0.3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8" x14ac:dyDescent="0.3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8" x14ac:dyDescent="0.3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8" x14ac:dyDescent="0.3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8" x14ac:dyDescent="0.3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8" x14ac:dyDescent="0.3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8" x14ac:dyDescent="0.3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8" x14ac:dyDescent="0.3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8" x14ac:dyDescent="0.3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8" x14ac:dyDescent="0.3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8" x14ac:dyDescent="0.3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8" x14ac:dyDescent="0.3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8" x14ac:dyDescent="0.3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8" x14ac:dyDescent="0.3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8" x14ac:dyDescent="0.3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8" x14ac:dyDescent="0.3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8" x14ac:dyDescent="0.3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8" x14ac:dyDescent="0.3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8" x14ac:dyDescent="0.3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8" x14ac:dyDescent="0.3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8" x14ac:dyDescent="0.3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8" x14ac:dyDescent="0.3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8" x14ac:dyDescent="0.3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8" x14ac:dyDescent="0.3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8" x14ac:dyDescent="0.3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8" x14ac:dyDescent="0.3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8" x14ac:dyDescent="0.3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8" x14ac:dyDescent="0.3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8" x14ac:dyDescent="0.3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8" x14ac:dyDescent="0.3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8" x14ac:dyDescent="0.3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8" x14ac:dyDescent="0.3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8" x14ac:dyDescent="0.3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8" x14ac:dyDescent="0.3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8" x14ac:dyDescent="0.3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8" x14ac:dyDescent="0.3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8" x14ac:dyDescent="0.3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8" x14ac:dyDescent="0.3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8" x14ac:dyDescent="0.3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8" x14ac:dyDescent="0.3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8" x14ac:dyDescent="0.3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8" x14ac:dyDescent="0.3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8" x14ac:dyDescent="0.3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8" x14ac:dyDescent="0.3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8" x14ac:dyDescent="0.3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8" x14ac:dyDescent="0.3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8" x14ac:dyDescent="0.3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8" x14ac:dyDescent="0.3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8" x14ac:dyDescent="0.3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8" x14ac:dyDescent="0.3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8" x14ac:dyDescent="0.3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8" x14ac:dyDescent="0.3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8" x14ac:dyDescent="0.3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8" x14ac:dyDescent="0.3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8" x14ac:dyDescent="0.3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8" x14ac:dyDescent="0.3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8" x14ac:dyDescent="0.3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8" x14ac:dyDescent="0.3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8" x14ac:dyDescent="0.3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8" x14ac:dyDescent="0.3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8" x14ac:dyDescent="0.3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8" x14ac:dyDescent="0.3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8" x14ac:dyDescent="0.3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8" x14ac:dyDescent="0.3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8" x14ac:dyDescent="0.3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8" x14ac:dyDescent="0.3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8" x14ac:dyDescent="0.3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8" x14ac:dyDescent="0.3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8" x14ac:dyDescent="0.3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8" x14ac:dyDescent="0.3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8" x14ac:dyDescent="0.3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8" x14ac:dyDescent="0.3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8" x14ac:dyDescent="0.3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8" x14ac:dyDescent="0.3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8" x14ac:dyDescent="0.3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8" x14ac:dyDescent="0.3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8" x14ac:dyDescent="0.3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8" x14ac:dyDescent="0.3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8" x14ac:dyDescent="0.3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8" x14ac:dyDescent="0.3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8" x14ac:dyDescent="0.3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8" x14ac:dyDescent="0.3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8" x14ac:dyDescent="0.3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8" x14ac:dyDescent="0.3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8" x14ac:dyDescent="0.3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8" x14ac:dyDescent="0.3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8" x14ac:dyDescent="0.3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8" x14ac:dyDescent="0.3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8" x14ac:dyDescent="0.3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8" x14ac:dyDescent="0.3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8" x14ac:dyDescent="0.3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8" x14ac:dyDescent="0.3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8" x14ac:dyDescent="0.3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8" x14ac:dyDescent="0.3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8" x14ac:dyDescent="0.3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8" x14ac:dyDescent="0.3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8" x14ac:dyDescent="0.3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8" x14ac:dyDescent="0.3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00 I4:I100">
    <cfRule type="cellIs" dxfId="49" priority="1" stopIfTrue="1" operator="lessThanOrEqual">
      <formula>-0.1</formula>
    </cfRule>
    <cfRule type="expression" dxfId="4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2"/>
  <sheetViews>
    <sheetView workbookViewId="0">
      <pane xSplit="2" ySplit="3" topLeftCell="C10" activePane="bottomRight" state="frozen"/>
      <selection pane="topRight"/>
      <selection pane="bottomLeft"/>
      <selection pane="bottomRight" activeCell="A14" sqref="A14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89" t="str" cm="1">
        <f t="array" ref="A1">portfolio</f>
        <v>Cushman &amp; Wakefield</v>
      </c>
      <c r="B1" s="89"/>
      <c r="C1" s="89"/>
      <c r="D1" s="90" t="s">
        <v>14</v>
      </c>
      <c r="E1" s="90"/>
      <c r="F1" s="90"/>
      <c r="G1" s="88" t="s">
        <v>15</v>
      </c>
      <c r="H1" s="88"/>
      <c r="I1" s="88"/>
    </row>
    <row r="2" spans="1:9" ht="19.5" customHeight="1" x14ac:dyDescent="0.25">
      <c r="A2" s="91" t="s">
        <v>2</v>
      </c>
      <c r="B2" s="91"/>
      <c r="C2" s="5">
        <f>SUM(C4:C100)</f>
        <v>175733.88999999996</v>
      </c>
      <c r="D2" s="5">
        <f>SUM(D4:D100)</f>
        <v>0</v>
      </c>
      <c r="E2" s="5">
        <f>C2-D2</f>
        <v>175733.88999999996</v>
      </c>
      <c r="F2" s="6">
        <f>IFERROR(E2/D2, 0)</f>
        <v>0</v>
      </c>
      <c r="G2" s="5">
        <f>SUM(G4:G100)</f>
        <v>0</v>
      </c>
      <c r="H2" s="7">
        <f>C2-G2</f>
        <v>175733.88999999996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 x14ac:dyDescent="0.25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SUM(Jul!H4, Aug!H4, Sep!H4)</f>
        <v>0</v>
      </c>
      <c r="I4" s="16" t="str">
        <f>IFERROR(H4/G4, "")</f>
        <v/>
      </c>
    </row>
    <row r="5" spans="1:9" ht="15.6" x14ac:dyDescent="0.25">
      <c r="A5" s="17" t="str">
        <v xml:space="preserve"> Apple Valley - Bank of America</v>
      </c>
      <c r="B5" s="10" t="str">
        <v>CA</v>
      </c>
      <c r="C5" s="11">
        <f>SUM(Jul!C5, Aug!C5, Sep!C5)</f>
        <v>0</v>
      </c>
      <c r="D5" s="18">
        <f>SUM(Jul!D5, Aug!D5, Sep!D5)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SUM(Jul!H5, Aug!H5, Sep!H5)</f>
        <v>0</v>
      </c>
      <c r="I5" s="19" t="str">
        <f>IFERROR(H5/G5, "")</f>
        <v/>
      </c>
    </row>
    <row r="6" spans="1:9" ht="15.6" x14ac:dyDescent="0.25">
      <c r="A6" s="12" t="str">
        <v xml:space="preserve"> Arvin - Bank of America</v>
      </c>
      <c r="B6" s="9" t="str">
        <v>CA</v>
      </c>
      <c r="C6" s="24">
        <f>SUM(Jul!C6, Aug!C6, Sep!C6)</f>
        <v>297.83199999999999</v>
      </c>
      <c r="D6" s="13">
        <f>SUM(Jul!D6, Aug!D6, Sep!D6)</f>
        <v>0</v>
      </c>
      <c r="E6" s="13">
        <f t="shared" si="0"/>
        <v>297.83199999999999</v>
      </c>
      <c r="F6" s="14" t="str">
        <f t="shared" ref="F6:F15" si="1">IFERROR(E6/D6, "")</f>
        <v/>
      </c>
      <c r="G6" s="15"/>
      <c r="H6" s="15">
        <f>SUM(Jul!H6, Aug!H6, Sep!H6)</f>
        <v>0</v>
      </c>
      <c r="I6" s="16" t="str">
        <f t="shared" ref="I6:I15" si="2">IFERROR(H6/G6, "")</f>
        <v/>
      </c>
    </row>
    <row r="7" spans="1:9" ht="15.6" x14ac:dyDescent="0.25">
      <c r="A7" s="17" t="str">
        <v xml:space="preserve"> Bell - Bank of America</v>
      </c>
      <c r="B7" s="10" t="str">
        <v>CA</v>
      </c>
      <c r="C7" s="11">
        <f>SUM(Jul!C7, Aug!C7, Sep!C7)</f>
        <v>6517.6639999999998</v>
      </c>
      <c r="D7" s="18">
        <f>SUM(Jul!D7, Aug!D7, Sep!D7)</f>
        <v>0</v>
      </c>
      <c r="E7" s="18">
        <f t="shared" si="0"/>
        <v>6517.6639999999998</v>
      </c>
      <c r="F7" s="19" t="str">
        <f t="shared" si="1"/>
        <v/>
      </c>
      <c r="G7" s="20"/>
      <c r="H7" s="20">
        <f>SUM(Jul!H7, Aug!H7, Sep!H7)</f>
        <v>0</v>
      </c>
      <c r="I7" s="19" t="str">
        <f t="shared" si="2"/>
        <v/>
      </c>
    </row>
    <row r="8" spans="1:9" ht="15.6" x14ac:dyDescent="0.25">
      <c r="A8" s="12" t="str">
        <v xml:space="preserve"> Chula Vista - Bank of America</v>
      </c>
      <c r="B8" s="9" t="str">
        <v>CA</v>
      </c>
      <c r="C8" s="24">
        <f>SUM(Jul!C8, Aug!C8, Sep!C8)</f>
        <v>4171.5219999999999</v>
      </c>
      <c r="D8" s="13">
        <f>SUM(Jul!D8, Aug!D8, Sep!D8)</f>
        <v>0</v>
      </c>
      <c r="E8" s="13">
        <f t="shared" si="0"/>
        <v>4171.5219999999999</v>
      </c>
      <c r="F8" s="14" t="str">
        <f t="shared" si="1"/>
        <v/>
      </c>
      <c r="G8" s="15"/>
      <c r="H8" s="15">
        <f>SUM(Jul!H8, Aug!H8, Sep!H8)</f>
        <v>0</v>
      </c>
      <c r="I8" s="16" t="str">
        <f t="shared" si="2"/>
        <v/>
      </c>
    </row>
    <row r="9" spans="1:9" ht="15.6" x14ac:dyDescent="0.25">
      <c r="A9" s="17" t="str">
        <v xml:space="preserve"> Cupertino - Bank of America</v>
      </c>
      <c r="B9" s="10" t="str">
        <v>CA</v>
      </c>
      <c r="C9" s="11">
        <f>SUM(Jul!C9, Aug!C9, Sep!C9)</f>
        <v>3961.2649999999999</v>
      </c>
      <c r="D9" s="18">
        <f>SUM(Jul!D9, Aug!D9, Sep!D9)</f>
        <v>0</v>
      </c>
      <c r="E9" s="18">
        <f t="shared" si="0"/>
        <v>3961.2649999999999</v>
      </c>
      <c r="F9" s="19" t="str">
        <f t="shared" si="1"/>
        <v/>
      </c>
      <c r="G9" s="20"/>
      <c r="H9" s="20">
        <f>SUM(Jul!H9, Aug!H9, Sep!H9)</f>
        <v>0</v>
      </c>
      <c r="I9" s="19" t="str">
        <f t="shared" si="2"/>
        <v/>
      </c>
    </row>
    <row r="10" spans="1:9" ht="15.6" x14ac:dyDescent="0.25">
      <c r="A10" s="12" t="str">
        <v xml:space="preserve"> Diamond Bar - Bank of America</v>
      </c>
      <c r="B10" s="9" t="str">
        <v>CA</v>
      </c>
      <c r="C10" s="24">
        <f>SUM(Jul!C10, Aug!C10, Sep!C10)</f>
        <v>8534.2179999999989</v>
      </c>
      <c r="D10" s="13">
        <f>SUM(Jul!D10, Aug!D10, Sep!D10)</f>
        <v>0</v>
      </c>
      <c r="E10" s="13">
        <f t="shared" si="0"/>
        <v>8534.2179999999989</v>
      </c>
      <c r="F10" s="14" t="str">
        <f t="shared" si="1"/>
        <v/>
      </c>
      <c r="G10" s="15"/>
      <c r="H10" s="15">
        <f>SUM(Jul!H10, Aug!H10, Sep!H10)</f>
        <v>0</v>
      </c>
      <c r="I10" s="16" t="str">
        <f t="shared" si="2"/>
        <v/>
      </c>
    </row>
    <row r="11" spans="1:9" ht="15.6" x14ac:dyDescent="0.25">
      <c r="A11" s="17" t="str">
        <v xml:space="preserve"> El Centro - Bank of America</v>
      </c>
      <c r="B11" s="10" t="str">
        <v>CA</v>
      </c>
      <c r="C11" s="11">
        <f>SUM(Jul!C11, Aug!C11, Sep!C11)</f>
        <v>8195.0930000000008</v>
      </c>
      <c r="D11" s="18">
        <f>SUM(Jul!D11, Aug!D11, Sep!D11)</f>
        <v>0</v>
      </c>
      <c r="E11" s="18">
        <f t="shared" si="0"/>
        <v>8195.0930000000008</v>
      </c>
      <c r="F11" s="19" t="str">
        <f t="shared" si="1"/>
        <v/>
      </c>
      <c r="G11" s="20"/>
      <c r="H11" s="20">
        <f>SUM(Jul!H11, Aug!H11, Sep!H11)</f>
        <v>0</v>
      </c>
      <c r="I11" s="19" t="str">
        <f t="shared" si="2"/>
        <v/>
      </c>
    </row>
    <row r="12" spans="1:9" ht="15.6" x14ac:dyDescent="0.25">
      <c r="A12" s="12" t="str">
        <v xml:space="preserve"> Moreno Valley - Bank of America</v>
      </c>
      <c r="B12" s="9" t="str">
        <v>CA</v>
      </c>
      <c r="C12" s="24">
        <f>SUM(Jul!C12, Aug!C12, Sep!C12)</f>
        <v>13191.313999999998</v>
      </c>
      <c r="D12" s="13">
        <f>SUM(Jul!D12, Aug!D12, Sep!D12)</f>
        <v>0</v>
      </c>
      <c r="E12" s="13">
        <f t="shared" si="0"/>
        <v>13191.313999999998</v>
      </c>
      <c r="F12" s="14" t="str">
        <f t="shared" si="1"/>
        <v/>
      </c>
      <c r="G12" s="15"/>
      <c r="H12" s="15">
        <f>SUM(Jul!H12, Aug!H12, Sep!H12)</f>
        <v>0</v>
      </c>
      <c r="I12" s="16" t="str">
        <f t="shared" si="2"/>
        <v/>
      </c>
    </row>
    <row r="13" spans="1:9" ht="15.6" x14ac:dyDescent="0.25">
      <c r="A13" s="17" t="str">
        <v xml:space="preserve"> Redlands - Bank of America</v>
      </c>
      <c r="B13" s="10" t="str">
        <v>CA</v>
      </c>
      <c r="C13" s="11">
        <f>SUM(Jul!C13, Aug!C13, Sep!C13)</f>
        <v>0</v>
      </c>
      <c r="D13" s="18">
        <f>SUM(Jul!D13, Aug!D13, Sep!D13)</f>
        <v>0</v>
      </c>
      <c r="E13" s="18">
        <f t="shared" si="0"/>
        <v>0</v>
      </c>
      <c r="F13" s="19" t="str">
        <f t="shared" si="1"/>
        <v/>
      </c>
      <c r="G13" s="20"/>
      <c r="H13" s="20">
        <f>SUM(Jul!H13, Aug!H13, Sep!H13)</f>
        <v>0</v>
      </c>
      <c r="I13" s="19" t="str">
        <f t="shared" si="2"/>
        <v/>
      </c>
    </row>
    <row r="14" spans="1:9" ht="15.6" x14ac:dyDescent="0.25">
      <c r="A14" s="12" t="str">
        <v xml:space="preserve"> Roseville - Bank of America</v>
      </c>
      <c r="B14" s="9" t="str">
        <v>CA</v>
      </c>
      <c r="C14" s="24">
        <f>SUM(Jul!C14, Aug!C14, Sep!C14)</f>
        <v>20894.942999999999</v>
      </c>
      <c r="D14" s="13">
        <f>SUM(Jul!D14, Aug!D14, Sep!D14)</f>
        <v>0</v>
      </c>
      <c r="E14" s="13">
        <f t="shared" si="0"/>
        <v>20894.942999999999</v>
      </c>
      <c r="F14" s="14" t="str">
        <f t="shared" si="1"/>
        <v/>
      </c>
      <c r="G14" s="15"/>
      <c r="H14" s="15">
        <f>SUM(Jul!H14, Aug!H14, Sep!H14)</f>
        <v>0</v>
      </c>
      <c r="I14" s="16" t="str">
        <f t="shared" si="2"/>
        <v/>
      </c>
    </row>
    <row r="15" spans="1:9" ht="15.6" x14ac:dyDescent="0.25">
      <c r="A15" s="17" t="str">
        <v xml:space="preserve"> San Bernardino - Bank of America</v>
      </c>
      <c r="B15" s="10" t="str">
        <v>CA</v>
      </c>
      <c r="C15" s="11">
        <f>SUM(Jul!C15, Aug!C15, Sep!C15)</f>
        <v>258.26100000000002</v>
      </c>
      <c r="D15" s="18">
        <f>SUM(Jul!D15, Aug!D15, Sep!D15)</f>
        <v>0</v>
      </c>
      <c r="E15" s="18">
        <f t="shared" si="0"/>
        <v>258.26100000000002</v>
      </c>
      <c r="F15" s="19" t="str">
        <f t="shared" si="1"/>
        <v/>
      </c>
      <c r="G15" s="20"/>
      <c r="H15" s="20">
        <f>SUM(Jul!H15, Aug!H15, Sep!H15)</f>
        <v>0</v>
      </c>
      <c r="I15" s="19" t="str">
        <f t="shared" si="2"/>
        <v/>
      </c>
    </row>
    <row r="16" spans="1:9" ht="15.6" x14ac:dyDescent="0.25">
      <c r="A16" s="12" t="str">
        <v xml:space="preserve"> San Diego - Bank of America</v>
      </c>
      <c r="B16" s="9" t="str">
        <v>CA</v>
      </c>
      <c r="C16" s="24">
        <f>SUM(Jul!C16, Aug!C16, Sep!C16)</f>
        <v>192.042</v>
      </c>
      <c r="D16" s="13">
        <f>SUM(Jul!D16, Aug!D16, Sep!D16)</f>
        <v>0</v>
      </c>
      <c r="E16" s="13">
        <f t="shared" ref="E16:E19" si="3">IF(AND(ISNUMBER(C16),ISNUMBER(D16)), C16-D16, "")</f>
        <v>192.042</v>
      </c>
      <c r="F16" s="14" t="str">
        <f t="shared" ref="F16:F19" si="4">IFERROR(E16/D16, "")</f>
        <v/>
      </c>
      <c r="G16" s="15"/>
      <c r="H16" s="15">
        <f>SUM(Jul!H16, Aug!H16, Sep!H16)</f>
        <v>0</v>
      </c>
      <c r="I16" s="16" t="str">
        <f t="shared" ref="I16:I19" si="5">IFERROR(H16/G16, "")</f>
        <v/>
      </c>
    </row>
    <row r="17" spans="1:9" ht="15.6" x14ac:dyDescent="0.25">
      <c r="A17" s="17" t="str">
        <v xml:space="preserve"> Stockton - Bank of America</v>
      </c>
      <c r="B17" s="10" t="str">
        <v>CA</v>
      </c>
      <c r="C17" s="11">
        <f>SUM(Jul!C17, Aug!C17, Sep!C17)</f>
        <v>4803.0460000000003</v>
      </c>
      <c r="D17" s="18">
        <f>SUM(Jul!D17, Aug!D17, Sep!D17)</f>
        <v>0</v>
      </c>
      <c r="E17" s="18">
        <f t="shared" si="3"/>
        <v>4803.0460000000003</v>
      </c>
      <c r="F17" s="19" t="str">
        <f t="shared" si="4"/>
        <v/>
      </c>
      <c r="G17" s="20"/>
      <c r="H17" s="20">
        <f>SUM(Jul!H17, Aug!H17, Sep!H17)</f>
        <v>0</v>
      </c>
      <c r="I17" s="19" t="str">
        <f t="shared" si="5"/>
        <v/>
      </c>
    </row>
    <row r="18" spans="1:9" ht="12.75" customHeight="1" x14ac:dyDescent="0.25">
      <c r="A18" s="12" t="str">
        <v xml:space="preserve"> Victorville - Bank of America</v>
      </c>
      <c r="B18" s="9" t="str">
        <v>CA</v>
      </c>
      <c r="C18" s="24">
        <f>SUM(Jul!C18, Aug!C18, Sep!C18)</f>
        <v>0</v>
      </c>
      <c r="D18" s="13">
        <f>SUM(Jul!D18, Aug!D18, Sep!D18)</f>
        <v>0</v>
      </c>
      <c r="E18" s="13">
        <f t="shared" si="3"/>
        <v>0</v>
      </c>
      <c r="F18" s="14" t="str">
        <f t="shared" si="4"/>
        <v/>
      </c>
      <c r="G18" s="15"/>
      <c r="H18" s="15">
        <f>SUM(Jul!H18, Aug!H18, Sep!H18)</f>
        <v>0</v>
      </c>
      <c r="I18" s="16" t="str">
        <f t="shared" si="5"/>
        <v/>
      </c>
    </row>
    <row r="19" spans="1:9" ht="15.6" x14ac:dyDescent="0.25">
      <c r="A19" s="17" t="str">
        <v xml:space="preserve"> Aurora - BA - Colfax Ave</v>
      </c>
      <c r="B19" s="10" t="str">
        <v>CO</v>
      </c>
      <c r="C19" s="11">
        <f>SUM(Jul!C19, Aug!C19, Sep!C19)</f>
        <v>8586.6839999999993</v>
      </c>
      <c r="D19" s="18">
        <f>SUM(Jul!D19, Aug!D19, Sep!D19)</f>
        <v>0</v>
      </c>
      <c r="E19" s="18">
        <f t="shared" si="3"/>
        <v>8586.6839999999993</v>
      </c>
      <c r="F19" s="19" t="str">
        <f t="shared" si="4"/>
        <v/>
      </c>
      <c r="G19" s="20"/>
      <c r="H19" s="20">
        <f>SUM(Jul!H19, Aug!H19, Sep!H19)</f>
        <v>0</v>
      </c>
      <c r="I19" s="19" t="str">
        <f t="shared" si="5"/>
        <v/>
      </c>
    </row>
    <row r="20" spans="1:9" ht="15.6" x14ac:dyDescent="0.25">
      <c r="A20" s="12" t="str">
        <v xml:space="preserve"> Aurora - BA - Parker Rd</v>
      </c>
      <c r="B20" s="9" t="str">
        <v>CO</v>
      </c>
      <c r="C20" s="24">
        <f>SUM(Jul!C20, Aug!C20, Sep!C20)</f>
        <v>6351.5019999999995</v>
      </c>
      <c r="D20" s="13">
        <f>SUM(Jul!D20, Aug!D20, Sep!D20)</f>
        <v>0</v>
      </c>
      <c r="E20" s="13">
        <f t="shared" ref="E20:E38" si="6">IF(AND(ISNUMBER(C20),ISNUMBER(D20)), C20-D20, "")</f>
        <v>6351.5019999999995</v>
      </c>
      <c r="F20" s="14" t="str">
        <f t="shared" ref="F20:F38" si="7">IFERROR(E20/D20, "")</f>
        <v/>
      </c>
      <c r="G20" s="15"/>
      <c r="H20" s="15">
        <f>SUM(Jul!H20, Aug!H20, Sep!H20)</f>
        <v>0</v>
      </c>
      <c r="I20" s="16" t="str">
        <f t="shared" ref="I20:I38" si="8">IFERROR(H20/G20, "")</f>
        <v/>
      </c>
    </row>
    <row r="21" spans="1:9" ht="15.6" x14ac:dyDescent="0.25">
      <c r="A21" s="17" t="str">
        <v xml:space="preserve"> Broomfield - Bank of America</v>
      </c>
      <c r="B21" s="10" t="str">
        <v>CO</v>
      </c>
      <c r="C21" s="11">
        <f>SUM(Jul!C21, Aug!C21, Sep!C21)</f>
        <v>5338.3409999999994</v>
      </c>
      <c r="D21" s="18">
        <f>SUM(Jul!D21, Aug!D21, Sep!D21)</f>
        <v>0</v>
      </c>
      <c r="E21" s="18">
        <f t="shared" si="6"/>
        <v>5338.3409999999994</v>
      </c>
      <c r="F21" s="19" t="str">
        <f t="shared" si="7"/>
        <v/>
      </c>
      <c r="G21" s="20"/>
      <c r="H21" s="20">
        <f>SUM(Jul!H21, Aug!H21, Sep!H21)</f>
        <v>0</v>
      </c>
      <c r="I21" s="19" t="str">
        <f t="shared" si="8"/>
        <v/>
      </c>
    </row>
    <row r="22" spans="1:9" ht="15.6" x14ac:dyDescent="0.25">
      <c r="A22" s="12" t="str">
        <v xml:space="preserve"> Colorado Springs - Bank of America</v>
      </c>
      <c r="B22" s="9" t="str">
        <v>CO</v>
      </c>
      <c r="C22" s="24">
        <f>SUM(Jul!C22, Aug!C22, Sep!C22)</f>
        <v>8108.991</v>
      </c>
      <c r="D22" s="13">
        <f>SUM(Jul!D22, Aug!D22, Sep!D22)</f>
        <v>0</v>
      </c>
      <c r="E22" s="13">
        <f t="shared" si="6"/>
        <v>8108.991</v>
      </c>
      <c r="F22" s="14" t="str">
        <f t="shared" si="7"/>
        <v/>
      </c>
      <c r="G22" s="15"/>
      <c r="H22" s="15">
        <f>SUM(Jul!H22, Aug!H22, Sep!H22)</f>
        <v>0</v>
      </c>
      <c r="I22" s="16" t="str">
        <f t="shared" si="8"/>
        <v/>
      </c>
    </row>
    <row r="23" spans="1:9" ht="15.6" x14ac:dyDescent="0.25">
      <c r="A23" s="17" t="str">
        <v xml:space="preserve"> Denver - BA - 49th Ave</v>
      </c>
      <c r="B23" s="10" t="str">
        <v>CO</v>
      </c>
      <c r="C23" s="11">
        <f>SUM(Jul!C23, Aug!C23, Sep!C23)</f>
        <v>3818.3180000000002</v>
      </c>
      <c r="D23" s="18">
        <f>SUM(Jul!D23, Aug!D23, Sep!D23)</f>
        <v>0</v>
      </c>
      <c r="E23" s="18">
        <f t="shared" si="6"/>
        <v>3818.3180000000002</v>
      </c>
      <c r="F23" s="19" t="str">
        <f t="shared" si="7"/>
        <v/>
      </c>
      <c r="G23" s="20"/>
      <c r="H23" s="20">
        <f>SUM(Jul!H23, Aug!H23, Sep!H23)</f>
        <v>0</v>
      </c>
      <c r="I23" s="19" t="str">
        <f t="shared" si="8"/>
        <v/>
      </c>
    </row>
    <row r="24" spans="1:9" ht="15.6" x14ac:dyDescent="0.25">
      <c r="A24" s="12" t="str">
        <v xml:space="preserve"> Denver - BA Wadsworth Blvd</v>
      </c>
      <c r="B24" s="9" t="str">
        <v>CO</v>
      </c>
      <c r="C24" s="24">
        <f>SUM(Jul!C24, Aug!C24, Sep!C24)</f>
        <v>7473.4479999999994</v>
      </c>
      <c r="D24" s="13">
        <f>SUM(Jul!D24, Aug!D24, Sep!D24)</f>
        <v>0</v>
      </c>
      <c r="E24" s="13">
        <f t="shared" si="6"/>
        <v>7473.4479999999994</v>
      </c>
      <c r="F24" s="14" t="str">
        <f t="shared" si="7"/>
        <v/>
      </c>
      <c r="G24" s="15"/>
      <c r="H24" s="15">
        <f>SUM(Jul!H24, Aug!H24, Sep!H24)</f>
        <v>0</v>
      </c>
      <c r="I24" s="16" t="str">
        <f t="shared" si="8"/>
        <v/>
      </c>
    </row>
    <row r="25" spans="1:9" ht="15.6" x14ac:dyDescent="0.25">
      <c r="A25" s="17" t="str">
        <v xml:space="preserve"> Fort Collins - Bank of America</v>
      </c>
      <c r="B25" s="10" t="str">
        <v>CO</v>
      </c>
      <c r="C25" s="11">
        <f>SUM(Jul!C25, Aug!C25, Sep!C25)</f>
        <v>5108.2070000000003</v>
      </c>
      <c r="D25" s="18">
        <f>SUM(Jul!D25, Aug!D25, Sep!D25)</f>
        <v>0</v>
      </c>
      <c r="E25" s="18">
        <f t="shared" si="6"/>
        <v>5108.2070000000003</v>
      </c>
      <c r="F25" s="19" t="str">
        <f t="shared" si="7"/>
        <v/>
      </c>
      <c r="G25" s="20"/>
      <c r="H25" s="20">
        <f>SUM(Jul!H25, Aug!H25, Sep!H25)</f>
        <v>0</v>
      </c>
      <c r="I25" s="19" t="str">
        <f t="shared" si="8"/>
        <v/>
      </c>
    </row>
    <row r="26" spans="1:9" ht="15.6" x14ac:dyDescent="0.25">
      <c r="A26" s="12" t="str">
        <v xml:space="preserve"> Lafayette - Bank of America</v>
      </c>
      <c r="B26" s="9" t="str">
        <v>CO</v>
      </c>
      <c r="C26" s="24">
        <f>SUM(Jul!C26, Aug!C26, Sep!C26)</f>
        <v>7085.2509999999993</v>
      </c>
      <c r="D26" s="13">
        <f>SUM(Jul!D26, Aug!D26, Sep!D26)</f>
        <v>0</v>
      </c>
      <c r="E26" s="13">
        <f t="shared" si="6"/>
        <v>7085.2509999999993</v>
      </c>
      <c r="F26" s="14" t="str">
        <f t="shared" si="7"/>
        <v/>
      </c>
      <c r="G26" s="15"/>
      <c r="H26" s="15">
        <f>SUM(Jul!H26, Aug!H26, Sep!H26)</f>
        <v>0</v>
      </c>
      <c r="I26" s="16" t="str">
        <f t="shared" si="8"/>
        <v/>
      </c>
    </row>
    <row r="27" spans="1:9" ht="15.6" x14ac:dyDescent="0.25">
      <c r="A27" s="17" t="str">
        <v xml:space="preserve"> Lakewood - Bank of America</v>
      </c>
      <c r="B27" s="10" t="str">
        <v>CO</v>
      </c>
      <c r="C27" s="11">
        <f>SUM(Jul!C27, Aug!C27, Sep!C27)</f>
        <v>4060.442</v>
      </c>
      <c r="D27" s="18">
        <f>SUM(Jul!D27, Aug!D27, Sep!D27)</f>
        <v>0</v>
      </c>
      <c r="E27" s="18">
        <f t="shared" si="6"/>
        <v>4060.442</v>
      </c>
      <c r="F27" s="19" t="str">
        <f t="shared" si="7"/>
        <v/>
      </c>
      <c r="G27" s="20"/>
      <c r="H27" s="20">
        <f>SUM(Jul!H27, Aug!H27, Sep!H27)</f>
        <v>0</v>
      </c>
      <c r="I27" s="19" t="str">
        <f t="shared" si="8"/>
        <v/>
      </c>
    </row>
    <row r="28" spans="1:9" ht="15.6" x14ac:dyDescent="0.25">
      <c r="A28" s="12" t="str">
        <v xml:space="preserve"> Longmont - Bank of America</v>
      </c>
      <c r="B28" s="9" t="str">
        <v>CO</v>
      </c>
      <c r="C28" s="24">
        <f>SUM(Jul!C28, Aug!C28, Sep!C28)</f>
        <v>3619.1770000000006</v>
      </c>
      <c r="D28" s="13">
        <f>SUM(Jul!D28, Aug!D28, Sep!D28)</f>
        <v>0</v>
      </c>
      <c r="E28" s="13">
        <f t="shared" si="6"/>
        <v>3619.1770000000006</v>
      </c>
      <c r="F28" s="14" t="str">
        <f t="shared" si="7"/>
        <v/>
      </c>
      <c r="G28" s="15"/>
      <c r="H28" s="15">
        <f>SUM(Jul!H28, Aug!H28, Sep!H28)</f>
        <v>0</v>
      </c>
      <c r="I28" s="16" t="str">
        <f t="shared" si="8"/>
        <v/>
      </c>
    </row>
    <row r="29" spans="1:9" ht="15.6" x14ac:dyDescent="0.25">
      <c r="A29" s="17" t="str">
        <v xml:space="preserve"> Thornton - Bank of America</v>
      </c>
      <c r="B29" s="10" t="str">
        <v>CO</v>
      </c>
      <c r="C29" s="11">
        <f>SUM(Jul!C29, Aug!C29, Sep!C29)</f>
        <v>4228.1860000000006</v>
      </c>
      <c r="D29" s="18">
        <f>SUM(Jul!D29, Aug!D29, Sep!D29)</f>
        <v>0</v>
      </c>
      <c r="E29" s="18">
        <f t="shared" si="6"/>
        <v>4228.1860000000006</v>
      </c>
      <c r="F29" s="19" t="str">
        <f t="shared" si="7"/>
        <v/>
      </c>
      <c r="G29" s="20"/>
      <c r="H29" s="20">
        <f>SUM(Jul!H29, Aug!H29, Sep!H29)</f>
        <v>0</v>
      </c>
      <c r="I29" s="19" t="str">
        <f t="shared" si="8"/>
        <v/>
      </c>
    </row>
    <row r="30" spans="1:9" ht="15.6" x14ac:dyDescent="0.25">
      <c r="A30" s="12" t="str">
        <v xml:space="preserve"> Calumet City - Bank of America</v>
      </c>
      <c r="B30" s="9" t="str">
        <v>IL</v>
      </c>
      <c r="C30" s="24">
        <f>SUM(Jul!C30, Aug!C30, Sep!C30)</f>
        <v>8101.0040000000008</v>
      </c>
      <c r="D30" s="13">
        <f>SUM(Jul!D30, Aug!D30, Sep!D30)</f>
        <v>0</v>
      </c>
      <c r="E30" s="13">
        <f t="shared" si="6"/>
        <v>8101.0040000000008</v>
      </c>
      <c r="F30" s="14" t="str">
        <f t="shared" si="7"/>
        <v/>
      </c>
      <c r="G30" s="15"/>
      <c r="H30" s="15">
        <f>SUM(Jul!H30, Aug!H30, Sep!H30)</f>
        <v>0</v>
      </c>
      <c r="I30" s="16" t="str">
        <f t="shared" si="8"/>
        <v/>
      </c>
    </row>
    <row r="31" spans="1:9" ht="15.6" x14ac:dyDescent="0.25">
      <c r="A31" s="17" t="str">
        <v xml:space="preserve"> Downers Grove - Bank of America</v>
      </c>
      <c r="B31" s="10" t="str">
        <v>IL</v>
      </c>
      <c r="C31" s="11">
        <f>SUM(Jul!C31, Aug!C31, Sep!C31)</f>
        <v>8995.0580000000009</v>
      </c>
      <c r="D31" s="18">
        <f>SUM(Jul!D31, Aug!D31, Sep!D31)</f>
        <v>0</v>
      </c>
      <c r="E31" s="18">
        <f t="shared" si="6"/>
        <v>8995.0580000000009</v>
      </c>
      <c r="F31" s="19" t="str">
        <f t="shared" si="7"/>
        <v/>
      </c>
      <c r="G31" s="20"/>
      <c r="H31" s="20">
        <f>SUM(Jul!H31, Aug!H31, Sep!H31)</f>
        <v>0</v>
      </c>
      <c r="I31" s="19" t="str">
        <f t="shared" si="8"/>
        <v/>
      </c>
    </row>
    <row r="32" spans="1:9" ht="15.6" x14ac:dyDescent="0.25">
      <c r="A32" s="12" t="str">
        <v xml:space="preserve"> Bloomington - Bank of America</v>
      </c>
      <c r="B32" s="9" t="str">
        <v>MN</v>
      </c>
      <c r="C32" s="24">
        <f>SUM(Jul!C32, Aug!C32, Sep!C32)</f>
        <v>1699.7779999999998</v>
      </c>
      <c r="D32" s="13">
        <f>SUM(Jul!D32, Aug!D32, Sep!D32)</f>
        <v>0</v>
      </c>
      <c r="E32" s="13">
        <f t="shared" si="6"/>
        <v>1699.7779999999998</v>
      </c>
      <c r="F32" s="14" t="str">
        <f t="shared" si="7"/>
        <v/>
      </c>
      <c r="G32" s="15"/>
      <c r="H32" s="15">
        <f>SUM(Jul!H32, Aug!H32, Sep!H32)</f>
        <v>0</v>
      </c>
      <c r="I32" s="16" t="str">
        <f t="shared" si="8"/>
        <v/>
      </c>
    </row>
    <row r="33" spans="1:9" ht="15.6" x14ac:dyDescent="0.25">
      <c r="A33" s="17" t="str">
        <v xml:space="preserve"> Clayton - Bank of America</v>
      </c>
      <c r="B33" s="10" t="str">
        <v>MO</v>
      </c>
      <c r="C33" s="11">
        <f>SUM(Jul!C33, Aug!C33, Sep!C33)</f>
        <v>7322.4620000000004</v>
      </c>
      <c r="D33" s="18">
        <f>SUM(Jul!D33, Aug!D33, Sep!D33)</f>
        <v>0</v>
      </c>
      <c r="E33" s="18">
        <f t="shared" si="6"/>
        <v>7322.4620000000004</v>
      </c>
      <c r="F33" s="19" t="str">
        <f t="shared" si="7"/>
        <v/>
      </c>
      <c r="G33" s="20"/>
      <c r="H33" s="20">
        <f>SUM(Jul!H33, Aug!H33, Sep!H33)</f>
        <v>0</v>
      </c>
      <c r="I33" s="19" t="str">
        <f t="shared" si="8"/>
        <v/>
      </c>
    </row>
    <row r="34" spans="1:9" ht="15.6" x14ac:dyDescent="0.25">
      <c r="A34" s="12" t="str">
        <v xml:space="preserve"> Manchester - Bank of America</v>
      </c>
      <c r="B34" s="9" t="str">
        <v>MO</v>
      </c>
      <c r="C34" s="24">
        <f>SUM(Jul!C34, Aug!C34, Sep!C34)</f>
        <v>6014.8829999999998</v>
      </c>
      <c r="D34" s="13">
        <f>SUM(Jul!D34, Aug!D34, Sep!D34)</f>
        <v>0</v>
      </c>
      <c r="E34" s="13">
        <f t="shared" si="6"/>
        <v>6014.8829999999998</v>
      </c>
      <c r="F34" s="14" t="str">
        <f t="shared" si="7"/>
        <v/>
      </c>
      <c r="G34" s="15"/>
      <c r="H34" s="15">
        <f>SUM(Jul!H34, Aug!H34, Sep!H34)</f>
        <v>0</v>
      </c>
      <c r="I34" s="16" t="str">
        <f t="shared" si="8"/>
        <v/>
      </c>
    </row>
    <row r="35" spans="1:9" ht="15.6" x14ac:dyDescent="0.25">
      <c r="A35" s="17" t="str">
        <v xml:space="preserve"> Las Vegas - BA - Eastern Ave</v>
      </c>
      <c r="B35" s="10" t="str">
        <v>NV</v>
      </c>
      <c r="C35" s="11">
        <f>SUM(Jul!C35, Aug!C35, Sep!C35)</f>
        <v>130.45499999999998</v>
      </c>
      <c r="D35" s="18">
        <f>SUM(Jul!D35, Aug!D35, Sep!D35)</f>
        <v>0</v>
      </c>
      <c r="E35" s="18">
        <f t="shared" si="6"/>
        <v>130.45499999999998</v>
      </c>
      <c r="F35" s="19" t="str">
        <f t="shared" si="7"/>
        <v/>
      </c>
      <c r="G35" s="20"/>
      <c r="H35" s="20">
        <f>SUM(Jul!H35, Aug!H35, Sep!H35)</f>
        <v>0</v>
      </c>
      <c r="I35" s="19" t="str">
        <f t="shared" si="8"/>
        <v/>
      </c>
    </row>
    <row r="36" spans="1:9" ht="15.6" x14ac:dyDescent="0.25">
      <c r="A36" s="12" t="str">
        <v xml:space="preserve"> Las Vegas - BA - Town Ctr Dr</v>
      </c>
      <c r="B36" s="9" t="str">
        <v>NV</v>
      </c>
      <c r="C36" s="24">
        <f>SUM(Jul!C36, Aug!C36, Sep!C36)</f>
        <v>0</v>
      </c>
      <c r="D36" s="13">
        <f>SUM(Jul!D36, Aug!D36, Sep!D36)</f>
        <v>0</v>
      </c>
      <c r="E36" s="13">
        <f t="shared" si="6"/>
        <v>0</v>
      </c>
      <c r="F36" s="14" t="str">
        <f t="shared" si="7"/>
        <v/>
      </c>
      <c r="G36" s="15"/>
      <c r="H36" s="15">
        <f>SUM(Jul!H36, Aug!H36, Sep!H36)</f>
        <v>0</v>
      </c>
      <c r="I36" s="16" t="str">
        <f t="shared" si="8"/>
        <v/>
      </c>
    </row>
    <row r="37" spans="1:9" ht="15.6" x14ac:dyDescent="0.25">
      <c r="A37" s="17" t="str">
        <v xml:space="preserve"> Riverton - Bank of America</v>
      </c>
      <c r="B37" s="10" t="str">
        <v>UT</v>
      </c>
      <c r="C37" s="11">
        <f>SUM(Jul!C37, Aug!C37, Sep!C37)</f>
        <v>8144.08</v>
      </c>
      <c r="D37" s="18">
        <f>SUM(Jul!D37, Aug!D37, Sep!D37)</f>
        <v>0</v>
      </c>
      <c r="E37" s="18">
        <f t="shared" si="6"/>
        <v>8144.08</v>
      </c>
      <c r="F37" s="19" t="str">
        <f t="shared" si="7"/>
        <v/>
      </c>
      <c r="G37" s="20"/>
      <c r="H37" s="20">
        <f>SUM(Jul!H37, Aug!H37, Sep!H37)</f>
        <v>0</v>
      </c>
      <c r="I37" s="19" t="str">
        <f t="shared" si="8"/>
        <v/>
      </c>
    </row>
    <row r="38" spans="1:9" ht="15.6" x14ac:dyDescent="0.25">
      <c r="A38" s="12" t="str">
        <v xml:space="preserve"> Salt Lake City - Bank of America</v>
      </c>
      <c r="B38" s="9" t="str">
        <v>UT</v>
      </c>
      <c r="C38" s="24">
        <f>SUM(Jul!C38, Aug!C38, Sep!C38)</f>
        <v>530.423</v>
      </c>
      <c r="D38" s="13">
        <f>SUM(Jul!D38, Aug!D38, Sep!D38)</f>
        <v>0</v>
      </c>
      <c r="E38" s="13">
        <f t="shared" si="6"/>
        <v>530.423</v>
      </c>
      <c r="F38" s="14" t="str">
        <f t="shared" si="7"/>
        <v/>
      </c>
      <c r="G38" s="15"/>
      <c r="H38" s="15">
        <f>SUM(Jul!H38, Aug!H38, Sep!H38)</f>
        <v>0</v>
      </c>
      <c r="I38" s="16" t="str">
        <f t="shared" si="8"/>
        <v/>
      </c>
    </row>
    <row r="39" spans="1:9" ht="13.8" x14ac:dyDescent="0.3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8" x14ac:dyDescent="0.3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8" x14ac:dyDescent="0.3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8" x14ac:dyDescent="0.3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8" x14ac:dyDescent="0.3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8" x14ac:dyDescent="0.3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8" x14ac:dyDescent="0.3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8" x14ac:dyDescent="0.3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8" x14ac:dyDescent="0.3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8" x14ac:dyDescent="0.3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8" x14ac:dyDescent="0.3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8" x14ac:dyDescent="0.3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8" x14ac:dyDescent="0.3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8" x14ac:dyDescent="0.3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8" x14ac:dyDescent="0.3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8" x14ac:dyDescent="0.3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8" x14ac:dyDescent="0.3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8" x14ac:dyDescent="0.3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8" x14ac:dyDescent="0.3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8" x14ac:dyDescent="0.3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8" x14ac:dyDescent="0.3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8" x14ac:dyDescent="0.3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8" x14ac:dyDescent="0.3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8" x14ac:dyDescent="0.3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8" x14ac:dyDescent="0.3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8" x14ac:dyDescent="0.3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8" x14ac:dyDescent="0.3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8" x14ac:dyDescent="0.3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8" x14ac:dyDescent="0.3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8" x14ac:dyDescent="0.3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8" x14ac:dyDescent="0.3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8" x14ac:dyDescent="0.3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8" x14ac:dyDescent="0.3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8" x14ac:dyDescent="0.3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8" x14ac:dyDescent="0.3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8" x14ac:dyDescent="0.3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8" x14ac:dyDescent="0.3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8" x14ac:dyDescent="0.3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8" x14ac:dyDescent="0.3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8" x14ac:dyDescent="0.3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8" x14ac:dyDescent="0.3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8" x14ac:dyDescent="0.3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8" x14ac:dyDescent="0.3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8" x14ac:dyDescent="0.3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8" x14ac:dyDescent="0.3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8" x14ac:dyDescent="0.3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8" x14ac:dyDescent="0.3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8" x14ac:dyDescent="0.3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8" x14ac:dyDescent="0.3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8" x14ac:dyDescent="0.3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8" x14ac:dyDescent="0.3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8" x14ac:dyDescent="0.3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8" x14ac:dyDescent="0.3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8" x14ac:dyDescent="0.3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8" x14ac:dyDescent="0.3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8" x14ac:dyDescent="0.3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8" x14ac:dyDescent="0.3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8" x14ac:dyDescent="0.3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8" x14ac:dyDescent="0.3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8" x14ac:dyDescent="0.3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8" x14ac:dyDescent="0.3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8" x14ac:dyDescent="0.3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8" x14ac:dyDescent="0.3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8" x14ac:dyDescent="0.3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8" x14ac:dyDescent="0.3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8" x14ac:dyDescent="0.3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8" x14ac:dyDescent="0.3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8" x14ac:dyDescent="0.3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8" x14ac:dyDescent="0.3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8" x14ac:dyDescent="0.3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8" x14ac:dyDescent="0.3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8" x14ac:dyDescent="0.3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8" x14ac:dyDescent="0.3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8" x14ac:dyDescent="0.3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8" x14ac:dyDescent="0.3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8" x14ac:dyDescent="0.3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8" x14ac:dyDescent="0.3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8" x14ac:dyDescent="0.3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8" x14ac:dyDescent="0.3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8" x14ac:dyDescent="0.3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8" x14ac:dyDescent="0.3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8" x14ac:dyDescent="0.3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8" x14ac:dyDescent="0.3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8" x14ac:dyDescent="0.3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8" x14ac:dyDescent="0.3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8" x14ac:dyDescent="0.3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8" x14ac:dyDescent="0.3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8" x14ac:dyDescent="0.3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8" x14ac:dyDescent="0.3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8" x14ac:dyDescent="0.3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8" x14ac:dyDescent="0.3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8" x14ac:dyDescent="0.3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8" x14ac:dyDescent="0.3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8" x14ac:dyDescent="0.3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8" x14ac:dyDescent="0.3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8" x14ac:dyDescent="0.3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8" x14ac:dyDescent="0.3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8" x14ac:dyDescent="0.3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8" x14ac:dyDescent="0.3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8" x14ac:dyDescent="0.3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8" x14ac:dyDescent="0.3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8" x14ac:dyDescent="0.3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8" x14ac:dyDescent="0.3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8" x14ac:dyDescent="0.3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8" x14ac:dyDescent="0.3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8" x14ac:dyDescent="0.3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8" x14ac:dyDescent="0.3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8" x14ac:dyDescent="0.3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8" x14ac:dyDescent="0.3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8" x14ac:dyDescent="0.3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8" x14ac:dyDescent="0.3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8" x14ac:dyDescent="0.3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8" x14ac:dyDescent="0.3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8" x14ac:dyDescent="0.3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8" x14ac:dyDescent="0.3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8" x14ac:dyDescent="0.3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8" x14ac:dyDescent="0.3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8" x14ac:dyDescent="0.3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8" x14ac:dyDescent="0.3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8" x14ac:dyDescent="0.3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8" x14ac:dyDescent="0.3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8" x14ac:dyDescent="0.3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8" x14ac:dyDescent="0.3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8" x14ac:dyDescent="0.3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8" x14ac:dyDescent="0.3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8" x14ac:dyDescent="0.3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8" x14ac:dyDescent="0.3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8" x14ac:dyDescent="0.3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8" x14ac:dyDescent="0.3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8" x14ac:dyDescent="0.3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8" x14ac:dyDescent="0.3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8" x14ac:dyDescent="0.3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8" x14ac:dyDescent="0.3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8" x14ac:dyDescent="0.3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8" x14ac:dyDescent="0.3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8" x14ac:dyDescent="0.3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8" x14ac:dyDescent="0.3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8" x14ac:dyDescent="0.3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8" x14ac:dyDescent="0.3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8" x14ac:dyDescent="0.3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8" x14ac:dyDescent="0.3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8" x14ac:dyDescent="0.3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8" x14ac:dyDescent="0.3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8" x14ac:dyDescent="0.3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8" x14ac:dyDescent="0.3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8" x14ac:dyDescent="0.3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8" x14ac:dyDescent="0.3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8" x14ac:dyDescent="0.3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8" x14ac:dyDescent="0.3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8" x14ac:dyDescent="0.3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8" x14ac:dyDescent="0.3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8" x14ac:dyDescent="0.3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8" x14ac:dyDescent="0.3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8" x14ac:dyDescent="0.3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8" x14ac:dyDescent="0.3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8" x14ac:dyDescent="0.3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8" x14ac:dyDescent="0.3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8" x14ac:dyDescent="0.3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8" x14ac:dyDescent="0.3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8" x14ac:dyDescent="0.3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8" x14ac:dyDescent="0.3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8" x14ac:dyDescent="0.3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8" x14ac:dyDescent="0.3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8" x14ac:dyDescent="0.3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8" x14ac:dyDescent="0.3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8" x14ac:dyDescent="0.3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8" x14ac:dyDescent="0.3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8" x14ac:dyDescent="0.3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8" x14ac:dyDescent="0.3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8" x14ac:dyDescent="0.3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8" x14ac:dyDescent="0.3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8" x14ac:dyDescent="0.3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8" x14ac:dyDescent="0.3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8" x14ac:dyDescent="0.3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8" x14ac:dyDescent="0.3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8" x14ac:dyDescent="0.3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8" x14ac:dyDescent="0.3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8" x14ac:dyDescent="0.3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8" x14ac:dyDescent="0.3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8" x14ac:dyDescent="0.3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8" x14ac:dyDescent="0.3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8" x14ac:dyDescent="0.3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8" x14ac:dyDescent="0.3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8" x14ac:dyDescent="0.3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8" x14ac:dyDescent="0.3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8" x14ac:dyDescent="0.3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8" x14ac:dyDescent="0.3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8" x14ac:dyDescent="0.3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8" x14ac:dyDescent="0.3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8" x14ac:dyDescent="0.3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8" x14ac:dyDescent="0.3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8" x14ac:dyDescent="0.3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8" x14ac:dyDescent="0.3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8" x14ac:dyDescent="0.3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8" x14ac:dyDescent="0.3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8" x14ac:dyDescent="0.3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8" x14ac:dyDescent="0.3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8" x14ac:dyDescent="0.3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8" x14ac:dyDescent="0.3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8" x14ac:dyDescent="0.3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8" x14ac:dyDescent="0.3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8" x14ac:dyDescent="0.3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8" x14ac:dyDescent="0.3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8" x14ac:dyDescent="0.3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8" x14ac:dyDescent="0.3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8" x14ac:dyDescent="0.3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8" x14ac:dyDescent="0.3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8" x14ac:dyDescent="0.3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8" x14ac:dyDescent="0.3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8" x14ac:dyDescent="0.3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8" x14ac:dyDescent="0.3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8" x14ac:dyDescent="0.3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8" x14ac:dyDescent="0.3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8" x14ac:dyDescent="0.3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8" x14ac:dyDescent="0.3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8" x14ac:dyDescent="0.3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8" x14ac:dyDescent="0.3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8" x14ac:dyDescent="0.3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8" x14ac:dyDescent="0.3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8" x14ac:dyDescent="0.3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8" x14ac:dyDescent="0.3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8" x14ac:dyDescent="0.3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8" x14ac:dyDescent="0.3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8" x14ac:dyDescent="0.3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8" x14ac:dyDescent="0.3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8" x14ac:dyDescent="0.3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8" x14ac:dyDescent="0.3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8" x14ac:dyDescent="0.3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8" x14ac:dyDescent="0.3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8" x14ac:dyDescent="0.3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8" x14ac:dyDescent="0.3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8" x14ac:dyDescent="0.3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8" x14ac:dyDescent="0.3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8" x14ac:dyDescent="0.3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8" x14ac:dyDescent="0.3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8" x14ac:dyDescent="0.3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8" x14ac:dyDescent="0.3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8" x14ac:dyDescent="0.3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8" x14ac:dyDescent="0.3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8" x14ac:dyDescent="0.3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8" x14ac:dyDescent="0.3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8" x14ac:dyDescent="0.3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8" x14ac:dyDescent="0.3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8" x14ac:dyDescent="0.3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8" x14ac:dyDescent="0.3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8" x14ac:dyDescent="0.3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8" x14ac:dyDescent="0.3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8" x14ac:dyDescent="0.3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8" x14ac:dyDescent="0.3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8" x14ac:dyDescent="0.3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8" x14ac:dyDescent="0.3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8" x14ac:dyDescent="0.3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8" x14ac:dyDescent="0.3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8" x14ac:dyDescent="0.3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8" x14ac:dyDescent="0.3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8" x14ac:dyDescent="0.3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8" x14ac:dyDescent="0.3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8" x14ac:dyDescent="0.3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8" x14ac:dyDescent="0.3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8" x14ac:dyDescent="0.3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8" x14ac:dyDescent="0.3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8" x14ac:dyDescent="0.3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8" x14ac:dyDescent="0.3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8" x14ac:dyDescent="0.3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8" x14ac:dyDescent="0.3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8" x14ac:dyDescent="0.3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8" x14ac:dyDescent="0.3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8" x14ac:dyDescent="0.3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8" x14ac:dyDescent="0.3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8" x14ac:dyDescent="0.3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8" x14ac:dyDescent="0.3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8" x14ac:dyDescent="0.3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8" x14ac:dyDescent="0.3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8" x14ac:dyDescent="0.3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8" x14ac:dyDescent="0.3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8" x14ac:dyDescent="0.3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8" x14ac:dyDescent="0.3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8" x14ac:dyDescent="0.3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8" x14ac:dyDescent="0.3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8" x14ac:dyDescent="0.3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8" x14ac:dyDescent="0.3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8" x14ac:dyDescent="0.3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8" x14ac:dyDescent="0.3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8" x14ac:dyDescent="0.3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8" x14ac:dyDescent="0.3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8" x14ac:dyDescent="0.3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8" x14ac:dyDescent="0.3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8" x14ac:dyDescent="0.3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8" x14ac:dyDescent="0.3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8" x14ac:dyDescent="0.3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8" x14ac:dyDescent="0.3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8" x14ac:dyDescent="0.3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8" x14ac:dyDescent="0.3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8" x14ac:dyDescent="0.3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8" x14ac:dyDescent="0.3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8" x14ac:dyDescent="0.3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8" x14ac:dyDescent="0.3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8" x14ac:dyDescent="0.3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8" x14ac:dyDescent="0.3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8" x14ac:dyDescent="0.3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8" x14ac:dyDescent="0.3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8" x14ac:dyDescent="0.3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8" x14ac:dyDescent="0.3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8" x14ac:dyDescent="0.3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47" priority="1" stopIfTrue="1" operator="lessThanOrEqual">
      <formula>-0.1</formula>
    </cfRule>
    <cfRule type="expression" dxfId="4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2"/>
  <sheetViews>
    <sheetView workbookViewId="0">
      <pane xSplit="2" ySplit="3" topLeftCell="M22" activePane="bottomRight" state="frozen"/>
      <selection pane="topRight"/>
      <selection pane="bottomLeft"/>
      <selection pane="bottomRight" activeCell="M22" sqref="M22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89" t="str" cm="1">
        <f t="array" ref="A1">portfolio</f>
        <v>Cushman &amp; Wakefield</v>
      </c>
      <c r="B1" s="89"/>
      <c r="C1" s="89"/>
      <c r="D1" s="90" t="s">
        <v>16</v>
      </c>
      <c r="E1" s="90"/>
      <c r="F1" s="90"/>
      <c r="G1" s="88" t="s">
        <v>17</v>
      </c>
      <c r="H1" s="88"/>
      <c r="I1" s="88"/>
    </row>
    <row r="2" spans="1:9" ht="19.5" customHeight="1" x14ac:dyDescent="0.25">
      <c r="A2" s="91" t="s">
        <v>2</v>
      </c>
      <c r="B2" s="91"/>
      <c r="C2" s="5">
        <f>SUM(C4:C100)</f>
        <v>73341.599999999991</v>
      </c>
      <c r="D2" s="5">
        <f>SUM(D4:D100)</f>
        <v>0</v>
      </c>
      <c r="E2" s="5">
        <f>C2-D2</f>
        <v>73341.599999999991</v>
      </c>
      <c r="F2" s="6">
        <f>IFERROR(E2/D2, 0)</f>
        <v>0</v>
      </c>
      <c r="G2" s="5">
        <f>SUM(G4:G100)</f>
        <v>0</v>
      </c>
      <c r="H2" s="7">
        <f>C2-G2</f>
        <v>73341.599999999991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 x14ac:dyDescent="0.25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5.6" x14ac:dyDescent="0.25">
      <c r="A5" s="17" t="str">
        <v xml:space="preserve"> Apple Valley - Bank of America</v>
      </c>
      <c r="B5" s="10" t="str">
        <v>CA</v>
      </c>
      <c r="C5" s="11">
        <f>SUM(Oct!C5, Nov!C5, Dec!C5)</f>
        <v>0</v>
      </c>
      <c r="D5" s="18">
        <f>SUM(Oct!D5, Nov!D5, Dec!D5)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SUM(Oct!H5, Nov!H5, Dec!H5)</f>
        <v>0</v>
      </c>
      <c r="I5" s="19" t="str">
        <f>IFERROR(H5/G5, "")</f>
        <v/>
      </c>
    </row>
    <row r="6" spans="1:9" ht="15.6" x14ac:dyDescent="0.25">
      <c r="A6" s="12" t="str">
        <v xml:space="preserve"> Arvin - Bank of America</v>
      </c>
      <c r="B6" s="9" t="str">
        <v>CA</v>
      </c>
      <c r="C6" s="24">
        <f>SUM(Oct!C6, Nov!C6, Dec!C6)</f>
        <v>144.381</v>
      </c>
      <c r="D6" s="13">
        <f>SUM(Oct!D6, Nov!D6, Dec!D6)</f>
        <v>0</v>
      </c>
      <c r="E6" s="13">
        <f t="shared" si="0"/>
        <v>144.381</v>
      </c>
      <c r="F6" s="14" t="str">
        <f t="shared" ref="F6:F15" si="1">IFERROR(E6/D6, "")</f>
        <v/>
      </c>
      <c r="G6" s="15"/>
      <c r="H6" s="15">
        <f>SUM(Oct!H6, Nov!H6, Dec!H6)</f>
        <v>0</v>
      </c>
      <c r="I6" s="16" t="str">
        <f t="shared" ref="I6:I15" si="2">IFERROR(H6/G6, "")</f>
        <v/>
      </c>
    </row>
    <row r="7" spans="1:9" ht="15.6" x14ac:dyDescent="0.25">
      <c r="A7" s="17" t="str">
        <v xml:space="preserve"> Bell - Bank of America</v>
      </c>
      <c r="B7" s="10" t="str">
        <v>CA</v>
      </c>
      <c r="C7" s="11">
        <f>SUM(Oct!C7, Nov!C7, Dec!C7)</f>
        <v>3171.1800000000003</v>
      </c>
      <c r="D7" s="18">
        <f>SUM(Oct!D7, Nov!D7, Dec!D7)</f>
        <v>0</v>
      </c>
      <c r="E7" s="18">
        <f t="shared" si="0"/>
        <v>3171.1800000000003</v>
      </c>
      <c r="F7" s="19" t="str">
        <f t="shared" si="1"/>
        <v/>
      </c>
      <c r="G7" s="20"/>
      <c r="H7" s="20">
        <f>SUM(Oct!H7, Nov!H7, Dec!H7)</f>
        <v>0</v>
      </c>
      <c r="I7" s="19" t="str">
        <f t="shared" si="2"/>
        <v/>
      </c>
    </row>
    <row r="8" spans="1:9" ht="15.6" x14ac:dyDescent="0.25">
      <c r="A8" s="12" t="str">
        <v xml:space="preserve"> Chula Vista - Bank of America</v>
      </c>
      <c r="B8" s="9" t="str">
        <v>CA</v>
      </c>
      <c r="C8" s="24">
        <f>SUM(Oct!C8, Nov!C8, Dec!C8)</f>
        <v>2088.5740000000001</v>
      </c>
      <c r="D8" s="13">
        <f>SUM(Oct!D8, Nov!D8, Dec!D8)</f>
        <v>0</v>
      </c>
      <c r="E8" s="13">
        <f t="shared" si="0"/>
        <v>2088.5740000000001</v>
      </c>
      <c r="F8" s="14" t="str">
        <f t="shared" si="1"/>
        <v/>
      </c>
      <c r="G8" s="15"/>
      <c r="H8" s="15">
        <f>SUM(Oct!H8, Nov!H8, Dec!H8)</f>
        <v>0</v>
      </c>
      <c r="I8" s="16" t="str">
        <f t="shared" si="2"/>
        <v/>
      </c>
    </row>
    <row r="9" spans="1:9" ht="15.6" x14ac:dyDescent="0.25">
      <c r="A9" s="17" t="str">
        <v xml:space="preserve"> Cupertino - Bank of America</v>
      </c>
      <c r="B9" s="10" t="str">
        <v>CA</v>
      </c>
      <c r="C9" s="11">
        <f>SUM(Oct!C9, Nov!C9, Dec!C9)</f>
        <v>2724.58</v>
      </c>
      <c r="D9" s="18">
        <f>SUM(Oct!D9, Nov!D9, Dec!D9)</f>
        <v>0</v>
      </c>
      <c r="E9" s="18">
        <f t="shared" si="0"/>
        <v>2724.58</v>
      </c>
      <c r="F9" s="19" t="str">
        <f t="shared" si="1"/>
        <v/>
      </c>
      <c r="G9" s="20"/>
      <c r="H9" s="20">
        <f>SUM(Oct!H9, Nov!H9, Dec!H9)</f>
        <v>0</v>
      </c>
      <c r="I9" s="19" t="str">
        <f t="shared" si="2"/>
        <v/>
      </c>
    </row>
    <row r="10" spans="1:9" ht="15.6" x14ac:dyDescent="0.25">
      <c r="A10" s="12" t="str">
        <v xml:space="preserve"> Diamond Bar - Bank of America</v>
      </c>
      <c r="B10" s="9" t="str">
        <v>CA</v>
      </c>
      <c r="C10" s="24">
        <f>SUM(Oct!C10, Nov!C10, Dec!C10)</f>
        <v>4832.72</v>
      </c>
      <c r="D10" s="13">
        <f>SUM(Oct!D10, Nov!D10, Dec!D10)</f>
        <v>0</v>
      </c>
      <c r="E10" s="13">
        <f t="shared" si="0"/>
        <v>4832.72</v>
      </c>
      <c r="F10" s="14" t="str">
        <f t="shared" si="1"/>
        <v/>
      </c>
      <c r="G10" s="15"/>
      <c r="H10" s="15">
        <f>SUM(Oct!H10, Nov!H10, Dec!H10)</f>
        <v>0</v>
      </c>
      <c r="I10" s="16" t="str">
        <f t="shared" si="2"/>
        <v/>
      </c>
    </row>
    <row r="11" spans="1:9" ht="15.6" x14ac:dyDescent="0.25">
      <c r="A11" s="17" t="str">
        <v xml:space="preserve"> El Centro - Bank of America</v>
      </c>
      <c r="B11" s="10" t="str">
        <v>CA</v>
      </c>
      <c r="C11" s="11">
        <f>SUM(Oct!C11, Nov!C11, Dec!C11)</f>
        <v>4316.9529999999995</v>
      </c>
      <c r="D11" s="18">
        <f>SUM(Oct!D11, Nov!D11, Dec!D11)</f>
        <v>0</v>
      </c>
      <c r="E11" s="18">
        <f t="shared" si="0"/>
        <v>4316.9529999999995</v>
      </c>
      <c r="F11" s="19" t="str">
        <f t="shared" si="1"/>
        <v/>
      </c>
      <c r="G11" s="20"/>
      <c r="H11" s="20">
        <f>SUM(Oct!H11, Nov!H11, Dec!H11)</f>
        <v>0</v>
      </c>
      <c r="I11" s="19" t="str">
        <f t="shared" si="2"/>
        <v/>
      </c>
    </row>
    <row r="12" spans="1:9" ht="15.6" x14ac:dyDescent="0.25">
      <c r="A12" s="12" t="str">
        <v xml:space="preserve"> Moreno Valley - Bank of America</v>
      </c>
      <c r="B12" s="9" t="str">
        <v>CA</v>
      </c>
      <c r="C12" s="24">
        <f>SUM(Oct!C12, Nov!C12, Dec!C12)</f>
        <v>6049.3530000000001</v>
      </c>
      <c r="D12" s="13">
        <f>SUM(Oct!D12, Nov!D12, Dec!D12)</f>
        <v>0</v>
      </c>
      <c r="E12" s="13">
        <f t="shared" si="0"/>
        <v>6049.3530000000001</v>
      </c>
      <c r="F12" s="14" t="str">
        <f t="shared" si="1"/>
        <v/>
      </c>
      <c r="G12" s="15"/>
      <c r="H12" s="15">
        <f>SUM(Oct!H12, Nov!H12, Dec!H12)</f>
        <v>0</v>
      </c>
      <c r="I12" s="16" t="str">
        <f t="shared" si="2"/>
        <v/>
      </c>
    </row>
    <row r="13" spans="1:9" ht="15.6" x14ac:dyDescent="0.25">
      <c r="A13" s="17" t="str">
        <v xml:space="preserve"> Redlands - Bank of America</v>
      </c>
      <c r="B13" s="10" t="str">
        <v>CA</v>
      </c>
      <c r="C13" s="11">
        <f>SUM(Oct!C13, Nov!C13, Dec!C13)</f>
        <v>0</v>
      </c>
      <c r="D13" s="18">
        <f>SUM(Oct!D13, Nov!D13, Dec!D13)</f>
        <v>0</v>
      </c>
      <c r="E13" s="18">
        <f t="shared" si="0"/>
        <v>0</v>
      </c>
      <c r="F13" s="19" t="str">
        <f t="shared" si="1"/>
        <v/>
      </c>
      <c r="G13" s="20"/>
      <c r="H13" s="20">
        <f>SUM(Oct!H13, Nov!H13, Dec!H13)</f>
        <v>0</v>
      </c>
      <c r="I13" s="19" t="str">
        <f t="shared" si="2"/>
        <v/>
      </c>
    </row>
    <row r="14" spans="1:9" ht="15.6" x14ac:dyDescent="0.25">
      <c r="A14" s="12" t="str">
        <v xml:space="preserve"> Roseville - Bank of America</v>
      </c>
      <c r="B14" s="9" t="str">
        <v>CA</v>
      </c>
      <c r="C14" s="24">
        <f>SUM(Oct!C14, Nov!C14, Dec!C14)</f>
        <v>7202</v>
      </c>
      <c r="D14" s="13">
        <f>SUM(Oct!D14, Nov!D14, Dec!D14)</f>
        <v>0</v>
      </c>
      <c r="E14" s="13">
        <f t="shared" si="0"/>
        <v>7202</v>
      </c>
      <c r="F14" s="14" t="str">
        <f t="shared" si="1"/>
        <v/>
      </c>
      <c r="G14" s="15"/>
      <c r="H14" s="15">
        <f>SUM(Oct!H14, Nov!H14, Dec!H14)</f>
        <v>0</v>
      </c>
      <c r="I14" s="16" t="str">
        <f t="shared" si="2"/>
        <v/>
      </c>
    </row>
    <row r="15" spans="1:9" ht="15.6" x14ac:dyDescent="0.25">
      <c r="A15" s="17" t="str">
        <v xml:space="preserve"> San Bernardino - Bank of America</v>
      </c>
      <c r="B15" s="10" t="str">
        <v>CA</v>
      </c>
      <c r="C15" s="11">
        <f>SUM(Oct!C15, Nov!C15, Dec!C15)</f>
        <v>73.709999999999994</v>
      </c>
      <c r="D15" s="18">
        <f>SUM(Oct!D15, Nov!D15, Dec!D15)</f>
        <v>0</v>
      </c>
      <c r="E15" s="18">
        <f t="shared" si="0"/>
        <v>73.709999999999994</v>
      </c>
      <c r="F15" s="19" t="str">
        <f t="shared" si="1"/>
        <v/>
      </c>
      <c r="G15" s="20"/>
      <c r="H15" s="20">
        <f>SUM(Oct!H15, Nov!H15, Dec!H15)</f>
        <v>0</v>
      </c>
      <c r="I15" s="19" t="str">
        <f t="shared" si="2"/>
        <v/>
      </c>
    </row>
    <row r="16" spans="1:9" ht="15.6" x14ac:dyDescent="0.25">
      <c r="A16" s="12" t="str">
        <v xml:space="preserve"> San Diego - Bank of America</v>
      </c>
      <c r="B16" s="9" t="str">
        <v>CA</v>
      </c>
      <c r="C16" s="24">
        <f>SUM(Oct!C16, Nov!C16, Dec!C16)</f>
        <v>60.433</v>
      </c>
      <c r="D16" s="13">
        <f>SUM(Oct!D16, Nov!D16, Dec!D16)</f>
        <v>0</v>
      </c>
      <c r="E16" s="13">
        <f t="shared" ref="E16:E17" si="3">IF(AND(ISNUMBER(C16),ISNUMBER(D16)), C16-D16, "")</f>
        <v>60.433</v>
      </c>
      <c r="F16" s="14" t="str">
        <f t="shared" ref="F16:F17" si="4">IFERROR(E16/D16, "")</f>
        <v/>
      </c>
      <c r="G16" s="15"/>
      <c r="H16" s="15">
        <f>SUM(Oct!H16, Nov!H16, Dec!H16)</f>
        <v>0</v>
      </c>
      <c r="I16" s="16" t="str">
        <f t="shared" ref="I16:I17" si="5">IFERROR(H16/G16, "")</f>
        <v/>
      </c>
    </row>
    <row r="17" spans="1:9" ht="15.6" x14ac:dyDescent="0.25">
      <c r="A17" s="17" t="str">
        <v xml:space="preserve"> Stockton - Bank of America</v>
      </c>
      <c r="B17" s="10" t="str">
        <v>CA</v>
      </c>
      <c r="C17" s="11">
        <f>SUM(Oct!C17, Nov!C17, Dec!C17)</f>
        <v>1092.049</v>
      </c>
      <c r="D17" s="18">
        <f>SUM(Oct!D17, Nov!D17, Dec!D17)</f>
        <v>0</v>
      </c>
      <c r="E17" s="18">
        <f t="shared" si="3"/>
        <v>1092.049</v>
      </c>
      <c r="F17" s="19" t="str">
        <f t="shared" si="4"/>
        <v/>
      </c>
      <c r="G17" s="20"/>
      <c r="H17" s="20">
        <f>SUM(Oct!H17, Nov!H17, Dec!H17)</f>
        <v>0</v>
      </c>
      <c r="I17" s="19" t="str">
        <f t="shared" si="5"/>
        <v/>
      </c>
    </row>
    <row r="18" spans="1:9" ht="12.75" customHeight="1" x14ac:dyDescent="0.25">
      <c r="A18" s="12" t="str">
        <v xml:space="preserve"> Victorville - Bank of America</v>
      </c>
      <c r="B18" s="9" t="str">
        <v>CA</v>
      </c>
      <c r="C18" s="24">
        <f>SUM(Oct!C18, Nov!C18, Dec!C18)</f>
        <v>0</v>
      </c>
      <c r="D18" s="13">
        <f>SUM(Oct!D18, Nov!D18, Dec!D18)</f>
        <v>0</v>
      </c>
      <c r="E18" s="13">
        <f t="shared" ref="E18:E38" si="6">IF(AND(ISNUMBER(C18),ISNUMBER(D18)), C18-D18, "")</f>
        <v>0</v>
      </c>
      <c r="F18" s="14" t="str">
        <f t="shared" ref="F18:F38" si="7">IFERROR(E18/D18, "")</f>
        <v/>
      </c>
      <c r="G18" s="15"/>
      <c r="H18" s="15">
        <f>SUM(Oct!H18, Nov!H18, Dec!H18)</f>
        <v>0</v>
      </c>
      <c r="I18" s="16" t="str">
        <f t="shared" ref="I18:I38" si="8">IFERROR(H18/G18, "")</f>
        <v/>
      </c>
    </row>
    <row r="19" spans="1:9" ht="15.6" x14ac:dyDescent="0.25">
      <c r="A19" s="17" t="str">
        <v xml:space="preserve"> Aurora - BA - Colfax Ave</v>
      </c>
      <c r="B19" s="10" t="str">
        <v>CO</v>
      </c>
      <c r="C19" s="11">
        <f>SUM(Oct!C19, Nov!C19, Dec!C19)</f>
        <v>1635.066</v>
      </c>
      <c r="D19" s="18">
        <f>SUM(Oct!D19, Nov!D19, Dec!D19)</f>
        <v>0</v>
      </c>
      <c r="E19" s="18">
        <f t="shared" si="6"/>
        <v>1635.066</v>
      </c>
      <c r="F19" s="19" t="str">
        <f t="shared" si="7"/>
        <v/>
      </c>
      <c r="G19" s="20"/>
      <c r="H19" s="20">
        <f>SUM(Oct!H19, Nov!H19, Dec!H19)</f>
        <v>0</v>
      </c>
      <c r="I19" s="19" t="str">
        <f t="shared" si="8"/>
        <v/>
      </c>
    </row>
    <row r="20" spans="1:9" ht="15.6" x14ac:dyDescent="0.25">
      <c r="A20" s="12" t="str">
        <v xml:space="preserve"> Aurora - BA - Parker Rd</v>
      </c>
      <c r="B20" s="9" t="str">
        <v>CO</v>
      </c>
      <c r="C20" s="24">
        <f>SUM(Oct!C20, Nov!C20, Dec!C20)</f>
        <v>4714.3850000000002</v>
      </c>
      <c r="D20" s="13">
        <f>SUM(Oct!D20, Nov!D20, Dec!D20)</f>
        <v>0</v>
      </c>
      <c r="E20" s="13">
        <f t="shared" si="6"/>
        <v>4714.3850000000002</v>
      </c>
      <c r="F20" s="14" t="str">
        <f t="shared" si="7"/>
        <v/>
      </c>
      <c r="G20" s="15"/>
      <c r="H20" s="15">
        <f>SUM(Oct!H20, Nov!H20, Dec!H20)</f>
        <v>0</v>
      </c>
      <c r="I20" s="16" t="str">
        <f t="shared" si="8"/>
        <v/>
      </c>
    </row>
    <row r="21" spans="1:9" ht="15.6" x14ac:dyDescent="0.25">
      <c r="A21" s="17" t="str">
        <v xml:space="preserve"> Broomfield - Bank of America</v>
      </c>
      <c r="B21" s="10" t="str">
        <v>CO</v>
      </c>
      <c r="C21" s="11">
        <f>SUM(Oct!C21, Nov!C21, Dec!C21)</f>
        <v>1842.26</v>
      </c>
      <c r="D21" s="18">
        <f>SUM(Oct!D21, Nov!D21, Dec!D21)</f>
        <v>0</v>
      </c>
      <c r="E21" s="18">
        <f t="shared" si="6"/>
        <v>1842.26</v>
      </c>
      <c r="F21" s="19" t="str">
        <f t="shared" si="7"/>
        <v/>
      </c>
      <c r="G21" s="20"/>
      <c r="H21" s="20">
        <f>SUM(Oct!H21, Nov!H21, Dec!H21)</f>
        <v>0</v>
      </c>
      <c r="I21" s="19" t="str">
        <f t="shared" si="8"/>
        <v/>
      </c>
    </row>
    <row r="22" spans="1:9" ht="15.6" x14ac:dyDescent="0.25">
      <c r="A22" s="12" t="str">
        <v xml:space="preserve"> Colorado Springs - Bank of America</v>
      </c>
      <c r="B22" s="9" t="str">
        <v>CO</v>
      </c>
      <c r="C22" s="24">
        <f>SUM(Oct!C22, Nov!C22, Dec!C22)</f>
        <v>4004.2939999999999</v>
      </c>
      <c r="D22" s="13">
        <f>SUM(Oct!D22, Nov!D22, Dec!D22)</f>
        <v>0</v>
      </c>
      <c r="E22" s="13">
        <f t="shared" si="6"/>
        <v>4004.2939999999999</v>
      </c>
      <c r="F22" s="14" t="str">
        <f t="shared" si="7"/>
        <v/>
      </c>
      <c r="G22" s="15"/>
      <c r="H22" s="15">
        <f>SUM(Oct!H22, Nov!H22, Dec!H22)</f>
        <v>0</v>
      </c>
      <c r="I22" s="16" t="str">
        <f t="shared" si="8"/>
        <v/>
      </c>
    </row>
    <row r="23" spans="1:9" ht="15.6" x14ac:dyDescent="0.25">
      <c r="A23" s="17" t="str">
        <v xml:space="preserve"> Denver - BA - 49th Ave</v>
      </c>
      <c r="B23" s="10" t="str">
        <v>CO</v>
      </c>
      <c r="C23" s="11">
        <f>SUM(Oct!C23, Nov!C23, Dec!C23)</f>
        <v>1470.4659999999999</v>
      </c>
      <c r="D23" s="18">
        <f>SUM(Oct!D23, Nov!D23, Dec!D23)</f>
        <v>0</v>
      </c>
      <c r="E23" s="18">
        <f t="shared" si="6"/>
        <v>1470.4659999999999</v>
      </c>
      <c r="F23" s="19" t="str">
        <f t="shared" si="7"/>
        <v/>
      </c>
      <c r="G23" s="20"/>
      <c r="H23" s="20">
        <f>SUM(Oct!H23, Nov!H23, Dec!H23)</f>
        <v>0</v>
      </c>
      <c r="I23" s="19" t="str">
        <f t="shared" si="8"/>
        <v/>
      </c>
    </row>
    <row r="24" spans="1:9" ht="15.6" x14ac:dyDescent="0.25">
      <c r="A24" s="12" t="str">
        <v xml:space="preserve"> Denver - BA Wadsworth Blvd</v>
      </c>
      <c r="B24" s="9" t="str">
        <v>CO</v>
      </c>
      <c r="C24" s="24">
        <f>SUM(Oct!C24, Nov!C24, Dec!C24)</f>
        <v>3262.0230000000001</v>
      </c>
      <c r="D24" s="13">
        <f>SUM(Oct!D24, Nov!D24, Dec!D24)</f>
        <v>0</v>
      </c>
      <c r="E24" s="13">
        <f t="shared" si="6"/>
        <v>3262.0230000000001</v>
      </c>
      <c r="F24" s="14" t="str">
        <f t="shared" si="7"/>
        <v/>
      </c>
      <c r="G24" s="15"/>
      <c r="H24" s="15">
        <f>SUM(Oct!H24, Nov!H24, Dec!H24)</f>
        <v>0</v>
      </c>
      <c r="I24" s="16" t="str">
        <f t="shared" si="8"/>
        <v/>
      </c>
    </row>
    <row r="25" spans="1:9" ht="15.6" x14ac:dyDescent="0.25">
      <c r="A25" s="17" t="str">
        <v xml:space="preserve"> Fort Collins - Bank of America</v>
      </c>
      <c r="B25" s="10" t="str">
        <v>CO</v>
      </c>
      <c r="C25" s="11">
        <f>SUM(Oct!C25, Nov!C25, Dec!C25)</f>
        <v>2065.2709999999997</v>
      </c>
      <c r="D25" s="18">
        <f>SUM(Oct!D25, Nov!D25, Dec!D25)</f>
        <v>0</v>
      </c>
      <c r="E25" s="18">
        <f t="shared" si="6"/>
        <v>2065.2709999999997</v>
      </c>
      <c r="F25" s="19" t="str">
        <f t="shared" si="7"/>
        <v/>
      </c>
      <c r="G25" s="20"/>
      <c r="H25" s="20">
        <f>SUM(Oct!H25, Nov!H25, Dec!H25)</f>
        <v>0</v>
      </c>
      <c r="I25" s="19" t="str">
        <f t="shared" si="8"/>
        <v/>
      </c>
    </row>
    <row r="26" spans="1:9" ht="15.6" x14ac:dyDescent="0.25">
      <c r="A26" s="12" t="str">
        <v xml:space="preserve"> Lafayette - Bank of America</v>
      </c>
      <c r="B26" s="9" t="str">
        <v>CO</v>
      </c>
      <c r="C26" s="24">
        <f>SUM(Oct!C26, Nov!C26, Dec!C26)</f>
        <v>3004.8689999999997</v>
      </c>
      <c r="D26" s="13">
        <f>SUM(Oct!D26, Nov!D26, Dec!D26)</f>
        <v>0</v>
      </c>
      <c r="E26" s="13">
        <f t="shared" si="6"/>
        <v>3004.8689999999997</v>
      </c>
      <c r="F26" s="14" t="str">
        <f t="shared" si="7"/>
        <v/>
      </c>
      <c r="G26" s="15"/>
      <c r="H26" s="15">
        <f>SUM(Oct!H26, Nov!H26, Dec!H26)</f>
        <v>0</v>
      </c>
      <c r="I26" s="16" t="str">
        <f t="shared" si="8"/>
        <v/>
      </c>
    </row>
    <row r="27" spans="1:9" ht="15.6" x14ac:dyDescent="0.25">
      <c r="A27" s="17" t="str">
        <v xml:space="preserve"> Lakewood - Bank of America</v>
      </c>
      <c r="B27" s="10" t="str">
        <v>CO</v>
      </c>
      <c r="C27" s="11">
        <f>SUM(Oct!C27, Nov!C27, Dec!C27)</f>
        <v>1522.578</v>
      </c>
      <c r="D27" s="18">
        <f>SUM(Oct!D27, Nov!D27, Dec!D27)</f>
        <v>0</v>
      </c>
      <c r="E27" s="18">
        <f t="shared" si="6"/>
        <v>1522.578</v>
      </c>
      <c r="F27" s="19" t="str">
        <f t="shared" si="7"/>
        <v/>
      </c>
      <c r="G27" s="20"/>
      <c r="H27" s="20">
        <f>SUM(Oct!H27, Nov!H27, Dec!H27)</f>
        <v>0</v>
      </c>
      <c r="I27" s="19" t="str">
        <f t="shared" si="8"/>
        <v/>
      </c>
    </row>
    <row r="28" spans="1:9" ht="15.6" x14ac:dyDescent="0.25">
      <c r="A28" s="12" t="str">
        <v xml:space="preserve"> Longmont - Bank of America</v>
      </c>
      <c r="B28" s="9" t="str">
        <v>CO</v>
      </c>
      <c r="C28" s="24">
        <f>SUM(Oct!C28, Nov!C28, Dec!C28)</f>
        <v>1396.748</v>
      </c>
      <c r="D28" s="13">
        <f>SUM(Oct!D28, Nov!D28, Dec!D28)</f>
        <v>0</v>
      </c>
      <c r="E28" s="13">
        <f t="shared" si="6"/>
        <v>1396.748</v>
      </c>
      <c r="F28" s="14" t="str">
        <f t="shared" si="7"/>
        <v/>
      </c>
      <c r="G28" s="15"/>
      <c r="H28" s="15">
        <f>SUM(Oct!H28, Nov!H28, Dec!H28)</f>
        <v>0</v>
      </c>
      <c r="I28" s="16" t="str">
        <f t="shared" si="8"/>
        <v/>
      </c>
    </row>
    <row r="29" spans="1:9" ht="15.6" x14ac:dyDescent="0.25">
      <c r="A29" s="17" t="str">
        <v xml:space="preserve"> Thornton - Bank of America</v>
      </c>
      <c r="B29" s="10" t="str">
        <v>CO</v>
      </c>
      <c r="C29" s="11">
        <f>SUM(Oct!C29, Nov!C29, Dec!C29)</f>
        <v>1720.2550000000001</v>
      </c>
      <c r="D29" s="18">
        <f>SUM(Oct!D29, Nov!D29, Dec!D29)</f>
        <v>0</v>
      </c>
      <c r="E29" s="18">
        <f t="shared" si="6"/>
        <v>1720.2550000000001</v>
      </c>
      <c r="F29" s="19" t="str">
        <f t="shared" si="7"/>
        <v/>
      </c>
      <c r="G29" s="20"/>
      <c r="H29" s="20">
        <f>SUM(Oct!H29, Nov!H29, Dec!H29)</f>
        <v>0</v>
      </c>
      <c r="I29" s="19" t="str">
        <f t="shared" si="8"/>
        <v/>
      </c>
    </row>
    <row r="30" spans="1:9" ht="15.6" x14ac:dyDescent="0.25">
      <c r="A30" s="12" t="str">
        <v xml:space="preserve"> Calumet City - Bank of America</v>
      </c>
      <c r="B30" s="9" t="str">
        <v>IL</v>
      </c>
      <c r="C30" s="24">
        <f>SUM(Oct!C30, Nov!C30, Dec!C30)</f>
        <v>2811.8159999999998</v>
      </c>
      <c r="D30" s="13">
        <f>SUM(Oct!D30, Nov!D30, Dec!D30)</f>
        <v>0</v>
      </c>
      <c r="E30" s="13">
        <f t="shared" si="6"/>
        <v>2811.8159999999998</v>
      </c>
      <c r="F30" s="14" t="str">
        <f t="shared" si="7"/>
        <v/>
      </c>
      <c r="G30" s="15"/>
      <c r="H30" s="15">
        <f>SUM(Oct!H30, Nov!H30, Dec!H30)</f>
        <v>0</v>
      </c>
      <c r="I30" s="16" t="str">
        <f t="shared" si="8"/>
        <v/>
      </c>
    </row>
    <row r="31" spans="1:9" ht="15.6" x14ac:dyDescent="0.25">
      <c r="A31" s="17" t="str">
        <v xml:space="preserve"> Downers Grove - Bank of America</v>
      </c>
      <c r="B31" s="10" t="str">
        <v>IL</v>
      </c>
      <c r="C31" s="11">
        <f>SUM(Oct!C31, Nov!C31, Dec!C31)</f>
        <v>3242.04</v>
      </c>
      <c r="D31" s="18">
        <f>SUM(Oct!D31, Nov!D31, Dec!D31)</f>
        <v>0</v>
      </c>
      <c r="E31" s="18">
        <f t="shared" si="6"/>
        <v>3242.04</v>
      </c>
      <c r="F31" s="19" t="str">
        <f t="shared" si="7"/>
        <v/>
      </c>
      <c r="G31" s="20"/>
      <c r="H31" s="20">
        <f>SUM(Oct!H31, Nov!H31, Dec!H31)</f>
        <v>0</v>
      </c>
      <c r="I31" s="19" t="str">
        <f t="shared" si="8"/>
        <v/>
      </c>
    </row>
    <row r="32" spans="1:9" ht="15.6" x14ac:dyDescent="0.25">
      <c r="A32" s="12" t="str">
        <v xml:space="preserve"> Bloomington - Bank of America</v>
      </c>
      <c r="B32" s="9" t="str">
        <v>MN</v>
      </c>
      <c r="C32" s="24">
        <f>SUM(Oct!C32, Nov!C32, Dec!C32)</f>
        <v>464.44900000000001</v>
      </c>
      <c r="D32" s="13">
        <f>SUM(Oct!D32, Nov!D32, Dec!D32)</f>
        <v>0</v>
      </c>
      <c r="E32" s="13">
        <f t="shared" si="6"/>
        <v>464.44900000000001</v>
      </c>
      <c r="F32" s="14" t="str">
        <f t="shared" si="7"/>
        <v/>
      </c>
      <c r="G32" s="15"/>
      <c r="H32" s="15">
        <f>SUM(Oct!H32, Nov!H32, Dec!H32)</f>
        <v>0</v>
      </c>
      <c r="I32" s="16" t="str">
        <f t="shared" si="8"/>
        <v/>
      </c>
    </row>
    <row r="33" spans="1:9" ht="15.6" x14ac:dyDescent="0.25">
      <c r="A33" s="17" t="str">
        <v xml:space="preserve"> Clayton - Bank of America</v>
      </c>
      <c r="B33" s="10" t="str">
        <v>MO</v>
      </c>
      <c r="C33" s="11">
        <f>SUM(Oct!C33, Nov!C33, Dec!C33)</f>
        <v>2798.3609999999999</v>
      </c>
      <c r="D33" s="18">
        <f>SUM(Oct!D33, Nov!D33, Dec!D33)</f>
        <v>0</v>
      </c>
      <c r="E33" s="18">
        <f t="shared" si="6"/>
        <v>2798.3609999999999</v>
      </c>
      <c r="F33" s="19" t="str">
        <f t="shared" si="7"/>
        <v/>
      </c>
      <c r="G33" s="20"/>
      <c r="H33" s="20">
        <f>SUM(Oct!H33, Nov!H33, Dec!H33)</f>
        <v>0</v>
      </c>
      <c r="I33" s="19" t="str">
        <f t="shared" si="8"/>
        <v/>
      </c>
    </row>
    <row r="34" spans="1:9" ht="15.6" x14ac:dyDescent="0.25">
      <c r="A34" s="12" t="str">
        <v xml:space="preserve"> Manchester - Bank of America</v>
      </c>
      <c r="B34" s="9" t="str">
        <v>MO</v>
      </c>
      <c r="C34" s="24">
        <f>SUM(Oct!C34, Nov!C34, Dec!C34)</f>
        <v>2190.8220000000001</v>
      </c>
      <c r="D34" s="13">
        <f>SUM(Oct!D34, Nov!D34, Dec!D34)</f>
        <v>0</v>
      </c>
      <c r="E34" s="13">
        <f t="shared" si="6"/>
        <v>2190.8220000000001</v>
      </c>
      <c r="F34" s="14" t="str">
        <f t="shared" si="7"/>
        <v/>
      </c>
      <c r="G34" s="15"/>
      <c r="H34" s="15">
        <f>SUM(Oct!H34, Nov!H34, Dec!H34)</f>
        <v>0</v>
      </c>
      <c r="I34" s="16" t="str">
        <f t="shared" si="8"/>
        <v/>
      </c>
    </row>
    <row r="35" spans="1:9" ht="15.6" x14ac:dyDescent="0.25">
      <c r="A35" s="17" t="str">
        <v xml:space="preserve"> Las Vegas - BA - Eastern Ave</v>
      </c>
      <c r="B35" s="10" t="str">
        <v>NV</v>
      </c>
      <c r="C35" s="11">
        <f>SUM(Oct!C35, Nov!C35, Dec!C35)</f>
        <v>74.373999999999995</v>
      </c>
      <c r="D35" s="18">
        <f>SUM(Oct!D35, Nov!D35, Dec!D35)</f>
        <v>0</v>
      </c>
      <c r="E35" s="18">
        <f t="shared" si="6"/>
        <v>74.373999999999995</v>
      </c>
      <c r="F35" s="19" t="str">
        <f t="shared" si="7"/>
        <v/>
      </c>
      <c r="G35" s="20"/>
      <c r="H35" s="20">
        <f>SUM(Oct!H35, Nov!H35, Dec!H35)</f>
        <v>0</v>
      </c>
      <c r="I35" s="19" t="str">
        <f t="shared" si="8"/>
        <v/>
      </c>
    </row>
    <row r="36" spans="1:9" ht="15.6" x14ac:dyDescent="0.25">
      <c r="A36" s="12" t="str">
        <v xml:space="preserve"> Las Vegas - BA - Town Ctr Dr</v>
      </c>
      <c r="B36" s="9" t="str">
        <v>NV</v>
      </c>
      <c r="C36" s="24">
        <f>SUM(Oct!C36, Nov!C36, Dec!C36)</f>
        <v>0</v>
      </c>
      <c r="D36" s="13">
        <f>SUM(Oct!D36, Nov!D36, Dec!D36)</f>
        <v>0</v>
      </c>
      <c r="E36" s="13">
        <f t="shared" si="6"/>
        <v>0</v>
      </c>
      <c r="F36" s="14" t="str">
        <f t="shared" si="7"/>
        <v/>
      </c>
      <c r="G36" s="15"/>
      <c r="H36" s="15">
        <f>SUM(Oct!H36, Nov!H36, Dec!H36)</f>
        <v>0</v>
      </c>
      <c r="I36" s="16" t="str">
        <f t="shared" si="8"/>
        <v/>
      </c>
    </row>
    <row r="37" spans="1:9" ht="15.6" x14ac:dyDescent="0.25">
      <c r="A37" s="17" t="str">
        <v xml:space="preserve"> Riverton - Bank of America</v>
      </c>
      <c r="B37" s="10" t="str">
        <v>UT</v>
      </c>
      <c r="C37" s="11">
        <f>SUM(Oct!C37, Nov!C37, Dec!C37)</f>
        <v>3255.4549999999999</v>
      </c>
      <c r="D37" s="18">
        <f>SUM(Oct!D37, Nov!D37, Dec!D37)</f>
        <v>0</v>
      </c>
      <c r="E37" s="18">
        <f t="shared" si="6"/>
        <v>3255.4549999999999</v>
      </c>
      <c r="F37" s="19" t="str">
        <f t="shared" si="7"/>
        <v/>
      </c>
      <c r="G37" s="20"/>
      <c r="H37" s="20">
        <f>SUM(Oct!H37, Nov!H37, Dec!H37)</f>
        <v>0</v>
      </c>
      <c r="I37" s="19" t="str">
        <f t="shared" si="8"/>
        <v/>
      </c>
    </row>
    <row r="38" spans="1:9" ht="15.6" x14ac:dyDescent="0.25">
      <c r="A38" s="12" t="str">
        <v xml:space="preserve"> Salt Lake City - Bank of America</v>
      </c>
      <c r="B38" s="9" t="str">
        <v>UT</v>
      </c>
      <c r="C38" s="24">
        <f>SUM(Oct!C38, Nov!C38, Dec!C38)</f>
        <v>110.13500000000001</v>
      </c>
      <c r="D38" s="13">
        <f>SUM(Oct!D38, Nov!D38, Dec!D38)</f>
        <v>0</v>
      </c>
      <c r="E38" s="13">
        <f t="shared" si="6"/>
        <v>110.13500000000001</v>
      </c>
      <c r="F38" s="14" t="str">
        <f t="shared" si="7"/>
        <v/>
      </c>
      <c r="G38" s="15"/>
      <c r="H38" s="15">
        <f>SUM(Oct!H38, Nov!H38, Dec!H38)</f>
        <v>0</v>
      </c>
      <c r="I38" s="16" t="str">
        <f t="shared" si="8"/>
        <v/>
      </c>
    </row>
    <row r="39" spans="1:9" ht="13.8" x14ac:dyDescent="0.3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8" x14ac:dyDescent="0.3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8" x14ac:dyDescent="0.3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8" x14ac:dyDescent="0.3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8" x14ac:dyDescent="0.3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8" x14ac:dyDescent="0.3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8" x14ac:dyDescent="0.3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8" x14ac:dyDescent="0.3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8" x14ac:dyDescent="0.3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8" x14ac:dyDescent="0.3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8" x14ac:dyDescent="0.3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8" x14ac:dyDescent="0.3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8" x14ac:dyDescent="0.3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8" x14ac:dyDescent="0.3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8" x14ac:dyDescent="0.3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8" x14ac:dyDescent="0.3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8" x14ac:dyDescent="0.3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8" x14ac:dyDescent="0.3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8" x14ac:dyDescent="0.3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8" x14ac:dyDescent="0.3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8" x14ac:dyDescent="0.3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8" x14ac:dyDescent="0.3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8" x14ac:dyDescent="0.3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8" x14ac:dyDescent="0.3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8" x14ac:dyDescent="0.3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8" x14ac:dyDescent="0.3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8" x14ac:dyDescent="0.3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8" x14ac:dyDescent="0.3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8" x14ac:dyDescent="0.3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8" x14ac:dyDescent="0.3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8" x14ac:dyDescent="0.3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8" x14ac:dyDescent="0.3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8" x14ac:dyDescent="0.3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8" x14ac:dyDescent="0.3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8" x14ac:dyDescent="0.3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8" x14ac:dyDescent="0.3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8" x14ac:dyDescent="0.3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8" x14ac:dyDescent="0.3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8" x14ac:dyDescent="0.3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8" x14ac:dyDescent="0.3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8" x14ac:dyDescent="0.3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8" x14ac:dyDescent="0.3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8" x14ac:dyDescent="0.3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8" x14ac:dyDescent="0.3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8" x14ac:dyDescent="0.3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8" x14ac:dyDescent="0.3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8" x14ac:dyDescent="0.3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8" x14ac:dyDescent="0.3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8" x14ac:dyDescent="0.3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8" x14ac:dyDescent="0.3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8" x14ac:dyDescent="0.3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8" x14ac:dyDescent="0.3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8" x14ac:dyDescent="0.3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8" x14ac:dyDescent="0.3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8" x14ac:dyDescent="0.3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8" x14ac:dyDescent="0.3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8" x14ac:dyDescent="0.3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8" x14ac:dyDescent="0.3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8" x14ac:dyDescent="0.3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8" x14ac:dyDescent="0.3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8" x14ac:dyDescent="0.3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8" x14ac:dyDescent="0.3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8" x14ac:dyDescent="0.3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8" x14ac:dyDescent="0.3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8" x14ac:dyDescent="0.3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8" x14ac:dyDescent="0.3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8" x14ac:dyDescent="0.3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8" x14ac:dyDescent="0.3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8" x14ac:dyDescent="0.3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8" x14ac:dyDescent="0.3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8" x14ac:dyDescent="0.3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8" x14ac:dyDescent="0.3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8" x14ac:dyDescent="0.3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8" x14ac:dyDescent="0.3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8" x14ac:dyDescent="0.3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8" x14ac:dyDescent="0.3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8" x14ac:dyDescent="0.3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8" x14ac:dyDescent="0.3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8" x14ac:dyDescent="0.3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8" x14ac:dyDescent="0.3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8" x14ac:dyDescent="0.3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8" x14ac:dyDescent="0.3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8" x14ac:dyDescent="0.3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8" x14ac:dyDescent="0.3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8" x14ac:dyDescent="0.3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8" x14ac:dyDescent="0.3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8" x14ac:dyDescent="0.3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8" x14ac:dyDescent="0.3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8" x14ac:dyDescent="0.3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8" x14ac:dyDescent="0.3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8" x14ac:dyDescent="0.3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8" x14ac:dyDescent="0.3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8" x14ac:dyDescent="0.3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8" x14ac:dyDescent="0.3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8" x14ac:dyDescent="0.3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8" x14ac:dyDescent="0.3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8" x14ac:dyDescent="0.3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8" x14ac:dyDescent="0.3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8" x14ac:dyDescent="0.3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8" x14ac:dyDescent="0.3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8" x14ac:dyDescent="0.3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8" x14ac:dyDescent="0.3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8" x14ac:dyDescent="0.3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8" x14ac:dyDescent="0.3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8" x14ac:dyDescent="0.3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8" x14ac:dyDescent="0.3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8" x14ac:dyDescent="0.3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8" x14ac:dyDescent="0.3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8" x14ac:dyDescent="0.3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8" x14ac:dyDescent="0.3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8" x14ac:dyDescent="0.3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8" x14ac:dyDescent="0.3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8" x14ac:dyDescent="0.3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8" x14ac:dyDescent="0.3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8" x14ac:dyDescent="0.3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8" x14ac:dyDescent="0.3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8" x14ac:dyDescent="0.3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8" x14ac:dyDescent="0.3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8" x14ac:dyDescent="0.3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8" x14ac:dyDescent="0.3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8" x14ac:dyDescent="0.3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8" x14ac:dyDescent="0.3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8" x14ac:dyDescent="0.3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8" x14ac:dyDescent="0.3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8" x14ac:dyDescent="0.3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8" x14ac:dyDescent="0.3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8" x14ac:dyDescent="0.3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8" x14ac:dyDescent="0.3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8" x14ac:dyDescent="0.3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8" x14ac:dyDescent="0.3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8" x14ac:dyDescent="0.3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8" x14ac:dyDescent="0.3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8" x14ac:dyDescent="0.3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8" x14ac:dyDescent="0.3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8" x14ac:dyDescent="0.3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8" x14ac:dyDescent="0.3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8" x14ac:dyDescent="0.3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8" x14ac:dyDescent="0.3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8" x14ac:dyDescent="0.3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8" x14ac:dyDescent="0.3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8" x14ac:dyDescent="0.3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8" x14ac:dyDescent="0.3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8" x14ac:dyDescent="0.3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8" x14ac:dyDescent="0.3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8" x14ac:dyDescent="0.3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8" x14ac:dyDescent="0.3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8" x14ac:dyDescent="0.3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8" x14ac:dyDescent="0.3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8" x14ac:dyDescent="0.3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8" x14ac:dyDescent="0.3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8" x14ac:dyDescent="0.3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8" x14ac:dyDescent="0.3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8" x14ac:dyDescent="0.3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8" x14ac:dyDescent="0.3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8" x14ac:dyDescent="0.3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8" x14ac:dyDescent="0.3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8" x14ac:dyDescent="0.3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8" x14ac:dyDescent="0.3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8" x14ac:dyDescent="0.3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8" x14ac:dyDescent="0.3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8" x14ac:dyDescent="0.3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8" x14ac:dyDescent="0.3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8" x14ac:dyDescent="0.3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8" x14ac:dyDescent="0.3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8" x14ac:dyDescent="0.3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8" x14ac:dyDescent="0.3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8" x14ac:dyDescent="0.3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8" x14ac:dyDescent="0.3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8" x14ac:dyDescent="0.3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8" x14ac:dyDescent="0.3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8" x14ac:dyDescent="0.3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8" x14ac:dyDescent="0.3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8" x14ac:dyDescent="0.3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8" x14ac:dyDescent="0.3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8" x14ac:dyDescent="0.3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8" x14ac:dyDescent="0.3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8" x14ac:dyDescent="0.3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8" x14ac:dyDescent="0.3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8" x14ac:dyDescent="0.3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8" x14ac:dyDescent="0.3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8" x14ac:dyDescent="0.3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8" x14ac:dyDescent="0.3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8" x14ac:dyDescent="0.3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8" x14ac:dyDescent="0.3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8" x14ac:dyDescent="0.3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8" x14ac:dyDescent="0.3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8" x14ac:dyDescent="0.3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8" x14ac:dyDescent="0.3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8" x14ac:dyDescent="0.3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8" x14ac:dyDescent="0.3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8" x14ac:dyDescent="0.3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8" x14ac:dyDescent="0.3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8" x14ac:dyDescent="0.3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8" x14ac:dyDescent="0.3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8" x14ac:dyDescent="0.3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8" x14ac:dyDescent="0.3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8" x14ac:dyDescent="0.3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8" x14ac:dyDescent="0.3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8" x14ac:dyDescent="0.3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8" x14ac:dyDescent="0.3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8" x14ac:dyDescent="0.3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8" x14ac:dyDescent="0.3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8" x14ac:dyDescent="0.3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8" x14ac:dyDescent="0.3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8" x14ac:dyDescent="0.3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8" x14ac:dyDescent="0.3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8" x14ac:dyDescent="0.3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8" x14ac:dyDescent="0.3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8" x14ac:dyDescent="0.3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8" x14ac:dyDescent="0.3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8" x14ac:dyDescent="0.3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8" x14ac:dyDescent="0.3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8" x14ac:dyDescent="0.3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8" x14ac:dyDescent="0.3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8" x14ac:dyDescent="0.3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8" x14ac:dyDescent="0.3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8" x14ac:dyDescent="0.3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8" x14ac:dyDescent="0.3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8" x14ac:dyDescent="0.3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8" x14ac:dyDescent="0.3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8" x14ac:dyDescent="0.3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8" x14ac:dyDescent="0.3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8" x14ac:dyDescent="0.3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8" x14ac:dyDescent="0.3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8" x14ac:dyDescent="0.3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8" x14ac:dyDescent="0.3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8" x14ac:dyDescent="0.3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8" x14ac:dyDescent="0.3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8" x14ac:dyDescent="0.3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8" x14ac:dyDescent="0.3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8" x14ac:dyDescent="0.3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8" x14ac:dyDescent="0.3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8" x14ac:dyDescent="0.3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8" x14ac:dyDescent="0.3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8" x14ac:dyDescent="0.3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8" x14ac:dyDescent="0.3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8" x14ac:dyDescent="0.3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8" x14ac:dyDescent="0.3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8" x14ac:dyDescent="0.3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8" x14ac:dyDescent="0.3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8" x14ac:dyDescent="0.3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8" x14ac:dyDescent="0.3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8" x14ac:dyDescent="0.3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8" x14ac:dyDescent="0.3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8" x14ac:dyDescent="0.3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8" x14ac:dyDescent="0.3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8" x14ac:dyDescent="0.3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8" x14ac:dyDescent="0.3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8" x14ac:dyDescent="0.3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8" x14ac:dyDescent="0.3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8" x14ac:dyDescent="0.3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8" x14ac:dyDescent="0.3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8" x14ac:dyDescent="0.3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8" x14ac:dyDescent="0.3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8" x14ac:dyDescent="0.3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8" x14ac:dyDescent="0.3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8" x14ac:dyDescent="0.3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8" x14ac:dyDescent="0.3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8" x14ac:dyDescent="0.3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8" x14ac:dyDescent="0.3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8" x14ac:dyDescent="0.3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8" x14ac:dyDescent="0.3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8" x14ac:dyDescent="0.3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8" x14ac:dyDescent="0.3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8" x14ac:dyDescent="0.3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8" x14ac:dyDescent="0.3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8" x14ac:dyDescent="0.3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8" x14ac:dyDescent="0.3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8" x14ac:dyDescent="0.3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8" x14ac:dyDescent="0.3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8" x14ac:dyDescent="0.3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8" x14ac:dyDescent="0.3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8" x14ac:dyDescent="0.3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8" x14ac:dyDescent="0.3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8" x14ac:dyDescent="0.3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8" x14ac:dyDescent="0.3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8" x14ac:dyDescent="0.3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8" x14ac:dyDescent="0.3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8" x14ac:dyDescent="0.3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8" x14ac:dyDescent="0.3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8" x14ac:dyDescent="0.3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8" x14ac:dyDescent="0.3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8" x14ac:dyDescent="0.3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8" x14ac:dyDescent="0.3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8" x14ac:dyDescent="0.3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8" x14ac:dyDescent="0.3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8" x14ac:dyDescent="0.3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8" x14ac:dyDescent="0.3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8" x14ac:dyDescent="0.3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8" x14ac:dyDescent="0.3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8" x14ac:dyDescent="0.3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8" x14ac:dyDescent="0.3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8" x14ac:dyDescent="0.3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8" x14ac:dyDescent="0.3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8" x14ac:dyDescent="0.3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8" x14ac:dyDescent="0.3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8" x14ac:dyDescent="0.3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8" x14ac:dyDescent="0.3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8" x14ac:dyDescent="0.3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8" x14ac:dyDescent="0.3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8" x14ac:dyDescent="0.3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8" x14ac:dyDescent="0.3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8" x14ac:dyDescent="0.3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8" x14ac:dyDescent="0.3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45" priority="1" stopIfTrue="1" operator="lessThanOrEqual">
      <formula>-0.1</formula>
    </cfRule>
    <cfRule type="expression" dxfId="4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M341"/>
  <sheetViews>
    <sheetView zoomScale="50" zoomScaleNormal="50" workbookViewId="0">
      <pane xSplit="2" ySplit="3" topLeftCell="C4" activePane="bottomRight" state="frozen"/>
      <selection pane="topRight"/>
      <selection pane="bottomLeft"/>
      <selection pane="bottomRight" activeCell="N28" sqref="N28"/>
    </sheetView>
  </sheetViews>
  <sheetFormatPr defaultRowHeight="13.8" x14ac:dyDescent="0.25"/>
  <cols>
    <col min="1" max="1" width="35.88671875" bestFit="1" customWidth="1"/>
    <col min="2" max="2" width="8.44140625" style="34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89" t="str" cm="1">
        <f t="array" ref="A1">portfolio</f>
        <v>Cushman &amp; Wakefield</v>
      </c>
      <c r="B1" s="89"/>
      <c r="C1" s="89"/>
      <c r="D1" s="90" t="s">
        <v>18</v>
      </c>
      <c r="E1" s="90"/>
      <c r="F1" s="90"/>
      <c r="G1" s="88" t="s">
        <v>19</v>
      </c>
      <c r="H1" s="88"/>
      <c r="I1" s="88"/>
      <c r="J1" s="4"/>
      <c r="K1" s="4"/>
    </row>
    <row r="2" spans="1:11" ht="19.5" customHeight="1" x14ac:dyDescent="0.25">
      <c r="A2" s="91" t="s">
        <v>2</v>
      </c>
      <c r="B2" s="91"/>
      <c r="C2" s="5">
        <f>SUM(C4:C99)</f>
        <v>25654.299999999996</v>
      </c>
      <c r="D2" s="5">
        <f>SUM(D4:D99)</f>
        <v>0</v>
      </c>
      <c r="E2" s="5">
        <f>C2-D2</f>
        <v>25654.299999999996</v>
      </c>
      <c r="F2" s="6">
        <f>IFERROR(E2/D2, 0)</f>
        <v>0</v>
      </c>
      <c r="G2" s="5">
        <f>SUM(G4:G99)</f>
        <v>0</v>
      </c>
      <c r="H2" s="7">
        <f>C2-G2</f>
        <v>25654.299999999996</v>
      </c>
      <c r="I2" s="6">
        <f>IFERROR(H2/G2, 0)</f>
        <v>0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27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 x14ac:dyDescent="0.3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63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 x14ac:dyDescent="0.25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15" si="0">IF(AND(ISNUMBER(C5),ISNUMBER(D5)), C5-D5, "")</f>
        <v/>
      </c>
      <c r="F5" s="19" t="str">
        <f>IFERROR(E5/D5, "")</f>
        <v/>
      </c>
      <c r="G5" s="64" t="s">
        <v>22</v>
      </c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2"/>
      <c r="K5" s="42"/>
    </row>
    <row r="6" spans="1:11" ht="57.6" x14ac:dyDescent="0.25">
      <c r="A6" s="28" t="str">
        <v xml:space="preserve"> Arvin - Bank of America</v>
      </c>
      <c r="B6" s="29" t="str">
        <v>CA</v>
      </c>
      <c r="C6" s="24">
        <v>81.5</v>
      </c>
      <c r="D6" s="13" t="s">
        <v>22</v>
      </c>
      <c r="E6" s="13" t="str">
        <f t="shared" si="0"/>
        <v/>
      </c>
      <c r="F6" s="14" t="str">
        <f t="shared" ref="F6:F15" si="3">IFERROR(E6/D6, "")</f>
        <v/>
      </c>
      <c r="G6" s="63" t="s">
        <v>22</v>
      </c>
      <c r="H6" s="15" t="str">
        <f t="shared" si="1"/>
        <v/>
      </c>
      <c r="I6" s="16" t="str">
        <f t="shared" si="2"/>
        <v/>
      </c>
      <c r="J6" s="41" t="s">
        <v>23</v>
      </c>
      <c r="K6" s="65" t="s">
        <v>24</v>
      </c>
    </row>
    <row r="7" spans="1:11" ht="15.6" x14ac:dyDescent="0.25">
      <c r="A7" s="30" t="str">
        <v xml:space="preserve"> Bell - Bank of America</v>
      </c>
      <c r="B7" s="31" t="str">
        <v>CA</v>
      </c>
      <c r="C7" s="11">
        <v>1491.7</v>
      </c>
      <c r="D7" s="18" t="s">
        <v>22</v>
      </c>
      <c r="E7" s="18" t="str">
        <f t="shared" si="0"/>
        <v/>
      </c>
      <c r="F7" s="19" t="str">
        <f t="shared" si="3"/>
        <v/>
      </c>
      <c r="G7" s="64" t="s">
        <v>22</v>
      </c>
      <c r="H7" s="20" t="str">
        <f t="shared" ref="H7:H15" si="4">IF(AND(ISNUMBER(C7),ISNUMBER(G7)), C7-G7, "")</f>
        <v/>
      </c>
      <c r="I7" s="19" t="str">
        <f t="shared" ref="I7:I15" si="5">IFERROR(H7/G7, "")</f>
        <v/>
      </c>
      <c r="J7" s="42"/>
      <c r="K7" s="43"/>
    </row>
    <row r="8" spans="1:11" ht="43.2" x14ac:dyDescent="0.25">
      <c r="A8" s="28" t="str">
        <v xml:space="preserve"> Chula Vista - Bank of America</v>
      </c>
      <c r="B8" s="29" t="str">
        <v>CA</v>
      </c>
      <c r="C8" s="24">
        <v>458.5</v>
      </c>
      <c r="D8" s="13" t="s">
        <v>22</v>
      </c>
      <c r="E8" s="13" t="str">
        <f t="shared" si="0"/>
        <v/>
      </c>
      <c r="F8" s="14" t="str">
        <f t="shared" si="3"/>
        <v/>
      </c>
      <c r="G8" s="63" t="s">
        <v>22</v>
      </c>
      <c r="H8" s="15" t="str">
        <f t="shared" si="4"/>
        <v/>
      </c>
      <c r="I8" s="16" t="str">
        <f t="shared" si="5"/>
        <v/>
      </c>
      <c r="J8" s="41" t="s">
        <v>25</v>
      </c>
      <c r="K8" s="65" t="s">
        <v>26</v>
      </c>
    </row>
    <row r="9" spans="1:11" ht="15.6" x14ac:dyDescent="0.25">
      <c r="A9" s="30" t="str">
        <v xml:space="preserve"> Cupertino - Bank of America</v>
      </c>
      <c r="B9" s="31" t="str">
        <v>CA</v>
      </c>
      <c r="C9" s="11">
        <v>0</v>
      </c>
      <c r="D9" s="18" t="s">
        <v>22</v>
      </c>
      <c r="E9" s="18" t="str">
        <f t="shared" si="0"/>
        <v/>
      </c>
      <c r="F9" s="19" t="str">
        <f t="shared" si="3"/>
        <v/>
      </c>
      <c r="G9" s="64" t="s">
        <v>22</v>
      </c>
      <c r="H9" s="20" t="str">
        <f t="shared" si="4"/>
        <v/>
      </c>
      <c r="I9" s="19" t="str">
        <f t="shared" si="5"/>
        <v/>
      </c>
      <c r="J9" s="60" t="s">
        <v>27</v>
      </c>
      <c r="K9" s="66" t="s">
        <v>28</v>
      </c>
    </row>
    <row r="10" spans="1:11" ht="72" x14ac:dyDescent="0.25">
      <c r="A10" s="28" t="str">
        <v xml:space="preserve"> Diamond Bar - Bank of America</v>
      </c>
      <c r="B10" s="29" t="str">
        <v>CA</v>
      </c>
      <c r="C10" s="24">
        <v>1557.8</v>
      </c>
      <c r="D10" s="13" t="s">
        <v>22</v>
      </c>
      <c r="E10" s="13" t="str">
        <f t="shared" si="0"/>
        <v/>
      </c>
      <c r="F10" s="14" t="str">
        <f t="shared" si="3"/>
        <v/>
      </c>
      <c r="G10" s="63" t="s">
        <v>22</v>
      </c>
      <c r="H10" s="15" t="str">
        <f t="shared" si="4"/>
        <v/>
      </c>
      <c r="I10" s="16" t="str">
        <f t="shared" si="5"/>
        <v/>
      </c>
      <c r="J10" s="62" t="s">
        <v>29</v>
      </c>
      <c r="K10" s="65" t="s">
        <v>30</v>
      </c>
    </row>
    <row r="11" spans="1:11" ht="15.6" x14ac:dyDescent="0.25">
      <c r="A11" s="30" t="str">
        <v xml:space="preserve"> El Centro - Bank of America</v>
      </c>
      <c r="B11" s="31" t="str">
        <v>CA</v>
      </c>
      <c r="C11" s="11">
        <v>1875.6</v>
      </c>
      <c r="D11" s="18" t="s">
        <v>22</v>
      </c>
      <c r="E11" s="18" t="str">
        <f t="shared" si="0"/>
        <v/>
      </c>
      <c r="F11" s="19" t="str">
        <f t="shared" si="3"/>
        <v/>
      </c>
      <c r="G11" s="64" t="s">
        <v>22</v>
      </c>
      <c r="H11" s="20" t="str">
        <f t="shared" si="4"/>
        <v/>
      </c>
      <c r="I11" s="19" t="str">
        <f t="shared" si="5"/>
        <v/>
      </c>
      <c r="J11" s="42"/>
      <c r="K11" s="43"/>
    </row>
    <row r="12" spans="1:11" ht="28.8" x14ac:dyDescent="0.25">
      <c r="A12" s="28" t="str">
        <v xml:space="preserve"> Moreno Valley - Bank of America</v>
      </c>
      <c r="B12" s="29" t="str">
        <v>CA</v>
      </c>
      <c r="C12" s="24">
        <v>3150</v>
      </c>
      <c r="D12" s="13" t="s">
        <v>22</v>
      </c>
      <c r="E12" s="13" t="str">
        <f t="shared" si="0"/>
        <v/>
      </c>
      <c r="F12" s="14" t="str">
        <f t="shared" si="3"/>
        <v/>
      </c>
      <c r="G12" s="63" t="s">
        <v>22</v>
      </c>
      <c r="H12" s="15" t="str">
        <f t="shared" si="4"/>
        <v/>
      </c>
      <c r="I12" s="16" t="str">
        <f t="shared" si="5"/>
        <v/>
      </c>
      <c r="J12" s="41" t="s">
        <v>31</v>
      </c>
      <c r="K12" s="65" t="s">
        <v>32</v>
      </c>
    </row>
    <row r="13" spans="1:11" ht="15.6" x14ac:dyDescent="0.25">
      <c r="A13" s="30" t="str">
        <v xml:space="preserve"> Redlands - Bank of America</v>
      </c>
      <c r="B13" s="31" t="str">
        <v>CA</v>
      </c>
      <c r="C13" s="11">
        <v>0</v>
      </c>
      <c r="D13" s="18" t="s">
        <v>22</v>
      </c>
      <c r="E13" s="18" t="str">
        <f t="shared" si="0"/>
        <v/>
      </c>
      <c r="F13" s="19" t="str">
        <f t="shared" si="3"/>
        <v/>
      </c>
      <c r="G13" s="64" t="s">
        <v>22</v>
      </c>
      <c r="H13" s="20" t="str">
        <f t="shared" si="4"/>
        <v/>
      </c>
      <c r="I13" s="19" t="str">
        <f t="shared" si="5"/>
        <v/>
      </c>
      <c r="J13" s="42"/>
      <c r="K13" s="43"/>
    </row>
    <row r="14" spans="1:11" ht="15.6" x14ac:dyDescent="0.25">
      <c r="A14" s="28" t="str">
        <v xml:space="preserve"> Roseville - Bank of America</v>
      </c>
      <c r="B14" s="29" t="str">
        <v>CA</v>
      </c>
      <c r="C14" s="24">
        <v>4319</v>
      </c>
      <c r="D14" s="13" t="s">
        <v>22</v>
      </c>
      <c r="E14" s="13" t="str">
        <f t="shared" si="0"/>
        <v/>
      </c>
      <c r="F14" s="14" t="str">
        <f t="shared" si="3"/>
        <v/>
      </c>
      <c r="G14" s="63" t="s">
        <v>22</v>
      </c>
      <c r="H14" s="15" t="str">
        <f t="shared" si="4"/>
        <v/>
      </c>
      <c r="I14" s="16" t="str">
        <f t="shared" si="5"/>
        <v/>
      </c>
      <c r="J14" s="41"/>
      <c r="K14" s="41"/>
    </row>
    <row r="15" spans="1:11" ht="28.8" x14ac:dyDescent="0.25">
      <c r="A15" s="30" t="str">
        <v xml:space="preserve"> San Bernardino - Bank of America</v>
      </c>
      <c r="B15" s="31" t="str">
        <v>CA</v>
      </c>
      <c r="C15" s="11">
        <v>29.9</v>
      </c>
      <c r="D15" s="18" t="s">
        <v>22</v>
      </c>
      <c r="E15" s="18" t="str">
        <f t="shared" si="0"/>
        <v/>
      </c>
      <c r="F15" s="19" t="str">
        <f t="shared" si="3"/>
        <v/>
      </c>
      <c r="G15" s="64" t="s">
        <v>22</v>
      </c>
      <c r="H15" s="20" t="str">
        <f t="shared" si="4"/>
        <v/>
      </c>
      <c r="I15" s="19" t="str">
        <f t="shared" si="5"/>
        <v/>
      </c>
      <c r="J15" s="60" t="s">
        <v>33</v>
      </c>
      <c r="K15" s="66" t="s">
        <v>34</v>
      </c>
    </row>
    <row r="16" spans="1:11" ht="15.6" x14ac:dyDescent="0.25">
      <c r="A16" s="28" t="str">
        <v xml:space="preserve"> San Diego - Bank of America</v>
      </c>
      <c r="B16" s="29" t="str">
        <v>CA</v>
      </c>
      <c r="C16" s="24">
        <v>42.2</v>
      </c>
      <c r="D16" s="13" t="s">
        <v>22</v>
      </c>
      <c r="E16" s="13" t="str">
        <f t="shared" ref="E16:E17" si="6">IF(AND(ISNUMBER(C16),ISNUMBER(D16)), C16-D16, "")</f>
        <v/>
      </c>
      <c r="F16" s="14" t="str">
        <f t="shared" ref="F16:F17" si="7">IFERROR(E16/D16, "")</f>
        <v/>
      </c>
      <c r="G16" s="63" t="s">
        <v>22</v>
      </c>
      <c r="H16" s="15" t="str">
        <f t="shared" ref="H16:H17" si="8">IF(AND(ISNUMBER(C16),ISNUMBER(G16)), C16-G16, "")</f>
        <v/>
      </c>
      <c r="I16" s="16" t="str">
        <f t="shared" ref="I16:I17" si="9">IFERROR(H16/G16, "")</f>
        <v/>
      </c>
      <c r="J16" s="41"/>
      <c r="K16" s="41"/>
    </row>
    <row r="17" spans="1:13" ht="15.6" x14ac:dyDescent="0.25">
      <c r="A17" s="30" t="str">
        <v xml:space="preserve"> Stockton - Bank of America</v>
      </c>
      <c r="B17" s="31" t="str">
        <v>CA</v>
      </c>
      <c r="C17" s="11">
        <v>935.3</v>
      </c>
      <c r="D17" s="18" t="s">
        <v>22</v>
      </c>
      <c r="E17" s="18" t="str">
        <f t="shared" si="6"/>
        <v/>
      </c>
      <c r="F17" s="19" t="str">
        <f t="shared" si="7"/>
        <v/>
      </c>
      <c r="G17" s="64" t="s">
        <v>22</v>
      </c>
      <c r="H17" s="20" t="str">
        <f t="shared" si="8"/>
        <v/>
      </c>
      <c r="I17" s="19" t="str">
        <f t="shared" si="9"/>
        <v/>
      </c>
      <c r="J17" s="42"/>
      <c r="K17" s="43"/>
    </row>
    <row r="18" spans="1:13" ht="15.6" x14ac:dyDescent="0.25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ref="E18:E38" si="10">IF(AND(ISNUMBER(C18),ISNUMBER(D18)), C18-D18, "")</f>
        <v/>
      </c>
      <c r="F18" s="14" t="str">
        <f t="shared" ref="F18:F38" si="11">IFERROR(E18/D18, "")</f>
        <v/>
      </c>
      <c r="G18" s="63" t="s">
        <v>22</v>
      </c>
      <c r="H18" s="15" t="str">
        <f t="shared" ref="H18:H38" si="12">IF(AND(ISNUMBER(C18),ISNUMBER(G18)), C18-G18, "")</f>
        <v/>
      </c>
      <c r="I18" s="16" t="str">
        <f t="shared" ref="I18:I38" si="13">IFERROR(H18/G18, "")</f>
        <v/>
      </c>
      <c r="J18" s="41"/>
      <c r="K18" s="41"/>
    </row>
    <row r="19" spans="1:13" ht="15.6" x14ac:dyDescent="0.25">
      <c r="A19" s="30" t="str">
        <v xml:space="preserve"> Aurora - BA - Colfax Ave</v>
      </c>
      <c r="B19" s="31" t="str">
        <v>CO</v>
      </c>
      <c r="C19" s="11">
        <v>484.6</v>
      </c>
      <c r="D19" s="18" t="s">
        <v>22</v>
      </c>
      <c r="E19" s="18" t="str">
        <f t="shared" si="10"/>
        <v/>
      </c>
      <c r="F19" s="19" t="str">
        <f t="shared" si="11"/>
        <v/>
      </c>
      <c r="G19" s="64" t="s">
        <v>22</v>
      </c>
      <c r="H19" s="20" t="str">
        <f t="shared" si="12"/>
        <v/>
      </c>
      <c r="I19" s="19" t="str">
        <f t="shared" si="13"/>
        <v/>
      </c>
      <c r="J19" s="42"/>
      <c r="K19" s="43"/>
    </row>
    <row r="20" spans="1:13" ht="15.6" x14ac:dyDescent="0.25">
      <c r="A20" s="28" t="str">
        <v xml:space="preserve"> Aurora - BA - Parker Rd</v>
      </c>
      <c r="B20" s="29" t="str">
        <v>CO</v>
      </c>
      <c r="C20" s="24">
        <v>1419.2</v>
      </c>
      <c r="D20" s="13" t="s">
        <v>22</v>
      </c>
      <c r="E20" s="13" t="str">
        <f t="shared" si="10"/>
        <v/>
      </c>
      <c r="F20" s="14" t="str">
        <f t="shared" si="11"/>
        <v/>
      </c>
      <c r="G20" s="63" t="s">
        <v>22</v>
      </c>
      <c r="H20" s="15" t="str">
        <f t="shared" si="12"/>
        <v/>
      </c>
      <c r="I20" s="16" t="str">
        <f t="shared" si="13"/>
        <v/>
      </c>
      <c r="J20" s="41"/>
      <c r="K20" s="41"/>
    </row>
    <row r="21" spans="1:13" ht="28.8" x14ac:dyDescent="0.25">
      <c r="A21" s="30" t="str">
        <v xml:space="preserve"> Broomfield - Bank of America</v>
      </c>
      <c r="B21" s="31" t="str">
        <v>CO</v>
      </c>
      <c r="C21" s="11">
        <v>491.3</v>
      </c>
      <c r="D21" s="18" t="s">
        <v>22</v>
      </c>
      <c r="E21" s="18" t="str">
        <f t="shared" si="10"/>
        <v/>
      </c>
      <c r="F21" s="19" t="str">
        <f t="shared" si="11"/>
        <v/>
      </c>
      <c r="G21" s="64" t="s">
        <v>22</v>
      </c>
      <c r="H21" s="20" t="str">
        <f t="shared" si="12"/>
        <v/>
      </c>
      <c r="I21" s="19" t="str">
        <f t="shared" si="13"/>
        <v/>
      </c>
      <c r="J21" s="42" t="s">
        <v>35</v>
      </c>
      <c r="K21" s="66" t="s">
        <v>36</v>
      </c>
    </row>
    <row r="22" spans="1:13" ht="15.6" x14ac:dyDescent="0.25">
      <c r="A22" s="28" t="str">
        <v xml:space="preserve"> Colorado Springs - Bank of America</v>
      </c>
      <c r="B22" s="29" t="str">
        <v>CO</v>
      </c>
      <c r="C22" s="24">
        <v>1148.4000000000001</v>
      </c>
      <c r="D22" s="13" t="s">
        <v>22</v>
      </c>
      <c r="E22" s="13" t="str">
        <f t="shared" si="10"/>
        <v/>
      </c>
      <c r="F22" s="14" t="str">
        <f t="shared" si="11"/>
        <v/>
      </c>
      <c r="G22" s="63" t="s">
        <v>22</v>
      </c>
      <c r="H22" s="15" t="str">
        <f t="shared" si="12"/>
        <v/>
      </c>
      <c r="I22" s="16" t="str">
        <f t="shared" si="13"/>
        <v/>
      </c>
      <c r="J22" s="41"/>
      <c r="K22" s="41"/>
    </row>
    <row r="23" spans="1:13" ht="15.6" x14ac:dyDescent="0.25">
      <c r="A23" s="30" t="str">
        <v xml:space="preserve"> Denver - BA - 49th Ave</v>
      </c>
      <c r="B23" s="31" t="str">
        <v>CO</v>
      </c>
      <c r="C23" s="11">
        <v>966.8</v>
      </c>
      <c r="D23" s="18" t="s">
        <v>22</v>
      </c>
      <c r="E23" s="18" t="str">
        <f t="shared" si="10"/>
        <v/>
      </c>
      <c r="F23" s="19" t="str">
        <f t="shared" si="11"/>
        <v/>
      </c>
      <c r="G23" s="64" t="s">
        <v>22</v>
      </c>
      <c r="H23" s="20" t="str">
        <f t="shared" si="12"/>
        <v/>
      </c>
      <c r="I23" s="19" t="str">
        <f t="shared" si="13"/>
        <v/>
      </c>
      <c r="J23" s="42"/>
      <c r="K23" s="43"/>
    </row>
    <row r="24" spans="1:13" ht="15.6" x14ac:dyDescent="0.25">
      <c r="A24" s="28" t="str">
        <v xml:space="preserve"> Denver - BA Wadsworth Blvd</v>
      </c>
      <c r="B24" s="29" t="str">
        <v>CO</v>
      </c>
      <c r="C24" s="24">
        <v>358.8</v>
      </c>
      <c r="D24" s="13" t="s">
        <v>22</v>
      </c>
      <c r="E24" s="13" t="str">
        <f t="shared" si="10"/>
        <v/>
      </c>
      <c r="F24" s="14" t="str">
        <f t="shared" si="11"/>
        <v/>
      </c>
      <c r="G24" s="63" t="s">
        <v>22</v>
      </c>
      <c r="H24" s="15" t="str">
        <f t="shared" si="12"/>
        <v/>
      </c>
      <c r="I24" s="16" t="str">
        <f t="shared" si="13"/>
        <v/>
      </c>
      <c r="J24" s="41"/>
      <c r="K24" s="41"/>
    </row>
    <row r="25" spans="1:13" ht="43.2" x14ac:dyDescent="0.25">
      <c r="A25" s="30" t="str">
        <v xml:space="preserve"> Fort Collins - Bank of America</v>
      </c>
      <c r="B25" s="31" t="str">
        <v>CO</v>
      </c>
      <c r="C25" s="11">
        <v>219.5</v>
      </c>
      <c r="D25" s="18" t="s">
        <v>22</v>
      </c>
      <c r="E25" s="18" t="str">
        <f t="shared" si="10"/>
        <v/>
      </c>
      <c r="F25" s="19" t="str">
        <f t="shared" si="11"/>
        <v/>
      </c>
      <c r="G25" s="64" t="s">
        <v>22</v>
      </c>
      <c r="H25" s="20" t="str">
        <f t="shared" si="12"/>
        <v/>
      </c>
      <c r="I25" s="19" t="str">
        <f t="shared" si="13"/>
        <v/>
      </c>
      <c r="J25" s="60" t="s">
        <v>37</v>
      </c>
      <c r="K25" s="66" t="s">
        <v>38</v>
      </c>
      <c r="L25" s="69" t="s">
        <v>39</v>
      </c>
      <c r="M25" s="69" t="s">
        <v>40</v>
      </c>
    </row>
    <row r="26" spans="1:13" ht="72" x14ac:dyDescent="0.25">
      <c r="A26" s="28" t="str">
        <v xml:space="preserve"> Lafayette - Bank of America</v>
      </c>
      <c r="B26" s="29" t="str">
        <v>CO</v>
      </c>
      <c r="C26" s="24">
        <v>514.20000000000005</v>
      </c>
      <c r="D26" s="13" t="s">
        <v>22</v>
      </c>
      <c r="E26" s="13" t="str">
        <f t="shared" si="10"/>
        <v/>
      </c>
      <c r="F26" s="14" t="str">
        <f t="shared" si="11"/>
        <v/>
      </c>
      <c r="G26" s="63" t="s">
        <v>22</v>
      </c>
      <c r="H26" s="15" t="str">
        <f t="shared" si="12"/>
        <v/>
      </c>
      <c r="I26" s="16" t="str">
        <f t="shared" si="13"/>
        <v/>
      </c>
      <c r="J26" s="62" t="s">
        <v>41</v>
      </c>
      <c r="K26" s="67" t="s">
        <v>42</v>
      </c>
      <c r="L26" s="69" t="s">
        <v>43</v>
      </c>
    </row>
    <row r="27" spans="1:13" ht="15.6" x14ac:dyDescent="0.25">
      <c r="A27" s="30" t="str">
        <v xml:space="preserve"> Lakewood - Bank of America</v>
      </c>
      <c r="B27" s="31" t="str">
        <v>CO</v>
      </c>
      <c r="C27" s="11">
        <v>346.1</v>
      </c>
      <c r="D27" s="18" t="s">
        <v>22</v>
      </c>
      <c r="E27" s="18" t="str">
        <f t="shared" si="10"/>
        <v/>
      </c>
      <c r="F27" s="19" t="str">
        <f t="shared" si="11"/>
        <v/>
      </c>
      <c r="G27" s="64" t="s">
        <v>22</v>
      </c>
      <c r="H27" s="20" t="str">
        <f t="shared" si="12"/>
        <v/>
      </c>
      <c r="I27" s="19" t="str">
        <f t="shared" si="13"/>
        <v/>
      </c>
      <c r="J27" s="42"/>
      <c r="K27" s="43"/>
    </row>
    <row r="28" spans="1:13" ht="28.8" x14ac:dyDescent="0.25">
      <c r="A28" s="28" t="str">
        <v xml:space="preserve"> Longmont - Bank of America</v>
      </c>
      <c r="B28" s="29" t="str">
        <v>CO</v>
      </c>
      <c r="C28" s="24">
        <v>281.10000000000002</v>
      </c>
      <c r="D28" s="13" t="s">
        <v>22</v>
      </c>
      <c r="E28" s="13" t="str">
        <f t="shared" si="10"/>
        <v/>
      </c>
      <c r="F28" s="14" t="str">
        <f t="shared" si="11"/>
        <v/>
      </c>
      <c r="G28" s="63" t="s">
        <v>22</v>
      </c>
      <c r="H28" s="15" t="str">
        <f t="shared" si="12"/>
        <v/>
      </c>
      <c r="I28" s="16" t="str">
        <f t="shared" si="13"/>
        <v/>
      </c>
      <c r="J28" s="62" t="s">
        <v>44</v>
      </c>
      <c r="K28" s="65" t="s">
        <v>45</v>
      </c>
    </row>
    <row r="29" spans="1:13" ht="15.6" x14ac:dyDescent="0.25">
      <c r="A29" s="30" t="str">
        <v xml:space="preserve"> Thornton - Bank of America</v>
      </c>
      <c r="B29" s="31" t="str">
        <v>CO</v>
      </c>
      <c r="C29" s="11">
        <v>481</v>
      </c>
      <c r="D29" s="18" t="s">
        <v>22</v>
      </c>
      <c r="E29" s="18" t="str">
        <f t="shared" si="10"/>
        <v/>
      </c>
      <c r="F29" s="19" t="str">
        <f t="shared" si="11"/>
        <v/>
      </c>
      <c r="G29" s="64" t="s">
        <v>22</v>
      </c>
      <c r="H29" s="20" t="str">
        <f t="shared" si="12"/>
        <v/>
      </c>
      <c r="I29" s="19" t="str">
        <f t="shared" si="13"/>
        <v/>
      </c>
      <c r="J29" s="42"/>
      <c r="K29" s="43"/>
    </row>
    <row r="30" spans="1:13" ht="15.6" x14ac:dyDescent="0.25">
      <c r="A30" s="28" t="str">
        <v xml:space="preserve"> Calumet City - Bank of America</v>
      </c>
      <c r="B30" s="29" t="str">
        <v>IL</v>
      </c>
      <c r="C30" s="24">
        <v>1023.4</v>
      </c>
      <c r="D30" s="13" t="s">
        <v>22</v>
      </c>
      <c r="E30" s="13" t="str">
        <f t="shared" si="10"/>
        <v/>
      </c>
      <c r="F30" s="14" t="str">
        <f t="shared" si="11"/>
        <v/>
      </c>
      <c r="G30" s="63" t="s">
        <v>22</v>
      </c>
      <c r="H30" s="15" t="str">
        <f t="shared" si="12"/>
        <v/>
      </c>
      <c r="I30" s="16" t="str">
        <f t="shared" si="13"/>
        <v/>
      </c>
      <c r="J30" s="41"/>
      <c r="K30" s="41"/>
    </row>
    <row r="31" spans="1:13" ht="15.6" x14ac:dyDescent="0.25">
      <c r="A31" s="30" t="str">
        <v xml:space="preserve"> Downers Grove - Bank of America</v>
      </c>
      <c r="B31" s="31" t="str">
        <v>IL</v>
      </c>
      <c r="C31" s="11">
        <v>997.5</v>
      </c>
      <c r="D31" s="18" t="s">
        <v>22</v>
      </c>
      <c r="E31" s="18" t="str">
        <f t="shared" si="10"/>
        <v/>
      </c>
      <c r="F31" s="19" t="str">
        <f t="shared" si="11"/>
        <v/>
      </c>
      <c r="G31" s="64" t="s">
        <v>22</v>
      </c>
      <c r="H31" s="20" t="str">
        <f t="shared" si="12"/>
        <v/>
      </c>
      <c r="I31" s="19" t="str">
        <f t="shared" si="13"/>
        <v/>
      </c>
      <c r="J31" s="42"/>
      <c r="K31" s="43"/>
    </row>
    <row r="32" spans="1:13" ht="28.8" x14ac:dyDescent="0.25">
      <c r="A32" s="28" t="str">
        <v xml:space="preserve"> Bloomington - Bank of America</v>
      </c>
      <c r="B32" s="29" t="str">
        <v>MN</v>
      </c>
      <c r="C32" s="24">
        <v>156.4</v>
      </c>
      <c r="D32" s="13" t="s">
        <v>22</v>
      </c>
      <c r="E32" s="13" t="str">
        <f t="shared" si="10"/>
        <v/>
      </c>
      <c r="F32" s="14" t="str">
        <f t="shared" si="11"/>
        <v/>
      </c>
      <c r="G32" s="63" t="s">
        <v>22</v>
      </c>
      <c r="H32" s="15" t="str">
        <f t="shared" si="12"/>
        <v/>
      </c>
      <c r="I32" s="16" t="str">
        <f t="shared" si="13"/>
        <v/>
      </c>
      <c r="J32" s="41" t="s">
        <v>46</v>
      </c>
      <c r="K32" s="67" t="s">
        <v>47</v>
      </c>
    </row>
    <row r="33" spans="1:11" ht="15.6" x14ac:dyDescent="0.25">
      <c r="A33" s="30" t="str">
        <v xml:space="preserve"> Clayton - Bank of America</v>
      </c>
      <c r="B33" s="31" t="str">
        <v>MO</v>
      </c>
      <c r="C33" s="11">
        <v>804</v>
      </c>
      <c r="D33" s="18" t="s">
        <v>22</v>
      </c>
      <c r="E33" s="18" t="str">
        <f t="shared" si="10"/>
        <v/>
      </c>
      <c r="F33" s="19" t="str">
        <f t="shared" si="11"/>
        <v/>
      </c>
      <c r="G33" s="64" t="s">
        <v>22</v>
      </c>
      <c r="H33" s="20" t="str">
        <f t="shared" si="12"/>
        <v/>
      </c>
      <c r="I33" s="19" t="str">
        <f t="shared" si="13"/>
        <v/>
      </c>
      <c r="J33" s="42"/>
      <c r="K33" s="43"/>
    </row>
    <row r="34" spans="1:11" ht="15.6" x14ac:dyDescent="0.25">
      <c r="A34" s="28" t="str">
        <v xml:space="preserve"> Manchester - Bank of America</v>
      </c>
      <c r="B34" s="29" t="str">
        <v>MO</v>
      </c>
      <c r="C34" s="24">
        <v>686.6</v>
      </c>
      <c r="D34" s="13" t="s">
        <v>22</v>
      </c>
      <c r="E34" s="13" t="str">
        <f t="shared" si="10"/>
        <v/>
      </c>
      <c r="F34" s="14" t="str">
        <f t="shared" si="11"/>
        <v/>
      </c>
      <c r="G34" s="63" t="s">
        <v>22</v>
      </c>
      <c r="H34" s="15" t="str">
        <f t="shared" si="12"/>
        <v/>
      </c>
      <c r="I34" s="16" t="str">
        <f t="shared" si="13"/>
        <v/>
      </c>
      <c r="J34" s="41"/>
      <c r="K34" s="41"/>
    </row>
    <row r="35" spans="1:11" ht="15.6" x14ac:dyDescent="0.25">
      <c r="A35" s="30" t="str">
        <v xml:space="preserve"> Las Vegas - BA - Eastern Ave</v>
      </c>
      <c r="B35" s="31" t="str">
        <v>NV</v>
      </c>
      <c r="C35" s="11">
        <v>56.2</v>
      </c>
      <c r="D35" s="18" t="s">
        <v>22</v>
      </c>
      <c r="E35" s="18" t="str">
        <f t="shared" si="10"/>
        <v/>
      </c>
      <c r="F35" s="19" t="str">
        <f t="shared" si="11"/>
        <v/>
      </c>
      <c r="G35" s="64" t="s">
        <v>22</v>
      </c>
      <c r="H35" s="20" t="str">
        <f t="shared" si="12"/>
        <v/>
      </c>
      <c r="I35" s="19" t="str">
        <f t="shared" si="13"/>
        <v/>
      </c>
      <c r="J35" s="42"/>
      <c r="K35" s="43"/>
    </row>
    <row r="36" spans="1:11" ht="15.6" x14ac:dyDescent="0.25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10"/>
        <v/>
      </c>
      <c r="F36" s="14" t="str">
        <f t="shared" si="11"/>
        <v/>
      </c>
      <c r="G36" s="63" t="s">
        <v>22</v>
      </c>
      <c r="H36" s="15" t="str">
        <f t="shared" si="12"/>
        <v/>
      </c>
      <c r="I36" s="16" t="str">
        <f t="shared" si="13"/>
        <v/>
      </c>
      <c r="J36" s="41"/>
      <c r="K36" s="41"/>
    </row>
    <row r="37" spans="1:11" ht="15.6" x14ac:dyDescent="0.25">
      <c r="A37" s="30" t="str">
        <v xml:space="preserve"> Riverton - Bank of America</v>
      </c>
      <c r="B37" s="31" t="str">
        <v>UT</v>
      </c>
      <c r="C37" s="11">
        <v>1155.5999999999999</v>
      </c>
      <c r="D37" s="18" t="s">
        <v>22</v>
      </c>
      <c r="E37" s="18" t="str">
        <f t="shared" si="10"/>
        <v/>
      </c>
      <c r="F37" s="19" t="str">
        <f t="shared" si="11"/>
        <v/>
      </c>
      <c r="G37" s="64" t="s">
        <v>22</v>
      </c>
      <c r="H37" s="20" t="str">
        <f t="shared" si="12"/>
        <v/>
      </c>
      <c r="I37" s="19" t="str">
        <f t="shared" si="13"/>
        <v/>
      </c>
      <c r="J37" s="42"/>
      <c r="K37" s="43"/>
    </row>
    <row r="38" spans="1:11" ht="15.6" x14ac:dyDescent="0.25">
      <c r="A38" s="28" t="str">
        <v xml:space="preserve"> Salt Lake City - Bank of America</v>
      </c>
      <c r="B38" s="29" t="str">
        <v>UT</v>
      </c>
      <c r="C38" s="24">
        <v>122.1</v>
      </c>
      <c r="D38" s="13" t="s">
        <v>22</v>
      </c>
      <c r="E38" s="13" t="str">
        <f t="shared" si="10"/>
        <v/>
      </c>
      <c r="F38" s="14" t="str">
        <f t="shared" si="11"/>
        <v/>
      </c>
      <c r="G38" s="63" t="s">
        <v>22</v>
      </c>
      <c r="H38" s="15" t="str">
        <f t="shared" si="12"/>
        <v/>
      </c>
      <c r="I38" s="16" t="str">
        <f t="shared" si="13"/>
        <v/>
      </c>
      <c r="J38" s="41"/>
      <c r="K38" s="41"/>
    </row>
    <row r="39" spans="1:11" ht="14.4" x14ac:dyDescent="0.3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" x14ac:dyDescent="0.3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" x14ac:dyDescent="0.3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" x14ac:dyDescent="0.3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" x14ac:dyDescent="0.3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" x14ac:dyDescent="0.3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" x14ac:dyDescent="0.3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" x14ac:dyDescent="0.3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" x14ac:dyDescent="0.3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" x14ac:dyDescent="0.3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" x14ac:dyDescent="0.3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" x14ac:dyDescent="0.3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" x14ac:dyDescent="0.3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" x14ac:dyDescent="0.3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" x14ac:dyDescent="0.3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" x14ac:dyDescent="0.3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" x14ac:dyDescent="0.3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" x14ac:dyDescent="0.3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" x14ac:dyDescent="0.3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" x14ac:dyDescent="0.3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" x14ac:dyDescent="0.3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" x14ac:dyDescent="0.3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" x14ac:dyDescent="0.3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" x14ac:dyDescent="0.3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" x14ac:dyDescent="0.3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" x14ac:dyDescent="0.3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" x14ac:dyDescent="0.3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" x14ac:dyDescent="0.3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" x14ac:dyDescent="0.3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" x14ac:dyDescent="0.3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" x14ac:dyDescent="0.3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" x14ac:dyDescent="0.3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" x14ac:dyDescent="0.3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" x14ac:dyDescent="0.3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" x14ac:dyDescent="0.3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" x14ac:dyDescent="0.3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" x14ac:dyDescent="0.3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" x14ac:dyDescent="0.3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" x14ac:dyDescent="0.3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" x14ac:dyDescent="0.3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" x14ac:dyDescent="0.3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" x14ac:dyDescent="0.3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" x14ac:dyDescent="0.3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" x14ac:dyDescent="0.3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" x14ac:dyDescent="0.3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" x14ac:dyDescent="0.3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" x14ac:dyDescent="0.3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" x14ac:dyDescent="0.3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" x14ac:dyDescent="0.3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" x14ac:dyDescent="0.3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" x14ac:dyDescent="0.3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" x14ac:dyDescent="0.3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" x14ac:dyDescent="0.3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" x14ac:dyDescent="0.3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" x14ac:dyDescent="0.3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" x14ac:dyDescent="0.3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" x14ac:dyDescent="0.3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" x14ac:dyDescent="0.3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" x14ac:dyDescent="0.3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" x14ac:dyDescent="0.3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" x14ac:dyDescent="0.3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" x14ac:dyDescent="0.3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" x14ac:dyDescent="0.3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" x14ac:dyDescent="0.3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" x14ac:dyDescent="0.3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" x14ac:dyDescent="0.3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" x14ac:dyDescent="0.3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" x14ac:dyDescent="0.3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" x14ac:dyDescent="0.3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" x14ac:dyDescent="0.3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" x14ac:dyDescent="0.3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" x14ac:dyDescent="0.3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" x14ac:dyDescent="0.3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" x14ac:dyDescent="0.3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" x14ac:dyDescent="0.3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" x14ac:dyDescent="0.3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" x14ac:dyDescent="0.3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" x14ac:dyDescent="0.3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" x14ac:dyDescent="0.3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" x14ac:dyDescent="0.3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" x14ac:dyDescent="0.3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" x14ac:dyDescent="0.3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" x14ac:dyDescent="0.3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" x14ac:dyDescent="0.3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" x14ac:dyDescent="0.3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" x14ac:dyDescent="0.3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" x14ac:dyDescent="0.3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" x14ac:dyDescent="0.3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" x14ac:dyDescent="0.3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" x14ac:dyDescent="0.3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" x14ac:dyDescent="0.3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" x14ac:dyDescent="0.3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" x14ac:dyDescent="0.3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" x14ac:dyDescent="0.3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" x14ac:dyDescent="0.3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" x14ac:dyDescent="0.3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" x14ac:dyDescent="0.3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" x14ac:dyDescent="0.3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" x14ac:dyDescent="0.3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" x14ac:dyDescent="0.3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" x14ac:dyDescent="0.3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" x14ac:dyDescent="0.3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" x14ac:dyDescent="0.3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" x14ac:dyDescent="0.3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" x14ac:dyDescent="0.3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" x14ac:dyDescent="0.3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" x14ac:dyDescent="0.3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" x14ac:dyDescent="0.3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" x14ac:dyDescent="0.3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" x14ac:dyDescent="0.3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" x14ac:dyDescent="0.3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" x14ac:dyDescent="0.3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" x14ac:dyDescent="0.3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" x14ac:dyDescent="0.3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" x14ac:dyDescent="0.3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" x14ac:dyDescent="0.3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" x14ac:dyDescent="0.3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" x14ac:dyDescent="0.3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" x14ac:dyDescent="0.3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" x14ac:dyDescent="0.3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" x14ac:dyDescent="0.3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" x14ac:dyDescent="0.3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" x14ac:dyDescent="0.3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" x14ac:dyDescent="0.3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" x14ac:dyDescent="0.3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" x14ac:dyDescent="0.3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" x14ac:dyDescent="0.3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" x14ac:dyDescent="0.3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" x14ac:dyDescent="0.3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" x14ac:dyDescent="0.3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" x14ac:dyDescent="0.3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" x14ac:dyDescent="0.3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" x14ac:dyDescent="0.3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" x14ac:dyDescent="0.3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" x14ac:dyDescent="0.3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" x14ac:dyDescent="0.3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" x14ac:dyDescent="0.3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" x14ac:dyDescent="0.3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" x14ac:dyDescent="0.3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" x14ac:dyDescent="0.3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" x14ac:dyDescent="0.3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" x14ac:dyDescent="0.3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" x14ac:dyDescent="0.3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" x14ac:dyDescent="0.3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" x14ac:dyDescent="0.3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" x14ac:dyDescent="0.3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" x14ac:dyDescent="0.3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" x14ac:dyDescent="0.3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" x14ac:dyDescent="0.3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" x14ac:dyDescent="0.3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" x14ac:dyDescent="0.3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" x14ac:dyDescent="0.3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" x14ac:dyDescent="0.3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" x14ac:dyDescent="0.3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" x14ac:dyDescent="0.3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" x14ac:dyDescent="0.3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" x14ac:dyDescent="0.3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" x14ac:dyDescent="0.3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" x14ac:dyDescent="0.3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" x14ac:dyDescent="0.3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" x14ac:dyDescent="0.3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" x14ac:dyDescent="0.3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" x14ac:dyDescent="0.3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" x14ac:dyDescent="0.3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" x14ac:dyDescent="0.3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" x14ac:dyDescent="0.3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" x14ac:dyDescent="0.3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" x14ac:dyDescent="0.3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" x14ac:dyDescent="0.3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" x14ac:dyDescent="0.3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" x14ac:dyDescent="0.3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" x14ac:dyDescent="0.3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" x14ac:dyDescent="0.3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" x14ac:dyDescent="0.3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" x14ac:dyDescent="0.3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" x14ac:dyDescent="0.3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" x14ac:dyDescent="0.3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" x14ac:dyDescent="0.3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" x14ac:dyDescent="0.3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" x14ac:dyDescent="0.3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" x14ac:dyDescent="0.3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" x14ac:dyDescent="0.3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" x14ac:dyDescent="0.3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" x14ac:dyDescent="0.3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" x14ac:dyDescent="0.3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" x14ac:dyDescent="0.3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" x14ac:dyDescent="0.3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" x14ac:dyDescent="0.3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" x14ac:dyDescent="0.3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" x14ac:dyDescent="0.3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" x14ac:dyDescent="0.3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" x14ac:dyDescent="0.3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" x14ac:dyDescent="0.3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" x14ac:dyDescent="0.3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" x14ac:dyDescent="0.3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" x14ac:dyDescent="0.3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" x14ac:dyDescent="0.3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" x14ac:dyDescent="0.3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" x14ac:dyDescent="0.3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" x14ac:dyDescent="0.3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" x14ac:dyDescent="0.3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" x14ac:dyDescent="0.3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" x14ac:dyDescent="0.3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" x14ac:dyDescent="0.3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" x14ac:dyDescent="0.3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" x14ac:dyDescent="0.3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" x14ac:dyDescent="0.3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" x14ac:dyDescent="0.3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" x14ac:dyDescent="0.3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" x14ac:dyDescent="0.3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" x14ac:dyDescent="0.3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" x14ac:dyDescent="0.3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" x14ac:dyDescent="0.3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" x14ac:dyDescent="0.3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" x14ac:dyDescent="0.3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" x14ac:dyDescent="0.3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" x14ac:dyDescent="0.3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" x14ac:dyDescent="0.3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" x14ac:dyDescent="0.3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" x14ac:dyDescent="0.3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" x14ac:dyDescent="0.3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" x14ac:dyDescent="0.3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" x14ac:dyDescent="0.3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" x14ac:dyDescent="0.3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" x14ac:dyDescent="0.3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" x14ac:dyDescent="0.3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" x14ac:dyDescent="0.3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" x14ac:dyDescent="0.3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" x14ac:dyDescent="0.3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" x14ac:dyDescent="0.3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" x14ac:dyDescent="0.3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" x14ac:dyDescent="0.3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" x14ac:dyDescent="0.3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" x14ac:dyDescent="0.3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" x14ac:dyDescent="0.3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" x14ac:dyDescent="0.3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" x14ac:dyDescent="0.3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" x14ac:dyDescent="0.3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" x14ac:dyDescent="0.3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" x14ac:dyDescent="0.3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" x14ac:dyDescent="0.3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" x14ac:dyDescent="0.3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" x14ac:dyDescent="0.3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" x14ac:dyDescent="0.3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" x14ac:dyDescent="0.3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" x14ac:dyDescent="0.3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" x14ac:dyDescent="0.3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" x14ac:dyDescent="0.3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" x14ac:dyDescent="0.3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" x14ac:dyDescent="0.3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" x14ac:dyDescent="0.3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" x14ac:dyDescent="0.3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" x14ac:dyDescent="0.3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" x14ac:dyDescent="0.3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" x14ac:dyDescent="0.3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" x14ac:dyDescent="0.3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" x14ac:dyDescent="0.3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" x14ac:dyDescent="0.3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" x14ac:dyDescent="0.3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" x14ac:dyDescent="0.3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" x14ac:dyDescent="0.3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" x14ac:dyDescent="0.3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" x14ac:dyDescent="0.3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" x14ac:dyDescent="0.3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" x14ac:dyDescent="0.3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" x14ac:dyDescent="0.3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" x14ac:dyDescent="0.3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" x14ac:dyDescent="0.3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" x14ac:dyDescent="0.3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" x14ac:dyDescent="0.3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" x14ac:dyDescent="0.3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" x14ac:dyDescent="0.3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" x14ac:dyDescent="0.3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" x14ac:dyDescent="0.3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" x14ac:dyDescent="0.3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" x14ac:dyDescent="0.3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" x14ac:dyDescent="0.3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" x14ac:dyDescent="0.3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" x14ac:dyDescent="0.3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" x14ac:dyDescent="0.3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" x14ac:dyDescent="0.3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" x14ac:dyDescent="0.3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" x14ac:dyDescent="0.3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" x14ac:dyDescent="0.3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" x14ac:dyDescent="0.3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" x14ac:dyDescent="0.3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" x14ac:dyDescent="0.3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" x14ac:dyDescent="0.3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" x14ac:dyDescent="0.3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" x14ac:dyDescent="0.3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" x14ac:dyDescent="0.3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" x14ac:dyDescent="0.3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" x14ac:dyDescent="0.3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" x14ac:dyDescent="0.3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" x14ac:dyDescent="0.3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" x14ac:dyDescent="0.3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" x14ac:dyDescent="0.3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" x14ac:dyDescent="0.3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" x14ac:dyDescent="0.3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" x14ac:dyDescent="0.3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" x14ac:dyDescent="0.3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" x14ac:dyDescent="0.3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" x14ac:dyDescent="0.3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</sheetData>
  <mergeCells count="4">
    <mergeCell ref="D1:F1"/>
    <mergeCell ref="A1:C1"/>
    <mergeCell ref="G1:I1"/>
    <mergeCell ref="A2:B2"/>
  </mergeCells>
  <conditionalFormatting sqref="F2 I2 I4:I99">
    <cfRule type="cellIs" dxfId="43" priority="4" stopIfTrue="1" operator="lessThanOrEqual">
      <formula>-0.1</formula>
    </cfRule>
    <cfRule type="expression" dxfId="42" priority="5">
      <formula>AND(ISNUMBER(F2), F2&gt;=0.1)</formula>
    </cfRule>
  </conditionalFormatting>
  <conditionalFormatting sqref="F4:F99">
    <cfRule type="cellIs" dxfId="41" priority="1" stopIfTrue="1" operator="lessThanOrEqual">
      <formula>-0.1</formula>
    </cfRule>
    <cfRule type="expression" dxfId="40" priority="2">
      <formula>AND(ISNUMBER(F4), F4&gt;=0.1)</formula>
    </cfRule>
  </conditionalFormatting>
  <hyperlinks>
    <hyperlink ref="K6" r:id="rId1" display="https://us3.assetplanner.com/service_request?ID=095278" xr:uid="{16015E95-773C-45B8-A3BA-22E5B8BEBF54}"/>
    <hyperlink ref="K8" r:id="rId2" display="https://us3.assetplanner.com/service_request?ID=095189" xr:uid="{F2E20D3E-FE71-4D82-BE98-7F208057BCAD}"/>
    <hyperlink ref="K9" r:id="rId3" display="https://us3.assetplanner.com/service_request?ID=095095" xr:uid="{DAC43DC7-7208-4265-BA9A-2FE4972F5B05}"/>
    <hyperlink ref="K10" r:id="rId4" display="https://us3.assetplanner.com/service_request?ID=091352" xr:uid="{FDF4861F-E699-44DC-9C82-9984820529D1}"/>
    <hyperlink ref="K12" r:id="rId5" display="https://us3.assetplanner.com/service_request?ID=095528" xr:uid="{9C6FF7CB-7D9F-4A41-AF47-B3A0EB7F6698}"/>
    <hyperlink ref="K15" r:id="rId6" display="https://us3.assetplanner.com/service_request?ID=095900" xr:uid="{62DA6AC4-78E2-4680-93A8-491D9CF5F9BB}"/>
    <hyperlink ref="K21" r:id="rId7" display="https://us3.assetplanner.com/service_request?ID=095596" xr:uid="{840873D0-7229-4B36-9E90-428BDD16796F}"/>
    <hyperlink ref="K25" r:id="rId8" display="https://us3.assetplanner.com/service_request?ID=095597" xr:uid="{2A467A71-2AEB-43D7-A1C4-B6985A23AEBB}"/>
    <hyperlink ref="L25" r:id="rId9" display="https://us3.assetplanner.com/service_request?ID=089922" xr:uid="{0875C23C-F57F-45BF-97E0-147013430A07}"/>
    <hyperlink ref="M25" r:id="rId10" display="https://us3.assetplanner.com/service_request?ID=095037" xr:uid="{88191342-4214-4B1C-A023-67165B4CA53E}"/>
    <hyperlink ref="K26" r:id="rId11" display="https://us3.assetplanner.com/service_request?ID=092849" xr:uid="{4469FE7F-99A5-46E2-AA0A-6047CB93CA57}"/>
    <hyperlink ref="L26" r:id="rId12" display="https://us3.assetplanner.com/service_request?ID=095290" xr:uid="{805A3888-0197-4DFE-B860-1CBC3A8356D9}"/>
    <hyperlink ref="K28" r:id="rId13" display="https://us3.assetplanner.com/service_request?ID=096191" xr:uid="{3AE697B4-62B5-4A96-9033-1938AEEBF39B}"/>
    <hyperlink ref="K32" r:id="rId14" display="https://us3.assetplanner.com/service_request?ID=094909" xr:uid="{8780DD24-7D20-459F-8128-94C7DB871597}"/>
  </hyperlinks>
  <pageMargins left="0.4" right="0.7" top="0.25" bottom="0.25" header="0.3" footer="0.3"/>
  <pageSetup fitToHeight="99" orientation="landscape" r:id="rId1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42"/>
  <sheetViews>
    <sheetView zoomScale="60" zoomScaleNormal="60" workbookViewId="0">
      <pane xSplit="2" ySplit="3" topLeftCell="C24" activePane="bottomRight" state="frozen"/>
      <selection pane="topRight"/>
      <selection pane="bottomLeft"/>
      <selection pane="bottomRight" activeCell="C16" sqref="C16"/>
    </sheetView>
  </sheetViews>
  <sheetFormatPr defaultRowHeight="13.8" x14ac:dyDescent="0.25"/>
  <cols>
    <col min="1" max="1" width="35.88671875" bestFit="1" customWidth="1"/>
    <col min="2" max="2" width="8.44140625" style="34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2" ht="19.5" customHeight="1" x14ac:dyDescent="0.25">
      <c r="A1" s="89" t="str" cm="1">
        <f t="array" ref="A1">portfolio</f>
        <v>Cushman &amp; Wakefield</v>
      </c>
      <c r="B1" s="89"/>
      <c r="C1" s="89"/>
      <c r="D1" s="90" t="s">
        <v>48</v>
      </c>
      <c r="E1" s="90"/>
      <c r="F1" s="90"/>
      <c r="G1" s="88" t="s">
        <v>49</v>
      </c>
      <c r="H1" s="88"/>
      <c r="I1" s="88"/>
      <c r="J1" s="4"/>
      <c r="K1" s="4"/>
    </row>
    <row r="2" spans="1:12" ht="19.5" customHeight="1" x14ac:dyDescent="0.25">
      <c r="A2" s="91" t="s">
        <v>2</v>
      </c>
      <c r="B2" s="91"/>
      <c r="C2" s="5">
        <f>SUM(C4:C100)</f>
        <v>31847.3</v>
      </c>
      <c r="D2" s="5">
        <f>SUM(D4:D100)</f>
        <v>0</v>
      </c>
      <c r="E2" s="5">
        <f>C2-D2</f>
        <v>31847.3</v>
      </c>
      <c r="F2" s="6">
        <f>IFERROR(E2/D2, 0)</f>
        <v>0</v>
      </c>
      <c r="G2" s="5">
        <f>SUM(G4:G100)</f>
        <v>0</v>
      </c>
      <c r="H2" s="7">
        <f>C2-G2</f>
        <v>31847.3</v>
      </c>
      <c r="I2" s="6">
        <f>IFERROR(H2/G2, 0)</f>
        <v>0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 x14ac:dyDescent="0.25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 x14ac:dyDescent="0.3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63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2" ht="15.6" x14ac:dyDescent="0.25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15" si="0">IF(AND(ISNUMBER(C5),ISNUMBER(D5)), C5-D5, "")</f>
        <v/>
      </c>
      <c r="F5" s="19" t="str">
        <f>IFERROR(E5/D5, "")</f>
        <v/>
      </c>
      <c r="G5" s="64" t="s">
        <v>22</v>
      </c>
      <c r="H5" s="20" t="str">
        <f t="shared" ref="H5:H15" si="1">IF(AND(ISNUMBER(C5),ISNUMBER(G5)), C5-G5, "")</f>
        <v/>
      </c>
      <c r="I5" s="19" t="str">
        <f t="shared" ref="I5:I15" si="2">IFERROR(H5/G5, "")</f>
        <v/>
      </c>
      <c r="J5" s="42"/>
      <c r="K5" s="42"/>
    </row>
    <row r="6" spans="1:12" ht="15.6" x14ac:dyDescent="0.25">
      <c r="A6" s="28" t="str">
        <v xml:space="preserve"> Arvin - Bank of America</v>
      </c>
      <c r="B6" s="29" t="str">
        <v>CA</v>
      </c>
      <c r="C6" s="24">
        <v>73</v>
      </c>
      <c r="D6" s="13" t="s">
        <v>22</v>
      </c>
      <c r="E6" s="13" t="str">
        <f>IF(AND(ISNUMBER(C6),ISNUMBER(D6)), C6-D6, "")</f>
        <v/>
      </c>
      <c r="F6" s="14" t="str">
        <f t="shared" ref="F6:F15" si="3">IFERROR(E6/D6, "")</f>
        <v/>
      </c>
      <c r="G6" s="63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2" ht="15.6" x14ac:dyDescent="0.25">
      <c r="A7" s="30" t="str">
        <v xml:space="preserve"> Bell - Bank of America</v>
      </c>
      <c r="B7" s="31" t="str">
        <v>CA</v>
      </c>
      <c r="C7" s="11">
        <v>1743</v>
      </c>
      <c r="D7" s="18" t="s">
        <v>22</v>
      </c>
      <c r="E7" s="18" t="str">
        <f t="shared" si="0"/>
        <v/>
      </c>
      <c r="F7" s="19" t="str">
        <f t="shared" si="3"/>
        <v/>
      </c>
      <c r="G7" s="64" t="s">
        <v>22</v>
      </c>
      <c r="H7" s="20" t="str">
        <f t="shared" si="1"/>
        <v/>
      </c>
      <c r="I7" s="19" t="str">
        <f t="shared" si="2"/>
        <v/>
      </c>
      <c r="J7" s="42"/>
      <c r="K7" s="43"/>
    </row>
    <row r="8" spans="1:12" ht="15.6" x14ac:dyDescent="0.25">
      <c r="A8" s="28" t="str">
        <v xml:space="preserve"> Chula Vista - Bank of America</v>
      </c>
      <c r="B8" s="29" t="str">
        <v>CA</v>
      </c>
      <c r="C8" s="24">
        <v>968</v>
      </c>
      <c r="D8" s="13" t="s">
        <v>22</v>
      </c>
      <c r="E8" s="13" t="str">
        <f t="shared" si="0"/>
        <v/>
      </c>
      <c r="F8" s="14" t="str">
        <f t="shared" si="3"/>
        <v/>
      </c>
      <c r="G8" s="63" t="s">
        <v>22</v>
      </c>
      <c r="H8" s="15" t="str">
        <f t="shared" si="1"/>
        <v/>
      </c>
      <c r="I8" s="16" t="str">
        <f t="shared" si="2"/>
        <v/>
      </c>
      <c r="J8" s="41"/>
      <c r="K8" s="41"/>
    </row>
    <row r="9" spans="1:12" ht="62.25" customHeight="1" x14ac:dyDescent="0.25">
      <c r="A9" s="30" t="str">
        <v xml:space="preserve"> Cupertino - Bank of America</v>
      </c>
      <c r="B9" s="31" t="str">
        <v>CA</v>
      </c>
      <c r="C9" s="11">
        <v>293</v>
      </c>
      <c r="D9" s="18" t="s">
        <v>22</v>
      </c>
      <c r="E9" s="18" t="str">
        <f t="shared" si="0"/>
        <v/>
      </c>
      <c r="F9" s="19" t="str">
        <f t="shared" si="3"/>
        <v/>
      </c>
      <c r="G9" s="64" t="s">
        <v>22</v>
      </c>
      <c r="H9" s="20" t="str">
        <f t="shared" si="1"/>
        <v/>
      </c>
      <c r="I9" s="19" t="str">
        <f t="shared" si="2"/>
        <v/>
      </c>
      <c r="J9" s="60" t="s">
        <v>50</v>
      </c>
      <c r="K9" s="66" t="s">
        <v>51</v>
      </c>
      <c r="L9" s="69" t="s">
        <v>52</v>
      </c>
    </row>
    <row r="10" spans="1:12" ht="76.5" customHeight="1" x14ac:dyDescent="0.25">
      <c r="A10" s="28" t="str">
        <v xml:space="preserve"> Diamond Bar - Bank of America</v>
      </c>
      <c r="B10" s="29" t="str">
        <v>CA</v>
      </c>
      <c r="C10" s="24">
        <v>2229</v>
      </c>
      <c r="D10" s="13" t="s">
        <v>22</v>
      </c>
      <c r="E10" s="13" t="str">
        <f t="shared" si="0"/>
        <v/>
      </c>
      <c r="F10" s="14" t="str">
        <f t="shared" si="3"/>
        <v/>
      </c>
      <c r="G10" s="63" t="s">
        <v>22</v>
      </c>
      <c r="H10" s="15" t="str">
        <f t="shared" si="1"/>
        <v/>
      </c>
      <c r="I10" s="16" t="str">
        <f t="shared" si="2"/>
        <v/>
      </c>
      <c r="J10" s="62" t="s">
        <v>29</v>
      </c>
      <c r="K10" s="65" t="s">
        <v>30</v>
      </c>
    </row>
    <row r="11" spans="1:12" ht="28.8" x14ac:dyDescent="0.25">
      <c r="A11" s="30" t="str">
        <v xml:space="preserve"> El Centro - Bank of America</v>
      </c>
      <c r="B11" s="31" t="str">
        <v>CA</v>
      </c>
      <c r="C11" s="11">
        <v>1684</v>
      </c>
      <c r="D11" s="18" t="s">
        <v>22</v>
      </c>
      <c r="E11" s="18" t="str">
        <f t="shared" si="0"/>
        <v/>
      </c>
      <c r="F11" s="19" t="str">
        <f t="shared" si="3"/>
        <v/>
      </c>
      <c r="G11" s="64" t="s">
        <v>22</v>
      </c>
      <c r="H11" s="20" t="str">
        <f t="shared" si="1"/>
        <v/>
      </c>
      <c r="I11" s="19" t="str">
        <f t="shared" si="2"/>
        <v/>
      </c>
      <c r="J11" s="42" t="s">
        <v>53</v>
      </c>
      <c r="K11" s="66" t="s">
        <v>54</v>
      </c>
    </row>
    <row r="12" spans="1:12" ht="28.8" x14ac:dyDescent="0.25">
      <c r="A12" s="28" t="str">
        <v xml:space="preserve"> Moreno Valley - Bank of America</v>
      </c>
      <c r="B12" s="29" t="str">
        <v>CA</v>
      </c>
      <c r="C12" s="24">
        <v>3058</v>
      </c>
      <c r="D12" s="13" t="s">
        <v>22</v>
      </c>
      <c r="E12" s="13" t="str">
        <f t="shared" si="0"/>
        <v/>
      </c>
      <c r="F12" s="14" t="str">
        <f t="shared" si="3"/>
        <v/>
      </c>
      <c r="G12" s="63" t="s">
        <v>22</v>
      </c>
      <c r="H12" s="15" t="str">
        <f t="shared" si="1"/>
        <v/>
      </c>
      <c r="I12" s="16" t="str">
        <f t="shared" si="2"/>
        <v/>
      </c>
      <c r="J12" s="41" t="s">
        <v>31</v>
      </c>
      <c r="K12" s="65" t="s">
        <v>32</v>
      </c>
    </row>
    <row r="13" spans="1:12" ht="15.6" x14ac:dyDescent="0.25">
      <c r="A13" s="30" t="str">
        <v xml:space="preserve"> Redlands - Bank of America</v>
      </c>
      <c r="B13" s="31" t="str">
        <v>CA</v>
      </c>
      <c r="C13" s="11">
        <v>0</v>
      </c>
      <c r="D13" s="18" t="s">
        <v>22</v>
      </c>
      <c r="E13" s="18" t="str">
        <f t="shared" si="0"/>
        <v/>
      </c>
      <c r="F13" s="19" t="str">
        <f t="shared" si="3"/>
        <v/>
      </c>
      <c r="G13" s="64" t="s">
        <v>22</v>
      </c>
      <c r="H13" s="20" t="str">
        <f t="shared" si="1"/>
        <v/>
      </c>
      <c r="I13" s="19" t="str">
        <f t="shared" si="2"/>
        <v/>
      </c>
      <c r="J13" s="42"/>
      <c r="K13" s="43"/>
    </row>
    <row r="14" spans="1:12" ht="15.6" x14ac:dyDescent="0.25">
      <c r="A14" s="28" t="str">
        <v xml:space="preserve"> Roseville - Bank of America</v>
      </c>
      <c r="B14" s="29" t="str">
        <v>CA</v>
      </c>
      <c r="C14" s="24">
        <v>3965.3</v>
      </c>
      <c r="D14" s="13" t="s">
        <v>22</v>
      </c>
      <c r="E14" s="13" t="str">
        <f t="shared" si="0"/>
        <v/>
      </c>
      <c r="F14" s="14" t="str">
        <f t="shared" si="3"/>
        <v/>
      </c>
      <c r="G14" s="63" t="s">
        <v>22</v>
      </c>
      <c r="H14" s="15" t="str">
        <f t="shared" si="1"/>
        <v/>
      </c>
      <c r="I14" s="16" t="str">
        <f t="shared" si="2"/>
        <v/>
      </c>
      <c r="J14" s="41"/>
      <c r="K14" s="41"/>
    </row>
    <row r="15" spans="1:12" ht="69" customHeight="1" x14ac:dyDescent="0.25">
      <c r="A15" s="30" t="str">
        <v xml:space="preserve"> San Bernardino - Bank of America</v>
      </c>
      <c r="B15" s="31" t="str">
        <v>CA</v>
      </c>
      <c r="C15" s="11">
        <v>43</v>
      </c>
      <c r="D15" s="18" t="s">
        <v>22</v>
      </c>
      <c r="E15" s="18" t="str">
        <f t="shared" si="0"/>
        <v/>
      </c>
      <c r="F15" s="19" t="str">
        <f t="shared" si="3"/>
        <v/>
      </c>
      <c r="G15" s="64" t="s">
        <v>22</v>
      </c>
      <c r="H15" s="20" t="str">
        <f t="shared" si="1"/>
        <v/>
      </c>
      <c r="I15" s="19" t="str">
        <f t="shared" si="2"/>
        <v/>
      </c>
      <c r="J15" s="60" t="s">
        <v>55</v>
      </c>
      <c r="K15" s="66" t="s">
        <v>34</v>
      </c>
    </row>
    <row r="16" spans="1:12" ht="15.6" x14ac:dyDescent="0.25">
      <c r="A16" s="28" t="str">
        <v xml:space="preserve"> San Diego - Bank of America</v>
      </c>
      <c r="B16" s="29" t="str">
        <v>CA</v>
      </c>
      <c r="C16" s="24">
        <v>33</v>
      </c>
      <c r="D16" s="13" t="s">
        <v>22</v>
      </c>
      <c r="E16" s="13" t="str">
        <f t="shared" ref="E16:E17" si="4">IF(AND(ISNUMBER(C16),ISNUMBER(D16)), C16-D16, "")</f>
        <v/>
      </c>
      <c r="F16" s="14" t="str">
        <f t="shared" ref="F16:F17" si="5">IFERROR(E16/D16, "")</f>
        <v/>
      </c>
      <c r="G16" s="63" t="s">
        <v>22</v>
      </c>
      <c r="H16" s="15" t="str">
        <f t="shared" ref="H16:H17" si="6">IF(AND(ISNUMBER(C16),ISNUMBER(G16)), C16-G16, "")</f>
        <v/>
      </c>
      <c r="I16" s="16" t="str">
        <f t="shared" ref="I16:I17" si="7">IFERROR(H16/G16, "")</f>
        <v/>
      </c>
      <c r="J16" s="41"/>
      <c r="K16" s="41"/>
    </row>
    <row r="17" spans="1:11" ht="28.8" x14ac:dyDescent="0.25">
      <c r="A17" s="30" t="str">
        <v xml:space="preserve"> Stockton - Bank of America</v>
      </c>
      <c r="B17" s="31" t="str">
        <v>CA</v>
      </c>
      <c r="C17" s="11">
        <v>758</v>
      </c>
      <c r="D17" s="18" t="s">
        <v>22</v>
      </c>
      <c r="E17" s="18" t="str">
        <f t="shared" si="4"/>
        <v/>
      </c>
      <c r="F17" s="19" t="str">
        <f t="shared" si="5"/>
        <v/>
      </c>
      <c r="G17" s="64" t="s">
        <v>22</v>
      </c>
      <c r="H17" s="20" t="str">
        <f t="shared" si="6"/>
        <v/>
      </c>
      <c r="I17" s="19" t="str">
        <f t="shared" si="7"/>
        <v/>
      </c>
      <c r="J17" s="42" t="s">
        <v>56</v>
      </c>
      <c r="K17" s="66" t="s">
        <v>57</v>
      </c>
    </row>
    <row r="18" spans="1:11" ht="12.75" customHeight="1" x14ac:dyDescent="0.25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ref="E18:E38" si="8">IF(AND(ISNUMBER(C18),ISNUMBER(D18)), C18-D18, "")</f>
        <v/>
      </c>
      <c r="F18" s="14" t="str">
        <f t="shared" ref="F18:F38" si="9">IFERROR(E18/D18, "")</f>
        <v/>
      </c>
      <c r="G18" s="63" t="s">
        <v>22</v>
      </c>
      <c r="H18" s="15" t="str">
        <f t="shared" ref="H18:H38" si="10">IF(AND(ISNUMBER(C18),ISNUMBER(G18)), C18-G18, "")</f>
        <v/>
      </c>
      <c r="I18" s="16" t="str">
        <f t="shared" ref="I18:I38" si="11">IFERROR(H18/G18, "")</f>
        <v/>
      </c>
      <c r="J18" s="41"/>
      <c r="K18" s="41"/>
    </row>
    <row r="19" spans="1:11" ht="15.6" x14ac:dyDescent="0.25">
      <c r="A19" s="30" t="str">
        <v xml:space="preserve"> Aurora - BA - Colfax Ave</v>
      </c>
      <c r="B19" s="31" t="str">
        <v>CO</v>
      </c>
      <c r="C19" s="11">
        <v>699</v>
      </c>
      <c r="D19" s="18" t="s">
        <v>22</v>
      </c>
      <c r="E19" s="18" t="str">
        <f t="shared" si="8"/>
        <v/>
      </c>
      <c r="F19" s="19" t="str">
        <f t="shared" si="9"/>
        <v/>
      </c>
      <c r="G19" s="64" t="s">
        <v>22</v>
      </c>
      <c r="H19" s="20" t="str">
        <f t="shared" si="10"/>
        <v/>
      </c>
      <c r="I19" s="19" t="str">
        <f t="shared" si="11"/>
        <v/>
      </c>
      <c r="J19" s="42"/>
      <c r="K19" s="43"/>
    </row>
    <row r="20" spans="1:11" ht="15.6" x14ac:dyDescent="0.25">
      <c r="A20" s="28" t="str">
        <v xml:space="preserve"> Aurora - BA - Parker Rd</v>
      </c>
      <c r="B20" s="29" t="str">
        <v>CO</v>
      </c>
      <c r="C20" s="24">
        <v>2054</v>
      </c>
      <c r="D20" s="13" t="s">
        <v>22</v>
      </c>
      <c r="E20" s="13" t="str">
        <f t="shared" si="8"/>
        <v/>
      </c>
      <c r="F20" s="14" t="str">
        <f t="shared" si="9"/>
        <v/>
      </c>
      <c r="G20" s="63" t="s">
        <v>22</v>
      </c>
      <c r="H20" s="15" t="str">
        <f t="shared" si="10"/>
        <v/>
      </c>
      <c r="I20" s="16" t="str">
        <f t="shared" si="11"/>
        <v/>
      </c>
      <c r="J20" s="41"/>
      <c r="K20" s="41"/>
    </row>
    <row r="21" spans="1:11" ht="28.8" x14ac:dyDescent="0.25">
      <c r="A21" s="30" t="str">
        <v xml:space="preserve"> Broomfield - Bank of America</v>
      </c>
      <c r="B21" s="31" t="str">
        <v>CO</v>
      </c>
      <c r="C21" s="11">
        <v>760</v>
      </c>
      <c r="D21" s="18" t="s">
        <v>22</v>
      </c>
      <c r="E21" s="18" t="str">
        <f t="shared" si="8"/>
        <v/>
      </c>
      <c r="F21" s="19" t="str">
        <f t="shared" si="9"/>
        <v/>
      </c>
      <c r="G21" s="64" t="s">
        <v>22</v>
      </c>
      <c r="H21" s="20" t="str">
        <f t="shared" si="10"/>
        <v/>
      </c>
      <c r="I21" s="19" t="str">
        <f t="shared" si="11"/>
        <v/>
      </c>
      <c r="J21" s="42" t="s">
        <v>58</v>
      </c>
      <c r="K21" s="66" t="s">
        <v>36</v>
      </c>
    </row>
    <row r="22" spans="1:11" ht="15.6" x14ac:dyDescent="0.25">
      <c r="A22" s="28" t="str">
        <v xml:space="preserve"> Colorado Springs - Bank of America</v>
      </c>
      <c r="B22" s="29" t="str">
        <v>CO</v>
      </c>
      <c r="C22" s="24">
        <v>1767</v>
      </c>
      <c r="D22" s="13" t="s">
        <v>22</v>
      </c>
      <c r="E22" s="13" t="str">
        <f t="shared" si="8"/>
        <v/>
      </c>
      <c r="F22" s="14" t="str">
        <f t="shared" si="9"/>
        <v/>
      </c>
      <c r="G22" s="63" t="s">
        <v>22</v>
      </c>
      <c r="H22" s="15" t="str">
        <f t="shared" si="10"/>
        <v/>
      </c>
      <c r="I22" s="16" t="str">
        <f t="shared" si="11"/>
        <v/>
      </c>
      <c r="J22" s="41"/>
      <c r="K22" s="41"/>
    </row>
    <row r="23" spans="1:11" ht="15.6" x14ac:dyDescent="0.25">
      <c r="A23" s="30" t="str">
        <v xml:space="preserve"> Denver - BA - 49th Ave</v>
      </c>
      <c r="B23" s="31" t="str">
        <v>CO</v>
      </c>
      <c r="C23" s="11">
        <v>653</v>
      </c>
      <c r="D23" s="18" t="s">
        <v>22</v>
      </c>
      <c r="E23" s="18" t="str">
        <f t="shared" si="8"/>
        <v/>
      </c>
      <c r="F23" s="19" t="str">
        <f t="shared" si="9"/>
        <v/>
      </c>
      <c r="G23" s="64" t="s">
        <v>22</v>
      </c>
      <c r="H23" s="20" t="str">
        <f t="shared" si="10"/>
        <v/>
      </c>
      <c r="I23" s="19" t="str">
        <f t="shared" si="11"/>
        <v/>
      </c>
      <c r="J23" s="42"/>
      <c r="K23" s="43"/>
    </row>
    <row r="24" spans="1:11" ht="15.6" x14ac:dyDescent="0.25">
      <c r="A24" s="28" t="str">
        <v xml:space="preserve"> Denver - BA Wadsworth Blvd</v>
      </c>
      <c r="B24" s="29" t="str">
        <v>CO</v>
      </c>
      <c r="C24" s="24">
        <v>1289</v>
      </c>
      <c r="D24" s="13" t="s">
        <v>22</v>
      </c>
      <c r="E24" s="13" t="str">
        <f t="shared" si="8"/>
        <v/>
      </c>
      <c r="F24" s="14" t="str">
        <f t="shared" si="9"/>
        <v/>
      </c>
      <c r="G24" s="63" t="s">
        <v>22</v>
      </c>
      <c r="H24" s="15" t="str">
        <f t="shared" si="10"/>
        <v/>
      </c>
      <c r="I24" s="16" t="str">
        <f t="shared" si="11"/>
        <v/>
      </c>
      <c r="J24" s="41"/>
      <c r="K24" s="41"/>
    </row>
    <row r="25" spans="1:11" ht="15.6" x14ac:dyDescent="0.25">
      <c r="A25" s="30" t="str">
        <v xml:space="preserve"> Fort Collins - Bank of America</v>
      </c>
      <c r="B25" s="31" t="str">
        <v>CO</v>
      </c>
      <c r="C25" s="11">
        <v>794</v>
      </c>
      <c r="D25" s="18" t="s">
        <v>22</v>
      </c>
      <c r="E25" s="18" t="str">
        <f t="shared" si="8"/>
        <v/>
      </c>
      <c r="F25" s="19" t="str">
        <f t="shared" si="9"/>
        <v/>
      </c>
      <c r="G25" s="64" t="s">
        <v>22</v>
      </c>
      <c r="H25" s="20" t="str">
        <f t="shared" si="10"/>
        <v/>
      </c>
      <c r="I25" s="19" t="str">
        <f t="shared" si="11"/>
        <v/>
      </c>
      <c r="J25" s="42"/>
      <c r="K25" s="43"/>
    </row>
    <row r="26" spans="1:11" ht="15.6" x14ac:dyDescent="0.25">
      <c r="A26" s="28" t="str">
        <v xml:space="preserve"> Lafayette - Bank of America</v>
      </c>
      <c r="B26" s="29" t="str">
        <v>CO</v>
      </c>
      <c r="C26" s="24">
        <v>1223</v>
      </c>
      <c r="D26" s="13" t="s">
        <v>22</v>
      </c>
      <c r="E26" s="13" t="str">
        <f t="shared" si="8"/>
        <v/>
      </c>
      <c r="F26" s="14" t="str">
        <f t="shared" si="9"/>
        <v/>
      </c>
      <c r="G26" s="63" t="s">
        <v>22</v>
      </c>
      <c r="H26" s="15" t="str">
        <f t="shared" si="10"/>
        <v/>
      </c>
      <c r="I26" s="16" t="str">
        <f t="shared" si="11"/>
        <v/>
      </c>
      <c r="J26" s="41"/>
      <c r="K26" s="41"/>
    </row>
    <row r="27" spans="1:11" ht="15.6" x14ac:dyDescent="0.25">
      <c r="A27" s="30" t="str">
        <v xml:space="preserve"> Lakewood - Bank of America</v>
      </c>
      <c r="B27" s="31" t="str">
        <v>CO</v>
      </c>
      <c r="C27" s="11">
        <v>611</v>
      </c>
      <c r="D27" s="18" t="s">
        <v>22</v>
      </c>
      <c r="E27" s="18" t="str">
        <f t="shared" si="8"/>
        <v/>
      </c>
      <c r="F27" s="19" t="str">
        <f t="shared" si="9"/>
        <v/>
      </c>
      <c r="G27" s="64" t="s">
        <v>22</v>
      </c>
      <c r="H27" s="20" t="str">
        <f t="shared" si="10"/>
        <v/>
      </c>
      <c r="I27" s="19" t="str">
        <f t="shared" si="11"/>
        <v/>
      </c>
      <c r="J27" s="42"/>
      <c r="K27" s="43"/>
    </row>
    <row r="28" spans="1:11" ht="28.8" x14ac:dyDescent="0.25">
      <c r="A28" s="28" t="str">
        <v xml:space="preserve"> Longmont - Bank of America</v>
      </c>
      <c r="B28" s="29" t="str">
        <v>CO</v>
      </c>
      <c r="C28" s="24">
        <v>536</v>
      </c>
      <c r="D28" s="13" t="s">
        <v>22</v>
      </c>
      <c r="E28" s="13" t="str">
        <f t="shared" si="8"/>
        <v/>
      </c>
      <c r="F28" s="14" t="str">
        <f t="shared" si="9"/>
        <v/>
      </c>
      <c r="G28" s="63" t="s">
        <v>22</v>
      </c>
      <c r="H28" s="15" t="str">
        <f t="shared" si="10"/>
        <v/>
      </c>
      <c r="I28" s="16" t="str">
        <f t="shared" si="11"/>
        <v/>
      </c>
      <c r="J28" s="62" t="s">
        <v>59</v>
      </c>
      <c r="K28" s="65" t="s">
        <v>45</v>
      </c>
    </row>
    <row r="29" spans="1:11" ht="15.6" x14ac:dyDescent="0.25">
      <c r="A29" s="30" t="str">
        <v xml:space="preserve"> Thornton - Bank of America</v>
      </c>
      <c r="B29" s="31" t="str">
        <v>CO</v>
      </c>
      <c r="C29" s="11">
        <v>774</v>
      </c>
      <c r="D29" s="18" t="s">
        <v>22</v>
      </c>
      <c r="E29" s="18" t="str">
        <f t="shared" si="8"/>
        <v/>
      </c>
      <c r="F29" s="19" t="str">
        <f t="shared" si="9"/>
        <v/>
      </c>
      <c r="G29" s="64" t="s">
        <v>22</v>
      </c>
      <c r="H29" s="20" t="str">
        <f t="shared" si="10"/>
        <v/>
      </c>
      <c r="I29" s="19" t="str">
        <f t="shared" si="11"/>
        <v/>
      </c>
      <c r="J29" s="42"/>
      <c r="K29" s="43"/>
    </row>
    <row r="30" spans="1:11" ht="15.6" x14ac:dyDescent="0.25">
      <c r="A30" s="28" t="str">
        <v xml:space="preserve"> Calumet City - Bank of America</v>
      </c>
      <c r="B30" s="29" t="str">
        <v>IL</v>
      </c>
      <c r="C30" s="24">
        <v>1028</v>
      </c>
      <c r="D30" s="13" t="s">
        <v>22</v>
      </c>
      <c r="E30" s="13" t="str">
        <f t="shared" si="8"/>
        <v/>
      </c>
      <c r="F30" s="14" t="str">
        <f t="shared" si="9"/>
        <v/>
      </c>
      <c r="G30" s="63" t="s">
        <v>22</v>
      </c>
      <c r="H30" s="15" t="str">
        <f t="shared" si="10"/>
        <v/>
      </c>
      <c r="I30" s="16" t="str">
        <f t="shared" si="11"/>
        <v/>
      </c>
      <c r="J30" s="41"/>
      <c r="K30" s="41"/>
    </row>
    <row r="31" spans="1:11" ht="15.6" x14ac:dyDescent="0.25">
      <c r="A31" s="30" t="str">
        <v xml:space="preserve"> Downers Grove - Bank of America</v>
      </c>
      <c r="B31" s="31" t="str">
        <v>IL</v>
      </c>
      <c r="C31" s="11">
        <v>1081</v>
      </c>
      <c r="D31" s="18" t="s">
        <v>22</v>
      </c>
      <c r="E31" s="18" t="str">
        <f t="shared" si="8"/>
        <v/>
      </c>
      <c r="F31" s="19" t="str">
        <f t="shared" si="9"/>
        <v/>
      </c>
      <c r="G31" s="64" t="s">
        <v>22</v>
      </c>
      <c r="H31" s="20" t="str">
        <f t="shared" si="10"/>
        <v/>
      </c>
      <c r="I31" s="19" t="str">
        <f t="shared" si="11"/>
        <v/>
      </c>
      <c r="J31" s="42"/>
      <c r="K31" s="43"/>
    </row>
    <row r="32" spans="1:11" ht="28.8" x14ac:dyDescent="0.25">
      <c r="A32" s="28" t="str">
        <v xml:space="preserve"> Bloomington - Bank of America</v>
      </c>
      <c r="B32" s="29" t="str">
        <v>MN</v>
      </c>
      <c r="C32" s="24">
        <v>130</v>
      </c>
      <c r="D32" s="13" t="s">
        <v>22</v>
      </c>
      <c r="E32" s="13" t="str">
        <f t="shared" si="8"/>
        <v/>
      </c>
      <c r="F32" s="14" t="str">
        <f t="shared" si="9"/>
        <v/>
      </c>
      <c r="G32" s="63" t="s">
        <v>22</v>
      </c>
      <c r="H32" s="15" t="str">
        <f t="shared" si="10"/>
        <v/>
      </c>
      <c r="I32" s="16" t="str">
        <f t="shared" si="11"/>
        <v/>
      </c>
      <c r="J32" s="41" t="s">
        <v>46</v>
      </c>
      <c r="K32" s="67" t="s">
        <v>47</v>
      </c>
    </row>
    <row r="33" spans="1:11" ht="15.6" x14ac:dyDescent="0.25">
      <c r="A33" s="30" t="str">
        <v xml:space="preserve"> Clayton - Bank of America</v>
      </c>
      <c r="B33" s="31" t="str">
        <v>MO</v>
      </c>
      <c r="C33" s="11">
        <v>1206</v>
      </c>
      <c r="D33" s="18" t="s">
        <v>22</v>
      </c>
      <c r="E33" s="18" t="str">
        <f t="shared" si="8"/>
        <v/>
      </c>
      <c r="F33" s="19" t="str">
        <f t="shared" si="9"/>
        <v/>
      </c>
      <c r="G33" s="64" t="s">
        <v>22</v>
      </c>
      <c r="H33" s="20" t="str">
        <f t="shared" si="10"/>
        <v/>
      </c>
      <c r="I33" s="19" t="str">
        <f t="shared" si="11"/>
        <v/>
      </c>
      <c r="J33" s="42"/>
      <c r="K33" s="43"/>
    </row>
    <row r="34" spans="1:11" ht="28.8" x14ac:dyDescent="0.25">
      <c r="A34" s="28" t="str">
        <v xml:space="preserve"> Manchester - Bank of America</v>
      </c>
      <c r="B34" s="29" t="str">
        <v>MO</v>
      </c>
      <c r="C34" s="24">
        <v>894</v>
      </c>
      <c r="D34" s="13" t="s">
        <v>22</v>
      </c>
      <c r="E34" s="13" t="str">
        <f t="shared" si="8"/>
        <v/>
      </c>
      <c r="F34" s="14" t="str">
        <f t="shared" si="9"/>
        <v/>
      </c>
      <c r="G34" s="63" t="s">
        <v>22</v>
      </c>
      <c r="H34" s="15" t="str">
        <f t="shared" si="10"/>
        <v/>
      </c>
      <c r="I34" s="16" t="str">
        <f t="shared" si="11"/>
        <v/>
      </c>
      <c r="J34" s="41" t="s">
        <v>60</v>
      </c>
      <c r="K34" s="65" t="s">
        <v>61</v>
      </c>
    </row>
    <row r="35" spans="1:11" ht="15.6" x14ac:dyDescent="0.25">
      <c r="A35" s="30" t="str">
        <v xml:space="preserve"> Las Vegas - BA - Eastern Ave</v>
      </c>
      <c r="B35" s="31" t="str">
        <v>NV</v>
      </c>
      <c r="C35" s="11">
        <v>12</v>
      </c>
      <c r="D35" s="18" t="s">
        <v>22</v>
      </c>
      <c r="E35" s="18" t="str">
        <f t="shared" si="8"/>
        <v/>
      </c>
      <c r="F35" s="19" t="str">
        <f t="shared" si="9"/>
        <v/>
      </c>
      <c r="G35" s="64" t="s">
        <v>22</v>
      </c>
      <c r="H35" s="20" t="str">
        <f t="shared" si="10"/>
        <v/>
      </c>
      <c r="I35" s="19" t="str">
        <f t="shared" si="11"/>
        <v/>
      </c>
      <c r="J35" s="60" t="s">
        <v>62</v>
      </c>
      <c r="K35" s="66" t="s">
        <v>63</v>
      </c>
    </row>
    <row r="36" spans="1:11" ht="15.6" x14ac:dyDescent="0.25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8"/>
        <v/>
      </c>
      <c r="F36" s="14" t="str">
        <f t="shared" si="9"/>
        <v/>
      </c>
      <c r="G36" s="63" t="s">
        <v>22</v>
      </c>
      <c r="H36" s="15" t="str">
        <f t="shared" si="10"/>
        <v/>
      </c>
      <c r="I36" s="16" t="str">
        <f t="shared" si="11"/>
        <v/>
      </c>
      <c r="J36" s="41"/>
      <c r="K36" s="41"/>
    </row>
    <row r="37" spans="1:11" ht="15.6" x14ac:dyDescent="0.25">
      <c r="A37" s="30" t="str">
        <v xml:space="preserve"> Riverton - Bank of America</v>
      </c>
      <c r="B37" s="31" t="str">
        <v>UT</v>
      </c>
      <c r="C37" s="11">
        <v>1326</v>
      </c>
      <c r="D37" s="18" t="s">
        <v>22</v>
      </c>
      <c r="E37" s="18" t="str">
        <f t="shared" si="8"/>
        <v/>
      </c>
      <c r="F37" s="19" t="str">
        <f t="shared" si="9"/>
        <v/>
      </c>
      <c r="G37" s="64" t="s">
        <v>22</v>
      </c>
      <c r="H37" s="20" t="str">
        <f t="shared" si="10"/>
        <v/>
      </c>
      <c r="I37" s="19" t="str">
        <f t="shared" si="11"/>
        <v/>
      </c>
      <c r="J37" s="42"/>
      <c r="K37" s="43"/>
    </row>
    <row r="38" spans="1:11" ht="15.6" x14ac:dyDescent="0.25">
      <c r="A38" s="28" t="str">
        <v xml:space="preserve"> Salt Lake City - Bank of America</v>
      </c>
      <c r="B38" s="29" t="str">
        <v>UT</v>
      </c>
      <c r="C38" s="24">
        <v>163</v>
      </c>
      <c r="D38" s="13" t="s">
        <v>22</v>
      </c>
      <c r="E38" s="13" t="str">
        <f t="shared" si="8"/>
        <v/>
      </c>
      <c r="F38" s="14" t="str">
        <f t="shared" si="9"/>
        <v/>
      </c>
      <c r="G38" s="63" t="s">
        <v>22</v>
      </c>
      <c r="H38" s="15" t="str">
        <f t="shared" si="10"/>
        <v/>
      </c>
      <c r="I38" s="16" t="str">
        <f t="shared" si="11"/>
        <v/>
      </c>
      <c r="J38" s="41"/>
      <c r="K38" s="41"/>
    </row>
    <row r="39" spans="1:11" ht="14.4" x14ac:dyDescent="0.3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" x14ac:dyDescent="0.3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" x14ac:dyDescent="0.3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" x14ac:dyDescent="0.3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" x14ac:dyDescent="0.3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" x14ac:dyDescent="0.3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" x14ac:dyDescent="0.3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" x14ac:dyDescent="0.3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" x14ac:dyDescent="0.3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" x14ac:dyDescent="0.3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" x14ac:dyDescent="0.3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" x14ac:dyDescent="0.3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" x14ac:dyDescent="0.3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" x14ac:dyDescent="0.3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" x14ac:dyDescent="0.3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" x14ac:dyDescent="0.3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" x14ac:dyDescent="0.3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" x14ac:dyDescent="0.3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" x14ac:dyDescent="0.3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" x14ac:dyDescent="0.3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" x14ac:dyDescent="0.3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" x14ac:dyDescent="0.3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" x14ac:dyDescent="0.3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" x14ac:dyDescent="0.3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" x14ac:dyDescent="0.3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" x14ac:dyDescent="0.3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" x14ac:dyDescent="0.3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" x14ac:dyDescent="0.3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" x14ac:dyDescent="0.3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" x14ac:dyDescent="0.3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" x14ac:dyDescent="0.3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" x14ac:dyDescent="0.3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" x14ac:dyDescent="0.3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" x14ac:dyDescent="0.3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" x14ac:dyDescent="0.3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" x14ac:dyDescent="0.3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" x14ac:dyDescent="0.3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" x14ac:dyDescent="0.3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" x14ac:dyDescent="0.3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" x14ac:dyDescent="0.3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" x14ac:dyDescent="0.3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" x14ac:dyDescent="0.3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" x14ac:dyDescent="0.3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" x14ac:dyDescent="0.3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" x14ac:dyDescent="0.3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" x14ac:dyDescent="0.3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" x14ac:dyDescent="0.3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" x14ac:dyDescent="0.3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" x14ac:dyDescent="0.3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" x14ac:dyDescent="0.3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" x14ac:dyDescent="0.3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" x14ac:dyDescent="0.3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" x14ac:dyDescent="0.3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" x14ac:dyDescent="0.3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" x14ac:dyDescent="0.3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" x14ac:dyDescent="0.3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" x14ac:dyDescent="0.3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" x14ac:dyDescent="0.3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" x14ac:dyDescent="0.3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" x14ac:dyDescent="0.3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" x14ac:dyDescent="0.3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" x14ac:dyDescent="0.3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" x14ac:dyDescent="0.3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" x14ac:dyDescent="0.3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" x14ac:dyDescent="0.3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" x14ac:dyDescent="0.3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" x14ac:dyDescent="0.3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" x14ac:dyDescent="0.3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" x14ac:dyDescent="0.3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" x14ac:dyDescent="0.3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" x14ac:dyDescent="0.3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" x14ac:dyDescent="0.3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" x14ac:dyDescent="0.3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" x14ac:dyDescent="0.3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" x14ac:dyDescent="0.3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" x14ac:dyDescent="0.3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" x14ac:dyDescent="0.3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" x14ac:dyDescent="0.3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" x14ac:dyDescent="0.3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" x14ac:dyDescent="0.3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" x14ac:dyDescent="0.3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" x14ac:dyDescent="0.3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" x14ac:dyDescent="0.3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" x14ac:dyDescent="0.3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" x14ac:dyDescent="0.3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" x14ac:dyDescent="0.3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" x14ac:dyDescent="0.3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" x14ac:dyDescent="0.3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" x14ac:dyDescent="0.3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" x14ac:dyDescent="0.3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" x14ac:dyDescent="0.3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" x14ac:dyDescent="0.3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" x14ac:dyDescent="0.3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" x14ac:dyDescent="0.3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" x14ac:dyDescent="0.3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" x14ac:dyDescent="0.3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" x14ac:dyDescent="0.3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" x14ac:dyDescent="0.3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" x14ac:dyDescent="0.3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" x14ac:dyDescent="0.3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" x14ac:dyDescent="0.3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" x14ac:dyDescent="0.3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" x14ac:dyDescent="0.3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" x14ac:dyDescent="0.3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" x14ac:dyDescent="0.3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" x14ac:dyDescent="0.3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" x14ac:dyDescent="0.3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" x14ac:dyDescent="0.3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" x14ac:dyDescent="0.3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" x14ac:dyDescent="0.3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" x14ac:dyDescent="0.3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" x14ac:dyDescent="0.3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" x14ac:dyDescent="0.3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" x14ac:dyDescent="0.3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" x14ac:dyDescent="0.3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" x14ac:dyDescent="0.3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" x14ac:dyDescent="0.3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" x14ac:dyDescent="0.3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" x14ac:dyDescent="0.3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" x14ac:dyDescent="0.3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" x14ac:dyDescent="0.3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" x14ac:dyDescent="0.3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" x14ac:dyDescent="0.3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" x14ac:dyDescent="0.3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" x14ac:dyDescent="0.3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" x14ac:dyDescent="0.3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" x14ac:dyDescent="0.3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" x14ac:dyDescent="0.3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" x14ac:dyDescent="0.3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" x14ac:dyDescent="0.3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" x14ac:dyDescent="0.3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" x14ac:dyDescent="0.3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" x14ac:dyDescent="0.3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" x14ac:dyDescent="0.3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" x14ac:dyDescent="0.3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" x14ac:dyDescent="0.3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" x14ac:dyDescent="0.3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" x14ac:dyDescent="0.3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" x14ac:dyDescent="0.3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" x14ac:dyDescent="0.3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" x14ac:dyDescent="0.3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" x14ac:dyDescent="0.3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" x14ac:dyDescent="0.3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" x14ac:dyDescent="0.3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" x14ac:dyDescent="0.3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" x14ac:dyDescent="0.3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" x14ac:dyDescent="0.3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" x14ac:dyDescent="0.3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" x14ac:dyDescent="0.3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" x14ac:dyDescent="0.3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" x14ac:dyDescent="0.3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" x14ac:dyDescent="0.3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" x14ac:dyDescent="0.3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" x14ac:dyDescent="0.3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" x14ac:dyDescent="0.3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" x14ac:dyDescent="0.3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" x14ac:dyDescent="0.3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" x14ac:dyDescent="0.3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" x14ac:dyDescent="0.3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" x14ac:dyDescent="0.3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" x14ac:dyDescent="0.3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" x14ac:dyDescent="0.3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" x14ac:dyDescent="0.3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" x14ac:dyDescent="0.3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" x14ac:dyDescent="0.3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" x14ac:dyDescent="0.3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" x14ac:dyDescent="0.3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" x14ac:dyDescent="0.3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" x14ac:dyDescent="0.3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" x14ac:dyDescent="0.3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" x14ac:dyDescent="0.3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" x14ac:dyDescent="0.3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" x14ac:dyDescent="0.3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" x14ac:dyDescent="0.3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" x14ac:dyDescent="0.3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" x14ac:dyDescent="0.3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" x14ac:dyDescent="0.3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" x14ac:dyDescent="0.3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" x14ac:dyDescent="0.3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" x14ac:dyDescent="0.3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" x14ac:dyDescent="0.3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" x14ac:dyDescent="0.3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" x14ac:dyDescent="0.3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" x14ac:dyDescent="0.3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" x14ac:dyDescent="0.3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" x14ac:dyDescent="0.3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" x14ac:dyDescent="0.3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" x14ac:dyDescent="0.3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" x14ac:dyDescent="0.3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" x14ac:dyDescent="0.3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" x14ac:dyDescent="0.3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" x14ac:dyDescent="0.3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" x14ac:dyDescent="0.3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" x14ac:dyDescent="0.3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" x14ac:dyDescent="0.3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" x14ac:dyDescent="0.3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" x14ac:dyDescent="0.3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" x14ac:dyDescent="0.3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" x14ac:dyDescent="0.3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" x14ac:dyDescent="0.3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" x14ac:dyDescent="0.3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" x14ac:dyDescent="0.3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" x14ac:dyDescent="0.3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" x14ac:dyDescent="0.3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" x14ac:dyDescent="0.3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" x14ac:dyDescent="0.3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" x14ac:dyDescent="0.3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" x14ac:dyDescent="0.3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" x14ac:dyDescent="0.3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" x14ac:dyDescent="0.3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" x14ac:dyDescent="0.3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" x14ac:dyDescent="0.3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" x14ac:dyDescent="0.3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" x14ac:dyDescent="0.3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" x14ac:dyDescent="0.3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" x14ac:dyDescent="0.3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" x14ac:dyDescent="0.3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" x14ac:dyDescent="0.3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" x14ac:dyDescent="0.3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" x14ac:dyDescent="0.3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" x14ac:dyDescent="0.3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" x14ac:dyDescent="0.3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" x14ac:dyDescent="0.3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" x14ac:dyDescent="0.3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" x14ac:dyDescent="0.3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" x14ac:dyDescent="0.3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" x14ac:dyDescent="0.3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" x14ac:dyDescent="0.3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" x14ac:dyDescent="0.3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" x14ac:dyDescent="0.3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" x14ac:dyDescent="0.3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" x14ac:dyDescent="0.3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" x14ac:dyDescent="0.3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" x14ac:dyDescent="0.3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" x14ac:dyDescent="0.3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" x14ac:dyDescent="0.3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" x14ac:dyDescent="0.3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" x14ac:dyDescent="0.3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" x14ac:dyDescent="0.3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" x14ac:dyDescent="0.3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" x14ac:dyDescent="0.3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" x14ac:dyDescent="0.3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" x14ac:dyDescent="0.3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" x14ac:dyDescent="0.3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" x14ac:dyDescent="0.3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" x14ac:dyDescent="0.3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" x14ac:dyDescent="0.3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" x14ac:dyDescent="0.3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" x14ac:dyDescent="0.3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" x14ac:dyDescent="0.3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" x14ac:dyDescent="0.3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" x14ac:dyDescent="0.3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" x14ac:dyDescent="0.3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" x14ac:dyDescent="0.3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" x14ac:dyDescent="0.3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" x14ac:dyDescent="0.3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" x14ac:dyDescent="0.3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" x14ac:dyDescent="0.3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" x14ac:dyDescent="0.3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" x14ac:dyDescent="0.3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" x14ac:dyDescent="0.3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" x14ac:dyDescent="0.3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" x14ac:dyDescent="0.3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" x14ac:dyDescent="0.3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" x14ac:dyDescent="0.3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" x14ac:dyDescent="0.3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" x14ac:dyDescent="0.3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" x14ac:dyDescent="0.3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" x14ac:dyDescent="0.3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" x14ac:dyDescent="0.3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" x14ac:dyDescent="0.3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" x14ac:dyDescent="0.3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" x14ac:dyDescent="0.3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" x14ac:dyDescent="0.3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" x14ac:dyDescent="0.3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" x14ac:dyDescent="0.3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" x14ac:dyDescent="0.3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" x14ac:dyDescent="0.3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" x14ac:dyDescent="0.3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" x14ac:dyDescent="0.3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" x14ac:dyDescent="0.3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" x14ac:dyDescent="0.3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" x14ac:dyDescent="0.3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" x14ac:dyDescent="0.3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" x14ac:dyDescent="0.3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" x14ac:dyDescent="0.3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" x14ac:dyDescent="0.3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" x14ac:dyDescent="0.3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" x14ac:dyDescent="0.3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" x14ac:dyDescent="0.3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" x14ac:dyDescent="0.3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" x14ac:dyDescent="0.3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" x14ac:dyDescent="0.3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" x14ac:dyDescent="0.3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" x14ac:dyDescent="0.3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" x14ac:dyDescent="0.3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" x14ac:dyDescent="0.3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" x14ac:dyDescent="0.3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" x14ac:dyDescent="0.3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" x14ac:dyDescent="0.3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" x14ac:dyDescent="0.3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" x14ac:dyDescent="0.3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" x14ac:dyDescent="0.3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" x14ac:dyDescent="0.3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 F4:F100 I4:I100">
    <cfRule type="cellIs" dxfId="39" priority="1" stopIfTrue="1" operator="lessThanOrEqual">
      <formula>-0.1</formula>
    </cfRule>
    <cfRule type="expression" dxfId="38" priority="2">
      <formula>AND(ISNUMBER(F2), F2&gt;=0.1)</formula>
    </cfRule>
  </conditionalFormatting>
  <hyperlinks>
    <hyperlink ref="K9" r:id="rId1" display="https://us3.assetplanner.com/service_request?ID=095095" xr:uid="{BA4AB31A-3493-40B8-BA1D-BB8655B744BD}"/>
    <hyperlink ref="L9" r:id="rId2" display="https://us3.assetplanner.com/service_request?ID=097621" xr:uid="{3D3797E5-219C-465B-B9A1-C69351295701}"/>
    <hyperlink ref="K10" r:id="rId3" display="https://us3.assetplanner.com/service_request?ID=091352" xr:uid="{E074BA51-C5EF-472C-A982-4FDC9822FB83}"/>
    <hyperlink ref="K11" r:id="rId4" display="https://us3.assetplanner.com/service_request?ID=096470" xr:uid="{1AC814A0-7CB7-451B-BC3B-32AD36B69E23}"/>
    <hyperlink ref="K12" r:id="rId5" display="https://us3.assetplanner.com/service_request?ID=095528" xr:uid="{AB847A0F-EE2B-4327-B768-5944CB331B03}"/>
    <hyperlink ref="K15" r:id="rId6" display="https://us3.assetplanner.com/service_request?ID=095900" xr:uid="{FE429B59-277E-46A5-AF7D-A913C889FF12}"/>
    <hyperlink ref="K17" r:id="rId7" display="https://us3.assetplanner.com/service_request?ID=095166" xr:uid="{4B3BD400-7730-4648-B135-FBC8AA6AAC7F}"/>
    <hyperlink ref="K21" r:id="rId8" display="https://us3.assetplanner.com/service_request?ID=095596" xr:uid="{1F4E2329-3FCD-4568-8E4A-3F1387BDFA14}"/>
    <hyperlink ref="K28" r:id="rId9" display="https://us3.assetplanner.com/service_request?ID=096191" xr:uid="{7CAB32BB-CDB3-4F17-9CBB-B30172C5645A}"/>
    <hyperlink ref="K32" r:id="rId10" display="https://us3.assetplanner.com/service_request?ID=094909" xr:uid="{61A83CDA-2323-4CFC-9C19-20789D3A60ED}"/>
    <hyperlink ref="K34" r:id="rId11" display="https://us3.assetplanner.com/service_request?ID=097762" xr:uid="{0D497464-3E33-422E-AF29-4BE2371E23AF}"/>
    <hyperlink ref="K35" r:id="rId12" display="https://us3.assetplanner.com/service_request?ID=096627" xr:uid="{46AFE591-9FBB-47F7-AD0A-B147FBF39FEE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2"/>
  <sheetViews>
    <sheetView zoomScale="80" zoomScaleNormal="80" workbookViewId="0">
      <pane xSplit="2" ySplit="3" topLeftCell="E17" activePane="bottomRight" state="frozen"/>
      <selection pane="topRight"/>
      <selection pane="bottomLeft"/>
      <selection pane="bottomRight" activeCell="K34" sqref="K34"/>
    </sheetView>
  </sheetViews>
  <sheetFormatPr defaultRowHeight="13.8" x14ac:dyDescent="0.25"/>
  <cols>
    <col min="1" max="1" width="35.88671875" bestFit="1" customWidth="1"/>
    <col min="2" max="2" width="8.44140625" style="34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89" t="str" cm="1">
        <f t="array" ref="A1">portfolio</f>
        <v>Cushman &amp; Wakefield</v>
      </c>
      <c r="B1" s="89"/>
      <c r="C1" s="89"/>
      <c r="D1" s="90" t="s">
        <v>64</v>
      </c>
      <c r="E1" s="90"/>
      <c r="F1" s="90"/>
      <c r="G1" s="88" t="s">
        <v>65</v>
      </c>
      <c r="H1" s="88"/>
      <c r="I1" s="88"/>
      <c r="J1" s="4"/>
      <c r="K1" s="4"/>
    </row>
    <row r="2" spans="1:11" ht="19.5" customHeight="1" x14ac:dyDescent="0.25">
      <c r="A2" s="91" t="s">
        <v>2</v>
      </c>
      <c r="B2" s="91"/>
      <c r="C2" s="5">
        <f>SUM(C4:C100)</f>
        <v>52045.30000000001</v>
      </c>
      <c r="D2" s="5">
        <f>SUM(D4:D100)</f>
        <v>0</v>
      </c>
      <c r="E2" s="5">
        <f>C2-D2</f>
        <v>52045.30000000001</v>
      </c>
      <c r="F2" s="6">
        <f>IFERROR(E2/D2, 0)</f>
        <v>0</v>
      </c>
      <c r="G2" s="5">
        <f>SUM(G4:G100)</f>
        <v>0</v>
      </c>
      <c r="H2" s="7">
        <f>C2-G2</f>
        <v>52045.30000000001</v>
      </c>
      <c r="I2" s="6">
        <f>IFERROR(H2/G2, 0)</f>
        <v>0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 x14ac:dyDescent="0.3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63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 x14ac:dyDescent="0.25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64" t="s">
        <v>22</v>
      </c>
      <c r="H5" s="20" t="str">
        <f t="shared" ref="H5:H9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 x14ac:dyDescent="0.25">
      <c r="A6" s="28" t="str">
        <v xml:space="preserve"> Arvin - Bank of America</v>
      </c>
      <c r="B6" s="29" t="str">
        <v>CA</v>
      </c>
      <c r="C6" s="24">
        <v>87.9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63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1" ht="15.6" x14ac:dyDescent="0.25">
      <c r="A7" s="30" t="str">
        <v xml:space="preserve"> Bell - Bank of America</v>
      </c>
      <c r="B7" s="31" t="str">
        <v>CA</v>
      </c>
      <c r="C7" s="11">
        <v>2259.3000000000002</v>
      </c>
      <c r="D7" s="18" t="s">
        <v>22</v>
      </c>
      <c r="E7" s="18" t="str">
        <f t="shared" si="0"/>
        <v/>
      </c>
      <c r="F7" s="19" t="str">
        <f t="shared" si="3"/>
        <v/>
      </c>
      <c r="G7" s="64" t="s">
        <v>22</v>
      </c>
      <c r="H7" s="20" t="str">
        <f t="shared" si="1"/>
        <v/>
      </c>
      <c r="I7" s="19" t="str">
        <f t="shared" si="2"/>
        <v/>
      </c>
      <c r="J7" s="42"/>
      <c r="K7" s="43"/>
    </row>
    <row r="8" spans="1:11" ht="15.6" x14ac:dyDescent="0.25">
      <c r="A8" s="28" t="str">
        <v xml:space="preserve"> Chula Vista - Bank of America</v>
      </c>
      <c r="B8" s="29" t="str">
        <v>CA</v>
      </c>
      <c r="C8" s="24">
        <v>1208.8</v>
      </c>
      <c r="D8" s="13" t="s">
        <v>22</v>
      </c>
      <c r="E8" s="13" t="str">
        <f t="shared" si="0"/>
        <v/>
      </c>
      <c r="F8" s="14" t="str">
        <f t="shared" si="3"/>
        <v/>
      </c>
      <c r="G8" s="63" t="s">
        <v>22</v>
      </c>
      <c r="H8" s="15" t="str">
        <f t="shared" si="1"/>
        <v/>
      </c>
      <c r="I8" s="16" t="str">
        <f t="shared" si="2"/>
        <v/>
      </c>
      <c r="J8" s="41"/>
      <c r="K8" s="41"/>
    </row>
    <row r="9" spans="1:11" ht="15.6" x14ac:dyDescent="0.25">
      <c r="A9" s="30" t="str">
        <v xml:space="preserve"> Cupertino - Bank of America</v>
      </c>
      <c r="B9" s="31" t="str">
        <v>CA</v>
      </c>
      <c r="C9" s="11">
        <v>1855.1</v>
      </c>
      <c r="D9" s="18" t="s">
        <v>22</v>
      </c>
      <c r="E9" s="18" t="str">
        <f t="shared" si="0"/>
        <v/>
      </c>
      <c r="F9" s="19" t="str">
        <f t="shared" si="3"/>
        <v/>
      </c>
      <c r="G9" s="64" t="s">
        <v>22</v>
      </c>
      <c r="H9" s="20" t="str">
        <f t="shared" si="1"/>
        <v/>
      </c>
      <c r="I9" s="19" t="str">
        <f t="shared" si="2"/>
        <v/>
      </c>
      <c r="J9" s="42"/>
      <c r="K9" s="43"/>
    </row>
    <row r="10" spans="1:11" ht="72" x14ac:dyDescent="0.25">
      <c r="A10" s="28" t="str">
        <v xml:space="preserve"> Diamond Bar - Bank of America</v>
      </c>
      <c r="B10" s="29" t="str">
        <v>CA</v>
      </c>
      <c r="C10" s="24">
        <v>2889</v>
      </c>
      <c r="D10" s="13" t="s">
        <v>22</v>
      </c>
      <c r="E10" s="13" t="str">
        <f t="shared" si="0"/>
        <v/>
      </c>
      <c r="F10" s="14" t="str">
        <f t="shared" si="3"/>
        <v/>
      </c>
      <c r="G10" s="63" t="s">
        <v>22</v>
      </c>
      <c r="H10" s="15" t="str">
        <f t="shared" ref="H10:H36" si="4">IF(AND(ISNUMBER(C10),ISNUMBER(G10)), C10-G10, "")</f>
        <v/>
      </c>
      <c r="I10" s="16" t="str">
        <f t="shared" si="2"/>
        <v/>
      </c>
      <c r="J10" s="41" t="s">
        <v>66</v>
      </c>
      <c r="K10" s="65" t="s">
        <v>30</v>
      </c>
    </row>
    <row r="11" spans="1:11" ht="15.6" x14ac:dyDescent="0.25">
      <c r="A11" s="30" t="str">
        <v xml:space="preserve"> El Centro - Bank of America</v>
      </c>
      <c r="B11" s="31" t="str">
        <v>CA</v>
      </c>
      <c r="C11" s="11">
        <v>2742.9</v>
      </c>
      <c r="D11" s="18" t="s">
        <v>22</v>
      </c>
      <c r="E11" s="18" t="str">
        <f t="shared" si="0"/>
        <v/>
      </c>
      <c r="F11" s="19" t="str">
        <f t="shared" si="3"/>
        <v/>
      </c>
      <c r="G11" s="64" t="s">
        <v>22</v>
      </c>
      <c r="H11" s="20" t="str">
        <f t="shared" si="4"/>
        <v/>
      </c>
      <c r="I11" s="19" t="str">
        <f t="shared" si="2"/>
        <v/>
      </c>
      <c r="J11" s="42"/>
      <c r="K11" s="43"/>
    </row>
    <row r="12" spans="1:11" ht="178.5" customHeight="1" x14ac:dyDescent="0.25">
      <c r="A12" s="28" t="str">
        <v xml:space="preserve"> Moreno Valley - Bank of America</v>
      </c>
      <c r="B12" s="29" t="str">
        <v>CA</v>
      </c>
      <c r="C12" s="24">
        <v>3723.2</v>
      </c>
      <c r="D12" s="13" t="s">
        <v>22</v>
      </c>
      <c r="E12" s="13" t="str">
        <f t="shared" si="0"/>
        <v/>
      </c>
      <c r="F12" s="14" t="str">
        <f t="shared" si="3"/>
        <v/>
      </c>
      <c r="G12" s="63" t="s">
        <v>22</v>
      </c>
      <c r="H12" s="15" t="str">
        <f t="shared" si="4"/>
        <v/>
      </c>
      <c r="I12" s="16" t="str">
        <f t="shared" si="2"/>
        <v/>
      </c>
      <c r="J12" s="41" t="s">
        <v>67</v>
      </c>
      <c r="K12" s="65" t="s">
        <v>32</v>
      </c>
    </row>
    <row r="13" spans="1:11" ht="15.6" x14ac:dyDescent="0.25">
      <c r="A13" s="30" t="str">
        <v xml:space="preserve"> Redlands - Bank of America</v>
      </c>
      <c r="B13" s="31" t="str">
        <v>CA</v>
      </c>
      <c r="C13" s="11">
        <v>0</v>
      </c>
      <c r="D13" s="18" t="s">
        <v>22</v>
      </c>
      <c r="E13" s="18" t="str">
        <f t="shared" si="0"/>
        <v/>
      </c>
      <c r="F13" s="19" t="str">
        <f t="shared" si="3"/>
        <v/>
      </c>
      <c r="G13" s="64" t="s">
        <v>22</v>
      </c>
      <c r="H13" s="20" t="str">
        <f t="shared" si="4"/>
        <v/>
      </c>
      <c r="I13" s="19" t="str">
        <f t="shared" si="2"/>
        <v/>
      </c>
      <c r="J13" s="42"/>
      <c r="K13" s="43"/>
    </row>
    <row r="14" spans="1:11" ht="15.6" x14ac:dyDescent="0.25">
      <c r="A14" s="28" t="str">
        <v xml:space="preserve"> Roseville - Bank of America</v>
      </c>
      <c r="B14" s="29" t="str">
        <v>CA</v>
      </c>
      <c r="C14" s="24">
        <v>5406.1</v>
      </c>
      <c r="D14" s="13" t="s">
        <v>22</v>
      </c>
      <c r="E14" s="13" t="str">
        <f t="shared" si="0"/>
        <v/>
      </c>
      <c r="F14" s="14" t="str">
        <f t="shared" si="3"/>
        <v/>
      </c>
      <c r="G14" s="63" t="s">
        <v>22</v>
      </c>
      <c r="H14" s="15" t="str">
        <f t="shared" si="4"/>
        <v/>
      </c>
      <c r="I14" s="16" t="str">
        <f t="shared" si="2"/>
        <v/>
      </c>
      <c r="J14" s="41"/>
      <c r="K14" s="41"/>
    </row>
    <row r="15" spans="1:11" ht="15.6" x14ac:dyDescent="0.25">
      <c r="A15" s="30" t="str">
        <v xml:space="preserve"> San Bernardino - Bank of America</v>
      </c>
      <c r="B15" s="31" t="str">
        <v>CA</v>
      </c>
      <c r="C15" s="11">
        <v>91.2</v>
      </c>
      <c r="D15" s="18" t="s">
        <v>22</v>
      </c>
      <c r="E15" s="18" t="str">
        <f t="shared" si="0"/>
        <v/>
      </c>
      <c r="F15" s="19" t="str">
        <f t="shared" si="3"/>
        <v/>
      </c>
      <c r="G15" s="64" t="s">
        <v>22</v>
      </c>
      <c r="H15" s="20" t="str">
        <f t="shared" si="4"/>
        <v/>
      </c>
      <c r="I15" s="19" t="str">
        <f t="shared" si="2"/>
        <v/>
      </c>
      <c r="J15" s="42"/>
      <c r="K15" s="43"/>
    </row>
    <row r="16" spans="1:11" ht="15.6" x14ac:dyDescent="0.25">
      <c r="A16" s="28" t="str">
        <v xml:space="preserve"> San Diego - Bank of America</v>
      </c>
      <c r="B16" s="29" t="str">
        <v>CA</v>
      </c>
      <c r="C16" s="24">
        <v>444.4</v>
      </c>
      <c r="D16" s="13" t="s">
        <v>22</v>
      </c>
      <c r="E16" s="13" t="str">
        <f t="shared" si="0"/>
        <v/>
      </c>
      <c r="F16" s="14" t="str">
        <f t="shared" si="3"/>
        <v/>
      </c>
      <c r="G16" s="63" t="s">
        <v>22</v>
      </c>
      <c r="H16" s="15" t="str">
        <f t="shared" si="4"/>
        <v/>
      </c>
      <c r="I16" s="16" t="str">
        <f t="shared" si="2"/>
        <v/>
      </c>
      <c r="J16" s="41"/>
      <c r="K16" s="41"/>
    </row>
    <row r="17" spans="1:11" ht="15.6" x14ac:dyDescent="0.25">
      <c r="A17" s="30" t="str">
        <v xml:space="preserve"> Stockton - Bank of America</v>
      </c>
      <c r="B17" s="31" t="str">
        <v>CA</v>
      </c>
      <c r="C17" s="11">
        <v>1474.8</v>
      </c>
      <c r="D17" s="18" t="s">
        <v>22</v>
      </c>
      <c r="E17" s="18" t="str">
        <f t="shared" si="0"/>
        <v/>
      </c>
      <c r="F17" s="19" t="str">
        <f t="shared" si="3"/>
        <v/>
      </c>
      <c r="G17" s="64" t="s">
        <v>22</v>
      </c>
      <c r="H17" s="20" t="str">
        <f t="shared" si="4"/>
        <v/>
      </c>
      <c r="I17" s="19" t="str">
        <f t="shared" si="2"/>
        <v/>
      </c>
      <c r="J17" s="42"/>
      <c r="K17" s="43"/>
    </row>
    <row r="18" spans="1:11" ht="12.75" customHeight="1" x14ac:dyDescent="0.25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ref="E18:E38" si="5">IF(AND(ISNUMBER(C18),ISNUMBER(D18)), C18-D18, "")</f>
        <v/>
      </c>
      <c r="F18" s="14" t="str">
        <f t="shared" ref="F18:F38" si="6">IFERROR(E18/D18, "")</f>
        <v/>
      </c>
      <c r="G18" s="63" t="s">
        <v>22</v>
      </c>
      <c r="H18" s="15" t="str">
        <f t="shared" si="4"/>
        <v/>
      </c>
      <c r="I18" s="16" t="str">
        <f t="shared" ref="I18:I38" si="7">IFERROR(H18/G18, "")</f>
        <v/>
      </c>
      <c r="J18" s="41"/>
      <c r="K18" s="41"/>
    </row>
    <row r="19" spans="1:11" ht="15.6" x14ac:dyDescent="0.25">
      <c r="A19" s="30" t="str">
        <v xml:space="preserve"> Aurora - BA - Colfax Ave</v>
      </c>
      <c r="B19" s="31" t="str">
        <v>CO</v>
      </c>
      <c r="C19" s="11">
        <v>1146.8</v>
      </c>
      <c r="D19" s="18" t="s">
        <v>22</v>
      </c>
      <c r="E19" s="18" t="str">
        <f t="shared" si="5"/>
        <v/>
      </c>
      <c r="F19" s="19" t="str">
        <f t="shared" si="6"/>
        <v/>
      </c>
      <c r="G19" s="64" t="s">
        <v>22</v>
      </c>
      <c r="H19" s="20" t="str">
        <f t="shared" si="4"/>
        <v/>
      </c>
      <c r="I19" s="19" t="str">
        <f t="shared" si="7"/>
        <v/>
      </c>
      <c r="J19" s="42"/>
      <c r="K19" s="43"/>
    </row>
    <row r="20" spans="1:11" ht="15.6" x14ac:dyDescent="0.25">
      <c r="A20" s="28" t="str">
        <v xml:space="preserve"> Aurora - BA - Parker Rd</v>
      </c>
      <c r="B20" s="29" t="str">
        <v>CO</v>
      </c>
      <c r="C20" s="24">
        <v>3464.5</v>
      </c>
      <c r="D20" s="13" t="s">
        <v>22</v>
      </c>
      <c r="E20" s="13" t="str">
        <f t="shared" si="5"/>
        <v/>
      </c>
      <c r="F20" s="14" t="str">
        <f t="shared" si="6"/>
        <v/>
      </c>
      <c r="G20" s="63" t="s">
        <v>22</v>
      </c>
      <c r="H20" s="15" t="str">
        <f t="shared" si="4"/>
        <v/>
      </c>
      <c r="I20" s="16" t="str">
        <f t="shared" si="7"/>
        <v/>
      </c>
      <c r="J20" s="41"/>
      <c r="K20" s="41"/>
    </row>
    <row r="21" spans="1:11" ht="28.8" x14ac:dyDescent="0.25">
      <c r="A21" s="30" t="str">
        <v xml:space="preserve"> Broomfield - Bank of America</v>
      </c>
      <c r="B21" s="31" t="str">
        <v>CO</v>
      </c>
      <c r="C21" s="11">
        <v>1433.9</v>
      </c>
      <c r="D21" s="18" t="s">
        <v>22</v>
      </c>
      <c r="E21" s="18" t="str">
        <f t="shared" si="5"/>
        <v/>
      </c>
      <c r="F21" s="19" t="str">
        <f t="shared" si="6"/>
        <v/>
      </c>
      <c r="G21" s="64" t="s">
        <v>22</v>
      </c>
      <c r="H21" s="20" t="str">
        <f t="shared" si="4"/>
        <v/>
      </c>
      <c r="I21" s="19" t="str">
        <f t="shared" si="7"/>
        <v/>
      </c>
      <c r="J21" s="42" t="s">
        <v>68</v>
      </c>
      <c r="K21" s="68" t="s">
        <v>36</v>
      </c>
    </row>
    <row r="22" spans="1:11" ht="15.6" x14ac:dyDescent="0.25">
      <c r="A22" s="28" t="str">
        <v xml:space="preserve"> Colorado Springs - Bank of America</v>
      </c>
      <c r="B22" s="29" t="str">
        <v>CO</v>
      </c>
      <c r="C22" s="24">
        <v>2857.5</v>
      </c>
      <c r="D22" s="13" t="s">
        <v>22</v>
      </c>
      <c r="E22" s="13" t="str">
        <f t="shared" si="5"/>
        <v/>
      </c>
      <c r="F22" s="14" t="str">
        <f t="shared" si="6"/>
        <v/>
      </c>
      <c r="G22" s="63" t="s">
        <v>22</v>
      </c>
      <c r="H22" s="15" t="str">
        <f t="shared" si="4"/>
        <v/>
      </c>
      <c r="I22" s="16" t="str">
        <f t="shared" si="7"/>
        <v/>
      </c>
      <c r="J22" s="41"/>
      <c r="K22" s="41"/>
    </row>
    <row r="23" spans="1:11" ht="15.6" x14ac:dyDescent="0.25">
      <c r="A23" s="30" t="str">
        <v xml:space="preserve"> Denver - BA - 49th Ave</v>
      </c>
      <c r="B23" s="31" t="str">
        <v>CO</v>
      </c>
      <c r="C23" s="11">
        <v>1191.9000000000001</v>
      </c>
      <c r="D23" s="18" t="s">
        <v>22</v>
      </c>
      <c r="E23" s="18" t="str">
        <f t="shared" si="5"/>
        <v/>
      </c>
      <c r="F23" s="19" t="str">
        <f t="shared" si="6"/>
        <v/>
      </c>
      <c r="G23" s="64" t="s">
        <v>22</v>
      </c>
      <c r="H23" s="20" t="str">
        <f t="shared" si="4"/>
        <v/>
      </c>
      <c r="I23" s="19" t="str">
        <f t="shared" si="7"/>
        <v/>
      </c>
      <c r="J23" s="42"/>
      <c r="K23" s="43"/>
    </row>
    <row r="24" spans="1:11" ht="15.6" x14ac:dyDescent="0.25">
      <c r="A24" s="28" t="str">
        <v xml:space="preserve"> Denver - BA Wadsworth Blvd</v>
      </c>
      <c r="B24" s="29" t="str">
        <v>CO</v>
      </c>
      <c r="C24" s="24">
        <v>2351</v>
      </c>
      <c r="D24" s="13" t="s">
        <v>22</v>
      </c>
      <c r="E24" s="13" t="str">
        <f t="shared" si="5"/>
        <v/>
      </c>
      <c r="F24" s="14" t="str">
        <f t="shared" si="6"/>
        <v/>
      </c>
      <c r="G24" s="63" t="s">
        <v>22</v>
      </c>
      <c r="H24" s="15" t="str">
        <f t="shared" si="4"/>
        <v/>
      </c>
      <c r="I24" s="16" t="str">
        <f t="shared" si="7"/>
        <v/>
      </c>
      <c r="J24" s="41"/>
      <c r="K24" s="41"/>
    </row>
    <row r="25" spans="1:11" ht="15.6" x14ac:dyDescent="0.25">
      <c r="A25" s="30" t="str">
        <v xml:space="preserve"> Fort Collins - Bank of America</v>
      </c>
      <c r="B25" s="31" t="str">
        <v>CO</v>
      </c>
      <c r="C25" s="11">
        <v>1470.4</v>
      </c>
      <c r="D25" s="18" t="s">
        <v>22</v>
      </c>
      <c r="E25" s="18" t="str">
        <f t="shared" si="5"/>
        <v/>
      </c>
      <c r="F25" s="19" t="str">
        <f t="shared" si="6"/>
        <v/>
      </c>
      <c r="G25" s="64" t="s">
        <v>22</v>
      </c>
      <c r="H25" s="20" t="str">
        <f t="shared" si="4"/>
        <v/>
      </c>
      <c r="I25" s="19" t="str">
        <f t="shared" si="7"/>
        <v/>
      </c>
      <c r="J25" s="42"/>
      <c r="K25" s="43"/>
    </row>
    <row r="26" spans="1:11" ht="15.6" x14ac:dyDescent="0.25">
      <c r="A26" s="28" t="str">
        <v xml:space="preserve"> Lafayette - Bank of America</v>
      </c>
      <c r="B26" s="29" t="str">
        <v>CO</v>
      </c>
      <c r="C26" s="24">
        <v>2251.3000000000002</v>
      </c>
      <c r="D26" s="13" t="s">
        <v>22</v>
      </c>
      <c r="E26" s="13" t="str">
        <f t="shared" si="5"/>
        <v/>
      </c>
      <c r="F26" s="14" t="str">
        <f t="shared" si="6"/>
        <v/>
      </c>
      <c r="G26" s="63" t="s">
        <v>22</v>
      </c>
      <c r="H26" s="15" t="str">
        <f t="shared" si="4"/>
        <v/>
      </c>
      <c r="I26" s="16" t="str">
        <f t="shared" si="7"/>
        <v/>
      </c>
      <c r="J26" s="41"/>
      <c r="K26" s="41"/>
    </row>
    <row r="27" spans="1:11" ht="15.6" x14ac:dyDescent="0.25">
      <c r="A27" s="30" t="str">
        <v xml:space="preserve"> Lakewood - Bank of America</v>
      </c>
      <c r="B27" s="31" t="str">
        <v>CO</v>
      </c>
      <c r="C27" s="11">
        <v>1223.8</v>
      </c>
      <c r="D27" s="18" t="s">
        <v>22</v>
      </c>
      <c r="E27" s="18" t="str">
        <f t="shared" si="5"/>
        <v/>
      </c>
      <c r="F27" s="19" t="str">
        <f t="shared" si="6"/>
        <v/>
      </c>
      <c r="G27" s="64" t="s">
        <v>22</v>
      </c>
      <c r="H27" s="20" t="str">
        <f t="shared" si="4"/>
        <v/>
      </c>
      <c r="I27" s="19" t="str">
        <f t="shared" si="7"/>
        <v/>
      </c>
      <c r="J27" s="42"/>
      <c r="K27" s="43"/>
    </row>
    <row r="28" spans="1:11" ht="15.6" x14ac:dyDescent="0.25">
      <c r="A28" s="28" t="str">
        <v xml:space="preserve"> Longmont - Bank of America</v>
      </c>
      <c r="B28" s="29" t="str">
        <v>CO</v>
      </c>
      <c r="C28" s="24"/>
      <c r="D28" s="13" t="s">
        <v>22</v>
      </c>
      <c r="E28" s="13" t="str">
        <f t="shared" si="5"/>
        <v/>
      </c>
      <c r="F28" s="14" t="str">
        <f t="shared" si="6"/>
        <v/>
      </c>
      <c r="G28" s="63" t="s">
        <v>22</v>
      </c>
      <c r="H28" s="15" t="str">
        <f t="shared" si="4"/>
        <v/>
      </c>
      <c r="I28" s="16" t="str">
        <f t="shared" si="7"/>
        <v/>
      </c>
      <c r="J28" s="41"/>
      <c r="K28" s="41"/>
    </row>
    <row r="29" spans="1:11" ht="15.6" x14ac:dyDescent="0.25">
      <c r="A29" s="30" t="str">
        <v xml:space="preserve"> Thornton - Bank of America</v>
      </c>
      <c r="B29" s="31" t="str">
        <v>CO</v>
      </c>
      <c r="C29" s="11">
        <v>1334.5</v>
      </c>
      <c r="D29" s="18" t="s">
        <v>22</v>
      </c>
      <c r="E29" s="18" t="str">
        <f t="shared" si="5"/>
        <v/>
      </c>
      <c r="F29" s="19" t="str">
        <f t="shared" si="6"/>
        <v/>
      </c>
      <c r="G29" s="64" t="s">
        <v>22</v>
      </c>
      <c r="H29" s="20" t="str">
        <f t="shared" si="4"/>
        <v/>
      </c>
      <c r="I29" s="19" t="str">
        <f t="shared" si="7"/>
        <v/>
      </c>
      <c r="J29" s="42"/>
      <c r="K29" s="43"/>
    </row>
    <row r="30" spans="1:11" ht="15.6" x14ac:dyDescent="0.25">
      <c r="A30" s="28" t="str">
        <v xml:space="preserve"> Calumet City - Bank of America</v>
      </c>
      <c r="B30" s="29" t="str">
        <v>IL</v>
      </c>
      <c r="C30" s="24">
        <v>2030.1</v>
      </c>
      <c r="D30" s="13" t="s">
        <v>22</v>
      </c>
      <c r="E30" s="13" t="str">
        <f t="shared" si="5"/>
        <v/>
      </c>
      <c r="F30" s="14" t="str">
        <f t="shared" si="6"/>
        <v/>
      </c>
      <c r="G30" s="63" t="s">
        <v>22</v>
      </c>
      <c r="H30" s="15" t="str">
        <f t="shared" si="4"/>
        <v/>
      </c>
      <c r="I30" s="16" t="str">
        <f t="shared" si="7"/>
        <v/>
      </c>
      <c r="J30" s="41"/>
      <c r="K30" s="41"/>
    </row>
    <row r="31" spans="1:11" ht="15.6" x14ac:dyDescent="0.25">
      <c r="A31" s="30" t="str">
        <v xml:space="preserve"> Downers Grove - Bank of America</v>
      </c>
      <c r="B31" s="31" t="str">
        <v>IL</v>
      </c>
      <c r="C31" s="11">
        <v>2293.8000000000002</v>
      </c>
      <c r="D31" s="18" t="s">
        <v>22</v>
      </c>
      <c r="E31" s="18" t="str">
        <f t="shared" si="5"/>
        <v/>
      </c>
      <c r="F31" s="19" t="str">
        <f t="shared" si="6"/>
        <v/>
      </c>
      <c r="G31" s="64" t="s">
        <v>22</v>
      </c>
      <c r="H31" s="20" t="str">
        <f t="shared" si="4"/>
        <v/>
      </c>
      <c r="I31" s="19" t="str">
        <f t="shared" si="7"/>
        <v/>
      </c>
      <c r="J31" s="42"/>
      <c r="K31" s="43"/>
    </row>
    <row r="32" spans="1:11" ht="15.6" x14ac:dyDescent="0.25">
      <c r="A32" s="28" t="str">
        <v xml:space="preserve"> Bloomington - Bank of America</v>
      </c>
      <c r="B32" s="29" t="str">
        <v>MN</v>
      </c>
      <c r="C32" s="24">
        <v>445.9</v>
      </c>
      <c r="D32" s="13" t="s">
        <v>22</v>
      </c>
      <c r="E32" s="13" t="str">
        <f t="shared" si="5"/>
        <v/>
      </c>
      <c r="F32" s="14" t="str">
        <f t="shared" si="6"/>
        <v/>
      </c>
      <c r="G32" s="63" t="s">
        <v>22</v>
      </c>
      <c r="H32" s="15" t="str">
        <f t="shared" si="4"/>
        <v/>
      </c>
      <c r="I32" s="16" t="str">
        <f t="shared" si="7"/>
        <v/>
      </c>
      <c r="J32" s="41"/>
      <c r="K32" s="41"/>
    </row>
    <row r="33" spans="1:11" ht="15.6" x14ac:dyDescent="0.25">
      <c r="A33" s="30" t="str">
        <v xml:space="preserve"> Clayton - Bank of America</v>
      </c>
      <c r="B33" s="31" t="str">
        <v>MO</v>
      </c>
      <c r="C33" s="11">
        <v>2220.1999999999998</v>
      </c>
      <c r="D33" s="18" t="s">
        <v>22</v>
      </c>
      <c r="E33" s="18" t="str">
        <f t="shared" si="5"/>
        <v/>
      </c>
      <c r="F33" s="19" t="str">
        <f t="shared" si="6"/>
        <v/>
      </c>
      <c r="G33" s="64" t="s">
        <v>22</v>
      </c>
      <c r="H33" s="20" t="str">
        <f t="shared" si="4"/>
        <v/>
      </c>
      <c r="I33" s="19" t="str">
        <f t="shared" si="7"/>
        <v/>
      </c>
      <c r="J33" s="42"/>
      <c r="K33" s="43"/>
    </row>
    <row r="34" spans="1:11" ht="28.8" x14ac:dyDescent="0.25">
      <c r="A34" s="28" t="str">
        <v xml:space="preserve"> Manchester - Bank of America</v>
      </c>
      <c r="B34" s="29" t="str">
        <v>MO</v>
      </c>
      <c r="C34" s="24">
        <v>1684.9</v>
      </c>
      <c r="D34" s="13" t="s">
        <v>22</v>
      </c>
      <c r="E34" s="13" t="str">
        <f t="shared" si="5"/>
        <v/>
      </c>
      <c r="F34" s="14" t="str">
        <f t="shared" si="6"/>
        <v/>
      </c>
      <c r="G34" s="63" t="s">
        <v>22</v>
      </c>
      <c r="H34" s="15" t="str">
        <f t="shared" si="4"/>
        <v/>
      </c>
      <c r="I34" s="16" t="str">
        <f t="shared" si="7"/>
        <v/>
      </c>
      <c r="J34" s="41" t="s">
        <v>60</v>
      </c>
      <c r="K34" s="65" t="s">
        <v>69</v>
      </c>
    </row>
    <row r="35" spans="1:11" ht="28.8" x14ac:dyDescent="0.25">
      <c r="A35" s="30" t="str">
        <v xml:space="preserve"> Las Vegas - BA - Eastern Ave</v>
      </c>
      <c r="B35" s="31" t="str">
        <v>NV</v>
      </c>
      <c r="C35" s="11">
        <v>20</v>
      </c>
      <c r="D35" s="18" t="s">
        <v>22</v>
      </c>
      <c r="E35" s="18" t="str">
        <f t="shared" si="5"/>
        <v/>
      </c>
      <c r="F35" s="19" t="str">
        <f t="shared" si="6"/>
        <v/>
      </c>
      <c r="G35" s="64" t="s">
        <v>22</v>
      </c>
      <c r="H35" s="20" t="str">
        <f t="shared" si="4"/>
        <v/>
      </c>
      <c r="I35" s="19" t="str">
        <f t="shared" si="7"/>
        <v/>
      </c>
      <c r="J35" s="42" t="s">
        <v>70</v>
      </c>
      <c r="K35" s="68" t="s">
        <v>71</v>
      </c>
    </row>
    <row r="36" spans="1:11" ht="15.6" x14ac:dyDescent="0.25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5"/>
        <v/>
      </c>
      <c r="F36" s="14" t="str">
        <f t="shared" si="6"/>
        <v/>
      </c>
      <c r="G36" s="63" t="s">
        <v>22</v>
      </c>
      <c r="H36" s="15" t="str">
        <f t="shared" si="4"/>
        <v/>
      </c>
      <c r="I36" s="16" t="str">
        <f t="shared" si="7"/>
        <v/>
      </c>
      <c r="J36" s="41"/>
      <c r="K36" s="41"/>
    </row>
    <row r="37" spans="1:11" ht="15.6" x14ac:dyDescent="0.25">
      <c r="A37" s="30" t="str">
        <v xml:space="preserve"> Riverton - Bank of America</v>
      </c>
      <c r="B37" s="31" t="str">
        <v>UT</v>
      </c>
      <c r="C37" s="11">
        <v>2120.6</v>
      </c>
      <c r="D37" s="18" t="s">
        <v>22</v>
      </c>
      <c r="E37" s="18" t="str">
        <f t="shared" si="5"/>
        <v/>
      </c>
      <c r="F37" s="19" t="str">
        <f t="shared" si="6"/>
        <v/>
      </c>
      <c r="G37" s="64" t="s">
        <v>22</v>
      </c>
      <c r="H37" s="20" t="str">
        <f t="shared" ref="H37:H38" si="8">IF(AND(ISNUMBER(C37),ISNUMBER(G37)), C37-G37, "")</f>
        <v/>
      </c>
      <c r="I37" s="19" t="str">
        <f t="shared" si="7"/>
        <v/>
      </c>
      <c r="J37" s="42"/>
      <c r="K37" s="43"/>
    </row>
    <row r="38" spans="1:11" ht="15.6" x14ac:dyDescent="0.25">
      <c r="A38" s="28" t="str">
        <v xml:space="preserve"> Salt Lake City - Bank of America</v>
      </c>
      <c r="B38" s="29" t="str">
        <v>UT</v>
      </c>
      <c r="C38" s="24">
        <v>321.5</v>
      </c>
      <c r="D38" s="13" t="s">
        <v>22</v>
      </c>
      <c r="E38" s="13" t="str">
        <f t="shared" si="5"/>
        <v/>
      </c>
      <c r="F38" s="14" t="str">
        <f t="shared" si="6"/>
        <v/>
      </c>
      <c r="G38" s="63" t="s">
        <v>22</v>
      </c>
      <c r="H38" s="15" t="str">
        <f t="shared" si="8"/>
        <v/>
      </c>
      <c r="I38" s="16" t="str">
        <f t="shared" si="7"/>
        <v/>
      </c>
      <c r="J38" s="41"/>
      <c r="K38" s="41"/>
    </row>
    <row r="39" spans="1:11" ht="14.4" x14ac:dyDescent="0.3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" x14ac:dyDescent="0.3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" x14ac:dyDescent="0.3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" x14ac:dyDescent="0.3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" x14ac:dyDescent="0.3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" x14ac:dyDescent="0.3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" x14ac:dyDescent="0.3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" x14ac:dyDescent="0.3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" x14ac:dyDescent="0.3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" x14ac:dyDescent="0.3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" x14ac:dyDescent="0.3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" x14ac:dyDescent="0.3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" x14ac:dyDescent="0.3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" x14ac:dyDescent="0.3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" x14ac:dyDescent="0.3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" x14ac:dyDescent="0.3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" x14ac:dyDescent="0.3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" x14ac:dyDescent="0.3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" x14ac:dyDescent="0.3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" x14ac:dyDescent="0.3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" x14ac:dyDescent="0.3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" x14ac:dyDescent="0.3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" x14ac:dyDescent="0.3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" x14ac:dyDescent="0.3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" x14ac:dyDescent="0.3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" x14ac:dyDescent="0.3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" x14ac:dyDescent="0.3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" x14ac:dyDescent="0.3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" x14ac:dyDescent="0.3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" x14ac:dyDescent="0.3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" x14ac:dyDescent="0.3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" x14ac:dyDescent="0.3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" x14ac:dyDescent="0.3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" x14ac:dyDescent="0.3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" x14ac:dyDescent="0.3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" x14ac:dyDescent="0.3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" x14ac:dyDescent="0.3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" x14ac:dyDescent="0.3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" x14ac:dyDescent="0.3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" x14ac:dyDescent="0.3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" x14ac:dyDescent="0.3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" x14ac:dyDescent="0.3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" x14ac:dyDescent="0.3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" x14ac:dyDescent="0.3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" x14ac:dyDescent="0.3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" x14ac:dyDescent="0.3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" x14ac:dyDescent="0.3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" x14ac:dyDescent="0.3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" x14ac:dyDescent="0.3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" x14ac:dyDescent="0.3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" x14ac:dyDescent="0.3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" x14ac:dyDescent="0.3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" x14ac:dyDescent="0.3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" x14ac:dyDescent="0.3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" x14ac:dyDescent="0.3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" x14ac:dyDescent="0.3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" x14ac:dyDescent="0.3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" x14ac:dyDescent="0.3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" x14ac:dyDescent="0.3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" x14ac:dyDescent="0.3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" x14ac:dyDescent="0.3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" x14ac:dyDescent="0.3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" x14ac:dyDescent="0.3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" x14ac:dyDescent="0.3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" x14ac:dyDescent="0.3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" x14ac:dyDescent="0.3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" x14ac:dyDescent="0.3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" x14ac:dyDescent="0.3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" x14ac:dyDescent="0.3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" x14ac:dyDescent="0.3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" x14ac:dyDescent="0.3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" x14ac:dyDescent="0.3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" x14ac:dyDescent="0.3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" x14ac:dyDescent="0.3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" x14ac:dyDescent="0.3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" x14ac:dyDescent="0.3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" x14ac:dyDescent="0.3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" x14ac:dyDescent="0.3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" x14ac:dyDescent="0.3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" x14ac:dyDescent="0.3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" x14ac:dyDescent="0.3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" x14ac:dyDescent="0.3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" x14ac:dyDescent="0.3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" x14ac:dyDescent="0.3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" x14ac:dyDescent="0.3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" x14ac:dyDescent="0.3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" x14ac:dyDescent="0.3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" x14ac:dyDescent="0.3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" x14ac:dyDescent="0.3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" x14ac:dyDescent="0.3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" x14ac:dyDescent="0.3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" x14ac:dyDescent="0.3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" x14ac:dyDescent="0.3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" x14ac:dyDescent="0.3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" x14ac:dyDescent="0.3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" x14ac:dyDescent="0.3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" x14ac:dyDescent="0.3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" x14ac:dyDescent="0.3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" x14ac:dyDescent="0.3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" x14ac:dyDescent="0.3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" x14ac:dyDescent="0.3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" x14ac:dyDescent="0.3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" x14ac:dyDescent="0.3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" x14ac:dyDescent="0.3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" x14ac:dyDescent="0.3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" x14ac:dyDescent="0.3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" x14ac:dyDescent="0.3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" x14ac:dyDescent="0.3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" x14ac:dyDescent="0.3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" x14ac:dyDescent="0.3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" x14ac:dyDescent="0.3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" x14ac:dyDescent="0.3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" x14ac:dyDescent="0.3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" x14ac:dyDescent="0.3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" x14ac:dyDescent="0.3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" x14ac:dyDescent="0.3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" x14ac:dyDescent="0.3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" x14ac:dyDescent="0.3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" x14ac:dyDescent="0.3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" x14ac:dyDescent="0.3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" x14ac:dyDescent="0.3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" x14ac:dyDescent="0.3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" x14ac:dyDescent="0.3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" x14ac:dyDescent="0.3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" x14ac:dyDescent="0.3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" x14ac:dyDescent="0.3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" x14ac:dyDescent="0.3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" x14ac:dyDescent="0.3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" x14ac:dyDescent="0.3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" x14ac:dyDescent="0.3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" x14ac:dyDescent="0.3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" x14ac:dyDescent="0.3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" x14ac:dyDescent="0.3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" x14ac:dyDescent="0.3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" x14ac:dyDescent="0.3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" x14ac:dyDescent="0.3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" x14ac:dyDescent="0.3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" x14ac:dyDescent="0.3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" x14ac:dyDescent="0.3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" x14ac:dyDescent="0.3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" x14ac:dyDescent="0.3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" x14ac:dyDescent="0.3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" x14ac:dyDescent="0.3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" x14ac:dyDescent="0.3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" x14ac:dyDescent="0.3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" x14ac:dyDescent="0.3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" x14ac:dyDescent="0.3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" x14ac:dyDescent="0.3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" x14ac:dyDescent="0.3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" x14ac:dyDescent="0.3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" x14ac:dyDescent="0.3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" x14ac:dyDescent="0.3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" x14ac:dyDescent="0.3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" x14ac:dyDescent="0.3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" x14ac:dyDescent="0.3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" x14ac:dyDescent="0.3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" x14ac:dyDescent="0.3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" x14ac:dyDescent="0.3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" x14ac:dyDescent="0.3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" x14ac:dyDescent="0.3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" x14ac:dyDescent="0.3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" x14ac:dyDescent="0.3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" x14ac:dyDescent="0.3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" x14ac:dyDescent="0.3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" x14ac:dyDescent="0.3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" x14ac:dyDescent="0.3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" x14ac:dyDescent="0.3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" x14ac:dyDescent="0.3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" x14ac:dyDescent="0.3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" x14ac:dyDescent="0.3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" x14ac:dyDescent="0.3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" x14ac:dyDescent="0.3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" x14ac:dyDescent="0.3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" x14ac:dyDescent="0.3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" x14ac:dyDescent="0.3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" x14ac:dyDescent="0.3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" x14ac:dyDescent="0.3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" x14ac:dyDescent="0.3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" x14ac:dyDescent="0.3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" x14ac:dyDescent="0.3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" x14ac:dyDescent="0.3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" x14ac:dyDescent="0.3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" x14ac:dyDescent="0.3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" x14ac:dyDescent="0.3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" x14ac:dyDescent="0.3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" x14ac:dyDescent="0.3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" x14ac:dyDescent="0.3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" x14ac:dyDescent="0.3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" x14ac:dyDescent="0.3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" x14ac:dyDescent="0.3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" x14ac:dyDescent="0.3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" x14ac:dyDescent="0.3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" x14ac:dyDescent="0.3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" x14ac:dyDescent="0.3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" x14ac:dyDescent="0.3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" x14ac:dyDescent="0.3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" x14ac:dyDescent="0.3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" x14ac:dyDescent="0.3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" x14ac:dyDescent="0.3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" x14ac:dyDescent="0.3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" x14ac:dyDescent="0.3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" x14ac:dyDescent="0.3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" x14ac:dyDescent="0.3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" x14ac:dyDescent="0.3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" x14ac:dyDescent="0.3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" x14ac:dyDescent="0.3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" x14ac:dyDescent="0.3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" x14ac:dyDescent="0.3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" x14ac:dyDescent="0.3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" x14ac:dyDescent="0.3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" x14ac:dyDescent="0.3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" x14ac:dyDescent="0.3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" x14ac:dyDescent="0.3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" x14ac:dyDescent="0.3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" x14ac:dyDescent="0.3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" x14ac:dyDescent="0.3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" x14ac:dyDescent="0.3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" x14ac:dyDescent="0.3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" x14ac:dyDescent="0.3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" x14ac:dyDescent="0.3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" x14ac:dyDescent="0.3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" x14ac:dyDescent="0.3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" x14ac:dyDescent="0.3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" x14ac:dyDescent="0.3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" x14ac:dyDescent="0.3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" x14ac:dyDescent="0.3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" x14ac:dyDescent="0.3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" x14ac:dyDescent="0.3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" x14ac:dyDescent="0.3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" x14ac:dyDescent="0.3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" x14ac:dyDescent="0.3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" x14ac:dyDescent="0.3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" x14ac:dyDescent="0.3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" x14ac:dyDescent="0.3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" x14ac:dyDescent="0.3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" x14ac:dyDescent="0.3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" x14ac:dyDescent="0.3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" x14ac:dyDescent="0.3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" x14ac:dyDescent="0.3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" x14ac:dyDescent="0.3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" x14ac:dyDescent="0.3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" x14ac:dyDescent="0.3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" x14ac:dyDescent="0.3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" x14ac:dyDescent="0.3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" x14ac:dyDescent="0.3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" x14ac:dyDescent="0.3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" x14ac:dyDescent="0.3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" x14ac:dyDescent="0.3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" x14ac:dyDescent="0.3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" x14ac:dyDescent="0.3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" x14ac:dyDescent="0.3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" x14ac:dyDescent="0.3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" x14ac:dyDescent="0.3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" x14ac:dyDescent="0.3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" x14ac:dyDescent="0.3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" x14ac:dyDescent="0.3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" x14ac:dyDescent="0.3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" x14ac:dyDescent="0.3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" x14ac:dyDescent="0.3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" x14ac:dyDescent="0.3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" x14ac:dyDescent="0.3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" x14ac:dyDescent="0.3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" x14ac:dyDescent="0.3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" x14ac:dyDescent="0.3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" x14ac:dyDescent="0.3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" x14ac:dyDescent="0.3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" x14ac:dyDescent="0.3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" x14ac:dyDescent="0.3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" x14ac:dyDescent="0.3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" x14ac:dyDescent="0.3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" x14ac:dyDescent="0.3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" x14ac:dyDescent="0.3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" x14ac:dyDescent="0.3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" x14ac:dyDescent="0.3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" x14ac:dyDescent="0.3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" x14ac:dyDescent="0.3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" x14ac:dyDescent="0.3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" x14ac:dyDescent="0.3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" x14ac:dyDescent="0.3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" x14ac:dyDescent="0.3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" x14ac:dyDescent="0.3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" x14ac:dyDescent="0.3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" x14ac:dyDescent="0.3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" x14ac:dyDescent="0.3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" x14ac:dyDescent="0.3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" x14ac:dyDescent="0.3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" x14ac:dyDescent="0.3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" x14ac:dyDescent="0.3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" x14ac:dyDescent="0.3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" x14ac:dyDescent="0.3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" x14ac:dyDescent="0.3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" x14ac:dyDescent="0.3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" x14ac:dyDescent="0.3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" x14ac:dyDescent="0.3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" x14ac:dyDescent="0.3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" x14ac:dyDescent="0.3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" x14ac:dyDescent="0.3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" x14ac:dyDescent="0.3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" x14ac:dyDescent="0.3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" x14ac:dyDescent="0.3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" x14ac:dyDescent="0.3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" x14ac:dyDescent="0.3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" x14ac:dyDescent="0.3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" x14ac:dyDescent="0.3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7" priority="3" stopIfTrue="1" operator="lessThanOrEqual">
      <formula>-0.1</formula>
    </cfRule>
    <cfRule type="expression" dxfId="36" priority="4">
      <formula>AND(ISNUMBER(F2), F2&gt;=0.1)</formula>
    </cfRule>
  </conditionalFormatting>
  <conditionalFormatting sqref="F4:F100 I4:I100">
    <cfRule type="cellIs" dxfId="35" priority="1" stopIfTrue="1" operator="lessThanOrEqual">
      <formula>-0.1</formula>
    </cfRule>
    <cfRule type="expression" dxfId="34" priority="2">
      <formula>AND(ISNUMBER(F4), F4&gt;=0.1)</formula>
    </cfRule>
  </conditionalFormatting>
  <hyperlinks>
    <hyperlink ref="K10" r:id="rId1" display="https://us3.assetplanner.com/service_request?ID=091352" xr:uid="{D47C3624-8AF3-4F7D-BE3E-BF26CE01574F}"/>
    <hyperlink ref="K12" r:id="rId2" display="https://us3.assetplanner.com/service_request?ID=095528" xr:uid="{C31E3F4C-4164-4B01-8CF9-B3E2C8BD0D14}"/>
    <hyperlink ref="K21" r:id="rId3" display="https://us3.assetplanner.com/service_request?ID=095596" xr:uid="{0A96EBB2-5950-477B-A293-79DC6BC0F9B7}"/>
    <hyperlink ref="K35" r:id="rId4" display="https://us3.assetplanner.com/service_request?ID=096627" xr:uid="{F6C4FE6F-96C7-44B7-A20C-972B58B32E59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40"/>
  <sheetViews>
    <sheetView zoomScale="60" zoomScaleNormal="60" workbookViewId="0">
      <pane xSplit="2" ySplit="3" topLeftCell="C11" activePane="bottomRight" state="frozen"/>
      <selection pane="topRight"/>
      <selection pane="bottomLeft"/>
      <selection pane="bottomRight" activeCell="P25" sqref="P25"/>
    </sheetView>
  </sheetViews>
  <sheetFormatPr defaultRowHeight="13.8" x14ac:dyDescent="0.25"/>
  <cols>
    <col min="1" max="1" width="35.88671875" bestFit="1" customWidth="1"/>
    <col min="2" max="2" width="8.44140625" style="34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2" ht="19.5" customHeight="1" x14ac:dyDescent="0.25">
      <c r="A1" s="89" t="str" cm="1">
        <f t="array" ref="A1">portfolio</f>
        <v>Cushman &amp; Wakefield</v>
      </c>
      <c r="B1" s="89"/>
      <c r="C1" s="89"/>
      <c r="D1" s="90" t="s">
        <v>72</v>
      </c>
      <c r="E1" s="90"/>
      <c r="F1" s="90"/>
      <c r="G1" s="88" t="s">
        <v>73</v>
      </c>
      <c r="H1" s="88"/>
      <c r="I1" s="88"/>
      <c r="J1" s="4"/>
      <c r="K1" s="4"/>
    </row>
    <row r="2" spans="1:12" ht="19.5" customHeight="1" x14ac:dyDescent="0.25">
      <c r="A2" s="91" t="s">
        <v>2</v>
      </c>
      <c r="B2" s="91"/>
      <c r="C2" s="5">
        <f>SUM(C4:C98)</f>
        <v>64215.700000000012</v>
      </c>
      <c r="D2" s="5">
        <f>SUM(D4:D98)</f>
        <v>0</v>
      </c>
      <c r="E2" s="5">
        <f>C2-D2</f>
        <v>64215.700000000012</v>
      </c>
      <c r="F2" s="6">
        <f>IFERROR(E2/D2, 0)</f>
        <v>0</v>
      </c>
      <c r="G2" s="5">
        <f>SUM(G4:G98)</f>
        <v>0</v>
      </c>
      <c r="H2" s="7">
        <f>C2-G2</f>
        <v>64215.700000000012</v>
      </c>
      <c r="I2" s="6">
        <f>IFERROR(H2/G2, 0)</f>
        <v>0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 x14ac:dyDescent="0.25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 x14ac:dyDescent="0.3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70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  <c r="L4" s="59"/>
    </row>
    <row r="5" spans="1:12" ht="15.6" x14ac:dyDescent="0.3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71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59"/>
    </row>
    <row r="6" spans="1:12" ht="15.6" x14ac:dyDescent="0.3">
      <c r="A6" s="28" t="str">
        <v xml:space="preserve"> Arvin - Bank of America</v>
      </c>
      <c r="B6" s="29" t="str">
        <v>CA</v>
      </c>
      <c r="C6" s="24">
        <v>89.6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70" t="s">
        <v>22</v>
      </c>
      <c r="H6" s="15" t="str">
        <f t="shared" si="1"/>
        <v/>
      </c>
      <c r="I6" s="16" t="str">
        <f t="shared" si="2"/>
        <v/>
      </c>
      <c r="J6" s="41"/>
      <c r="K6" s="41"/>
      <c r="L6" s="59"/>
    </row>
    <row r="7" spans="1:12" ht="15.6" x14ac:dyDescent="0.3">
      <c r="A7" s="30" t="str">
        <v xml:space="preserve"> Bell - Bank of America</v>
      </c>
      <c r="B7" s="31" t="str">
        <v>CA</v>
      </c>
      <c r="C7" s="11">
        <v>2536.1999999999998</v>
      </c>
      <c r="D7" s="18" t="s">
        <v>22</v>
      </c>
      <c r="E7" s="18" t="str">
        <f t="shared" si="0"/>
        <v/>
      </c>
      <c r="F7" s="19" t="str">
        <f t="shared" si="3"/>
        <v/>
      </c>
      <c r="G7" s="71" t="s">
        <v>22</v>
      </c>
      <c r="H7" s="20" t="str">
        <f t="shared" si="1"/>
        <v/>
      </c>
      <c r="I7" s="19" t="str">
        <f t="shared" si="2"/>
        <v/>
      </c>
      <c r="J7" s="42"/>
      <c r="K7" s="43"/>
      <c r="L7" s="59"/>
    </row>
    <row r="8" spans="1:12" ht="15.6" x14ac:dyDescent="0.3">
      <c r="A8" s="28" t="str">
        <v xml:space="preserve"> Chula Vista - Bank of America</v>
      </c>
      <c r="B8" s="29" t="str">
        <v>CA</v>
      </c>
      <c r="C8" s="24">
        <v>1426.9</v>
      </c>
      <c r="D8" s="13" t="s">
        <v>22</v>
      </c>
      <c r="E8" s="13" t="str">
        <f t="shared" si="0"/>
        <v/>
      </c>
      <c r="F8" s="14" t="str">
        <f t="shared" si="3"/>
        <v/>
      </c>
      <c r="G8" s="70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59"/>
    </row>
    <row r="9" spans="1:12" ht="15.6" x14ac:dyDescent="0.3">
      <c r="A9" s="30" t="str">
        <v xml:space="preserve"> Cupertino - Bank of America</v>
      </c>
      <c r="B9" s="31" t="str">
        <v>CA</v>
      </c>
      <c r="C9" s="11">
        <v>2190.9</v>
      </c>
      <c r="D9" s="18" t="s">
        <v>22</v>
      </c>
      <c r="E9" s="18" t="str">
        <f t="shared" si="0"/>
        <v/>
      </c>
      <c r="F9" s="19" t="str">
        <f t="shared" si="3"/>
        <v/>
      </c>
      <c r="G9" s="71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59"/>
    </row>
    <row r="10" spans="1:12" ht="201.6" x14ac:dyDescent="0.25">
      <c r="A10" s="28" t="str">
        <v xml:space="preserve"> Diamond Bar - Bank of America</v>
      </c>
      <c r="B10" s="29" t="str">
        <v>CA</v>
      </c>
      <c r="C10" s="24">
        <v>2886.7</v>
      </c>
      <c r="D10" s="13" t="s">
        <v>22</v>
      </c>
      <c r="E10" s="13" t="str">
        <f t="shared" si="0"/>
        <v/>
      </c>
      <c r="F10" s="14" t="str">
        <f t="shared" si="3"/>
        <v/>
      </c>
      <c r="G10" s="63" t="s">
        <v>22</v>
      </c>
      <c r="H10" s="15" t="str">
        <f t="shared" si="1"/>
        <v/>
      </c>
      <c r="I10" s="16" t="str">
        <f t="shared" si="2"/>
        <v/>
      </c>
      <c r="J10" s="41" t="s">
        <v>74</v>
      </c>
      <c r="K10" s="65" t="s">
        <v>75</v>
      </c>
      <c r="L10" s="59"/>
    </row>
    <row r="11" spans="1:12" ht="15.6" x14ac:dyDescent="0.3">
      <c r="A11" s="30" t="str">
        <v xml:space="preserve"> El Centro - Bank of America</v>
      </c>
      <c r="B11" s="31" t="str">
        <v>CA</v>
      </c>
      <c r="C11" s="11">
        <v>3171.8</v>
      </c>
      <c r="D11" s="18" t="s">
        <v>22</v>
      </c>
      <c r="E11" s="18" t="str">
        <f t="shared" si="0"/>
        <v/>
      </c>
      <c r="F11" s="19" t="str">
        <f t="shared" si="3"/>
        <v/>
      </c>
      <c r="G11" s="71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59"/>
    </row>
    <row r="12" spans="1:12" ht="15.6" x14ac:dyDescent="0.3">
      <c r="A12" s="28" t="str">
        <v xml:space="preserve"> Moreno Valley - Bank of America</v>
      </c>
      <c r="B12" s="29" t="str">
        <v>CA</v>
      </c>
      <c r="C12" s="24">
        <v>4841</v>
      </c>
      <c r="D12" s="13" t="s">
        <v>22</v>
      </c>
      <c r="E12" s="13" t="str">
        <f t="shared" si="0"/>
        <v/>
      </c>
      <c r="F12" s="14" t="str">
        <f t="shared" si="3"/>
        <v/>
      </c>
      <c r="G12" s="70" t="s">
        <v>22</v>
      </c>
      <c r="H12" s="15" t="str">
        <f t="shared" si="1"/>
        <v/>
      </c>
      <c r="I12" s="16" t="str">
        <f t="shared" si="2"/>
        <v/>
      </c>
      <c r="J12" s="41"/>
      <c r="K12" s="41"/>
      <c r="L12" s="59"/>
    </row>
    <row r="13" spans="1:12" ht="15.6" x14ac:dyDescent="0.3">
      <c r="A13" s="30" t="str">
        <v xml:space="preserve"> Redlands - Bank of America</v>
      </c>
      <c r="B13" s="31" t="str">
        <v>CA</v>
      </c>
      <c r="C13" s="11"/>
      <c r="D13" s="18" t="s">
        <v>22</v>
      </c>
      <c r="E13" s="18" t="str">
        <f t="shared" si="0"/>
        <v/>
      </c>
      <c r="F13" s="19" t="str">
        <f t="shared" si="3"/>
        <v/>
      </c>
      <c r="G13" s="71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59"/>
    </row>
    <row r="14" spans="1:12" ht="15.6" x14ac:dyDescent="0.3">
      <c r="A14" s="28" t="str">
        <v xml:space="preserve"> Roseville - Bank of America</v>
      </c>
      <c r="B14" s="29" t="str">
        <v>CA</v>
      </c>
      <c r="C14" s="24">
        <v>6982.8</v>
      </c>
      <c r="D14" s="13" t="s">
        <v>22</v>
      </c>
      <c r="E14" s="13" t="str">
        <f t="shared" si="0"/>
        <v/>
      </c>
      <c r="F14" s="14" t="str">
        <f t="shared" si="3"/>
        <v/>
      </c>
      <c r="G14" s="70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59"/>
    </row>
    <row r="15" spans="1:12" ht="15.6" x14ac:dyDescent="0.3">
      <c r="A15" s="30" t="str">
        <v xml:space="preserve"> San Bernardino - Bank of America</v>
      </c>
      <c r="B15" s="31" t="str">
        <v>CA</v>
      </c>
      <c r="C15" s="11">
        <v>111.9</v>
      </c>
      <c r="D15" s="18" t="s">
        <v>22</v>
      </c>
      <c r="E15" s="18" t="str">
        <f t="shared" si="0"/>
        <v/>
      </c>
      <c r="F15" s="19" t="str">
        <f t="shared" si="3"/>
        <v/>
      </c>
      <c r="G15" s="71" t="s">
        <v>22</v>
      </c>
      <c r="H15" s="20" t="str">
        <f t="shared" si="1"/>
        <v/>
      </c>
      <c r="I15" s="19" t="str">
        <f t="shared" si="2"/>
        <v/>
      </c>
      <c r="J15" s="42"/>
      <c r="K15" s="43"/>
      <c r="L15" s="59"/>
    </row>
    <row r="16" spans="1:12" ht="15.6" x14ac:dyDescent="0.3">
      <c r="A16" s="28" t="str">
        <v xml:space="preserve"> San Diego - Bank of America</v>
      </c>
      <c r="B16" s="29" t="str">
        <v>CA</v>
      </c>
      <c r="C16" s="24">
        <v>62.5</v>
      </c>
      <c r="D16" s="13" t="s">
        <v>22</v>
      </c>
      <c r="E16" s="13" t="str">
        <f t="shared" si="0"/>
        <v/>
      </c>
      <c r="F16" s="14" t="str">
        <f t="shared" si="3"/>
        <v/>
      </c>
      <c r="G16" s="70" t="s">
        <v>22</v>
      </c>
      <c r="H16" s="15" t="str">
        <f t="shared" si="1"/>
        <v/>
      </c>
      <c r="I16" s="16" t="str">
        <f t="shared" si="2"/>
        <v/>
      </c>
      <c r="J16" s="41"/>
      <c r="K16" s="41"/>
      <c r="L16" s="59"/>
    </row>
    <row r="17" spans="1:12" ht="15.6" x14ac:dyDescent="0.3">
      <c r="A17" s="30" t="str">
        <v xml:space="preserve"> Stockton - Bank of America</v>
      </c>
      <c r="B17" s="31" t="str">
        <v>CA</v>
      </c>
      <c r="C17" s="11">
        <v>1974.5</v>
      </c>
      <c r="D17" s="18" t="s">
        <v>22</v>
      </c>
      <c r="E17" s="18" t="str">
        <f t="shared" si="0"/>
        <v/>
      </c>
      <c r="F17" s="19" t="str">
        <f t="shared" si="3"/>
        <v/>
      </c>
      <c r="G17" s="71" t="s">
        <v>22</v>
      </c>
      <c r="H17" s="20" t="str">
        <f t="shared" si="1"/>
        <v/>
      </c>
      <c r="I17" s="19" t="str">
        <f t="shared" si="2"/>
        <v/>
      </c>
      <c r="J17" s="42"/>
      <c r="K17" s="43"/>
      <c r="L17" s="59"/>
    </row>
    <row r="18" spans="1:12" ht="34.5" customHeight="1" x14ac:dyDescent="0.3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70" t="s">
        <v>22</v>
      </c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 t="s">
        <v>76</v>
      </c>
      <c r="K18" s="65" t="s">
        <v>77</v>
      </c>
      <c r="L18" s="59"/>
    </row>
    <row r="19" spans="1:12" ht="15.6" x14ac:dyDescent="0.3">
      <c r="A19" s="30" t="str">
        <v xml:space="preserve"> Aurora - BA - Colfax Ave</v>
      </c>
      <c r="B19" s="31" t="str">
        <v>CO</v>
      </c>
      <c r="C19" s="11">
        <v>1222.2</v>
      </c>
      <c r="D19" s="18" t="s">
        <v>22</v>
      </c>
      <c r="E19" s="18" t="str">
        <f t="shared" si="4"/>
        <v/>
      </c>
      <c r="F19" s="19" t="str">
        <f t="shared" si="5"/>
        <v/>
      </c>
      <c r="G19" s="71" t="s">
        <v>22</v>
      </c>
      <c r="H19" s="20" t="str">
        <f t="shared" si="6"/>
        <v/>
      </c>
      <c r="I19" s="19" t="str">
        <f t="shared" si="7"/>
        <v/>
      </c>
      <c r="J19" s="42"/>
      <c r="K19" s="43"/>
      <c r="L19" s="59"/>
    </row>
    <row r="20" spans="1:12" ht="15.6" x14ac:dyDescent="0.3">
      <c r="A20" s="28" t="str">
        <v xml:space="preserve"> Aurora - BA - Parker Rd</v>
      </c>
      <c r="B20" s="29" t="str">
        <v>CO</v>
      </c>
      <c r="C20" s="24">
        <v>3514.4</v>
      </c>
      <c r="D20" s="13" t="s">
        <v>22</v>
      </c>
      <c r="E20" s="13" t="str">
        <f t="shared" si="4"/>
        <v/>
      </c>
      <c r="F20" s="14" t="str">
        <f t="shared" si="5"/>
        <v/>
      </c>
      <c r="G20" s="70" t="s">
        <v>22</v>
      </c>
      <c r="H20" s="15" t="str">
        <f t="shared" si="6"/>
        <v/>
      </c>
      <c r="I20" s="16" t="str">
        <f t="shared" si="7"/>
        <v/>
      </c>
      <c r="J20" s="57"/>
      <c r="K20" s="41"/>
      <c r="L20" s="59"/>
    </row>
    <row r="21" spans="1:12" ht="28.8" x14ac:dyDescent="0.3">
      <c r="A21" s="30" t="str">
        <v xml:space="preserve"> Broomfield - Bank of America</v>
      </c>
      <c r="B21" s="31" t="str">
        <v>CO</v>
      </c>
      <c r="C21" s="11">
        <v>1547.5</v>
      </c>
      <c r="D21" s="18" t="s">
        <v>22</v>
      </c>
      <c r="E21" s="18" t="str">
        <f t="shared" si="4"/>
        <v/>
      </c>
      <c r="F21" s="19" t="str">
        <f t="shared" si="5"/>
        <v/>
      </c>
      <c r="G21" s="71" t="s">
        <v>22</v>
      </c>
      <c r="H21" s="20" t="str">
        <f t="shared" si="6"/>
        <v/>
      </c>
      <c r="I21" s="19" t="str">
        <f t="shared" si="7"/>
        <v/>
      </c>
      <c r="J21" s="42" t="s">
        <v>68</v>
      </c>
      <c r="K21" s="68" t="s">
        <v>78</v>
      </c>
      <c r="L21" s="59"/>
    </row>
    <row r="22" spans="1:12" ht="15.6" x14ac:dyDescent="0.3">
      <c r="A22" s="28" t="str">
        <v xml:space="preserve"> Colorado Springs - Bank of America</v>
      </c>
      <c r="B22" s="29" t="str">
        <v>CO</v>
      </c>
      <c r="C22" s="24">
        <v>2757.6</v>
      </c>
      <c r="D22" s="13" t="s">
        <v>22</v>
      </c>
      <c r="E22" s="13" t="str">
        <f t="shared" si="4"/>
        <v/>
      </c>
      <c r="F22" s="14" t="str">
        <f t="shared" si="5"/>
        <v/>
      </c>
      <c r="G22" s="70" t="s">
        <v>22</v>
      </c>
      <c r="H22" s="15" t="str">
        <f t="shared" si="6"/>
        <v/>
      </c>
      <c r="I22" s="16" t="str">
        <f t="shared" si="7"/>
        <v/>
      </c>
      <c r="J22" s="41"/>
      <c r="K22" s="41"/>
      <c r="L22" s="59"/>
    </row>
    <row r="23" spans="1:12" ht="15.6" x14ac:dyDescent="0.3">
      <c r="A23" s="30" t="str">
        <v xml:space="preserve"> Denver - BA - 49th Ave</v>
      </c>
      <c r="B23" s="31" t="str">
        <v>CO</v>
      </c>
      <c r="C23" s="11">
        <v>1212.4000000000001</v>
      </c>
      <c r="D23" s="18" t="s">
        <v>22</v>
      </c>
      <c r="E23" s="18" t="str">
        <f t="shared" si="4"/>
        <v/>
      </c>
      <c r="F23" s="19" t="str">
        <f t="shared" si="5"/>
        <v/>
      </c>
      <c r="G23" s="71" t="s">
        <v>22</v>
      </c>
      <c r="H23" s="20" t="str">
        <f t="shared" si="6"/>
        <v/>
      </c>
      <c r="I23" s="19" t="str">
        <f t="shared" si="7"/>
        <v/>
      </c>
      <c r="J23" s="42"/>
      <c r="K23" s="43"/>
      <c r="L23" s="59"/>
    </row>
    <row r="24" spans="1:12" ht="15.6" x14ac:dyDescent="0.3">
      <c r="A24" s="28" t="str">
        <v xml:space="preserve"> Denver - BA Wadsworth Blvd</v>
      </c>
      <c r="B24" s="29" t="str">
        <v>CO</v>
      </c>
      <c r="C24" s="24">
        <v>2345.5</v>
      </c>
      <c r="D24" s="13" t="s">
        <v>22</v>
      </c>
      <c r="E24" s="13" t="str">
        <f t="shared" si="4"/>
        <v/>
      </c>
      <c r="F24" s="14" t="str">
        <f t="shared" si="5"/>
        <v/>
      </c>
      <c r="G24" s="70" t="s">
        <v>22</v>
      </c>
      <c r="H24" s="15" t="str">
        <f t="shared" si="6"/>
        <v/>
      </c>
      <c r="I24" s="16" t="str">
        <f t="shared" si="7"/>
        <v/>
      </c>
      <c r="J24" s="41"/>
      <c r="K24" s="41"/>
      <c r="L24" s="59"/>
    </row>
    <row r="25" spans="1:12" ht="15.6" x14ac:dyDescent="0.3">
      <c r="A25" s="30" t="str">
        <v xml:space="preserve"> Fort Collins - Bank of America</v>
      </c>
      <c r="B25" s="31" t="str">
        <v>CO</v>
      </c>
      <c r="C25" s="11">
        <v>1644.4</v>
      </c>
      <c r="D25" s="18" t="s">
        <v>22</v>
      </c>
      <c r="E25" s="18" t="str">
        <f t="shared" si="4"/>
        <v/>
      </c>
      <c r="F25" s="19" t="str">
        <f t="shared" si="5"/>
        <v/>
      </c>
      <c r="G25" s="71" t="s">
        <v>22</v>
      </c>
      <c r="H25" s="20" t="str">
        <f t="shared" si="6"/>
        <v/>
      </c>
      <c r="I25" s="19" t="str">
        <f t="shared" si="7"/>
        <v/>
      </c>
      <c r="J25" s="42"/>
      <c r="K25" s="43"/>
      <c r="L25" s="59"/>
    </row>
    <row r="26" spans="1:12" ht="15.6" x14ac:dyDescent="0.3">
      <c r="A26" s="28" t="str">
        <v xml:space="preserve"> Lafayette - Bank of America</v>
      </c>
      <c r="B26" s="29" t="str">
        <v>CO</v>
      </c>
      <c r="C26" s="24">
        <v>2243</v>
      </c>
      <c r="D26" s="13" t="s">
        <v>22</v>
      </c>
      <c r="E26" s="13" t="str">
        <f t="shared" si="4"/>
        <v/>
      </c>
      <c r="F26" s="14" t="str">
        <f t="shared" si="5"/>
        <v/>
      </c>
      <c r="G26" s="70" t="s">
        <v>22</v>
      </c>
      <c r="H26" s="15" t="str">
        <f t="shared" si="6"/>
        <v/>
      </c>
      <c r="I26" s="16" t="str">
        <f t="shared" si="7"/>
        <v/>
      </c>
      <c r="J26" s="41"/>
      <c r="K26" s="41"/>
      <c r="L26" s="59"/>
    </row>
    <row r="27" spans="1:12" ht="15.6" x14ac:dyDescent="0.3">
      <c r="A27" s="30" t="str">
        <v xml:space="preserve"> Lakewood - Bank of America</v>
      </c>
      <c r="B27" s="31" t="str">
        <v>CO</v>
      </c>
      <c r="C27" s="11">
        <v>1280.4000000000001</v>
      </c>
      <c r="D27" s="18" t="s">
        <v>22</v>
      </c>
      <c r="E27" s="18" t="str">
        <f t="shared" si="4"/>
        <v/>
      </c>
      <c r="F27" s="19" t="str">
        <f t="shared" si="5"/>
        <v/>
      </c>
      <c r="G27" s="71" t="s">
        <v>22</v>
      </c>
      <c r="H27" s="20" t="str">
        <f t="shared" si="6"/>
        <v/>
      </c>
      <c r="I27" s="19" t="str">
        <f t="shared" si="7"/>
        <v/>
      </c>
      <c r="J27" s="42"/>
      <c r="K27" s="43"/>
      <c r="L27" s="59"/>
    </row>
    <row r="28" spans="1:12" ht="15.6" x14ac:dyDescent="0.3">
      <c r="A28" s="28" t="str">
        <v xml:space="preserve"> Longmont - Bank of America</v>
      </c>
      <c r="B28" s="29" t="str">
        <v>CO</v>
      </c>
      <c r="C28" s="24">
        <v>1194.3</v>
      </c>
      <c r="D28" s="13" t="s">
        <v>22</v>
      </c>
      <c r="E28" s="13" t="str">
        <f t="shared" si="4"/>
        <v/>
      </c>
      <c r="F28" s="14" t="str">
        <f t="shared" si="5"/>
        <v/>
      </c>
      <c r="G28" s="70" t="s">
        <v>22</v>
      </c>
      <c r="H28" s="15" t="str">
        <f t="shared" si="6"/>
        <v/>
      </c>
      <c r="I28" s="16" t="str">
        <f t="shared" si="7"/>
        <v/>
      </c>
      <c r="J28" s="41"/>
      <c r="K28" s="41"/>
      <c r="L28" s="59"/>
    </row>
    <row r="29" spans="1:12" ht="15.6" x14ac:dyDescent="0.3">
      <c r="A29" s="30" t="str">
        <v xml:space="preserve"> Thornton - Bank of America</v>
      </c>
      <c r="B29" s="31" t="str">
        <v>CO</v>
      </c>
      <c r="C29" s="11">
        <v>1347.7</v>
      </c>
      <c r="D29" s="18" t="s">
        <v>22</v>
      </c>
      <c r="E29" s="18" t="str">
        <f t="shared" si="4"/>
        <v/>
      </c>
      <c r="F29" s="19" t="str">
        <f t="shared" si="5"/>
        <v/>
      </c>
      <c r="G29" s="71" t="s">
        <v>22</v>
      </c>
      <c r="H29" s="20" t="str">
        <f t="shared" si="6"/>
        <v/>
      </c>
      <c r="I29" s="19" t="str">
        <f t="shared" si="7"/>
        <v/>
      </c>
      <c r="J29" s="42"/>
      <c r="K29" s="56"/>
      <c r="L29" s="59"/>
    </row>
    <row r="30" spans="1:12" ht="15.6" x14ac:dyDescent="0.3">
      <c r="A30" s="28" t="str">
        <v xml:space="preserve"> Calumet City - Bank of America</v>
      </c>
      <c r="B30" s="29" t="str">
        <v>IL</v>
      </c>
      <c r="C30" s="24">
        <v>2184.3000000000002</v>
      </c>
      <c r="D30" s="13" t="s">
        <v>22</v>
      </c>
      <c r="E30" s="13" t="str">
        <f t="shared" si="4"/>
        <v/>
      </c>
      <c r="F30" s="14" t="str">
        <f t="shared" si="5"/>
        <v/>
      </c>
      <c r="G30" s="70" t="s">
        <v>22</v>
      </c>
      <c r="H30" s="15" t="str">
        <f t="shared" si="6"/>
        <v/>
      </c>
      <c r="I30" s="16" t="str">
        <f t="shared" si="7"/>
        <v/>
      </c>
      <c r="J30" s="41"/>
      <c r="K30" s="41"/>
      <c r="L30" s="59"/>
    </row>
    <row r="31" spans="1:12" ht="15.6" x14ac:dyDescent="0.3">
      <c r="A31" s="30" t="str">
        <v xml:space="preserve"> Downers Grove - Bank of America</v>
      </c>
      <c r="B31" s="31" t="str">
        <v>IL</v>
      </c>
      <c r="C31" s="11">
        <v>2439.1</v>
      </c>
      <c r="D31" s="18" t="s">
        <v>22</v>
      </c>
      <c r="E31" s="18" t="str">
        <f t="shared" si="4"/>
        <v/>
      </c>
      <c r="F31" s="19" t="str">
        <f t="shared" si="5"/>
        <v/>
      </c>
      <c r="G31" s="71" t="s">
        <v>22</v>
      </c>
      <c r="H31" s="20" t="str">
        <f t="shared" si="6"/>
        <v/>
      </c>
      <c r="I31" s="19" t="str">
        <f t="shared" si="7"/>
        <v/>
      </c>
      <c r="J31" s="42"/>
      <c r="K31" s="43"/>
      <c r="L31" s="59"/>
    </row>
    <row r="32" spans="1:12" ht="28.8" x14ac:dyDescent="0.3">
      <c r="A32" s="28" t="str">
        <v xml:space="preserve"> Bloomington - Bank of America</v>
      </c>
      <c r="B32" s="29" t="str">
        <v>MN</v>
      </c>
      <c r="C32" s="24">
        <v>5105.3</v>
      </c>
      <c r="D32" s="13" t="s">
        <v>22</v>
      </c>
      <c r="E32" s="13" t="str">
        <f t="shared" si="4"/>
        <v/>
      </c>
      <c r="F32" s="14" t="str">
        <f t="shared" si="5"/>
        <v/>
      </c>
      <c r="G32" s="70" t="s">
        <v>22</v>
      </c>
      <c r="H32" s="15" t="str">
        <f t="shared" si="6"/>
        <v/>
      </c>
      <c r="I32" s="16" t="str">
        <f t="shared" si="7"/>
        <v/>
      </c>
      <c r="J32" s="41" t="s">
        <v>79</v>
      </c>
      <c r="K32" s="65" t="s">
        <v>80</v>
      </c>
      <c r="L32" s="59"/>
    </row>
    <row r="33" spans="1:12" ht="15.6" x14ac:dyDescent="0.3">
      <c r="A33" s="30" t="str">
        <v xml:space="preserve"> Clayton - Bank of America</v>
      </c>
      <c r="B33" s="31" t="str">
        <v>MO</v>
      </c>
      <c r="C33" s="11">
        <v>1970.4</v>
      </c>
      <c r="D33" s="18" t="s">
        <v>22</v>
      </c>
      <c r="E33" s="18" t="str">
        <f t="shared" si="4"/>
        <v/>
      </c>
      <c r="F33" s="19" t="str">
        <f t="shared" si="5"/>
        <v/>
      </c>
      <c r="G33" s="71" t="s">
        <v>22</v>
      </c>
      <c r="H33" s="20" t="str">
        <f t="shared" si="6"/>
        <v/>
      </c>
      <c r="I33" s="19" t="str">
        <f t="shared" si="7"/>
        <v/>
      </c>
      <c r="J33" s="42"/>
      <c r="K33" s="43"/>
      <c r="L33" s="59"/>
    </row>
    <row r="34" spans="1:12" ht="28.8" x14ac:dyDescent="0.3">
      <c r="A34" s="28" t="str">
        <v xml:space="preserve"> Manchester - Bank of America</v>
      </c>
      <c r="B34" s="29" t="str">
        <v>MO</v>
      </c>
      <c r="C34" s="24">
        <v>1474</v>
      </c>
      <c r="D34" s="13" t="s">
        <v>22</v>
      </c>
      <c r="E34" s="13" t="str">
        <f t="shared" si="4"/>
        <v/>
      </c>
      <c r="F34" s="14" t="str">
        <f t="shared" si="5"/>
        <v/>
      </c>
      <c r="G34" s="70" t="s">
        <v>22</v>
      </c>
      <c r="H34" s="15" t="str">
        <f t="shared" si="6"/>
        <v/>
      </c>
      <c r="I34" s="16" t="str">
        <f t="shared" si="7"/>
        <v/>
      </c>
      <c r="J34" s="41" t="s">
        <v>60</v>
      </c>
      <c r="K34" s="65" t="s">
        <v>69</v>
      </c>
      <c r="L34" s="59"/>
    </row>
    <row r="35" spans="1:12" ht="15.6" x14ac:dyDescent="0.3">
      <c r="A35" s="30" t="str">
        <v xml:space="preserve"> Las Vegas - BA - Eastern Ave</v>
      </c>
      <c r="B35" s="31" t="str">
        <v>NV</v>
      </c>
      <c r="C35" s="11">
        <v>70.8</v>
      </c>
      <c r="D35" s="18" t="s">
        <v>22</v>
      </c>
      <c r="E35" s="18" t="str">
        <f t="shared" si="4"/>
        <v/>
      </c>
      <c r="F35" s="19" t="str">
        <f t="shared" si="5"/>
        <v/>
      </c>
      <c r="G35" s="71" t="s">
        <v>22</v>
      </c>
      <c r="H35" s="20" t="str">
        <f t="shared" si="6"/>
        <v/>
      </c>
      <c r="I35" s="19" t="str">
        <f t="shared" si="7"/>
        <v/>
      </c>
      <c r="J35" s="42"/>
      <c r="K35" s="43"/>
      <c r="L35" s="59"/>
    </row>
    <row r="36" spans="1:12" ht="15.6" x14ac:dyDescent="0.3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4"/>
        <v/>
      </c>
      <c r="F36" s="14" t="str">
        <f t="shared" si="5"/>
        <v/>
      </c>
      <c r="G36" s="70" t="s">
        <v>22</v>
      </c>
      <c r="H36" s="15" t="str">
        <f t="shared" si="6"/>
        <v/>
      </c>
      <c r="I36" s="16" t="str">
        <f t="shared" si="7"/>
        <v/>
      </c>
      <c r="J36" s="41"/>
      <c r="K36" s="41"/>
      <c r="L36" s="59"/>
    </row>
    <row r="37" spans="1:12" ht="15.6" x14ac:dyDescent="0.3">
      <c r="A37" s="30" t="str">
        <v xml:space="preserve"> Riverton - Bank of America</v>
      </c>
      <c r="B37" s="31" t="str">
        <v>UT</v>
      </c>
      <c r="C37" s="11">
        <v>2575.5</v>
      </c>
      <c r="D37" s="18" t="s">
        <v>22</v>
      </c>
      <c r="E37" s="18" t="str">
        <f t="shared" si="4"/>
        <v/>
      </c>
      <c r="F37" s="19" t="str">
        <f t="shared" si="5"/>
        <v/>
      </c>
      <c r="G37" s="71" t="s">
        <v>22</v>
      </c>
      <c r="H37" s="20" t="str">
        <f t="shared" si="6"/>
        <v/>
      </c>
      <c r="I37" s="19" t="str">
        <f t="shared" si="7"/>
        <v/>
      </c>
      <c r="J37" s="42"/>
      <c r="K37" s="43"/>
      <c r="L37" s="59"/>
    </row>
    <row r="38" spans="1:12" ht="15.6" x14ac:dyDescent="0.3">
      <c r="A38" s="28" t="str">
        <v xml:space="preserve"> Salt Lake City - Bank of America</v>
      </c>
      <c r="B38" s="29" t="str">
        <v>UT</v>
      </c>
      <c r="C38" s="24">
        <v>1812.1</v>
      </c>
      <c r="D38" s="13" t="s">
        <v>22</v>
      </c>
      <c r="E38" s="13" t="str">
        <f t="shared" si="4"/>
        <v/>
      </c>
      <c r="F38" s="14" t="str">
        <f t="shared" si="5"/>
        <v/>
      </c>
      <c r="G38" s="70" t="s">
        <v>22</v>
      </c>
      <c r="H38" s="15" t="str">
        <f t="shared" si="6"/>
        <v/>
      </c>
      <c r="I38" s="16" t="str">
        <f t="shared" si="7"/>
        <v/>
      </c>
      <c r="J38" s="41"/>
      <c r="K38" s="41"/>
      <c r="L38" s="59"/>
    </row>
    <row r="39" spans="1:12" ht="14.4" x14ac:dyDescent="0.3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2" ht="14.4" x14ac:dyDescent="0.3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2" ht="14.4" x14ac:dyDescent="0.3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2" ht="14.4" x14ac:dyDescent="0.3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2" ht="14.4" x14ac:dyDescent="0.3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2" ht="14.4" x14ac:dyDescent="0.3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2" ht="14.4" x14ac:dyDescent="0.3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2" ht="14.4" x14ac:dyDescent="0.3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2" ht="14.4" x14ac:dyDescent="0.3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2" ht="14.4" x14ac:dyDescent="0.3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" x14ac:dyDescent="0.3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" x14ac:dyDescent="0.3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" x14ac:dyDescent="0.3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" x14ac:dyDescent="0.3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" x14ac:dyDescent="0.3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" x14ac:dyDescent="0.3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" x14ac:dyDescent="0.3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" x14ac:dyDescent="0.3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" x14ac:dyDescent="0.3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" x14ac:dyDescent="0.3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" x14ac:dyDescent="0.3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" x14ac:dyDescent="0.3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" x14ac:dyDescent="0.3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" x14ac:dyDescent="0.3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" x14ac:dyDescent="0.3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" x14ac:dyDescent="0.3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" x14ac:dyDescent="0.3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" x14ac:dyDescent="0.3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" x14ac:dyDescent="0.3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" x14ac:dyDescent="0.3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" x14ac:dyDescent="0.3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" x14ac:dyDescent="0.3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" x14ac:dyDescent="0.3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" x14ac:dyDescent="0.3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" x14ac:dyDescent="0.3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" x14ac:dyDescent="0.3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" x14ac:dyDescent="0.3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" x14ac:dyDescent="0.3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" x14ac:dyDescent="0.3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" x14ac:dyDescent="0.3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" x14ac:dyDescent="0.3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" x14ac:dyDescent="0.3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" x14ac:dyDescent="0.3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" x14ac:dyDescent="0.3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" x14ac:dyDescent="0.3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" x14ac:dyDescent="0.3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" x14ac:dyDescent="0.3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" x14ac:dyDescent="0.3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" x14ac:dyDescent="0.3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" x14ac:dyDescent="0.3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" x14ac:dyDescent="0.3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" x14ac:dyDescent="0.3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" x14ac:dyDescent="0.3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" x14ac:dyDescent="0.3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" x14ac:dyDescent="0.3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" x14ac:dyDescent="0.3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" x14ac:dyDescent="0.3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" x14ac:dyDescent="0.3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" x14ac:dyDescent="0.3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" x14ac:dyDescent="0.3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" x14ac:dyDescent="0.3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" x14ac:dyDescent="0.3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" x14ac:dyDescent="0.3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" x14ac:dyDescent="0.3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" x14ac:dyDescent="0.3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" x14ac:dyDescent="0.3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" x14ac:dyDescent="0.3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" x14ac:dyDescent="0.3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" x14ac:dyDescent="0.3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" x14ac:dyDescent="0.3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" x14ac:dyDescent="0.3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" x14ac:dyDescent="0.3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" x14ac:dyDescent="0.3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" x14ac:dyDescent="0.3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" x14ac:dyDescent="0.3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" x14ac:dyDescent="0.3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" x14ac:dyDescent="0.3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" x14ac:dyDescent="0.3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" x14ac:dyDescent="0.3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" x14ac:dyDescent="0.3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" x14ac:dyDescent="0.3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" x14ac:dyDescent="0.3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" x14ac:dyDescent="0.3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" x14ac:dyDescent="0.3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" x14ac:dyDescent="0.3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" x14ac:dyDescent="0.3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" x14ac:dyDescent="0.3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" x14ac:dyDescent="0.3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" x14ac:dyDescent="0.3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" x14ac:dyDescent="0.3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" x14ac:dyDescent="0.3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" x14ac:dyDescent="0.3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" x14ac:dyDescent="0.3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" x14ac:dyDescent="0.3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" x14ac:dyDescent="0.3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" x14ac:dyDescent="0.3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" x14ac:dyDescent="0.3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" x14ac:dyDescent="0.3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" x14ac:dyDescent="0.3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" x14ac:dyDescent="0.3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" x14ac:dyDescent="0.3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" x14ac:dyDescent="0.3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" x14ac:dyDescent="0.3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" x14ac:dyDescent="0.3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" x14ac:dyDescent="0.3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" x14ac:dyDescent="0.3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" x14ac:dyDescent="0.3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" x14ac:dyDescent="0.3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" x14ac:dyDescent="0.3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" x14ac:dyDescent="0.3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" x14ac:dyDescent="0.3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" x14ac:dyDescent="0.3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" x14ac:dyDescent="0.3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" x14ac:dyDescent="0.3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" x14ac:dyDescent="0.3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" x14ac:dyDescent="0.3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" x14ac:dyDescent="0.3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" x14ac:dyDescent="0.3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" x14ac:dyDescent="0.3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" x14ac:dyDescent="0.3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" x14ac:dyDescent="0.3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" x14ac:dyDescent="0.3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" x14ac:dyDescent="0.3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" x14ac:dyDescent="0.3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" x14ac:dyDescent="0.3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" x14ac:dyDescent="0.3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" x14ac:dyDescent="0.3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" x14ac:dyDescent="0.3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" x14ac:dyDescent="0.3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" x14ac:dyDescent="0.3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" x14ac:dyDescent="0.3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" x14ac:dyDescent="0.3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" x14ac:dyDescent="0.3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" x14ac:dyDescent="0.3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" x14ac:dyDescent="0.3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" x14ac:dyDescent="0.3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" x14ac:dyDescent="0.3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" x14ac:dyDescent="0.3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" x14ac:dyDescent="0.3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" x14ac:dyDescent="0.3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" x14ac:dyDescent="0.3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" x14ac:dyDescent="0.3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" x14ac:dyDescent="0.3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" x14ac:dyDescent="0.3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" x14ac:dyDescent="0.3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" x14ac:dyDescent="0.3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" x14ac:dyDescent="0.3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" x14ac:dyDescent="0.3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" x14ac:dyDescent="0.3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" x14ac:dyDescent="0.3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" x14ac:dyDescent="0.3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" x14ac:dyDescent="0.3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" x14ac:dyDescent="0.3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" x14ac:dyDescent="0.3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" x14ac:dyDescent="0.3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" x14ac:dyDescent="0.3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" x14ac:dyDescent="0.3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" x14ac:dyDescent="0.3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" x14ac:dyDescent="0.3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" x14ac:dyDescent="0.3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" x14ac:dyDescent="0.3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" x14ac:dyDescent="0.3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" x14ac:dyDescent="0.3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" x14ac:dyDescent="0.3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" x14ac:dyDescent="0.3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" x14ac:dyDescent="0.3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" x14ac:dyDescent="0.3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" x14ac:dyDescent="0.3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" x14ac:dyDescent="0.3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" x14ac:dyDescent="0.3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" x14ac:dyDescent="0.3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" x14ac:dyDescent="0.3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" x14ac:dyDescent="0.3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" x14ac:dyDescent="0.3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" x14ac:dyDescent="0.3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" x14ac:dyDescent="0.3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" x14ac:dyDescent="0.3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" x14ac:dyDescent="0.3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" x14ac:dyDescent="0.3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" x14ac:dyDescent="0.3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" x14ac:dyDescent="0.3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" x14ac:dyDescent="0.3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" x14ac:dyDescent="0.3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" x14ac:dyDescent="0.3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" x14ac:dyDescent="0.3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" x14ac:dyDescent="0.3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" x14ac:dyDescent="0.3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" x14ac:dyDescent="0.3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" x14ac:dyDescent="0.3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" x14ac:dyDescent="0.3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" x14ac:dyDescent="0.3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" x14ac:dyDescent="0.3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" x14ac:dyDescent="0.3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" x14ac:dyDescent="0.3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" x14ac:dyDescent="0.3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" x14ac:dyDescent="0.3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" x14ac:dyDescent="0.3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" x14ac:dyDescent="0.3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" x14ac:dyDescent="0.3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" x14ac:dyDescent="0.3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" x14ac:dyDescent="0.3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" x14ac:dyDescent="0.3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" x14ac:dyDescent="0.3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" x14ac:dyDescent="0.3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" x14ac:dyDescent="0.3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" x14ac:dyDescent="0.3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" x14ac:dyDescent="0.3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" x14ac:dyDescent="0.3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" x14ac:dyDescent="0.3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" x14ac:dyDescent="0.3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" x14ac:dyDescent="0.3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" x14ac:dyDescent="0.3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" x14ac:dyDescent="0.3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" x14ac:dyDescent="0.3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" x14ac:dyDescent="0.3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" x14ac:dyDescent="0.3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" x14ac:dyDescent="0.3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" x14ac:dyDescent="0.3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" x14ac:dyDescent="0.3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" x14ac:dyDescent="0.3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" x14ac:dyDescent="0.3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" x14ac:dyDescent="0.3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" x14ac:dyDescent="0.3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" x14ac:dyDescent="0.3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" x14ac:dyDescent="0.3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" x14ac:dyDescent="0.3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" x14ac:dyDescent="0.3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" x14ac:dyDescent="0.3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" x14ac:dyDescent="0.3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" x14ac:dyDescent="0.3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" x14ac:dyDescent="0.3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" x14ac:dyDescent="0.3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" x14ac:dyDescent="0.3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" x14ac:dyDescent="0.3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" x14ac:dyDescent="0.3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" x14ac:dyDescent="0.3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" x14ac:dyDescent="0.3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" x14ac:dyDescent="0.3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" x14ac:dyDescent="0.3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" x14ac:dyDescent="0.3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" x14ac:dyDescent="0.3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" x14ac:dyDescent="0.3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" x14ac:dyDescent="0.3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" x14ac:dyDescent="0.3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" x14ac:dyDescent="0.3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" x14ac:dyDescent="0.3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" x14ac:dyDescent="0.3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" x14ac:dyDescent="0.3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" x14ac:dyDescent="0.3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" x14ac:dyDescent="0.3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" x14ac:dyDescent="0.3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" x14ac:dyDescent="0.3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" x14ac:dyDescent="0.3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" x14ac:dyDescent="0.3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" x14ac:dyDescent="0.3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" x14ac:dyDescent="0.3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" x14ac:dyDescent="0.3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" x14ac:dyDescent="0.3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" x14ac:dyDescent="0.3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" x14ac:dyDescent="0.3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" x14ac:dyDescent="0.3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" x14ac:dyDescent="0.3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" x14ac:dyDescent="0.3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" x14ac:dyDescent="0.3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" x14ac:dyDescent="0.3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" x14ac:dyDescent="0.3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" x14ac:dyDescent="0.3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" x14ac:dyDescent="0.3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" x14ac:dyDescent="0.3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" x14ac:dyDescent="0.3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" x14ac:dyDescent="0.3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" x14ac:dyDescent="0.3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" x14ac:dyDescent="0.3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" x14ac:dyDescent="0.3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" x14ac:dyDescent="0.3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" x14ac:dyDescent="0.3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" x14ac:dyDescent="0.3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" x14ac:dyDescent="0.3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" x14ac:dyDescent="0.3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" x14ac:dyDescent="0.3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" x14ac:dyDescent="0.3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" x14ac:dyDescent="0.3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" x14ac:dyDescent="0.3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" x14ac:dyDescent="0.3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" x14ac:dyDescent="0.3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" x14ac:dyDescent="0.3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" x14ac:dyDescent="0.3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" x14ac:dyDescent="0.3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" x14ac:dyDescent="0.3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" x14ac:dyDescent="0.3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" x14ac:dyDescent="0.3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" x14ac:dyDescent="0.3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" x14ac:dyDescent="0.3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" x14ac:dyDescent="0.3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" x14ac:dyDescent="0.3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" x14ac:dyDescent="0.3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" x14ac:dyDescent="0.3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" x14ac:dyDescent="0.3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" x14ac:dyDescent="0.3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" x14ac:dyDescent="0.3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" x14ac:dyDescent="0.3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" x14ac:dyDescent="0.3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">
    <cfRule type="cellIs" dxfId="33" priority="7" stopIfTrue="1" operator="lessThanOrEqual">
      <formula>-0.1</formula>
    </cfRule>
    <cfRule type="expression" dxfId="32" priority="8">
      <formula>AND(ISNUMBER(F2), F2&gt;=0.1)</formula>
    </cfRule>
  </conditionalFormatting>
  <conditionalFormatting sqref="F4:F98 I4:I98">
    <cfRule type="cellIs" dxfId="31" priority="5" stopIfTrue="1" operator="lessThanOrEqual">
      <formula>-0.1</formula>
    </cfRule>
    <cfRule type="expression" dxfId="30" priority="6">
      <formula>AND(ISNUMBER(F4), F4&gt;=0.1)</formula>
    </cfRule>
  </conditionalFormatting>
  <hyperlinks>
    <hyperlink ref="K10" r:id="rId1" display="https://us3.assetplanner.com/service_request?ID=091352" xr:uid="{6FFA147E-740F-4AD0-96B3-10E7EE30D9EB}"/>
    <hyperlink ref="K18" r:id="rId2" display="https://us3.assetplanner.com/service_request?ID=099807" xr:uid="{A3D3617B-903C-453E-8172-FA62B6F22E4F}"/>
    <hyperlink ref="K21" r:id="rId3" display="https://us3.assetplanner.com/service_request?ID=095596" xr:uid="{0A6D3707-05B1-4C3B-8813-7B10A799D119}"/>
    <hyperlink ref="K32" r:id="rId4" display="https://us3.assetplanner.com/service_request?ID=101279" xr:uid="{CA6B8755-1049-4435-AA96-4A63894F5902}"/>
    <hyperlink ref="K34" r:id="rId5" display="https://us3.assetplanner.com/service_request?ID=097762" xr:uid="{F2DE60CE-8341-4FB7-88AA-1194248CAEE4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M340"/>
  <sheetViews>
    <sheetView zoomScale="80" zoomScaleNormal="80" workbookViewId="0">
      <pane xSplit="2" ySplit="3" topLeftCell="C4" activePane="bottomRight" state="frozen"/>
      <selection pane="topRight" activeCell="P19" sqref="P19:P20"/>
      <selection pane="bottomLeft" activeCell="P19" sqref="P19:P20"/>
      <selection pane="bottomRight" activeCell="K4" sqref="K4"/>
    </sheetView>
  </sheetViews>
  <sheetFormatPr defaultRowHeight="13.8" x14ac:dyDescent="0.25"/>
  <cols>
    <col min="1" max="1" width="35.88671875" bestFit="1" customWidth="1"/>
    <col min="2" max="2" width="8.44140625" style="34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3" ht="19.5" customHeight="1" x14ac:dyDescent="0.25">
      <c r="A1" s="89" t="str" cm="1">
        <f t="array" ref="A1">portfolio</f>
        <v>Cushman &amp; Wakefield</v>
      </c>
      <c r="B1" s="89"/>
      <c r="C1" s="89"/>
      <c r="D1" s="90" t="s">
        <v>81</v>
      </c>
      <c r="E1" s="90"/>
      <c r="F1" s="90"/>
      <c r="G1" s="88" t="s">
        <v>82</v>
      </c>
      <c r="H1" s="88"/>
      <c r="I1" s="88"/>
      <c r="J1" s="4"/>
      <c r="K1" s="4"/>
    </row>
    <row r="2" spans="1:13" ht="19.5" customHeight="1" x14ac:dyDescent="0.25">
      <c r="A2" s="91" t="s">
        <v>2</v>
      </c>
      <c r="B2" s="91"/>
      <c r="C2" s="5">
        <f>SUM(C4:C98)</f>
        <v>66518.39999999998</v>
      </c>
      <c r="D2" s="5">
        <f>SUM(D4:D98)</f>
        <v>0</v>
      </c>
      <c r="E2" s="5">
        <f>C2-D2</f>
        <v>66518.39999999998</v>
      </c>
      <c r="F2" s="6">
        <f>IFERROR(E2/D2, 0)</f>
        <v>0</v>
      </c>
      <c r="G2" s="5">
        <f>SUM(G4:G98)</f>
        <v>0</v>
      </c>
      <c r="H2" s="7">
        <f>C2-G2</f>
        <v>66518.39999999998</v>
      </c>
      <c r="I2" s="6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 x14ac:dyDescent="0.25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3" ht="15.6" x14ac:dyDescent="0.3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70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  <c r="L4" s="59"/>
    </row>
    <row r="5" spans="1:13" ht="15.6" x14ac:dyDescent="0.3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71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59"/>
    </row>
    <row r="6" spans="1:13" ht="15.6" x14ac:dyDescent="0.3">
      <c r="A6" s="28" t="str">
        <v xml:space="preserve"> Arvin - Bank of America</v>
      </c>
      <c r="B6" s="29" t="str">
        <v>CA</v>
      </c>
      <c r="C6" s="24">
        <v>112.1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70" t="s">
        <v>22</v>
      </c>
      <c r="H6" s="15" t="str">
        <f t="shared" si="1"/>
        <v/>
      </c>
      <c r="I6" s="16" t="str">
        <f t="shared" si="2"/>
        <v/>
      </c>
      <c r="J6" s="41"/>
      <c r="K6" s="41"/>
      <c r="L6" s="59"/>
    </row>
    <row r="7" spans="1:13" ht="57.6" x14ac:dyDescent="0.3">
      <c r="A7" s="30" t="str">
        <v xml:space="preserve"> Bell - Bank of America</v>
      </c>
      <c r="B7" s="31" t="str">
        <v>CA</v>
      </c>
      <c r="C7" s="11">
        <v>2216.4</v>
      </c>
      <c r="D7" s="18" t="s">
        <v>22</v>
      </c>
      <c r="E7" s="18" t="str">
        <f t="shared" si="0"/>
        <v/>
      </c>
      <c r="F7" s="19" t="str">
        <f t="shared" si="3"/>
        <v/>
      </c>
      <c r="G7" s="71" t="s">
        <v>22</v>
      </c>
      <c r="H7" s="20" t="str">
        <f t="shared" si="1"/>
        <v/>
      </c>
      <c r="I7" s="19" t="str">
        <f t="shared" si="2"/>
        <v/>
      </c>
      <c r="J7" s="42" t="s">
        <v>83</v>
      </c>
      <c r="K7" s="66" t="s">
        <v>84</v>
      </c>
      <c r="L7" s="72" t="s">
        <v>85</v>
      </c>
      <c r="M7" s="73" t="s">
        <v>85</v>
      </c>
    </row>
    <row r="8" spans="1:13" ht="15.6" x14ac:dyDescent="0.3">
      <c r="A8" s="28" t="str">
        <v xml:space="preserve"> Chula Vista - Bank of America</v>
      </c>
      <c r="B8" s="29" t="str">
        <v>CA</v>
      </c>
      <c r="C8" s="24">
        <v>1383.4</v>
      </c>
      <c r="D8" s="13" t="s">
        <v>22</v>
      </c>
      <c r="E8" s="13" t="str">
        <f t="shared" si="0"/>
        <v/>
      </c>
      <c r="F8" s="14" t="str">
        <f t="shared" si="3"/>
        <v/>
      </c>
      <c r="G8" s="70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59"/>
    </row>
    <row r="9" spans="1:13" ht="15.6" x14ac:dyDescent="0.3">
      <c r="A9" s="30" t="str">
        <v xml:space="preserve"> Cupertino - Bank of America</v>
      </c>
      <c r="B9" s="31" t="str">
        <v>CA</v>
      </c>
      <c r="C9" s="11">
        <v>2776.4</v>
      </c>
      <c r="D9" s="18" t="s">
        <v>22</v>
      </c>
      <c r="E9" s="18" t="str">
        <f t="shared" si="0"/>
        <v/>
      </c>
      <c r="F9" s="19" t="str">
        <f t="shared" si="3"/>
        <v/>
      </c>
      <c r="G9" s="71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59"/>
    </row>
    <row r="10" spans="1:13" ht="72" x14ac:dyDescent="0.3">
      <c r="A10" s="28" t="str">
        <v xml:space="preserve"> Diamond Bar - Bank of America</v>
      </c>
      <c r="B10" s="29" t="str">
        <v>CA</v>
      </c>
      <c r="C10" s="24">
        <v>2908.8</v>
      </c>
      <c r="D10" s="13" t="s">
        <v>22</v>
      </c>
      <c r="E10" s="13" t="str">
        <f t="shared" si="0"/>
        <v/>
      </c>
      <c r="F10" s="14" t="str">
        <f t="shared" si="3"/>
        <v/>
      </c>
      <c r="G10" s="70" t="s">
        <v>22</v>
      </c>
      <c r="H10" s="15" t="str">
        <f t="shared" si="1"/>
        <v/>
      </c>
      <c r="I10" s="16" t="str">
        <f t="shared" si="2"/>
        <v/>
      </c>
      <c r="J10" s="41" t="s">
        <v>86</v>
      </c>
      <c r="K10" s="65" t="s">
        <v>87</v>
      </c>
      <c r="L10" s="72" t="s">
        <v>88</v>
      </c>
    </row>
    <row r="11" spans="1:13" ht="15.6" x14ac:dyDescent="0.3">
      <c r="A11" s="30" t="str">
        <v xml:space="preserve"> El Centro - Bank of America</v>
      </c>
      <c r="B11" s="31" t="str">
        <v>CA</v>
      </c>
      <c r="C11" s="11">
        <v>3257.5</v>
      </c>
      <c r="D11" s="18" t="s">
        <v>22</v>
      </c>
      <c r="E11" s="18" t="str">
        <f t="shared" si="0"/>
        <v/>
      </c>
      <c r="F11" s="19" t="str">
        <f t="shared" si="3"/>
        <v/>
      </c>
      <c r="G11" s="71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59"/>
    </row>
    <row r="12" spans="1:13" ht="28.8" x14ac:dyDescent="0.3">
      <c r="A12" s="28" t="str">
        <v xml:space="preserve"> Moreno Valley - Bank of America</v>
      </c>
      <c r="B12" s="29" t="str">
        <v>CA</v>
      </c>
      <c r="C12" s="24">
        <v>5356</v>
      </c>
      <c r="D12" s="13" t="s">
        <v>22</v>
      </c>
      <c r="E12" s="13" t="str">
        <f t="shared" si="0"/>
        <v/>
      </c>
      <c r="F12" s="14" t="str">
        <f t="shared" si="3"/>
        <v/>
      </c>
      <c r="G12" s="70" t="s">
        <v>22</v>
      </c>
      <c r="H12" s="15" t="str">
        <f t="shared" si="1"/>
        <v/>
      </c>
      <c r="I12" s="16" t="str">
        <f t="shared" si="2"/>
        <v/>
      </c>
      <c r="J12" s="41" t="s">
        <v>89</v>
      </c>
      <c r="K12" s="65" t="s">
        <v>90</v>
      </c>
      <c r="L12" s="59"/>
    </row>
    <row r="13" spans="1:13" ht="15.6" x14ac:dyDescent="0.3">
      <c r="A13" s="30" t="str">
        <v xml:space="preserve"> Redlands - Bank of America</v>
      </c>
      <c r="B13" s="31" t="str">
        <v>CA</v>
      </c>
      <c r="C13" s="11">
        <v>0</v>
      </c>
      <c r="D13" s="18" t="s">
        <v>22</v>
      </c>
      <c r="E13" s="18" t="str">
        <f t="shared" si="0"/>
        <v/>
      </c>
      <c r="F13" s="19" t="str">
        <f t="shared" si="3"/>
        <v/>
      </c>
      <c r="G13" s="71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59"/>
    </row>
    <row r="14" spans="1:13" ht="15.6" x14ac:dyDescent="0.3">
      <c r="A14" s="28" t="str">
        <v xml:space="preserve"> Roseville - Bank of America</v>
      </c>
      <c r="B14" s="29" t="str">
        <v>CA</v>
      </c>
      <c r="C14" s="24">
        <v>8405.7999999999993</v>
      </c>
      <c r="D14" s="13" t="s">
        <v>22</v>
      </c>
      <c r="E14" s="13" t="str">
        <f t="shared" si="0"/>
        <v/>
      </c>
      <c r="F14" s="14" t="str">
        <f t="shared" si="3"/>
        <v/>
      </c>
      <c r="G14" s="70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59"/>
    </row>
    <row r="15" spans="1:13" ht="28.8" x14ac:dyDescent="0.3">
      <c r="A15" s="30" t="str">
        <v xml:space="preserve"> San Bernardino - Bank of America</v>
      </c>
      <c r="B15" s="31" t="str">
        <v>CA</v>
      </c>
      <c r="C15" s="11">
        <v>108.5</v>
      </c>
      <c r="D15" s="18" t="s">
        <v>22</v>
      </c>
      <c r="E15" s="18" t="str">
        <f t="shared" si="0"/>
        <v/>
      </c>
      <c r="F15" s="19" t="str">
        <f t="shared" si="3"/>
        <v/>
      </c>
      <c r="G15" s="71" t="s">
        <v>22</v>
      </c>
      <c r="H15" s="20" t="str">
        <f t="shared" si="1"/>
        <v/>
      </c>
      <c r="I15" s="19" t="str">
        <f t="shared" si="2"/>
        <v/>
      </c>
      <c r="J15" s="42" t="s">
        <v>91</v>
      </c>
      <c r="K15" s="66" t="s">
        <v>92</v>
      </c>
      <c r="L15" s="59"/>
    </row>
    <row r="16" spans="1:13" ht="15.6" x14ac:dyDescent="0.3">
      <c r="A16" s="28" t="str">
        <v xml:space="preserve"> San Diego - Bank of America</v>
      </c>
      <c r="B16" s="29" t="str">
        <v>CA</v>
      </c>
      <c r="C16" s="24">
        <v>64.3</v>
      </c>
      <c r="D16" s="13" t="s">
        <v>22</v>
      </c>
      <c r="E16" s="13" t="str">
        <f t="shared" si="0"/>
        <v/>
      </c>
      <c r="F16" s="14" t="str">
        <f t="shared" si="3"/>
        <v/>
      </c>
      <c r="G16" s="70" t="s">
        <v>22</v>
      </c>
      <c r="H16" s="15" t="str">
        <f t="shared" si="1"/>
        <v/>
      </c>
      <c r="I16" s="16" t="str">
        <f t="shared" si="2"/>
        <v/>
      </c>
      <c r="J16" s="41"/>
      <c r="K16" s="41"/>
      <c r="L16" s="59"/>
    </row>
    <row r="17" spans="1:12" ht="15.6" x14ac:dyDescent="0.3">
      <c r="A17" s="30" t="str">
        <v xml:space="preserve"> Stockton - Bank of America</v>
      </c>
      <c r="B17" s="31" t="str">
        <v>CA</v>
      </c>
      <c r="C17" s="11">
        <v>2540.6999999999998</v>
      </c>
      <c r="D17" s="18" t="s">
        <v>22</v>
      </c>
      <c r="E17" s="18" t="str">
        <f t="shared" si="0"/>
        <v/>
      </c>
      <c r="F17" s="19" t="str">
        <f t="shared" si="3"/>
        <v/>
      </c>
      <c r="G17" s="71" t="s">
        <v>22</v>
      </c>
      <c r="H17" s="20" t="str">
        <f t="shared" si="1"/>
        <v/>
      </c>
      <c r="I17" s="19" t="str">
        <f t="shared" si="2"/>
        <v/>
      </c>
      <c r="J17" s="42"/>
      <c r="K17" s="43"/>
      <c r="L17" s="59"/>
    </row>
    <row r="18" spans="1:12" ht="29.25" customHeight="1" x14ac:dyDescent="0.3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70" t="s">
        <v>22</v>
      </c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 t="s">
        <v>93</v>
      </c>
      <c r="K18" s="65" t="s">
        <v>77</v>
      </c>
      <c r="L18" s="59"/>
    </row>
    <row r="19" spans="1:12" ht="15.6" x14ac:dyDescent="0.3">
      <c r="A19" s="30" t="str">
        <v xml:space="preserve"> Aurora - BA - Colfax Ave</v>
      </c>
      <c r="B19" s="31" t="str">
        <v>CO</v>
      </c>
      <c r="C19" s="11">
        <v>1401.3</v>
      </c>
      <c r="D19" s="18" t="s">
        <v>22</v>
      </c>
      <c r="E19" s="18" t="str">
        <f t="shared" si="4"/>
        <v/>
      </c>
      <c r="F19" s="19" t="str">
        <f t="shared" si="5"/>
        <v/>
      </c>
      <c r="G19" s="71" t="s">
        <v>22</v>
      </c>
      <c r="H19" s="20" t="str">
        <f t="shared" si="6"/>
        <v/>
      </c>
      <c r="I19" s="19" t="str">
        <f t="shared" si="7"/>
        <v/>
      </c>
      <c r="J19" s="42"/>
      <c r="K19" s="43"/>
      <c r="L19" s="59"/>
    </row>
    <row r="20" spans="1:12" ht="15.6" x14ac:dyDescent="0.3">
      <c r="A20" s="28" t="str">
        <v xml:space="preserve"> Aurora - BA - Parker Rd</v>
      </c>
      <c r="B20" s="29" t="str">
        <v>CO</v>
      </c>
      <c r="C20" s="24">
        <v>3952.6</v>
      </c>
      <c r="D20" s="13" t="s">
        <v>22</v>
      </c>
      <c r="E20" s="13" t="str">
        <f t="shared" si="4"/>
        <v/>
      </c>
      <c r="F20" s="14" t="str">
        <f t="shared" si="5"/>
        <v/>
      </c>
      <c r="G20" s="70" t="s">
        <v>22</v>
      </c>
      <c r="H20" s="15" t="str">
        <f t="shared" si="6"/>
        <v/>
      </c>
      <c r="I20" s="16" t="str">
        <f t="shared" si="7"/>
        <v/>
      </c>
      <c r="J20" s="41"/>
      <c r="K20" s="41"/>
      <c r="L20" s="59"/>
    </row>
    <row r="21" spans="1:12" ht="43.2" x14ac:dyDescent="0.3">
      <c r="A21" s="30" t="str">
        <v xml:space="preserve"> Broomfield - Bank of America</v>
      </c>
      <c r="B21" s="31" t="str">
        <v>CO</v>
      </c>
      <c r="C21" s="11">
        <v>1947.5</v>
      </c>
      <c r="D21" s="18" t="s">
        <v>22</v>
      </c>
      <c r="E21" s="18" t="str">
        <f t="shared" si="4"/>
        <v/>
      </c>
      <c r="F21" s="19" t="str">
        <f t="shared" si="5"/>
        <v/>
      </c>
      <c r="G21" s="71" t="s">
        <v>22</v>
      </c>
      <c r="H21" s="20" t="str">
        <f t="shared" si="6"/>
        <v/>
      </c>
      <c r="I21" s="19" t="str">
        <f t="shared" si="7"/>
        <v/>
      </c>
      <c r="J21" s="42" t="s">
        <v>94</v>
      </c>
      <c r="K21" s="66" t="s">
        <v>95</v>
      </c>
      <c r="L21" s="59"/>
    </row>
    <row r="22" spans="1:12" ht="15.6" x14ac:dyDescent="0.3">
      <c r="A22" s="28" t="str">
        <v xml:space="preserve"> Colorado Springs - Bank of America</v>
      </c>
      <c r="B22" s="29" t="str">
        <v>CO</v>
      </c>
      <c r="C22" s="24">
        <v>2966.3</v>
      </c>
      <c r="D22" s="13" t="s">
        <v>22</v>
      </c>
      <c r="E22" s="13" t="str">
        <f t="shared" si="4"/>
        <v/>
      </c>
      <c r="F22" s="14" t="str">
        <f t="shared" si="5"/>
        <v/>
      </c>
      <c r="G22" s="70" t="s">
        <v>22</v>
      </c>
      <c r="H22" s="15" t="str">
        <f t="shared" si="6"/>
        <v/>
      </c>
      <c r="I22" s="16" t="str">
        <f t="shared" si="7"/>
        <v/>
      </c>
      <c r="J22" s="41"/>
      <c r="K22" s="41"/>
      <c r="L22" s="59"/>
    </row>
    <row r="23" spans="1:12" ht="15.6" x14ac:dyDescent="0.3">
      <c r="A23" s="30" t="str">
        <v xml:space="preserve"> Denver - BA - 49th Ave</v>
      </c>
      <c r="B23" s="31" t="str">
        <v>CO</v>
      </c>
      <c r="C23" s="11">
        <v>1348.2</v>
      </c>
      <c r="D23" s="18" t="s">
        <v>22</v>
      </c>
      <c r="E23" s="18" t="str">
        <f t="shared" si="4"/>
        <v/>
      </c>
      <c r="F23" s="19" t="str">
        <f t="shared" si="5"/>
        <v/>
      </c>
      <c r="G23" s="71" t="s">
        <v>22</v>
      </c>
      <c r="H23" s="20" t="str">
        <f t="shared" si="6"/>
        <v/>
      </c>
      <c r="I23" s="19" t="str">
        <f t="shared" si="7"/>
        <v/>
      </c>
      <c r="J23" s="42"/>
      <c r="K23" s="43"/>
      <c r="L23" s="59"/>
    </row>
    <row r="24" spans="1:12" ht="15.6" x14ac:dyDescent="0.3">
      <c r="A24" s="28" t="str">
        <v xml:space="preserve"> Denver - BA Wadsworth Blvd</v>
      </c>
      <c r="B24" s="29" t="str">
        <v>CO</v>
      </c>
      <c r="C24" s="24">
        <v>2916.1</v>
      </c>
      <c r="D24" s="13" t="s">
        <v>22</v>
      </c>
      <c r="E24" s="13" t="str">
        <f t="shared" si="4"/>
        <v/>
      </c>
      <c r="F24" s="14" t="str">
        <f t="shared" si="5"/>
        <v/>
      </c>
      <c r="G24" s="70" t="s">
        <v>22</v>
      </c>
      <c r="H24" s="15" t="str">
        <f t="shared" si="6"/>
        <v/>
      </c>
      <c r="I24" s="16" t="str">
        <f t="shared" si="7"/>
        <v/>
      </c>
      <c r="J24" s="41"/>
      <c r="K24" s="41"/>
      <c r="L24" s="59"/>
    </row>
    <row r="25" spans="1:12" ht="15.6" x14ac:dyDescent="0.3">
      <c r="A25" s="30" t="str">
        <v xml:space="preserve"> Fort Collins - Bank of America</v>
      </c>
      <c r="B25" s="31" t="str">
        <v>CO</v>
      </c>
      <c r="C25" s="11">
        <v>1819.1</v>
      </c>
      <c r="D25" s="18" t="s">
        <v>22</v>
      </c>
      <c r="E25" s="18" t="str">
        <f t="shared" si="4"/>
        <v/>
      </c>
      <c r="F25" s="19" t="str">
        <f t="shared" si="5"/>
        <v/>
      </c>
      <c r="G25" s="71" t="s">
        <v>22</v>
      </c>
      <c r="H25" s="20" t="str">
        <f t="shared" si="6"/>
        <v/>
      </c>
      <c r="I25" s="19" t="str">
        <f t="shared" si="7"/>
        <v/>
      </c>
      <c r="J25" s="42"/>
      <c r="K25" s="43"/>
      <c r="L25" s="59"/>
    </row>
    <row r="26" spans="1:12" ht="15.6" x14ac:dyDescent="0.3">
      <c r="A26" s="28" t="str">
        <v xml:space="preserve"> Lafayette - Bank of America</v>
      </c>
      <c r="B26" s="29" t="str">
        <v>CO</v>
      </c>
      <c r="C26" s="24">
        <v>2615.1</v>
      </c>
      <c r="D26" s="13" t="s">
        <v>22</v>
      </c>
      <c r="E26" s="13" t="str">
        <f t="shared" si="4"/>
        <v/>
      </c>
      <c r="F26" s="14" t="str">
        <f t="shared" si="5"/>
        <v/>
      </c>
      <c r="G26" s="70" t="s">
        <v>22</v>
      </c>
      <c r="H26" s="15" t="str">
        <f t="shared" si="6"/>
        <v/>
      </c>
      <c r="I26" s="16" t="str">
        <f t="shared" si="7"/>
        <v/>
      </c>
      <c r="J26" s="41"/>
      <c r="K26" s="41"/>
      <c r="L26" s="59"/>
    </row>
    <row r="27" spans="1:12" ht="15.6" x14ac:dyDescent="0.3">
      <c r="A27" s="30" t="str">
        <v xml:space="preserve"> Lakewood - Bank of America</v>
      </c>
      <c r="B27" s="31" t="str">
        <v>CO</v>
      </c>
      <c r="C27" s="11">
        <v>1549.6</v>
      </c>
      <c r="D27" s="18" t="s">
        <v>22</v>
      </c>
      <c r="E27" s="18" t="str">
        <f t="shared" si="4"/>
        <v/>
      </c>
      <c r="F27" s="19" t="str">
        <f t="shared" si="5"/>
        <v/>
      </c>
      <c r="G27" s="71" t="s">
        <v>22</v>
      </c>
      <c r="H27" s="20" t="str">
        <f t="shared" si="6"/>
        <v/>
      </c>
      <c r="I27" s="19" t="str">
        <f t="shared" si="7"/>
        <v/>
      </c>
      <c r="J27" s="42"/>
      <c r="K27" s="43"/>
      <c r="L27" s="59"/>
    </row>
    <row r="28" spans="1:12" ht="15.6" x14ac:dyDescent="0.3">
      <c r="A28" s="28" t="str">
        <v xml:space="preserve"> Longmont - Bank of America</v>
      </c>
      <c r="B28" s="29" t="str">
        <v>CO</v>
      </c>
      <c r="C28" s="24">
        <v>1309.4000000000001</v>
      </c>
      <c r="D28" s="13" t="s">
        <v>22</v>
      </c>
      <c r="E28" s="13" t="str">
        <f t="shared" si="4"/>
        <v/>
      </c>
      <c r="F28" s="14" t="str">
        <f t="shared" si="5"/>
        <v/>
      </c>
      <c r="G28" s="70" t="s">
        <v>22</v>
      </c>
      <c r="H28" s="15" t="str">
        <f t="shared" si="6"/>
        <v/>
      </c>
      <c r="I28" s="16" t="str">
        <f t="shared" si="7"/>
        <v/>
      </c>
      <c r="J28" s="41"/>
      <c r="K28" s="41"/>
      <c r="L28" s="59"/>
    </row>
    <row r="29" spans="1:12" ht="15.6" x14ac:dyDescent="0.3">
      <c r="A29" s="30" t="str">
        <v xml:space="preserve"> Thornton - Bank of America</v>
      </c>
      <c r="B29" s="31" t="str">
        <v>CO</v>
      </c>
      <c r="C29" s="11">
        <v>1552.1</v>
      </c>
      <c r="D29" s="18" t="s">
        <v>22</v>
      </c>
      <c r="E29" s="18" t="str">
        <f t="shared" si="4"/>
        <v/>
      </c>
      <c r="F29" s="19" t="str">
        <f t="shared" si="5"/>
        <v/>
      </c>
      <c r="G29" s="71" t="s">
        <v>22</v>
      </c>
      <c r="H29" s="20" t="str">
        <f t="shared" si="6"/>
        <v/>
      </c>
      <c r="I29" s="19" t="str">
        <f t="shared" si="7"/>
        <v/>
      </c>
      <c r="J29" s="42"/>
      <c r="K29" s="56"/>
      <c r="L29" s="59"/>
    </row>
    <row r="30" spans="1:12" ht="15.6" x14ac:dyDescent="0.3">
      <c r="A30" s="28" t="str">
        <v xml:space="preserve"> Calumet City - Bank of America</v>
      </c>
      <c r="B30" s="29" t="str">
        <v>IL</v>
      </c>
      <c r="C30" s="24">
        <v>2801.4</v>
      </c>
      <c r="D30" s="13" t="s">
        <v>22</v>
      </c>
      <c r="E30" s="13" t="str">
        <f t="shared" si="4"/>
        <v/>
      </c>
      <c r="F30" s="14" t="str">
        <f t="shared" si="5"/>
        <v/>
      </c>
      <c r="G30" s="70" t="s">
        <v>22</v>
      </c>
      <c r="H30" s="15" t="str">
        <f t="shared" si="6"/>
        <v/>
      </c>
      <c r="I30" s="16" t="str">
        <f t="shared" si="7"/>
        <v/>
      </c>
      <c r="J30" s="41"/>
      <c r="K30" s="41"/>
      <c r="L30" s="59"/>
    </row>
    <row r="31" spans="1:12" ht="28.8" x14ac:dyDescent="0.3">
      <c r="A31" s="30" t="str">
        <v xml:space="preserve"> Downers Grove - Bank of America</v>
      </c>
      <c r="B31" s="31" t="str">
        <v>IL</v>
      </c>
      <c r="C31" s="11">
        <v>3092.4</v>
      </c>
      <c r="D31" s="18" t="s">
        <v>22</v>
      </c>
      <c r="E31" s="18" t="str">
        <f t="shared" si="4"/>
        <v/>
      </c>
      <c r="F31" s="19" t="str">
        <f t="shared" si="5"/>
        <v/>
      </c>
      <c r="G31" s="71" t="s">
        <v>22</v>
      </c>
      <c r="H31" s="20" t="str">
        <f t="shared" si="6"/>
        <v/>
      </c>
      <c r="I31" s="19" t="str">
        <f t="shared" si="7"/>
        <v/>
      </c>
      <c r="J31" s="42" t="s">
        <v>96</v>
      </c>
      <c r="K31" s="66" t="s">
        <v>97</v>
      </c>
      <c r="L31" s="59"/>
    </row>
    <row r="32" spans="1:12" ht="28.8" x14ac:dyDescent="0.3">
      <c r="A32" s="28" t="str">
        <v xml:space="preserve"> Bloomington - Bank of America</v>
      </c>
      <c r="B32" s="29" t="str">
        <v>MN</v>
      </c>
      <c r="C32" s="24">
        <v>624.6</v>
      </c>
      <c r="D32" s="13" t="s">
        <v>22</v>
      </c>
      <c r="E32" s="13" t="str">
        <f t="shared" si="4"/>
        <v/>
      </c>
      <c r="F32" s="14" t="str">
        <f t="shared" si="5"/>
        <v/>
      </c>
      <c r="G32" s="70" t="s">
        <v>22</v>
      </c>
      <c r="H32" s="15" t="str">
        <f t="shared" si="6"/>
        <v/>
      </c>
      <c r="I32" s="16" t="str">
        <f t="shared" si="7"/>
        <v/>
      </c>
      <c r="J32" s="41" t="s">
        <v>98</v>
      </c>
      <c r="K32" s="65" t="s">
        <v>99</v>
      </c>
      <c r="L32" s="59"/>
    </row>
    <row r="33" spans="1:12" ht="15.6" x14ac:dyDescent="0.3">
      <c r="A33" s="30" t="str">
        <v xml:space="preserve"> Clayton - Bank of America</v>
      </c>
      <c r="B33" s="31" t="str">
        <v>MO</v>
      </c>
      <c r="C33" s="11">
        <v>2398.6999999999998</v>
      </c>
      <c r="D33" s="18" t="s">
        <v>22</v>
      </c>
      <c r="E33" s="18" t="str">
        <f t="shared" si="4"/>
        <v/>
      </c>
      <c r="F33" s="19" t="str">
        <f t="shared" si="5"/>
        <v/>
      </c>
      <c r="G33" s="71" t="s">
        <v>22</v>
      </c>
      <c r="H33" s="20" t="str">
        <f t="shared" si="6"/>
        <v/>
      </c>
      <c r="I33" s="19" t="str">
        <f t="shared" si="7"/>
        <v/>
      </c>
      <c r="J33" s="42"/>
      <c r="K33" s="43"/>
      <c r="L33" s="59"/>
    </row>
    <row r="34" spans="1:12" ht="28.8" x14ac:dyDescent="0.3">
      <c r="A34" s="28" t="str">
        <v xml:space="preserve"> Manchester - Bank of America</v>
      </c>
      <c r="B34" s="29" t="str">
        <v>MO</v>
      </c>
      <c r="C34" s="24">
        <v>1926.2</v>
      </c>
      <c r="D34" s="13" t="s">
        <v>22</v>
      </c>
      <c r="E34" s="13" t="str">
        <f t="shared" si="4"/>
        <v/>
      </c>
      <c r="F34" s="14" t="str">
        <f t="shared" si="5"/>
        <v/>
      </c>
      <c r="G34" s="70" t="s">
        <v>22</v>
      </c>
      <c r="H34" s="15" t="str">
        <f t="shared" si="6"/>
        <v/>
      </c>
      <c r="I34" s="16" t="str">
        <f t="shared" si="7"/>
        <v/>
      </c>
      <c r="J34" s="41" t="s">
        <v>60</v>
      </c>
      <c r="K34" s="65" t="s">
        <v>69</v>
      </c>
      <c r="L34" s="59"/>
    </row>
    <row r="35" spans="1:12" ht="15.6" x14ac:dyDescent="0.3">
      <c r="A35" s="30" t="str">
        <v xml:space="preserve"> Las Vegas - BA - Eastern Ave</v>
      </c>
      <c r="B35" s="31" t="str">
        <v>NV</v>
      </c>
      <c r="C35" s="11">
        <v>72.099999999999994</v>
      </c>
      <c r="D35" s="18" t="s">
        <v>22</v>
      </c>
      <c r="E35" s="18" t="str">
        <f t="shared" si="4"/>
        <v/>
      </c>
      <c r="F35" s="19" t="str">
        <f t="shared" si="5"/>
        <v/>
      </c>
      <c r="G35" s="71" t="s">
        <v>22</v>
      </c>
      <c r="H35" s="20" t="str">
        <f t="shared" si="6"/>
        <v/>
      </c>
      <c r="I35" s="19" t="str">
        <f t="shared" si="7"/>
        <v/>
      </c>
      <c r="J35" s="42"/>
      <c r="K35" s="43"/>
      <c r="L35" s="59"/>
    </row>
    <row r="36" spans="1:12" ht="15.6" x14ac:dyDescent="0.3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4"/>
        <v/>
      </c>
      <c r="F36" s="14" t="str">
        <f t="shared" si="5"/>
        <v/>
      </c>
      <c r="G36" s="70" t="s">
        <v>22</v>
      </c>
      <c r="H36" s="15" t="str">
        <f t="shared" si="6"/>
        <v/>
      </c>
      <c r="I36" s="16" t="str">
        <f t="shared" si="7"/>
        <v/>
      </c>
      <c r="J36" s="41"/>
      <c r="K36" s="41"/>
      <c r="L36" s="59"/>
    </row>
    <row r="37" spans="1:12" ht="15.6" x14ac:dyDescent="0.3">
      <c r="A37" s="30" t="str">
        <v xml:space="preserve"> Riverton - Bank of America</v>
      </c>
      <c r="B37" s="31" t="str">
        <v>UT</v>
      </c>
      <c r="C37" s="11">
        <v>2895.9</v>
      </c>
      <c r="D37" s="18" t="s">
        <v>22</v>
      </c>
      <c r="E37" s="18" t="str">
        <f t="shared" si="4"/>
        <v/>
      </c>
      <c r="F37" s="19" t="str">
        <f t="shared" si="5"/>
        <v/>
      </c>
      <c r="G37" s="71" t="s">
        <v>22</v>
      </c>
      <c r="H37" s="20" t="str">
        <f t="shared" si="6"/>
        <v/>
      </c>
      <c r="I37" s="19" t="str">
        <f t="shared" si="7"/>
        <v/>
      </c>
      <c r="J37" s="42"/>
      <c r="K37" s="43"/>
      <c r="L37" s="59"/>
    </row>
    <row r="38" spans="1:12" ht="15.6" x14ac:dyDescent="0.3">
      <c r="A38" s="28" t="str">
        <v xml:space="preserve"> Salt Lake City - Bank of America</v>
      </c>
      <c r="B38" s="29" t="str">
        <v>UT</v>
      </c>
      <c r="C38" s="24">
        <v>199.9</v>
      </c>
      <c r="D38" s="13" t="s">
        <v>22</v>
      </c>
      <c r="E38" s="13" t="str">
        <f t="shared" si="4"/>
        <v/>
      </c>
      <c r="F38" s="14" t="str">
        <f t="shared" si="5"/>
        <v/>
      </c>
      <c r="G38" s="70" t="s">
        <v>22</v>
      </c>
      <c r="H38" s="15" t="str">
        <f t="shared" si="6"/>
        <v/>
      </c>
      <c r="I38" s="16" t="str">
        <f t="shared" si="7"/>
        <v/>
      </c>
      <c r="J38" s="41"/>
      <c r="K38" s="41"/>
      <c r="L38" s="59"/>
    </row>
    <row r="39" spans="1:12" ht="14.4" x14ac:dyDescent="0.3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2" ht="14.4" x14ac:dyDescent="0.3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2" ht="14.4" x14ac:dyDescent="0.3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2" ht="14.4" x14ac:dyDescent="0.3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2" ht="14.4" x14ac:dyDescent="0.3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2" ht="14.4" x14ac:dyDescent="0.3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2" ht="14.4" x14ac:dyDescent="0.3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2" ht="14.4" x14ac:dyDescent="0.3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2" ht="14.4" x14ac:dyDescent="0.3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2" ht="14.4" x14ac:dyDescent="0.3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" x14ac:dyDescent="0.3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" x14ac:dyDescent="0.3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" x14ac:dyDescent="0.3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" x14ac:dyDescent="0.3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" x14ac:dyDescent="0.3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" x14ac:dyDescent="0.3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" x14ac:dyDescent="0.3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" x14ac:dyDescent="0.3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" x14ac:dyDescent="0.3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" x14ac:dyDescent="0.3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" x14ac:dyDescent="0.3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" x14ac:dyDescent="0.3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" x14ac:dyDescent="0.3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" x14ac:dyDescent="0.3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" x14ac:dyDescent="0.3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" x14ac:dyDescent="0.3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" x14ac:dyDescent="0.3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" x14ac:dyDescent="0.3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" x14ac:dyDescent="0.3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" x14ac:dyDescent="0.3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" x14ac:dyDescent="0.3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" x14ac:dyDescent="0.3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" x14ac:dyDescent="0.3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" x14ac:dyDescent="0.3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" x14ac:dyDescent="0.3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" x14ac:dyDescent="0.3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" x14ac:dyDescent="0.3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" x14ac:dyDescent="0.3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" x14ac:dyDescent="0.3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" x14ac:dyDescent="0.3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" x14ac:dyDescent="0.3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" x14ac:dyDescent="0.3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" x14ac:dyDescent="0.3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" x14ac:dyDescent="0.3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" x14ac:dyDescent="0.3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" x14ac:dyDescent="0.3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" x14ac:dyDescent="0.3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" x14ac:dyDescent="0.3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" x14ac:dyDescent="0.3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" x14ac:dyDescent="0.3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" x14ac:dyDescent="0.3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" x14ac:dyDescent="0.3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" x14ac:dyDescent="0.3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" x14ac:dyDescent="0.3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" x14ac:dyDescent="0.3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" x14ac:dyDescent="0.3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" x14ac:dyDescent="0.3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" x14ac:dyDescent="0.3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" x14ac:dyDescent="0.3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" x14ac:dyDescent="0.3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" x14ac:dyDescent="0.3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" x14ac:dyDescent="0.3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" x14ac:dyDescent="0.3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" x14ac:dyDescent="0.3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" x14ac:dyDescent="0.3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" x14ac:dyDescent="0.3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" x14ac:dyDescent="0.3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" x14ac:dyDescent="0.3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" x14ac:dyDescent="0.3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" x14ac:dyDescent="0.3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" x14ac:dyDescent="0.3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" x14ac:dyDescent="0.3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" x14ac:dyDescent="0.3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" x14ac:dyDescent="0.3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" x14ac:dyDescent="0.3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" x14ac:dyDescent="0.3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" x14ac:dyDescent="0.3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" x14ac:dyDescent="0.3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" x14ac:dyDescent="0.3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" x14ac:dyDescent="0.3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" x14ac:dyDescent="0.3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" x14ac:dyDescent="0.3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" x14ac:dyDescent="0.3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" x14ac:dyDescent="0.3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" x14ac:dyDescent="0.3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" x14ac:dyDescent="0.3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" x14ac:dyDescent="0.3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" x14ac:dyDescent="0.3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" x14ac:dyDescent="0.3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" x14ac:dyDescent="0.3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" x14ac:dyDescent="0.3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" x14ac:dyDescent="0.3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" x14ac:dyDescent="0.3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" x14ac:dyDescent="0.3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" x14ac:dyDescent="0.3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" x14ac:dyDescent="0.3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" x14ac:dyDescent="0.3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" x14ac:dyDescent="0.3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" x14ac:dyDescent="0.3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" x14ac:dyDescent="0.3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" x14ac:dyDescent="0.3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" x14ac:dyDescent="0.3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" x14ac:dyDescent="0.3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" x14ac:dyDescent="0.3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" x14ac:dyDescent="0.3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" x14ac:dyDescent="0.3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" x14ac:dyDescent="0.3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" x14ac:dyDescent="0.3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" x14ac:dyDescent="0.3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" x14ac:dyDescent="0.3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" x14ac:dyDescent="0.3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" x14ac:dyDescent="0.3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" x14ac:dyDescent="0.3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" x14ac:dyDescent="0.3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" x14ac:dyDescent="0.3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" x14ac:dyDescent="0.3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" x14ac:dyDescent="0.3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" x14ac:dyDescent="0.3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" x14ac:dyDescent="0.3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" x14ac:dyDescent="0.3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" x14ac:dyDescent="0.3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" x14ac:dyDescent="0.3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" x14ac:dyDescent="0.3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" x14ac:dyDescent="0.3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" x14ac:dyDescent="0.3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" x14ac:dyDescent="0.3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" x14ac:dyDescent="0.3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" x14ac:dyDescent="0.3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" x14ac:dyDescent="0.3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" x14ac:dyDescent="0.3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" x14ac:dyDescent="0.3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" x14ac:dyDescent="0.3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" x14ac:dyDescent="0.3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" x14ac:dyDescent="0.3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" x14ac:dyDescent="0.3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" x14ac:dyDescent="0.3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" x14ac:dyDescent="0.3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" x14ac:dyDescent="0.3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" x14ac:dyDescent="0.3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" x14ac:dyDescent="0.3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" x14ac:dyDescent="0.3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" x14ac:dyDescent="0.3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" x14ac:dyDescent="0.3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" x14ac:dyDescent="0.3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" x14ac:dyDescent="0.3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" x14ac:dyDescent="0.3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" x14ac:dyDescent="0.3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" x14ac:dyDescent="0.3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" x14ac:dyDescent="0.3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" x14ac:dyDescent="0.3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" x14ac:dyDescent="0.3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" x14ac:dyDescent="0.3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" x14ac:dyDescent="0.3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" x14ac:dyDescent="0.3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" x14ac:dyDescent="0.3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" x14ac:dyDescent="0.3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" x14ac:dyDescent="0.3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" x14ac:dyDescent="0.3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" x14ac:dyDescent="0.3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" x14ac:dyDescent="0.3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" x14ac:dyDescent="0.3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" x14ac:dyDescent="0.3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" x14ac:dyDescent="0.3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" x14ac:dyDescent="0.3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" x14ac:dyDescent="0.3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" x14ac:dyDescent="0.3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" x14ac:dyDescent="0.3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" x14ac:dyDescent="0.3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" x14ac:dyDescent="0.3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" x14ac:dyDescent="0.3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" x14ac:dyDescent="0.3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" x14ac:dyDescent="0.3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" x14ac:dyDescent="0.3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" x14ac:dyDescent="0.3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" x14ac:dyDescent="0.3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" x14ac:dyDescent="0.3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" x14ac:dyDescent="0.3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" x14ac:dyDescent="0.3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" x14ac:dyDescent="0.3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" x14ac:dyDescent="0.3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" x14ac:dyDescent="0.3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" x14ac:dyDescent="0.3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" x14ac:dyDescent="0.3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" x14ac:dyDescent="0.3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" x14ac:dyDescent="0.3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" x14ac:dyDescent="0.3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" x14ac:dyDescent="0.3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" x14ac:dyDescent="0.3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" x14ac:dyDescent="0.3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" x14ac:dyDescent="0.3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" x14ac:dyDescent="0.3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" x14ac:dyDescent="0.3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" x14ac:dyDescent="0.3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" x14ac:dyDescent="0.3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" x14ac:dyDescent="0.3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" x14ac:dyDescent="0.3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" x14ac:dyDescent="0.3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" x14ac:dyDescent="0.3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" x14ac:dyDescent="0.3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" x14ac:dyDescent="0.3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" x14ac:dyDescent="0.3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" x14ac:dyDescent="0.3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" x14ac:dyDescent="0.3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" x14ac:dyDescent="0.3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" x14ac:dyDescent="0.3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" x14ac:dyDescent="0.3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" x14ac:dyDescent="0.3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" x14ac:dyDescent="0.3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" x14ac:dyDescent="0.3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" x14ac:dyDescent="0.3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" x14ac:dyDescent="0.3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" x14ac:dyDescent="0.3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" x14ac:dyDescent="0.3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" x14ac:dyDescent="0.3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" x14ac:dyDescent="0.3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" x14ac:dyDescent="0.3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" x14ac:dyDescent="0.3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" x14ac:dyDescent="0.3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" x14ac:dyDescent="0.3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" x14ac:dyDescent="0.3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" x14ac:dyDescent="0.3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" x14ac:dyDescent="0.3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" x14ac:dyDescent="0.3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" x14ac:dyDescent="0.3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" x14ac:dyDescent="0.3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" x14ac:dyDescent="0.3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" x14ac:dyDescent="0.3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" x14ac:dyDescent="0.3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" x14ac:dyDescent="0.3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" x14ac:dyDescent="0.3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" x14ac:dyDescent="0.3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" x14ac:dyDescent="0.3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" x14ac:dyDescent="0.3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" x14ac:dyDescent="0.3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" x14ac:dyDescent="0.3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" x14ac:dyDescent="0.3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" x14ac:dyDescent="0.3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" x14ac:dyDescent="0.3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" x14ac:dyDescent="0.3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" x14ac:dyDescent="0.3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" x14ac:dyDescent="0.3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" x14ac:dyDescent="0.3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" x14ac:dyDescent="0.3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" x14ac:dyDescent="0.3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" x14ac:dyDescent="0.3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" x14ac:dyDescent="0.3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" x14ac:dyDescent="0.3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" x14ac:dyDescent="0.3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" x14ac:dyDescent="0.3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" x14ac:dyDescent="0.3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" x14ac:dyDescent="0.3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" x14ac:dyDescent="0.3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" x14ac:dyDescent="0.3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" x14ac:dyDescent="0.3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" x14ac:dyDescent="0.3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" x14ac:dyDescent="0.3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" x14ac:dyDescent="0.3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" x14ac:dyDescent="0.3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" x14ac:dyDescent="0.3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" x14ac:dyDescent="0.3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" x14ac:dyDescent="0.3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" x14ac:dyDescent="0.3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" x14ac:dyDescent="0.3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" x14ac:dyDescent="0.3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" x14ac:dyDescent="0.3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" x14ac:dyDescent="0.3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" x14ac:dyDescent="0.3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" x14ac:dyDescent="0.3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" x14ac:dyDescent="0.3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" x14ac:dyDescent="0.3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" x14ac:dyDescent="0.3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" x14ac:dyDescent="0.3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" x14ac:dyDescent="0.3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" x14ac:dyDescent="0.3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" x14ac:dyDescent="0.3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" x14ac:dyDescent="0.3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" x14ac:dyDescent="0.3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" x14ac:dyDescent="0.3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" x14ac:dyDescent="0.3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" x14ac:dyDescent="0.3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" x14ac:dyDescent="0.3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" x14ac:dyDescent="0.3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" x14ac:dyDescent="0.3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" x14ac:dyDescent="0.3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" x14ac:dyDescent="0.3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" x14ac:dyDescent="0.3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" x14ac:dyDescent="0.3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" x14ac:dyDescent="0.3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" x14ac:dyDescent="0.3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" x14ac:dyDescent="0.3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" x14ac:dyDescent="0.3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" x14ac:dyDescent="0.3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" x14ac:dyDescent="0.3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" x14ac:dyDescent="0.3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" x14ac:dyDescent="0.3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" x14ac:dyDescent="0.3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" x14ac:dyDescent="0.3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" x14ac:dyDescent="0.3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" x14ac:dyDescent="0.3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" x14ac:dyDescent="0.3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" x14ac:dyDescent="0.3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" x14ac:dyDescent="0.3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 F4:F98 I4:I98">
    <cfRule type="cellIs" dxfId="29" priority="3" stopIfTrue="1" operator="lessThanOrEqual">
      <formula>-0.1</formula>
    </cfRule>
    <cfRule type="expression" dxfId="28" priority="4">
      <formula>AND(ISNUMBER(F2), F2&gt;=0.1)</formula>
    </cfRule>
  </conditionalFormatting>
  <hyperlinks>
    <hyperlink ref="K7" r:id="rId1" display="https://us3.assetplanner.com/service_request?ID=101589" xr:uid="{B57332CD-8EE3-4AEE-AD57-7B1538689569}"/>
    <hyperlink ref="L7" r:id="rId2" display="https://us3.assetplanner.com/service_request?ID=101905" xr:uid="{88AF6242-5D8E-49BF-94C3-1D0E43C1B9D1}"/>
    <hyperlink ref="M7" r:id="rId3" display="https://us3.assetplanner.com/service_request?ID=101905" xr:uid="{F61DCE08-CCF7-48C3-8D82-C5EFA5468A5C}"/>
    <hyperlink ref="K10" r:id="rId4" display="https://us3.assetplanner.com/service_request?ID=102087" xr:uid="{7A7516F2-0F6C-42A7-865B-20E5078C361A}"/>
    <hyperlink ref="L10" r:id="rId5" display="https://us3.assetplanner.com/service_request?ID=091352" xr:uid="{5EB02DF4-08DC-486B-A8F0-BAF3F82D77FC}"/>
    <hyperlink ref="K12" r:id="rId6" display="https://us3.assetplanner.com/service_request?ID=102088" xr:uid="{9EB6A0B9-F1AE-48AD-9AB6-BED99641D88E}"/>
    <hyperlink ref="K15" r:id="rId7" display="https://us3.assetplanner.com/service_request?ID=101846" xr:uid="{9E203DA0-2237-45ED-888B-17E26A453E64}"/>
    <hyperlink ref="K18" r:id="rId8" display="https://us3.assetplanner.com/service_request?ID=099807" xr:uid="{AB9FDA33-7DEA-48AF-B8B5-539E034CF9BE}"/>
    <hyperlink ref="K21" r:id="rId9" display="https://us3.assetplanner.com/service_request?ID=095596" xr:uid="{6B66D934-1B65-4DAD-A375-789EC53FA42F}"/>
    <hyperlink ref="K31" r:id="rId10" display="https://us3.assetplanner.com/service_request?ID=101326" xr:uid="{EAF9B4E0-9375-4483-9C33-90EE29F6CE85}"/>
    <hyperlink ref="K32" r:id="rId11" display="https://us3.assetplanner.com/service_request?ID=101279" xr:uid="{56B228EF-B8FE-4469-BA4F-37FFE3F59F40}"/>
    <hyperlink ref="K34" r:id="rId12" display="https://us3.assetplanner.com/service_request?ID=097762" xr:uid="{DEE2E7D4-58B8-4F07-B44D-67C12C7186CD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40"/>
  <sheetViews>
    <sheetView zoomScale="80" zoomScaleNormal="80" workbookViewId="0">
      <pane xSplit="2" ySplit="3" topLeftCell="C30" activePane="bottomRight" state="frozen"/>
      <selection pane="topRight" activeCell="P19" sqref="P19:P20"/>
      <selection pane="bottomLeft" activeCell="P19" sqref="P19:P20"/>
      <selection pane="bottomRight" activeCell="F38" sqref="F38"/>
    </sheetView>
  </sheetViews>
  <sheetFormatPr defaultRowHeight="13.8" x14ac:dyDescent="0.25"/>
  <cols>
    <col min="1" max="1" width="35.88671875" bestFit="1" customWidth="1"/>
    <col min="2" max="2" width="8.44140625" style="34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2" ht="19.5" customHeight="1" x14ac:dyDescent="0.25">
      <c r="A1" s="89" t="str" cm="1">
        <f t="array" ref="A1">portfolio</f>
        <v>Cushman &amp; Wakefield</v>
      </c>
      <c r="B1" s="89"/>
      <c r="C1" s="89"/>
      <c r="D1" s="90" t="s">
        <v>100</v>
      </c>
      <c r="E1" s="90"/>
      <c r="F1" s="90"/>
      <c r="G1" s="88" t="s">
        <v>101</v>
      </c>
      <c r="H1" s="88"/>
      <c r="I1" s="88"/>
      <c r="J1" s="4"/>
      <c r="K1" s="4"/>
    </row>
    <row r="2" spans="1:12" ht="19.5" customHeight="1" x14ac:dyDescent="0.25">
      <c r="A2" s="91" t="s">
        <v>2</v>
      </c>
      <c r="B2" s="91"/>
      <c r="C2" s="5">
        <f>SUM(C4:C98)</f>
        <v>62687.340000000004</v>
      </c>
      <c r="D2" s="5">
        <f>SUM(D4:D98)</f>
        <v>0</v>
      </c>
      <c r="E2" s="5">
        <f>C2-D2</f>
        <v>62687.340000000004</v>
      </c>
      <c r="F2" s="6">
        <f>IFERROR(E2/D2, 0)</f>
        <v>0</v>
      </c>
      <c r="G2" s="5">
        <f>SUM(G4:G98)</f>
        <v>0</v>
      </c>
      <c r="H2" s="7">
        <f>C2-G2</f>
        <v>62687.340000000004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 x14ac:dyDescent="0.25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 x14ac:dyDescent="0.3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70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  <c r="L4" s="59"/>
    </row>
    <row r="5" spans="1:12" ht="15.6" x14ac:dyDescent="0.3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71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59"/>
    </row>
    <row r="6" spans="1:12" ht="30.6" customHeight="1" x14ac:dyDescent="0.3">
      <c r="A6" s="28" t="str">
        <v xml:space="preserve"> Arvin - Bank of America</v>
      </c>
      <c r="B6" s="29" t="str">
        <v>CA</v>
      </c>
      <c r="C6" s="24">
        <v>118.82599999999999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70" t="s">
        <v>22</v>
      </c>
      <c r="H6" s="15" t="str">
        <f t="shared" si="1"/>
        <v/>
      </c>
      <c r="I6" s="16" t="str">
        <f t="shared" si="2"/>
        <v/>
      </c>
      <c r="J6" s="41"/>
      <c r="K6" s="41"/>
      <c r="L6" s="59"/>
    </row>
    <row r="7" spans="1:12" ht="33" customHeight="1" x14ac:dyDescent="0.3">
      <c r="A7" s="30" t="str">
        <v xml:space="preserve"> Bell - Bank of America</v>
      </c>
      <c r="B7" s="31" t="str">
        <v>CA</v>
      </c>
      <c r="C7" s="11">
        <v>1895.088</v>
      </c>
      <c r="D7" s="18" t="s">
        <v>22</v>
      </c>
      <c r="E7" s="18" t="str">
        <f t="shared" si="0"/>
        <v/>
      </c>
      <c r="F7" s="19" t="str">
        <f t="shared" si="3"/>
        <v/>
      </c>
      <c r="G7" s="71" t="s">
        <v>22</v>
      </c>
      <c r="H7" s="20" t="str">
        <f t="shared" si="1"/>
        <v/>
      </c>
      <c r="I7" s="19" t="str">
        <f t="shared" si="2"/>
        <v/>
      </c>
      <c r="J7" s="60" t="s">
        <v>102</v>
      </c>
      <c r="K7" s="66" t="s">
        <v>103</v>
      </c>
      <c r="L7" s="59"/>
    </row>
    <row r="8" spans="1:12" ht="15.6" x14ac:dyDescent="0.3">
      <c r="A8" s="28" t="str">
        <v xml:space="preserve"> Chula Vista - Bank of America</v>
      </c>
      <c r="B8" s="29" t="str">
        <v>CA</v>
      </c>
      <c r="C8" s="24">
        <v>1373.0419999999999</v>
      </c>
      <c r="D8" s="13" t="s">
        <v>22</v>
      </c>
      <c r="E8" s="13" t="str">
        <f t="shared" si="0"/>
        <v/>
      </c>
      <c r="F8" s="14" t="str">
        <f t="shared" si="3"/>
        <v/>
      </c>
      <c r="G8" s="70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59"/>
    </row>
    <row r="9" spans="1:12" ht="15.6" x14ac:dyDescent="0.3">
      <c r="A9" s="30" t="str">
        <v xml:space="preserve"> Cupertino - Bank of America</v>
      </c>
      <c r="B9" s="31" t="str">
        <v>CA</v>
      </c>
      <c r="C9" s="11">
        <v>2842.8270000000002</v>
      </c>
      <c r="D9" s="18" t="s">
        <v>22</v>
      </c>
      <c r="E9" s="18" t="str">
        <f t="shared" si="0"/>
        <v/>
      </c>
      <c r="F9" s="19" t="str">
        <f t="shared" si="3"/>
        <v/>
      </c>
      <c r="G9" s="71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59"/>
    </row>
    <row r="10" spans="1:12" ht="86.4" x14ac:dyDescent="0.3">
      <c r="A10" s="28" t="str">
        <v xml:space="preserve"> Diamond Bar - Bank of America</v>
      </c>
      <c r="B10" s="29" t="str">
        <v>CA</v>
      </c>
      <c r="C10" s="24">
        <v>3246.55</v>
      </c>
      <c r="D10" s="13" t="s">
        <v>22</v>
      </c>
      <c r="E10" s="13" t="str">
        <f t="shared" si="0"/>
        <v/>
      </c>
      <c r="F10" s="14" t="str">
        <f t="shared" si="3"/>
        <v/>
      </c>
      <c r="G10" s="70" t="s">
        <v>22</v>
      </c>
      <c r="H10" s="15" t="str">
        <f t="shared" si="1"/>
        <v/>
      </c>
      <c r="I10" s="16" t="str">
        <f t="shared" si="2"/>
        <v/>
      </c>
      <c r="J10" s="41" t="s">
        <v>104</v>
      </c>
      <c r="K10" s="65" t="s">
        <v>105</v>
      </c>
      <c r="L10" s="59"/>
    </row>
    <row r="11" spans="1:12" ht="15.6" x14ac:dyDescent="0.3">
      <c r="A11" s="30" t="str">
        <v xml:space="preserve"> El Centro - Bank of America</v>
      </c>
      <c r="B11" s="31" t="str">
        <v>CA</v>
      </c>
      <c r="C11" s="11">
        <v>3107.6750000000002</v>
      </c>
      <c r="D11" s="18" t="s">
        <v>22</v>
      </c>
      <c r="E11" s="18" t="str">
        <f t="shared" si="0"/>
        <v/>
      </c>
      <c r="F11" s="19" t="str">
        <f t="shared" si="3"/>
        <v/>
      </c>
      <c r="G11" s="71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59"/>
    </row>
    <row r="12" spans="1:12" ht="28.8" x14ac:dyDescent="0.3">
      <c r="A12" s="28" t="str">
        <v xml:space="preserve"> Moreno Valley - Bank of America</v>
      </c>
      <c r="B12" s="29" t="str">
        <v>CA</v>
      </c>
      <c r="C12" s="24">
        <v>5670.7939999999999</v>
      </c>
      <c r="D12" s="13" t="s">
        <v>22</v>
      </c>
      <c r="E12" s="13" t="str">
        <f t="shared" si="0"/>
        <v/>
      </c>
      <c r="F12" s="14" t="str">
        <f t="shared" si="3"/>
        <v/>
      </c>
      <c r="G12" s="70" t="s">
        <v>22</v>
      </c>
      <c r="H12" s="15" t="str">
        <f t="shared" si="1"/>
        <v/>
      </c>
      <c r="I12" s="16" t="str">
        <f t="shared" si="2"/>
        <v/>
      </c>
      <c r="J12" s="41" t="s">
        <v>106</v>
      </c>
      <c r="K12" s="65" t="s">
        <v>90</v>
      </c>
      <c r="L12" s="59"/>
    </row>
    <row r="13" spans="1:12" ht="15.6" x14ac:dyDescent="0.3">
      <c r="A13" s="30" t="str">
        <v xml:space="preserve"> Redlands - Bank of America</v>
      </c>
      <c r="B13" s="31" t="str">
        <v>CA</v>
      </c>
      <c r="C13" s="11">
        <v>0</v>
      </c>
      <c r="D13" s="18" t="s">
        <v>22</v>
      </c>
      <c r="E13" s="18" t="str">
        <f t="shared" si="0"/>
        <v/>
      </c>
      <c r="F13" s="19" t="str">
        <f t="shared" si="3"/>
        <v/>
      </c>
      <c r="G13" s="71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59"/>
    </row>
    <row r="14" spans="1:12" ht="15.6" x14ac:dyDescent="0.3">
      <c r="A14" s="28" t="str">
        <v xml:space="preserve"> Roseville - Bank of America</v>
      </c>
      <c r="B14" s="29" t="str">
        <v>CA</v>
      </c>
      <c r="C14" s="24">
        <v>8251.2839999999997</v>
      </c>
      <c r="D14" s="13" t="s">
        <v>22</v>
      </c>
      <c r="E14" s="13" t="str">
        <f t="shared" si="0"/>
        <v/>
      </c>
      <c r="F14" s="14" t="str">
        <f t="shared" si="3"/>
        <v/>
      </c>
      <c r="G14" s="70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59"/>
    </row>
    <row r="15" spans="1:12" ht="51.75" customHeight="1" x14ac:dyDescent="0.3">
      <c r="A15" s="30" t="str">
        <v xml:space="preserve"> San Bernardino - Bank of America</v>
      </c>
      <c r="B15" s="31" t="str">
        <v>CA</v>
      </c>
      <c r="C15" s="11">
        <v>71.63</v>
      </c>
      <c r="D15" s="18" t="s">
        <v>22</v>
      </c>
      <c r="E15" s="18" t="str">
        <f t="shared" si="0"/>
        <v/>
      </c>
      <c r="F15" s="19" t="str">
        <f t="shared" si="3"/>
        <v/>
      </c>
      <c r="G15" s="71" t="s">
        <v>22</v>
      </c>
      <c r="H15" s="20" t="str">
        <f t="shared" si="1"/>
        <v/>
      </c>
      <c r="I15" s="19" t="str">
        <f t="shared" si="2"/>
        <v/>
      </c>
      <c r="J15" s="42" t="s">
        <v>107</v>
      </c>
      <c r="K15" s="68" t="s">
        <v>108</v>
      </c>
      <c r="L15" s="59"/>
    </row>
    <row r="16" spans="1:12" ht="15.6" x14ac:dyDescent="0.3">
      <c r="A16" s="28" t="str">
        <v xml:space="preserve"> San Diego - Bank of America</v>
      </c>
      <c r="B16" s="29" t="str">
        <v>CA</v>
      </c>
      <c r="C16" s="24">
        <v>66.894000000000005</v>
      </c>
      <c r="D16" s="13" t="s">
        <v>22</v>
      </c>
      <c r="E16" s="13" t="str">
        <f t="shared" si="0"/>
        <v/>
      </c>
      <c r="F16" s="14" t="str">
        <f t="shared" si="3"/>
        <v/>
      </c>
      <c r="G16" s="70" t="s">
        <v>22</v>
      </c>
      <c r="H16" s="15" t="str">
        <f t="shared" si="1"/>
        <v/>
      </c>
      <c r="I16" s="16" t="str">
        <f t="shared" si="2"/>
        <v/>
      </c>
      <c r="J16" s="41"/>
      <c r="K16" s="41"/>
      <c r="L16" s="59"/>
    </row>
    <row r="17" spans="1:12" ht="15.6" x14ac:dyDescent="0.3">
      <c r="A17" s="30" t="str">
        <v xml:space="preserve"> Stockton - Bank of America</v>
      </c>
      <c r="B17" s="31" t="str">
        <v>CA</v>
      </c>
      <c r="C17" s="11">
        <v>2517.8359999999998</v>
      </c>
      <c r="D17" s="18" t="s">
        <v>22</v>
      </c>
      <c r="E17" s="18" t="str">
        <f t="shared" si="0"/>
        <v/>
      </c>
      <c r="F17" s="19" t="str">
        <f t="shared" si="3"/>
        <v/>
      </c>
      <c r="G17" s="71" t="s">
        <v>22</v>
      </c>
      <c r="H17" s="20" t="str">
        <f t="shared" si="1"/>
        <v/>
      </c>
      <c r="I17" s="19" t="str">
        <f t="shared" si="2"/>
        <v/>
      </c>
      <c r="J17" s="42"/>
      <c r="K17" s="43"/>
      <c r="L17" s="59"/>
    </row>
    <row r="18" spans="1:12" ht="12.75" customHeight="1" x14ac:dyDescent="0.3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70" t="s">
        <v>22</v>
      </c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  <c r="L18" s="59"/>
    </row>
    <row r="19" spans="1:12" ht="15.6" x14ac:dyDescent="0.3">
      <c r="A19" s="30" t="str">
        <v xml:space="preserve"> Aurora - BA - Colfax Ave</v>
      </c>
      <c r="B19" s="31" t="str">
        <v>CO</v>
      </c>
      <c r="C19" s="11">
        <v>1399.193</v>
      </c>
      <c r="D19" s="18" t="s">
        <v>22</v>
      </c>
      <c r="E19" s="18" t="str">
        <f t="shared" si="4"/>
        <v/>
      </c>
      <c r="F19" s="19" t="str">
        <f t="shared" si="5"/>
        <v/>
      </c>
      <c r="G19" s="71" t="s">
        <v>22</v>
      </c>
      <c r="H19" s="20" t="str">
        <f t="shared" si="6"/>
        <v/>
      </c>
      <c r="I19" s="19" t="str">
        <f t="shared" si="7"/>
        <v/>
      </c>
      <c r="J19" s="42"/>
      <c r="K19" s="43"/>
      <c r="L19" s="59"/>
    </row>
    <row r="20" spans="1:12" ht="15.6" x14ac:dyDescent="0.3">
      <c r="A20" s="28" t="str">
        <v xml:space="preserve"> Aurora - BA - Parker Rd</v>
      </c>
      <c r="B20" s="29" t="str">
        <v>CO</v>
      </c>
      <c r="C20" s="24">
        <v>0</v>
      </c>
      <c r="D20" s="13" t="s">
        <v>22</v>
      </c>
      <c r="E20" s="13" t="str">
        <f t="shared" si="4"/>
        <v/>
      </c>
      <c r="F20" s="14" t="str">
        <f t="shared" si="5"/>
        <v/>
      </c>
      <c r="G20" s="70" t="s">
        <v>22</v>
      </c>
      <c r="H20" s="15" t="str">
        <f t="shared" si="6"/>
        <v/>
      </c>
      <c r="I20" s="16" t="str">
        <f t="shared" si="7"/>
        <v/>
      </c>
      <c r="J20" s="41"/>
      <c r="K20" s="41"/>
      <c r="L20" s="59"/>
    </row>
    <row r="21" spans="1:12" ht="15.6" x14ac:dyDescent="0.3">
      <c r="A21" s="30" t="str">
        <v xml:space="preserve"> Broomfield - Bank of America</v>
      </c>
      <c r="B21" s="31" t="str">
        <v>CO</v>
      </c>
      <c r="C21" s="11">
        <v>1902.3969999999999</v>
      </c>
      <c r="D21" s="18" t="s">
        <v>22</v>
      </c>
      <c r="E21" s="18" t="str">
        <f t="shared" si="4"/>
        <v/>
      </c>
      <c r="F21" s="19" t="str">
        <f t="shared" si="5"/>
        <v/>
      </c>
      <c r="G21" s="71" t="s">
        <v>22</v>
      </c>
      <c r="H21" s="20" t="str">
        <f t="shared" si="6"/>
        <v/>
      </c>
      <c r="I21" s="19" t="str">
        <f t="shared" si="7"/>
        <v/>
      </c>
      <c r="J21" s="42"/>
      <c r="K21" s="43"/>
      <c r="L21" s="59"/>
    </row>
    <row r="22" spans="1:12" ht="15.6" x14ac:dyDescent="0.3">
      <c r="A22" s="28" t="str">
        <v xml:space="preserve"> Colorado Springs - Bank of America</v>
      </c>
      <c r="B22" s="29" t="str">
        <v>CO</v>
      </c>
      <c r="C22" s="24">
        <v>2890.3130000000001</v>
      </c>
      <c r="D22" s="13" t="s">
        <v>22</v>
      </c>
      <c r="E22" s="13" t="str">
        <f t="shared" si="4"/>
        <v/>
      </c>
      <c r="F22" s="14" t="str">
        <f t="shared" si="5"/>
        <v/>
      </c>
      <c r="G22" s="70" t="s">
        <v>22</v>
      </c>
      <c r="H22" s="15" t="str">
        <f t="shared" si="6"/>
        <v/>
      </c>
      <c r="I22" s="16" t="str">
        <f t="shared" si="7"/>
        <v/>
      </c>
      <c r="J22" s="41" t="s">
        <v>109</v>
      </c>
      <c r="K22" s="65" t="s">
        <v>110</v>
      </c>
      <c r="L22" s="59"/>
    </row>
    <row r="23" spans="1:12" ht="15.6" x14ac:dyDescent="0.3">
      <c r="A23" s="30" t="str">
        <v xml:space="preserve"> Denver - BA - 49th Ave</v>
      </c>
      <c r="B23" s="31" t="str">
        <v>CO</v>
      </c>
      <c r="C23" s="11">
        <v>1293.713</v>
      </c>
      <c r="D23" s="18" t="s">
        <v>22</v>
      </c>
      <c r="E23" s="18" t="str">
        <f t="shared" si="4"/>
        <v/>
      </c>
      <c r="F23" s="19" t="str">
        <f t="shared" si="5"/>
        <v/>
      </c>
      <c r="G23" s="71" t="s">
        <v>22</v>
      </c>
      <c r="H23" s="20" t="str">
        <f t="shared" si="6"/>
        <v/>
      </c>
      <c r="I23" s="19" t="str">
        <f t="shared" si="7"/>
        <v/>
      </c>
      <c r="J23" s="42"/>
      <c r="K23" s="43"/>
      <c r="L23" s="59"/>
    </row>
    <row r="24" spans="1:12" ht="15.6" x14ac:dyDescent="0.3">
      <c r="A24" s="28" t="str">
        <v xml:space="preserve"> Denver - BA Wadsworth Blvd</v>
      </c>
      <c r="B24" s="29" t="str">
        <v>CO</v>
      </c>
      <c r="C24" s="24">
        <v>2724.3490000000002</v>
      </c>
      <c r="D24" s="13" t="s">
        <v>22</v>
      </c>
      <c r="E24" s="13" t="str">
        <f t="shared" si="4"/>
        <v/>
      </c>
      <c r="F24" s="14" t="str">
        <f t="shared" si="5"/>
        <v/>
      </c>
      <c r="G24" s="70" t="s">
        <v>22</v>
      </c>
      <c r="H24" s="15" t="str">
        <f t="shared" si="6"/>
        <v/>
      </c>
      <c r="I24" s="16" t="str">
        <f t="shared" si="7"/>
        <v/>
      </c>
      <c r="J24" s="41"/>
      <c r="K24" s="41"/>
      <c r="L24" s="59"/>
    </row>
    <row r="25" spans="1:12" ht="15.6" x14ac:dyDescent="0.3">
      <c r="A25" s="30" t="str">
        <v xml:space="preserve"> Fort Collins - Bank of America</v>
      </c>
      <c r="B25" s="31" t="str">
        <v>CO</v>
      </c>
      <c r="C25" s="11">
        <v>1871.539</v>
      </c>
      <c r="D25" s="18" t="s">
        <v>22</v>
      </c>
      <c r="E25" s="18" t="str">
        <f t="shared" si="4"/>
        <v/>
      </c>
      <c r="F25" s="19" t="str">
        <f t="shared" si="5"/>
        <v/>
      </c>
      <c r="G25" s="71" t="s">
        <v>22</v>
      </c>
      <c r="H25" s="20" t="str">
        <f t="shared" si="6"/>
        <v/>
      </c>
      <c r="I25" s="19" t="str">
        <f t="shared" si="7"/>
        <v/>
      </c>
      <c r="J25" s="42"/>
      <c r="K25" s="43"/>
      <c r="L25" s="59"/>
    </row>
    <row r="26" spans="1:12" ht="15.6" x14ac:dyDescent="0.3">
      <c r="A26" s="28" t="str">
        <v xml:space="preserve"> Lafayette - Bank of America</v>
      </c>
      <c r="B26" s="29" t="str">
        <v>CO</v>
      </c>
      <c r="C26" s="24">
        <v>2539.0949999999998</v>
      </c>
      <c r="D26" s="13" t="s">
        <v>22</v>
      </c>
      <c r="E26" s="13" t="str">
        <f t="shared" si="4"/>
        <v/>
      </c>
      <c r="F26" s="14" t="str">
        <f t="shared" si="5"/>
        <v/>
      </c>
      <c r="G26" s="70" t="s">
        <v>22</v>
      </c>
      <c r="H26" s="15" t="str">
        <f t="shared" si="6"/>
        <v/>
      </c>
      <c r="I26" s="16" t="str">
        <f t="shared" si="7"/>
        <v/>
      </c>
      <c r="J26" s="41"/>
      <c r="K26" s="41"/>
      <c r="L26" s="59"/>
    </row>
    <row r="27" spans="1:12" ht="15.6" x14ac:dyDescent="0.3">
      <c r="A27" s="30" t="str">
        <v xml:space="preserve"> Lakewood - Bank of America</v>
      </c>
      <c r="B27" s="31" t="str">
        <v>CO</v>
      </c>
      <c r="C27" s="11">
        <v>1485.261</v>
      </c>
      <c r="D27" s="18" t="s">
        <v>22</v>
      </c>
      <c r="E27" s="18" t="str">
        <f t="shared" si="4"/>
        <v/>
      </c>
      <c r="F27" s="19" t="str">
        <f t="shared" si="5"/>
        <v/>
      </c>
      <c r="G27" s="71" t="s">
        <v>22</v>
      </c>
      <c r="H27" s="20" t="str">
        <f t="shared" si="6"/>
        <v/>
      </c>
      <c r="I27" s="19" t="str">
        <f t="shared" si="7"/>
        <v/>
      </c>
      <c r="J27" s="42"/>
      <c r="K27" s="43"/>
      <c r="L27" s="59"/>
    </row>
    <row r="28" spans="1:12" ht="15.6" x14ac:dyDescent="0.3">
      <c r="A28" s="28" t="str">
        <v xml:space="preserve"> Longmont - Bank of America</v>
      </c>
      <c r="B28" s="29" t="str">
        <v>CO</v>
      </c>
      <c r="C28" s="24">
        <v>1311.5429999999999</v>
      </c>
      <c r="D28" s="13" t="s">
        <v>22</v>
      </c>
      <c r="E28" s="13" t="str">
        <f t="shared" si="4"/>
        <v/>
      </c>
      <c r="F28" s="14" t="str">
        <f t="shared" si="5"/>
        <v/>
      </c>
      <c r="G28" s="70" t="s">
        <v>22</v>
      </c>
      <c r="H28" s="15" t="str">
        <f t="shared" si="6"/>
        <v/>
      </c>
      <c r="I28" s="16" t="str">
        <f t="shared" si="7"/>
        <v/>
      </c>
      <c r="J28" s="41"/>
      <c r="K28" s="41"/>
      <c r="L28" s="59"/>
    </row>
    <row r="29" spans="1:12" ht="39.6" customHeight="1" x14ac:dyDescent="0.3">
      <c r="A29" s="30" t="str">
        <v xml:space="preserve"> Thornton - Bank of America</v>
      </c>
      <c r="B29" s="31" t="str">
        <v>CO</v>
      </c>
      <c r="C29" s="11">
        <v>1533.8879999999999</v>
      </c>
      <c r="D29" s="18" t="s">
        <v>22</v>
      </c>
      <c r="E29" s="18" t="str">
        <f t="shared" si="4"/>
        <v/>
      </c>
      <c r="F29" s="19" t="str">
        <f t="shared" si="5"/>
        <v/>
      </c>
      <c r="G29" s="71" t="s">
        <v>22</v>
      </c>
      <c r="H29" s="20" t="str">
        <f t="shared" si="6"/>
        <v/>
      </c>
      <c r="I29" s="19" t="str">
        <f t="shared" si="7"/>
        <v/>
      </c>
      <c r="J29" s="42"/>
      <c r="K29" s="56"/>
      <c r="L29" s="59"/>
    </row>
    <row r="30" spans="1:12" ht="15.6" x14ac:dyDescent="0.3">
      <c r="A30" s="28" t="str">
        <v xml:space="preserve"> Calumet City - Bank of America</v>
      </c>
      <c r="B30" s="29" t="str">
        <v>IL</v>
      </c>
      <c r="C30" s="24">
        <v>2976.5010000000002</v>
      </c>
      <c r="D30" s="13" t="s">
        <v>22</v>
      </c>
      <c r="E30" s="13" t="str">
        <f t="shared" si="4"/>
        <v/>
      </c>
      <c r="F30" s="14" t="str">
        <f t="shared" si="5"/>
        <v/>
      </c>
      <c r="G30" s="70" t="s">
        <v>22</v>
      </c>
      <c r="H30" s="15" t="str">
        <f t="shared" si="6"/>
        <v/>
      </c>
      <c r="I30" s="16" t="str">
        <f t="shared" si="7"/>
        <v/>
      </c>
      <c r="J30" s="41"/>
      <c r="K30" s="41"/>
      <c r="L30" s="59"/>
    </row>
    <row r="31" spans="1:12" ht="15.6" x14ac:dyDescent="0.3">
      <c r="A31" s="30" t="str">
        <v xml:space="preserve"> Downers Grove - Bank of America</v>
      </c>
      <c r="B31" s="31" t="str">
        <v>IL</v>
      </c>
      <c r="C31" s="11">
        <v>3319.0949999999998</v>
      </c>
      <c r="D31" s="18" t="s">
        <v>22</v>
      </c>
      <c r="E31" s="18" t="str">
        <f t="shared" si="4"/>
        <v/>
      </c>
      <c r="F31" s="19" t="str">
        <f t="shared" si="5"/>
        <v/>
      </c>
      <c r="G31" s="71" t="s">
        <v>22</v>
      </c>
      <c r="H31" s="20" t="str">
        <f t="shared" si="6"/>
        <v/>
      </c>
      <c r="I31" s="19" t="str">
        <f t="shared" si="7"/>
        <v/>
      </c>
      <c r="J31" s="42" t="s">
        <v>111</v>
      </c>
      <c r="K31" s="74" t="s">
        <v>112</v>
      </c>
      <c r="L31" s="59"/>
    </row>
    <row r="32" spans="1:12" ht="15.6" x14ac:dyDescent="0.3">
      <c r="A32" s="28" t="str">
        <v xml:space="preserve"> Bloomington - Bank of America</v>
      </c>
      <c r="B32" s="29" t="str">
        <v>MN</v>
      </c>
      <c r="C32" s="24">
        <v>536.25599999999997</v>
      </c>
      <c r="D32" s="13" t="s">
        <v>22</v>
      </c>
      <c r="E32" s="13" t="str">
        <f t="shared" si="4"/>
        <v/>
      </c>
      <c r="F32" s="14" t="str">
        <f t="shared" si="5"/>
        <v/>
      </c>
      <c r="G32" s="70" t="s">
        <v>22</v>
      </c>
      <c r="H32" s="15" t="str">
        <f t="shared" si="6"/>
        <v/>
      </c>
      <c r="I32" s="16" t="str">
        <f t="shared" si="7"/>
        <v/>
      </c>
      <c r="J32" s="41"/>
      <c r="K32" s="41"/>
      <c r="L32" s="59"/>
    </row>
    <row r="33" spans="1:12" ht="28.8" x14ac:dyDescent="0.3">
      <c r="A33" s="30" t="str">
        <v xml:space="preserve"> Clayton - Bank of America</v>
      </c>
      <c r="B33" s="31" t="str">
        <v>MO</v>
      </c>
      <c r="C33" s="11">
        <v>2305.3879999999999</v>
      </c>
      <c r="D33" s="18" t="s">
        <v>22</v>
      </c>
      <c r="E33" s="18" t="str">
        <f t="shared" si="4"/>
        <v/>
      </c>
      <c r="F33" s="19" t="str">
        <f t="shared" si="5"/>
        <v/>
      </c>
      <c r="G33" s="71" t="s">
        <v>22</v>
      </c>
      <c r="H33" s="20" t="str">
        <f t="shared" si="6"/>
        <v/>
      </c>
      <c r="I33" s="19" t="str">
        <f t="shared" si="7"/>
        <v/>
      </c>
      <c r="J33" s="42" t="s">
        <v>113</v>
      </c>
      <c r="K33" s="74" t="s">
        <v>114</v>
      </c>
      <c r="L33" s="59"/>
    </row>
    <row r="34" spans="1:12" ht="15.6" x14ac:dyDescent="0.3">
      <c r="A34" s="28" t="str">
        <v xml:space="preserve"> Manchester - Bank of America</v>
      </c>
      <c r="B34" s="29" t="str">
        <v>MO</v>
      </c>
      <c r="C34" s="24">
        <v>1900.8109999999999</v>
      </c>
      <c r="D34" s="13" t="s">
        <v>22</v>
      </c>
      <c r="E34" s="13" t="str">
        <f t="shared" si="4"/>
        <v/>
      </c>
      <c r="F34" s="14" t="str">
        <f t="shared" si="5"/>
        <v/>
      </c>
      <c r="G34" s="70" t="s">
        <v>22</v>
      </c>
      <c r="H34" s="15" t="str">
        <f t="shared" si="6"/>
        <v/>
      </c>
      <c r="I34" s="16" t="str">
        <f t="shared" si="7"/>
        <v/>
      </c>
      <c r="J34" s="41"/>
      <c r="K34" s="41"/>
      <c r="L34" s="59"/>
    </row>
    <row r="35" spans="1:12" ht="15.6" x14ac:dyDescent="0.3">
      <c r="A35" s="30" t="str">
        <v xml:space="preserve"> Las Vegas - BA - Eastern Ave</v>
      </c>
      <c r="B35" s="31" t="str">
        <v>NV</v>
      </c>
      <c r="C35" s="11">
        <v>72.747</v>
      </c>
      <c r="D35" s="18" t="s">
        <v>22</v>
      </c>
      <c r="E35" s="18" t="str">
        <f t="shared" si="4"/>
        <v/>
      </c>
      <c r="F35" s="19" t="str">
        <f t="shared" si="5"/>
        <v/>
      </c>
      <c r="G35" s="71" t="s">
        <v>22</v>
      </c>
      <c r="H35" s="20" t="str">
        <f t="shared" si="6"/>
        <v/>
      </c>
      <c r="I35" s="19" t="str">
        <f t="shared" si="7"/>
        <v/>
      </c>
      <c r="J35" s="42"/>
      <c r="K35" s="43"/>
      <c r="L35" s="59"/>
    </row>
    <row r="36" spans="1:12" ht="15.6" x14ac:dyDescent="0.3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4"/>
        <v/>
      </c>
      <c r="F36" s="14" t="str">
        <f t="shared" si="5"/>
        <v/>
      </c>
      <c r="G36" s="70" t="s">
        <v>22</v>
      </c>
      <c r="H36" s="15" t="str">
        <f t="shared" si="6"/>
        <v/>
      </c>
      <c r="I36" s="16" t="str">
        <f t="shared" si="7"/>
        <v/>
      </c>
      <c r="J36" s="41"/>
      <c r="K36" s="41"/>
      <c r="L36" s="59"/>
    </row>
    <row r="37" spans="1:12" ht="15.6" x14ac:dyDescent="0.3">
      <c r="A37" s="30" t="str">
        <v xml:space="preserve"> Riverton - Bank of America</v>
      </c>
      <c r="B37" s="31" t="str">
        <v>UT</v>
      </c>
      <c r="C37" s="11">
        <v>3235.0529999999999</v>
      </c>
      <c r="D37" s="18" t="s">
        <v>22</v>
      </c>
      <c r="E37" s="18" t="str">
        <f t="shared" si="4"/>
        <v/>
      </c>
      <c r="F37" s="19" t="str">
        <f t="shared" si="5"/>
        <v/>
      </c>
      <c r="G37" s="71" t="s">
        <v>22</v>
      </c>
      <c r="H37" s="20" t="str">
        <f t="shared" si="6"/>
        <v/>
      </c>
      <c r="I37" s="19" t="str">
        <f t="shared" si="7"/>
        <v/>
      </c>
      <c r="J37" s="42"/>
      <c r="K37" s="43"/>
      <c r="L37" s="59"/>
    </row>
    <row r="38" spans="1:12" ht="15.6" x14ac:dyDescent="0.3">
      <c r="A38" s="28" t="str">
        <v xml:space="preserve"> Salt Lake City - Bank of America</v>
      </c>
      <c r="B38" s="29" t="str">
        <v>UT</v>
      </c>
      <c r="C38" s="24">
        <v>227.75200000000001</v>
      </c>
      <c r="D38" s="13" t="s">
        <v>22</v>
      </c>
      <c r="E38" s="13" t="str">
        <f t="shared" si="4"/>
        <v/>
      </c>
      <c r="F38" s="14" t="str">
        <f t="shared" si="5"/>
        <v/>
      </c>
      <c r="G38" s="70" t="s">
        <v>22</v>
      </c>
      <c r="H38" s="15" t="str">
        <f t="shared" si="6"/>
        <v/>
      </c>
      <c r="I38" s="16" t="str">
        <f t="shared" si="7"/>
        <v/>
      </c>
      <c r="J38" s="41"/>
      <c r="K38" s="41"/>
      <c r="L38" s="59"/>
    </row>
    <row r="39" spans="1:12" ht="14.4" x14ac:dyDescent="0.3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2" ht="14.4" x14ac:dyDescent="0.3">
      <c r="A40" s="21"/>
      <c r="B40" s="33"/>
      <c r="C40" s="58"/>
      <c r="D40" s="21"/>
      <c r="E40" s="21"/>
      <c r="F40" s="22"/>
      <c r="G40" s="21"/>
      <c r="H40" s="21"/>
      <c r="I40" s="22"/>
      <c r="J40" s="21"/>
      <c r="K40" s="21"/>
    </row>
    <row r="41" spans="1:12" ht="14.4" x14ac:dyDescent="0.3">
      <c r="A41" s="21"/>
      <c r="B41" s="33"/>
      <c r="C41" s="58"/>
      <c r="D41" s="21"/>
      <c r="E41" s="21"/>
      <c r="F41" s="22"/>
      <c r="G41" s="21"/>
      <c r="H41" s="21"/>
      <c r="I41" s="22"/>
      <c r="J41" s="21"/>
      <c r="K41" s="21"/>
    </row>
    <row r="42" spans="1:12" ht="14.4" x14ac:dyDescent="0.3">
      <c r="A42" s="21"/>
      <c r="B42" s="33"/>
      <c r="C42" s="58"/>
      <c r="D42" s="21"/>
      <c r="E42" s="21"/>
      <c r="F42" s="22"/>
      <c r="G42" s="21"/>
      <c r="H42" s="21"/>
      <c r="I42" s="22"/>
      <c r="J42" s="21"/>
      <c r="K42" s="21"/>
    </row>
    <row r="43" spans="1:12" ht="14.4" x14ac:dyDescent="0.3">
      <c r="A43" s="21"/>
      <c r="B43" s="33"/>
      <c r="C43" s="58"/>
      <c r="D43" s="21"/>
      <c r="E43" s="21"/>
      <c r="F43" s="22"/>
      <c r="G43" s="21"/>
      <c r="H43" s="21"/>
      <c r="I43" s="22"/>
      <c r="J43" s="21"/>
      <c r="K43" s="21"/>
    </row>
    <row r="44" spans="1:12" ht="14.4" x14ac:dyDescent="0.3">
      <c r="A44" s="21"/>
      <c r="B44" s="33"/>
      <c r="C44" s="58"/>
      <c r="D44" s="21"/>
      <c r="E44" s="21"/>
      <c r="F44" s="22"/>
      <c r="G44" s="21"/>
      <c r="H44" s="21"/>
      <c r="I44" s="22"/>
      <c r="J44" s="21"/>
      <c r="K44" s="21"/>
    </row>
    <row r="45" spans="1:12" ht="14.4" x14ac:dyDescent="0.3">
      <c r="A45" s="21"/>
      <c r="B45" s="33"/>
      <c r="C45" s="58"/>
      <c r="D45" s="21"/>
      <c r="E45" s="21"/>
      <c r="F45" s="22"/>
      <c r="G45" s="21"/>
      <c r="H45" s="21"/>
      <c r="I45" s="22"/>
      <c r="J45" s="21"/>
      <c r="K45" s="21"/>
    </row>
    <row r="46" spans="1:12" ht="14.4" x14ac:dyDescent="0.3">
      <c r="A46" s="21"/>
      <c r="B46" s="33"/>
      <c r="C46" s="58"/>
      <c r="D46" s="21"/>
      <c r="E46" s="21"/>
      <c r="F46" s="22"/>
      <c r="G46" s="21"/>
      <c r="H46" s="21"/>
      <c r="I46" s="22"/>
      <c r="J46" s="21"/>
      <c r="K46" s="21"/>
    </row>
    <row r="47" spans="1:12" ht="14.4" x14ac:dyDescent="0.3">
      <c r="A47" s="21"/>
      <c r="B47" s="33"/>
      <c r="C47" s="58"/>
      <c r="D47" s="21"/>
      <c r="E47" s="21"/>
      <c r="F47" s="22"/>
      <c r="G47" s="21"/>
      <c r="H47" s="21"/>
      <c r="I47" s="22"/>
      <c r="J47" s="21"/>
      <c r="K47" s="21"/>
    </row>
    <row r="48" spans="1:12" ht="14.4" x14ac:dyDescent="0.3">
      <c r="A48" s="21"/>
      <c r="B48" s="33"/>
      <c r="C48" s="58"/>
      <c r="D48" s="21"/>
      <c r="E48" s="21"/>
      <c r="F48" s="22"/>
      <c r="G48" s="21"/>
      <c r="H48" s="21"/>
      <c r="I48" s="22"/>
      <c r="J48" s="21"/>
      <c r="K48" s="21"/>
    </row>
    <row r="49" spans="1:11" ht="14.4" x14ac:dyDescent="0.3">
      <c r="A49" s="21"/>
      <c r="B49" s="33"/>
      <c r="C49" s="58"/>
      <c r="D49" s="21"/>
      <c r="E49" s="21"/>
      <c r="F49" s="22"/>
      <c r="G49" s="21"/>
      <c r="H49" s="21"/>
      <c r="I49" s="22"/>
      <c r="J49" s="21"/>
      <c r="K49" s="21"/>
    </row>
    <row r="50" spans="1:11" ht="14.4" x14ac:dyDescent="0.3">
      <c r="A50" s="21"/>
      <c r="B50" s="33"/>
      <c r="C50" s="58"/>
      <c r="D50" s="21"/>
      <c r="E50" s="21"/>
      <c r="F50" s="22"/>
      <c r="G50" s="21"/>
      <c r="H50" s="21"/>
      <c r="I50" s="22"/>
      <c r="J50" s="21"/>
      <c r="K50" s="21"/>
    </row>
    <row r="51" spans="1:11" ht="14.4" x14ac:dyDescent="0.3">
      <c r="A51" s="21"/>
      <c r="B51" s="33"/>
      <c r="C51" s="58"/>
      <c r="D51" s="21"/>
      <c r="E51" s="21"/>
      <c r="F51" s="22"/>
      <c r="G51" s="21"/>
      <c r="H51" s="21"/>
      <c r="I51" s="22"/>
      <c r="J51" s="21"/>
      <c r="K51" s="21"/>
    </row>
    <row r="52" spans="1:11" ht="14.4" x14ac:dyDescent="0.3">
      <c r="A52" s="21"/>
      <c r="B52" s="33"/>
      <c r="C52" s="58"/>
      <c r="D52" s="21"/>
      <c r="E52" s="21"/>
      <c r="F52" s="22"/>
      <c r="G52" s="21"/>
      <c r="H52" s="21"/>
      <c r="I52" s="22"/>
      <c r="J52" s="21"/>
      <c r="K52" s="21"/>
    </row>
    <row r="53" spans="1:11" ht="14.4" x14ac:dyDescent="0.3">
      <c r="A53" s="21"/>
      <c r="B53" s="33"/>
      <c r="C53" s="58"/>
      <c r="D53" s="21"/>
      <c r="E53" s="21"/>
      <c r="F53" s="22"/>
      <c r="G53" s="21"/>
      <c r="H53" s="21"/>
      <c r="I53" s="22"/>
      <c r="J53" s="21"/>
      <c r="K53" s="21"/>
    </row>
    <row r="54" spans="1:11" ht="14.4" x14ac:dyDescent="0.3">
      <c r="A54" s="21"/>
      <c r="B54" s="33"/>
      <c r="C54" s="58"/>
      <c r="D54" s="21"/>
      <c r="E54" s="21"/>
      <c r="F54" s="22"/>
      <c r="G54" s="21"/>
      <c r="H54" s="21"/>
      <c r="I54" s="22"/>
      <c r="J54" s="21"/>
      <c r="K54" s="21"/>
    </row>
    <row r="55" spans="1:11" ht="14.4" x14ac:dyDescent="0.3">
      <c r="A55" s="21"/>
      <c r="B55" s="33"/>
      <c r="C55" s="58"/>
      <c r="D55" s="21"/>
      <c r="E55" s="21"/>
      <c r="F55" s="22"/>
      <c r="G55" s="21"/>
      <c r="H55" s="21"/>
      <c r="I55" s="22"/>
      <c r="J55" s="21"/>
      <c r="K55" s="21"/>
    </row>
    <row r="56" spans="1:11" ht="14.4" x14ac:dyDescent="0.3">
      <c r="A56" s="21"/>
      <c r="B56" s="33"/>
      <c r="C56" s="58"/>
      <c r="D56" s="21"/>
      <c r="E56" s="21"/>
      <c r="F56" s="22"/>
      <c r="G56" s="21"/>
      <c r="H56" s="21"/>
      <c r="I56" s="22"/>
      <c r="J56" s="21"/>
      <c r="K56" s="21"/>
    </row>
    <row r="57" spans="1:11" ht="14.4" x14ac:dyDescent="0.3">
      <c r="A57" s="21"/>
      <c r="B57" s="33"/>
      <c r="C57" s="58"/>
      <c r="D57" s="21"/>
      <c r="E57" s="21"/>
      <c r="F57" s="22"/>
      <c r="G57" s="21"/>
      <c r="H57" s="21"/>
      <c r="I57" s="22"/>
      <c r="J57" s="21"/>
      <c r="K57" s="21"/>
    </row>
    <row r="58" spans="1:11" ht="14.4" x14ac:dyDescent="0.3">
      <c r="A58" s="21"/>
      <c r="B58" s="33"/>
      <c r="C58" s="58"/>
      <c r="D58" s="21"/>
      <c r="E58" s="21"/>
      <c r="F58" s="22"/>
      <c r="G58" s="21"/>
      <c r="H58" s="21"/>
      <c r="I58" s="22"/>
      <c r="J58" s="21"/>
      <c r="K58" s="21"/>
    </row>
    <row r="59" spans="1:11" ht="14.4" x14ac:dyDescent="0.3">
      <c r="A59" s="21"/>
      <c r="B59" s="33"/>
      <c r="C59" s="58"/>
      <c r="D59" s="21"/>
      <c r="E59" s="21"/>
      <c r="F59" s="22"/>
      <c r="G59" s="21"/>
      <c r="H59" s="21"/>
      <c r="I59" s="22"/>
      <c r="J59" s="21"/>
      <c r="K59" s="21"/>
    </row>
    <row r="60" spans="1:11" ht="14.4" x14ac:dyDescent="0.3">
      <c r="A60" s="21"/>
      <c r="B60" s="33"/>
      <c r="C60" s="58"/>
      <c r="D60" s="21"/>
      <c r="E60" s="21"/>
      <c r="F60" s="22"/>
      <c r="G60" s="21"/>
      <c r="H60" s="21"/>
      <c r="I60" s="22"/>
      <c r="J60" s="21"/>
      <c r="K60" s="21"/>
    </row>
    <row r="61" spans="1:11" ht="14.4" x14ac:dyDescent="0.3">
      <c r="A61" s="21"/>
      <c r="B61" s="33"/>
      <c r="C61" s="58"/>
      <c r="D61" s="21"/>
      <c r="E61" s="21"/>
      <c r="F61" s="22"/>
      <c r="G61" s="21"/>
      <c r="H61" s="21"/>
      <c r="I61" s="22"/>
      <c r="J61" s="21"/>
      <c r="K61" s="21"/>
    </row>
    <row r="62" spans="1:11" ht="14.4" x14ac:dyDescent="0.3">
      <c r="A62" s="21"/>
      <c r="B62" s="33"/>
      <c r="C62" s="58"/>
      <c r="D62" s="21"/>
      <c r="E62" s="21"/>
      <c r="F62" s="22"/>
      <c r="G62" s="21"/>
      <c r="H62" s="21"/>
      <c r="I62" s="22"/>
      <c r="J62" s="21"/>
      <c r="K62" s="21"/>
    </row>
    <row r="63" spans="1:11" ht="14.4" x14ac:dyDescent="0.3">
      <c r="A63" s="21"/>
      <c r="B63" s="33"/>
      <c r="C63" s="58"/>
      <c r="D63" s="21"/>
      <c r="E63" s="21"/>
      <c r="F63" s="22"/>
      <c r="G63" s="21"/>
      <c r="H63" s="21"/>
      <c r="I63" s="22"/>
      <c r="J63" s="21"/>
      <c r="K63" s="21"/>
    </row>
    <row r="64" spans="1:11" ht="14.4" x14ac:dyDescent="0.3">
      <c r="A64" s="21"/>
      <c r="B64" s="33"/>
      <c r="C64" s="58"/>
      <c r="D64" s="21"/>
      <c r="E64" s="21"/>
      <c r="F64" s="22"/>
      <c r="G64" s="21"/>
      <c r="H64" s="21"/>
      <c r="I64" s="22"/>
      <c r="J64" s="21"/>
      <c r="K64" s="21"/>
    </row>
    <row r="65" spans="1:11" ht="14.4" x14ac:dyDescent="0.3">
      <c r="A65" s="21"/>
      <c r="B65" s="33"/>
      <c r="C65" s="58"/>
      <c r="D65" s="21"/>
      <c r="E65" s="21"/>
      <c r="F65" s="22"/>
      <c r="G65" s="21"/>
      <c r="H65" s="21"/>
      <c r="I65" s="22"/>
      <c r="J65" s="21"/>
      <c r="K65" s="21"/>
    </row>
    <row r="66" spans="1:11" ht="14.4" x14ac:dyDescent="0.3">
      <c r="A66" s="21"/>
      <c r="B66" s="33"/>
      <c r="C66" s="58"/>
      <c r="D66" s="21"/>
      <c r="E66" s="21"/>
      <c r="F66" s="22"/>
      <c r="G66" s="21"/>
      <c r="H66" s="21"/>
      <c r="I66" s="22"/>
      <c r="J66" s="21"/>
      <c r="K66" s="21"/>
    </row>
    <row r="67" spans="1:11" ht="14.4" x14ac:dyDescent="0.3">
      <c r="A67" s="21"/>
      <c r="B67" s="33"/>
      <c r="C67" s="58"/>
      <c r="D67" s="21"/>
      <c r="E67" s="21"/>
      <c r="F67" s="22"/>
      <c r="G67" s="21"/>
      <c r="H67" s="21"/>
      <c r="I67" s="22"/>
      <c r="J67" s="21"/>
      <c r="K67" s="21"/>
    </row>
    <row r="68" spans="1:11" ht="14.4" x14ac:dyDescent="0.3">
      <c r="A68" s="21"/>
      <c r="B68" s="33"/>
      <c r="C68" s="58"/>
      <c r="D68" s="21"/>
      <c r="E68" s="21"/>
      <c r="F68" s="22"/>
      <c r="G68" s="21"/>
      <c r="H68" s="21"/>
      <c r="I68" s="22"/>
      <c r="J68" s="21"/>
      <c r="K68" s="21"/>
    </row>
    <row r="69" spans="1:11" ht="14.4" x14ac:dyDescent="0.3">
      <c r="A69" s="21"/>
      <c r="B69" s="33"/>
      <c r="C69" s="58"/>
      <c r="D69" s="21"/>
      <c r="E69" s="21"/>
      <c r="F69" s="22"/>
      <c r="G69" s="21"/>
      <c r="H69" s="21"/>
      <c r="I69" s="22"/>
      <c r="J69" s="21"/>
      <c r="K69" s="21"/>
    </row>
    <row r="70" spans="1:11" ht="14.4" x14ac:dyDescent="0.3">
      <c r="A70" s="21"/>
      <c r="B70" s="33"/>
      <c r="C70" s="58"/>
      <c r="D70" s="21"/>
      <c r="E70" s="21"/>
      <c r="F70" s="22"/>
      <c r="G70" s="21"/>
      <c r="H70" s="21"/>
      <c r="I70" s="22"/>
      <c r="J70" s="21"/>
      <c r="K70" s="21"/>
    </row>
    <row r="71" spans="1:11" ht="14.4" x14ac:dyDescent="0.3">
      <c r="A71" s="21"/>
      <c r="B71" s="33"/>
      <c r="C71" s="58"/>
      <c r="D71" s="21"/>
      <c r="E71" s="21"/>
      <c r="F71" s="22"/>
      <c r="G71" s="21"/>
      <c r="H71" s="21"/>
      <c r="I71" s="22"/>
      <c r="J71" s="21"/>
      <c r="K71" s="21"/>
    </row>
    <row r="72" spans="1:11" ht="14.4" x14ac:dyDescent="0.3">
      <c r="A72" s="21"/>
      <c r="B72" s="33"/>
      <c r="C72" s="58"/>
      <c r="D72" s="21"/>
      <c r="E72" s="21"/>
      <c r="F72" s="22"/>
      <c r="G72" s="21"/>
      <c r="H72" s="21"/>
      <c r="I72" s="22"/>
      <c r="J72" s="21"/>
      <c r="K72" s="21"/>
    </row>
    <row r="73" spans="1:11" ht="14.4" x14ac:dyDescent="0.3">
      <c r="A73" s="21"/>
      <c r="B73" s="33"/>
      <c r="C73" s="58"/>
      <c r="D73" s="21"/>
      <c r="E73" s="21"/>
      <c r="F73" s="22"/>
      <c r="G73" s="21"/>
      <c r="H73" s="21"/>
      <c r="I73" s="22"/>
      <c r="J73" s="21"/>
      <c r="K73" s="21"/>
    </row>
    <row r="74" spans="1:11" ht="14.4" x14ac:dyDescent="0.3">
      <c r="A74" s="21"/>
      <c r="B74" s="33"/>
      <c r="C74" s="58"/>
      <c r="D74" s="21"/>
      <c r="E74" s="21"/>
      <c r="F74" s="22"/>
      <c r="G74" s="21"/>
      <c r="H74" s="21"/>
      <c r="I74" s="22"/>
      <c r="J74" s="21"/>
      <c r="K74" s="21"/>
    </row>
    <row r="75" spans="1:11" ht="14.4" x14ac:dyDescent="0.3">
      <c r="A75" s="21"/>
      <c r="B75" s="33"/>
      <c r="C75" s="58"/>
      <c r="D75" s="21"/>
      <c r="E75" s="21"/>
      <c r="F75" s="22"/>
      <c r="G75" s="21"/>
      <c r="H75" s="21"/>
      <c r="I75" s="22"/>
      <c r="J75" s="21"/>
      <c r="K75" s="21"/>
    </row>
    <row r="76" spans="1:11" ht="14.4" x14ac:dyDescent="0.3">
      <c r="A76" s="21"/>
      <c r="B76" s="33"/>
      <c r="C76" s="58"/>
      <c r="D76" s="21"/>
      <c r="E76" s="21"/>
      <c r="F76" s="22"/>
      <c r="G76" s="21"/>
      <c r="H76" s="21"/>
      <c r="I76" s="22"/>
      <c r="J76" s="21"/>
      <c r="K76" s="21"/>
    </row>
    <row r="77" spans="1:11" ht="14.4" x14ac:dyDescent="0.3">
      <c r="A77" s="21"/>
      <c r="B77" s="33"/>
      <c r="C77" s="58"/>
      <c r="D77" s="21"/>
      <c r="E77" s="21"/>
      <c r="F77" s="22"/>
      <c r="G77" s="21"/>
      <c r="H77" s="21"/>
      <c r="I77" s="22"/>
      <c r="J77" s="21"/>
      <c r="K77" s="21"/>
    </row>
    <row r="78" spans="1:11" ht="14.4" x14ac:dyDescent="0.3">
      <c r="A78" s="21"/>
      <c r="B78" s="33"/>
      <c r="C78" s="58"/>
      <c r="D78" s="21"/>
      <c r="E78" s="21"/>
      <c r="F78" s="22"/>
      <c r="G78" s="21"/>
      <c r="H78" s="21"/>
      <c r="I78" s="22"/>
      <c r="J78" s="21"/>
      <c r="K78" s="21"/>
    </row>
    <row r="79" spans="1:11" ht="14.4" x14ac:dyDescent="0.3">
      <c r="A79" s="21"/>
      <c r="B79" s="33"/>
      <c r="C79" s="58"/>
      <c r="D79" s="21"/>
      <c r="E79" s="21"/>
      <c r="F79" s="22"/>
      <c r="G79" s="21"/>
      <c r="H79" s="21"/>
      <c r="I79" s="22"/>
      <c r="J79" s="21"/>
      <c r="K79" s="21"/>
    </row>
    <row r="80" spans="1:11" ht="14.4" x14ac:dyDescent="0.3">
      <c r="A80" s="21"/>
      <c r="B80" s="33"/>
      <c r="C80" s="58"/>
      <c r="D80" s="21"/>
      <c r="E80" s="21"/>
      <c r="F80" s="22"/>
      <c r="G80" s="21"/>
      <c r="H80" s="21"/>
      <c r="I80" s="22"/>
      <c r="J80" s="21"/>
      <c r="K80" s="21"/>
    </row>
    <row r="81" spans="1:11" ht="14.4" x14ac:dyDescent="0.3">
      <c r="A81" s="21"/>
      <c r="B81" s="33"/>
      <c r="C81" s="58"/>
      <c r="D81" s="21"/>
      <c r="E81" s="21"/>
      <c r="F81" s="22"/>
      <c r="G81" s="21"/>
      <c r="H81" s="21"/>
      <c r="I81" s="22"/>
      <c r="J81" s="21"/>
      <c r="K81" s="21"/>
    </row>
    <row r="82" spans="1:11" ht="14.4" x14ac:dyDescent="0.3">
      <c r="A82" s="21"/>
      <c r="B82" s="33"/>
      <c r="C82" s="58"/>
      <c r="D82" s="21"/>
      <c r="E82" s="21"/>
      <c r="F82" s="22"/>
      <c r="G82" s="21"/>
      <c r="H82" s="21"/>
      <c r="I82" s="22"/>
      <c r="J82" s="21"/>
      <c r="K82" s="21"/>
    </row>
    <row r="83" spans="1:11" ht="14.4" x14ac:dyDescent="0.3">
      <c r="A83" s="21"/>
      <c r="B83" s="33"/>
      <c r="C83" s="58"/>
      <c r="D83" s="21"/>
      <c r="E83" s="21"/>
      <c r="F83" s="22"/>
      <c r="G83" s="21"/>
      <c r="H83" s="21"/>
      <c r="I83" s="22"/>
      <c r="J83" s="21"/>
      <c r="K83" s="21"/>
    </row>
    <row r="84" spans="1:11" ht="14.4" x14ac:dyDescent="0.3">
      <c r="A84" s="21"/>
      <c r="B84" s="33"/>
      <c r="C84" s="58"/>
      <c r="D84" s="21"/>
      <c r="E84" s="21"/>
      <c r="F84" s="22"/>
      <c r="G84" s="21"/>
      <c r="H84" s="21"/>
      <c r="I84" s="22"/>
      <c r="J84" s="21"/>
      <c r="K84" s="21"/>
    </row>
    <row r="85" spans="1:11" ht="14.4" x14ac:dyDescent="0.3">
      <c r="A85" s="21"/>
      <c r="B85" s="33"/>
      <c r="C85" s="58"/>
      <c r="D85" s="21"/>
      <c r="E85" s="21"/>
      <c r="F85" s="22"/>
      <c r="G85" s="21"/>
      <c r="H85" s="21"/>
      <c r="I85" s="22"/>
      <c r="J85" s="21"/>
      <c r="K85" s="21"/>
    </row>
    <row r="86" spans="1:11" ht="14.4" x14ac:dyDescent="0.3">
      <c r="A86" s="21"/>
      <c r="B86" s="33"/>
      <c r="C86" s="58"/>
      <c r="D86" s="21"/>
      <c r="E86" s="21"/>
      <c r="F86" s="22"/>
      <c r="G86" s="21"/>
      <c r="H86" s="21"/>
      <c r="I86" s="22"/>
      <c r="J86" s="21"/>
      <c r="K86" s="21"/>
    </row>
    <row r="87" spans="1:11" ht="14.4" x14ac:dyDescent="0.3">
      <c r="A87" s="21"/>
      <c r="B87" s="33"/>
      <c r="C87" s="58"/>
      <c r="D87" s="21"/>
      <c r="E87" s="21"/>
      <c r="F87" s="22"/>
      <c r="G87" s="21"/>
      <c r="H87" s="21"/>
      <c r="I87" s="22"/>
      <c r="J87" s="21"/>
      <c r="K87" s="21"/>
    </row>
    <row r="88" spans="1:11" ht="14.4" x14ac:dyDescent="0.3">
      <c r="A88" s="21"/>
      <c r="B88" s="33"/>
      <c r="C88" s="58"/>
      <c r="D88" s="21"/>
      <c r="E88" s="21"/>
      <c r="F88" s="22"/>
      <c r="G88" s="21"/>
      <c r="H88" s="21"/>
      <c r="I88" s="22"/>
      <c r="J88" s="21"/>
      <c r="K88" s="21"/>
    </row>
    <row r="89" spans="1:11" ht="14.4" x14ac:dyDescent="0.3">
      <c r="A89" s="21"/>
      <c r="B89" s="33"/>
      <c r="C89" s="58"/>
      <c r="D89" s="21"/>
      <c r="E89" s="21"/>
      <c r="F89" s="22"/>
      <c r="G89" s="21"/>
      <c r="H89" s="21"/>
      <c r="I89" s="22"/>
      <c r="J89" s="21"/>
      <c r="K89" s="21"/>
    </row>
    <row r="90" spans="1:11" ht="14.4" x14ac:dyDescent="0.3">
      <c r="A90" s="21"/>
      <c r="B90" s="33"/>
      <c r="C90" s="58"/>
      <c r="D90" s="21"/>
      <c r="E90" s="21"/>
      <c r="F90" s="22"/>
      <c r="G90" s="21"/>
      <c r="H90" s="21"/>
      <c r="I90" s="22"/>
      <c r="J90" s="21"/>
      <c r="K90" s="21"/>
    </row>
    <row r="91" spans="1:11" ht="14.4" x14ac:dyDescent="0.3">
      <c r="A91" s="21"/>
      <c r="B91" s="33"/>
      <c r="C91" s="58"/>
      <c r="D91" s="21"/>
      <c r="E91" s="21"/>
      <c r="F91" s="22"/>
      <c r="G91" s="21"/>
      <c r="H91" s="21"/>
      <c r="I91" s="22"/>
      <c r="J91" s="21"/>
      <c r="K91" s="21"/>
    </row>
    <row r="92" spans="1:11" ht="14.4" x14ac:dyDescent="0.3">
      <c r="A92" s="21"/>
      <c r="B92" s="33"/>
      <c r="C92" s="58"/>
      <c r="D92" s="21"/>
      <c r="E92" s="21"/>
      <c r="F92" s="22"/>
      <c r="G92" s="21"/>
      <c r="H92" s="21"/>
      <c r="I92" s="22"/>
      <c r="J92" s="21"/>
      <c r="K92" s="21"/>
    </row>
    <row r="93" spans="1:11" ht="14.4" x14ac:dyDescent="0.3">
      <c r="A93" s="21"/>
      <c r="B93" s="33"/>
      <c r="C93" s="58"/>
      <c r="D93" s="21"/>
      <c r="E93" s="21"/>
      <c r="F93" s="22"/>
      <c r="G93" s="21"/>
      <c r="H93" s="21"/>
      <c r="I93" s="22"/>
      <c r="J93" s="21"/>
      <c r="K93" s="21"/>
    </row>
    <row r="94" spans="1:11" ht="14.4" x14ac:dyDescent="0.3">
      <c r="A94" s="21"/>
      <c r="B94" s="33"/>
      <c r="C94" s="58"/>
      <c r="D94" s="21"/>
      <c r="E94" s="21"/>
      <c r="F94" s="22"/>
      <c r="G94" s="21"/>
      <c r="H94" s="21"/>
      <c r="I94" s="22"/>
      <c r="J94" s="21"/>
      <c r="K94" s="21"/>
    </row>
    <row r="95" spans="1:11" ht="14.4" x14ac:dyDescent="0.3">
      <c r="A95" s="21"/>
      <c r="B95" s="33"/>
      <c r="C95" s="58"/>
      <c r="D95" s="21"/>
      <c r="E95" s="21"/>
      <c r="F95" s="22"/>
      <c r="G95" s="21"/>
      <c r="H95" s="21"/>
      <c r="I95" s="22"/>
      <c r="J95" s="21"/>
      <c r="K95" s="21"/>
    </row>
    <row r="96" spans="1:11" ht="14.4" x14ac:dyDescent="0.3">
      <c r="A96" s="21"/>
      <c r="B96" s="33"/>
      <c r="C96" s="58"/>
      <c r="D96" s="21"/>
      <c r="E96" s="21"/>
      <c r="F96" s="22"/>
      <c r="G96" s="21"/>
      <c r="H96" s="21"/>
      <c r="I96" s="22"/>
      <c r="J96" s="21"/>
      <c r="K96" s="21"/>
    </row>
    <row r="97" spans="1:11" ht="14.4" x14ac:dyDescent="0.3">
      <c r="A97" s="21"/>
      <c r="B97" s="33"/>
      <c r="C97" s="58"/>
      <c r="D97" s="21"/>
      <c r="E97" s="21"/>
      <c r="F97" s="22"/>
      <c r="G97" s="21"/>
      <c r="H97" s="21"/>
      <c r="I97" s="22"/>
      <c r="J97" s="21"/>
      <c r="K97" s="21"/>
    </row>
    <row r="98" spans="1:11" ht="14.4" x14ac:dyDescent="0.3">
      <c r="A98" s="21"/>
      <c r="B98" s="33"/>
      <c r="C98" s="58"/>
      <c r="D98" s="21"/>
      <c r="E98" s="21"/>
      <c r="F98" s="22"/>
      <c r="G98" s="21"/>
      <c r="H98" s="21"/>
      <c r="I98" s="22"/>
      <c r="J98" s="21"/>
      <c r="K98" s="21"/>
    </row>
    <row r="99" spans="1:11" ht="14.4" x14ac:dyDescent="0.3">
      <c r="A99" s="21"/>
      <c r="B99" s="33"/>
      <c r="C99" s="58"/>
      <c r="D99" s="21"/>
      <c r="E99" s="21"/>
      <c r="F99" s="22"/>
      <c r="G99" s="21"/>
      <c r="H99" s="21"/>
      <c r="I99" s="22"/>
      <c r="J99" s="21"/>
      <c r="K99" s="21"/>
    </row>
    <row r="100" spans="1:11" ht="14.4" x14ac:dyDescent="0.3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" x14ac:dyDescent="0.3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" x14ac:dyDescent="0.3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" x14ac:dyDescent="0.3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" x14ac:dyDescent="0.3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" x14ac:dyDescent="0.3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" x14ac:dyDescent="0.3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" x14ac:dyDescent="0.3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" x14ac:dyDescent="0.3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" x14ac:dyDescent="0.3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" x14ac:dyDescent="0.3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" x14ac:dyDescent="0.3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" x14ac:dyDescent="0.3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" x14ac:dyDescent="0.3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" x14ac:dyDescent="0.3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" x14ac:dyDescent="0.3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" x14ac:dyDescent="0.3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" x14ac:dyDescent="0.3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" x14ac:dyDescent="0.3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" x14ac:dyDescent="0.3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" x14ac:dyDescent="0.3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" x14ac:dyDescent="0.3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" x14ac:dyDescent="0.3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" x14ac:dyDescent="0.3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" x14ac:dyDescent="0.3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" x14ac:dyDescent="0.3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" x14ac:dyDescent="0.3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" x14ac:dyDescent="0.3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" x14ac:dyDescent="0.3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" x14ac:dyDescent="0.3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" x14ac:dyDescent="0.3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" x14ac:dyDescent="0.3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" x14ac:dyDescent="0.3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" x14ac:dyDescent="0.3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" x14ac:dyDescent="0.3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" x14ac:dyDescent="0.3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" x14ac:dyDescent="0.3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" x14ac:dyDescent="0.3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" x14ac:dyDescent="0.3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" x14ac:dyDescent="0.3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" x14ac:dyDescent="0.3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" x14ac:dyDescent="0.3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" x14ac:dyDescent="0.3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" x14ac:dyDescent="0.3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" x14ac:dyDescent="0.3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" x14ac:dyDescent="0.3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" x14ac:dyDescent="0.3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" x14ac:dyDescent="0.3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" x14ac:dyDescent="0.3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" x14ac:dyDescent="0.3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" x14ac:dyDescent="0.3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" x14ac:dyDescent="0.3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" x14ac:dyDescent="0.3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" x14ac:dyDescent="0.3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" x14ac:dyDescent="0.3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" x14ac:dyDescent="0.3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" x14ac:dyDescent="0.3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" x14ac:dyDescent="0.3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" x14ac:dyDescent="0.3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" x14ac:dyDescent="0.3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" x14ac:dyDescent="0.3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" x14ac:dyDescent="0.3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" x14ac:dyDescent="0.3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" x14ac:dyDescent="0.3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" x14ac:dyDescent="0.3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" x14ac:dyDescent="0.3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" x14ac:dyDescent="0.3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" x14ac:dyDescent="0.3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" x14ac:dyDescent="0.3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" x14ac:dyDescent="0.3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" x14ac:dyDescent="0.3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" x14ac:dyDescent="0.3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" x14ac:dyDescent="0.3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" x14ac:dyDescent="0.3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" x14ac:dyDescent="0.3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" x14ac:dyDescent="0.3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" x14ac:dyDescent="0.3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" x14ac:dyDescent="0.3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" x14ac:dyDescent="0.3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" x14ac:dyDescent="0.3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" x14ac:dyDescent="0.3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" x14ac:dyDescent="0.3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" x14ac:dyDescent="0.3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" x14ac:dyDescent="0.3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" x14ac:dyDescent="0.3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" x14ac:dyDescent="0.3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" x14ac:dyDescent="0.3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" x14ac:dyDescent="0.3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" x14ac:dyDescent="0.3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" x14ac:dyDescent="0.3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" x14ac:dyDescent="0.3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" x14ac:dyDescent="0.3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" x14ac:dyDescent="0.3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" x14ac:dyDescent="0.3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" x14ac:dyDescent="0.3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" x14ac:dyDescent="0.3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" x14ac:dyDescent="0.3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" x14ac:dyDescent="0.3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" x14ac:dyDescent="0.3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" x14ac:dyDescent="0.3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" x14ac:dyDescent="0.3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" x14ac:dyDescent="0.3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" x14ac:dyDescent="0.3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" x14ac:dyDescent="0.3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" x14ac:dyDescent="0.3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" x14ac:dyDescent="0.3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" x14ac:dyDescent="0.3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" x14ac:dyDescent="0.3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" x14ac:dyDescent="0.3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" x14ac:dyDescent="0.3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" x14ac:dyDescent="0.3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" x14ac:dyDescent="0.3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" x14ac:dyDescent="0.3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" x14ac:dyDescent="0.3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" x14ac:dyDescent="0.3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" x14ac:dyDescent="0.3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" x14ac:dyDescent="0.3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" x14ac:dyDescent="0.3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" x14ac:dyDescent="0.3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" x14ac:dyDescent="0.3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" x14ac:dyDescent="0.3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" x14ac:dyDescent="0.3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" x14ac:dyDescent="0.3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" x14ac:dyDescent="0.3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" x14ac:dyDescent="0.3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" x14ac:dyDescent="0.3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" x14ac:dyDescent="0.3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" x14ac:dyDescent="0.3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" x14ac:dyDescent="0.3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" x14ac:dyDescent="0.3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" x14ac:dyDescent="0.3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" x14ac:dyDescent="0.3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" x14ac:dyDescent="0.3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" x14ac:dyDescent="0.3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" x14ac:dyDescent="0.3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" x14ac:dyDescent="0.3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" x14ac:dyDescent="0.3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" x14ac:dyDescent="0.3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" x14ac:dyDescent="0.3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" x14ac:dyDescent="0.3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" x14ac:dyDescent="0.3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" x14ac:dyDescent="0.3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" x14ac:dyDescent="0.3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" x14ac:dyDescent="0.3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" x14ac:dyDescent="0.3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" x14ac:dyDescent="0.3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" x14ac:dyDescent="0.3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" x14ac:dyDescent="0.3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" x14ac:dyDescent="0.3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" x14ac:dyDescent="0.3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" x14ac:dyDescent="0.3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" x14ac:dyDescent="0.3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" x14ac:dyDescent="0.3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" x14ac:dyDescent="0.3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" x14ac:dyDescent="0.3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" x14ac:dyDescent="0.3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" x14ac:dyDescent="0.3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" x14ac:dyDescent="0.3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" x14ac:dyDescent="0.3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" x14ac:dyDescent="0.3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" x14ac:dyDescent="0.3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" x14ac:dyDescent="0.3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" x14ac:dyDescent="0.3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" x14ac:dyDescent="0.3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" x14ac:dyDescent="0.3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" x14ac:dyDescent="0.3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" x14ac:dyDescent="0.3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" x14ac:dyDescent="0.3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" x14ac:dyDescent="0.3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" x14ac:dyDescent="0.3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" x14ac:dyDescent="0.3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" x14ac:dyDescent="0.3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" x14ac:dyDescent="0.3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" x14ac:dyDescent="0.3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" x14ac:dyDescent="0.3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" x14ac:dyDescent="0.3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" x14ac:dyDescent="0.3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" x14ac:dyDescent="0.3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" x14ac:dyDescent="0.3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" x14ac:dyDescent="0.3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" x14ac:dyDescent="0.3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" x14ac:dyDescent="0.3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" x14ac:dyDescent="0.3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" x14ac:dyDescent="0.3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" x14ac:dyDescent="0.3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" x14ac:dyDescent="0.3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" x14ac:dyDescent="0.3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" x14ac:dyDescent="0.3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" x14ac:dyDescent="0.3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" x14ac:dyDescent="0.3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" x14ac:dyDescent="0.3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" x14ac:dyDescent="0.3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" x14ac:dyDescent="0.3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" x14ac:dyDescent="0.3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" x14ac:dyDescent="0.3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" x14ac:dyDescent="0.3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" x14ac:dyDescent="0.3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" x14ac:dyDescent="0.3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" x14ac:dyDescent="0.3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" x14ac:dyDescent="0.3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" x14ac:dyDescent="0.3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" x14ac:dyDescent="0.3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" x14ac:dyDescent="0.3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" x14ac:dyDescent="0.3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" x14ac:dyDescent="0.3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" x14ac:dyDescent="0.3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" x14ac:dyDescent="0.3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" x14ac:dyDescent="0.3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" x14ac:dyDescent="0.3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" x14ac:dyDescent="0.3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" x14ac:dyDescent="0.3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" x14ac:dyDescent="0.3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" x14ac:dyDescent="0.3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" x14ac:dyDescent="0.3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" x14ac:dyDescent="0.3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" x14ac:dyDescent="0.3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" x14ac:dyDescent="0.3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" x14ac:dyDescent="0.3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" x14ac:dyDescent="0.3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" x14ac:dyDescent="0.3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" x14ac:dyDescent="0.3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" x14ac:dyDescent="0.3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" x14ac:dyDescent="0.3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" x14ac:dyDescent="0.3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" x14ac:dyDescent="0.3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" x14ac:dyDescent="0.3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" x14ac:dyDescent="0.3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" x14ac:dyDescent="0.3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" x14ac:dyDescent="0.3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" x14ac:dyDescent="0.3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" x14ac:dyDescent="0.3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" x14ac:dyDescent="0.3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" x14ac:dyDescent="0.3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" x14ac:dyDescent="0.3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" x14ac:dyDescent="0.3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" x14ac:dyDescent="0.3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" x14ac:dyDescent="0.3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" x14ac:dyDescent="0.3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" x14ac:dyDescent="0.3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" x14ac:dyDescent="0.3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" x14ac:dyDescent="0.3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">
    <cfRule type="cellIs" dxfId="27" priority="5" stopIfTrue="1" operator="lessThanOrEqual">
      <formula>-0.1</formula>
    </cfRule>
    <cfRule type="expression" dxfId="26" priority="6">
      <formula>AND(ISNUMBER(F2), F2&gt;=0.1)</formula>
    </cfRule>
  </conditionalFormatting>
  <conditionalFormatting sqref="F4:F98 I4:I98">
    <cfRule type="cellIs" dxfId="25" priority="3" stopIfTrue="1" operator="lessThanOrEqual">
      <formula>-0.1</formula>
    </cfRule>
    <cfRule type="expression" dxfId="24" priority="4">
      <formula>AND(ISNUMBER(F4), F4&gt;=0.1)</formula>
    </cfRule>
  </conditionalFormatting>
  <hyperlinks>
    <hyperlink ref="K7" r:id="rId1" display="https://us3.assetplanner.com/service_request?ID=101589" xr:uid="{E0702603-11A6-47E5-A7AC-5BB2BA87A1D8}"/>
    <hyperlink ref="K10" r:id="rId2" display="https://us3.assetplanner.com/service_request?ID=102087" xr:uid="{9933A6B0-0648-4B5E-8A23-7526EF49F912}"/>
    <hyperlink ref="K12" r:id="rId3" display="https://us3.assetplanner.com/service_request?ID=102088" xr:uid="{1D97CEF9-0741-4002-ADF6-F23861C85AAB}"/>
    <hyperlink ref="K15" r:id="rId4" display="https://us3.assetplanner.com/service_request?ID=101846" xr:uid="{DA343D58-BFE0-4C9C-A25B-0D48AC7AEF2D}"/>
    <hyperlink ref="K22" r:id="rId5" display="https://us3.assetplanner.com/service_request?ID=102639" xr:uid="{0735AF21-E7F3-4881-8179-CBCBF64A8F38}"/>
    <hyperlink ref="K31" r:id="rId6" display="https://us3.assetplanner.com/service_request?ID=103077" xr:uid="{1C462188-F52D-4B25-918B-7BAD80A8B1CD}"/>
    <hyperlink ref="K33" r:id="rId7" display="https://us3.assetplanner.com/service_request?ID=103670" xr:uid="{28599BB8-503D-40BD-A976-F51994E41FD8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zoomScale="70" zoomScaleNormal="70" workbookViewId="0">
      <pane xSplit="2" ySplit="3" topLeftCell="C23" activePane="bottomRight" state="frozen"/>
      <selection pane="topRight" activeCell="P19" sqref="P19:P20"/>
      <selection pane="bottomLeft" activeCell="P19" sqref="P19:P20"/>
      <selection pane="bottomRight" activeCell="O18" sqref="O18"/>
    </sheetView>
  </sheetViews>
  <sheetFormatPr defaultRowHeight="13.8" x14ac:dyDescent="0.25"/>
  <cols>
    <col min="1" max="1" width="35.88671875" bestFit="1" customWidth="1"/>
    <col min="2" max="2" width="8.44140625" style="34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89" t="str" cm="1">
        <f t="array" ref="A1">portfolio</f>
        <v>Cushman &amp; Wakefield</v>
      </c>
      <c r="B1" s="89"/>
      <c r="C1" s="89"/>
      <c r="D1" s="90" t="s">
        <v>115</v>
      </c>
      <c r="E1" s="90"/>
      <c r="F1" s="90"/>
      <c r="G1" s="88" t="s">
        <v>116</v>
      </c>
      <c r="H1" s="88"/>
      <c r="I1" s="88"/>
      <c r="J1" s="4"/>
      <c r="K1" s="4"/>
    </row>
    <row r="2" spans="1:11" ht="19.5" customHeight="1" x14ac:dyDescent="0.25">
      <c r="A2" s="91" t="s">
        <v>2</v>
      </c>
      <c r="B2" s="91"/>
      <c r="C2" s="5">
        <f>SUM(C4:C100)</f>
        <v>64324.219000000005</v>
      </c>
      <c r="D2" s="5">
        <f>SUM(D4:D100)</f>
        <v>0</v>
      </c>
      <c r="E2" s="5">
        <f>C2-D2</f>
        <v>64324.219000000005</v>
      </c>
      <c r="F2" s="6">
        <f>IFERROR(E2/D2, 0)</f>
        <v>0</v>
      </c>
      <c r="G2" s="5">
        <f>SUM(G4:G100)</f>
        <v>0</v>
      </c>
      <c r="H2" s="7">
        <f>C2-G2</f>
        <v>64324.219000000005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 x14ac:dyDescent="0.3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70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 x14ac:dyDescent="0.3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38" si="0">IF(AND(ISNUMBER(C5),ISNUMBER(D5)), C5-D5, "")</f>
        <v/>
      </c>
      <c r="F5" s="19" t="str">
        <f>IFERROR(E5/D5, "")</f>
        <v/>
      </c>
      <c r="G5" s="71" t="s">
        <v>22</v>
      </c>
      <c r="H5" s="20" t="str">
        <f t="shared" ref="H5:H38" si="1">IF(AND(ISNUMBER(C5),ISNUMBER(G5)), C5-G5, "")</f>
        <v/>
      </c>
      <c r="I5" s="19" t="str">
        <f t="shared" ref="I5:I38" si="2">IFERROR(H5/G5, "")</f>
        <v/>
      </c>
      <c r="J5" s="42"/>
      <c r="K5" s="42"/>
    </row>
    <row r="6" spans="1:11" ht="15.6" x14ac:dyDescent="0.3">
      <c r="A6" s="28" t="str">
        <v xml:space="preserve"> Arvin - Bank of America</v>
      </c>
      <c r="B6" s="29" t="str">
        <v>CA</v>
      </c>
      <c r="C6" s="24">
        <v>114.86</v>
      </c>
      <c r="D6" s="13" t="s">
        <v>22</v>
      </c>
      <c r="E6" s="13" t="str">
        <f t="shared" si="0"/>
        <v/>
      </c>
      <c r="F6" s="14" t="str">
        <f t="shared" ref="F6:F38" si="3">IFERROR(E6/D6, "")</f>
        <v/>
      </c>
      <c r="G6" s="70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1" ht="28.8" x14ac:dyDescent="0.3">
      <c r="A7" s="30" t="str">
        <v xml:space="preserve"> Bell - Bank of America</v>
      </c>
      <c r="B7" s="31" t="str">
        <v>CA</v>
      </c>
      <c r="C7" s="11">
        <v>2361.962</v>
      </c>
      <c r="D7" s="18" t="s">
        <v>22</v>
      </c>
      <c r="E7" s="18" t="str">
        <f t="shared" si="0"/>
        <v/>
      </c>
      <c r="F7" s="19" t="str">
        <f t="shared" si="3"/>
        <v/>
      </c>
      <c r="G7" s="71" t="s">
        <v>22</v>
      </c>
      <c r="H7" s="20" t="str">
        <f t="shared" si="1"/>
        <v/>
      </c>
      <c r="I7" s="19" t="str">
        <f t="shared" si="2"/>
        <v/>
      </c>
      <c r="J7" s="42" t="s">
        <v>102</v>
      </c>
      <c r="K7" s="68" t="s">
        <v>117</v>
      </c>
    </row>
    <row r="8" spans="1:11" ht="15.6" x14ac:dyDescent="0.3">
      <c r="A8" s="28" t="str">
        <v xml:space="preserve"> Chula Vista - Bank of America</v>
      </c>
      <c r="B8" s="29" t="str">
        <v>CA</v>
      </c>
      <c r="C8" s="24">
        <v>1516.12</v>
      </c>
      <c r="D8" s="13" t="s">
        <v>22</v>
      </c>
      <c r="E8" s="13" t="str">
        <f t="shared" si="0"/>
        <v/>
      </c>
      <c r="F8" s="14" t="str">
        <f t="shared" si="3"/>
        <v/>
      </c>
      <c r="G8" s="70" t="s">
        <v>22</v>
      </c>
      <c r="H8" s="15" t="str">
        <f t="shared" si="1"/>
        <v/>
      </c>
      <c r="I8" s="16" t="str">
        <f t="shared" si="2"/>
        <v/>
      </c>
      <c r="J8" s="41"/>
      <c r="K8" s="41"/>
    </row>
    <row r="9" spans="1:11" ht="15.6" x14ac:dyDescent="0.3">
      <c r="A9" s="30" t="str">
        <v xml:space="preserve"> Cupertino - Bank of America</v>
      </c>
      <c r="B9" s="31" t="str">
        <v>CA</v>
      </c>
      <c r="C9" s="11">
        <v>273.30200000000002</v>
      </c>
      <c r="D9" s="18" t="s">
        <v>22</v>
      </c>
      <c r="E9" s="18" t="str">
        <f t="shared" si="0"/>
        <v/>
      </c>
      <c r="F9" s="19" t="str">
        <f t="shared" si="3"/>
        <v/>
      </c>
      <c r="G9" s="71" t="s">
        <v>22</v>
      </c>
      <c r="H9" s="20" t="str">
        <f t="shared" si="1"/>
        <v/>
      </c>
      <c r="I9" s="19" t="str">
        <f t="shared" si="2"/>
        <v/>
      </c>
      <c r="J9" s="42" t="s">
        <v>118</v>
      </c>
      <c r="K9" s="74" t="s">
        <v>119</v>
      </c>
    </row>
    <row r="10" spans="1:11" ht="86.4" x14ac:dyDescent="0.3">
      <c r="A10" s="28" t="str">
        <v xml:space="preserve"> Diamond Bar - Bank of America</v>
      </c>
      <c r="B10" s="29" t="str">
        <v>CA</v>
      </c>
      <c r="C10" s="24">
        <v>3434.7469999999998</v>
      </c>
      <c r="D10" s="13" t="s">
        <v>22</v>
      </c>
      <c r="E10" s="13" t="str">
        <f t="shared" si="0"/>
        <v/>
      </c>
      <c r="F10" s="14" t="str">
        <f t="shared" si="3"/>
        <v/>
      </c>
      <c r="G10" s="70" t="s">
        <v>22</v>
      </c>
      <c r="H10" s="15" t="str">
        <f t="shared" si="1"/>
        <v/>
      </c>
      <c r="I10" s="16" t="str">
        <f t="shared" si="2"/>
        <v/>
      </c>
      <c r="J10" s="41" t="s">
        <v>104</v>
      </c>
      <c r="K10" s="65" t="s">
        <v>120</v>
      </c>
    </row>
    <row r="11" spans="1:11" ht="15.6" x14ac:dyDescent="0.3">
      <c r="A11" s="30" t="str">
        <v xml:space="preserve"> El Centro - Bank of America</v>
      </c>
      <c r="B11" s="31" t="str">
        <v>CA</v>
      </c>
      <c r="C11" s="11">
        <v>2989.5039999999999</v>
      </c>
      <c r="D11" s="18" t="s">
        <v>22</v>
      </c>
      <c r="E11" s="18" t="str">
        <f t="shared" si="0"/>
        <v/>
      </c>
      <c r="F11" s="19" t="str">
        <f t="shared" si="3"/>
        <v/>
      </c>
      <c r="G11" s="71" t="s">
        <v>22</v>
      </c>
      <c r="H11" s="20" t="str">
        <f t="shared" si="1"/>
        <v/>
      </c>
      <c r="I11" s="19" t="str">
        <f t="shared" si="2"/>
        <v/>
      </c>
      <c r="J11" s="42"/>
      <c r="K11" s="43"/>
    </row>
    <row r="12" spans="1:11" ht="28.8" x14ac:dyDescent="0.3">
      <c r="A12" s="28" t="str">
        <v xml:space="preserve"> Moreno Valley - Bank of America</v>
      </c>
      <c r="B12" s="29" t="str">
        <v>CA</v>
      </c>
      <c r="C12" s="24">
        <v>5467.241</v>
      </c>
      <c r="D12" s="13" t="s">
        <v>22</v>
      </c>
      <c r="E12" s="13" t="str">
        <f t="shared" si="0"/>
        <v/>
      </c>
      <c r="F12" s="14" t="str">
        <f t="shared" si="3"/>
        <v/>
      </c>
      <c r="G12" s="70" t="s">
        <v>22</v>
      </c>
      <c r="H12" s="15" t="str">
        <f t="shared" si="1"/>
        <v/>
      </c>
      <c r="I12" s="16" t="str">
        <f t="shared" si="2"/>
        <v/>
      </c>
      <c r="J12" s="41" t="s">
        <v>106</v>
      </c>
      <c r="K12" s="65" t="s">
        <v>121</v>
      </c>
    </row>
    <row r="13" spans="1:11" ht="15.6" x14ac:dyDescent="0.3">
      <c r="A13" s="30" t="str">
        <v xml:space="preserve"> Redlands - Bank of America</v>
      </c>
      <c r="B13" s="31" t="str">
        <v>CA</v>
      </c>
      <c r="C13" s="11">
        <v>0</v>
      </c>
      <c r="D13" s="18" t="s">
        <v>22</v>
      </c>
      <c r="E13" s="18" t="str">
        <f t="shared" si="0"/>
        <v/>
      </c>
      <c r="F13" s="19" t="str">
        <f t="shared" si="3"/>
        <v/>
      </c>
      <c r="G13" s="71" t="s">
        <v>22</v>
      </c>
      <c r="H13" s="20" t="str">
        <f t="shared" si="1"/>
        <v/>
      </c>
      <c r="I13" s="19" t="str">
        <f t="shared" si="2"/>
        <v/>
      </c>
      <c r="J13" s="42"/>
      <c r="K13" s="43"/>
    </row>
    <row r="14" spans="1:11" ht="15.6" x14ac:dyDescent="0.3">
      <c r="A14" s="28" t="str">
        <v xml:space="preserve"> Roseville - Bank of America</v>
      </c>
      <c r="B14" s="29" t="str">
        <v>CA</v>
      </c>
      <c r="C14" s="24">
        <v>8164.759</v>
      </c>
      <c r="D14" s="13" t="s">
        <v>22</v>
      </c>
      <c r="E14" s="13" t="str">
        <f t="shared" si="0"/>
        <v/>
      </c>
      <c r="F14" s="14" t="str">
        <f t="shared" si="3"/>
        <v/>
      </c>
      <c r="G14" s="70" t="s">
        <v>22</v>
      </c>
      <c r="H14" s="15" t="str">
        <f t="shared" si="1"/>
        <v/>
      </c>
      <c r="I14" s="16" t="str">
        <f t="shared" si="2"/>
        <v/>
      </c>
      <c r="J14" s="41"/>
      <c r="K14" s="41"/>
    </row>
    <row r="15" spans="1:11" ht="28.8" x14ac:dyDescent="0.3">
      <c r="A15" s="30" t="str">
        <v xml:space="preserve"> San Bernardino - Bank of America</v>
      </c>
      <c r="B15" s="31" t="str">
        <v>CA</v>
      </c>
      <c r="C15" s="11">
        <v>119.12</v>
      </c>
      <c r="D15" s="18" t="s">
        <v>22</v>
      </c>
      <c r="E15" s="18" t="str">
        <f t="shared" si="0"/>
        <v/>
      </c>
      <c r="F15" s="19" t="str">
        <f t="shared" si="3"/>
        <v/>
      </c>
      <c r="G15" s="71" t="s">
        <v>22</v>
      </c>
      <c r="H15" s="20" t="str">
        <f t="shared" si="1"/>
        <v/>
      </c>
      <c r="I15" s="19" t="str">
        <f t="shared" si="2"/>
        <v/>
      </c>
      <c r="J15" s="42" t="s">
        <v>122</v>
      </c>
      <c r="K15" s="68" t="s">
        <v>123</v>
      </c>
    </row>
    <row r="16" spans="1:11" ht="15.6" x14ac:dyDescent="0.3">
      <c r="A16" s="28" t="str">
        <v xml:space="preserve"> San Diego - Bank of America</v>
      </c>
      <c r="B16" s="29" t="str">
        <v>CA</v>
      </c>
      <c r="C16" s="24">
        <v>75.950999999999993</v>
      </c>
      <c r="D16" s="13" t="s">
        <v>22</v>
      </c>
      <c r="E16" s="13" t="str">
        <f t="shared" si="0"/>
        <v/>
      </c>
      <c r="F16" s="14" t="str">
        <f t="shared" si="3"/>
        <v/>
      </c>
      <c r="G16" s="70" t="s">
        <v>22</v>
      </c>
      <c r="H16" s="15" t="str">
        <f t="shared" si="1"/>
        <v/>
      </c>
      <c r="I16" s="16" t="str">
        <f t="shared" si="2"/>
        <v/>
      </c>
      <c r="J16" s="41"/>
      <c r="K16" s="41"/>
    </row>
    <row r="17" spans="1:11" ht="15.6" x14ac:dyDescent="0.3">
      <c r="A17" s="30" t="str">
        <v xml:space="preserve"> Stockton - Bank of America</v>
      </c>
      <c r="B17" s="31" t="str">
        <v>CA</v>
      </c>
      <c r="C17" s="11">
        <v>2381.6640000000002</v>
      </c>
      <c r="D17" s="18" t="s">
        <v>22</v>
      </c>
      <c r="E17" s="18" t="str">
        <f t="shared" si="0"/>
        <v/>
      </c>
      <c r="F17" s="19" t="str">
        <f t="shared" si="3"/>
        <v/>
      </c>
      <c r="G17" s="71" t="s">
        <v>22</v>
      </c>
      <c r="H17" s="20" t="str">
        <f t="shared" si="1"/>
        <v/>
      </c>
      <c r="I17" s="19" t="str">
        <f t="shared" si="2"/>
        <v/>
      </c>
      <c r="J17" s="42"/>
      <c r="K17" s="43"/>
    </row>
    <row r="18" spans="1:11" ht="22.5" customHeight="1" x14ac:dyDescent="0.3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si="0"/>
        <v/>
      </c>
      <c r="F18" s="14" t="str">
        <f t="shared" si="3"/>
        <v/>
      </c>
      <c r="G18" s="70" t="s">
        <v>22</v>
      </c>
      <c r="H18" s="15" t="str">
        <f t="shared" si="1"/>
        <v/>
      </c>
      <c r="I18" s="16" t="str">
        <f t="shared" si="2"/>
        <v/>
      </c>
      <c r="J18" s="41" t="s">
        <v>124</v>
      </c>
      <c r="K18" s="65" t="s">
        <v>77</v>
      </c>
    </row>
    <row r="19" spans="1:11" ht="15.6" x14ac:dyDescent="0.3">
      <c r="A19" s="30" t="str">
        <v xml:space="preserve"> Aurora - BA - Colfax Ave</v>
      </c>
      <c r="B19" s="31" t="str">
        <v>CO</v>
      </c>
      <c r="C19" s="11">
        <v>3996.95</v>
      </c>
      <c r="D19" s="18" t="s">
        <v>22</v>
      </c>
      <c r="E19" s="18" t="str">
        <f t="shared" si="0"/>
        <v/>
      </c>
      <c r="F19" s="19" t="str">
        <f t="shared" si="3"/>
        <v/>
      </c>
      <c r="G19" s="71" t="s">
        <v>22</v>
      </c>
      <c r="H19" s="20" t="str">
        <f t="shared" si="1"/>
        <v/>
      </c>
      <c r="I19" s="19" t="str">
        <f t="shared" si="2"/>
        <v/>
      </c>
      <c r="J19" s="42"/>
      <c r="K19" s="43"/>
    </row>
    <row r="20" spans="1:11" ht="15.6" x14ac:dyDescent="0.3">
      <c r="A20" s="28" t="str">
        <v xml:space="preserve"> Aurora - BA - Parker Rd</v>
      </c>
      <c r="B20" s="29" t="str">
        <v>CO</v>
      </c>
      <c r="C20" s="24">
        <v>1418.8520000000001</v>
      </c>
      <c r="D20" s="13" t="s">
        <v>22</v>
      </c>
      <c r="E20" s="13" t="str">
        <f t="shared" si="0"/>
        <v/>
      </c>
      <c r="F20" s="14" t="str">
        <f t="shared" si="3"/>
        <v/>
      </c>
      <c r="G20" s="70" t="s">
        <v>22</v>
      </c>
      <c r="H20" s="15" t="str">
        <f t="shared" si="1"/>
        <v/>
      </c>
      <c r="I20" s="16" t="str">
        <f t="shared" si="2"/>
        <v/>
      </c>
      <c r="J20" s="41"/>
      <c r="K20" s="41"/>
    </row>
    <row r="21" spans="1:11" ht="15.6" x14ac:dyDescent="0.3">
      <c r="A21" s="30" t="str">
        <v xml:space="preserve"> Broomfield - Bank of America</v>
      </c>
      <c r="B21" s="31" t="str">
        <v>CO</v>
      </c>
      <c r="C21" s="11">
        <v>1965.6410000000001</v>
      </c>
      <c r="D21" s="18" t="s">
        <v>22</v>
      </c>
      <c r="E21" s="18" t="str">
        <f t="shared" si="0"/>
        <v/>
      </c>
      <c r="F21" s="19" t="str">
        <f t="shared" si="3"/>
        <v/>
      </c>
      <c r="G21" s="71" t="s">
        <v>22</v>
      </c>
      <c r="H21" s="20" t="str">
        <f t="shared" si="1"/>
        <v/>
      </c>
      <c r="I21" s="19" t="str">
        <f t="shared" si="2"/>
        <v/>
      </c>
      <c r="J21" s="42"/>
      <c r="K21" s="43"/>
    </row>
    <row r="22" spans="1:11" ht="15.6" x14ac:dyDescent="0.3">
      <c r="A22" s="28" t="str">
        <v xml:space="preserve"> Colorado Springs - Bank of America</v>
      </c>
      <c r="B22" s="29" t="str">
        <v>CO</v>
      </c>
      <c r="C22" s="24">
        <v>2807.2919999999999</v>
      </c>
      <c r="D22" s="13" t="s">
        <v>22</v>
      </c>
      <c r="E22" s="13" t="str">
        <f t="shared" si="0"/>
        <v/>
      </c>
      <c r="F22" s="14" t="str">
        <f t="shared" si="3"/>
        <v/>
      </c>
      <c r="G22" s="70" t="s">
        <v>22</v>
      </c>
      <c r="H22" s="15" t="str">
        <f t="shared" si="1"/>
        <v/>
      </c>
      <c r="I22" s="16" t="str">
        <f t="shared" si="2"/>
        <v/>
      </c>
      <c r="J22" s="41" t="s">
        <v>109</v>
      </c>
      <c r="K22" s="65" t="s">
        <v>125</v>
      </c>
    </row>
    <row r="23" spans="1:11" ht="15.6" x14ac:dyDescent="0.3">
      <c r="A23" s="30" t="str">
        <v xml:space="preserve"> Denver - BA - 49th Ave</v>
      </c>
      <c r="B23" s="31" t="str">
        <v>CO</v>
      </c>
      <c r="C23" s="11">
        <v>1369.4290000000001</v>
      </c>
      <c r="D23" s="18" t="s">
        <v>22</v>
      </c>
      <c r="E23" s="18" t="str">
        <f t="shared" si="0"/>
        <v/>
      </c>
      <c r="F23" s="19" t="str">
        <f t="shared" si="3"/>
        <v/>
      </c>
      <c r="G23" s="71" t="s">
        <v>22</v>
      </c>
      <c r="H23" s="20" t="str">
        <f t="shared" si="1"/>
        <v/>
      </c>
      <c r="I23" s="19" t="str">
        <f t="shared" si="2"/>
        <v/>
      </c>
      <c r="J23" s="42"/>
      <c r="K23" s="43"/>
    </row>
    <row r="24" spans="1:11" ht="15.6" x14ac:dyDescent="0.3">
      <c r="A24" s="28" t="str">
        <v xml:space="preserve"> Denver - BA Wadsworth Blvd</v>
      </c>
      <c r="B24" s="29" t="str">
        <v>CO</v>
      </c>
      <c r="C24" s="24">
        <v>2691.2559999999999</v>
      </c>
      <c r="D24" s="13" t="s">
        <v>22</v>
      </c>
      <c r="E24" s="13" t="str">
        <f t="shared" si="0"/>
        <v/>
      </c>
      <c r="F24" s="14" t="str">
        <f t="shared" si="3"/>
        <v/>
      </c>
      <c r="G24" s="70" t="s">
        <v>22</v>
      </c>
      <c r="H24" s="15" t="str">
        <f t="shared" si="1"/>
        <v/>
      </c>
      <c r="I24" s="16" t="str">
        <f t="shared" si="2"/>
        <v/>
      </c>
      <c r="J24" s="41"/>
      <c r="K24" s="41"/>
    </row>
    <row r="25" spans="1:11" ht="15.6" x14ac:dyDescent="0.3">
      <c r="A25" s="30" t="str">
        <v xml:space="preserve"> Fort Collins - Bank of America</v>
      </c>
      <c r="B25" s="31" t="str">
        <v>CO</v>
      </c>
      <c r="C25" s="11">
        <v>1926.7729999999999</v>
      </c>
      <c r="D25" s="18" t="s">
        <v>22</v>
      </c>
      <c r="E25" s="18" t="str">
        <f t="shared" si="0"/>
        <v/>
      </c>
      <c r="F25" s="19" t="str">
        <f t="shared" si="3"/>
        <v/>
      </c>
      <c r="G25" s="71" t="s">
        <v>22</v>
      </c>
      <c r="H25" s="20" t="str">
        <f t="shared" si="1"/>
        <v/>
      </c>
      <c r="I25" s="19" t="str">
        <f t="shared" si="2"/>
        <v/>
      </c>
      <c r="J25" s="42"/>
      <c r="K25" s="43"/>
    </row>
    <row r="26" spans="1:11" ht="15.6" x14ac:dyDescent="0.3">
      <c r="A26" s="28" t="str">
        <v xml:space="preserve"> Lafayette - Bank of America</v>
      </c>
      <c r="B26" s="29" t="str">
        <v>CO</v>
      </c>
      <c r="C26" s="24">
        <v>2559.3229999999999</v>
      </c>
      <c r="D26" s="13" t="s">
        <v>22</v>
      </c>
      <c r="E26" s="13" t="str">
        <f t="shared" si="0"/>
        <v/>
      </c>
      <c r="F26" s="14" t="str">
        <f t="shared" si="3"/>
        <v/>
      </c>
      <c r="G26" s="70" t="s">
        <v>22</v>
      </c>
      <c r="H26" s="15" t="str">
        <f t="shared" si="1"/>
        <v/>
      </c>
      <c r="I26" s="16" t="str">
        <f t="shared" si="2"/>
        <v/>
      </c>
      <c r="J26" s="41"/>
      <c r="K26" s="41"/>
    </row>
    <row r="27" spans="1:11" ht="15.6" x14ac:dyDescent="0.3">
      <c r="A27" s="30" t="str">
        <v xml:space="preserve"> Lakewood - Bank of America</v>
      </c>
      <c r="B27" s="31" t="str">
        <v>CO</v>
      </c>
      <c r="C27" s="11">
        <v>1487.777</v>
      </c>
      <c r="D27" s="18" t="s">
        <v>22</v>
      </c>
      <c r="E27" s="18" t="str">
        <f t="shared" si="0"/>
        <v/>
      </c>
      <c r="F27" s="19" t="str">
        <f t="shared" si="3"/>
        <v/>
      </c>
      <c r="G27" s="71" t="s">
        <v>22</v>
      </c>
      <c r="H27" s="20" t="str">
        <f t="shared" si="1"/>
        <v/>
      </c>
      <c r="I27" s="19" t="str">
        <f t="shared" si="2"/>
        <v/>
      </c>
      <c r="J27" s="42"/>
      <c r="K27" s="43"/>
    </row>
    <row r="28" spans="1:11" ht="15.6" x14ac:dyDescent="0.3">
      <c r="A28" s="28" t="str">
        <v xml:space="preserve"> Longmont - Bank of America</v>
      </c>
      <c r="B28" s="29" t="str">
        <v>CO</v>
      </c>
      <c r="C28" s="24">
        <v>1341.835</v>
      </c>
      <c r="D28" s="13" t="s">
        <v>22</v>
      </c>
      <c r="E28" s="13" t="str">
        <f t="shared" si="0"/>
        <v/>
      </c>
      <c r="F28" s="14" t="str">
        <f t="shared" si="3"/>
        <v/>
      </c>
      <c r="G28" s="70" t="s">
        <v>22</v>
      </c>
      <c r="H28" s="15" t="str">
        <f t="shared" si="1"/>
        <v/>
      </c>
      <c r="I28" s="16" t="str">
        <f t="shared" si="2"/>
        <v/>
      </c>
      <c r="J28" s="41"/>
      <c r="K28" s="41"/>
    </row>
    <row r="29" spans="1:11" ht="15.6" x14ac:dyDescent="0.3">
      <c r="A29" s="30" t="str">
        <v xml:space="preserve"> Thornton - Bank of America</v>
      </c>
      <c r="B29" s="31" t="str">
        <v>CO</v>
      </c>
      <c r="C29" s="11">
        <v>1538.3910000000001</v>
      </c>
      <c r="D29" s="18" t="s">
        <v>22</v>
      </c>
      <c r="E29" s="18" t="str">
        <f t="shared" si="0"/>
        <v/>
      </c>
      <c r="F29" s="19" t="str">
        <f t="shared" si="3"/>
        <v/>
      </c>
      <c r="G29" s="71" t="s">
        <v>22</v>
      </c>
      <c r="H29" s="20" t="str">
        <f t="shared" si="1"/>
        <v/>
      </c>
      <c r="I29" s="19" t="str">
        <f t="shared" si="2"/>
        <v/>
      </c>
      <c r="J29" s="42"/>
      <c r="K29" s="43"/>
    </row>
    <row r="30" spans="1:11" ht="15.6" x14ac:dyDescent="0.3">
      <c r="A30" s="28" t="str">
        <v xml:space="preserve"> Calumet City - Bank of America</v>
      </c>
      <c r="B30" s="29" t="str">
        <v>IL</v>
      </c>
      <c r="C30" s="24">
        <v>2750.3560000000002</v>
      </c>
      <c r="D30" s="13" t="s">
        <v>22</v>
      </c>
      <c r="E30" s="13" t="str">
        <f t="shared" si="0"/>
        <v/>
      </c>
      <c r="F30" s="14" t="str">
        <f t="shared" si="3"/>
        <v/>
      </c>
      <c r="G30" s="70" t="s">
        <v>22</v>
      </c>
      <c r="H30" s="15" t="str">
        <f t="shared" si="1"/>
        <v/>
      </c>
      <c r="I30" s="16" t="str">
        <f t="shared" si="2"/>
        <v/>
      </c>
      <c r="J30" s="41"/>
      <c r="K30" s="41"/>
    </row>
    <row r="31" spans="1:11" ht="28.8" x14ac:dyDescent="0.3">
      <c r="A31" s="30" t="str">
        <v xml:space="preserve"> Downers Grove - Bank of America</v>
      </c>
      <c r="B31" s="31" t="str">
        <v>IL</v>
      </c>
      <c r="C31" s="11">
        <v>3012.6970000000001</v>
      </c>
      <c r="D31" s="18" t="s">
        <v>22</v>
      </c>
      <c r="E31" s="18" t="str">
        <f t="shared" si="0"/>
        <v/>
      </c>
      <c r="F31" s="19" t="str">
        <f t="shared" si="3"/>
        <v/>
      </c>
      <c r="G31" s="71" t="s">
        <v>22</v>
      </c>
      <c r="H31" s="20" t="str">
        <f t="shared" si="1"/>
        <v/>
      </c>
      <c r="I31" s="19" t="str">
        <f t="shared" si="2"/>
        <v/>
      </c>
      <c r="J31" s="42" t="s">
        <v>126</v>
      </c>
      <c r="K31" s="68" t="s">
        <v>127</v>
      </c>
    </row>
    <row r="32" spans="1:11" ht="15.6" x14ac:dyDescent="0.3">
      <c r="A32" s="28" t="str">
        <v xml:space="preserve"> Bloomington - Bank of America</v>
      </c>
      <c r="B32" s="29" t="str">
        <v>MN</v>
      </c>
      <c r="C32" s="24">
        <v>681.33799999999997</v>
      </c>
      <c r="D32" s="13" t="s">
        <v>22</v>
      </c>
      <c r="E32" s="13" t="str">
        <f t="shared" si="0"/>
        <v/>
      </c>
      <c r="F32" s="14" t="str">
        <f t="shared" si="3"/>
        <v/>
      </c>
      <c r="G32" s="70" t="s">
        <v>22</v>
      </c>
      <c r="H32" s="15" t="str">
        <f t="shared" si="1"/>
        <v/>
      </c>
      <c r="I32" s="16" t="str">
        <f t="shared" si="2"/>
        <v/>
      </c>
      <c r="J32" s="41"/>
      <c r="K32" s="41"/>
    </row>
    <row r="33" spans="1:11" ht="43.2" x14ac:dyDescent="0.3">
      <c r="A33" s="30" t="str">
        <v xml:space="preserve"> Clayton - Bank of America</v>
      </c>
      <c r="B33" s="31" t="str">
        <v>MO</v>
      </c>
      <c r="C33" s="11">
        <v>2435.06</v>
      </c>
      <c r="D33" s="18" t="s">
        <v>22</v>
      </c>
      <c r="E33" s="18" t="str">
        <f t="shared" si="0"/>
        <v/>
      </c>
      <c r="F33" s="19" t="str">
        <f t="shared" si="3"/>
        <v/>
      </c>
      <c r="G33" s="71" t="s">
        <v>22</v>
      </c>
      <c r="H33" s="20" t="str">
        <f t="shared" si="1"/>
        <v/>
      </c>
      <c r="I33" s="19" t="str">
        <f t="shared" si="2"/>
        <v/>
      </c>
      <c r="J33" s="42" t="s">
        <v>128</v>
      </c>
      <c r="K33" s="68" t="s">
        <v>129</v>
      </c>
    </row>
    <row r="34" spans="1:11" ht="15.6" x14ac:dyDescent="0.3">
      <c r="A34" s="28" t="str">
        <v xml:space="preserve"> Manchester - Bank of America</v>
      </c>
      <c r="B34" s="29" t="str">
        <v>MO</v>
      </c>
      <c r="C34" s="24">
        <v>2119.0259999999998</v>
      </c>
      <c r="D34" s="13" t="s">
        <v>22</v>
      </c>
      <c r="E34" s="13" t="str">
        <f t="shared" si="0"/>
        <v/>
      </c>
      <c r="F34" s="14" t="str">
        <f t="shared" si="3"/>
        <v/>
      </c>
      <c r="G34" s="70" t="s">
        <v>22</v>
      </c>
      <c r="H34" s="15" t="str">
        <f t="shared" si="1"/>
        <v/>
      </c>
      <c r="I34" s="16" t="str">
        <f t="shared" si="2"/>
        <v/>
      </c>
      <c r="J34" s="41"/>
      <c r="K34" s="41"/>
    </row>
    <row r="35" spans="1:11" ht="15.6" x14ac:dyDescent="0.3">
      <c r="A35" s="30" t="str">
        <v xml:space="preserve"> Las Vegas - BA - Eastern Ave</v>
      </c>
      <c r="B35" s="31" t="str">
        <v>NV</v>
      </c>
      <c r="C35" s="11">
        <v>41.517000000000003</v>
      </c>
      <c r="D35" s="18" t="s">
        <v>22</v>
      </c>
      <c r="E35" s="18" t="str">
        <f t="shared" si="0"/>
        <v/>
      </c>
      <c r="F35" s="19" t="str">
        <f t="shared" si="3"/>
        <v/>
      </c>
      <c r="G35" s="71" t="s">
        <v>22</v>
      </c>
      <c r="H35" s="20" t="str">
        <f t="shared" si="1"/>
        <v/>
      </c>
      <c r="I35" s="19" t="str">
        <f t="shared" si="2"/>
        <v/>
      </c>
      <c r="J35" s="42"/>
      <c r="K35" s="43"/>
    </row>
    <row r="36" spans="1:11" ht="28.8" x14ac:dyDescent="0.3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0"/>
        <v/>
      </c>
      <c r="F36" s="14" t="str">
        <f t="shared" si="3"/>
        <v/>
      </c>
      <c r="G36" s="70" t="s">
        <v>22</v>
      </c>
      <c r="H36" s="15" t="str">
        <f t="shared" si="1"/>
        <v/>
      </c>
      <c r="I36" s="16" t="str">
        <f t="shared" si="2"/>
        <v/>
      </c>
      <c r="J36" s="41" t="s">
        <v>130</v>
      </c>
      <c r="K36" s="65" t="s">
        <v>131</v>
      </c>
    </row>
    <row r="37" spans="1:11" ht="15.6" x14ac:dyDescent="0.3">
      <c r="A37" s="30" t="str">
        <v xml:space="preserve"> Riverton - Bank of America</v>
      </c>
      <c r="B37" s="31" t="str">
        <v>UT</v>
      </c>
      <c r="C37" s="11">
        <v>3067.3040000000001</v>
      </c>
      <c r="D37" s="18" t="s">
        <v>22</v>
      </c>
      <c r="E37" s="18" t="str">
        <f t="shared" si="0"/>
        <v/>
      </c>
      <c r="F37" s="19" t="str">
        <f t="shared" si="3"/>
        <v/>
      </c>
      <c r="G37" s="71" t="s">
        <v>22</v>
      </c>
      <c r="H37" s="20" t="str">
        <f t="shared" si="1"/>
        <v/>
      </c>
      <c r="I37" s="19" t="str">
        <f t="shared" si="2"/>
        <v/>
      </c>
      <c r="J37" s="42"/>
      <c r="K37" s="43"/>
    </row>
    <row r="38" spans="1:11" ht="15.6" x14ac:dyDescent="0.3">
      <c r="A38" s="28" t="str">
        <v xml:space="preserve"> Salt Lake City - Bank of America</v>
      </c>
      <c r="B38" s="29" t="str">
        <v>UT</v>
      </c>
      <c r="C38" s="24">
        <v>214.172</v>
      </c>
      <c r="D38" s="13" t="s">
        <v>22</v>
      </c>
      <c r="E38" s="13" t="str">
        <f t="shared" si="0"/>
        <v/>
      </c>
      <c r="F38" s="14" t="str">
        <f t="shared" si="3"/>
        <v/>
      </c>
      <c r="G38" s="70" t="s">
        <v>22</v>
      </c>
      <c r="H38" s="15" t="str">
        <f t="shared" si="1"/>
        <v/>
      </c>
      <c r="I38" s="16" t="str">
        <f t="shared" si="2"/>
        <v/>
      </c>
      <c r="J38" s="41"/>
      <c r="K38" s="41"/>
    </row>
    <row r="39" spans="1:11" ht="14.4" x14ac:dyDescent="0.3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" x14ac:dyDescent="0.3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" x14ac:dyDescent="0.3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" x14ac:dyDescent="0.3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" x14ac:dyDescent="0.3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" x14ac:dyDescent="0.3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" x14ac:dyDescent="0.3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" x14ac:dyDescent="0.3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" x14ac:dyDescent="0.3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" x14ac:dyDescent="0.3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" x14ac:dyDescent="0.3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" x14ac:dyDescent="0.3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" x14ac:dyDescent="0.3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" x14ac:dyDescent="0.3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" x14ac:dyDescent="0.3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" x14ac:dyDescent="0.3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" x14ac:dyDescent="0.3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" x14ac:dyDescent="0.3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" x14ac:dyDescent="0.3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" x14ac:dyDescent="0.3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" x14ac:dyDescent="0.3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" x14ac:dyDescent="0.3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" x14ac:dyDescent="0.3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" x14ac:dyDescent="0.3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" x14ac:dyDescent="0.3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" x14ac:dyDescent="0.3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" x14ac:dyDescent="0.3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" x14ac:dyDescent="0.3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" x14ac:dyDescent="0.3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" x14ac:dyDescent="0.3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" x14ac:dyDescent="0.3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" x14ac:dyDescent="0.3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" x14ac:dyDescent="0.3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" x14ac:dyDescent="0.3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" x14ac:dyDescent="0.3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" x14ac:dyDescent="0.3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" x14ac:dyDescent="0.3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" x14ac:dyDescent="0.3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" x14ac:dyDescent="0.3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" x14ac:dyDescent="0.3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" x14ac:dyDescent="0.3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" x14ac:dyDescent="0.3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" x14ac:dyDescent="0.3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" x14ac:dyDescent="0.3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" x14ac:dyDescent="0.3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" x14ac:dyDescent="0.3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" x14ac:dyDescent="0.3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" x14ac:dyDescent="0.3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" x14ac:dyDescent="0.3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" x14ac:dyDescent="0.3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" x14ac:dyDescent="0.3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" x14ac:dyDescent="0.3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" x14ac:dyDescent="0.3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" x14ac:dyDescent="0.3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" x14ac:dyDescent="0.3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" x14ac:dyDescent="0.3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" x14ac:dyDescent="0.3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" x14ac:dyDescent="0.3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" x14ac:dyDescent="0.3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" x14ac:dyDescent="0.3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" x14ac:dyDescent="0.3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" x14ac:dyDescent="0.3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" x14ac:dyDescent="0.3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" x14ac:dyDescent="0.3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" x14ac:dyDescent="0.3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" x14ac:dyDescent="0.3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" x14ac:dyDescent="0.3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" x14ac:dyDescent="0.3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" x14ac:dyDescent="0.3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" x14ac:dyDescent="0.3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" x14ac:dyDescent="0.3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" x14ac:dyDescent="0.3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" x14ac:dyDescent="0.3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" x14ac:dyDescent="0.3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" x14ac:dyDescent="0.3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" x14ac:dyDescent="0.3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" x14ac:dyDescent="0.3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" x14ac:dyDescent="0.3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" x14ac:dyDescent="0.3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" x14ac:dyDescent="0.3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" x14ac:dyDescent="0.3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" x14ac:dyDescent="0.3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" x14ac:dyDescent="0.3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" x14ac:dyDescent="0.3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" x14ac:dyDescent="0.3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" x14ac:dyDescent="0.3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" x14ac:dyDescent="0.3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" x14ac:dyDescent="0.3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" x14ac:dyDescent="0.3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" x14ac:dyDescent="0.3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" x14ac:dyDescent="0.3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" x14ac:dyDescent="0.3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" x14ac:dyDescent="0.3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" x14ac:dyDescent="0.3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" x14ac:dyDescent="0.3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" x14ac:dyDescent="0.3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" x14ac:dyDescent="0.3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" x14ac:dyDescent="0.3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" x14ac:dyDescent="0.3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" x14ac:dyDescent="0.3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" x14ac:dyDescent="0.3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" x14ac:dyDescent="0.3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" x14ac:dyDescent="0.3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" x14ac:dyDescent="0.3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" x14ac:dyDescent="0.3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" x14ac:dyDescent="0.3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" x14ac:dyDescent="0.3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" x14ac:dyDescent="0.3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" x14ac:dyDescent="0.3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" x14ac:dyDescent="0.3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" x14ac:dyDescent="0.3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" x14ac:dyDescent="0.3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" x14ac:dyDescent="0.3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" x14ac:dyDescent="0.3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" x14ac:dyDescent="0.3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" x14ac:dyDescent="0.3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" x14ac:dyDescent="0.3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" x14ac:dyDescent="0.3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" x14ac:dyDescent="0.3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" x14ac:dyDescent="0.3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" x14ac:dyDescent="0.3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" x14ac:dyDescent="0.3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" x14ac:dyDescent="0.3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" x14ac:dyDescent="0.3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" x14ac:dyDescent="0.3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" x14ac:dyDescent="0.3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" x14ac:dyDescent="0.3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" x14ac:dyDescent="0.3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" x14ac:dyDescent="0.3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" x14ac:dyDescent="0.3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" x14ac:dyDescent="0.3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" x14ac:dyDescent="0.3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" x14ac:dyDescent="0.3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" x14ac:dyDescent="0.3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" x14ac:dyDescent="0.3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" x14ac:dyDescent="0.3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" x14ac:dyDescent="0.3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" x14ac:dyDescent="0.3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" x14ac:dyDescent="0.3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" x14ac:dyDescent="0.3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" x14ac:dyDescent="0.3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" x14ac:dyDescent="0.3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" x14ac:dyDescent="0.3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" x14ac:dyDescent="0.3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" x14ac:dyDescent="0.3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" x14ac:dyDescent="0.3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" x14ac:dyDescent="0.3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" x14ac:dyDescent="0.3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" x14ac:dyDescent="0.3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" x14ac:dyDescent="0.3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" x14ac:dyDescent="0.3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" x14ac:dyDescent="0.3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" x14ac:dyDescent="0.3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" x14ac:dyDescent="0.3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" x14ac:dyDescent="0.3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" x14ac:dyDescent="0.3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" x14ac:dyDescent="0.3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" x14ac:dyDescent="0.3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" x14ac:dyDescent="0.3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" x14ac:dyDescent="0.3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" x14ac:dyDescent="0.3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" x14ac:dyDescent="0.3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" x14ac:dyDescent="0.3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" x14ac:dyDescent="0.3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" x14ac:dyDescent="0.3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" x14ac:dyDescent="0.3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" x14ac:dyDescent="0.3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" x14ac:dyDescent="0.3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" x14ac:dyDescent="0.3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" x14ac:dyDescent="0.3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" x14ac:dyDescent="0.3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" x14ac:dyDescent="0.3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" x14ac:dyDescent="0.3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" x14ac:dyDescent="0.3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" x14ac:dyDescent="0.3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" x14ac:dyDescent="0.3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" x14ac:dyDescent="0.3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" x14ac:dyDescent="0.3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" x14ac:dyDescent="0.3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" x14ac:dyDescent="0.3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" x14ac:dyDescent="0.3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" x14ac:dyDescent="0.3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" x14ac:dyDescent="0.3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" x14ac:dyDescent="0.3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" x14ac:dyDescent="0.3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" x14ac:dyDescent="0.3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" x14ac:dyDescent="0.3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" x14ac:dyDescent="0.3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" x14ac:dyDescent="0.3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" x14ac:dyDescent="0.3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" x14ac:dyDescent="0.3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" x14ac:dyDescent="0.3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" x14ac:dyDescent="0.3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" x14ac:dyDescent="0.3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" x14ac:dyDescent="0.3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" x14ac:dyDescent="0.3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" x14ac:dyDescent="0.3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" x14ac:dyDescent="0.3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" x14ac:dyDescent="0.3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" x14ac:dyDescent="0.3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" x14ac:dyDescent="0.3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" x14ac:dyDescent="0.3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" x14ac:dyDescent="0.3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" x14ac:dyDescent="0.3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" x14ac:dyDescent="0.3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" x14ac:dyDescent="0.3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" x14ac:dyDescent="0.3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" x14ac:dyDescent="0.3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" x14ac:dyDescent="0.3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" x14ac:dyDescent="0.3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" x14ac:dyDescent="0.3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" x14ac:dyDescent="0.3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" x14ac:dyDescent="0.3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" x14ac:dyDescent="0.3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" x14ac:dyDescent="0.3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" x14ac:dyDescent="0.3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" x14ac:dyDescent="0.3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" x14ac:dyDescent="0.3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" x14ac:dyDescent="0.3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" x14ac:dyDescent="0.3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" x14ac:dyDescent="0.3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" x14ac:dyDescent="0.3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" x14ac:dyDescent="0.3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" x14ac:dyDescent="0.3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" x14ac:dyDescent="0.3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" x14ac:dyDescent="0.3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" x14ac:dyDescent="0.3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" x14ac:dyDescent="0.3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" x14ac:dyDescent="0.3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" x14ac:dyDescent="0.3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" x14ac:dyDescent="0.3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" x14ac:dyDescent="0.3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" x14ac:dyDescent="0.3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" x14ac:dyDescent="0.3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" x14ac:dyDescent="0.3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" x14ac:dyDescent="0.3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" x14ac:dyDescent="0.3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" x14ac:dyDescent="0.3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" x14ac:dyDescent="0.3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" x14ac:dyDescent="0.3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" x14ac:dyDescent="0.3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" x14ac:dyDescent="0.3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" x14ac:dyDescent="0.3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" x14ac:dyDescent="0.3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" x14ac:dyDescent="0.3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" x14ac:dyDescent="0.3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" x14ac:dyDescent="0.3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" x14ac:dyDescent="0.3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" x14ac:dyDescent="0.3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" x14ac:dyDescent="0.3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" x14ac:dyDescent="0.3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" x14ac:dyDescent="0.3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" x14ac:dyDescent="0.3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" x14ac:dyDescent="0.3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" x14ac:dyDescent="0.3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" x14ac:dyDescent="0.3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" x14ac:dyDescent="0.3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" x14ac:dyDescent="0.3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" x14ac:dyDescent="0.3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" x14ac:dyDescent="0.3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" x14ac:dyDescent="0.3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" x14ac:dyDescent="0.3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" x14ac:dyDescent="0.3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" x14ac:dyDescent="0.3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" x14ac:dyDescent="0.3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" x14ac:dyDescent="0.3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" x14ac:dyDescent="0.3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" x14ac:dyDescent="0.3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" x14ac:dyDescent="0.3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" x14ac:dyDescent="0.3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" x14ac:dyDescent="0.3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" x14ac:dyDescent="0.3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" x14ac:dyDescent="0.3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" x14ac:dyDescent="0.3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" x14ac:dyDescent="0.3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" x14ac:dyDescent="0.3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" x14ac:dyDescent="0.3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" x14ac:dyDescent="0.3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" x14ac:dyDescent="0.3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" x14ac:dyDescent="0.3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" x14ac:dyDescent="0.3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" x14ac:dyDescent="0.3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" x14ac:dyDescent="0.3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" x14ac:dyDescent="0.3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" x14ac:dyDescent="0.3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" x14ac:dyDescent="0.3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" x14ac:dyDescent="0.3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" x14ac:dyDescent="0.3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" x14ac:dyDescent="0.3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" x14ac:dyDescent="0.3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" x14ac:dyDescent="0.3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" x14ac:dyDescent="0.3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" x14ac:dyDescent="0.3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" x14ac:dyDescent="0.3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" x14ac:dyDescent="0.3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" x14ac:dyDescent="0.3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" x14ac:dyDescent="0.3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" x14ac:dyDescent="0.3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" x14ac:dyDescent="0.3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" x14ac:dyDescent="0.3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" x14ac:dyDescent="0.3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" x14ac:dyDescent="0.3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" x14ac:dyDescent="0.3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" x14ac:dyDescent="0.3">
      <c r="C342" s="21"/>
      <c r="D342" s="21"/>
      <c r="E342" s="21"/>
      <c r="F342" s="22"/>
      <c r="G342" s="21"/>
      <c r="H342" s="21"/>
      <c r="I342" s="22"/>
      <c r="J342" s="21"/>
      <c r="K342" s="21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">
    <cfRule type="cellIs" dxfId="23" priority="3" stopIfTrue="1" operator="lessThanOrEqual">
      <formula>-0.1</formula>
    </cfRule>
    <cfRule type="expression" dxfId="22" priority="4">
      <formula>AND(ISNUMBER(F2), F2&gt;=0.1)</formula>
    </cfRule>
  </conditionalFormatting>
  <conditionalFormatting sqref="F4:F100 I4:I100">
    <cfRule type="cellIs" dxfId="21" priority="1" stopIfTrue="1" operator="lessThanOrEqual">
      <formula>-0.1</formula>
    </cfRule>
    <cfRule type="expression" dxfId="20" priority="2">
      <formula>AND(ISNUMBER(F4), F4&gt;=0.1)</formula>
    </cfRule>
  </conditionalFormatting>
  <hyperlinks>
    <hyperlink ref="K7" r:id="rId1" display="https://us3.assetplanner.com/service_request?ID=101589" xr:uid="{FACED039-7774-4C21-8CF8-45D62BB85654}"/>
    <hyperlink ref="K9" r:id="rId2" display="https://us3.assetplanner.com/service_request?ID=104091" xr:uid="{15ABC3AD-AD48-4014-A6D5-71BC02C7261D}"/>
    <hyperlink ref="K10" r:id="rId3" display="https://us3.assetplanner.com/service_request?ID=102087" xr:uid="{8EE2A271-AAFB-44BB-A870-7696B111796B}"/>
    <hyperlink ref="K12" r:id="rId4" display="https://us3.assetplanner.com/service_request?ID=102088" xr:uid="{257BC8DE-078F-4468-AB30-D766479014E9}"/>
    <hyperlink ref="K15" r:id="rId5" display="https://us3.assetplanner.com/service_request?ID=101846" xr:uid="{8B5FDF1D-7D52-468C-9B65-6BB3E4D6EBF2}"/>
    <hyperlink ref="K18" r:id="rId6" display="https://us3.assetplanner.com/service_request?ID=099807" xr:uid="{343B79DC-3F37-45A5-8857-184F4F691408}"/>
    <hyperlink ref="K22" r:id="rId7" display="https://us3.assetplanner.com/service_request?ID=102639" xr:uid="{1B2FB6C8-94EE-4487-9841-15E65605F06F}"/>
    <hyperlink ref="K31" r:id="rId8" display="https://us3.assetplanner.com/service_request?ID=103077" xr:uid="{0CDE8096-F056-4CE4-847B-4924CAE78E63}"/>
    <hyperlink ref="K33" r:id="rId9" display="https://us3.assetplanner.com/service_request?ID=103670" xr:uid="{58600DE0-9E44-463D-BC8F-33E2A3E77A3B}"/>
    <hyperlink ref="K36" r:id="rId10" display="https://us3.assetplanner.com/service_request?ID=104706" xr:uid="{FE86A7DD-19EF-495B-87F2-5C5234313F82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zoomScale="80" zoomScaleNormal="80" workbookViewId="0">
      <pane xSplit="2" ySplit="3" topLeftCell="C9" activePane="bottomRight" state="frozen"/>
      <selection pane="topRight" activeCell="P19" sqref="P19:P20"/>
      <selection pane="bottomLeft" activeCell="P19" sqref="P19:P20"/>
      <selection pane="bottomRight" activeCell="K15" sqref="K15"/>
    </sheetView>
  </sheetViews>
  <sheetFormatPr defaultRowHeight="13.8" x14ac:dyDescent="0.25"/>
  <cols>
    <col min="1" max="1" width="35.88671875" bestFit="1" customWidth="1"/>
    <col min="2" max="2" width="8.44140625" style="34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89" t="str" cm="1">
        <f t="array" ref="A1">portfolio</f>
        <v>Cushman &amp; Wakefield</v>
      </c>
      <c r="B1" s="89"/>
      <c r="C1" s="89"/>
      <c r="D1" s="90" t="s">
        <v>132</v>
      </c>
      <c r="E1" s="90"/>
      <c r="F1" s="90"/>
      <c r="G1" s="88" t="s">
        <v>133</v>
      </c>
      <c r="H1" s="88"/>
      <c r="I1" s="88"/>
      <c r="J1" s="4"/>
      <c r="K1" s="4"/>
    </row>
    <row r="2" spans="1:11" ht="19.5" customHeight="1" x14ac:dyDescent="0.25">
      <c r="A2" s="91" t="s">
        <v>2</v>
      </c>
      <c r="B2" s="91"/>
      <c r="C2" s="5">
        <f>SUM(C4:C100)</f>
        <v>60444.871999999996</v>
      </c>
      <c r="D2" s="5">
        <f>SUM(D4:D100)</f>
        <v>0</v>
      </c>
      <c r="E2" s="5">
        <f>C2-D2</f>
        <v>60444.871999999996</v>
      </c>
      <c r="F2" s="6">
        <f>IFERROR(E2/D2, 0)</f>
        <v>0</v>
      </c>
      <c r="G2" s="5">
        <f>SUM(G4:G100)</f>
        <v>0</v>
      </c>
      <c r="H2" s="7">
        <f>C2-G2</f>
        <v>60444.871999999996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 x14ac:dyDescent="0.3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 x14ac:dyDescent="0.25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20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 x14ac:dyDescent="0.25">
      <c r="A6" s="28" t="str">
        <v xml:space="preserve"> Arvin - Bank of America</v>
      </c>
      <c r="B6" s="29" t="str">
        <v>CA</v>
      </c>
      <c r="C6" s="24">
        <v>96.075999999999993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15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1" ht="15.6" x14ac:dyDescent="0.25">
      <c r="A7" s="30" t="str">
        <v xml:space="preserve"> Bell - Bank of America</v>
      </c>
      <c r="B7" s="31" t="str">
        <v>CA</v>
      </c>
      <c r="C7" s="11">
        <v>2321.9209999999998</v>
      </c>
      <c r="D7" s="18" t="s">
        <v>22</v>
      </c>
      <c r="E7" s="18" t="str">
        <f t="shared" si="0"/>
        <v/>
      </c>
      <c r="F7" s="19" t="str">
        <f t="shared" si="3"/>
        <v/>
      </c>
      <c r="G7" s="20" t="s">
        <v>22</v>
      </c>
      <c r="H7" s="20" t="str">
        <f t="shared" si="1"/>
        <v/>
      </c>
      <c r="I7" s="19" t="str">
        <f t="shared" si="2"/>
        <v/>
      </c>
      <c r="J7" t="s">
        <v>134</v>
      </c>
      <c r="K7" s="74" t="s">
        <v>103</v>
      </c>
    </row>
    <row r="8" spans="1:11" ht="15.6" x14ac:dyDescent="0.25">
      <c r="A8" s="28" t="str">
        <v xml:space="preserve"> Chula Vista - Bank of America</v>
      </c>
      <c r="B8" s="29" t="str">
        <v>CA</v>
      </c>
      <c r="C8" s="24">
        <v>1411.3869999999999</v>
      </c>
      <c r="D8" s="13" t="s">
        <v>22</v>
      </c>
      <c r="E8" s="13" t="str">
        <f t="shared" si="0"/>
        <v/>
      </c>
      <c r="F8" s="14" t="str">
        <f t="shared" si="3"/>
        <v/>
      </c>
      <c r="G8" s="15" t="s">
        <v>22</v>
      </c>
      <c r="H8" s="15" t="str">
        <f t="shared" si="1"/>
        <v/>
      </c>
      <c r="I8" s="16" t="str">
        <f t="shared" si="2"/>
        <v/>
      </c>
      <c r="J8" s="41"/>
      <c r="K8" s="41"/>
    </row>
    <row r="9" spans="1:11" ht="15.6" x14ac:dyDescent="0.25">
      <c r="A9" s="30" t="str">
        <v xml:space="preserve"> Cupertino - Bank of America</v>
      </c>
      <c r="B9" s="31" t="str">
        <v>CA</v>
      </c>
      <c r="C9" s="11">
        <v>1756.9970000000001</v>
      </c>
      <c r="D9" s="18" t="s">
        <v>22</v>
      </c>
      <c r="E9" s="18" t="str">
        <f t="shared" si="0"/>
        <v/>
      </c>
      <c r="F9" s="19" t="str">
        <f t="shared" si="3"/>
        <v/>
      </c>
      <c r="G9" s="20" t="s">
        <v>22</v>
      </c>
      <c r="H9" s="20" t="str">
        <f t="shared" si="1"/>
        <v/>
      </c>
      <c r="I9" s="19" t="str">
        <f t="shared" si="2"/>
        <v/>
      </c>
      <c r="J9" s="42" t="s">
        <v>135</v>
      </c>
      <c r="K9" s="74" t="s">
        <v>119</v>
      </c>
    </row>
    <row r="10" spans="1:11" ht="15.6" x14ac:dyDescent="0.25">
      <c r="A10" s="28" t="str">
        <v xml:space="preserve"> Diamond Bar - Bank of America</v>
      </c>
      <c r="B10" s="29" t="str">
        <v>CA</v>
      </c>
      <c r="C10" s="24">
        <v>3100.4879999999998</v>
      </c>
      <c r="D10" s="13" t="s">
        <v>22</v>
      </c>
      <c r="E10" s="13" t="str">
        <f t="shared" si="0"/>
        <v/>
      </c>
      <c r="F10" s="14" t="str">
        <f t="shared" si="3"/>
        <v/>
      </c>
      <c r="G10" s="15" t="s">
        <v>22</v>
      </c>
      <c r="H10" s="15" t="str">
        <f t="shared" si="1"/>
        <v/>
      </c>
      <c r="I10" s="16" t="str">
        <f t="shared" si="2"/>
        <v/>
      </c>
      <c r="J10" s="41" t="s">
        <v>136</v>
      </c>
      <c r="K10" s="65" t="s">
        <v>105</v>
      </c>
    </row>
    <row r="11" spans="1:11" ht="15.6" x14ac:dyDescent="0.25">
      <c r="A11" s="30" t="str">
        <v xml:space="preserve"> El Centro - Bank of America</v>
      </c>
      <c r="B11" s="31" t="str">
        <v>CA</v>
      </c>
      <c r="C11" s="11">
        <v>2645.9549999999999</v>
      </c>
      <c r="D11" s="18" t="s">
        <v>22</v>
      </c>
      <c r="E11" s="18" t="str">
        <f t="shared" si="0"/>
        <v/>
      </c>
      <c r="F11" s="19" t="str">
        <f t="shared" si="3"/>
        <v/>
      </c>
      <c r="G11" s="20" t="s">
        <v>22</v>
      </c>
      <c r="H11" s="20" t="str">
        <f t="shared" si="1"/>
        <v/>
      </c>
      <c r="I11" s="19" t="str">
        <f t="shared" si="2"/>
        <v/>
      </c>
      <c r="J11" s="42"/>
      <c r="K11" s="43"/>
    </row>
    <row r="12" spans="1:11" ht="15.6" x14ac:dyDescent="0.25">
      <c r="A12" s="28" t="str">
        <v xml:space="preserve"> Moreno Valley - Bank of America</v>
      </c>
      <c r="B12" s="29" t="str">
        <v>CA</v>
      </c>
      <c r="C12" s="24">
        <v>4216.3990000000003</v>
      </c>
      <c r="D12" s="13" t="s">
        <v>22</v>
      </c>
      <c r="E12" s="13" t="str">
        <f t="shared" si="0"/>
        <v/>
      </c>
      <c r="F12" s="14" t="str">
        <f t="shared" si="3"/>
        <v/>
      </c>
      <c r="G12" s="15" t="s">
        <v>22</v>
      </c>
      <c r="H12" s="15" t="str">
        <f t="shared" si="1"/>
        <v/>
      </c>
      <c r="I12" s="16" t="str">
        <f t="shared" si="2"/>
        <v/>
      </c>
      <c r="J12" s="41" t="s">
        <v>137</v>
      </c>
      <c r="K12" s="65" t="s">
        <v>90</v>
      </c>
    </row>
    <row r="13" spans="1:11" ht="15.6" x14ac:dyDescent="0.25">
      <c r="A13" s="30" t="str">
        <v xml:space="preserve"> Redlands - Bank of America</v>
      </c>
      <c r="B13" s="31" t="str">
        <v>CA</v>
      </c>
      <c r="C13" s="11">
        <v>0</v>
      </c>
      <c r="D13" s="18" t="s">
        <v>22</v>
      </c>
      <c r="E13" s="18" t="str">
        <f t="shared" si="0"/>
        <v/>
      </c>
      <c r="F13" s="19" t="str">
        <f t="shared" si="3"/>
        <v/>
      </c>
      <c r="G13" s="20" t="s">
        <v>22</v>
      </c>
      <c r="H13" s="20" t="str">
        <f t="shared" si="1"/>
        <v/>
      </c>
      <c r="I13" s="19" t="str">
        <f t="shared" si="2"/>
        <v/>
      </c>
      <c r="J13" s="42"/>
      <c r="K13" s="43"/>
    </row>
    <row r="14" spans="1:11" ht="15.6" x14ac:dyDescent="0.25">
      <c r="A14" s="28" t="str">
        <v xml:space="preserve"> Roseville - Bank of America</v>
      </c>
      <c r="B14" s="29" t="str">
        <v>CA</v>
      </c>
      <c r="C14" s="24">
        <v>7155.8919999999998</v>
      </c>
      <c r="D14" s="13" t="s">
        <v>22</v>
      </c>
      <c r="E14" s="13" t="str">
        <f t="shared" si="0"/>
        <v/>
      </c>
      <c r="F14" s="14" t="str">
        <f t="shared" si="3"/>
        <v/>
      </c>
      <c r="G14" s="15" t="s">
        <v>22</v>
      </c>
      <c r="H14" s="15" t="str">
        <f t="shared" si="1"/>
        <v/>
      </c>
      <c r="I14" s="16" t="str">
        <f t="shared" si="2"/>
        <v/>
      </c>
      <c r="J14" s="41"/>
      <c r="K14" s="41"/>
    </row>
    <row r="15" spans="1:11" ht="15.6" x14ac:dyDescent="0.25">
      <c r="A15" s="30" t="str">
        <v xml:space="preserve"> San Bernardino - Bank of America</v>
      </c>
      <c r="B15" s="31" t="str">
        <v>CA</v>
      </c>
      <c r="C15" s="11">
        <v>74.347999999999999</v>
      </c>
      <c r="D15" s="18" t="s">
        <v>22</v>
      </c>
      <c r="E15" s="18" t="str">
        <f t="shared" si="0"/>
        <v/>
      </c>
      <c r="F15" s="19" t="str">
        <f t="shared" si="3"/>
        <v/>
      </c>
      <c r="G15" s="20" t="s">
        <v>22</v>
      </c>
      <c r="H15" s="20" t="str">
        <f t="shared" si="1"/>
        <v/>
      </c>
      <c r="I15" s="19" t="str">
        <f t="shared" si="2"/>
        <v/>
      </c>
      <c r="J15" s="42" t="s">
        <v>138</v>
      </c>
      <c r="K15" s="74" t="s">
        <v>139</v>
      </c>
    </row>
    <row r="16" spans="1:11" ht="15.6" x14ac:dyDescent="0.25">
      <c r="A16" s="28" t="str">
        <v xml:space="preserve"> San Diego - Bank of America</v>
      </c>
      <c r="B16" s="29" t="str">
        <v>CA</v>
      </c>
      <c r="C16" s="24">
        <v>67.215000000000003</v>
      </c>
      <c r="D16" s="13" t="s">
        <v>22</v>
      </c>
      <c r="E16" s="13" t="str">
        <f t="shared" si="0"/>
        <v/>
      </c>
      <c r="F16" s="14" t="str">
        <f t="shared" si="3"/>
        <v/>
      </c>
      <c r="G16" s="15" t="s">
        <v>22</v>
      </c>
      <c r="H16" s="15" t="str">
        <f t="shared" si="1"/>
        <v/>
      </c>
      <c r="I16" s="16" t="str">
        <f t="shared" si="2"/>
        <v/>
      </c>
      <c r="J16" s="41"/>
      <c r="K16" s="41"/>
    </row>
    <row r="17" spans="1:11" ht="15.6" x14ac:dyDescent="0.25">
      <c r="A17" s="30" t="str">
        <v xml:space="preserve"> Stockton - Bank of America</v>
      </c>
      <c r="B17" s="31" t="str">
        <v>CA</v>
      </c>
      <c r="C17" s="11">
        <v>1551.0229999999999</v>
      </c>
      <c r="D17" s="18" t="s">
        <v>22</v>
      </c>
      <c r="E17" s="18" t="str">
        <f t="shared" si="0"/>
        <v/>
      </c>
      <c r="F17" s="19" t="str">
        <f t="shared" si="3"/>
        <v/>
      </c>
      <c r="G17" s="20" t="s">
        <v>22</v>
      </c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 x14ac:dyDescent="0.25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 t="s">
        <v>22</v>
      </c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6" x14ac:dyDescent="0.25">
      <c r="A19" s="30" t="str">
        <v xml:space="preserve"> Aurora - BA - Colfax Ave</v>
      </c>
      <c r="B19" s="31" t="str">
        <v>CO</v>
      </c>
      <c r="C19" s="11">
        <v>1304.6880000000001</v>
      </c>
      <c r="D19" s="18" t="s">
        <v>22</v>
      </c>
      <c r="E19" s="18" t="str">
        <f t="shared" si="4"/>
        <v/>
      </c>
      <c r="F19" s="19" t="str">
        <f t="shared" si="5"/>
        <v/>
      </c>
      <c r="G19" s="20" t="s">
        <v>22</v>
      </c>
      <c r="H19" s="20" t="str">
        <f t="shared" si="6"/>
        <v/>
      </c>
      <c r="I19" s="19" t="str">
        <f t="shared" si="7"/>
        <v/>
      </c>
      <c r="J19" s="42"/>
      <c r="K19" s="43"/>
    </row>
    <row r="20" spans="1:11" ht="15.6" x14ac:dyDescent="0.25">
      <c r="A20" s="28" t="str">
        <v xml:space="preserve"> Aurora - BA - Parker Rd</v>
      </c>
      <c r="B20" s="29" t="str">
        <v>CO</v>
      </c>
      <c r="C20" s="24">
        <v>3807.8649999999998</v>
      </c>
      <c r="D20" s="13" t="s">
        <v>22</v>
      </c>
      <c r="E20" s="13" t="str">
        <f t="shared" si="4"/>
        <v/>
      </c>
      <c r="F20" s="14" t="str">
        <f t="shared" si="5"/>
        <v/>
      </c>
      <c r="G20" s="15" t="s">
        <v>22</v>
      </c>
      <c r="H20" s="15" t="str">
        <f t="shared" si="6"/>
        <v/>
      </c>
      <c r="I20" s="16" t="str">
        <f t="shared" si="7"/>
        <v/>
      </c>
      <c r="J20" s="41"/>
      <c r="K20" s="41"/>
    </row>
    <row r="21" spans="1:11" ht="15.6" x14ac:dyDescent="0.25">
      <c r="A21" s="30" t="str">
        <v xml:space="preserve"> Broomfield - Bank of America</v>
      </c>
      <c r="B21" s="31" t="str">
        <v>CO</v>
      </c>
      <c r="C21" s="11">
        <v>1807.4069999999999</v>
      </c>
      <c r="D21" s="18" t="s">
        <v>22</v>
      </c>
      <c r="E21" s="18" t="str">
        <f t="shared" si="4"/>
        <v/>
      </c>
      <c r="F21" s="19" t="str">
        <f t="shared" si="5"/>
        <v/>
      </c>
      <c r="G21" s="20" t="s">
        <v>22</v>
      </c>
      <c r="H21" s="20" t="str">
        <f t="shared" si="6"/>
        <v/>
      </c>
      <c r="I21" s="19" t="str">
        <f t="shared" si="7"/>
        <v/>
      </c>
      <c r="J21" s="42"/>
      <c r="K21" s="43"/>
    </row>
    <row r="22" spans="1:11" ht="15.6" x14ac:dyDescent="0.25">
      <c r="A22" s="28" t="str">
        <v xml:space="preserve"> Colorado Springs - Bank of America</v>
      </c>
      <c r="B22" s="29" t="str">
        <v>CO</v>
      </c>
      <c r="C22" s="24">
        <v>2773.904</v>
      </c>
      <c r="D22" s="13" t="s">
        <v>22</v>
      </c>
      <c r="E22" s="13" t="str">
        <f t="shared" si="4"/>
        <v/>
      </c>
      <c r="F22" s="14" t="str">
        <f t="shared" si="5"/>
        <v/>
      </c>
      <c r="G22" s="15" t="s">
        <v>22</v>
      </c>
      <c r="H22" s="15" t="str">
        <f t="shared" si="6"/>
        <v/>
      </c>
      <c r="I22" s="16" t="str">
        <f t="shared" si="7"/>
        <v/>
      </c>
      <c r="J22" s="41" t="s">
        <v>140</v>
      </c>
      <c r="K22" s="65" t="s">
        <v>110</v>
      </c>
    </row>
    <row r="23" spans="1:11" ht="15.6" x14ac:dyDescent="0.25">
      <c r="A23" s="30" t="str">
        <v xml:space="preserve"> Denver - BA - 49th Ave</v>
      </c>
      <c r="B23" s="31" t="str">
        <v>CO</v>
      </c>
      <c r="C23" s="11">
        <v>1310.952</v>
      </c>
      <c r="D23" s="18" t="s">
        <v>22</v>
      </c>
      <c r="E23" s="18" t="str">
        <f t="shared" si="4"/>
        <v/>
      </c>
      <c r="F23" s="19" t="str">
        <f t="shared" si="5"/>
        <v/>
      </c>
      <c r="G23" s="20" t="s">
        <v>22</v>
      </c>
      <c r="H23" s="20" t="str">
        <f t="shared" si="6"/>
        <v/>
      </c>
      <c r="I23" s="19" t="str">
        <f t="shared" si="7"/>
        <v/>
      </c>
      <c r="J23" s="42"/>
      <c r="K23" s="43"/>
    </row>
    <row r="24" spans="1:11" ht="15.6" x14ac:dyDescent="0.25">
      <c r="A24" s="28" t="str">
        <v xml:space="preserve"> Denver - BA Wadsworth Blvd</v>
      </c>
      <c r="B24" s="29" t="str">
        <v>CO</v>
      </c>
      <c r="C24" s="24">
        <v>2527.152</v>
      </c>
      <c r="D24" s="13" t="s">
        <v>22</v>
      </c>
      <c r="E24" s="13" t="str">
        <f t="shared" si="4"/>
        <v/>
      </c>
      <c r="F24" s="14" t="str">
        <f t="shared" si="5"/>
        <v/>
      </c>
      <c r="G24" s="15" t="s">
        <v>22</v>
      </c>
      <c r="H24" s="15" t="str">
        <f t="shared" si="6"/>
        <v/>
      </c>
      <c r="I24" s="16" t="str">
        <f t="shared" si="7"/>
        <v/>
      </c>
      <c r="J24" s="41"/>
      <c r="K24" s="41"/>
    </row>
    <row r="25" spans="1:11" ht="15.6" x14ac:dyDescent="0.25">
      <c r="A25" s="30" t="str">
        <v xml:space="preserve"> Fort Collins - Bank of America</v>
      </c>
      <c r="B25" s="31" t="str">
        <v>CO</v>
      </c>
      <c r="C25" s="11">
        <v>1692.749</v>
      </c>
      <c r="D25" s="18" t="s">
        <v>22</v>
      </c>
      <c r="E25" s="18" t="str">
        <f t="shared" si="4"/>
        <v/>
      </c>
      <c r="F25" s="19" t="str">
        <f t="shared" si="5"/>
        <v/>
      </c>
      <c r="G25" s="20" t="s">
        <v>22</v>
      </c>
      <c r="H25" s="20" t="str">
        <f t="shared" si="6"/>
        <v/>
      </c>
      <c r="I25" s="19" t="str">
        <f t="shared" si="7"/>
        <v/>
      </c>
      <c r="J25" s="42"/>
      <c r="K25" s="43"/>
    </row>
    <row r="26" spans="1:11" ht="15.6" x14ac:dyDescent="0.25">
      <c r="A26" s="28" t="str">
        <v xml:space="preserve"> Lafayette - Bank of America</v>
      </c>
      <c r="B26" s="29" t="str">
        <v>CO</v>
      </c>
      <c r="C26" s="24">
        <v>2434.6379999999999</v>
      </c>
      <c r="D26" s="13" t="s">
        <v>22</v>
      </c>
      <c r="E26" s="13" t="str">
        <f t="shared" si="4"/>
        <v/>
      </c>
      <c r="F26" s="14" t="str">
        <f t="shared" si="5"/>
        <v/>
      </c>
      <c r="G26" s="15" t="s">
        <v>22</v>
      </c>
      <c r="H26" s="15" t="str">
        <f t="shared" si="6"/>
        <v/>
      </c>
      <c r="I26" s="16" t="str">
        <f t="shared" si="7"/>
        <v/>
      </c>
      <c r="J26" s="41"/>
      <c r="K26" s="41"/>
    </row>
    <row r="27" spans="1:11" ht="15.6" x14ac:dyDescent="0.25">
      <c r="A27" s="30" t="str">
        <v xml:space="preserve"> Lakewood - Bank of America</v>
      </c>
      <c r="B27" s="31" t="str">
        <v>CO</v>
      </c>
      <c r="C27" s="11">
        <v>1384.0509999999999</v>
      </c>
      <c r="D27" s="18" t="s">
        <v>22</v>
      </c>
      <c r="E27" s="18" t="str">
        <f t="shared" si="4"/>
        <v/>
      </c>
      <c r="F27" s="19" t="str">
        <f t="shared" si="5"/>
        <v/>
      </c>
      <c r="G27" s="20" t="s">
        <v>22</v>
      </c>
      <c r="H27" s="20" t="str">
        <f t="shared" si="6"/>
        <v/>
      </c>
      <c r="I27" s="19" t="str">
        <f t="shared" si="7"/>
        <v/>
      </c>
      <c r="J27" s="42"/>
      <c r="K27" s="43"/>
    </row>
    <row r="28" spans="1:11" ht="15.6" x14ac:dyDescent="0.25">
      <c r="A28" s="28" t="str">
        <v xml:space="preserve"> Longmont - Bank of America</v>
      </c>
      <c r="B28" s="29" t="str">
        <v>CO</v>
      </c>
      <c r="C28" s="24">
        <v>1230.202</v>
      </c>
      <c r="D28" s="13" t="s">
        <v>22</v>
      </c>
      <c r="E28" s="13" t="str">
        <f t="shared" si="4"/>
        <v/>
      </c>
      <c r="F28" s="14" t="str">
        <f t="shared" si="5"/>
        <v/>
      </c>
      <c r="G28" s="15" t="s">
        <v>22</v>
      </c>
      <c r="H28" s="15" t="str">
        <f t="shared" si="6"/>
        <v/>
      </c>
      <c r="I28" s="16" t="str">
        <f t="shared" si="7"/>
        <v/>
      </c>
      <c r="J28" s="41"/>
      <c r="K28" s="41"/>
    </row>
    <row r="29" spans="1:11" ht="15.6" x14ac:dyDescent="0.25">
      <c r="A29" s="30" t="str">
        <v xml:space="preserve"> Thornton - Bank of America</v>
      </c>
      <c r="B29" s="31" t="str">
        <v>CO</v>
      </c>
      <c r="C29" s="11">
        <v>1438.414</v>
      </c>
      <c r="D29" s="18" t="s">
        <v>22</v>
      </c>
      <c r="E29" s="18" t="str">
        <f t="shared" si="4"/>
        <v/>
      </c>
      <c r="F29" s="19" t="str">
        <f t="shared" si="5"/>
        <v/>
      </c>
      <c r="G29" s="20" t="s">
        <v>22</v>
      </c>
      <c r="H29" s="20" t="str">
        <f t="shared" si="6"/>
        <v/>
      </c>
      <c r="I29" s="19" t="str">
        <f t="shared" si="7"/>
        <v/>
      </c>
      <c r="J29" s="42"/>
      <c r="K29" s="43"/>
    </row>
    <row r="30" spans="1:11" ht="15.6" x14ac:dyDescent="0.25">
      <c r="A30" s="28" t="str">
        <v xml:space="preserve"> Calumet City - Bank of America</v>
      </c>
      <c r="B30" s="29" t="str">
        <v>IL</v>
      </c>
      <c r="C30" s="24">
        <v>2875.538</v>
      </c>
      <c r="D30" s="13" t="s">
        <v>22</v>
      </c>
      <c r="E30" s="13" t="str">
        <f t="shared" si="4"/>
        <v/>
      </c>
      <c r="F30" s="14" t="str">
        <f t="shared" si="5"/>
        <v/>
      </c>
      <c r="G30" s="15" t="s">
        <v>22</v>
      </c>
      <c r="H30" s="15" t="str">
        <f t="shared" si="6"/>
        <v/>
      </c>
      <c r="I30" s="16" t="str">
        <f t="shared" si="7"/>
        <v/>
      </c>
      <c r="J30" s="41"/>
      <c r="K30" s="41"/>
    </row>
    <row r="31" spans="1:11" ht="15.6" x14ac:dyDescent="0.25">
      <c r="A31" s="30" t="str">
        <v xml:space="preserve"> Downers Grove - Bank of America</v>
      </c>
      <c r="B31" s="31" t="str">
        <v>IL</v>
      </c>
      <c r="C31" s="11">
        <v>3155.116</v>
      </c>
      <c r="D31" s="18" t="s">
        <v>22</v>
      </c>
      <c r="E31" s="18" t="str">
        <f t="shared" si="4"/>
        <v/>
      </c>
      <c r="F31" s="19" t="str">
        <f t="shared" si="5"/>
        <v/>
      </c>
      <c r="G31" s="20" t="s">
        <v>22</v>
      </c>
      <c r="H31" s="20" t="str">
        <f t="shared" si="6"/>
        <v/>
      </c>
      <c r="I31" s="19" t="str">
        <f t="shared" si="7"/>
        <v/>
      </c>
      <c r="J31" s="42"/>
      <c r="K31" s="43"/>
    </row>
    <row r="32" spans="1:11" ht="15.6" x14ac:dyDescent="0.25">
      <c r="A32" s="28" t="str">
        <v xml:space="preserve"> Bloomington - Bank of America</v>
      </c>
      <c r="B32" s="29" t="str">
        <v>MN</v>
      </c>
      <c r="C32" s="24">
        <v>550.04</v>
      </c>
      <c r="D32" s="13" t="s">
        <v>22</v>
      </c>
      <c r="E32" s="13" t="str">
        <f t="shared" si="4"/>
        <v/>
      </c>
      <c r="F32" s="14" t="str">
        <f t="shared" si="5"/>
        <v/>
      </c>
      <c r="G32" s="15" t="s">
        <v>22</v>
      </c>
      <c r="H32" s="15" t="str">
        <f t="shared" si="6"/>
        <v/>
      </c>
      <c r="I32" s="16" t="str">
        <f t="shared" si="7"/>
        <v/>
      </c>
      <c r="J32" s="41"/>
      <c r="K32" s="41"/>
    </row>
    <row r="33" spans="1:11" ht="15.6" x14ac:dyDescent="0.25">
      <c r="A33" s="30" t="str">
        <v xml:space="preserve"> Clayton - Bank of America</v>
      </c>
      <c r="B33" s="31" t="str">
        <v>MO</v>
      </c>
      <c r="C33" s="11">
        <v>2633.7190000000001</v>
      </c>
      <c r="D33" s="18" t="s">
        <v>22</v>
      </c>
      <c r="E33" s="18" t="str">
        <f t="shared" si="4"/>
        <v/>
      </c>
      <c r="F33" s="19" t="str">
        <f t="shared" si="5"/>
        <v/>
      </c>
      <c r="G33" s="20" t="s">
        <v>22</v>
      </c>
      <c r="H33" s="20" t="str">
        <f t="shared" si="6"/>
        <v/>
      </c>
      <c r="I33" s="19" t="str">
        <f t="shared" si="7"/>
        <v/>
      </c>
      <c r="J33" s="42"/>
      <c r="K33" s="43"/>
    </row>
    <row r="34" spans="1:11" ht="15.6" x14ac:dyDescent="0.25">
      <c r="A34" s="28" t="str">
        <v xml:space="preserve"> Manchester - Bank of America</v>
      </c>
      <c r="B34" s="29" t="str">
        <v>MO</v>
      </c>
      <c r="C34" s="24">
        <v>2144.5279999999998</v>
      </c>
      <c r="D34" s="13" t="s">
        <v>22</v>
      </c>
      <c r="E34" s="13" t="str">
        <f t="shared" si="4"/>
        <v/>
      </c>
      <c r="F34" s="14" t="str">
        <f t="shared" si="5"/>
        <v/>
      </c>
      <c r="G34" s="15" t="s">
        <v>22</v>
      </c>
      <c r="H34" s="15" t="str">
        <f t="shared" si="6"/>
        <v/>
      </c>
      <c r="I34" s="16" t="str">
        <f t="shared" si="7"/>
        <v/>
      </c>
      <c r="J34" s="41"/>
      <c r="K34" s="41"/>
    </row>
    <row r="35" spans="1:11" ht="15.6" x14ac:dyDescent="0.25">
      <c r="A35" s="30" t="str">
        <v xml:space="preserve"> Las Vegas - BA - Eastern Ave</v>
      </c>
      <c r="B35" s="31" t="str">
        <v>NV</v>
      </c>
      <c r="C35" s="11">
        <v>34.207999999999998</v>
      </c>
      <c r="D35" s="18" t="s">
        <v>22</v>
      </c>
      <c r="E35" s="18" t="str">
        <f t="shared" si="4"/>
        <v/>
      </c>
      <c r="F35" s="19" t="str">
        <f t="shared" si="5"/>
        <v/>
      </c>
      <c r="G35" s="20" t="s">
        <v>22</v>
      </c>
      <c r="H35" s="20" t="str">
        <f t="shared" si="6"/>
        <v/>
      </c>
      <c r="I35" s="19" t="str">
        <f t="shared" si="7"/>
        <v/>
      </c>
      <c r="J35" s="42" t="s">
        <v>141</v>
      </c>
      <c r="K35" s="74" t="s">
        <v>142</v>
      </c>
    </row>
    <row r="36" spans="1:11" ht="15.6" x14ac:dyDescent="0.25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4"/>
        <v/>
      </c>
      <c r="F36" s="14" t="str">
        <f t="shared" si="5"/>
        <v/>
      </c>
      <c r="G36" s="15" t="s">
        <v>22</v>
      </c>
      <c r="H36" s="15" t="str">
        <f t="shared" si="6"/>
        <v/>
      </c>
      <c r="I36" s="16" t="str">
        <f t="shared" si="7"/>
        <v/>
      </c>
      <c r="J36" s="41"/>
      <c r="K36" s="41"/>
    </row>
    <row r="37" spans="1:11" ht="15.6" x14ac:dyDescent="0.25">
      <c r="A37" s="30" t="str">
        <v xml:space="preserve"> Riverton - Bank of America</v>
      </c>
      <c r="B37" s="31" t="str">
        <v>UT</v>
      </c>
      <c r="C37" s="11">
        <v>2757.2840000000001</v>
      </c>
      <c r="D37" s="18" t="s">
        <v>22</v>
      </c>
      <c r="E37" s="18" t="str">
        <f t="shared" si="4"/>
        <v/>
      </c>
      <c r="F37" s="19" t="str">
        <f t="shared" si="5"/>
        <v/>
      </c>
      <c r="G37" s="20" t="s">
        <v>22</v>
      </c>
      <c r="H37" s="20" t="str">
        <f t="shared" si="6"/>
        <v/>
      </c>
      <c r="I37" s="19" t="str">
        <f t="shared" si="7"/>
        <v/>
      </c>
      <c r="J37" s="42"/>
      <c r="K37" s="43"/>
    </row>
    <row r="38" spans="1:11" ht="15.6" x14ac:dyDescent="0.25">
      <c r="A38" s="28" t="str">
        <v xml:space="preserve"> Salt Lake City - Bank of America</v>
      </c>
      <c r="B38" s="29" t="str">
        <v>UT</v>
      </c>
      <c r="C38" s="24">
        <v>184.71600000000001</v>
      </c>
      <c r="D38" s="13" t="s">
        <v>22</v>
      </c>
      <c r="E38" s="13" t="str">
        <f t="shared" si="4"/>
        <v/>
      </c>
      <c r="F38" s="14" t="str">
        <f t="shared" si="5"/>
        <v/>
      </c>
      <c r="G38" s="15" t="s">
        <v>22</v>
      </c>
      <c r="H38" s="15" t="str">
        <f t="shared" si="6"/>
        <v/>
      </c>
      <c r="I38" s="16" t="str">
        <f t="shared" si="7"/>
        <v/>
      </c>
      <c r="J38" s="41"/>
      <c r="K38" s="41"/>
    </row>
    <row r="39" spans="1:11" ht="14.4" x14ac:dyDescent="0.3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" x14ac:dyDescent="0.3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" x14ac:dyDescent="0.3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" x14ac:dyDescent="0.3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" x14ac:dyDescent="0.3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" x14ac:dyDescent="0.3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" x14ac:dyDescent="0.3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" x14ac:dyDescent="0.3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" x14ac:dyDescent="0.3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" x14ac:dyDescent="0.3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" x14ac:dyDescent="0.3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" x14ac:dyDescent="0.3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" x14ac:dyDescent="0.3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" x14ac:dyDescent="0.3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" x14ac:dyDescent="0.3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" x14ac:dyDescent="0.3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" x14ac:dyDescent="0.3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" x14ac:dyDescent="0.3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" x14ac:dyDescent="0.3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" x14ac:dyDescent="0.3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" x14ac:dyDescent="0.3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" x14ac:dyDescent="0.3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" x14ac:dyDescent="0.3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" x14ac:dyDescent="0.3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" x14ac:dyDescent="0.3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" x14ac:dyDescent="0.3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" x14ac:dyDescent="0.3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" x14ac:dyDescent="0.3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" x14ac:dyDescent="0.3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" x14ac:dyDescent="0.3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" x14ac:dyDescent="0.3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" x14ac:dyDescent="0.3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" x14ac:dyDescent="0.3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" x14ac:dyDescent="0.3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" x14ac:dyDescent="0.3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" x14ac:dyDescent="0.3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" x14ac:dyDescent="0.3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" x14ac:dyDescent="0.3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" x14ac:dyDescent="0.3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" x14ac:dyDescent="0.3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" x14ac:dyDescent="0.3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" x14ac:dyDescent="0.3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" x14ac:dyDescent="0.3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" x14ac:dyDescent="0.3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" x14ac:dyDescent="0.3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" x14ac:dyDescent="0.3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" x14ac:dyDescent="0.3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" x14ac:dyDescent="0.3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" x14ac:dyDescent="0.3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" x14ac:dyDescent="0.3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" x14ac:dyDescent="0.3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" x14ac:dyDescent="0.3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" x14ac:dyDescent="0.3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" x14ac:dyDescent="0.3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" x14ac:dyDescent="0.3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" x14ac:dyDescent="0.3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" x14ac:dyDescent="0.3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" x14ac:dyDescent="0.3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" x14ac:dyDescent="0.3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" x14ac:dyDescent="0.3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" x14ac:dyDescent="0.3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" x14ac:dyDescent="0.3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" x14ac:dyDescent="0.3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" x14ac:dyDescent="0.3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" x14ac:dyDescent="0.3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" x14ac:dyDescent="0.3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" x14ac:dyDescent="0.3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" x14ac:dyDescent="0.3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" x14ac:dyDescent="0.3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" x14ac:dyDescent="0.3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" x14ac:dyDescent="0.3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" x14ac:dyDescent="0.3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" x14ac:dyDescent="0.3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" x14ac:dyDescent="0.3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" x14ac:dyDescent="0.3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" x14ac:dyDescent="0.3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" x14ac:dyDescent="0.3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" x14ac:dyDescent="0.3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" x14ac:dyDescent="0.3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" x14ac:dyDescent="0.3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" x14ac:dyDescent="0.3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" x14ac:dyDescent="0.3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" x14ac:dyDescent="0.3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" x14ac:dyDescent="0.3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" x14ac:dyDescent="0.3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" x14ac:dyDescent="0.3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" x14ac:dyDescent="0.3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" x14ac:dyDescent="0.3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" x14ac:dyDescent="0.3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" x14ac:dyDescent="0.3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" x14ac:dyDescent="0.3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" x14ac:dyDescent="0.3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" x14ac:dyDescent="0.3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" x14ac:dyDescent="0.3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" x14ac:dyDescent="0.3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" x14ac:dyDescent="0.3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" x14ac:dyDescent="0.3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" x14ac:dyDescent="0.3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" x14ac:dyDescent="0.3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" x14ac:dyDescent="0.3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" x14ac:dyDescent="0.3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" x14ac:dyDescent="0.3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" x14ac:dyDescent="0.3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" x14ac:dyDescent="0.3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" x14ac:dyDescent="0.3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" x14ac:dyDescent="0.3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" x14ac:dyDescent="0.3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" x14ac:dyDescent="0.3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" x14ac:dyDescent="0.3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" x14ac:dyDescent="0.3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" x14ac:dyDescent="0.3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" x14ac:dyDescent="0.3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" x14ac:dyDescent="0.3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" x14ac:dyDescent="0.3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" x14ac:dyDescent="0.3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" x14ac:dyDescent="0.3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" x14ac:dyDescent="0.3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" x14ac:dyDescent="0.3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" x14ac:dyDescent="0.3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" x14ac:dyDescent="0.3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" x14ac:dyDescent="0.3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" x14ac:dyDescent="0.3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" x14ac:dyDescent="0.3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" x14ac:dyDescent="0.3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" x14ac:dyDescent="0.3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" x14ac:dyDescent="0.3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" x14ac:dyDescent="0.3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" x14ac:dyDescent="0.3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" x14ac:dyDescent="0.3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" x14ac:dyDescent="0.3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" x14ac:dyDescent="0.3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" x14ac:dyDescent="0.3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" x14ac:dyDescent="0.3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" x14ac:dyDescent="0.3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" x14ac:dyDescent="0.3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" x14ac:dyDescent="0.3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" x14ac:dyDescent="0.3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" x14ac:dyDescent="0.3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" x14ac:dyDescent="0.3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" x14ac:dyDescent="0.3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" x14ac:dyDescent="0.3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" x14ac:dyDescent="0.3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" x14ac:dyDescent="0.3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" x14ac:dyDescent="0.3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" x14ac:dyDescent="0.3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" x14ac:dyDescent="0.3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" x14ac:dyDescent="0.3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" x14ac:dyDescent="0.3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" x14ac:dyDescent="0.3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" x14ac:dyDescent="0.3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" x14ac:dyDescent="0.3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" x14ac:dyDescent="0.3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" x14ac:dyDescent="0.3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" x14ac:dyDescent="0.3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" x14ac:dyDescent="0.3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" x14ac:dyDescent="0.3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" x14ac:dyDescent="0.3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" x14ac:dyDescent="0.3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" x14ac:dyDescent="0.3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" x14ac:dyDescent="0.3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" x14ac:dyDescent="0.3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" x14ac:dyDescent="0.3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" x14ac:dyDescent="0.3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" x14ac:dyDescent="0.3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" x14ac:dyDescent="0.3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" x14ac:dyDescent="0.3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" x14ac:dyDescent="0.3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" x14ac:dyDescent="0.3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" x14ac:dyDescent="0.3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" x14ac:dyDescent="0.3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" x14ac:dyDescent="0.3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" x14ac:dyDescent="0.3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" x14ac:dyDescent="0.3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" x14ac:dyDescent="0.3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" x14ac:dyDescent="0.3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" x14ac:dyDescent="0.3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" x14ac:dyDescent="0.3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" x14ac:dyDescent="0.3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" x14ac:dyDescent="0.3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" x14ac:dyDescent="0.3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" x14ac:dyDescent="0.3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" x14ac:dyDescent="0.3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" x14ac:dyDescent="0.3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" x14ac:dyDescent="0.3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" x14ac:dyDescent="0.3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" x14ac:dyDescent="0.3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" x14ac:dyDescent="0.3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" x14ac:dyDescent="0.3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" x14ac:dyDescent="0.3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" x14ac:dyDescent="0.3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" x14ac:dyDescent="0.3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" x14ac:dyDescent="0.3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" x14ac:dyDescent="0.3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" x14ac:dyDescent="0.3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" x14ac:dyDescent="0.3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" x14ac:dyDescent="0.3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" x14ac:dyDescent="0.3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" x14ac:dyDescent="0.3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" x14ac:dyDescent="0.3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" x14ac:dyDescent="0.3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" x14ac:dyDescent="0.3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" x14ac:dyDescent="0.3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" x14ac:dyDescent="0.3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" x14ac:dyDescent="0.3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" x14ac:dyDescent="0.3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" x14ac:dyDescent="0.3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" x14ac:dyDescent="0.3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" x14ac:dyDescent="0.3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" x14ac:dyDescent="0.3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" x14ac:dyDescent="0.3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" x14ac:dyDescent="0.3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" x14ac:dyDescent="0.3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" x14ac:dyDescent="0.3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" x14ac:dyDescent="0.3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" x14ac:dyDescent="0.3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" x14ac:dyDescent="0.3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" x14ac:dyDescent="0.3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" x14ac:dyDescent="0.3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" x14ac:dyDescent="0.3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" x14ac:dyDescent="0.3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" x14ac:dyDescent="0.3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" x14ac:dyDescent="0.3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" x14ac:dyDescent="0.3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" x14ac:dyDescent="0.3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" x14ac:dyDescent="0.3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" x14ac:dyDescent="0.3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" x14ac:dyDescent="0.3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" x14ac:dyDescent="0.3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" x14ac:dyDescent="0.3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" x14ac:dyDescent="0.3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" x14ac:dyDescent="0.3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" x14ac:dyDescent="0.3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" x14ac:dyDescent="0.3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" x14ac:dyDescent="0.3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" x14ac:dyDescent="0.3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" x14ac:dyDescent="0.3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" x14ac:dyDescent="0.3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" x14ac:dyDescent="0.3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" x14ac:dyDescent="0.3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" x14ac:dyDescent="0.3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" x14ac:dyDescent="0.3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" x14ac:dyDescent="0.3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" x14ac:dyDescent="0.3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" x14ac:dyDescent="0.3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" x14ac:dyDescent="0.3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" x14ac:dyDescent="0.3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" x14ac:dyDescent="0.3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" x14ac:dyDescent="0.3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" x14ac:dyDescent="0.3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" x14ac:dyDescent="0.3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" x14ac:dyDescent="0.3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" x14ac:dyDescent="0.3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" x14ac:dyDescent="0.3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" x14ac:dyDescent="0.3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" x14ac:dyDescent="0.3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" x14ac:dyDescent="0.3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" x14ac:dyDescent="0.3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" x14ac:dyDescent="0.3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" x14ac:dyDescent="0.3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" x14ac:dyDescent="0.3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" x14ac:dyDescent="0.3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" x14ac:dyDescent="0.3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" x14ac:dyDescent="0.3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" x14ac:dyDescent="0.3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" x14ac:dyDescent="0.3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" x14ac:dyDescent="0.3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" x14ac:dyDescent="0.3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" x14ac:dyDescent="0.3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" x14ac:dyDescent="0.3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" x14ac:dyDescent="0.3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" x14ac:dyDescent="0.3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" x14ac:dyDescent="0.3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" x14ac:dyDescent="0.3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" x14ac:dyDescent="0.3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" x14ac:dyDescent="0.3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" x14ac:dyDescent="0.3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" x14ac:dyDescent="0.3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" x14ac:dyDescent="0.3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" x14ac:dyDescent="0.3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" x14ac:dyDescent="0.3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" x14ac:dyDescent="0.3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" x14ac:dyDescent="0.3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" x14ac:dyDescent="0.3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" x14ac:dyDescent="0.3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" x14ac:dyDescent="0.3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" x14ac:dyDescent="0.3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" x14ac:dyDescent="0.3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" x14ac:dyDescent="0.3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" x14ac:dyDescent="0.3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" x14ac:dyDescent="0.3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" x14ac:dyDescent="0.3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" x14ac:dyDescent="0.3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" x14ac:dyDescent="0.3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" x14ac:dyDescent="0.3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" x14ac:dyDescent="0.3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" x14ac:dyDescent="0.3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" x14ac:dyDescent="0.3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" x14ac:dyDescent="0.3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" x14ac:dyDescent="0.3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" x14ac:dyDescent="0.3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" x14ac:dyDescent="0.3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" x14ac:dyDescent="0.3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" x14ac:dyDescent="0.3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" x14ac:dyDescent="0.3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conditionalFormatting sqref="F4:F100 I4:I100">
    <cfRule type="cellIs" dxfId="17" priority="1" stopIfTrue="1" operator="lessThanOrEqual">
      <formula>-0.1</formula>
    </cfRule>
    <cfRule type="expression" dxfId="16" priority="2">
      <formula>AND(ISNUMBER(F4), F4&gt;=0.1)</formula>
    </cfRule>
  </conditionalFormatting>
  <hyperlinks>
    <hyperlink ref="K7" r:id="rId1" display="https://us3.assetplanner.com/service_request?ID=101589" xr:uid="{B48F7F95-C52D-4479-8669-9E88C8DAD106}"/>
    <hyperlink ref="K9" r:id="rId2" display="https://us3.assetplanner.com/service_request?ID=104091" xr:uid="{E2B64405-FD0C-491A-BEE3-1E74BB765D7E}"/>
    <hyperlink ref="K10" r:id="rId3" display="https://us3.assetplanner.com/service_request?ID=102087" xr:uid="{ACD4BF58-D50D-4D47-88DA-58A44892BD89}"/>
    <hyperlink ref="K12" r:id="rId4" display="https://us3.assetplanner.com/service_request?ID=102088" xr:uid="{2C7D60B8-7DC7-4381-8162-6C6D5CA01CE3}"/>
    <hyperlink ref="K15" r:id="rId5" display="https://us3.assetplanner.com/service_request?ID=106651" xr:uid="{5DB77936-4969-4177-BF7E-AAF8A3C719DB}"/>
    <hyperlink ref="K22" r:id="rId6" display="https://us3.assetplanner.com/service_request?ID=102639" xr:uid="{0609D6B7-38FC-49E7-9DC6-3553E905EC1B}"/>
    <hyperlink ref="K35" r:id="rId7" display="https://us3.assetplanner.com/service_request?ID=104706" xr:uid="{863ED903-3D4B-4B73-84D3-3F8AB2520DB9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zoomScale="80" zoomScaleNormal="80" workbookViewId="0">
      <pane xSplit="2" ySplit="3" topLeftCell="D4" activePane="bottomRight" state="frozen"/>
      <selection pane="topRight" activeCell="P19" sqref="P19:P20"/>
      <selection pane="bottomLeft" activeCell="P19" sqref="P19:P20"/>
      <selection pane="bottomRight" activeCell="D4" sqref="D4"/>
    </sheetView>
  </sheetViews>
  <sheetFormatPr defaultRowHeight="13.8" x14ac:dyDescent="0.25"/>
  <cols>
    <col min="1" max="1" width="35.88671875" bestFit="1" customWidth="1"/>
    <col min="2" max="2" width="8.44140625" style="34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89" t="str" cm="1">
        <f t="array" ref="A1">portfolio</f>
        <v>Cushman &amp; Wakefield</v>
      </c>
      <c r="B1" s="89"/>
      <c r="C1" s="89"/>
      <c r="D1" s="90" t="s">
        <v>143</v>
      </c>
      <c r="E1" s="90"/>
      <c r="F1" s="90"/>
      <c r="G1" s="88" t="s">
        <v>144</v>
      </c>
      <c r="H1" s="88"/>
      <c r="I1" s="88"/>
      <c r="J1" s="4"/>
      <c r="K1" s="4"/>
    </row>
    <row r="2" spans="1:11" ht="19.5" customHeight="1" x14ac:dyDescent="0.25">
      <c r="A2" s="91" t="s">
        <v>2</v>
      </c>
      <c r="B2" s="91"/>
      <c r="C2" s="5">
        <f>SUM(C4:C100)</f>
        <v>50964.799000000006</v>
      </c>
      <c r="D2" s="5">
        <f>SUM(D4:D100)</f>
        <v>0</v>
      </c>
      <c r="E2" s="5">
        <f>C2-D2</f>
        <v>50964.799000000006</v>
      </c>
      <c r="F2" s="6">
        <f>IFERROR(E2/D2, 0)</f>
        <v>0</v>
      </c>
      <c r="G2" s="5">
        <f>SUM(G4:G100)</f>
        <v>0</v>
      </c>
      <c r="H2" s="7">
        <f>C2-G2</f>
        <v>50964.799000000006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 x14ac:dyDescent="0.3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 t="s">
        <v>145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70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 x14ac:dyDescent="0.3">
      <c r="A5" s="30" t="str">
        <v xml:space="preserve"> Apple Valley - Bank of America</v>
      </c>
      <c r="B5" s="31" t="str">
        <v>CA</v>
      </c>
      <c r="C5" s="11" t="s">
        <v>145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71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 x14ac:dyDescent="0.3">
      <c r="A6" s="28" t="str">
        <v xml:space="preserve"> Arvin - Bank of America</v>
      </c>
      <c r="B6" s="29" t="str">
        <v>CA</v>
      </c>
      <c r="C6" s="24">
        <v>86.896000000000001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70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1" ht="28.8" x14ac:dyDescent="0.3">
      <c r="A7" s="30" t="str">
        <v xml:space="preserve"> Bell - Bank of America</v>
      </c>
      <c r="B7" s="31" t="str">
        <v>CA</v>
      </c>
      <c r="C7" s="11">
        <v>1833.7809999999999</v>
      </c>
      <c r="D7" s="18" t="s">
        <v>22</v>
      </c>
      <c r="E7" s="18" t="str">
        <f t="shared" si="0"/>
        <v/>
      </c>
      <c r="F7" s="19" t="str">
        <f t="shared" si="3"/>
        <v/>
      </c>
      <c r="G7" s="71" t="s">
        <v>22</v>
      </c>
      <c r="H7" s="20" t="str">
        <f t="shared" si="1"/>
        <v/>
      </c>
      <c r="I7" s="19" t="str">
        <f t="shared" si="2"/>
        <v/>
      </c>
      <c r="J7" s="42" t="s">
        <v>146</v>
      </c>
      <c r="K7" s="74" t="s">
        <v>103</v>
      </c>
    </row>
    <row r="8" spans="1:11" ht="15.6" x14ac:dyDescent="0.3">
      <c r="A8" s="28" t="str">
        <v xml:space="preserve"> Chula Vista - Bank of America</v>
      </c>
      <c r="B8" s="29" t="str">
        <v>CA</v>
      </c>
      <c r="C8" s="24">
        <v>1244.0150000000001</v>
      </c>
      <c r="D8" s="13" t="s">
        <v>22</v>
      </c>
      <c r="E8" s="13" t="str">
        <f t="shared" si="0"/>
        <v/>
      </c>
      <c r="F8" s="14" t="str">
        <f t="shared" si="3"/>
        <v/>
      </c>
      <c r="G8" s="70" t="s">
        <v>22</v>
      </c>
      <c r="H8" s="15" t="str">
        <f t="shared" si="1"/>
        <v/>
      </c>
      <c r="I8" s="16" t="str">
        <f t="shared" si="2"/>
        <v/>
      </c>
      <c r="J8" s="41"/>
      <c r="K8" s="41"/>
    </row>
    <row r="9" spans="1:11" ht="15.6" x14ac:dyDescent="0.3">
      <c r="A9" s="30" t="str">
        <v xml:space="preserve"> Cupertino - Bank of America</v>
      </c>
      <c r="B9" s="31" t="str">
        <v>CA</v>
      </c>
      <c r="C9" s="11">
        <v>1930.9659999999999</v>
      </c>
      <c r="D9" s="18" t="s">
        <v>22</v>
      </c>
      <c r="E9" s="18" t="str">
        <f t="shared" si="0"/>
        <v/>
      </c>
      <c r="F9" s="19" t="str">
        <f t="shared" si="3"/>
        <v/>
      </c>
      <c r="G9" s="71" t="s">
        <v>22</v>
      </c>
      <c r="H9" s="20" t="str">
        <f t="shared" si="1"/>
        <v/>
      </c>
      <c r="I9" s="19" t="str">
        <f t="shared" si="2"/>
        <v/>
      </c>
      <c r="J9" s="42"/>
      <c r="K9" s="43"/>
    </row>
    <row r="10" spans="1:11" ht="28.8" x14ac:dyDescent="0.3">
      <c r="A10" s="28" t="str">
        <v xml:space="preserve"> Diamond Bar - Bank of America</v>
      </c>
      <c r="B10" s="29" t="str">
        <v>CA</v>
      </c>
      <c r="C10" s="24">
        <v>1998.9829999999999</v>
      </c>
      <c r="D10" s="13" t="s">
        <v>22</v>
      </c>
      <c r="E10" s="13" t="str">
        <f t="shared" si="0"/>
        <v/>
      </c>
      <c r="F10" s="14" t="str">
        <f t="shared" si="3"/>
        <v/>
      </c>
      <c r="G10" s="70" t="s">
        <v>22</v>
      </c>
      <c r="H10" s="15" t="str">
        <f t="shared" si="1"/>
        <v/>
      </c>
      <c r="I10" s="16" t="str">
        <f t="shared" si="2"/>
        <v/>
      </c>
      <c r="J10" s="41" t="s">
        <v>147</v>
      </c>
      <c r="K10" s="65" t="s">
        <v>105</v>
      </c>
    </row>
    <row r="11" spans="1:11" ht="15.6" x14ac:dyDescent="0.3">
      <c r="A11" s="30" t="str">
        <v xml:space="preserve"> El Centro - Bank of America</v>
      </c>
      <c r="B11" s="31" t="str">
        <v>CA</v>
      </c>
      <c r="C11" s="11">
        <v>2559.634</v>
      </c>
      <c r="D11" s="18" t="s">
        <v>22</v>
      </c>
      <c r="E11" s="18" t="str">
        <f t="shared" si="0"/>
        <v/>
      </c>
      <c r="F11" s="19" t="str">
        <f t="shared" si="3"/>
        <v/>
      </c>
      <c r="G11" s="71" t="s">
        <v>22</v>
      </c>
      <c r="H11" s="20" t="str">
        <f t="shared" si="1"/>
        <v/>
      </c>
      <c r="I11" s="19" t="str">
        <f t="shared" si="2"/>
        <v/>
      </c>
      <c r="J11" s="42"/>
      <c r="K11" s="43"/>
    </row>
    <row r="12" spans="1:11" ht="15.6" x14ac:dyDescent="0.3">
      <c r="A12" s="28" t="str">
        <v xml:space="preserve"> Moreno Valley - Bank of America</v>
      </c>
      <c r="B12" s="29" t="str">
        <v>CA</v>
      </c>
      <c r="C12" s="24">
        <v>3507.674</v>
      </c>
      <c r="D12" s="13" t="s">
        <v>22</v>
      </c>
      <c r="E12" s="13" t="str">
        <f t="shared" si="0"/>
        <v/>
      </c>
      <c r="F12" s="14" t="str">
        <f t="shared" si="3"/>
        <v/>
      </c>
      <c r="G12" s="70" t="s">
        <v>22</v>
      </c>
      <c r="H12" s="15" t="str">
        <f t="shared" si="1"/>
        <v/>
      </c>
      <c r="I12" s="16" t="str">
        <f t="shared" si="2"/>
        <v/>
      </c>
      <c r="J12" s="41" t="s">
        <v>137</v>
      </c>
      <c r="K12" s="65" t="s">
        <v>90</v>
      </c>
    </row>
    <row r="13" spans="1:11" ht="15.6" x14ac:dyDescent="0.3">
      <c r="A13" s="30" t="str">
        <v xml:space="preserve"> Redlands - Bank of America</v>
      </c>
      <c r="B13" s="31" t="str">
        <v>CA</v>
      </c>
      <c r="C13" s="11" t="s">
        <v>145</v>
      </c>
      <c r="D13" s="18" t="s">
        <v>22</v>
      </c>
      <c r="E13" s="18" t="str">
        <f t="shared" si="0"/>
        <v/>
      </c>
      <c r="F13" s="19" t="str">
        <f t="shared" si="3"/>
        <v/>
      </c>
      <c r="G13" s="71" t="s">
        <v>22</v>
      </c>
      <c r="H13" s="20" t="str">
        <f t="shared" si="1"/>
        <v/>
      </c>
      <c r="I13" s="19" t="str">
        <f t="shared" si="2"/>
        <v/>
      </c>
      <c r="J13" s="42"/>
      <c r="K13" s="43"/>
    </row>
    <row r="14" spans="1:11" ht="15.6" x14ac:dyDescent="0.3">
      <c r="A14" s="28" t="str">
        <v xml:space="preserve"> Roseville - Bank of America</v>
      </c>
      <c r="B14" s="29" t="str">
        <v>CA</v>
      </c>
      <c r="C14" s="24">
        <v>5574.2920000000004</v>
      </c>
      <c r="D14" s="13" t="s">
        <v>22</v>
      </c>
      <c r="E14" s="13" t="str">
        <f t="shared" si="0"/>
        <v/>
      </c>
      <c r="F14" s="14" t="str">
        <f t="shared" si="3"/>
        <v/>
      </c>
      <c r="G14" s="70" t="s">
        <v>22</v>
      </c>
      <c r="H14" s="15" t="str">
        <f t="shared" si="1"/>
        <v/>
      </c>
      <c r="I14" s="16" t="str">
        <f t="shared" si="2"/>
        <v/>
      </c>
      <c r="J14" s="41"/>
      <c r="K14" s="41"/>
    </row>
    <row r="15" spans="1:11" ht="15.6" x14ac:dyDescent="0.3">
      <c r="A15" s="30" t="str">
        <v xml:space="preserve"> San Bernardino - Bank of America</v>
      </c>
      <c r="B15" s="31" t="str">
        <v>CA</v>
      </c>
      <c r="C15" s="11">
        <v>64.793000000000006</v>
      </c>
      <c r="D15" s="18" t="s">
        <v>22</v>
      </c>
      <c r="E15" s="18" t="str">
        <f t="shared" si="0"/>
        <v/>
      </c>
      <c r="F15" s="19" t="str">
        <f t="shared" si="3"/>
        <v/>
      </c>
      <c r="G15" s="71" t="s">
        <v>22</v>
      </c>
      <c r="H15" s="20" t="str">
        <f t="shared" si="1"/>
        <v/>
      </c>
      <c r="I15" s="19" t="str">
        <f t="shared" si="2"/>
        <v/>
      </c>
      <c r="J15" s="42" t="s">
        <v>138</v>
      </c>
      <c r="K15" s="74" t="s">
        <v>139</v>
      </c>
    </row>
    <row r="16" spans="1:11" ht="15.6" x14ac:dyDescent="0.3">
      <c r="A16" s="28" t="str">
        <v xml:space="preserve"> San Diego - Bank of America</v>
      </c>
      <c r="B16" s="29" t="str">
        <v>CA</v>
      </c>
      <c r="C16" s="24">
        <v>48.875999999999998</v>
      </c>
      <c r="D16" s="13" t="s">
        <v>22</v>
      </c>
      <c r="E16" s="13" t="str">
        <f t="shared" si="0"/>
        <v/>
      </c>
      <c r="F16" s="14" t="str">
        <f t="shared" si="3"/>
        <v/>
      </c>
      <c r="G16" s="70" t="s">
        <v>22</v>
      </c>
      <c r="H16" s="15" t="str">
        <f t="shared" si="1"/>
        <v/>
      </c>
      <c r="I16" s="16" t="str">
        <f t="shared" si="2"/>
        <v/>
      </c>
      <c r="J16" s="41"/>
      <c r="K16" s="41"/>
    </row>
    <row r="17" spans="1:11" ht="15.6" x14ac:dyDescent="0.3">
      <c r="A17" s="30" t="str">
        <v xml:space="preserve"> Stockton - Bank of America</v>
      </c>
      <c r="B17" s="31" t="str">
        <v>CA</v>
      </c>
      <c r="C17" s="11">
        <v>870.35900000000004</v>
      </c>
      <c r="D17" s="18" t="s">
        <v>22</v>
      </c>
      <c r="E17" s="18" t="str">
        <f t="shared" si="0"/>
        <v/>
      </c>
      <c r="F17" s="19" t="str">
        <f t="shared" si="3"/>
        <v/>
      </c>
      <c r="G17" s="71" t="s">
        <v>22</v>
      </c>
      <c r="H17" s="20" t="str">
        <f t="shared" si="1"/>
        <v/>
      </c>
      <c r="I17" s="19" t="str">
        <f t="shared" si="2"/>
        <v/>
      </c>
      <c r="K17" s="43"/>
    </row>
    <row r="18" spans="1:11" ht="12.75" customHeight="1" x14ac:dyDescent="0.3">
      <c r="A18" s="28" t="str">
        <v xml:space="preserve"> Victorville - Bank of America</v>
      </c>
      <c r="B18" s="29" t="str">
        <v>CA</v>
      </c>
      <c r="C18" s="24" t="s">
        <v>145</v>
      </c>
      <c r="D18" s="13" t="s">
        <v>22</v>
      </c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70" t="s">
        <v>22</v>
      </c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6" x14ac:dyDescent="0.3">
      <c r="A19" s="30" t="str">
        <v xml:space="preserve"> Aurora - BA - Colfax Ave</v>
      </c>
      <c r="B19" s="31" t="str">
        <v>CO</v>
      </c>
      <c r="C19" s="11">
        <v>3285.0459999999998</v>
      </c>
      <c r="D19" s="18" t="s">
        <v>22</v>
      </c>
      <c r="E19" s="18" t="str">
        <f t="shared" si="4"/>
        <v/>
      </c>
      <c r="F19" s="19" t="str">
        <f t="shared" si="5"/>
        <v/>
      </c>
      <c r="G19" s="71" t="s">
        <v>22</v>
      </c>
      <c r="H19" s="20" t="str">
        <f t="shared" si="6"/>
        <v/>
      </c>
      <c r="I19" s="19" t="str">
        <f t="shared" si="7"/>
        <v/>
      </c>
      <c r="J19" s="42"/>
      <c r="K19" s="43"/>
    </row>
    <row r="20" spans="1:11" ht="15.6" x14ac:dyDescent="0.3">
      <c r="A20" s="28" t="str">
        <v xml:space="preserve"> Aurora - BA - Parker Rd</v>
      </c>
      <c r="B20" s="29" t="str">
        <v>CO</v>
      </c>
      <c r="C20" s="24">
        <v>1124.7850000000001</v>
      </c>
      <c r="D20" s="13" t="s">
        <v>22</v>
      </c>
      <c r="E20" s="13" t="str">
        <f t="shared" si="4"/>
        <v/>
      </c>
      <c r="F20" s="14" t="str">
        <f t="shared" si="5"/>
        <v/>
      </c>
      <c r="G20" s="70" t="s">
        <v>22</v>
      </c>
      <c r="H20" s="15" t="str">
        <f t="shared" si="6"/>
        <v/>
      </c>
      <c r="I20" s="16" t="str">
        <f t="shared" si="7"/>
        <v/>
      </c>
      <c r="J20" s="41"/>
      <c r="K20" s="41"/>
    </row>
    <row r="21" spans="1:11" ht="15.6" x14ac:dyDescent="0.3">
      <c r="A21" s="30" t="str">
        <v xml:space="preserve"> Broomfield - Bank of America</v>
      </c>
      <c r="B21" s="31" t="str">
        <v>CO</v>
      </c>
      <c r="C21" s="11">
        <v>1565.2929999999999</v>
      </c>
      <c r="D21" s="18" t="s">
        <v>22</v>
      </c>
      <c r="E21" s="18" t="str">
        <f t="shared" si="4"/>
        <v/>
      </c>
      <c r="F21" s="19" t="str">
        <f t="shared" si="5"/>
        <v/>
      </c>
      <c r="G21" s="71" t="s">
        <v>22</v>
      </c>
      <c r="H21" s="20" t="str">
        <f t="shared" si="6"/>
        <v/>
      </c>
      <c r="I21" s="19" t="str">
        <f t="shared" si="7"/>
        <v/>
      </c>
      <c r="J21" s="42"/>
      <c r="K21" s="43"/>
    </row>
    <row r="22" spans="1:11" ht="15.6" x14ac:dyDescent="0.3">
      <c r="A22" s="28" t="str">
        <v xml:space="preserve"> Colorado Springs - Bank of America</v>
      </c>
      <c r="B22" s="29" t="str">
        <v>CO</v>
      </c>
      <c r="C22" s="24">
        <v>2527.7950000000001</v>
      </c>
      <c r="D22" s="13" t="s">
        <v>22</v>
      </c>
      <c r="E22" s="13" t="str">
        <f t="shared" si="4"/>
        <v/>
      </c>
      <c r="F22" s="14" t="str">
        <f t="shared" si="5"/>
        <v/>
      </c>
      <c r="G22" s="70" t="s">
        <v>22</v>
      </c>
      <c r="H22" s="15" t="str">
        <f t="shared" si="6"/>
        <v/>
      </c>
      <c r="I22" s="16" t="str">
        <f t="shared" si="7"/>
        <v/>
      </c>
      <c r="J22" s="41"/>
      <c r="K22" s="41"/>
    </row>
    <row r="23" spans="1:11" ht="15.6" x14ac:dyDescent="0.3">
      <c r="A23" s="30" t="str">
        <v xml:space="preserve"> Denver - BA - 49th Ave</v>
      </c>
      <c r="B23" s="31" t="str">
        <v>CO</v>
      </c>
      <c r="C23" s="11">
        <v>1137.9369999999999</v>
      </c>
      <c r="D23" s="18" t="s">
        <v>22</v>
      </c>
      <c r="E23" s="18" t="str">
        <f t="shared" si="4"/>
        <v/>
      </c>
      <c r="F23" s="19" t="str">
        <f t="shared" si="5"/>
        <v/>
      </c>
      <c r="G23" s="71" t="s">
        <v>22</v>
      </c>
      <c r="H23" s="20" t="str">
        <f t="shared" si="6"/>
        <v/>
      </c>
      <c r="I23" s="19" t="str">
        <f t="shared" si="7"/>
        <v/>
      </c>
      <c r="J23" s="42"/>
      <c r="K23" s="43"/>
    </row>
    <row r="24" spans="1:11" ht="15.6" x14ac:dyDescent="0.3">
      <c r="A24" s="28" t="str">
        <v xml:space="preserve"> Denver - BA Wadsworth Blvd</v>
      </c>
      <c r="B24" s="29" t="str">
        <v>CO</v>
      </c>
      <c r="C24" s="24">
        <v>2255.04</v>
      </c>
      <c r="D24" s="13" t="s">
        <v>22</v>
      </c>
      <c r="E24" s="13" t="str">
        <f t="shared" si="4"/>
        <v/>
      </c>
      <c r="F24" s="14" t="str">
        <f t="shared" si="5"/>
        <v/>
      </c>
      <c r="G24" s="70" t="s">
        <v>22</v>
      </c>
      <c r="H24" s="15" t="str">
        <f t="shared" si="6"/>
        <v/>
      </c>
      <c r="I24" s="16" t="str">
        <f t="shared" si="7"/>
        <v/>
      </c>
      <c r="J24" s="41"/>
      <c r="K24" s="41"/>
    </row>
    <row r="25" spans="1:11" ht="15.6" x14ac:dyDescent="0.3">
      <c r="A25" s="30" t="str">
        <v xml:space="preserve"> Fort Collins - Bank of America</v>
      </c>
      <c r="B25" s="31" t="str">
        <v>CO</v>
      </c>
      <c r="C25" s="11">
        <v>1488.6849999999999</v>
      </c>
      <c r="D25" s="18" t="s">
        <v>22</v>
      </c>
      <c r="E25" s="18" t="str">
        <f t="shared" si="4"/>
        <v/>
      </c>
      <c r="F25" s="19" t="str">
        <f t="shared" si="5"/>
        <v/>
      </c>
      <c r="G25" s="71" t="s">
        <v>22</v>
      </c>
      <c r="H25" s="20" t="str">
        <f t="shared" si="6"/>
        <v/>
      </c>
      <c r="I25" s="19" t="str">
        <f t="shared" si="7"/>
        <v/>
      </c>
      <c r="J25" s="42"/>
      <c r="K25" s="43"/>
    </row>
    <row r="26" spans="1:11" ht="15.6" x14ac:dyDescent="0.3">
      <c r="A26" s="28" t="str">
        <v xml:space="preserve"> Lafayette - Bank of America</v>
      </c>
      <c r="B26" s="29" t="str">
        <v>CO</v>
      </c>
      <c r="C26" s="24">
        <v>2091.29</v>
      </c>
      <c r="D26" s="13" t="s">
        <v>22</v>
      </c>
      <c r="E26" s="13" t="str">
        <f t="shared" si="4"/>
        <v/>
      </c>
      <c r="F26" s="14" t="str">
        <f t="shared" si="5"/>
        <v/>
      </c>
      <c r="G26" s="70" t="s">
        <v>22</v>
      </c>
      <c r="H26" s="15" t="str">
        <f t="shared" si="6"/>
        <v/>
      </c>
      <c r="I26" s="16" t="str">
        <f t="shared" si="7"/>
        <v/>
      </c>
      <c r="J26" s="41"/>
      <c r="K26" s="41"/>
    </row>
    <row r="27" spans="1:11" ht="15.6" x14ac:dyDescent="0.3">
      <c r="A27" s="30" t="str">
        <v xml:space="preserve"> Lakewood - Bank of America</v>
      </c>
      <c r="B27" s="31" t="str">
        <v>CO</v>
      </c>
      <c r="C27" s="11">
        <v>1188.614</v>
      </c>
      <c r="D27" s="18" t="s">
        <v>22</v>
      </c>
      <c r="E27" s="18" t="str">
        <f t="shared" si="4"/>
        <v/>
      </c>
      <c r="F27" s="19" t="str">
        <f t="shared" si="5"/>
        <v/>
      </c>
      <c r="G27" s="71" t="s">
        <v>22</v>
      </c>
      <c r="H27" s="20" t="str">
        <f t="shared" si="6"/>
        <v/>
      </c>
      <c r="I27" s="19" t="str">
        <f t="shared" si="7"/>
        <v/>
      </c>
      <c r="J27" s="42"/>
      <c r="K27" s="42"/>
    </row>
    <row r="28" spans="1:11" ht="15.6" x14ac:dyDescent="0.3">
      <c r="A28" s="28" t="str">
        <v xml:space="preserve"> Longmont - Bank of America</v>
      </c>
      <c r="B28" s="29" t="str">
        <v>CO</v>
      </c>
      <c r="C28" s="24">
        <v>1047.1400000000001</v>
      </c>
      <c r="D28" s="13" t="s">
        <v>22</v>
      </c>
      <c r="E28" s="13" t="str">
        <f t="shared" si="4"/>
        <v/>
      </c>
      <c r="F28" s="14" t="str">
        <f t="shared" si="5"/>
        <v/>
      </c>
      <c r="G28" s="70" t="s">
        <v>22</v>
      </c>
      <c r="H28" s="15" t="str">
        <f t="shared" si="6"/>
        <v/>
      </c>
      <c r="I28" s="16" t="str">
        <f t="shared" si="7"/>
        <v/>
      </c>
      <c r="J28" s="41"/>
      <c r="K28" s="41"/>
    </row>
    <row r="29" spans="1:11" ht="15.6" x14ac:dyDescent="0.3">
      <c r="A29" s="30" t="str">
        <v xml:space="preserve"> Thornton - Bank of America</v>
      </c>
      <c r="B29" s="31" t="str">
        <v>CO</v>
      </c>
      <c r="C29" s="11">
        <v>1251.3810000000001</v>
      </c>
      <c r="D29" s="18" t="s">
        <v>22</v>
      </c>
      <c r="E29" s="18" t="str">
        <f t="shared" si="4"/>
        <v/>
      </c>
      <c r="F29" s="19" t="str">
        <f t="shared" si="5"/>
        <v/>
      </c>
      <c r="G29" s="71" t="s">
        <v>22</v>
      </c>
      <c r="H29" s="20" t="str">
        <f t="shared" si="6"/>
        <v/>
      </c>
      <c r="I29" s="19" t="str">
        <f t="shared" si="7"/>
        <v/>
      </c>
      <c r="J29" s="42"/>
      <c r="K29" s="42"/>
    </row>
    <row r="30" spans="1:11" ht="15.6" x14ac:dyDescent="0.3">
      <c r="A30" s="28" t="str">
        <v xml:space="preserve"> Calumet City - Bank of America</v>
      </c>
      <c r="B30" s="29" t="str">
        <v>IL</v>
      </c>
      <c r="C30" s="24">
        <v>2475.11</v>
      </c>
      <c r="D30" s="13" t="s">
        <v>22</v>
      </c>
      <c r="E30" s="13" t="str">
        <f t="shared" si="4"/>
        <v/>
      </c>
      <c r="F30" s="14" t="str">
        <f t="shared" si="5"/>
        <v/>
      </c>
      <c r="G30" s="70" t="s">
        <v>22</v>
      </c>
      <c r="H30" s="15" t="str">
        <f t="shared" si="6"/>
        <v/>
      </c>
      <c r="I30" s="16" t="str">
        <f t="shared" si="7"/>
        <v/>
      </c>
      <c r="J30" s="41"/>
      <c r="K30" s="41"/>
    </row>
    <row r="31" spans="1:11" ht="15.6" x14ac:dyDescent="0.3">
      <c r="A31" s="30" t="str">
        <v xml:space="preserve"> Downers Grove - Bank of America</v>
      </c>
      <c r="B31" s="31" t="str">
        <v>IL</v>
      </c>
      <c r="C31" s="11">
        <v>2827.2449999999999</v>
      </c>
      <c r="D31" s="18" t="s">
        <v>22</v>
      </c>
      <c r="E31" s="18" t="str">
        <f t="shared" si="4"/>
        <v/>
      </c>
      <c r="F31" s="19" t="str">
        <f t="shared" si="5"/>
        <v/>
      </c>
      <c r="G31" s="71" t="s">
        <v>22</v>
      </c>
      <c r="H31" s="20" t="str">
        <f t="shared" si="6"/>
        <v/>
      </c>
      <c r="I31" s="19" t="str">
        <f t="shared" si="7"/>
        <v/>
      </c>
      <c r="J31" s="42"/>
      <c r="K31" s="42"/>
    </row>
    <row r="32" spans="1:11" ht="15.6" x14ac:dyDescent="0.3">
      <c r="A32" s="28" t="str">
        <v xml:space="preserve"> Bloomington - Bank of America</v>
      </c>
      <c r="B32" s="29" t="str">
        <v>MN</v>
      </c>
      <c r="C32" s="24">
        <v>468.4</v>
      </c>
      <c r="D32" s="13" t="s">
        <v>22</v>
      </c>
      <c r="E32" s="13" t="str">
        <f t="shared" si="4"/>
        <v/>
      </c>
      <c r="F32" s="14" t="str">
        <f t="shared" si="5"/>
        <v/>
      </c>
      <c r="G32" s="70" t="s">
        <v>22</v>
      </c>
      <c r="H32" s="15" t="str">
        <f t="shared" si="6"/>
        <v/>
      </c>
      <c r="I32" s="16" t="str">
        <f t="shared" si="7"/>
        <v/>
      </c>
      <c r="J32" s="41"/>
      <c r="K32" s="41"/>
    </row>
    <row r="33" spans="1:11" ht="15.6" x14ac:dyDescent="0.3">
      <c r="A33" s="30" t="str">
        <v xml:space="preserve"> Clayton - Bank of America</v>
      </c>
      <c r="B33" s="31" t="str">
        <v>MO</v>
      </c>
      <c r="C33" s="11">
        <v>2253.683</v>
      </c>
      <c r="D33" s="18" t="s">
        <v>22</v>
      </c>
      <c r="E33" s="18" t="str">
        <f t="shared" si="4"/>
        <v/>
      </c>
      <c r="F33" s="19" t="str">
        <f t="shared" si="5"/>
        <v/>
      </c>
      <c r="G33" s="71" t="s">
        <v>22</v>
      </c>
      <c r="H33" s="20" t="str">
        <f t="shared" si="6"/>
        <v/>
      </c>
      <c r="I33" s="19" t="str">
        <f t="shared" si="7"/>
        <v/>
      </c>
      <c r="J33" s="42"/>
      <c r="K33" s="42"/>
    </row>
    <row r="34" spans="1:11" ht="15.6" x14ac:dyDescent="0.3">
      <c r="A34" s="28" t="str">
        <v xml:space="preserve"> Manchester - Bank of America</v>
      </c>
      <c r="B34" s="29" t="str">
        <v>MO</v>
      </c>
      <c r="C34" s="24">
        <v>1751.329</v>
      </c>
      <c r="D34" s="13" t="s">
        <v>22</v>
      </c>
      <c r="E34" s="13" t="str">
        <f t="shared" si="4"/>
        <v/>
      </c>
      <c r="F34" s="14" t="str">
        <f t="shared" si="5"/>
        <v/>
      </c>
      <c r="G34" s="70" t="s">
        <v>22</v>
      </c>
      <c r="H34" s="15" t="str">
        <f t="shared" si="6"/>
        <v/>
      </c>
      <c r="I34" s="16" t="str">
        <f t="shared" si="7"/>
        <v/>
      </c>
      <c r="J34" s="41"/>
      <c r="K34" s="41"/>
    </row>
    <row r="35" spans="1:11" ht="15.6" x14ac:dyDescent="0.3">
      <c r="A35" s="30" t="str">
        <v xml:space="preserve"> Las Vegas - BA - Eastern Ave</v>
      </c>
      <c r="B35" s="31" t="str">
        <v>NV</v>
      </c>
      <c r="C35" s="11">
        <v>54.73</v>
      </c>
      <c r="D35" s="18" t="s">
        <v>22</v>
      </c>
      <c r="E35" s="18" t="str">
        <f t="shared" si="4"/>
        <v/>
      </c>
      <c r="F35" s="19" t="str">
        <f t="shared" si="5"/>
        <v/>
      </c>
      <c r="G35" s="71" t="s">
        <v>22</v>
      </c>
      <c r="H35" s="20" t="str">
        <f t="shared" si="6"/>
        <v/>
      </c>
      <c r="I35" s="19" t="str">
        <f t="shared" si="7"/>
        <v/>
      </c>
      <c r="J35" s="42"/>
      <c r="K35" s="42"/>
    </row>
    <row r="36" spans="1:11" ht="15.6" x14ac:dyDescent="0.3">
      <c r="A36" s="28" t="str">
        <v xml:space="preserve"> Las Vegas - BA - Town Ctr Dr</v>
      </c>
      <c r="B36" s="29" t="str">
        <v>NV</v>
      </c>
      <c r="C36" s="24" t="s">
        <v>145</v>
      </c>
      <c r="D36" s="13" t="s">
        <v>22</v>
      </c>
      <c r="E36" s="13" t="str">
        <f t="shared" si="4"/>
        <v/>
      </c>
      <c r="F36" s="14" t="str">
        <f t="shared" si="5"/>
        <v/>
      </c>
      <c r="G36" s="70" t="s">
        <v>22</v>
      </c>
      <c r="H36" s="15" t="str">
        <f t="shared" si="6"/>
        <v/>
      </c>
      <c r="I36" s="16" t="str">
        <f t="shared" si="7"/>
        <v/>
      </c>
      <c r="J36" s="41"/>
      <c r="K36" s="41"/>
    </row>
    <row r="37" spans="1:11" ht="15.6" x14ac:dyDescent="0.3">
      <c r="A37" s="30" t="str">
        <v xml:space="preserve"> Riverton - Bank of America</v>
      </c>
      <c r="B37" s="31" t="str">
        <v>UT</v>
      </c>
      <c r="C37" s="11">
        <v>2319.4920000000002</v>
      </c>
      <c r="D37" s="18" t="s">
        <v>22</v>
      </c>
      <c r="E37" s="18" t="str">
        <f t="shared" si="4"/>
        <v/>
      </c>
      <c r="F37" s="19" t="str">
        <f t="shared" si="5"/>
        <v/>
      </c>
      <c r="G37" s="71" t="s">
        <v>22</v>
      </c>
      <c r="H37" s="20" t="str">
        <f t="shared" si="6"/>
        <v/>
      </c>
      <c r="I37" s="19" t="str">
        <f t="shared" si="7"/>
        <v/>
      </c>
      <c r="J37" s="42"/>
      <c r="K37" s="43"/>
    </row>
    <row r="38" spans="1:11" ht="15.6" x14ac:dyDescent="0.3">
      <c r="A38" s="28" t="str">
        <v xml:space="preserve"> Salt Lake City - Bank of America</v>
      </c>
      <c r="B38" s="29" t="str">
        <v>UT</v>
      </c>
      <c r="C38" s="24">
        <v>131.535</v>
      </c>
      <c r="D38" s="13" t="s">
        <v>22</v>
      </c>
      <c r="E38" s="13" t="str">
        <f t="shared" si="4"/>
        <v/>
      </c>
      <c r="F38" s="14" t="str">
        <f t="shared" si="5"/>
        <v/>
      </c>
      <c r="G38" s="70" t="s">
        <v>22</v>
      </c>
      <c r="H38" s="15" t="str">
        <f t="shared" si="6"/>
        <v/>
      </c>
      <c r="I38" s="16" t="str">
        <f t="shared" si="7"/>
        <v/>
      </c>
      <c r="J38" s="41"/>
      <c r="K38" s="41"/>
    </row>
    <row r="39" spans="1:11" ht="14.4" x14ac:dyDescent="0.3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" x14ac:dyDescent="0.3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" x14ac:dyDescent="0.3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" x14ac:dyDescent="0.3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" x14ac:dyDescent="0.3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" x14ac:dyDescent="0.3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" x14ac:dyDescent="0.3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" x14ac:dyDescent="0.3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" x14ac:dyDescent="0.3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" x14ac:dyDescent="0.3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" x14ac:dyDescent="0.3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" x14ac:dyDescent="0.3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" x14ac:dyDescent="0.3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" x14ac:dyDescent="0.3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" x14ac:dyDescent="0.3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" x14ac:dyDescent="0.3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" x14ac:dyDescent="0.3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" x14ac:dyDescent="0.3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" x14ac:dyDescent="0.3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" x14ac:dyDescent="0.3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" x14ac:dyDescent="0.3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" x14ac:dyDescent="0.3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" x14ac:dyDescent="0.3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" x14ac:dyDescent="0.3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" x14ac:dyDescent="0.3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" x14ac:dyDescent="0.3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" x14ac:dyDescent="0.3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" x14ac:dyDescent="0.3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" x14ac:dyDescent="0.3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" x14ac:dyDescent="0.3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" x14ac:dyDescent="0.3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" x14ac:dyDescent="0.3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" x14ac:dyDescent="0.3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" x14ac:dyDescent="0.3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" x14ac:dyDescent="0.3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" x14ac:dyDescent="0.3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" x14ac:dyDescent="0.3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" x14ac:dyDescent="0.3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" x14ac:dyDescent="0.3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" x14ac:dyDescent="0.3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" x14ac:dyDescent="0.3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" x14ac:dyDescent="0.3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" x14ac:dyDescent="0.3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" x14ac:dyDescent="0.3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" x14ac:dyDescent="0.3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" x14ac:dyDescent="0.3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" x14ac:dyDescent="0.3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" x14ac:dyDescent="0.3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" x14ac:dyDescent="0.3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" x14ac:dyDescent="0.3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" x14ac:dyDescent="0.3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" x14ac:dyDescent="0.3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" x14ac:dyDescent="0.3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" x14ac:dyDescent="0.3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" x14ac:dyDescent="0.3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" x14ac:dyDescent="0.3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" x14ac:dyDescent="0.3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" x14ac:dyDescent="0.3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" x14ac:dyDescent="0.3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" x14ac:dyDescent="0.3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" x14ac:dyDescent="0.3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" x14ac:dyDescent="0.3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" x14ac:dyDescent="0.3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" x14ac:dyDescent="0.3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" x14ac:dyDescent="0.3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" x14ac:dyDescent="0.3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" x14ac:dyDescent="0.3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" x14ac:dyDescent="0.3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" x14ac:dyDescent="0.3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" x14ac:dyDescent="0.3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" x14ac:dyDescent="0.3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" x14ac:dyDescent="0.3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" x14ac:dyDescent="0.3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" x14ac:dyDescent="0.3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" x14ac:dyDescent="0.3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" x14ac:dyDescent="0.3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" x14ac:dyDescent="0.3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" x14ac:dyDescent="0.3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" x14ac:dyDescent="0.3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" x14ac:dyDescent="0.3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" x14ac:dyDescent="0.3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" x14ac:dyDescent="0.3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" x14ac:dyDescent="0.3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" x14ac:dyDescent="0.3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" x14ac:dyDescent="0.3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" x14ac:dyDescent="0.3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" x14ac:dyDescent="0.3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" x14ac:dyDescent="0.3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" x14ac:dyDescent="0.3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" x14ac:dyDescent="0.3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" x14ac:dyDescent="0.3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" x14ac:dyDescent="0.3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" x14ac:dyDescent="0.3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" x14ac:dyDescent="0.3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" x14ac:dyDescent="0.3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" x14ac:dyDescent="0.3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" x14ac:dyDescent="0.3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" x14ac:dyDescent="0.3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" x14ac:dyDescent="0.3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" x14ac:dyDescent="0.3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" x14ac:dyDescent="0.3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" x14ac:dyDescent="0.3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" x14ac:dyDescent="0.3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" x14ac:dyDescent="0.3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" x14ac:dyDescent="0.3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" x14ac:dyDescent="0.3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" x14ac:dyDescent="0.3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" x14ac:dyDescent="0.3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" x14ac:dyDescent="0.3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" x14ac:dyDescent="0.3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" x14ac:dyDescent="0.3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" x14ac:dyDescent="0.3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" x14ac:dyDescent="0.3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" x14ac:dyDescent="0.3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" x14ac:dyDescent="0.3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" x14ac:dyDescent="0.3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" x14ac:dyDescent="0.3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" x14ac:dyDescent="0.3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" x14ac:dyDescent="0.3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" x14ac:dyDescent="0.3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" x14ac:dyDescent="0.3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" x14ac:dyDescent="0.3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" x14ac:dyDescent="0.3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" x14ac:dyDescent="0.3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" x14ac:dyDescent="0.3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" x14ac:dyDescent="0.3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" x14ac:dyDescent="0.3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" x14ac:dyDescent="0.3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" x14ac:dyDescent="0.3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" x14ac:dyDescent="0.3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" x14ac:dyDescent="0.3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" x14ac:dyDescent="0.3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" x14ac:dyDescent="0.3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" x14ac:dyDescent="0.3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" x14ac:dyDescent="0.3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" x14ac:dyDescent="0.3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" x14ac:dyDescent="0.3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" x14ac:dyDescent="0.3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" x14ac:dyDescent="0.3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" x14ac:dyDescent="0.3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" x14ac:dyDescent="0.3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" x14ac:dyDescent="0.3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" x14ac:dyDescent="0.3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" x14ac:dyDescent="0.3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" x14ac:dyDescent="0.3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" x14ac:dyDescent="0.3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" x14ac:dyDescent="0.3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" x14ac:dyDescent="0.3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" x14ac:dyDescent="0.3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" x14ac:dyDescent="0.3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" x14ac:dyDescent="0.3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" x14ac:dyDescent="0.3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" x14ac:dyDescent="0.3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" x14ac:dyDescent="0.3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" x14ac:dyDescent="0.3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" x14ac:dyDescent="0.3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" x14ac:dyDescent="0.3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" x14ac:dyDescent="0.3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" x14ac:dyDescent="0.3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" x14ac:dyDescent="0.3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" x14ac:dyDescent="0.3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" x14ac:dyDescent="0.3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" x14ac:dyDescent="0.3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" x14ac:dyDescent="0.3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" x14ac:dyDescent="0.3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" x14ac:dyDescent="0.3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" x14ac:dyDescent="0.3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" x14ac:dyDescent="0.3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" x14ac:dyDescent="0.3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" x14ac:dyDescent="0.3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" x14ac:dyDescent="0.3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" x14ac:dyDescent="0.3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" x14ac:dyDescent="0.3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" x14ac:dyDescent="0.3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" x14ac:dyDescent="0.3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" x14ac:dyDescent="0.3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" x14ac:dyDescent="0.3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" x14ac:dyDescent="0.3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" x14ac:dyDescent="0.3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" x14ac:dyDescent="0.3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" x14ac:dyDescent="0.3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" x14ac:dyDescent="0.3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" x14ac:dyDescent="0.3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" x14ac:dyDescent="0.3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" x14ac:dyDescent="0.3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" x14ac:dyDescent="0.3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" x14ac:dyDescent="0.3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" x14ac:dyDescent="0.3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" x14ac:dyDescent="0.3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" x14ac:dyDescent="0.3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" x14ac:dyDescent="0.3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" x14ac:dyDescent="0.3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" x14ac:dyDescent="0.3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" x14ac:dyDescent="0.3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" x14ac:dyDescent="0.3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" x14ac:dyDescent="0.3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" x14ac:dyDescent="0.3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" x14ac:dyDescent="0.3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" x14ac:dyDescent="0.3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" x14ac:dyDescent="0.3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" x14ac:dyDescent="0.3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" x14ac:dyDescent="0.3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" x14ac:dyDescent="0.3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" x14ac:dyDescent="0.3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" x14ac:dyDescent="0.3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" x14ac:dyDescent="0.3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" x14ac:dyDescent="0.3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" x14ac:dyDescent="0.3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" x14ac:dyDescent="0.3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" x14ac:dyDescent="0.3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" x14ac:dyDescent="0.3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" x14ac:dyDescent="0.3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" x14ac:dyDescent="0.3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" x14ac:dyDescent="0.3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" x14ac:dyDescent="0.3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" x14ac:dyDescent="0.3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" x14ac:dyDescent="0.3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" x14ac:dyDescent="0.3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" x14ac:dyDescent="0.3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" x14ac:dyDescent="0.3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" x14ac:dyDescent="0.3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" x14ac:dyDescent="0.3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" x14ac:dyDescent="0.3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" x14ac:dyDescent="0.3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" x14ac:dyDescent="0.3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" x14ac:dyDescent="0.3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" x14ac:dyDescent="0.3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" x14ac:dyDescent="0.3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" x14ac:dyDescent="0.3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" x14ac:dyDescent="0.3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" x14ac:dyDescent="0.3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" x14ac:dyDescent="0.3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" x14ac:dyDescent="0.3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" x14ac:dyDescent="0.3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" x14ac:dyDescent="0.3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" x14ac:dyDescent="0.3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" x14ac:dyDescent="0.3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" x14ac:dyDescent="0.3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" x14ac:dyDescent="0.3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" x14ac:dyDescent="0.3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" x14ac:dyDescent="0.3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" x14ac:dyDescent="0.3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" x14ac:dyDescent="0.3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" x14ac:dyDescent="0.3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" x14ac:dyDescent="0.3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" x14ac:dyDescent="0.3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" x14ac:dyDescent="0.3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" x14ac:dyDescent="0.3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" x14ac:dyDescent="0.3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" x14ac:dyDescent="0.3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" x14ac:dyDescent="0.3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" x14ac:dyDescent="0.3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" x14ac:dyDescent="0.3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" x14ac:dyDescent="0.3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" x14ac:dyDescent="0.3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" x14ac:dyDescent="0.3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" x14ac:dyDescent="0.3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" x14ac:dyDescent="0.3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" x14ac:dyDescent="0.3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" x14ac:dyDescent="0.3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" x14ac:dyDescent="0.3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" x14ac:dyDescent="0.3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" x14ac:dyDescent="0.3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" x14ac:dyDescent="0.3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" x14ac:dyDescent="0.3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" x14ac:dyDescent="0.3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" x14ac:dyDescent="0.3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" x14ac:dyDescent="0.3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" x14ac:dyDescent="0.3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" x14ac:dyDescent="0.3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" x14ac:dyDescent="0.3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" x14ac:dyDescent="0.3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" x14ac:dyDescent="0.3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" x14ac:dyDescent="0.3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" x14ac:dyDescent="0.3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" x14ac:dyDescent="0.3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" x14ac:dyDescent="0.3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" x14ac:dyDescent="0.3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" x14ac:dyDescent="0.3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" x14ac:dyDescent="0.3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" x14ac:dyDescent="0.3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" x14ac:dyDescent="0.3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" x14ac:dyDescent="0.3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" x14ac:dyDescent="0.3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" x14ac:dyDescent="0.3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" x14ac:dyDescent="0.3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" x14ac:dyDescent="0.3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" x14ac:dyDescent="0.3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" x14ac:dyDescent="0.3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" x14ac:dyDescent="0.3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" x14ac:dyDescent="0.3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" x14ac:dyDescent="0.3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" x14ac:dyDescent="0.3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" x14ac:dyDescent="0.3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" x14ac:dyDescent="0.3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" x14ac:dyDescent="0.3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" x14ac:dyDescent="0.3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" x14ac:dyDescent="0.3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" x14ac:dyDescent="0.3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" x14ac:dyDescent="0.3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" x14ac:dyDescent="0.3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" x14ac:dyDescent="0.3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" x14ac:dyDescent="0.3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" x14ac:dyDescent="0.3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conditionalFormatting sqref="F4:F100 I4:I100">
    <cfRule type="cellIs" dxfId="13" priority="1" stopIfTrue="1" operator="lessThanOrEqual">
      <formula>-0.1</formula>
    </cfRule>
    <cfRule type="expression" dxfId="12" priority="2">
      <formula>AND(ISNUMBER(F4), F4&gt;=0.1)</formula>
    </cfRule>
  </conditionalFormatting>
  <hyperlinks>
    <hyperlink ref="K7" r:id="rId1" display="https://us3.assetplanner.com/service_request?ID=101589" xr:uid="{42E7B9A1-0F68-4CCD-AFF5-58C18FFC7788}"/>
    <hyperlink ref="K10" r:id="rId2" display="https://us3.assetplanner.com/service_request?ID=102087" xr:uid="{04A15CE5-9D5C-42C1-80CE-0D005368B0CC}"/>
    <hyperlink ref="K12" r:id="rId3" display="https://us3.assetplanner.com/service_request?ID=102088" xr:uid="{4E9F6E6E-B37F-4DF2-BD33-9B89FDCCACCE}"/>
    <hyperlink ref="K15" r:id="rId4" display="https://us3.assetplanner.com/service_request?ID=106651" xr:uid="{A8924104-634F-481D-B915-9676AB66CD12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L342"/>
  <sheetViews>
    <sheetView workbookViewId="0">
      <pane xSplit="2" ySplit="3" topLeftCell="C12" activePane="bottomRight" state="frozen"/>
      <selection pane="topRight" activeCell="P19" sqref="P19:P20"/>
      <selection pane="bottomLeft" activeCell="P19" sqref="P19:P20"/>
      <selection pane="bottomRight" activeCell="C13" sqref="C13"/>
    </sheetView>
  </sheetViews>
  <sheetFormatPr defaultRowHeight="14.4" x14ac:dyDescent="0.3"/>
  <cols>
    <col min="1" max="1" width="35.88671875" bestFit="1" customWidth="1"/>
    <col min="2" max="2" width="8.44140625" style="34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style="82" customWidth="1"/>
    <col min="11" max="11" width="20.5546875" style="82" bestFit="1" customWidth="1"/>
    <col min="12" max="12" width="13.33203125" style="83" customWidth="1"/>
  </cols>
  <sheetData>
    <row r="1" spans="1:12" ht="19.5" customHeight="1" x14ac:dyDescent="0.25">
      <c r="A1" s="89" t="str" cm="1">
        <f t="array" ref="A1">portfolio</f>
        <v>Cushman &amp; Wakefield</v>
      </c>
      <c r="B1" s="89"/>
      <c r="C1" s="89"/>
      <c r="D1" s="90" t="s">
        <v>148</v>
      </c>
      <c r="E1" s="90"/>
      <c r="F1" s="90"/>
      <c r="G1" s="88" t="s">
        <v>149</v>
      </c>
      <c r="H1" s="88"/>
      <c r="I1" s="88"/>
      <c r="J1" s="79"/>
      <c r="K1" s="79"/>
    </row>
    <row r="2" spans="1:12" ht="19.5" customHeight="1" x14ac:dyDescent="0.25">
      <c r="A2" s="91" t="s">
        <v>2</v>
      </c>
      <c r="B2" s="91"/>
      <c r="C2" s="5">
        <f>SUM(C4:C100)</f>
        <v>44810.317999999992</v>
      </c>
      <c r="D2" s="5">
        <f>SUM(D4:D100)</f>
        <v>0</v>
      </c>
      <c r="E2" s="5">
        <f>C2-D2</f>
        <v>44810.317999999992</v>
      </c>
      <c r="F2" s="6">
        <f>IFERROR(E2/D2, 0)</f>
        <v>0</v>
      </c>
      <c r="G2" s="5">
        <f>SUM(G4:G100)</f>
        <v>0</v>
      </c>
      <c r="H2" s="7">
        <f>C2-G2</f>
        <v>44810.317999999992</v>
      </c>
      <c r="I2" s="6">
        <f>IFERROR(H2/G2, 0)</f>
        <v>0</v>
      </c>
      <c r="J2" s="80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79"/>
    </row>
    <row r="3" spans="1:12" ht="14.25" customHeight="1" x14ac:dyDescent="0.25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81" t="s">
        <v>20</v>
      </c>
      <c r="K3" s="81" t="s">
        <v>21</v>
      </c>
      <c r="L3" s="84" t="s">
        <v>150</v>
      </c>
    </row>
    <row r="4" spans="1:12" ht="15.6" x14ac:dyDescent="0.3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 t="s">
        <v>22</v>
      </c>
      <c r="H4" s="15" t="str">
        <f>IF(AND(ISNUMBER(C4),ISNUMBER(G4)), C4-G4, "")</f>
        <v/>
      </c>
      <c r="I4" s="16" t="str">
        <f>IFERROR(H4/G4, "")</f>
        <v/>
      </c>
      <c r="J4" s="78"/>
      <c r="K4" s="78"/>
      <c r="L4" s="78"/>
    </row>
    <row r="5" spans="1:12" ht="15.6" x14ac:dyDescent="0.25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20" t="s">
        <v>22</v>
      </c>
      <c r="H5" s="20" t="str">
        <f>IF(AND(ISNUMBER(C5),ISNUMBER(G5)), C5-G5, "")</f>
        <v/>
      </c>
      <c r="I5" s="19" t="str">
        <f>IFERROR(H5/G5, "")</f>
        <v/>
      </c>
      <c r="J5" s="87"/>
      <c r="K5" s="87"/>
      <c r="L5" s="87"/>
    </row>
    <row r="6" spans="1:12" ht="15.6" x14ac:dyDescent="0.25">
      <c r="A6" s="28" t="str">
        <v xml:space="preserve"> Arvin - Bank of America</v>
      </c>
      <c r="B6" s="29" t="str">
        <v>CA</v>
      </c>
      <c r="C6" s="24">
        <v>91.257000000000005</v>
      </c>
      <c r="D6" s="13" t="s">
        <v>22</v>
      </c>
      <c r="E6" s="13" t="str">
        <f t="shared" si="0"/>
        <v/>
      </c>
      <c r="F6" s="14" t="str">
        <f t="shared" ref="F6:F17" si="1">IFERROR(E6/D6, "")</f>
        <v/>
      </c>
      <c r="G6" s="15" t="s">
        <v>22</v>
      </c>
      <c r="H6" s="15" t="str">
        <f t="shared" ref="H6:H17" si="2">IF(AND(ISNUMBER(C6),ISNUMBER(G6)), C6-G6, "")</f>
        <v/>
      </c>
      <c r="I6" s="16" t="str">
        <f t="shared" ref="I6:I17" si="3">IFERROR(H6/G6, "")</f>
        <v/>
      </c>
      <c r="J6" s="78"/>
      <c r="K6" s="78"/>
      <c r="L6" s="78"/>
    </row>
    <row r="7" spans="1:12" ht="28.8" x14ac:dyDescent="0.25">
      <c r="A7" s="30" t="str">
        <v xml:space="preserve"> Bell - Bank of America</v>
      </c>
      <c r="B7" s="31" t="str">
        <v>CA</v>
      </c>
      <c r="C7" s="75">
        <v>1855.64</v>
      </c>
      <c r="D7" s="18" t="s">
        <v>22</v>
      </c>
      <c r="E7" s="18" t="str">
        <f t="shared" si="0"/>
        <v/>
      </c>
      <c r="F7" s="19" t="str">
        <f t="shared" si="1"/>
        <v/>
      </c>
      <c r="G7" s="20" t="s">
        <v>22</v>
      </c>
      <c r="H7" s="20" t="str">
        <f t="shared" si="2"/>
        <v/>
      </c>
      <c r="I7" s="19" t="str">
        <f t="shared" si="3"/>
        <v/>
      </c>
      <c r="J7" s="87" t="s">
        <v>146</v>
      </c>
      <c r="K7" s="68" t="s">
        <v>103</v>
      </c>
      <c r="L7" s="87" t="s">
        <v>151</v>
      </c>
    </row>
    <row r="8" spans="1:12" ht="15.6" x14ac:dyDescent="0.25">
      <c r="A8" s="28" t="str">
        <v xml:space="preserve"> Chula Vista - Bank of America</v>
      </c>
      <c r="B8" s="29" t="str">
        <v>CA</v>
      </c>
      <c r="C8" s="76">
        <v>1208.6849999999999</v>
      </c>
      <c r="D8" s="13" t="s">
        <v>22</v>
      </c>
      <c r="E8" s="13" t="str">
        <f t="shared" si="0"/>
        <v/>
      </c>
      <c r="F8" s="14" t="str">
        <f t="shared" si="1"/>
        <v/>
      </c>
      <c r="G8" s="15" t="s">
        <v>22</v>
      </c>
      <c r="H8" s="15" t="str">
        <f t="shared" si="2"/>
        <v/>
      </c>
      <c r="I8" s="16" t="str">
        <f t="shared" si="3"/>
        <v/>
      </c>
      <c r="J8" s="78"/>
      <c r="K8" s="78"/>
      <c r="L8" s="78"/>
    </row>
    <row r="9" spans="1:12" ht="15.6" x14ac:dyDescent="0.25">
      <c r="A9" s="30" t="str">
        <v xml:space="preserve"> Cupertino - Bank of America</v>
      </c>
      <c r="B9" s="31" t="str">
        <v>CA</v>
      </c>
      <c r="C9" s="11">
        <v>1668.414</v>
      </c>
      <c r="D9" s="18" t="s">
        <v>22</v>
      </c>
      <c r="E9" s="18" t="str">
        <f t="shared" si="0"/>
        <v/>
      </c>
      <c r="F9" s="19" t="str">
        <f t="shared" si="1"/>
        <v/>
      </c>
      <c r="G9" s="20" t="s">
        <v>22</v>
      </c>
      <c r="H9" s="20" t="str">
        <f t="shared" si="2"/>
        <v/>
      </c>
      <c r="I9" s="19" t="str">
        <f t="shared" si="3"/>
        <v/>
      </c>
      <c r="J9" s="87"/>
      <c r="K9" s="87"/>
      <c r="L9" s="87"/>
    </row>
    <row r="10" spans="1:12" ht="28.8" x14ac:dyDescent="0.25">
      <c r="A10" s="28" t="str">
        <v xml:space="preserve"> Diamond Bar - Bank of America</v>
      </c>
      <c r="B10" s="29" t="str">
        <v>CA</v>
      </c>
      <c r="C10" s="76">
        <v>3048.3580000000002</v>
      </c>
      <c r="D10" s="13" t="s">
        <v>22</v>
      </c>
      <c r="E10" s="13" t="str">
        <f t="shared" si="0"/>
        <v/>
      </c>
      <c r="F10" s="14" t="str">
        <f t="shared" si="1"/>
        <v/>
      </c>
      <c r="G10" s="15" t="s">
        <v>22</v>
      </c>
      <c r="H10" s="15" t="str">
        <f t="shared" si="2"/>
        <v/>
      </c>
      <c r="I10" s="16" t="str">
        <f t="shared" si="3"/>
        <v/>
      </c>
      <c r="J10" s="78" t="s">
        <v>147</v>
      </c>
      <c r="K10" s="65" t="s">
        <v>105</v>
      </c>
      <c r="L10" s="78" t="s">
        <v>151</v>
      </c>
    </row>
    <row r="11" spans="1:12" ht="15.6" x14ac:dyDescent="0.25">
      <c r="A11" s="30" t="str">
        <v xml:space="preserve"> El Centro - Bank of America</v>
      </c>
      <c r="B11" s="31" t="str">
        <v>CA</v>
      </c>
      <c r="C11" s="75">
        <v>2492.5749999999998</v>
      </c>
      <c r="D11" s="18" t="s">
        <v>22</v>
      </c>
      <c r="E11" s="18" t="str">
        <f t="shared" si="0"/>
        <v/>
      </c>
      <c r="F11" s="19" t="str">
        <f t="shared" si="1"/>
        <v/>
      </c>
      <c r="G11" s="20" t="s">
        <v>22</v>
      </c>
      <c r="H11" s="20" t="str">
        <f t="shared" si="2"/>
        <v/>
      </c>
      <c r="I11" s="19" t="str">
        <f t="shared" si="3"/>
        <v/>
      </c>
      <c r="J11" s="87"/>
      <c r="K11" s="87"/>
      <c r="L11" s="87"/>
    </row>
    <row r="12" spans="1:12" ht="28.8" x14ac:dyDescent="0.25">
      <c r="A12" s="28" t="str">
        <v xml:space="preserve"> Moreno Valley - Bank of America</v>
      </c>
      <c r="B12" s="29" t="str">
        <v>CA</v>
      </c>
      <c r="C12" s="24">
        <v>3621.3780000000002</v>
      </c>
      <c r="D12" s="13" t="s">
        <v>22</v>
      </c>
      <c r="E12" s="13" t="str">
        <f t="shared" si="0"/>
        <v/>
      </c>
      <c r="F12" s="14" t="str">
        <f t="shared" si="1"/>
        <v/>
      </c>
      <c r="G12" s="15" t="s">
        <v>22</v>
      </c>
      <c r="H12" s="15" t="str">
        <f t="shared" si="2"/>
        <v/>
      </c>
      <c r="I12" s="16" t="str">
        <f t="shared" si="3"/>
        <v/>
      </c>
      <c r="J12" s="78" t="s">
        <v>152</v>
      </c>
      <c r="K12" s="65" t="s">
        <v>90</v>
      </c>
      <c r="L12" s="78" t="s">
        <v>153</v>
      </c>
    </row>
    <row r="13" spans="1:12" ht="15.6" x14ac:dyDescent="0.25">
      <c r="A13" s="30" t="str">
        <v xml:space="preserve"> Redlands - Bank of America</v>
      </c>
      <c r="B13" s="31" t="str">
        <v>CA</v>
      </c>
      <c r="C13" s="11">
        <v>0</v>
      </c>
      <c r="D13" s="18" t="s">
        <v>22</v>
      </c>
      <c r="E13" s="18" t="str">
        <f t="shared" si="0"/>
        <v/>
      </c>
      <c r="F13" s="19" t="str">
        <f t="shared" si="1"/>
        <v/>
      </c>
      <c r="G13" s="20" t="s">
        <v>22</v>
      </c>
      <c r="H13" s="20" t="str">
        <f t="shared" si="2"/>
        <v/>
      </c>
      <c r="I13" s="19" t="str">
        <f t="shared" si="3"/>
        <v/>
      </c>
      <c r="J13" s="87"/>
      <c r="K13" s="87"/>
      <c r="L13" s="87"/>
    </row>
    <row r="14" spans="1:12" ht="15.6" x14ac:dyDescent="0.25">
      <c r="A14" s="28" t="str">
        <v xml:space="preserve"> Roseville - Bank of America</v>
      </c>
      <c r="B14" s="29" t="str">
        <v>CA</v>
      </c>
      <c r="C14" s="24">
        <v>4735.4759999999997</v>
      </c>
      <c r="D14" s="13" t="s">
        <v>22</v>
      </c>
      <c r="E14" s="13" t="str">
        <f t="shared" si="0"/>
        <v/>
      </c>
      <c r="F14" s="14" t="str">
        <f t="shared" si="1"/>
        <v/>
      </c>
      <c r="G14" s="15" t="s">
        <v>22</v>
      </c>
      <c r="H14" s="15" t="str">
        <f t="shared" si="2"/>
        <v/>
      </c>
      <c r="I14" s="16" t="str">
        <f t="shared" si="3"/>
        <v/>
      </c>
      <c r="J14" s="78"/>
      <c r="K14" s="78"/>
      <c r="L14" s="78"/>
    </row>
    <row r="15" spans="1:12" ht="15.6" x14ac:dyDescent="0.25">
      <c r="A15" s="30" t="str">
        <v xml:space="preserve"> San Bernardino - Bank of America</v>
      </c>
      <c r="B15" s="31" t="str">
        <v>CA</v>
      </c>
      <c r="C15" s="11">
        <v>31.06</v>
      </c>
      <c r="D15" s="18" t="s">
        <v>22</v>
      </c>
      <c r="E15" s="18" t="str">
        <f t="shared" si="0"/>
        <v/>
      </c>
      <c r="F15" s="19" t="str">
        <f t="shared" si="1"/>
        <v/>
      </c>
      <c r="G15" s="20" t="s">
        <v>22</v>
      </c>
      <c r="H15" s="20" t="str">
        <f t="shared" si="2"/>
        <v/>
      </c>
      <c r="I15" s="19" t="str">
        <f t="shared" si="3"/>
        <v/>
      </c>
      <c r="J15" s="87" t="s">
        <v>154</v>
      </c>
      <c r="K15" s="74" t="s">
        <v>139</v>
      </c>
      <c r="L15" s="87" t="s">
        <v>155</v>
      </c>
    </row>
    <row r="16" spans="1:12" ht="15.6" x14ac:dyDescent="0.25">
      <c r="A16" s="28" t="str">
        <v xml:space="preserve"> San Diego - Bank of America</v>
      </c>
      <c r="B16" s="29" t="str">
        <v>CA</v>
      </c>
      <c r="C16" s="24">
        <v>37.344000000000001</v>
      </c>
      <c r="D16" s="13" t="s">
        <v>22</v>
      </c>
      <c r="E16" s="13" t="str">
        <f t="shared" si="0"/>
        <v/>
      </c>
      <c r="F16" s="14" t="str">
        <f t="shared" si="1"/>
        <v/>
      </c>
      <c r="G16" s="15" t="s">
        <v>22</v>
      </c>
      <c r="H16" s="15" t="str">
        <f t="shared" si="2"/>
        <v/>
      </c>
      <c r="I16" s="16" t="str">
        <f t="shared" si="3"/>
        <v/>
      </c>
      <c r="J16" s="78"/>
      <c r="K16" s="78"/>
      <c r="L16" s="78"/>
    </row>
    <row r="17" spans="1:12" ht="15.6" x14ac:dyDescent="0.25">
      <c r="A17" s="30" t="str">
        <v xml:space="preserve"> Stockton - Bank of America</v>
      </c>
      <c r="B17" s="31" t="str">
        <v>CA</v>
      </c>
      <c r="C17" s="11">
        <v>719.11099999999999</v>
      </c>
      <c r="D17" s="18" t="s">
        <v>22</v>
      </c>
      <c r="E17" s="18" t="str">
        <f t="shared" si="0"/>
        <v/>
      </c>
      <c r="F17" s="19" t="str">
        <f t="shared" si="1"/>
        <v/>
      </c>
      <c r="G17" s="20" t="s">
        <v>22</v>
      </c>
      <c r="H17" s="20" t="str">
        <f t="shared" si="2"/>
        <v/>
      </c>
      <c r="I17" s="19" t="str">
        <f t="shared" si="3"/>
        <v/>
      </c>
      <c r="J17" s="87"/>
      <c r="K17" s="87"/>
      <c r="L17" s="87"/>
    </row>
    <row r="18" spans="1:12" ht="12.75" customHeight="1" x14ac:dyDescent="0.25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 t="s">
        <v>22</v>
      </c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78"/>
      <c r="K18" s="78"/>
      <c r="L18" s="78"/>
    </row>
    <row r="19" spans="1:12" ht="15.6" x14ac:dyDescent="0.3">
      <c r="A19" s="30" t="str">
        <v xml:space="preserve"> Aurora - BA - Colfax Ave</v>
      </c>
      <c r="B19" s="31" t="str">
        <v>CO</v>
      </c>
      <c r="C19" s="77">
        <v>974.22199999999998</v>
      </c>
      <c r="D19" s="18" t="s">
        <v>22</v>
      </c>
      <c r="E19" s="18" t="str">
        <f t="shared" si="4"/>
        <v/>
      </c>
      <c r="F19" s="19" t="str">
        <f t="shared" si="5"/>
        <v/>
      </c>
      <c r="G19" s="20" t="s">
        <v>22</v>
      </c>
      <c r="H19" s="20" t="str">
        <f t="shared" si="6"/>
        <v/>
      </c>
      <c r="I19" s="19" t="str">
        <f t="shared" si="7"/>
        <v/>
      </c>
      <c r="J19" s="87"/>
      <c r="K19" s="87"/>
      <c r="L19" s="87"/>
    </row>
    <row r="20" spans="1:12" ht="15.6" x14ac:dyDescent="0.25">
      <c r="A20" s="28" t="str">
        <v xml:space="preserve"> Aurora - BA - Parker Rd</v>
      </c>
      <c r="B20" s="29" t="str">
        <v>CO</v>
      </c>
      <c r="C20" s="24">
        <v>2832.681</v>
      </c>
      <c r="D20" s="13" t="s">
        <v>22</v>
      </c>
      <c r="E20" s="13" t="str">
        <f t="shared" si="4"/>
        <v/>
      </c>
      <c r="F20" s="14" t="str">
        <f t="shared" si="5"/>
        <v/>
      </c>
      <c r="G20" s="15" t="s">
        <v>22</v>
      </c>
      <c r="H20" s="15" t="str">
        <f t="shared" si="6"/>
        <v/>
      </c>
      <c r="I20" s="16" t="str">
        <f t="shared" si="7"/>
        <v/>
      </c>
      <c r="J20" s="78"/>
      <c r="K20" s="78"/>
      <c r="L20" s="78"/>
    </row>
    <row r="21" spans="1:12" ht="15.6" x14ac:dyDescent="0.25">
      <c r="A21" s="30" t="str">
        <v xml:space="preserve"> Broomfield - Bank of America</v>
      </c>
      <c r="B21" s="31" t="str">
        <v>CO</v>
      </c>
      <c r="C21" s="11">
        <v>1126.175</v>
      </c>
      <c r="D21" s="18" t="s">
        <v>22</v>
      </c>
      <c r="E21" s="18" t="str">
        <f t="shared" si="4"/>
        <v/>
      </c>
      <c r="F21" s="19" t="str">
        <f t="shared" si="5"/>
        <v/>
      </c>
      <c r="G21" s="20" t="s">
        <v>22</v>
      </c>
      <c r="H21" s="20" t="str">
        <f t="shared" si="6"/>
        <v/>
      </c>
      <c r="I21" s="19" t="str">
        <f t="shared" si="7"/>
        <v/>
      </c>
      <c r="J21" s="87"/>
      <c r="K21" s="87"/>
      <c r="L21" s="87"/>
    </row>
    <row r="22" spans="1:12" ht="15.6" x14ac:dyDescent="0.25">
      <c r="A22" s="28" t="str">
        <v xml:space="preserve"> Colorado Springs - Bank of America</v>
      </c>
      <c r="B22" s="29" t="str">
        <v>CO</v>
      </c>
      <c r="C22" s="24">
        <v>2374.8890000000001</v>
      </c>
      <c r="D22" s="13" t="s">
        <v>22</v>
      </c>
      <c r="E22" s="13" t="str">
        <f t="shared" si="4"/>
        <v/>
      </c>
      <c r="F22" s="14" t="str">
        <f t="shared" si="5"/>
        <v/>
      </c>
      <c r="G22" s="15" t="s">
        <v>22</v>
      </c>
      <c r="H22" s="15" t="str">
        <f t="shared" si="6"/>
        <v/>
      </c>
      <c r="I22" s="16" t="str">
        <f t="shared" si="7"/>
        <v/>
      </c>
      <c r="J22" s="78"/>
      <c r="K22" s="78"/>
      <c r="L22" s="78"/>
    </row>
    <row r="23" spans="1:12" ht="15.6" x14ac:dyDescent="0.25">
      <c r="A23" s="30" t="str">
        <v xml:space="preserve"> Denver - BA - 49th Ave</v>
      </c>
      <c r="B23" s="31" t="str">
        <v>CO</v>
      </c>
      <c r="C23" s="11">
        <v>943.6</v>
      </c>
      <c r="D23" s="18" t="s">
        <v>22</v>
      </c>
      <c r="E23" s="18" t="str">
        <f t="shared" si="4"/>
        <v/>
      </c>
      <c r="F23" s="19" t="str">
        <f t="shared" si="5"/>
        <v/>
      </c>
      <c r="G23" s="20" t="s">
        <v>22</v>
      </c>
      <c r="H23" s="20" t="str">
        <f t="shared" si="6"/>
        <v/>
      </c>
      <c r="I23" s="19" t="str">
        <f t="shared" si="7"/>
        <v/>
      </c>
      <c r="J23" s="87"/>
      <c r="K23" s="87"/>
      <c r="L23" s="87"/>
    </row>
    <row r="24" spans="1:12" ht="15.6" x14ac:dyDescent="0.25">
      <c r="A24" s="28" t="str">
        <v xml:space="preserve"> Denver - BA Wadsworth Blvd</v>
      </c>
      <c r="B24" s="29" t="str">
        <v>CO</v>
      </c>
      <c r="C24" s="24">
        <v>1929.5</v>
      </c>
      <c r="D24" s="13" t="s">
        <v>22</v>
      </c>
      <c r="E24" s="13" t="str">
        <f t="shared" si="4"/>
        <v/>
      </c>
      <c r="F24" s="14" t="str">
        <f t="shared" si="5"/>
        <v/>
      </c>
      <c r="G24" s="15" t="s">
        <v>22</v>
      </c>
      <c r="H24" s="15" t="str">
        <f t="shared" si="6"/>
        <v/>
      </c>
      <c r="I24" s="16" t="str">
        <f t="shared" si="7"/>
        <v/>
      </c>
      <c r="J24" s="78"/>
      <c r="K24" s="78"/>
      <c r="L24" s="78"/>
    </row>
    <row r="25" spans="1:12" ht="15.6" x14ac:dyDescent="0.25">
      <c r="A25" s="30" t="str">
        <v xml:space="preserve"> Fort Collins - Bank of America</v>
      </c>
      <c r="B25" s="31" t="str">
        <v>CO</v>
      </c>
      <c r="C25" s="11">
        <v>1234.067</v>
      </c>
      <c r="D25" s="18" t="s">
        <v>22</v>
      </c>
      <c r="E25" s="18" t="str">
        <f t="shared" si="4"/>
        <v/>
      </c>
      <c r="F25" s="19" t="str">
        <f t="shared" si="5"/>
        <v/>
      </c>
      <c r="G25" s="20" t="s">
        <v>22</v>
      </c>
      <c r="H25" s="20" t="str">
        <f t="shared" si="6"/>
        <v/>
      </c>
      <c r="I25" s="19" t="str">
        <f t="shared" si="7"/>
        <v/>
      </c>
      <c r="J25" s="87"/>
      <c r="K25" s="87"/>
      <c r="L25" s="87"/>
    </row>
    <row r="26" spans="1:12" ht="15.6" x14ac:dyDescent="0.25">
      <c r="A26" s="28" t="str">
        <v xml:space="preserve"> Lafayette - Bank of America</v>
      </c>
      <c r="B26" s="29" t="str">
        <v>CO</v>
      </c>
      <c r="C26" s="24">
        <v>1803.5029999999999</v>
      </c>
      <c r="D26" s="13" t="s">
        <v>22</v>
      </c>
      <c r="E26" s="13" t="str">
        <f t="shared" si="4"/>
        <v/>
      </c>
      <c r="F26" s="14" t="str">
        <f t="shared" si="5"/>
        <v/>
      </c>
      <c r="G26" s="15" t="s">
        <v>22</v>
      </c>
      <c r="H26" s="15" t="str">
        <f t="shared" si="6"/>
        <v/>
      </c>
      <c r="I26" s="16" t="str">
        <f t="shared" si="7"/>
        <v/>
      </c>
      <c r="J26" s="78"/>
      <c r="K26" s="78"/>
      <c r="L26" s="78"/>
    </row>
    <row r="27" spans="1:12" ht="15.6" x14ac:dyDescent="0.25">
      <c r="A27" s="30" t="str">
        <v xml:space="preserve"> Lakewood - Bank of America</v>
      </c>
      <c r="B27" s="31" t="str">
        <v>CO</v>
      </c>
      <c r="C27" s="11">
        <v>957.31100000000004</v>
      </c>
      <c r="D27" s="18" t="s">
        <v>22</v>
      </c>
      <c r="E27" s="18" t="str">
        <f t="shared" si="4"/>
        <v/>
      </c>
      <c r="F27" s="19" t="str">
        <f t="shared" si="5"/>
        <v/>
      </c>
      <c r="G27" s="20" t="s">
        <v>22</v>
      </c>
      <c r="H27" s="20" t="str">
        <f t="shared" si="6"/>
        <v/>
      </c>
      <c r="I27" s="19" t="str">
        <f t="shared" si="7"/>
        <v/>
      </c>
      <c r="J27" s="87"/>
      <c r="K27" s="87"/>
      <c r="L27" s="87"/>
    </row>
    <row r="28" spans="1:12" ht="15.6" x14ac:dyDescent="0.25">
      <c r="A28" s="28" t="str">
        <v xml:space="preserve"> Longmont - Bank of America</v>
      </c>
      <c r="B28" s="29" t="str">
        <v>CO</v>
      </c>
      <c r="C28" s="24">
        <v>870.77599999999995</v>
      </c>
      <c r="D28" s="13" t="s">
        <v>22</v>
      </c>
      <c r="E28" s="13" t="str">
        <f t="shared" si="4"/>
        <v/>
      </c>
      <c r="F28" s="14" t="str">
        <f t="shared" si="5"/>
        <v/>
      </c>
      <c r="G28" s="15" t="s">
        <v>22</v>
      </c>
      <c r="H28" s="15" t="str">
        <f t="shared" si="6"/>
        <v/>
      </c>
      <c r="I28" s="16" t="str">
        <f t="shared" si="7"/>
        <v/>
      </c>
      <c r="J28" s="78"/>
      <c r="K28" s="78"/>
      <c r="L28" s="78"/>
    </row>
    <row r="29" spans="1:12" ht="15.6" x14ac:dyDescent="0.25">
      <c r="A29" s="30" t="str">
        <v xml:space="preserve"> Thornton - Bank of America</v>
      </c>
      <c r="B29" s="31" t="str">
        <v>CO</v>
      </c>
      <c r="C29" s="11">
        <v>1073.579</v>
      </c>
      <c r="D29" s="18" t="s">
        <v>22</v>
      </c>
      <c r="E29" s="18" t="str">
        <f t="shared" si="4"/>
        <v/>
      </c>
      <c r="F29" s="19" t="str">
        <f t="shared" si="5"/>
        <v/>
      </c>
      <c r="G29" s="20" t="s">
        <v>22</v>
      </c>
      <c r="H29" s="20" t="str">
        <f t="shared" si="6"/>
        <v/>
      </c>
      <c r="I29" s="19" t="str">
        <f t="shared" si="7"/>
        <v/>
      </c>
      <c r="J29" s="87"/>
      <c r="K29" s="87"/>
      <c r="L29" s="87"/>
    </row>
    <row r="30" spans="1:12" ht="15.6" x14ac:dyDescent="0.25">
      <c r="A30" s="28" t="str">
        <v xml:space="preserve"> Calumet City - Bank of America</v>
      </c>
      <c r="B30" s="29" t="str">
        <v>IL</v>
      </c>
      <c r="C30" s="24">
        <v>1801.3</v>
      </c>
      <c r="D30" s="13" t="s">
        <v>22</v>
      </c>
      <c r="E30" s="13" t="str">
        <f t="shared" si="4"/>
        <v/>
      </c>
      <c r="F30" s="14" t="str">
        <f t="shared" si="5"/>
        <v/>
      </c>
      <c r="G30" s="15" t="s">
        <v>22</v>
      </c>
      <c r="H30" s="15" t="str">
        <f t="shared" si="6"/>
        <v/>
      </c>
      <c r="I30" s="16" t="str">
        <f t="shared" si="7"/>
        <v/>
      </c>
      <c r="J30" s="78"/>
      <c r="K30" s="78"/>
      <c r="L30" s="78"/>
    </row>
    <row r="31" spans="1:12" ht="15.6" x14ac:dyDescent="0.25">
      <c r="A31" s="30" t="str">
        <v xml:space="preserve"> Downers Grove - Bank of America</v>
      </c>
      <c r="B31" s="31" t="str">
        <v>IL</v>
      </c>
      <c r="C31" s="11">
        <v>2055.1</v>
      </c>
      <c r="D31" s="18" t="s">
        <v>22</v>
      </c>
      <c r="E31" s="18" t="str">
        <f t="shared" si="4"/>
        <v/>
      </c>
      <c r="F31" s="19" t="str">
        <f t="shared" si="5"/>
        <v/>
      </c>
      <c r="G31" s="20" t="s">
        <v>22</v>
      </c>
      <c r="H31" s="20" t="str">
        <f t="shared" si="6"/>
        <v/>
      </c>
      <c r="I31" s="19" t="str">
        <f t="shared" si="7"/>
        <v/>
      </c>
      <c r="J31" s="87"/>
      <c r="K31" s="87"/>
      <c r="L31" s="87"/>
    </row>
    <row r="32" spans="1:12" ht="15.6" x14ac:dyDescent="0.25">
      <c r="A32" s="28" t="str">
        <v xml:space="preserve"> Bloomington - Bank of America</v>
      </c>
      <c r="B32" s="29" t="str">
        <v>MN</v>
      </c>
      <c r="C32" s="24">
        <v>297.86</v>
      </c>
      <c r="D32" s="13" t="s">
        <v>22</v>
      </c>
      <c r="E32" s="13" t="str">
        <f t="shared" si="4"/>
        <v/>
      </c>
      <c r="F32" s="14" t="str">
        <f t="shared" si="5"/>
        <v/>
      </c>
      <c r="G32" s="15" t="s">
        <v>22</v>
      </c>
      <c r="H32" s="15" t="str">
        <f t="shared" si="6"/>
        <v/>
      </c>
      <c r="I32" s="16" t="str">
        <f t="shared" si="7"/>
        <v/>
      </c>
      <c r="J32" s="78"/>
      <c r="K32" s="78"/>
      <c r="L32" s="78"/>
    </row>
    <row r="33" spans="1:12" ht="15.6" x14ac:dyDescent="0.25">
      <c r="A33" s="30" t="str">
        <v xml:space="preserve"> Clayton - Bank of America</v>
      </c>
      <c r="B33" s="31" t="str">
        <v>MO</v>
      </c>
      <c r="C33" s="11">
        <v>1652.7180000000001</v>
      </c>
      <c r="D33" s="18" t="s">
        <v>22</v>
      </c>
      <c r="E33" s="18" t="str">
        <f t="shared" si="4"/>
        <v/>
      </c>
      <c r="F33" s="19" t="str">
        <f t="shared" si="5"/>
        <v/>
      </c>
      <c r="G33" s="20" t="s">
        <v>22</v>
      </c>
      <c r="H33" s="20" t="str">
        <f t="shared" si="6"/>
        <v/>
      </c>
      <c r="I33" s="19" t="str">
        <f t="shared" si="7"/>
        <v/>
      </c>
      <c r="J33" s="87"/>
      <c r="K33" s="87"/>
      <c r="L33" s="87"/>
    </row>
    <row r="34" spans="1:12" ht="15.6" x14ac:dyDescent="0.25">
      <c r="A34" s="28" t="str">
        <v xml:space="preserve"> Manchester - Bank of America</v>
      </c>
      <c r="B34" s="29" t="str">
        <v>MO</v>
      </c>
      <c r="C34" s="24">
        <v>1287.1600000000001</v>
      </c>
      <c r="D34" s="13" t="s">
        <v>22</v>
      </c>
      <c r="E34" s="13" t="str">
        <f t="shared" si="4"/>
        <v/>
      </c>
      <c r="F34" s="14" t="str">
        <f t="shared" si="5"/>
        <v/>
      </c>
      <c r="G34" s="15" t="s">
        <v>22</v>
      </c>
      <c r="H34" s="15" t="str">
        <f t="shared" si="6"/>
        <v/>
      </c>
      <c r="I34" s="16" t="str">
        <f t="shared" si="7"/>
        <v/>
      </c>
      <c r="J34" s="78"/>
      <c r="K34" s="78"/>
      <c r="L34" s="78"/>
    </row>
    <row r="35" spans="1:12" ht="15.6" x14ac:dyDescent="0.25">
      <c r="A35" s="30" t="str">
        <v xml:space="preserve"> Las Vegas - BA - Eastern Ave</v>
      </c>
      <c r="B35" s="31" t="str">
        <v>NV</v>
      </c>
      <c r="C35" s="11">
        <v>45.2</v>
      </c>
      <c r="D35" s="18" t="s">
        <v>22</v>
      </c>
      <c r="E35" s="18" t="str">
        <f t="shared" si="4"/>
        <v/>
      </c>
      <c r="F35" s="19" t="str">
        <f t="shared" si="5"/>
        <v/>
      </c>
      <c r="G35" s="20" t="s">
        <v>22</v>
      </c>
      <c r="H35" s="20" t="str">
        <f t="shared" si="6"/>
        <v/>
      </c>
      <c r="I35" s="19" t="str">
        <f t="shared" si="7"/>
        <v/>
      </c>
      <c r="J35" s="87"/>
      <c r="K35" s="87"/>
      <c r="L35" s="87"/>
    </row>
    <row r="36" spans="1:12" ht="15.6" x14ac:dyDescent="0.25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4"/>
        <v/>
      </c>
      <c r="F36" s="14" t="str">
        <f t="shared" si="5"/>
        <v/>
      </c>
      <c r="G36" s="15" t="s">
        <v>22</v>
      </c>
      <c r="H36" s="15" t="str">
        <f t="shared" si="6"/>
        <v/>
      </c>
      <c r="I36" s="16" t="str">
        <f t="shared" si="7"/>
        <v/>
      </c>
      <c r="J36" s="78"/>
      <c r="K36" s="78"/>
      <c r="L36" s="78"/>
    </row>
    <row r="37" spans="1:12" ht="15.6" x14ac:dyDescent="0.25">
      <c r="A37" s="30" t="str">
        <v xml:space="preserve"> Riverton - Bank of America</v>
      </c>
      <c r="B37" s="31" t="str">
        <v>UT</v>
      </c>
      <c r="C37" s="11">
        <v>1974.664</v>
      </c>
      <c r="D37" s="18" t="s">
        <v>22</v>
      </c>
      <c r="E37" s="18" t="str">
        <f t="shared" si="4"/>
        <v/>
      </c>
      <c r="F37" s="19" t="str">
        <f t="shared" si="5"/>
        <v/>
      </c>
      <c r="G37" s="20" t="s">
        <v>22</v>
      </c>
      <c r="H37" s="20" t="str">
        <f t="shared" si="6"/>
        <v/>
      </c>
      <c r="I37" s="19" t="str">
        <f t="shared" si="7"/>
        <v/>
      </c>
      <c r="J37" s="87"/>
      <c r="K37" s="87"/>
      <c r="L37" s="87"/>
    </row>
    <row r="38" spans="1:12" ht="15.6" x14ac:dyDescent="0.25">
      <c r="A38" s="28" t="str">
        <v xml:space="preserve"> Salt Lake City - Bank of America</v>
      </c>
      <c r="B38" s="29" t="str">
        <v>UT</v>
      </c>
      <c r="C38" s="24">
        <v>66.715000000000003</v>
      </c>
      <c r="D38" s="13" t="s">
        <v>22</v>
      </c>
      <c r="E38" s="13" t="str">
        <f t="shared" si="4"/>
        <v/>
      </c>
      <c r="F38" s="14" t="str">
        <f t="shared" si="5"/>
        <v/>
      </c>
      <c r="G38" s="15" t="s">
        <v>22</v>
      </c>
      <c r="H38" s="15" t="str">
        <f t="shared" si="6"/>
        <v/>
      </c>
      <c r="I38" s="16" t="str">
        <f t="shared" si="7"/>
        <v/>
      </c>
      <c r="J38" s="78"/>
      <c r="K38" s="78"/>
      <c r="L38" s="78"/>
    </row>
    <row r="39" spans="1:12" x14ac:dyDescent="0.3">
      <c r="A39" s="21"/>
      <c r="B39" s="33"/>
      <c r="C39" s="21"/>
      <c r="D39" s="21"/>
      <c r="E39" s="21"/>
      <c r="F39" s="22"/>
      <c r="G39" s="20"/>
      <c r="H39" s="21"/>
      <c r="I39" s="22"/>
    </row>
    <row r="40" spans="1:12" x14ac:dyDescent="0.3">
      <c r="A40" s="21"/>
      <c r="B40" s="33"/>
      <c r="C40" s="21"/>
      <c r="D40" s="21"/>
      <c r="E40" s="21"/>
      <c r="F40" s="22"/>
      <c r="G40" s="21"/>
      <c r="H40" s="21"/>
      <c r="I40" s="22"/>
    </row>
    <row r="41" spans="1:12" x14ac:dyDescent="0.3">
      <c r="A41" s="21"/>
      <c r="B41" s="33"/>
      <c r="C41" s="21"/>
      <c r="D41" s="21"/>
      <c r="E41" s="21"/>
      <c r="F41" s="22"/>
      <c r="G41" s="21"/>
      <c r="H41" s="21"/>
      <c r="I41" s="22"/>
    </row>
    <row r="42" spans="1:12" x14ac:dyDescent="0.3">
      <c r="A42" s="21"/>
      <c r="B42" s="33"/>
      <c r="C42" s="21"/>
      <c r="D42" s="21"/>
      <c r="E42" s="21"/>
      <c r="F42" s="22"/>
      <c r="G42" s="21"/>
      <c r="H42" s="21"/>
      <c r="I42" s="22"/>
    </row>
    <row r="43" spans="1:12" x14ac:dyDescent="0.3">
      <c r="A43" s="21"/>
      <c r="B43" s="33"/>
      <c r="C43" s="21"/>
      <c r="D43" s="21"/>
      <c r="E43" s="21"/>
      <c r="F43" s="22"/>
      <c r="G43" s="21"/>
      <c r="H43" s="21"/>
      <c r="I43" s="22"/>
    </row>
    <row r="44" spans="1:12" x14ac:dyDescent="0.3">
      <c r="A44" s="21"/>
      <c r="B44" s="33"/>
      <c r="C44" s="21"/>
      <c r="D44" s="21"/>
      <c r="E44" s="21"/>
      <c r="F44" s="22"/>
      <c r="G44" s="21"/>
      <c r="H44" s="21"/>
      <c r="I44" s="22"/>
    </row>
    <row r="45" spans="1:12" x14ac:dyDescent="0.3">
      <c r="A45" s="21"/>
      <c r="B45" s="33"/>
      <c r="C45" s="21"/>
      <c r="D45" s="21"/>
      <c r="E45" s="21"/>
      <c r="F45" s="22"/>
      <c r="G45" s="21"/>
      <c r="H45" s="21"/>
      <c r="I45" s="22"/>
    </row>
    <row r="46" spans="1:12" x14ac:dyDescent="0.3">
      <c r="A46" s="21"/>
      <c r="B46" s="33"/>
      <c r="C46" s="21"/>
      <c r="D46" s="21"/>
      <c r="E46" s="21"/>
      <c r="F46" s="22"/>
      <c r="G46" s="21"/>
      <c r="H46" s="21"/>
      <c r="I46" s="22"/>
    </row>
    <row r="47" spans="1:12" x14ac:dyDescent="0.3">
      <c r="A47" s="21"/>
      <c r="B47" s="33"/>
      <c r="C47" s="21"/>
      <c r="D47" s="21"/>
      <c r="E47" s="21"/>
      <c r="F47" s="22"/>
      <c r="G47" s="21"/>
      <c r="H47" s="21"/>
      <c r="I47" s="22"/>
    </row>
    <row r="48" spans="1:12" x14ac:dyDescent="0.3">
      <c r="A48" s="21"/>
      <c r="B48" s="33"/>
      <c r="C48" s="21"/>
      <c r="D48" s="21"/>
      <c r="E48" s="21"/>
      <c r="F48" s="22"/>
      <c r="G48" s="21"/>
      <c r="H48" s="21"/>
      <c r="I48" s="22"/>
    </row>
    <row r="49" spans="1:9" x14ac:dyDescent="0.3">
      <c r="A49" s="21"/>
      <c r="B49" s="33"/>
      <c r="C49" s="21"/>
      <c r="D49" s="21"/>
      <c r="E49" s="21"/>
      <c r="F49" s="22"/>
      <c r="G49" s="21"/>
      <c r="H49" s="21"/>
      <c r="I49" s="22"/>
    </row>
    <row r="50" spans="1:9" x14ac:dyDescent="0.3">
      <c r="A50" s="21"/>
      <c r="B50" s="33"/>
      <c r="C50" s="21"/>
      <c r="D50" s="21"/>
      <c r="E50" s="21"/>
      <c r="F50" s="22"/>
      <c r="G50" s="21"/>
      <c r="H50" s="21"/>
      <c r="I50" s="22"/>
    </row>
    <row r="51" spans="1:9" x14ac:dyDescent="0.3">
      <c r="A51" s="21"/>
      <c r="B51" s="33"/>
      <c r="C51" s="21"/>
      <c r="D51" s="21"/>
      <c r="E51" s="21"/>
      <c r="F51" s="22"/>
      <c r="G51" s="21"/>
      <c r="H51" s="21"/>
      <c r="I51" s="22"/>
    </row>
    <row r="52" spans="1:9" x14ac:dyDescent="0.3">
      <c r="A52" s="21"/>
      <c r="B52" s="33"/>
      <c r="C52" s="21"/>
      <c r="D52" s="21"/>
      <c r="E52" s="21"/>
      <c r="F52" s="22"/>
      <c r="G52" s="21"/>
      <c r="H52" s="21"/>
      <c r="I52" s="22"/>
    </row>
    <row r="53" spans="1:9" x14ac:dyDescent="0.3">
      <c r="A53" s="21"/>
      <c r="B53" s="33"/>
      <c r="C53" s="21"/>
      <c r="D53" s="21"/>
      <c r="E53" s="21"/>
      <c r="F53" s="22"/>
      <c r="G53" s="21"/>
      <c r="H53" s="21"/>
      <c r="I53" s="22"/>
    </row>
    <row r="54" spans="1:9" x14ac:dyDescent="0.3">
      <c r="A54" s="21"/>
      <c r="B54" s="33"/>
      <c r="C54" s="21"/>
      <c r="D54" s="21"/>
      <c r="E54" s="21"/>
      <c r="F54" s="22"/>
      <c r="G54" s="21"/>
      <c r="H54" s="21"/>
      <c r="I54" s="22"/>
    </row>
    <row r="55" spans="1:9" x14ac:dyDescent="0.3">
      <c r="A55" s="21"/>
      <c r="B55" s="33"/>
      <c r="C55" s="21"/>
      <c r="D55" s="21"/>
      <c r="E55" s="21"/>
      <c r="F55" s="22"/>
      <c r="G55" s="21"/>
      <c r="H55" s="21"/>
      <c r="I55" s="22"/>
    </row>
    <row r="56" spans="1:9" x14ac:dyDescent="0.3">
      <c r="A56" s="21"/>
      <c r="B56" s="33"/>
      <c r="C56" s="21"/>
      <c r="D56" s="21"/>
      <c r="E56" s="21"/>
      <c r="F56" s="22"/>
      <c r="G56" s="21"/>
      <c r="H56" s="21"/>
      <c r="I56" s="22"/>
    </row>
    <row r="57" spans="1:9" x14ac:dyDescent="0.3">
      <c r="A57" s="21"/>
      <c r="B57" s="33"/>
      <c r="C57" s="21"/>
      <c r="D57" s="21"/>
      <c r="E57" s="21"/>
      <c r="F57" s="22"/>
      <c r="G57" s="21"/>
      <c r="H57" s="21"/>
      <c r="I57" s="22"/>
    </row>
    <row r="58" spans="1:9" x14ac:dyDescent="0.3">
      <c r="A58" s="21"/>
      <c r="B58" s="33"/>
      <c r="C58" s="21"/>
      <c r="D58" s="21"/>
      <c r="E58" s="21"/>
      <c r="F58" s="22"/>
      <c r="G58" s="21"/>
      <c r="H58" s="21"/>
      <c r="I58" s="22"/>
    </row>
    <row r="59" spans="1:9" x14ac:dyDescent="0.3">
      <c r="A59" s="21"/>
      <c r="B59" s="33"/>
      <c r="C59" s="21"/>
      <c r="D59" s="21"/>
      <c r="E59" s="21"/>
      <c r="F59" s="22"/>
      <c r="G59" s="21"/>
      <c r="H59" s="21"/>
      <c r="I59" s="22"/>
    </row>
    <row r="60" spans="1:9" x14ac:dyDescent="0.3">
      <c r="A60" s="21"/>
      <c r="B60" s="33"/>
      <c r="C60" s="21"/>
      <c r="D60" s="21"/>
      <c r="E60" s="21"/>
      <c r="F60" s="22"/>
      <c r="G60" s="21"/>
      <c r="H60" s="21"/>
      <c r="I60" s="22"/>
    </row>
    <row r="61" spans="1:9" x14ac:dyDescent="0.3">
      <c r="A61" s="21"/>
      <c r="B61" s="33"/>
      <c r="C61" s="21"/>
      <c r="D61" s="21"/>
      <c r="E61" s="21"/>
      <c r="F61" s="22"/>
      <c r="G61" s="21"/>
      <c r="H61" s="21"/>
      <c r="I61" s="22"/>
    </row>
    <row r="62" spans="1:9" x14ac:dyDescent="0.3">
      <c r="A62" s="21"/>
      <c r="B62" s="33"/>
      <c r="C62" s="21"/>
      <c r="D62" s="21"/>
      <c r="E62" s="21"/>
      <c r="F62" s="22"/>
      <c r="G62" s="21"/>
      <c r="H62" s="21"/>
      <c r="I62" s="22"/>
    </row>
    <row r="63" spans="1:9" x14ac:dyDescent="0.3">
      <c r="A63" s="21"/>
      <c r="B63" s="33"/>
      <c r="C63" s="21"/>
      <c r="D63" s="21"/>
      <c r="E63" s="21"/>
      <c r="F63" s="22"/>
      <c r="G63" s="21"/>
      <c r="H63" s="21"/>
      <c r="I63" s="22"/>
    </row>
    <row r="64" spans="1:9" x14ac:dyDescent="0.3">
      <c r="A64" s="21"/>
      <c r="B64" s="33"/>
      <c r="C64" s="21"/>
      <c r="D64" s="21"/>
      <c r="E64" s="21"/>
      <c r="F64" s="22"/>
      <c r="G64" s="21"/>
      <c r="H64" s="21"/>
      <c r="I64" s="22"/>
    </row>
    <row r="65" spans="1:9" x14ac:dyDescent="0.3">
      <c r="A65" s="21"/>
      <c r="B65" s="33"/>
      <c r="C65" s="21"/>
      <c r="D65" s="21"/>
      <c r="E65" s="21"/>
      <c r="F65" s="22"/>
      <c r="G65" s="21"/>
      <c r="H65" s="21"/>
      <c r="I65" s="22"/>
    </row>
    <row r="66" spans="1:9" x14ac:dyDescent="0.3">
      <c r="A66" s="21"/>
      <c r="B66" s="33"/>
      <c r="C66" s="21"/>
      <c r="D66" s="21"/>
      <c r="E66" s="21"/>
      <c r="F66" s="22"/>
      <c r="G66" s="21"/>
      <c r="H66" s="21"/>
      <c r="I66" s="22"/>
    </row>
    <row r="67" spans="1:9" x14ac:dyDescent="0.3">
      <c r="A67" s="21"/>
      <c r="B67" s="33"/>
      <c r="C67" s="21"/>
      <c r="D67" s="21"/>
      <c r="E67" s="21"/>
      <c r="F67" s="22"/>
      <c r="G67" s="21"/>
      <c r="H67" s="21"/>
      <c r="I67" s="22"/>
    </row>
    <row r="68" spans="1:9" x14ac:dyDescent="0.3">
      <c r="A68" s="21"/>
      <c r="B68" s="33"/>
      <c r="C68" s="21"/>
      <c r="D68" s="21"/>
      <c r="E68" s="21"/>
      <c r="F68" s="22"/>
      <c r="G68" s="21"/>
      <c r="H68" s="21"/>
      <c r="I68" s="22"/>
    </row>
    <row r="69" spans="1:9" x14ac:dyDescent="0.3">
      <c r="A69" s="21"/>
      <c r="B69" s="33"/>
      <c r="C69" s="21"/>
      <c r="D69" s="21"/>
      <c r="E69" s="21"/>
      <c r="F69" s="22"/>
      <c r="G69" s="21"/>
      <c r="H69" s="21"/>
      <c r="I69" s="22"/>
    </row>
    <row r="70" spans="1:9" x14ac:dyDescent="0.3">
      <c r="A70" s="21"/>
      <c r="B70" s="33"/>
      <c r="C70" s="21"/>
      <c r="D70" s="21"/>
      <c r="E70" s="21"/>
      <c r="F70" s="22"/>
      <c r="G70" s="21"/>
      <c r="H70" s="21"/>
      <c r="I70" s="22"/>
    </row>
    <row r="71" spans="1:9" x14ac:dyDescent="0.3">
      <c r="A71" s="21"/>
      <c r="B71" s="33"/>
      <c r="C71" s="21"/>
      <c r="D71" s="21"/>
      <c r="E71" s="21"/>
      <c r="F71" s="22"/>
      <c r="G71" s="21"/>
      <c r="H71" s="21"/>
      <c r="I71" s="22"/>
    </row>
    <row r="72" spans="1:9" x14ac:dyDescent="0.3">
      <c r="A72" s="21"/>
      <c r="B72" s="33"/>
      <c r="C72" s="21"/>
      <c r="D72" s="21"/>
      <c r="E72" s="21"/>
      <c r="F72" s="22"/>
      <c r="G72" s="21"/>
      <c r="H72" s="21"/>
      <c r="I72" s="22"/>
    </row>
    <row r="73" spans="1:9" x14ac:dyDescent="0.3">
      <c r="A73" s="21"/>
      <c r="B73" s="33"/>
      <c r="C73" s="21"/>
      <c r="D73" s="21"/>
      <c r="E73" s="21"/>
      <c r="F73" s="22"/>
      <c r="G73" s="21"/>
      <c r="H73" s="21"/>
      <c r="I73" s="22"/>
    </row>
    <row r="74" spans="1:9" x14ac:dyDescent="0.3">
      <c r="A74" s="21"/>
      <c r="B74" s="33"/>
      <c r="C74" s="21"/>
      <c r="D74" s="21"/>
      <c r="E74" s="21"/>
      <c r="F74" s="22"/>
      <c r="G74" s="21"/>
      <c r="H74" s="21"/>
      <c r="I74" s="22"/>
    </row>
    <row r="75" spans="1:9" x14ac:dyDescent="0.3">
      <c r="A75" s="21"/>
      <c r="B75" s="33"/>
      <c r="C75" s="21"/>
      <c r="D75" s="21"/>
      <c r="E75" s="21"/>
      <c r="F75" s="22"/>
      <c r="G75" s="21"/>
      <c r="H75" s="21"/>
      <c r="I75" s="22"/>
    </row>
    <row r="76" spans="1:9" x14ac:dyDescent="0.3">
      <c r="A76" s="21"/>
      <c r="B76" s="33"/>
      <c r="C76" s="21"/>
      <c r="D76" s="21"/>
      <c r="E76" s="21"/>
      <c r="F76" s="22"/>
      <c r="G76" s="21"/>
      <c r="H76" s="21"/>
      <c r="I76" s="22"/>
    </row>
    <row r="77" spans="1:9" x14ac:dyDescent="0.3">
      <c r="A77" s="21"/>
      <c r="B77" s="33"/>
      <c r="C77" s="21"/>
      <c r="D77" s="21"/>
      <c r="E77" s="21"/>
      <c r="F77" s="22"/>
      <c r="G77" s="21"/>
      <c r="H77" s="21"/>
      <c r="I77" s="22"/>
    </row>
    <row r="78" spans="1:9" x14ac:dyDescent="0.3">
      <c r="A78" s="21"/>
      <c r="B78" s="33"/>
      <c r="C78" s="21"/>
      <c r="D78" s="21"/>
      <c r="E78" s="21"/>
      <c r="F78" s="22"/>
      <c r="G78" s="21"/>
      <c r="H78" s="21"/>
      <c r="I78" s="22"/>
    </row>
    <row r="79" spans="1:9" x14ac:dyDescent="0.3">
      <c r="A79" s="21"/>
      <c r="B79" s="33"/>
      <c r="C79" s="21"/>
      <c r="D79" s="21"/>
      <c r="E79" s="21"/>
      <c r="F79" s="22"/>
      <c r="G79" s="21"/>
      <c r="H79" s="21"/>
      <c r="I79" s="22"/>
    </row>
    <row r="80" spans="1:9" x14ac:dyDescent="0.3">
      <c r="A80" s="21"/>
      <c r="B80" s="33"/>
      <c r="C80" s="21"/>
      <c r="D80" s="21"/>
      <c r="E80" s="21"/>
      <c r="F80" s="22"/>
      <c r="G80" s="21"/>
      <c r="H80" s="21"/>
      <c r="I80" s="22"/>
    </row>
    <row r="81" spans="1:9" x14ac:dyDescent="0.3">
      <c r="A81" s="21"/>
      <c r="B81" s="33"/>
      <c r="C81" s="21"/>
      <c r="D81" s="21"/>
      <c r="E81" s="21"/>
      <c r="F81" s="22"/>
      <c r="G81" s="21"/>
      <c r="H81" s="21"/>
      <c r="I81" s="22"/>
    </row>
    <row r="82" spans="1:9" x14ac:dyDescent="0.3">
      <c r="A82" s="21"/>
      <c r="B82" s="33"/>
      <c r="C82" s="21"/>
      <c r="D82" s="21"/>
      <c r="E82" s="21"/>
      <c r="F82" s="22"/>
      <c r="G82" s="21"/>
      <c r="H82" s="21"/>
      <c r="I82" s="22"/>
    </row>
    <row r="83" spans="1:9" x14ac:dyDescent="0.3">
      <c r="A83" s="21"/>
      <c r="B83" s="33"/>
      <c r="C83" s="21"/>
      <c r="D83" s="21"/>
      <c r="E83" s="21"/>
      <c r="F83" s="22"/>
      <c r="G83" s="21"/>
      <c r="H83" s="21"/>
      <c r="I83" s="22"/>
    </row>
    <row r="84" spans="1:9" x14ac:dyDescent="0.3">
      <c r="A84" s="21"/>
      <c r="B84" s="33"/>
      <c r="C84" s="21"/>
      <c r="D84" s="21"/>
      <c r="E84" s="21"/>
      <c r="F84" s="22"/>
      <c r="G84" s="21"/>
      <c r="H84" s="21"/>
      <c r="I84" s="22"/>
    </row>
    <row r="85" spans="1:9" x14ac:dyDescent="0.3">
      <c r="A85" s="21"/>
      <c r="B85" s="33"/>
      <c r="C85" s="21"/>
      <c r="D85" s="21"/>
      <c r="E85" s="21"/>
      <c r="F85" s="22"/>
      <c r="G85" s="21"/>
      <c r="H85" s="21"/>
      <c r="I85" s="22"/>
    </row>
    <row r="86" spans="1:9" x14ac:dyDescent="0.3">
      <c r="A86" s="21"/>
      <c r="B86" s="33"/>
      <c r="C86" s="21"/>
      <c r="D86" s="21"/>
      <c r="E86" s="21"/>
      <c r="F86" s="22"/>
      <c r="G86" s="21"/>
      <c r="H86" s="21"/>
      <c r="I86" s="22"/>
    </row>
    <row r="87" spans="1:9" x14ac:dyDescent="0.3">
      <c r="A87" s="21"/>
      <c r="B87" s="33"/>
      <c r="C87" s="21"/>
      <c r="D87" s="21"/>
      <c r="E87" s="21"/>
      <c r="F87" s="22"/>
      <c r="G87" s="21"/>
      <c r="H87" s="21"/>
      <c r="I87" s="22"/>
    </row>
    <row r="88" spans="1:9" x14ac:dyDescent="0.3">
      <c r="A88" s="21"/>
      <c r="B88" s="33"/>
      <c r="C88" s="21"/>
      <c r="D88" s="21"/>
      <c r="E88" s="21"/>
      <c r="F88" s="22"/>
      <c r="G88" s="21"/>
      <c r="H88" s="21"/>
      <c r="I88" s="22"/>
    </row>
    <row r="89" spans="1:9" x14ac:dyDescent="0.3">
      <c r="A89" s="21"/>
      <c r="B89" s="33"/>
      <c r="C89" s="21"/>
      <c r="D89" s="21"/>
      <c r="E89" s="21"/>
      <c r="F89" s="22"/>
      <c r="G89" s="21"/>
      <c r="H89" s="21"/>
      <c r="I89" s="22"/>
    </row>
    <row r="90" spans="1:9" x14ac:dyDescent="0.3">
      <c r="A90" s="21"/>
      <c r="B90" s="33"/>
      <c r="C90" s="21"/>
      <c r="D90" s="21"/>
      <c r="E90" s="21"/>
      <c r="F90" s="22"/>
      <c r="G90" s="21"/>
      <c r="H90" s="21"/>
      <c r="I90" s="22"/>
    </row>
    <row r="91" spans="1:9" x14ac:dyDescent="0.3">
      <c r="A91" s="21"/>
      <c r="B91" s="33"/>
      <c r="C91" s="21"/>
      <c r="D91" s="21"/>
      <c r="E91" s="21"/>
      <c r="F91" s="22"/>
      <c r="G91" s="21"/>
      <c r="H91" s="21"/>
      <c r="I91" s="22"/>
    </row>
    <row r="92" spans="1:9" x14ac:dyDescent="0.3">
      <c r="A92" s="21"/>
      <c r="B92" s="33"/>
      <c r="C92" s="21"/>
      <c r="D92" s="21"/>
      <c r="E92" s="21"/>
      <c r="F92" s="22"/>
      <c r="G92" s="21"/>
      <c r="H92" s="21"/>
      <c r="I92" s="22"/>
    </row>
    <row r="93" spans="1:9" x14ac:dyDescent="0.3">
      <c r="A93" s="21"/>
      <c r="B93" s="33"/>
      <c r="C93" s="21"/>
      <c r="D93" s="21"/>
      <c r="E93" s="21"/>
      <c r="F93" s="22"/>
      <c r="G93" s="21"/>
      <c r="H93" s="21"/>
      <c r="I93" s="22"/>
    </row>
    <row r="94" spans="1:9" x14ac:dyDescent="0.3">
      <c r="A94" s="21"/>
      <c r="B94" s="33"/>
      <c r="C94" s="21"/>
      <c r="D94" s="21"/>
      <c r="E94" s="21"/>
      <c r="F94" s="22"/>
      <c r="G94" s="21"/>
      <c r="H94" s="21"/>
      <c r="I94" s="22"/>
    </row>
    <row r="95" spans="1:9" x14ac:dyDescent="0.3">
      <c r="A95" s="21"/>
      <c r="B95" s="33"/>
      <c r="C95" s="21"/>
      <c r="D95" s="21"/>
      <c r="E95" s="21"/>
      <c r="F95" s="22"/>
      <c r="G95" s="21"/>
      <c r="H95" s="21"/>
      <c r="I95" s="22"/>
    </row>
    <row r="96" spans="1:9" x14ac:dyDescent="0.3">
      <c r="A96" s="21"/>
      <c r="B96" s="33"/>
      <c r="C96" s="21"/>
      <c r="D96" s="21"/>
      <c r="E96" s="21"/>
      <c r="F96" s="22"/>
      <c r="G96" s="21"/>
      <c r="H96" s="21"/>
      <c r="I96" s="22"/>
    </row>
    <row r="97" spans="1:9" x14ac:dyDescent="0.3">
      <c r="A97" s="21"/>
      <c r="B97" s="33"/>
      <c r="C97" s="21"/>
      <c r="D97" s="21"/>
      <c r="E97" s="21"/>
      <c r="F97" s="22"/>
      <c r="G97" s="21"/>
      <c r="H97" s="21"/>
      <c r="I97" s="22"/>
    </row>
    <row r="98" spans="1:9" x14ac:dyDescent="0.3">
      <c r="A98" s="21"/>
      <c r="B98" s="33"/>
      <c r="C98" s="21"/>
      <c r="D98" s="21"/>
      <c r="E98" s="21"/>
      <c r="F98" s="22"/>
      <c r="G98" s="21"/>
      <c r="H98" s="21"/>
      <c r="I98" s="22"/>
    </row>
    <row r="99" spans="1:9" x14ac:dyDescent="0.3">
      <c r="A99" s="21"/>
      <c r="B99" s="33"/>
      <c r="C99" s="21"/>
      <c r="D99" s="21"/>
      <c r="E99" s="21"/>
      <c r="F99" s="22"/>
      <c r="G99" s="21"/>
      <c r="H99" s="21"/>
      <c r="I99" s="22"/>
    </row>
    <row r="100" spans="1:9" x14ac:dyDescent="0.3">
      <c r="A100" s="21"/>
      <c r="B100" s="33"/>
      <c r="C100" s="21"/>
      <c r="D100" s="21"/>
      <c r="E100" s="21"/>
      <c r="F100" s="22"/>
      <c r="G100" s="21"/>
      <c r="H100" s="21"/>
      <c r="I100" s="22"/>
    </row>
    <row r="101" spans="1:9" x14ac:dyDescent="0.3">
      <c r="A101" s="21"/>
      <c r="B101" s="33"/>
      <c r="C101" s="21"/>
      <c r="D101" s="21"/>
      <c r="E101" s="21"/>
      <c r="F101" s="22"/>
      <c r="G101" s="21"/>
      <c r="H101" s="21"/>
      <c r="I101" s="22"/>
    </row>
    <row r="102" spans="1:9" x14ac:dyDescent="0.3">
      <c r="A102" s="21"/>
      <c r="B102" s="33"/>
      <c r="C102" s="21"/>
      <c r="D102" s="21"/>
      <c r="E102" s="21"/>
      <c r="F102" s="22"/>
      <c r="G102" s="21"/>
      <c r="H102" s="21"/>
      <c r="I102" s="22"/>
    </row>
    <row r="103" spans="1:9" x14ac:dyDescent="0.3">
      <c r="A103" s="21"/>
      <c r="B103" s="33"/>
      <c r="C103" s="21"/>
      <c r="D103" s="21"/>
      <c r="E103" s="21"/>
      <c r="F103" s="22"/>
      <c r="G103" s="21"/>
      <c r="H103" s="21"/>
      <c r="I103" s="22"/>
    </row>
    <row r="104" spans="1:9" x14ac:dyDescent="0.3">
      <c r="A104" s="21"/>
      <c r="B104" s="33"/>
      <c r="C104" s="21"/>
      <c r="D104" s="21"/>
      <c r="E104" s="21"/>
      <c r="F104" s="22"/>
      <c r="G104" s="21"/>
      <c r="H104" s="21"/>
      <c r="I104" s="22"/>
    </row>
    <row r="105" spans="1:9" x14ac:dyDescent="0.3">
      <c r="A105" s="21"/>
      <c r="B105" s="33"/>
      <c r="C105" s="21"/>
      <c r="D105" s="21"/>
      <c r="E105" s="21"/>
      <c r="F105" s="22"/>
      <c r="G105" s="21"/>
      <c r="H105" s="21"/>
      <c r="I105" s="22"/>
    </row>
    <row r="106" spans="1:9" x14ac:dyDescent="0.3">
      <c r="A106" s="21"/>
      <c r="B106" s="33"/>
      <c r="C106" s="21"/>
      <c r="D106" s="21"/>
      <c r="E106" s="21"/>
      <c r="F106" s="22"/>
      <c r="G106" s="21"/>
      <c r="H106" s="21"/>
      <c r="I106" s="22"/>
    </row>
    <row r="107" spans="1:9" x14ac:dyDescent="0.3">
      <c r="A107" s="21"/>
      <c r="B107" s="33"/>
      <c r="C107" s="21"/>
      <c r="D107" s="21"/>
      <c r="E107" s="21"/>
      <c r="F107" s="22"/>
      <c r="G107" s="21"/>
      <c r="H107" s="21"/>
      <c r="I107" s="22"/>
    </row>
    <row r="108" spans="1:9" x14ac:dyDescent="0.3">
      <c r="A108" s="21"/>
      <c r="B108" s="33"/>
      <c r="C108" s="21"/>
      <c r="D108" s="21"/>
      <c r="E108" s="21"/>
      <c r="F108" s="22"/>
      <c r="G108" s="21"/>
      <c r="H108" s="21"/>
      <c r="I108" s="22"/>
    </row>
    <row r="109" spans="1:9" x14ac:dyDescent="0.3">
      <c r="A109" s="21"/>
      <c r="B109" s="33"/>
      <c r="C109" s="21"/>
      <c r="D109" s="21"/>
      <c r="E109" s="21"/>
      <c r="F109" s="22"/>
      <c r="G109" s="21"/>
      <c r="H109" s="21"/>
      <c r="I109" s="22"/>
    </row>
    <row r="110" spans="1:9" x14ac:dyDescent="0.3">
      <c r="A110" s="21"/>
      <c r="B110" s="33"/>
      <c r="C110" s="21"/>
      <c r="D110" s="21"/>
      <c r="E110" s="21"/>
      <c r="F110" s="22"/>
      <c r="G110" s="21"/>
      <c r="H110" s="21"/>
      <c r="I110" s="22"/>
    </row>
    <row r="111" spans="1:9" x14ac:dyDescent="0.3">
      <c r="A111" s="21"/>
      <c r="B111" s="33"/>
      <c r="C111" s="21"/>
      <c r="D111" s="21"/>
      <c r="E111" s="21"/>
      <c r="F111" s="22"/>
      <c r="G111" s="21"/>
      <c r="H111" s="21"/>
      <c r="I111" s="22"/>
    </row>
    <row r="112" spans="1:9" x14ac:dyDescent="0.3">
      <c r="A112" s="21"/>
      <c r="B112" s="33"/>
      <c r="C112" s="21"/>
      <c r="D112" s="21"/>
      <c r="E112" s="21"/>
      <c r="F112" s="22"/>
      <c r="G112" s="21"/>
      <c r="H112" s="21"/>
      <c r="I112" s="22"/>
    </row>
    <row r="113" spans="1:9" x14ac:dyDescent="0.3">
      <c r="A113" s="21"/>
      <c r="B113" s="33"/>
      <c r="C113" s="21"/>
      <c r="D113" s="21"/>
      <c r="E113" s="21"/>
      <c r="F113" s="22"/>
      <c r="G113" s="21"/>
      <c r="H113" s="21"/>
      <c r="I113" s="22"/>
    </row>
    <row r="114" spans="1:9" x14ac:dyDescent="0.3">
      <c r="A114" s="21"/>
      <c r="B114" s="33"/>
      <c r="C114" s="21"/>
      <c r="D114" s="21"/>
      <c r="E114" s="21"/>
      <c r="F114" s="22"/>
      <c r="G114" s="21"/>
      <c r="H114" s="21"/>
      <c r="I114" s="22"/>
    </row>
    <row r="115" spans="1:9" x14ac:dyDescent="0.3">
      <c r="A115" s="21"/>
      <c r="B115" s="33"/>
      <c r="C115" s="21"/>
      <c r="D115" s="21"/>
      <c r="E115" s="21"/>
      <c r="F115" s="22"/>
      <c r="G115" s="21"/>
      <c r="H115" s="21"/>
      <c r="I115" s="22"/>
    </row>
    <row r="116" spans="1:9" x14ac:dyDescent="0.3">
      <c r="A116" s="21"/>
      <c r="B116" s="33"/>
      <c r="C116" s="21"/>
      <c r="D116" s="21"/>
      <c r="E116" s="21"/>
      <c r="F116" s="22"/>
      <c r="G116" s="21"/>
      <c r="H116" s="21"/>
      <c r="I116" s="22"/>
    </row>
    <row r="117" spans="1:9" x14ac:dyDescent="0.3">
      <c r="A117" s="21"/>
      <c r="B117" s="33"/>
      <c r="C117" s="21"/>
      <c r="D117" s="21"/>
      <c r="E117" s="21"/>
      <c r="F117" s="22"/>
      <c r="G117" s="21"/>
      <c r="H117" s="21"/>
      <c r="I117" s="22"/>
    </row>
    <row r="118" spans="1:9" x14ac:dyDescent="0.3">
      <c r="A118" s="21"/>
      <c r="B118" s="33"/>
      <c r="C118" s="21"/>
      <c r="D118" s="21"/>
      <c r="E118" s="21"/>
      <c r="F118" s="22"/>
      <c r="G118" s="21"/>
      <c r="H118" s="21"/>
      <c r="I118" s="22"/>
    </row>
    <row r="119" spans="1:9" x14ac:dyDescent="0.3">
      <c r="A119" s="21"/>
      <c r="B119" s="33"/>
      <c r="C119" s="21"/>
      <c r="D119" s="21"/>
      <c r="E119" s="21"/>
      <c r="F119" s="22"/>
      <c r="G119" s="21"/>
      <c r="H119" s="21"/>
      <c r="I119" s="22"/>
    </row>
    <row r="120" spans="1:9" x14ac:dyDescent="0.3">
      <c r="A120" s="21"/>
      <c r="B120" s="33"/>
      <c r="C120" s="21"/>
      <c r="D120" s="21"/>
      <c r="E120" s="21"/>
      <c r="F120" s="22"/>
      <c r="G120" s="21"/>
      <c r="H120" s="21"/>
      <c r="I120" s="22"/>
    </row>
    <row r="121" spans="1:9" x14ac:dyDescent="0.3">
      <c r="A121" s="21"/>
      <c r="B121" s="33"/>
      <c r="C121" s="21"/>
      <c r="D121" s="21"/>
      <c r="E121" s="21"/>
      <c r="F121" s="22"/>
      <c r="G121" s="21"/>
      <c r="H121" s="21"/>
      <c r="I121" s="22"/>
    </row>
    <row r="122" spans="1:9" x14ac:dyDescent="0.3">
      <c r="A122" s="21"/>
      <c r="B122" s="33"/>
      <c r="C122" s="21"/>
      <c r="D122" s="21"/>
      <c r="E122" s="21"/>
      <c r="F122" s="22"/>
      <c r="G122" s="21"/>
      <c r="H122" s="21"/>
      <c r="I122" s="22"/>
    </row>
    <row r="123" spans="1:9" x14ac:dyDescent="0.3">
      <c r="A123" s="21"/>
      <c r="B123" s="33"/>
      <c r="C123" s="21"/>
      <c r="D123" s="21"/>
      <c r="E123" s="21"/>
      <c r="F123" s="22"/>
      <c r="G123" s="21"/>
      <c r="H123" s="21"/>
      <c r="I123" s="22"/>
    </row>
    <row r="124" spans="1:9" x14ac:dyDescent="0.3">
      <c r="A124" s="21"/>
      <c r="B124" s="33"/>
      <c r="C124" s="21"/>
      <c r="D124" s="21"/>
      <c r="E124" s="21"/>
      <c r="F124" s="22"/>
      <c r="G124" s="21"/>
      <c r="H124" s="21"/>
      <c r="I124" s="22"/>
    </row>
    <row r="125" spans="1:9" x14ac:dyDescent="0.3">
      <c r="A125" s="21"/>
      <c r="B125" s="33"/>
      <c r="C125" s="21"/>
      <c r="D125" s="21"/>
      <c r="E125" s="21"/>
      <c r="F125" s="22"/>
      <c r="G125" s="21"/>
      <c r="H125" s="21"/>
      <c r="I125" s="22"/>
    </row>
    <row r="126" spans="1:9" x14ac:dyDescent="0.3">
      <c r="A126" s="21"/>
      <c r="B126" s="33"/>
      <c r="C126" s="21"/>
      <c r="D126" s="21"/>
      <c r="E126" s="21"/>
      <c r="F126" s="22"/>
      <c r="G126" s="21"/>
      <c r="H126" s="21"/>
      <c r="I126" s="22"/>
    </row>
    <row r="127" spans="1:9" x14ac:dyDescent="0.3">
      <c r="A127" s="21"/>
      <c r="B127" s="33"/>
      <c r="C127" s="21"/>
      <c r="D127" s="21"/>
      <c r="E127" s="21"/>
      <c r="F127" s="22"/>
      <c r="G127" s="21"/>
      <c r="H127" s="21"/>
      <c r="I127" s="22"/>
    </row>
    <row r="128" spans="1:9" x14ac:dyDescent="0.3">
      <c r="A128" s="21"/>
      <c r="B128" s="33"/>
      <c r="C128" s="21"/>
      <c r="D128" s="21"/>
      <c r="E128" s="21"/>
      <c r="F128" s="22"/>
      <c r="G128" s="21"/>
      <c r="H128" s="21"/>
      <c r="I128" s="22"/>
    </row>
    <row r="129" spans="1:9" x14ac:dyDescent="0.3">
      <c r="A129" s="21"/>
      <c r="B129" s="33"/>
      <c r="C129" s="21"/>
      <c r="D129" s="21"/>
      <c r="E129" s="21"/>
      <c r="F129" s="22"/>
      <c r="G129" s="21"/>
      <c r="H129" s="21"/>
      <c r="I129" s="22"/>
    </row>
    <row r="130" spans="1:9" x14ac:dyDescent="0.3">
      <c r="A130" s="21"/>
      <c r="B130" s="33"/>
      <c r="C130" s="21"/>
      <c r="D130" s="21"/>
      <c r="E130" s="21"/>
      <c r="F130" s="22"/>
      <c r="G130" s="21"/>
      <c r="H130" s="21"/>
      <c r="I130" s="22"/>
    </row>
    <row r="131" spans="1:9" x14ac:dyDescent="0.3">
      <c r="A131" s="21"/>
      <c r="B131" s="33"/>
      <c r="C131" s="21"/>
      <c r="D131" s="21"/>
      <c r="E131" s="21"/>
      <c r="F131" s="22"/>
      <c r="G131" s="21"/>
      <c r="H131" s="21"/>
      <c r="I131" s="22"/>
    </row>
    <row r="132" spans="1:9" x14ac:dyDescent="0.3">
      <c r="A132" s="21"/>
      <c r="B132" s="33"/>
      <c r="C132" s="21"/>
      <c r="D132" s="21"/>
      <c r="E132" s="21"/>
      <c r="F132" s="22"/>
      <c r="G132" s="21"/>
      <c r="H132" s="21"/>
      <c r="I132" s="22"/>
    </row>
    <row r="133" spans="1:9" x14ac:dyDescent="0.3">
      <c r="A133" s="21"/>
      <c r="B133" s="33"/>
      <c r="C133" s="21"/>
      <c r="D133" s="21"/>
      <c r="E133" s="21"/>
      <c r="F133" s="22"/>
      <c r="G133" s="21"/>
      <c r="H133" s="21"/>
      <c r="I133" s="22"/>
    </row>
    <row r="134" spans="1:9" x14ac:dyDescent="0.3">
      <c r="A134" s="21"/>
      <c r="B134" s="33"/>
      <c r="C134" s="21"/>
      <c r="D134" s="21"/>
      <c r="E134" s="21"/>
      <c r="F134" s="22"/>
      <c r="G134" s="21"/>
      <c r="H134" s="21"/>
      <c r="I134" s="22"/>
    </row>
    <row r="135" spans="1:9" x14ac:dyDescent="0.3">
      <c r="A135" s="21"/>
      <c r="B135" s="33"/>
      <c r="C135" s="21"/>
      <c r="D135" s="21"/>
      <c r="E135" s="21"/>
      <c r="F135" s="22"/>
      <c r="G135" s="21"/>
      <c r="H135" s="21"/>
      <c r="I135" s="22"/>
    </row>
    <row r="136" spans="1:9" x14ac:dyDescent="0.3">
      <c r="A136" s="21"/>
      <c r="B136" s="33"/>
      <c r="C136" s="21"/>
      <c r="D136" s="21"/>
      <c r="E136" s="21"/>
      <c r="F136" s="22"/>
      <c r="G136" s="21"/>
      <c r="H136" s="21"/>
      <c r="I136" s="22"/>
    </row>
    <row r="137" spans="1:9" x14ac:dyDescent="0.3">
      <c r="A137" s="21"/>
      <c r="B137" s="33"/>
      <c r="C137" s="21"/>
      <c r="D137" s="21"/>
      <c r="E137" s="21"/>
      <c r="F137" s="22"/>
      <c r="G137" s="21"/>
      <c r="H137" s="21"/>
      <c r="I137" s="22"/>
    </row>
    <row r="138" spans="1:9" x14ac:dyDescent="0.3">
      <c r="A138" s="21"/>
      <c r="B138" s="33"/>
      <c r="C138" s="21"/>
      <c r="D138" s="21"/>
      <c r="E138" s="21"/>
      <c r="F138" s="22"/>
      <c r="G138" s="21"/>
      <c r="H138" s="21"/>
      <c r="I138" s="22"/>
    </row>
    <row r="139" spans="1:9" x14ac:dyDescent="0.3">
      <c r="A139" s="21"/>
      <c r="B139" s="33"/>
      <c r="C139" s="21"/>
      <c r="D139" s="21"/>
      <c r="E139" s="21"/>
      <c r="F139" s="22"/>
      <c r="G139" s="21"/>
      <c r="H139" s="21"/>
      <c r="I139" s="22"/>
    </row>
    <row r="140" spans="1:9" x14ac:dyDescent="0.3">
      <c r="A140" s="21"/>
      <c r="B140" s="33"/>
      <c r="C140" s="21"/>
      <c r="D140" s="21"/>
      <c r="E140" s="21"/>
      <c r="F140" s="22"/>
      <c r="G140" s="21"/>
      <c r="H140" s="21"/>
      <c r="I140" s="22"/>
    </row>
    <row r="141" spans="1:9" x14ac:dyDescent="0.3">
      <c r="A141" s="21"/>
      <c r="B141" s="33"/>
      <c r="C141" s="21"/>
      <c r="D141" s="21"/>
      <c r="E141" s="21"/>
      <c r="F141" s="22"/>
      <c r="G141" s="21"/>
      <c r="H141" s="21"/>
      <c r="I141" s="22"/>
    </row>
    <row r="142" spans="1:9" x14ac:dyDescent="0.3">
      <c r="A142" s="21"/>
      <c r="B142" s="33"/>
      <c r="C142" s="21"/>
      <c r="D142" s="21"/>
      <c r="E142" s="21"/>
      <c r="F142" s="22"/>
      <c r="G142" s="21"/>
      <c r="H142" s="21"/>
      <c r="I142" s="22"/>
    </row>
    <row r="143" spans="1:9" x14ac:dyDescent="0.3">
      <c r="A143" s="21"/>
      <c r="B143" s="33"/>
      <c r="C143" s="21"/>
      <c r="D143" s="21"/>
      <c r="E143" s="21"/>
      <c r="F143" s="22"/>
      <c r="G143" s="21"/>
      <c r="H143" s="21"/>
      <c r="I143" s="22"/>
    </row>
    <row r="144" spans="1:9" x14ac:dyDescent="0.3">
      <c r="A144" s="21"/>
      <c r="B144" s="33"/>
      <c r="C144" s="21"/>
      <c r="D144" s="21"/>
      <c r="E144" s="21"/>
      <c r="F144" s="22"/>
      <c r="G144" s="21"/>
      <c r="H144" s="21"/>
      <c r="I144" s="22"/>
    </row>
    <row r="145" spans="1:9" x14ac:dyDescent="0.3">
      <c r="A145" s="21"/>
      <c r="B145" s="33"/>
      <c r="C145" s="21"/>
      <c r="D145" s="21"/>
      <c r="E145" s="21"/>
      <c r="F145" s="22"/>
      <c r="G145" s="21"/>
      <c r="H145" s="21"/>
      <c r="I145" s="22"/>
    </row>
    <row r="146" spans="1:9" x14ac:dyDescent="0.3">
      <c r="A146" s="21"/>
      <c r="B146" s="33"/>
      <c r="C146" s="21"/>
      <c r="D146" s="21"/>
      <c r="E146" s="21"/>
      <c r="F146" s="22"/>
      <c r="G146" s="21"/>
      <c r="H146" s="21"/>
      <c r="I146" s="22"/>
    </row>
    <row r="147" spans="1:9" x14ac:dyDescent="0.3">
      <c r="A147" s="21"/>
      <c r="B147" s="33"/>
      <c r="C147" s="21"/>
      <c r="D147" s="21"/>
      <c r="E147" s="21"/>
      <c r="F147" s="22"/>
      <c r="G147" s="21"/>
      <c r="H147" s="21"/>
      <c r="I147" s="22"/>
    </row>
    <row r="148" spans="1:9" x14ac:dyDescent="0.3">
      <c r="A148" s="21"/>
      <c r="B148" s="33"/>
      <c r="C148" s="21"/>
      <c r="D148" s="21"/>
      <c r="E148" s="21"/>
      <c r="F148" s="22"/>
      <c r="G148" s="21"/>
      <c r="H148" s="21"/>
      <c r="I148" s="22"/>
    </row>
    <row r="149" spans="1:9" x14ac:dyDescent="0.3">
      <c r="A149" s="21"/>
      <c r="B149" s="33"/>
      <c r="C149" s="21"/>
      <c r="D149" s="21"/>
      <c r="E149" s="21"/>
      <c r="F149" s="22"/>
      <c r="G149" s="21"/>
      <c r="H149" s="21"/>
      <c r="I149" s="22"/>
    </row>
    <row r="150" spans="1:9" x14ac:dyDescent="0.3">
      <c r="A150" s="21"/>
      <c r="B150" s="33"/>
      <c r="C150" s="21"/>
      <c r="D150" s="21"/>
      <c r="E150" s="21"/>
      <c r="F150" s="22"/>
      <c r="G150" s="21"/>
      <c r="H150" s="21"/>
      <c r="I150" s="22"/>
    </row>
    <row r="151" spans="1:9" x14ac:dyDescent="0.3">
      <c r="A151" s="21"/>
      <c r="B151" s="33"/>
      <c r="C151" s="21"/>
      <c r="D151" s="21"/>
      <c r="E151" s="21"/>
      <c r="F151" s="22"/>
      <c r="G151" s="21"/>
      <c r="H151" s="21"/>
      <c r="I151" s="22"/>
    </row>
    <row r="152" spans="1:9" x14ac:dyDescent="0.3">
      <c r="A152" s="21"/>
      <c r="B152" s="33"/>
      <c r="C152" s="21"/>
      <c r="D152" s="21"/>
      <c r="E152" s="21"/>
      <c r="F152" s="22"/>
      <c r="G152" s="21"/>
      <c r="H152" s="21"/>
      <c r="I152" s="22"/>
    </row>
    <row r="153" spans="1:9" x14ac:dyDescent="0.3">
      <c r="A153" s="21"/>
      <c r="B153" s="33"/>
      <c r="C153" s="21"/>
      <c r="D153" s="21"/>
      <c r="E153" s="21"/>
      <c r="F153" s="22"/>
      <c r="G153" s="21"/>
      <c r="H153" s="21"/>
      <c r="I153" s="22"/>
    </row>
    <row r="154" spans="1:9" x14ac:dyDescent="0.3">
      <c r="A154" s="21"/>
      <c r="B154" s="33"/>
      <c r="C154" s="21"/>
      <c r="D154" s="21"/>
      <c r="E154" s="21"/>
      <c r="F154" s="22"/>
      <c r="G154" s="21"/>
      <c r="H154" s="21"/>
      <c r="I154" s="22"/>
    </row>
    <row r="155" spans="1:9" x14ac:dyDescent="0.3">
      <c r="A155" s="21"/>
      <c r="B155" s="33"/>
      <c r="C155" s="21"/>
      <c r="D155" s="21"/>
      <c r="E155" s="21"/>
      <c r="F155" s="22"/>
      <c r="G155" s="21"/>
      <c r="H155" s="21"/>
      <c r="I155" s="22"/>
    </row>
    <row r="156" spans="1:9" x14ac:dyDescent="0.3">
      <c r="A156" s="21"/>
      <c r="B156" s="33"/>
      <c r="C156" s="21"/>
      <c r="D156" s="21"/>
      <c r="E156" s="21"/>
      <c r="F156" s="22"/>
      <c r="G156" s="21"/>
      <c r="H156" s="21"/>
      <c r="I156" s="22"/>
    </row>
    <row r="157" spans="1:9" x14ac:dyDescent="0.3">
      <c r="A157" s="21"/>
      <c r="B157" s="33"/>
      <c r="C157" s="21"/>
      <c r="D157" s="21"/>
      <c r="E157" s="21"/>
      <c r="F157" s="22"/>
      <c r="G157" s="21"/>
      <c r="H157" s="21"/>
      <c r="I157" s="22"/>
    </row>
    <row r="158" spans="1:9" x14ac:dyDescent="0.3">
      <c r="A158" s="21"/>
      <c r="B158" s="33"/>
      <c r="C158" s="21"/>
      <c r="D158" s="21"/>
      <c r="E158" s="21"/>
      <c r="F158" s="22"/>
      <c r="G158" s="21"/>
      <c r="H158" s="21"/>
      <c r="I158" s="22"/>
    </row>
    <row r="159" spans="1:9" x14ac:dyDescent="0.3">
      <c r="A159" s="21"/>
      <c r="B159" s="33"/>
      <c r="C159" s="21"/>
      <c r="D159" s="21"/>
      <c r="E159" s="21"/>
      <c r="F159" s="22"/>
      <c r="G159" s="21"/>
      <c r="H159" s="21"/>
      <c r="I159" s="22"/>
    </row>
    <row r="160" spans="1:9" x14ac:dyDescent="0.3">
      <c r="A160" s="21"/>
      <c r="B160" s="33"/>
      <c r="C160" s="21"/>
      <c r="D160" s="21"/>
      <c r="E160" s="21"/>
      <c r="F160" s="22"/>
      <c r="G160" s="21"/>
      <c r="H160" s="21"/>
      <c r="I160" s="22"/>
    </row>
    <row r="161" spans="1:9" x14ac:dyDescent="0.3">
      <c r="A161" s="21"/>
      <c r="B161" s="33"/>
      <c r="C161" s="21"/>
      <c r="D161" s="21"/>
      <c r="E161" s="21"/>
      <c r="F161" s="22"/>
      <c r="G161" s="21"/>
      <c r="H161" s="21"/>
      <c r="I161" s="22"/>
    </row>
    <row r="162" spans="1:9" x14ac:dyDescent="0.3">
      <c r="A162" s="21"/>
      <c r="B162" s="33"/>
      <c r="C162" s="21"/>
      <c r="D162" s="21"/>
      <c r="E162" s="21"/>
      <c r="F162" s="22"/>
      <c r="G162" s="21"/>
      <c r="H162" s="21"/>
      <c r="I162" s="22"/>
    </row>
    <row r="163" spans="1:9" x14ac:dyDescent="0.3">
      <c r="A163" s="21"/>
      <c r="B163" s="33"/>
      <c r="C163" s="21"/>
      <c r="D163" s="21"/>
      <c r="E163" s="21"/>
      <c r="F163" s="22"/>
      <c r="G163" s="21"/>
      <c r="H163" s="21"/>
      <c r="I163" s="22"/>
    </row>
    <row r="164" spans="1:9" x14ac:dyDescent="0.3">
      <c r="A164" s="21"/>
      <c r="B164" s="33"/>
      <c r="C164" s="21"/>
      <c r="D164" s="21"/>
      <c r="E164" s="21"/>
      <c r="F164" s="22"/>
      <c r="G164" s="21"/>
      <c r="H164" s="21"/>
      <c r="I164" s="22"/>
    </row>
    <row r="165" spans="1:9" x14ac:dyDescent="0.3">
      <c r="A165" s="21"/>
      <c r="B165" s="33"/>
      <c r="C165" s="21"/>
      <c r="D165" s="21"/>
      <c r="E165" s="21"/>
      <c r="F165" s="22"/>
      <c r="G165" s="21"/>
      <c r="H165" s="21"/>
      <c r="I165" s="22"/>
    </row>
    <row r="166" spans="1:9" x14ac:dyDescent="0.3">
      <c r="A166" s="21"/>
      <c r="B166" s="33"/>
      <c r="C166" s="21"/>
      <c r="D166" s="21"/>
      <c r="E166" s="21"/>
      <c r="F166" s="22"/>
      <c r="G166" s="21"/>
      <c r="H166" s="21"/>
      <c r="I166" s="22"/>
    </row>
    <row r="167" spans="1:9" x14ac:dyDescent="0.3">
      <c r="A167" s="21"/>
      <c r="B167" s="33"/>
      <c r="C167" s="21"/>
      <c r="D167" s="21"/>
      <c r="E167" s="21"/>
      <c r="F167" s="22"/>
      <c r="G167" s="21"/>
      <c r="H167" s="21"/>
      <c r="I167" s="22"/>
    </row>
    <row r="168" spans="1:9" x14ac:dyDescent="0.3">
      <c r="A168" s="21"/>
      <c r="B168" s="33"/>
      <c r="C168" s="21"/>
      <c r="D168" s="21"/>
      <c r="E168" s="21"/>
      <c r="F168" s="22"/>
      <c r="G168" s="21"/>
      <c r="H168" s="21"/>
      <c r="I168" s="22"/>
    </row>
    <row r="169" spans="1:9" x14ac:dyDescent="0.3">
      <c r="A169" s="21"/>
      <c r="B169" s="33"/>
      <c r="C169" s="21"/>
      <c r="D169" s="21"/>
      <c r="E169" s="21"/>
      <c r="F169" s="22"/>
      <c r="G169" s="21"/>
      <c r="H169" s="21"/>
      <c r="I169" s="22"/>
    </row>
    <row r="170" spans="1:9" x14ac:dyDescent="0.3">
      <c r="A170" s="21"/>
      <c r="B170" s="33"/>
      <c r="C170" s="21"/>
      <c r="D170" s="21"/>
      <c r="E170" s="21"/>
      <c r="F170" s="22"/>
      <c r="G170" s="21"/>
      <c r="H170" s="21"/>
      <c r="I170" s="22"/>
    </row>
    <row r="171" spans="1:9" x14ac:dyDescent="0.3">
      <c r="A171" s="21"/>
      <c r="B171" s="33"/>
      <c r="C171" s="21"/>
      <c r="D171" s="21"/>
      <c r="E171" s="21"/>
      <c r="F171" s="22"/>
      <c r="G171" s="21"/>
      <c r="H171" s="21"/>
      <c r="I171" s="22"/>
    </row>
    <row r="172" spans="1:9" x14ac:dyDescent="0.3">
      <c r="A172" s="21"/>
      <c r="B172" s="33"/>
      <c r="C172" s="21"/>
      <c r="D172" s="21"/>
      <c r="E172" s="21"/>
      <c r="F172" s="22"/>
      <c r="G172" s="21"/>
      <c r="H172" s="21"/>
      <c r="I172" s="22"/>
    </row>
    <row r="173" spans="1:9" x14ac:dyDescent="0.3">
      <c r="A173" s="21"/>
      <c r="B173" s="33"/>
      <c r="C173" s="21"/>
      <c r="D173" s="21"/>
      <c r="E173" s="21"/>
      <c r="F173" s="22"/>
      <c r="G173" s="21"/>
      <c r="H173" s="21"/>
      <c r="I173" s="22"/>
    </row>
    <row r="174" spans="1:9" x14ac:dyDescent="0.3">
      <c r="A174" s="21"/>
      <c r="B174" s="33"/>
      <c r="C174" s="21"/>
      <c r="D174" s="21"/>
      <c r="E174" s="21"/>
      <c r="F174" s="22"/>
      <c r="G174" s="21"/>
      <c r="H174" s="21"/>
      <c r="I174" s="22"/>
    </row>
    <row r="175" spans="1:9" x14ac:dyDescent="0.3">
      <c r="A175" s="21"/>
      <c r="B175" s="33"/>
      <c r="C175" s="21"/>
      <c r="D175" s="21"/>
      <c r="E175" s="21"/>
      <c r="F175" s="22"/>
      <c r="G175" s="21"/>
      <c r="H175" s="21"/>
      <c r="I175" s="22"/>
    </row>
    <row r="176" spans="1:9" x14ac:dyDescent="0.3">
      <c r="A176" s="21"/>
      <c r="B176" s="33"/>
      <c r="C176" s="21"/>
      <c r="D176" s="21"/>
      <c r="E176" s="21"/>
      <c r="F176" s="22"/>
      <c r="G176" s="21"/>
      <c r="H176" s="21"/>
      <c r="I176" s="22"/>
    </row>
    <row r="177" spans="1:9" x14ac:dyDescent="0.3">
      <c r="A177" s="21"/>
      <c r="B177" s="33"/>
      <c r="C177" s="21"/>
      <c r="D177" s="21"/>
      <c r="E177" s="21"/>
      <c r="F177" s="22"/>
      <c r="G177" s="21"/>
      <c r="H177" s="21"/>
      <c r="I177" s="22"/>
    </row>
    <row r="178" spans="1:9" x14ac:dyDescent="0.3">
      <c r="A178" s="21"/>
      <c r="B178" s="33"/>
      <c r="C178" s="21"/>
      <c r="D178" s="21"/>
      <c r="E178" s="21"/>
      <c r="F178" s="22"/>
      <c r="G178" s="21"/>
      <c r="H178" s="21"/>
      <c r="I178" s="22"/>
    </row>
    <row r="179" spans="1:9" x14ac:dyDescent="0.3">
      <c r="A179" s="21"/>
      <c r="B179" s="33"/>
      <c r="C179" s="21"/>
      <c r="D179" s="21"/>
      <c r="E179" s="21"/>
      <c r="F179" s="22"/>
      <c r="G179" s="21"/>
      <c r="H179" s="21"/>
      <c r="I179" s="22"/>
    </row>
    <row r="180" spans="1:9" x14ac:dyDescent="0.3">
      <c r="A180" s="21"/>
      <c r="B180" s="33"/>
      <c r="C180" s="21"/>
      <c r="D180" s="21"/>
      <c r="E180" s="21"/>
      <c r="F180" s="22"/>
      <c r="G180" s="21"/>
      <c r="H180" s="21"/>
      <c r="I180" s="22"/>
    </row>
    <row r="181" spans="1:9" x14ac:dyDescent="0.3">
      <c r="A181" s="21"/>
      <c r="B181" s="33"/>
      <c r="C181" s="21"/>
      <c r="D181" s="21"/>
      <c r="E181" s="21"/>
      <c r="F181" s="22"/>
      <c r="G181" s="21"/>
      <c r="H181" s="21"/>
      <c r="I181" s="22"/>
    </row>
    <row r="182" spans="1:9" x14ac:dyDescent="0.3">
      <c r="A182" s="21"/>
      <c r="B182" s="33"/>
      <c r="C182" s="21"/>
      <c r="D182" s="21"/>
      <c r="E182" s="21"/>
      <c r="F182" s="22"/>
      <c r="G182" s="21"/>
      <c r="H182" s="21"/>
      <c r="I182" s="22"/>
    </row>
    <row r="183" spans="1:9" x14ac:dyDescent="0.3">
      <c r="A183" s="21"/>
      <c r="B183" s="33"/>
      <c r="C183" s="21"/>
      <c r="D183" s="21"/>
      <c r="E183" s="21"/>
      <c r="F183" s="22"/>
      <c r="G183" s="21"/>
      <c r="H183" s="21"/>
      <c r="I183" s="22"/>
    </row>
    <row r="184" spans="1:9" x14ac:dyDescent="0.3">
      <c r="A184" s="21"/>
      <c r="B184" s="33"/>
      <c r="C184" s="21"/>
      <c r="D184" s="21"/>
      <c r="E184" s="21"/>
      <c r="F184" s="22"/>
      <c r="G184" s="21"/>
      <c r="H184" s="21"/>
      <c r="I184" s="22"/>
    </row>
    <row r="185" spans="1:9" x14ac:dyDescent="0.3">
      <c r="A185" s="21"/>
      <c r="B185" s="33"/>
      <c r="C185" s="21"/>
      <c r="D185" s="21"/>
      <c r="E185" s="21"/>
      <c r="F185" s="22"/>
      <c r="G185" s="21"/>
      <c r="H185" s="21"/>
      <c r="I185" s="22"/>
    </row>
    <row r="186" spans="1:9" x14ac:dyDescent="0.3">
      <c r="A186" s="21"/>
      <c r="B186" s="33"/>
      <c r="C186" s="21"/>
      <c r="D186" s="21"/>
      <c r="E186" s="21"/>
      <c r="F186" s="22"/>
      <c r="G186" s="21"/>
      <c r="H186" s="21"/>
      <c r="I186" s="22"/>
    </row>
    <row r="187" spans="1:9" x14ac:dyDescent="0.3">
      <c r="A187" s="21"/>
      <c r="B187" s="33"/>
      <c r="C187" s="21"/>
      <c r="D187" s="21"/>
      <c r="E187" s="21"/>
      <c r="F187" s="22"/>
      <c r="G187" s="21"/>
      <c r="H187" s="21"/>
      <c r="I187" s="22"/>
    </row>
    <row r="188" spans="1:9" x14ac:dyDescent="0.3">
      <c r="A188" s="21"/>
      <c r="B188" s="33"/>
      <c r="C188" s="21"/>
      <c r="D188" s="21"/>
      <c r="E188" s="21"/>
      <c r="F188" s="22"/>
      <c r="G188" s="21"/>
      <c r="H188" s="21"/>
      <c r="I188" s="22"/>
    </row>
    <row r="189" spans="1:9" x14ac:dyDescent="0.3">
      <c r="A189" s="21"/>
      <c r="B189" s="33"/>
      <c r="C189" s="21"/>
      <c r="D189" s="21"/>
      <c r="E189" s="21"/>
      <c r="F189" s="22"/>
      <c r="G189" s="21"/>
      <c r="H189" s="21"/>
      <c r="I189" s="22"/>
    </row>
    <row r="190" spans="1:9" x14ac:dyDescent="0.3">
      <c r="A190" s="21"/>
      <c r="B190" s="33"/>
      <c r="C190" s="21"/>
      <c r="D190" s="21"/>
      <c r="E190" s="21"/>
      <c r="F190" s="22"/>
      <c r="G190" s="21"/>
      <c r="H190" s="21"/>
      <c r="I190" s="22"/>
    </row>
    <row r="191" spans="1:9" x14ac:dyDescent="0.3">
      <c r="A191" s="21"/>
      <c r="B191" s="33"/>
      <c r="C191" s="21"/>
      <c r="D191" s="21"/>
      <c r="E191" s="21"/>
      <c r="F191" s="22"/>
      <c r="G191" s="21"/>
      <c r="H191" s="21"/>
      <c r="I191" s="22"/>
    </row>
    <row r="192" spans="1:9" x14ac:dyDescent="0.3">
      <c r="A192" s="21"/>
      <c r="B192" s="33"/>
      <c r="C192" s="21"/>
      <c r="D192" s="21"/>
      <c r="E192" s="21"/>
      <c r="F192" s="22"/>
      <c r="G192" s="21"/>
      <c r="H192" s="21"/>
      <c r="I192" s="22"/>
    </row>
    <row r="193" spans="1:9" x14ac:dyDescent="0.3">
      <c r="A193" s="21"/>
      <c r="B193" s="33"/>
      <c r="C193" s="21"/>
      <c r="D193" s="21"/>
      <c r="E193" s="21"/>
      <c r="F193" s="22"/>
      <c r="G193" s="21"/>
      <c r="H193" s="21"/>
      <c r="I193" s="22"/>
    </row>
    <row r="194" spans="1:9" x14ac:dyDescent="0.3">
      <c r="A194" s="21"/>
      <c r="B194" s="33"/>
      <c r="C194" s="21"/>
      <c r="D194" s="21"/>
      <c r="E194" s="21"/>
      <c r="F194" s="22"/>
      <c r="G194" s="21"/>
      <c r="H194" s="21"/>
      <c r="I194" s="22"/>
    </row>
    <row r="195" spans="1:9" x14ac:dyDescent="0.3">
      <c r="A195" s="21"/>
      <c r="B195" s="33"/>
      <c r="C195" s="21"/>
      <c r="D195" s="21"/>
      <c r="E195" s="21"/>
      <c r="F195" s="22"/>
      <c r="G195" s="21"/>
      <c r="H195" s="21"/>
      <c r="I195" s="22"/>
    </row>
    <row r="196" spans="1:9" x14ac:dyDescent="0.3">
      <c r="A196" s="21"/>
      <c r="B196" s="33"/>
      <c r="C196" s="21"/>
      <c r="D196" s="21"/>
      <c r="E196" s="21"/>
      <c r="F196" s="22"/>
      <c r="G196" s="21"/>
      <c r="H196" s="21"/>
      <c r="I196" s="22"/>
    </row>
    <row r="197" spans="1:9" x14ac:dyDescent="0.3">
      <c r="A197" s="21"/>
      <c r="B197" s="33"/>
      <c r="C197" s="21"/>
      <c r="D197" s="21"/>
      <c r="E197" s="21"/>
      <c r="F197" s="22"/>
      <c r="G197" s="21"/>
      <c r="H197" s="21"/>
      <c r="I197" s="22"/>
    </row>
    <row r="198" spans="1:9" x14ac:dyDescent="0.3">
      <c r="A198" s="21"/>
      <c r="B198" s="33"/>
      <c r="C198" s="21"/>
      <c r="D198" s="21"/>
      <c r="E198" s="21"/>
      <c r="F198" s="22"/>
      <c r="G198" s="21"/>
      <c r="H198" s="21"/>
      <c r="I198" s="22"/>
    </row>
    <row r="199" spans="1:9" x14ac:dyDescent="0.3">
      <c r="A199" s="21"/>
      <c r="B199" s="33"/>
      <c r="C199" s="21"/>
      <c r="D199" s="21"/>
      <c r="E199" s="21"/>
      <c r="F199" s="22"/>
      <c r="G199" s="21"/>
      <c r="H199" s="21"/>
      <c r="I199" s="22"/>
    </row>
    <row r="200" spans="1:9" x14ac:dyDescent="0.3">
      <c r="A200" s="21"/>
      <c r="B200" s="33"/>
      <c r="C200" s="21"/>
      <c r="D200" s="21"/>
      <c r="E200" s="21"/>
      <c r="F200" s="22"/>
      <c r="G200" s="21"/>
      <c r="H200" s="21"/>
      <c r="I200" s="22"/>
    </row>
    <row r="201" spans="1:9" x14ac:dyDescent="0.3">
      <c r="A201" s="21"/>
      <c r="B201" s="33"/>
      <c r="C201" s="21"/>
      <c r="D201" s="21"/>
      <c r="E201" s="21"/>
      <c r="F201" s="22"/>
      <c r="G201" s="21"/>
      <c r="H201" s="21"/>
      <c r="I201" s="22"/>
    </row>
    <row r="202" spans="1:9" x14ac:dyDescent="0.3">
      <c r="A202" s="21"/>
      <c r="B202" s="33"/>
      <c r="C202" s="21"/>
      <c r="D202" s="21"/>
      <c r="E202" s="21"/>
      <c r="F202" s="22"/>
      <c r="G202" s="21"/>
      <c r="H202" s="21"/>
      <c r="I202" s="22"/>
    </row>
    <row r="203" spans="1:9" x14ac:dyDescent="0.3">
      <c r="A203" s="21"/>
      <c r="B203" s="33"/>
      <c r="C203" s="21"/>
      <c r="D203" s="21"/>
      <c r="E203" s="21"/>
      <c r="F203" s="22"/>
      <c r="G203" s="21"/>
      <c r="H203" s="21"/>
      <c r="I203" s="22"/>
    </row>
    <row r="204" spans="1:9" x14ac:dyDescent="0.3">
      <c r="A204" s="21"/>
      <c r="B204" s="33"/>
      <c r="C204" s="21"/>
      <c r="D204" s="21"/>
      <c r="E204" s="21"/>
      <c r="F204" s="22"/>
      <c r="G204" s="21"/>
      <c r="H204" s="21"/>
      <c r="I204" s="22"/>
    </row>
    <row r="205" spans="1:9" x14ac:dyDescent="0.3">
      <c r="A205" s="21"/>
      <c r="B205" s="33"/>
      <c r="C205" s="21"/>
      <c r="D205" s="21"/>
      <c r="E205" s="21"/>
      <c r="F205" s="22"/>
      <c r="G205" s="21"/>
      <c r="H205" s="21"/>
      <c r="I205" s="22"/>
    </row>
    <row r="206" spans="1:9" x14ac:dyDescent="0.3">
      <c r="A206" s="21"/>
      <c r="B206" s="33"/>
      <c r="C206" s="21"/>
      <c r="D206" s="21"/>
      <c r="E206" s="21"/>
      <c r="F206" s="22"/>
      <c r="G206" s="21"/>
      <c r="H206" s="21"/>
      <c r="I206" s="22"/>
    </row>
    <row r="207" spans="1:9" x14ac:dyDescent="0.3">
      <c r="A207" s="21"/>
      <c r="B207" s="33"/>
      <c r="C207" s="21"/>
      <c r="D207" s="21"/>
      <c r="E207" s="21"/>
      <c r="F207" s="22"/>
      <c r="G207" s="21"/>
      <c r="H207" s="21"/>
      <c r="I207" s="22"/>
    </row>
    <row r="208" spans="1:9" x14ac:dyDescent="0.3">
      <c r="A208" s="21"/>
      <c r="B208" s="33"/>
      <c r="C208" s="21"/>
      <c r="D208" s="21"/>
      <c r="E208" s="21"/>
      <c r="F208" s="22"/>
      <c r="G208" s="21"/>
      <c r="H208" s="21"/>
      <c r="I208" s="22"/>
    </row>
    <row r="209" spans="1:9" x14ac:dyDescent="0.3">
      <c r="A209" s="21"/>
      <c r="B209" s="33"/>
      <c r="C209" s="21"/>
      <c r="D209" s="21"/>
      <c r="E209" s="21"/>
      <c r="F209" s="22"/>
      <c r="G209" s="21"/>
      <c r="H209" s="21"/>
      <c r="I209" s="22"/>
    </row>
    <row r="210" spans="1:9" x14ac:dyDescent="0.3">
      <c r="A210" s="21"/>
      <c r="B210" s="33"/>
      <c r="C210" s="21"/>
      <c r="D210" s="21"/>
      <c r="E210" s="21"/>
      <c r="F210" s="22"/>
      <c r="G210" s="21"/>
      <c r="H210" s="21"/>
      <c r="I210" s="22"/>
    </row>
    <row r="211" spans="1:9" x14ac:dyDescent="0.3">
      <c r="A211" s="21"/>
      <c r="B211" s="33"/>
      <c r="C211" s="21"/>
      <c r="D211" s="21"/>
      <c r="E211" s="21"/>
      <c r="F211" s="22"/>
      <c r="G211" s="21"/>
      <c r="H211" s="21"/>
      <c r="I211" s="22"/>
    </row>
    <row r="212" spans="1:9" x14ac:dyDescent="0.3">
      <c r="A212" s="21"/>
      <c r="B212" s="33"/>
      <c r="C212" s="21"/>
      <c r="D212" s="21"/>
      <c r="E212" s="21"/>
      <c r="F212" s="22"/>
      <c r="G212" s="21"/>
      <c r="H212" s="21"/>
      <c r="I212" s="22"/>
    </row>
    <row r="213" spans="1:9" x14ac:dyDescent="0.3">
      <c r="A213" s="21"/>
      <c r="B213" s="33"/>
      <c r="C213" s="21"/>
      <c r="D213" s="21"/>
      <c r="E213" s="21"/>
      <c r="F213" s="22"/>
      <c r="G213" s="21"/>
      <c r="H213" s="21"/>
      <c r="I213" s="22"/>
    </row>
    <row r="214" spans="1:9" x14ac:dyDescent="0.3">
      <c r="A214" s="21"/>
      <c r="B214" s="33"/>
      <c r="C214" s="21"/>
      <c r="D214" s="21"/>
      <c r="E214" s="21"/>
      <c r="F214" s="22"/>
      <c r="G214" s="21"/>
      <c r="H214" s="21"/>
      <c r="I214" s="22"/>
    </row>
    <row r="215" spans="1:9" x14ac:dyDescent="0.3">
      <c r="A215" s="21"/>
      <c r="B215" s="33"/>
      <c r="C215" s="21"/>
      <c r="D215" s="21"/>
      <c r="E215" s="21"/>
      <c r="F215" s="22"/>
      <c r="G215" s="21"/>
      <c r="H215" s="21"/>
      <c r="I215" s="22"/>
    </row>
    <row r="216" spans="1:9" x14ac:dyDescent="0.3">
      <c r="A216" s="21"/>
      <c r="B216" s="33"/>
      <c r="C216" s="21"/>
      <c r="D216" s="21"/>
      <c r="E216" s="21"/>
      <c r="F216" s="22"/>
      <c r="G216" s="21"/>
      <c r="H216" s="21"/>
      <c r="I216" s="22"/>
    </row>
    <row r="217" spans="1:9" x14ac:dyDescent="0.3">
      <c r="A217" s="21"/>
      <c r="B217" s="33"/>
      <c r="C217" s="21"/>
      <c r="D217" s="21"/>
      <c r="E217" s="21"/>
      <c r="F217" s="22"/>
      <c r="G217" s="21"/>
      <c r="H217" s="21"/>
      <c r="I217" s="22"/>
    </row>
    <row r="218" spans="1:9" x14ac:dyDescent="0.3">
      <c r="A218" s="21"/>
      <c r="B218" s="33"/>
      <c r="C218" s="21"/>
      <c r="D218" s="21"/>
      <c r="E218" s="21"/>
      <c r="F218" s="22"/>
      <c r="G218" s="21"/>
      <c r="H218" s="21"/>
      <c r="I218" s="22"/>
    </row>
    <row r="219" spans="1:9" x14ac:dyDescent="0.3">
      <c r="A219" s="21"/>
      <c r="B219" s="33"/>
      <c r="C219" s="21"/>
      <c r="D219" s="21"/>
      <c r="E219" s="21"/>
      <c r="F219" s="22"/>
      <c r="G219" s="21"/>
      <c r="H219" s="21"/>
      <c r="I219" s="22"/>
    </row>
    <row r="220" spans="1:9" x14ac:dyDescent="0.3">
      <c r="A220" s="21"/>
      <c r="B220" s="33"/>
      <c r="C220" s="21"/>
      <c r="D220" s="21"/>
      <c r="E220" s="21"/>
      <c r="F220" s="22"/>
      <c r="G220" s="21"/>
      <c r="H220" s="21"/>
      <c r="I220" s="22"/>
    </row>
    <row r="221" spans="1:9" x14ac:dyDescent="0.3">
      <c r="A221" s="21"/>
      <c r="B221" s="33"/>
      <c r="C221" s="21"/>
      <c r="D221" s="21"/>
      <c r="E221" s="21"/>
      <c r="F221" s="22"/>
      <c r="G221" s="21"/>
      <c r="H221" s="21"/>
      <c r="I221" s="22"/>
    </row>
    <row r="222" spans="1:9" x14ac:dyDescent="0.3">
      <c r="A222" s="21"/>
      <c r="B222" s="33"/>
      <c r="C222" s="21"/>
      <c r="D222" s="21"/>
      <c r="E222" s="21"/>
      <c r="F222" s="22"/>
      <c r="G222" s="21"/>
      <c r="H222" s="21"/>
      <c r="I222" s="22"/>
    </row>
    <row r="223" spans="1:9" x14ac:dyDescent="0.3">
      <c r="A223" s="21"/>
      <c r="B223" s="33"/>
      <c r="C223" s="21"/>
      <c r="D223" s="21"/>
      <c r="E223" s="21"/>
      <c r="F223" s="22"/>
      <c r="G223" s="21"/>
      <c r="H223" s="21"/>
      <c r="I223" s="22"/>
    </row>
    <row r="224" spans="1:9" x14ac:dyDescent="0.3">
      <c r="A224" s="21"/>
      <c r="B224" s="33"/>
      <c r="C224" s="21"/>
      <c r="D224" s="21"/>
      <c r="E224" s="21"/>
      <c r="F224" s="22"/>
      <c r="G224" s="21"/>
      <c r="H224" s="21"/>
      <c r="I224" s="22"/>
    </row>
    <row r="225" spans="1:9" x14ac:dyDescent="0.3">
      <c r="A225" s="21"/>
      <c r="B225" s="33"/>
      <c r="C225" s="21"/>
      <c r="D225" s="21"/>
      <c r="E225" s="21"/>
      <c r="F225" s="22"/>
      <c r="G225" s="21"/>
      <c r="H225" s="21"/>
      <c r="I225" s="22"/>
    </row>
    <row r="226" spans="1:9" x14ac:dyDescent="0.3">
      <c r="A226" s="21"/>
      <c r="B226" s="33"/>
      <c r="C226" s="21"/>
      <c r="D226" s="21"/>
      <c r="E226" s="21"/>
      <c r="F226" s="22"/>
      <c r="G226" s="21"/>
      <c r="H226" s="21"/>
      <c r="I226" s="22"/>
    </row>
    <row r="227" spans="1:9" x14ac:dyDescent="0.3">
      <c r="A227" s="21"/>
      <c r="B227" s="33"/>
      <c r="C227" s="21"/>
      <c r="D227" s="21"/>
      <c r="E227" s="21"/>
      <c r="F227" s="22"/>
      <c r="G227" s="21"/>
      <c r="H227" s="21"/>
      <c r="I227" s="22"/>
    </row>
    <row r="228" spans="1:9" x14ac:dyDescent="0.3">
      <c r="A228" s="21"/>
      <c r="B228" s="33"/>
      <c r="C228" s="21"/>
      <c r="D228" s="21"/>
      <c r="E228" s="21"/>
      <c r="F228" s="22"/>
      <c r="G228" s="21"/>
      <c r="H228" s="21"/>
      <c r="I228" s="22"/>
    </row>
    <row r="229" spans="1:9" x14ac:dyDescent="0.3">
      <c r="A229" s="21"/>
      <c r="B229" s="33"/>
      <c r="C229" s="21"/>
      <c r="D229" s="21"/>
      <c r="E229" s="21"/>
      <c r="F229" s="22"/>
      <c r="G229" s="21"/>
      <c r="H229" s="21"/>
      <c r="I229" s="22"/>
    </row>
    <row r="230" spans="1:9" x14ac:dyDescent="0.3">
      <c r="A230" s="21"/>
      <c r="B230" s="33"/>
      <c r="C230" s="21"/>
      <c r="D230" s="21"/>
      <c r="E230" s="21"/>
      <c r="F230" s="22"/>
      <c r="G230" s="21"/>
      <c r="H230" s="21"/>
      <c r="I230" s="22"/>
    </row>
    <row r="231" spans="1:9" x14ac:dyDescent="0.3">
      <c r="A231" s="21"/>
      <c r="B231" s="33"/>
      <c r="C231" s="21"/>
      <c r="D231" s="21"/>
      <c r="E231" s="21"/>
      <c r="F231" s="22"/>
      <c r="G231" s="21"/>
      <c r="H231" s="21"/>
      <c r="I231" s="22"/>
    </row>
    <row r="232" spans="1:9" x14ac:dyDescent="0.3">
      <c r="A232" s="21"/>
      <c r="B232" s="33"/>
      <c r="C232" s="21"/>
      <c r="D232" s="21"/>
      <c r="E232" s="21"/>
      <c r="F232" s="22"/>
      <c r="G232" s="21"/>
      <c r="H232" s="21"/>
      <c r="I232" s="22"/>
    </row>
    <row r="233" spans="1:9" x14ac:dyDescent="0.3">
      <c r="A233" s="21"/>
      <c r="B233" s="33"/>
      <c r="C233" s="21"/>
      <c r="D233" s="21"/>
      <c r="E233" s="21"/>
      <c r="F233" s="22"/>
      <c r="G233" s="21"/>
      <c r="H233" s="21"/>
      <c r="I233" s="22"/>
    </row>
    <row r="234" spans="1:9" x14ac:dyDescent="0.3">
      <c r="A234" s="21"/>
      <c r="B234" s="33"/>
      <c r="C234" s="21"/>
      <c r="D234" s="21"/>
      <c r="E234" s="21"/>
      <c r="F234" s="22"/>
      <c r="G234" s="21"/>
      <c r="H234" s="21"/>
      <c r="I234" s="22"/>
    </row>
    <row r="235" spans="1:9" x14ac:dyDescent="0.3">
      <c r="A235" s="21"/>
      <c r="B235" s="33"/>
      <c r="C235" s="21"/>
      <c r="D235" s="21"/>
      <c r="E235" s="21"/>
      <c r="F235" s="22"/>
      <c r="G235" s="21"/>
      <c r="H235" s="21"/>
      <c r="I235" s="22"/>
    </row>
    <row r="236" spans="1:9" x14ac:dyDescent="0.3">
      <c r="A236" s="21"/>
      <c r="B236" s="33"/>
      <c r="C236" s="21"/>
      <c r="D236" s="21"/>
      <c r="E236" s="21"/>
      <c r="F236" s="22"/>
      <c r="G236" s="21"/>
      <c r="H236" s="21"/>
      <c r="I236" s="22"/>
    </row>
    <row r="237" spans="1:9" x14ac:dyDescent="0.3">
      <c r="A237" s="21"/>
      <c r="B237" s="33"/>
      <c r="C237" s="21"/>
      <c r="D237" s="21"/>
      <c r="E237" s="21"/>
      <c r="F237" s="22"/>
      <c r="G237" s="21"/>
      <c r="H237" s="21"/>
      <c r="I237" s="22"/>
    </row>
    <row r="238" spans="1:9" x14ac:dyDescent="0.3">
      <c r="A238" s="21"/>
      <c r="B238" s="33"/>
      <c r="C238" s="21"/>
      <c r="D238" s="21"/>
      <c r="E238" s="21"/>
      <c r="F238" s="22"/>
      <c r="G238" s="21"/>
      <c r="H238" s="21"/>
      <c r="I238" s="22"/>
    </row>
    <row r="239" spans="1:9" x14ac:dyDescent="0.3">
      <c r="A239" s="21"/>
      <c r="B239" s="33"/>
      <c r="C239" s="21"/>
      <c r="D239" s="21"/>
      <c r="E239" s="21"/>
      <c r="F239" s="22"/>
      <c r="G239" s="21"/>
      <c r="H239" s="21"/>
      <c r="I239" s="22"/>
    </row>
    <row r="240" spans="1:9" x14ac:dyDescent="0.3">
      <c r="A240" s="21"/>
      <c r="B240" s="33"/>
      <c r="C240" s="21"/>
      <c r="D240" s="21"/>
      <c r="E240" s="21"/>
      <c r="F240" s="22"/>
      <c r="G240" s="21"/>
      <c r="H240" s="21"/>
      <c r="I240" s="22"/>
    </row>
    <row r="241" spans="1:9" x14ac:dyDescent="0.3">
      <c r="A241" s="21"/>
      <c r="B241" s="33"/>
      <c r="C241" s="21"/>
      <c r="D241" s="21"/>
      <c r="E241" s="21"/>
      <c r="F241" s="22"/>
      <c r="G241" s="21"/>
      <c r="H241" s="21"/>
      <c r="I241" s="22"/>
    </row>
    <row r="242" spans="1:9" x14ac:dyDescent="0.3">
      <c r="A242" s="21"/>
      <c r="B242" s="33"/>
      <c r="C242" s="21"/>
      <c r="D242" s="21"/>
      <c r="E242" s="21"/>
      <c r="F242" s="22"/>
      <c r="G242" s="21"/>
      <c r="H242" s="21"/>
      <c r="I242" s="22"/>
    </row>
    <row r="243" spans="1:9" x14ac:dyDescent="0.3">
      <c r="A243" s="21"/>
      <c r="B243" s="33"/>
      <c r="C243" s="21"/>
      <c r="D243" s="21"/>
      <c r="E243" s="21"/>
      <c r="F243" s="22"/>
      <c r="G243" s="21"/>
      <c r="H243" s="21"/>
      <c r="I243" s="22"/>
    </row>
    <row r="244" spans="1:9" x14ac:dyDescent="0.3">
      <c r="A244" s="21"/>
      <c r="B244" s="33"/>
      <c r="C244" s="21"/>
      <c r="D244" s="21"/>
      <c r="E244" s="21"/>
      <c r="F244" s="22"/>
      <c r="G244" s="21"/>
      <c r="H244" s="21"/>
      <c r="I244" s="22"/>
    </row>
    <row r="245" spans="1:9" x14ac:dyDescent="0.3">
      <c r="A245" s="21"/>
      <c r="B245" s="33"/>
      <c r="C245" s="21"/>
      <c r="D245" s="21"/>
      <c r="E245" s="21"/>
      <c r="F245" s="22"/>
      <c r="G245" s="21"/>
      <c r="H245" s="21"/>
      <c r="I245" s="22"/>
    </row>
    <row r="246" spans="1:9" x14ac:dyDescent="0.3">
      <c r="A246" s="21"/>
      <c r="B246" s="33"/>
      <c r="C246" s="21"/>
      <c r="D246" s="21"/>
      <c r="E246" s="21"/>
      <c r="F246" s="22"/>
      <c r="G246" s="21"/>
      <c r="H246" s="21"/>
      <c r="I246" s="22"/>
    </row>
    <row r="247" spans="1:9" x14ac:dyDescent="0.3">
      <c r="A247" s="21"/>
      <c r="B247" s="33"/>
      <c r="C247" s="21"/>
      <c r="D247" s="21"/>
      <c r="E247" s="21"/>
      <c r="F247" s="22"/>
      <c r="G247" s="21"/>
      <c r="H247" s="21"/>
      <c r="I247" s="22"/>
    </row>
    <row r="248" spans="1:9" x14ac:dyDescent="0.3">
      <c r="A248" s="21"/>
      <c r="B248" s="33"/>
      <c r="C248" s="21"/>
      <c r="D248" s="21"/>
      <c r="E248" s="21"/>
      <c r="F248" s="22"/>
      <c r="G248" s="21"/>
      <c r="H248" s="21"/>
      <c r="I248" s="22"/>
    </row>
    <row r="249" spans="1:9" x14ac:dyDescent="0.3">
      <c r="A249" s="21"/>
      <c r="B249" s="33"/>
      <c r="C249" s="21"/>
      <c r="D249" s="21"/>
      <c r="E249" s="21"/>
      <c r="F249" s="22"/>
      <c r="G249" s="21"/>
      <c r="H249" s="21"/>
      <c r="I249" s="22"/>
    </row>
    <row r="250" spans="1:9" x14ac:dyDescent="0.3">
      <c r="A250" s="21"/>
      <c r="B250" s="33"/>
      <c r="C250" s="21"/>
      <c r="D250" s="21"/>
      <c r="E250" s="21"/>
      <c r="F250" s="22"/>
      <c r="G250" s="21"/>
      <c r="H250" s="21"/>
      <c r="I250" s="22"/>
    </row>
    <row r="251" spans="1:9" x14ac:dyDescent="0.3">
      <c r="A251" s="21"/>
      <c r="B251" s="33"/>
      <c r="C251" s="21"/>
      <c r="D251" s="21"/>
      <c r="E251" s="21"/>
      <c r="F251" s="22"/>
      <c r="G251" s="21"/>
      <c r="H251" s="21"/>
      <c r="I251" s="22"/>
    </row>
    <row r="252" spans="1:9" x14ac:dyDescent="0.3">
      <c r="A252" s="21"/>
      <c r="B252" s="33"/>
      <c r="C252" s="21"/>
      <c r="D252" s="21"/>
      <c r="E252" s="21"/>
      <c r="F252" s="22"/>
      <c r="G252" s="21"/>
      <c r="H252" s="21"/>
      <c r="I252" s="22"/>
    </row>
    <row r="253" spans="1:9" x14ac:dyDescent="0.3">
      <c r="A253" s="21"/>
      <c r="B253" s="33"/>
      <c r="C253" s="21"/>
      <c r="D253" s="21"/>
      <c r="E253" s="21"/>
      <c r="F253" s="22"/>
      <c r="G253" s="21"/>
      <c r="H253" s="21"/>
      <c r="I253" s="22"/>
    </row>
    <row r="254" spans="1:9" x14ac:dyDescent="0.3">
      <c r="A254" s="21"/>
      <c r="B254" s="33"/>
      <c r="C254" s="21"/>
      <c r="D254" s="21"/>
      <c r="E254" s="21"/>
      <c r="F254" s="22"/>
      <c r="G254" s="21"/>
      <c r="H254" s="21"/>
      <c r="I254" s="22"/>
    </row>
    <row r="255" spans="1:9" x14ac:dyDescent="0.3">
      <c r="A255" s="21"/>
      <c r="B255" s="33"/>
      <c r="C255" s="21"/>
      <c r="D255" s="21"/>
      <c r="E255" s="21"/>
      <c r="F255" s="22"/>
      <c r="G255" s="21"/>
      <c r="H255" s="21"/>
      <c r="I255" s="22"/>
    </row>
    <row r="256" spans="1:9" x14ac:dyDescent="0.3">
      <c r="A256" s="21"/>
      <c r="B256" s="33"/>
      <c r="C256" s="21"/>
      <c r="D256" s="21"/>
      <c r="E256" s="21"/>
      <c r="F256" s="22"/>
      <c r="G256" s="21"/>
      <c r="H256" s="21"/>
      <c r="I256" s="22"/>
    </row>
    <row r="257" spans="1:9" x14ac:dyDescent="0.3">
      <c r="A257" s="21"/>
      <c r="B257" s="33"/>
      <c r="C257" s="21"/>
      <c r="D257" s="21"/>
      <c r="E257" s="21"/>
      <c r="F257" s="22"/>
      <c r="G257" s="21"/>
      <c r="H257" s="21"/>
      <c r="I257" s="22"/>
    </row>
    <row r="258" spans="1:9" x14ac:dyDescent="0.3">
      <c r="A258" s="21"/>
      <c r="B258" s="33"/>
      <c r="C258" s="21"/>
      <c r="D258" s="21"/>
      <c r="E258" s="21"/>
      <c r="F258" s="22"/>
      <c r="G258" s="21"/>
      <c r="H258" s="21"/>
      <c r="I258" s="22"/>
    </row>
    <row r="259" spans="1:9" x14ac:dyDescent="0.3">
      <c r="A259" s="21"/>
      <c r="B259" s="33"/>
      <c r="C259" s="21"/>
      <c r="D259" s="21"/>
      <c r="E259" s="21"/>
      <c r="F259" s="22"/>
      <c r="G259" s="21"/>
      <c r="H259" s="21"/>
      <c r="I259" s="22"/>
    </row>
    <row r="260" spans="1:9" x14ac:dyDescent="0.3">
      <c r="A260" s="21"/>
      <c r="B260" s="33"/>
      <c r="C260" s="21"/>
      <c r="D260" s="21"/>
      <c r="E260" s="21"/>
      <c r="F260" s="22"/>
      <c r="G260" s="21"/>
      <c r="H260" s="21"/>
      <c r="I260" s="22"/>
    </row>
    <row r="261" spans="1:9" x14ac:dyDescent="0.3">
      <c r="A261" s="21"/>
      <c r="B261" s="33"/>
      <c r="C261" s="21"/>
      <c r="D261" s="21"/>
      <c r="E261" s="21"/>
      <c r="F261" s="22"/>
      <c r="G261" s="21"/>
      <c r="H261" s="21"/>
      <c r="I261" s="22"/>
    </row>
    <row r="262" spans="1:9" x14ac:dyDescent="0.3">
      <c r="A262" s="21"/>
      <c r="B262" s="33"/>
      <c r="C262" s="21"/>
      <c r="D262" s="21"/>
      <c r="E262" s="21"/>
      <c r="F262" s="22"/>
      <c r="G262" s="21"/>
      <c r="H262" s="21"/>
      <c r="I262" s="22"/>
    </row>
    <row r="263" spans="1:9" x14ac:dyDescent="0.3">
      <c r="A263" s="21"/>
      <c r="B263" s="33"/>
      <c r="C263" s="21"/>
      <c r="D263" s="21"/>
      <c r="E263" s="21"/>
      <c r="F263" s="22"/>
      <c r="G263" s="21"/>
      <c r="H263" s="21"/>
      <c r="I263" s="22"/>
    </row>
    <row r="264" spans="1:9" x14ac:dyDescent="0.3">
      <c r="A264" s="21"/>
      <c r="B264" s="33"/>
      <c r="C264" s="21"/>
      <c r="D264" s="21"/>
      <c r="E264" s="21"/>
      <c r="F264" s="22"/>
      <c r="G264" s="21"/>
      <c r="H264" s="21"/>
      <c r="I264" s="22"/>
    </row>
    <row r="265" spans="1:9" x14ac:dyDescent="0.3">
      <c r="A265" s="21"/>
      <c r="B265" s="33"/>
      <c r="C265" s="21"/>
      <c r="D265" s="21"/>
      <c r="E265" s="21"/>
      <c r="F265" s="22"/>
      <c r="G265" s="21"/>
      <c r="H265" s="21"/>
      <c r="I265" s="22"/>
    </row>
    <row r="266" spans="1:9" x14ac:dyDescent="0.3">
      <c r="A266" s="21"/>
      <c r="B266" s="33"/>
      <c r="C266" s="21"/>
      <c r="D266" s="21"/>
      <c r="E266" s="21"/>
      <c r="F266" s="22"/>
      <c r="G266" s="21"/>
      <c r="H266" s="21"/>
      <c r="I266" s="22"/>
    </row>
    <row r="267" spans="1:9" x14ac:dyDescent="0.3">
      <c r="A267" s="21"/>
      <c r="B267" s="33"/>
      <c r="C267" s="21"/>
      <c r="D267" s="21"/>
      <c r="E267" s="21"/>
      <c r="F267" s="22"/>
      <c r="G267" s="21"/>
      <c r="H267" s="21"/>
      <c r="I267" s="22"/>
    </row>
    <row r="268" spans="1:9" x14ac:dyDescent="0.3">
      <c r="A268" s="21"/>
      <c r="B268" s="33"/>
      <c r="C268" s="21"/>
      <c r="D268" s="21"/>
      <c r="E268" s="21"/>
      <c r="F268" s="22"/>
      <c r="G268" s="21"/>
      <c r="H268" s="21"/>
      <c r="I268" s="22"/>
    </row>
    <row r="269" spans="1:9" x14ac:dyDescent="0.3">
      <c r="A269" s="21"/>
      <c r="B269" s="33"/>
      <c r="C269" s="21"/>
      <c r="D269" s="21"/>
      <c r="E269" s="21"/>
      <c r="F269" s="22"/>
      <c r="G269" s="21"/>
      <c r="H269" s="21"/>
      <c r="I269" s="22"/>
    </row>
    <row r="270" spans="1:9" x14ac:dyDescent="0.3">
      <c r="A270" s="21"/>
      <c r="B270" s="33"/>
      <c r="C270" s="21"/>
      <c r="D270" s="21"/>
      <c r="E270" s="21"/>
      <c r="F270" s="22"/>
      <c r="G270" s="21"/>
      <c r="H270" s="21"/>
      <c r="I270" s="22"/>
    </row>
    <row r="271" spans="1:9" x14ac:dyDescent="0.3">
      <c r="A271" s="21"/>
      <c r="B271" s="33"/>
      <c r="C271" s="21"/>
      <c r="D271" s="21"/>
      <c r="E271" s="21"/>
      <c r="F271" s="22"/>
      <c r="G271" s="21"/>
      <c r="H271" s="21"/>
      <c r="I271" s="22"/>
    </row>
    <row r="272" spans="1:9" x14ac:dyDescent="0.3">
      <c r="A272" s="21"/>
      <c r="B272" s="33"/>
      <c r="C272" s="21"/>
      <c r="D272" s="21"/>
      <c r="E272" s="21"/>
      <c r="F272" s="22"/>
      <c r="G272" s="21"/>
      <c r="H272" s="21"/>
      <c r="I272" s="22"/>
    </row>
    <row r="273" spans="1:9" x14ac:dyDescent="0.3">
      <c r="A273" s="21"/>
      <c r="B273" s="33"/>
      <c r="C273" s="21"/>
      <c r="D273" s="21"/>
      <c r="E273" s="21"/>
      <c r="F273" s="22"/>
      <c r="G273" s="21"/>
      <c r="H273" s="21"/>
      <c r="I273" s="22"/>
    </row>
    <row r="274" spans="1:9" x14ac:dyDescent="0.3">
      <c r="A274" s="21"/>
      <c r="B274" s="33"/>
      <c r="C274" s="21"/>
      <c r="D274" s="21"/>
      <c r="E274" s="21"/>
      <c r="F274" s="22"/>
      <c r="G274" s="21"/>
      <c r="H274" s="21"/>
      <c r="I274" s="22"/>
    </row>
    <row r="275" spans="1:9" x14ac:dyDescent="0.3">
      <c r="A275" s="21"/>
      <c r="B275" s="33"/>
      <c r="C275" s="21"/>
      <c r="D275" s="21"/>
      <c r="E275" s="21"/>
      <c r="F275" s="22"/>
      <c r="G275" s="21"/>
      <c r="H275" s="21"/>
      <c r="I275" s="22"/>
    </row>
    <row r="276" spans="1:9" x14ac:dyDescent="0.3">
      <c r="A276" s="21"/>
      <c r="B276" s="33"/>
      <c r="C276" s="21"/>
      <c r="D276" s="21"/>
      <c r="E276" s="21"/>
      <c r="F276" s="22"/>
      <c r="G276" s="21"/>
      <c r="H276" s="21"/>
      <c r="I276" s="22"/>
    </row>
    <row r="277" spans="1:9" x14ac:dyDescent="0.3">
      <c r="A277" s="21"/>
      <c r="B277" s="33"/>
      <c r="C277" s="21"/>
      <c r="D277" s="21"/>
      <c r="E277" s="21"/>
      <c r="F277" s="22"/>
      <c r="G277" s="21"/>
      <c r="H277" s="21"/>
      <c r="I277" s="22"/>
    </row>
    <row r="278" spans="1:9" x14ac:dyDescent="0.3">
      <c r="A278" s="21"/>
      <c r="B278" s="33"/>
      <c r="C278" s="21"/>
      <c r="D278" s="21"/>
      <c r="E278" s="21"/>
      <c r="F278" s="22"/>
      <c r="G278" s="21"/>
      <c r="H278" s="21"/>
      <c r="I278" s="22"/>
    </row>
    <row r="279" spans="1:9" x14ac:dyDescent="0.3">
      <c r="A279" s="21"/>
      <c r="B279" s="33"/>
      <c r="C279" s="21"/>
      <c r="D279" s="21"/>
      <c r="E279" s="21"/>
      <c r="F279" s="22"/>
      <c r="G279" s="21"/>
      <c r="H279" s="21"/>
      <c r="I279" s="22"/>
    </row>
    <row r="280" spans="1:9" x14ac:dyDescent="0.3">
      <c r="A280" s="21"/>
      <c r="B280" s="33"/>
      <c r="C280" s="21"/>
      <c r="D280" s="21"/>
      <c r="E280" s="21"/>
      <c r="F280" s="22"/>
      <c r="G280" s="21"/>
      <c r="H280" s="21"/>
      <c r="I280" s="22"/>
    </row>
    <row r="281" spans="1:9" x14ac:dyDescent="0.3">
      <c r="A281" s="21"/>
      <c r="B281" s="33"/>
      <c r="C281" s="21"/>
      <c r="D281" s="21"/>
      <c r="E281" s="21"/>
      <c r="F281" s="22"/>
      <c r="G281" s="21"/>
      <c r="H281" s="21"/>
      <c r="I281" s="22"/>
    </row>
    <row r="282" spans="1:9" x14ac:dyDescent="0.3">
      <c r="A282" s="21"/>
      <c r="B282" s="33"/>
      <c r="C282" s="21"/>
      <c r="D282" s="21"/>
      <c r="E282" s="21"/>
      <c r="F282" s="22"/>
      <c r="G282" s="21"/>
      <c r="H282" s="21"/>
      <c r="I282" s="22"/>
    </row>
    <row r="283" spans="1:9" x14ac:dyDescent="0.3">
      <c r="A283" s="21"/>
      <c r="B283" s="33"/>
      <c r="C283" s="21"/>
      <c r="D283" s="21"/>
      <c r="E283" s="21"/>
      <c r="F283" s="22"/>
      <c r="G283" s="21"/>
      <c r="H283" s="21"/>
      <c r="I283" s="22"/>
    </row>
    <row r="284" spans="1:9" x14ac:dyDescent="0.3">
      <c r="A284" s="21"/>
      <c r="B284" s="33"/>
      <c r="C284" s="21"/>
      <c r="D284" s="21"/>
      <c r="E284" s="21"/>
      <c r="F284" s="22"/>
      <c r="G284" s="21"/>
      <c r="H284" s="21"/>
      <c r="I284" s="22"/>
    </row>
    <row r="285" spans="1:9" x14ac:dyDescent="0.3">
      <c r="A285" s="21"/>
      <c r="B285" s="33"/>
      <c r="C285" s="21"/>
      <c r="D285" s="21"/>
      <c r="E285" s="21"/>
      <c r="F285" s="22"/>
      <c r="G285" s="21"/>
      <c r="H285" s="21"/>
      <c r="I285" s="22"/>
    </row>
    <row r="286" spans="1:9" x14ac:dyDescent="0.3">
      <c r="A286" s="21"/>
      <c r="B286" s="33"/>
      <c r="C286" s="21"/>
      <c r="D286" s="21"/>
      <c r="E286" s="21"/>
      <c r="F286" s="22"/>
      <c r="G286" s="21"/>
      <c r="H286" s="21"/>
      <c r="I286" s="22"/>
    </row>
    <row r="287" spans="1:9" x14ac:dyDescent="0.3">
      <c r="A287" s="21"/>
      <c r="B287" s="33"/>
      <c r="C287" s="21"/>
      <c r="D287" s="21"/>
      <c r="E287" s="21"/>
      <c r="F287" s="22"/>
      <c r="G287" s="21"/>
      <c r="H287" s="21"/>
      <c r="I287" s="22"/>
    </row>
    <row r="288" spans="1:9" x14ac:dyDescent="0.3">
      <c r="A288" s="21"/>
      <c r="B288" s="33"/>
      <c r="C288" s="21"/>
      <c r="D288" s="21"/>
      <c r="E288" s="21"/>
      <c r="F288" s="22"/>
      <c r="G288" s="21"/>
      <c r="H288" s="21"/>
      <c r="I288" s="22"/>
    </row>
    <row r="289" spans="1:9" x14ac:dyDescent="0.3">
      <c r="A289" s="21"/>
      <c r="B289" s="33"/>
      <c r="C289" s="21"/>
      <c r="D289" s="21"/>
      <c r="E289" s="21"/>
      <c r="F289" s="22"/>
      <c r="G289" s="21"/>
      <c r="H289" s="21"/>
      <c r="I289" s="22"/>
    </row>
    <row r="290" spans="1:9" x14ac:dyDescent="0.3">
      <c r="A290" s="21"/>
      <c r="B290" s="33"/>
      <c r="C290" s="21"/>
      <c r="D290" s="21"/>
      <c r="E290" s="21"/>
      <c r="F290" s="22"/>
      <c r="G290" s="21"/>
      <c r="H290" s="21"/>
      <c r="I290" s="22"/>
    </row>
    <row r="291" spans="1:9" x14ac:dyDescent="0.3">
      <c r="A291" s="21"/>
      <c r="B291" s="33"/>
      <c r="C291" s="21"/>
      <c r="D291" s="21"/>
      <c r="E291" s="21"/>
      <c r="F291" s="22"/>
      <c r="G291" s="21"/>
      <c r="H291" s="21"/>
      <c r="I291" s="22"/>
    </row>
    <row r="292" spans="1:9" x14ac:dyDescent="0.3">
      <c r="A292" s="21"/>
      <c r="B292" s="33"/>
      <c r="C292" s="21"/>
      <c r="D292" s="21"/>
      <c r="E292" s="21"/>
      <c r="F292" s="22"/>
      <c r="G292" s="21"/>
      <c r="H292" s="21"/>
      <c r="I292" s="22"/>
    </row>
    <row r="293" spans="1:9" x14ac:dyDescent="0.3">
      <c r="A293" s="21"/>
      <c r="B293" s="33"/>
      <c r="C293" s="21"/>
      <c r="D293" s="21"/>
      <c r="E293" s="21"/>
      <c r="F293" s="22"/>
      <c r="G293" s="21"/>
      <c r="H293" s="21"/>
      <c r="I293" s="22"/>
    </row>
    <row r="294" spans="1:9" x14ac:dyDescent="0.3">
      <c r="A294" s="21"/>
      <c r="B294" s="33"/>
      <c r="C294" s="21"/>
      <c r="D294" s="21"/>
      <c r="E294" s="21"/>
      <c r="F294" s="22"/>
      <c r="G294" s="21"/>
      <c r="H294" s="21"/>
      <c r="I294" s="22"/>
    </row>
    <row r="295" spans="1:9" x14ac:dyDescent="0.3">
      <c r="A295" s="21"/>
      <c r="B295" s="33"/>
      <c r="C295" s="21"/>
      <c r="D295" s="21"/>
      <c r="E295" s="21"/>
      <c r="F295" s="22"/>
      <c r="G295" s="21"/>
      <c r="H295" s="21"/>
      <c r="I295" s="22"/>
    </row>
    <row r="296" spans="1:9" x14ac:dyDescent="0.3">
      <c r="A296" s="21"/>
      <c r="B296" s="33"/>
      <c r="C296" s="21"/>
      <c r="D296" s="21"/>
      <c r="E296" s="21"/>
      <c r="F296" s="22"/>
      <c r="G296" s="21"/>
      <c r="H296" s="21"/>
      <c r="I296" s="22"/>
    </row>
    <row r="297" spans="1:9" x14ac:dyDescent="0.3">
      <c r="A297" s="21"/>
      <c r="B297" s="33"/>
      <c r="C297" s="21"/>
      <c r="D297" s="21"/>
      <c r="E297" s="21"/>
      <c r="F297" s="22"/>
      <c r="G297" s="21"/>
      <c r="H297" s="21"/>
      <c r="I297" s="22"/>
    </row>
    <row r="298" spans="1:9" x14ac:dyDescent="0.3">
      <c r="A298" s="21"/>
      <c r="B298" s="33"/>
      <c r="C298" s="21"/>
      <c r="D298" s="21"/>
      <c r="E298" s="21"/>
      <c r="F298" s="22"/>
      <c r="G298" s="21"/>
      <c r="H298" s="21"/>
      <c r="I298" s="22"/>
    </row>
    <row r="299" spans="1:9" x14ac:dyDescent="0.3">
      <c r="A299" s="21"/>
      <c r="B299" s="33"/>
      <c r="C299" s="21"/>
      <c r="D299" s="21"/>
      <c r="E299" s="21"/>
      <c r="F299" s="22"/>
      <c r="G299" s="21"/>
      <c r="H299" s="21"/>
      <c r="I299" s="22"/>
    </row>
    <row r="300" spans="1:9" x14ac:dyDescent="0.3">
      <c r="A300" s="21"/>
      <c r="B300" s="33"/>
      <c r="C300" s="21"/>
      <c r="D300" s="21"/>
      <c r="E300" s="21"/>
      <c r="F300" s="22"/>
      <c r="G300" s="21"/>
      <c r="H300" s="21"/>
      <c r="I300" s="22"/>
    </row>
    <row r="301" spans="1:9" x14ac:dyDescent="0.3">
      <c r="A301" s="21"/>
      <c r="B301" s="33"/>
      <c r="C301" s="21"/>
      <c r="D301" s="21"/>
      <c r="E301" s="21"/>
      <c r="F301" s="22"/>
      <c r="G301" s="21"/>
      <c r="H301" s="21"/>
      <c r="I301" s="22"/>
    </row>
    <row r="302" spans="1:9" x14ac:dyDescent="0.3">
      <c r="A302" s="21"/>
      <c r="B302" s="33"/>
      <c r="C302" s="21"/>
      <c r="D302" s="21"/>
      <c r="E302" s="21"/>
      <c r="F302" s="22"/>
      <c r="G302" s="21"/>
      <c r="H302" s="21"/>
      <c r="I302" s="22"/>
    </row>
    <row r="303" spans="1:9" x14ac:dyDescent="0.3">
      <c r="A303" s="21"/>
      <c r="B303" s="33"/>
      <c r="C303" s="21"/>
      <c r="D303" s="21"/>
      <c r="E303" s="21"/>
      <c r="F303" s="22"/>
      <c r="G303" s="21"/>
      <c r="H303" s="21"/>
      <c r="I303" s="22"/>
    </row>
    <row r="304" spans="1:9" x14ac:dyDescent="0.3">
      <c r="A304" s="21"/>
      <c r="B304" s="33"/>
      <c r="C304" s="21"/>
      <c r="D304" s="21"/>
      <c r="E304" s="21"/>
      <c r="F304" s="22"/>
      <c r="G304" s="21"/>
      <c r="H304" s="21"/>
      <c r="I304" s="22"/>
    </row>
    <row r="305" spans="1:9" x14ac:dyDescent="0.3">
      <c r="A305" s="21"/>
      <c r="B305" s="33"/>
      <c r="C305" s="21"/>
      <c r="D305" s="21"/>
      <c r="E305" s="21"/>
      <c r="F305" s="22"/>
      <c r="G305" s="21"/>
      <c r="H305" s="21"/>
      <c r="I305" s="22"/>
    </row>
    <row r="306" spans="1:9" x14ac:dyDescent="0.3">
      <c r="A306" s="21"/>
      <c r="B306" s="33"/>
      <c r="C306" s="21"/>
      <c r="D306" s="21"/>
      <c r="E306" s="21"/>
      <c r="F306" s="22"/>
      <c r="G306" s="21"/>
      <c r="H306" s="21"/>
      <c r="I306" s="22"/>
    </row>
    <row r="307" spans="1:9" x14ac:dyDescent="0.3">
      <c r="A307" s="21"/>
      <c r="B307" s="33"/>
      <c r="C307" s="21"/>
      <c r="D307" s="21"/>
      <c r="E307" s="21"/>
      <c r="F307" s="22"/>
      <c r="G307" s="21"/>
      <c r="H307" s="21"/>
      <c r="I307" s="22"/>
    </row>
    <row r="308" spans="1:9" x14ac:dyDescent="0.3">
      <c r="A308" s="21"/>
      <c r="B308" s="33"/>
      <c r="C308" s="21"/>
      <c r="D308" s="21"/>
      <c r="E308" s="21"/>
      <c r="F308" s="22"/>
      <c r="G308" s="21"/>
      <c r="H308" s="21"/>
      <c r="I308" s="22"/>
    </row>
    <row r="309" spans="1:9" x14ac:dyDescent="0.3">
      <c r="A309" s="21"/>
      <c r="B309" s="33"/>
      <c r="C309" s="21"/>
      <c r="D309" s="21"/>
      <c r="E309" s="21"/>
      <c r="F309" s="22"/>
      <c r="G309" s="21"/>
      <c r="H309" s="21"/>
      <c r="I309" s="22"/>
    </row>
    <row r="310" spans="1:9" x14ac:dyDescent="0.3">
      <c r="A310" s="21"/>
      <c r="B310" s="33"/>
      <c r="C310" s="21"/>
      <c r="D310" s="21"/>
      <c r="E310" s="21"/>
      <c r="F310" s="22"/>
      <c r="G310" s="21"/>
      <c r="H310" s="21"/>
      <c r="I310" s="22"/>
    </row>
    <row r="311" spans="1:9" x14ac:dyDescent="0.3">
      <c r="A311" s="21"/>
      <c r="B311" s="33"/>
      <c r="C311" s="21"/>
      <c r="D311" s="21"/>
      <c r="E311" s="21"/>
      <c r="F311" s="22"/>
      <c r="G311" s="21"/>
      <c r="H311" s="21"/>
      <c r="I311" s="22"/>
    </row>
    <row r="312" spans="1:9" x14ac:dyDescent="0.3">
      <c r="A312" s="21"/>
      <c r="B312" s="33"/>
      <c r="C312" s="21"/>
      <c r="D312" s="21"/>
      <c r="E312" s="21"/>
      <c r="F312" s="22"/>
      <c r="G312" s="21"/>
      <c r="H312" s="21"/>
      <c r="I312" s="22"/>
    </row>
    <row r="313" spans="1:9" x14ac:dyDescent="0.3">
      <c r="A313" s="21"/>
      <c r="B313" s="33"/>
      <c r="C313" s="21"/>
      <c r="D313" s="21"/>
      <c r="E313" s="21"/>
      <c r="F313" s="22"/>
      <c r="G313" s="21"/>
      <c r="H313" s="21"/>
      <c r="I313" s="22"/>
    </row>
    <row r="314" spans="1:9" x14ac:dyDescent="0.3">
      <c r="A314" s="21"/>
      <c r="B314" s="33"/>
      <c r="C314" s="21"/>
      <c r="D314" s="21"/>
      <c r="E314" s="21"/>
      <c r="F314" s="22"/>
      <c r="G314" s="21"/>
      <c r="H314" s="21"/>
      <c r="I314" s="22"/>
    </row>
    <row r="315" spans="1:9" x14ac:dyDescent="0.3">
      <c r="A315" s="21"/>
      <c r="B315" s="33"/>
      <c r="C315" s="21"/>
      <c r="D315" s="21"/>
      <c r="E315" s="21"/>
      <c r="F315" s="22"/>
      <c r="G315" s="21"/>
      <c r="H315" s="21"/>
      <c r="I315" s="22"/>
    </row>
    <row r="316" spans="1:9" x14ac:dyDescent="0.3">
      <c r="A316" s="21"/>
      <c r="B316" s="33"/>
      <c r="C316" s="21"/>
      <c r="D316" s="21"/>
      <c r="E316" s="21"/>
      <c r="F316" s="22"/>
      <c r="G316" s="21"/>
      <c r="H316" s="21"/>
      <c r="I316" s="22"/>
    </row>
    <row r="317" spans="1:9" x14ac:dyDescent="0.3">
      <c r="A317" s="21"/>
      <c r="B317" s="33"/>
      <c r="C317" s="21"/>
      <c r="D317" s="21"/>
      <c r="E317" s="21"/>
      <c r="F317" s="22"/>
      <c r="G317" s="21"/>
      <c r="H317" s="21"/>
      <c r="I317" s="22"/>
    </row>
    <row r="318" spans="1:9" x14ac:dyDescent="0.3">
      <c r="A318" s="21"/>
      <c r="B318" s="33"/>
      <c r="C318" s="21"/>
      <c r="D318" s="21"/>
      <c r="E318" s="21"/>
      <c r="F318" s="22"/>
      <c r="G318" s="21"/>
      <c r="H318" s="21"/>
      <c r="I318" s="22"/>
    </row>
    <row r="319" spans="1:9" x14ac:dyDescent="0.3">
      <c r="A319" s="21"/>
      <c r="B319" s="33"/>
      <c r="C319" s="21"/>
      <c r="D319" s="21"/>
      <c r="E319" s="21"/>
      <c r="F319" s="22"/>
      <c r="G319" s="21"/>
      <c r="H319" s="21"/>
      <c r="I319" s="22"/>
    </row>
    <row r="320" spans="1:9" x14ac:dyDescent="0.3">
      <c r="A320" s="21"/>
      <c r="B320" s="33"/>
      <c r="C320" s="21"/>
      <c r="D320" s="21"/>
      <c r="E320" s="21"/>
      <c r="F320" s="22"/>
      <c r="G320" s="21"/>
      <c r="H320" s="21"/>
      <c r="I320" s="22"/>
    </row>
    <row r="321" spans="1:9" x14ac:dyDescent="0.3">
      <c r="A321" s="21"/>
      <c r="B321" s="33"/>
      <c r="C321" s="21"/>
      <c r="D321" s="21"/>
      <c r="E321" s="21"/>
      <c r="F321" s="22"/>
      <c r="G321" s="21"/>
      <c r="H321" s="21"/>
      <c r="I321" s="22"/>
    </row>
    <row r="322" spans="1:9" x14ac:dyDescent="0.3">
      <c r="A322" s="21"/>
      <c r="B322" s="33"/>
      <c r="C322" s="21"/>
      <c r="D322" s="21"/>
      <c r="E322" s="21"/>
      <c r="F322" s="22"/>
      <c r="G322" s="21"/>
      <c r="H322" s="21"/>
      <c r="I322" s="22"/>
    </row>
    <row r="323" spans="1:9" x14ac:dyDescent="0.3">
      <c r="A323" s="21"/>
      <c r="B323" s="33"/>
      <c r="C323" s="21"/>
      <c r="D323" s="21"/>
      <c r="E323" s="21"/>
      <c r="F323" s="22"/>
      <c r="G323" s="21"/>
      <c r="H323" s="21"/>
      <c r="I323" s="22"/>
    </row>
    <row r="324" spans="1:9" x14ac:dyDescent="0.3">
      <c r="A324" s="21"/>
      <c r="B324" s="33"/>
      <c r="C324" s="21"/>
      <c r="D324" s="21"/>
      <c r="E324" s="21"/>
      <c r="F324" s="22"/>
      <c r="G324" s="21"/>
      <c r="H324" s="21"/>
      <c r="I324" s="22"/>
    </row>
    <row r="325" spans="1:9" x14ac:dyDescent="0.3">
      <c r="A325" s="21"/>
      <c r="B325" s="33"/>
      <c r="C325" s="21"/>
      <c r="D325" s="21"/>
      <c r="E325" s="21"/>
      <c r="F325" s="22"/>
      <c r="G325" s="21"/>
      <c r="H325" s="21"/>
      <c r="I325" s="22"/>
    </row>
    <row r="326" spans="1:9" x14ac:dyDescent="0.3">
      <c r="A326" s="21"/>
      <c r="B326" s="33"/>
      <c r="C326" s="21"/>
      <c r="D326" s="21"/>
      <c r="E326" s="21"/>
      <c r="F326" s="22"/>
      <c r="G326" s="21"/>
      <c r="H326" s="21"/>
      <c r="I326" s="22"/>
    </row>
    <row r="327" spans="1:9" x14ac:dyDescent="0.3">
      <c r="A327" s="21"/>
      <c r="B327" s="33"/>
      <c r="C327" s="21"/>
      <c r="D327" s="21"/>
      <c r="E327" s="21"/>
      <c r="F327" s="22"/>
      <c r="G327" s="21"/>
      <c r="H327" s="21"/>
      <c r="I327" s="22"/>
    </row>
    <row r="328" spans="1:9" x14ac:dyDescent="0.3">
      <c r="A328" s="21"/>
      <c r="B328" s="33"/>
      <c r="C328" s="21"/>
      <c r="D328" s="21"/>
      <c r="E328" s="21"/>
      <c r="F328" s="22"/>
      <c r="G328" s="21"/>
      <c r="H328" s="21"/>
      <c r="I328" s="22"/>
    </row>
    <row r="329" spans="1:9" x14ac:dyDescent="0.3">
      <c r="A329" s="21"/>
      <c r="B329" s="33"/>
      <c r="C329" s="21"/>
      <c r="D329" s="21"/>
      <c r="E329" s="21"/>
      <c r="F329" s="22"/>
      <c r="G329" s="21"/>
      <c r="H329" s="21"/>
      <c r="I329" s="22"/>
    </row>
    <row r="330" spans="1:9" x14ac:dyDescent="0.3">
      <c r="A330" s="21"/>
      <c r="B330" s="33"/>
      <c r="C330" s="21"/>
      <c r="D330" s="21"/>
      <c r="E330" s="21"/>
      <c r="F330" s="22"/>
      <c r="G330" s="21"/>
      <c r="H330" s="21"/>
      <c r="I330" s="22"/>
    </row>
    <row r="331" spans="1:9" x14ac:dyDescent="0.3">
      <c r="A331" s="21"/>
      <c r="B331" s="33"/>
      <c r="C331" s="21"/>
      <c r="D331" s="21"/>
      <c r="E331" s="21"/>
      <c r="F331" s="22"/>
      <c r="G331" s="21"/>
      <c r="H331" s="21"/>
      <c r="I331" s="22"/>
    </row>
    <row r="332" spans="1:9" x14ac:dyDescent="0.3">
      <c r="A332" s="21"/>
      <c r="B332" s="33"/>
      <c r="C332" s="21"/>
      <c r="D332" s="21"/>
      <c r="E332" s="21"/>
      <c r="F332" s="22"/>
      <c r="G332" s="21"/>
      <c r="H332" s="21"/>
      <c r="I332" s="22"/>
    </row>
    <row r="333" spans="1:9" x14ac:dyDescent="0.3">
      <c r="A333" s="21"/>
      <c r="B333" s="33"/>
      <c r="C333" s="21"/>
      <c r="D333" s="21"/>
      <c r="E333" s="21"/>
      <c r="F333" s="22"/>
      <c r="G333" s="21"/>
      <c r="H333" s="21"/>
      <c r="I333" s="22"/>
    </row>
    <row r="334" spans="1:9" x14ac:dyDescent="0.3">
      <c r="A334" s="21"/>
      <c r="B334" s="33"/>
      <c r="C334" s="21"/>
      <c r="D334" s="21"/>
      <c r="E334" s="21"/>
      <c r="F334" s="22"/>
      <c r="G334" s="21"/>
      <c r="H334" s="21"/>
      <c r="I334" s="22"/>
    </row>
    <row r="335" spans="1:9" x14ac:dyDescent="0.3">
      <c r="A335" s="21"/>
      <c r="B335" s="33"/>
      <c r="C335" s="21"/>
      <c r="D335" s="21"/>
      <c r="E335" s="21"/>
      <c r="F335" s="22"/>
      <c r="G335" s="21"/>
      <c r="H335" s="21"/>
      <c r="I335" s="22"/>
    </row>
    <row r="336" spans="1:9" x14ac:dyDescent="0.3">
      <c r="A336" s="21"/>
      <c r="B336" s="33"/>
      <c r="C336" s="21"/>
      <c r="D336" s="21"/>
      <c r="E336" s="21"/>
      <c r="F336" s="22"/>
      <c r="G336" s="21"/>
      <c r="H336" s="21"/>
      <c r="I336" s="22"/>
    </row>
    <row r="337" spans="1:9" x14ac:dyDescent="0.3">
      <c r="A337" s="21"/>
      <c r="B337" s="33"/>
      <c r="C337" s="21"/>
      <c r="D337" s="21"/>
      <c r="E337" s="21"/>
      <c r="F337" s="22"/>
      <c r="G337" s="21"/>
      <c r="H337" s="21"/>
      <c r="I337" s="22"/>
    </row>
    <row r="338" spans="1:9" x14ac:dyDescent="0.3">
      <c r="A338" s="21"/>
      <c r="B338" s="33"/>
      <c r="C338" s="21"/>
      <c r="D338" s="21"/>
      <c r="E338" s="21"/>
      <c r="F338" s="22"/>
      <c r="G338" s="21"/>
      <c r="H338" s="21"/>
      <c r="I338" s="22"/>
    </row>
    <row r="339" spans="1:9" x14ac:dyDescent="0.3">
      <c r="A339" s="21"/>
      <c r="B339" s="33"/>
      <c r="C339" s="21"/>
      <c r="D339" s="21"/>
      <c r="E339" s="21"/>
      <c r="F339" s="22"/>
      <c r="G339" s="21"/>
      <c r="H339" s="21"/>
      <c r="I339" s="22"/>
    </row>
    <row r="340" spans="1:9" x14ac:dyDescent="0.3">
      <c r="A340" s="21"/>
      <c r="B340" s="33"/>
      <c r="C340" s="21"/>
      <c r="D340" s="21"/>
      <c r="E340" s="21"/>
      <c r="F340" s="22"/>
      <c r="G340" s="21"/>
      <c r="H340" s="21"/>
      <c r="I340" s="22"/>
    </row>
    <row r="341" spans="1:9" x14ac:dyDescent="0.3">
      <c r="A341" s="21"/>
      <c r="B341" s="33"/>
      <c r="C341" s="21"/>
      <c r="D341" s="21"/>
      <c r="E341" s="21"/>
      <c r="F341" s="22"/>
      <c r="G341" s="21"/>
      <c r="H341" s="21"/>
      <c r="I341" s="22"/>
    </row>
    <row r="342" spans="1:9" x14ac:dyDescent="0.3"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conditionalFormatting sqref="F4:F100 I4:I100">
    <cfRule type="cellIs" dxfId="9" priority="1" stopIfTrue="1" operator="lessThanOrEqual">
      <formula>-0.1</formula>
    </cfRule>
    <cfRule type="expression" dxfId="8" priority="2">
      <formula>AND(ISNUMBER(F4), F4&gt;=0.1)</formula>
    </cfRule>
  </conditionalFormatting>
  <hyperlinks>
    <hyperlink ref="K7" r:id="rId1" display="https://us3.assetplanner.com/service_request?ID=101589" xr:uid="{CD4112E2-572D-4E6B-A880-177C068DD1D3}"/>
    <hyperlink ref="K10" r:id="rId2" display="https://us3.assetplanner.com/service_request?ID=102087" xr:uid="{86704985-2E60-46D4-91CC-89980F897AAE}"/>
    <hyperlink ref="K12" r:id="rId3" display="https://us3.assetplanner.com/service_request?ID=102088" xr:uid="{2CA57561-5A62-4692-B211-58B997D74C86}"/>
    <hyperlink ref="K15" r:id="rId4" display="https://us3.assetplanner.com/service_request?ID=106651" xr:uid="{28FB5FC5-CFDB-4CA0-ADB2-C4F3829B407E}"/>
  </hyperlinks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L342"/>
  <sheetViews>
    <sheetView tabSelected="1" zoomScale="90" zoomScaleNormal="90" workbookViewId="0">
      <pane xSplit="2" ySplit="3" topLeftCell="J23" activePane="bottomRight" state="frozen"/>
      <selection pane="topRight" activeCell="P19" sqref="P19:P20"/>
      <selection pane="bottomLeft" activeCell="P19" sqref="P19:P20"/>
      <selection pane="bottomRight" activeCell="N11" sqref="N11"/>
    </sheetView>
  </sheetViews>
  <sheetFormatPr defaultRowHeight="13.8" x14ac:dyDescent="0.25"/>
  <cols>
    <col min="1" max="1" width="35.88671875" bestFit="1" customWidth="1"/>
    <col min="2" max="2" width="8.44140625" style="34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  <col min="12" max="12" width="12.88671875" customWidth="1"/>
  </cols>
  <sheetData>
    <row r="1" spans="1:12" ht="19.5" customHeight="1" x14ac:dyDescent="0.25">
      <c r="A1" s="89" t="str" cm="1">
        <f t="array" ref="A1">portfolio</f>
        <v>Cushman &amp; Wakefield</v>
      </c>
      <c r="B1" s="89"/>
      <c r="C1" s="89"/>
      <c r="D1" s="90" t="s">
        <v>156</v>
      </c>
      <c r="E1" s="90"/>
      <c r="F1" s="90"/>
      <c r="G1" s="88" t="s">
        <v>157</v>
      </c>
      <c r="H1" s="88"/>
      <c r="I1" s="88"/>
      <c r="J1" s="4"/>
      <c r="K1" s="4"/>
      <c r="L1" s="4"/>
    </row>
    <row r="2" spans="1:12" ht="19.5" customHeight="1" x14ac:dyDescent="0.25">
      <c r="A2" s="91" t="s">
        <v>2</v>
      </c>
      <c r="B2" s="91"/>
      <c r="C2" s="5">
        <f>SUM(C4:C100)</f>
        <v>28531.281999999996</v>
      </c>
      <c r="D2" s="5">
        <f>SUM(D4:D100)</f>
        <v>0</v>
      </c>
      <c r="E2" s="5">
        <f>C2-D2</f>
        <v>28531.281999999996</v>
      </c>
      <c r="F2" s="6">
        <f>IFERROR(E2/D2, 0)</f>
        <v>0</v>
      </c>
      <c r="G2" s="5">
        <f>SUM(G4:G100)</f>
        <v>0</v>
      </c>
      <c r="H2" s="7">
        <f>C2-G2</f>
        <v>28531.281999999996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  <c r="L2" s="4"/>
    </row>
    <row r="3" spans="1:12" ht="14.25" customHeight="1" x14ac:dyDescent="0.25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  <c r="L3" s="25" t="s">
        <v>150</v>
      </c>
    </row>
    <row r="4" spans="1:12" ht="15.6" x14ac:dyDescent="0.3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63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  <c r="L4" s="41"/>
    </row>
    <row r="5" spans="1:12" ht="15.6" x14ac:dyDescent="0.25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64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42"/>
    </row>
    <row r="6" spans="1:12" ht="15.6" x14ac:dyDescent="0.25">
      <c r="A6" s="28" t="str">
        <v xml:space="preserve"> Arvin - Bank of America</v>
      </c>
      <c r="B6" s="29" t="str">
        <v>CA</v>
      </c>
      <c r="C6" s="24">
        <v>53.124000000000002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63" t="s">
        <v>22</v>
      </c>
      <c r="H6" s="15" t="str">
        <f t="shared" si="1"/>
        <v/>
      </c>
      <c r="I6" s="16" t="str">
        <f t="shared" si="2"/>
        <v/>
      </c>
      <c r="J6" s="41"/>
      <c r="K6" s="41"/>
      <c r="L6" s="41"/>
    </row>
    <row r="7" spans="1:12" ht="28.8" x14ac:dyDescent="0.25">
      <c r="A7" s="30" t="str">
        <v xml:space="preserve"> Bell - Bank of America</v>
      </c>
      <c r="B7" s="31" t="str">
        <v>CA</v>
      </c>
      <c r="C7" s="11">
        <v>1315.54</v>
      </c>
      <c r="D7" s="18" t="s">
        <v>22</v>
      </c>
      <c r="E7" s="18" t="str">
        <f t="shared" si="0"/>
        <v/>
      </c>
      <c r="F7" s="19" t="str">
        <f t="shared" si="3"/>
        <v/>
      </c>
      <c r="G7" s="64" t="s">
        <v>22</v>
      </c>
      <c r="H7" s="20" t="str">
        <f t="shared" si="1"/>
        <v/>
      </c>
      <c r="I7" s="19" t="str">
        <f t="shared" si="2"/>
        <v/>
      </c>
      <c r="J7" s="42" t="s">
        <v>158</v>
      </c>
      <c r="K7" s="68" t="s">
        <v>159</v>
      </c>
      <c r="L7" s="86" t="s">
        <v>160</v>
      </c>
    </row>
    <row r="8" spans="1:12" ht="15.6" x14ac:dyDescent="0.25">
      <c r="A8" s="28" t="str">
        <v xml:space="preserve"> Chula Vista - Bank of America</v>
      </c>
      <c r="B8" s="29" t="str">
        <v>CA</v>
      </c>
      <c r="C8" s="24">
        <v>879.88900000000001</v>
      </c>
      <c r="D8" s="13" t="s">
        <v>22</v>
      </c>
      <c r="E8" s="13" t="str">
        <f t="shared" si="0"/>
        <v/>
      </c>
      <c r="F8" s="14" t="str">
        <f t="shared" si="3"/>
        <v/>
      </c>
      <c r="G8" s="63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41"/>
    </row>
    <row r="9" spans="1:12" ht="15.6" x14ac:dyDescent="0.25">
      <c r="A9" s="30" t="str">
        <v xml:space="preserve"> Cupertino - Bank of America</v>
      </c>
      <c r="B9" s="31" t="str">
        <v>CA</v>
      </c>
      <c r="C9" s="11">
        <v>1056.1659999999999</v>
      </c>
      <c r="D9" s="18" t="s">
        <v>22</v>
      </c>
      <c r="E9" s="18" t="str">
        <f t="shared" si="0"/>
        <v/>
      </c>
      <c r="F9" s="19" t="str">
        <f t="shared" si="3"/>
        <v/>
      </c>
      <c r="G9" s="64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43"/>
    </row>
    <row r="10" spans="1:12" ht="28.8" x14ac:dyDescent="0.25">
      <c r="A10" s="28" t="str">
        <v xml:space="preserve"> Diamond Bar - Bank of America</v>
      </c>
      <c r="B10" s="29" t="str">
        <v>CA</v>
      </c>
      <c r="C10" s="24">
        <v>1784.3620000000001</v>
      </c>
      <c r="D10" s="13" t="s">
        <v>22</v>
      </c>
      <c r="E10" s="13" t="str">
        <f t="shared" si="0"/>
        <v/>
      </c>
      <c r="F10" s="14" t="str">
        <f t="shared" si="3"/>
        <v/>
      </c>
      <c r="G10" s="63" t="s">
        <v>22</v>
      </c>
      <c r="H10" s="15" t="str">
        <f t="shared" si="1"/>
        <v/>
      </c>
      <c r="I10" s="16" t="str">
        <f t="shared" si="2"/>
        <v/>
      </c>
      <c r="J10" s="41" t="s">
        <v>147</v>
      </c>
      <c r="K10" s="65" t="s">
        <v>120</v>
      </c>
      <c r="L10" s="41" t="s">
        <v>160</v>
      </c>
    </row>
    <row r="11" spans="1:12" ht="15.6" x14ac:dyDescent="0.3">
      <c r="A11" s="30" t="str">
        <v xml:space="preserve"> El Centro - Bank of America</v>
      </c>
      <c r="B11" s="31" t="str">
        <v>CA</v>
      </c>
      <c r="C11" s="85">
        <v>1824.3779999999999</v>
      </c>
      <c r="D11" s="18" t="s">
        <v>22</v>
      </c>
      <c r="E11" s="18" t="str">
        <f t="shared" si="0"/>
        <v/>
      </c>
      <c r="F11" s="19" t="str">
        <f t="shared" si="3"/>
        <v/>
      </c>
      <c r="G11" s="64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43"/>
    </row>
    <row r="12" spans="1:12" ht="15.6" x14ac:dyDescent="0.25">
      <c r="A12" s="28" t="str">
        <v xml:space="preserve"> Moreno Valley - Bank of America</v>
      </c>
      <c r="B12" s="29" t="str">
        <v>CA</v>
      </c>
      <c r="C12" s="24">
        <v>2427.9749999999999</v>
      </c>
      <c r="D12" s="13" t="s">
        <v>22</v>
      </c>
      <c r="E12" s="13" t="str">
        <f t="shared" si="0"/>
        <v/>
      </c>
      <c r="F12" s="14" t="str">
        <f t="shared" si="3"/>
        <v/>
      </c>
      <c r="G12" s="63" t="s">
        <v>22</v>
      </c>
      <c r="H12" s="15" t="str">
        <f t="shared" si="1"/>
        <v/>
      </c>
      <c r="I12" s="16" t="str">
        <f t="shared" si="2"/>
        <v/>
      </c>
      <c r="J12" s="41"/>
      <c r="K12" s="41"/>
      <c r="L12" s="41"/>
    </row>
    <row r="13" spans="1:12" ht="15.6" x14ac:dyDescent="0.25">
      <c r="A13" s="30" t="str">
        <v xml:space="preserve"> Redlands - Bank of America</v>
      </c>
      <c r="B13" s="31" t="str">
        <v>CA</v>
      </c>
      <c r="C13" s="11">
        <v>0</v>
      </c>
      <c r="D13" s="18" t="s">
        <v>22</v>
      </c>
      <c r="E13" s="18" t="str">
        <f t="shared" si="0"/>
        <v/>
      </c>
      <c r="F13" s="19" t="str">
        <f t="shared" si="3"/>
        <v/>
      </c>
      <c r="G13" s="64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43"/>
    </row>
    <row r="14" spans="1:12" ht="15.6" x14ac:dyDescent="0.25">
      <c r="A14" s="28" t="str">
        <v xml:space="preserve"> Roseville - Bank of America</v>
      </c>
      <c r="B14" s="29" t="str">
        <v>CA</v>
      </c>
      <c r="C14" s="24">
        <v>2466.5239999999999</v>
      </c>
      <c r="D14" s="13" t="s">
        <v>22</v>
      </c>
      <c r="E14" s="13" t="str">
        <f t="shared" si="0"/>
        <v/>
      </c>
      <c r="F14" s="14" t="str">
        <f t="shared" si="3"/>
        <v/>
      </c>
      <c r="G14" s="63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41"/>
    </row>
    <row r="15" spans="1:12" ht="15.6" x14ac:dyDescent="0.25">
      <c r="A15" s="30" t="str">
        <v xml:space="preserve"> San Bernardino - Bank of America</v>
      </c>
      <c r="B15" s="31" t="str">
        <v>CA</v>
      </c>
      <c r="C15" s="11">
        <v>42.65</v>
      </c>
      <c r="D15" s="18" t="s">
        <v>22</v>
      </c>
      <c r="E15" s="18" t="str">
        <f t="shared" si="0"/>
        <v/>
      </c>
      <c r="F15" s="19" t="str">
        <f t="shared" si="3"/>
        <v/>
      </c>
      <c r="G15" s="64" t="s">
        <v>22</v>
      </c>
      <c r="H15" s="20" t="str">
        <f t="shared" si="1"/>
        <v/>
      </c>
      <c r="I15" s="19" t="str">
        <f t="shared" si="2"/>
        <v/>
      </c>
      <c r="J15" s="42"/>
      <c r="K15" s="43"/>
      <c r="L15" s="43"/>
    </row>
    <row r="16" spans="1:12" ht="15.6" x14ac:dyDescent="0.25">
      <c r="A16" s="28" t="str">
        <v xml:space="preserve"> San Diego - Bank of America</v>
      </c>
      <c r="B16" s="29" t="str">
        <v>CA</v>
      </c>
      <c r="C16" s="24">
        <v>23.088999999999999</v>
      </c>
      <c r="D16" s="13" t="s">
        <v>22</v>
      </c>
      <c r="E16" s="13" t="str">
        <f t="shared" si="0"/>
        <v/>
      </c>
      <c r="F16" s="14" t="str">
        <f t="shared" si="3"/>
        <v/>
      </c>
      <c r="G16" s="63" t="s">
        <v>22</v>
      </c>
      <c r="H16" s="15" t="str">
        <f t="shared" si="1"/>
        <v/>
      </c>
      <c r="I16" s="16" t="str">
        <f t="shared" si="2"/>
        <v/>
      </c>
      <c r="J16" s="41"/>
      <c r="K16" s="41"/>
      <c r="L16" s="41"/>
    </row>
    <row r="17" spans="1:12" ht="15.6" x14ac:dyDescent="0.25">
      <c r="A17" s="30" t="str">
        <v xml:space="preserve"> Stockton - Bank of America</v>
      </c>
      <c r="B17" s="31" t="str">
        <v>CA</v>
      </c>
      <c r="C17" s="11">
        <v>372.93799999999999</v>
      </c>
      <c r="D17" s="18" t="s">
        <v>22</v>
      </c>
      <c r="E17" s="18" t="str">
        <f t="shared" si="0"/>
        <v/>
      </c>
      <c r="F17" s="19" t="str">
        <f t="shared" si="3"/>
        <v/>
      </c>
      <c r="G17" s="64" t="s">
        <v>22</v>
      </c>
      <c r="H17" s="20" t="str">
        <f t="shared" si="1"/>
        <v/>
      </c>
      <c r="I17" s="19" t="str">
        <f t="shared" si="2"/>
        <v/>
      </c>
      <c r="J17" s="42"/>
      <c r="K17" s="43"/>
      <c r="L17" s="43"/>
    </row>
    <row r="18" spans="1:12" ht="12.75" customHeight="1" x14ac:dyDescent="0.25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63" t="s">
        <v>22</v>
      </c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  <c r="L18" s="41"/>
    </row>
    <row r="19" spans="1:12" ht="15.6" x14ac:dyDescent="0.25">
      <c r="A19" s="30" t="str">
        <v xml:space="preserve"> Aurora - BA - Colfax Ave</v>
      </c>
      <c r="B19" s="31" t="str">
        <v>CO</v>
      </c>
      <c r="C19" s="11">
        <v>660.84400000000005</v>
      </c>
      <c r="D19" s="18" t="s">
        <v>22</v>
      </c>
      <c r="E19" s="18" t="str">
        <f t="shared" si="4"/>
        <v/>
      </c>
      <c r="F19" s="19" t="str">
        <f t="shared" si="5"/>
        <v/>
      </c>
      <c r="G19" s="64" t="s">
        <v>22</v>
      </c>
      <c r="H19" s="20" t="str">
        <f t="shared" si="6"/>
        <v/>
      </c>
      <c r="I19" s="19" t="str">
        <f t="shared" si="7"/>
        <v/>
      </c>
      <c r="J19" s="42"/>
      <c r="K19" s="43"/>
      <c r="L19" s="43"/>
    </row>
    <row r="20" spans="1:12" ht="15.6" x14ac:dyDescent="0.25">
      <c r="A20" s="28" t="str">
        <v xml:space="preserve"> Aurora - BA - Parker Rd</v>
      </c>
      <c r="B20" s="29" t="str">
        <v>CO</v>
      </c>
      <c r="C20" s="24">
        <v>1881.704</v>
      </c>
      <c r="D20" s="13" t="s">
        <v>22</v>
      </c>
      <c r="E20" s="13" t="str">
        <f t="shared" si="4"/>
        <v/>
      </c>
      <c r="F20" s="14" t="str">
        <f t="shared" si="5"/>
        <v/>
      </c>
      <c r="G20" s="63" t="s">
        <v>22</v>
      </c>
      <c r="H20" s="15" t="str">
        <f t="shared" si="6"/>
        <v/>
      </c>
      <c r="I20" s="16" t="str">
        <f t="shared" si="7"/>
        <v/>
      </c>
      <c r="J20" s="41"/>
      <c r="K20" s="41"/>
      <c r="L20" s="41"/>
    </row>
    <row r="21" spans="1:12" ht="15.6" x14ac:dyDescent="0.25">
      <c r="A21" s="30" t="str">
        <v xml:space="preserve"> Broomfield - Bank of America</v>
      </c>
      <c r="B21" s="31" t="str">
        <v>CO</v>
      </c>
      <c r="C21" s="11">
        <v>716.08500000000004</v>
      </c>
      <c r="D21" s="18" t="s">
        <v>22</v>
      </c>
      <c r="E21" s="18" t="str">
        <f t="shared" si="4"/>
        <v/>
      </c>
      <c r="F21" s="19" t="str">
        <f t="shared" si="5"/>
        <v/>
      </c>
      <c r="G21" s="64" t="s">
        <v>22</v>
      </c>
      <c r="H21" s="20" t="str">
        <f t="shared" si="6"/>
        <v/>
      </c>
      <c r="I21" s="19" t="str">
        <f t="shared" si="7"/>
        <v/>
      </c>
      <c r="J21" s="42"/>
      <c r="K21" s="43"/>
      <c r="L21" s="43"/>
    </row>
    <row r="22" spans="1:12" ht="15.6" x14ac:dyDescent="0.25">
      <c r="A22" s="28" t="str">
        <v xml:space="preserve"> Colorado Springs - Bank of America</v>
      </c>
      <c r="B22" s="29" t="str">
        <v>CO</v>
      </c>
      <c r="C22" s="24">
        <v>1629.405</v>
      </c>
      <c r="D22" s="13" t="s">
        <v>22</v>
      </c>
      <c r="E22" s="13" t="str">
        <f t="shared" si="4"/>
        <v/>
      </c>
      <c r="F22" s="14" t="str">
        <f t="shared" si="5"/>
        <v/>
      </c>
      <c r="G22" s="63" t="s">
        <v>22</v>
      </c>
      <c r="H22" s="15" t="str">
        <f t="shared" si="6"/>
        <v/>
      </c>
      <c r="I22" s="16" t="str">
        <f t="shared" si="7"/>
        <v/>
      </c>
      <c r="J22" s="41"/>
      <c r="K22" s="41"/>
      <c r="L22" s="41"/>
    </row>
    <row r="23" spans="1:12" ht="15.6" x14ac:dyDescent="0.25">
      <c r="A23" s="30" t="str">
        <v xml:space="preserve"> Denver - BA - 49th Ave</v>
      </c>
      <c r="B23" s="31" t="str">
        <v>CO</v>
      </c>
      <c r="C23" s="11">
        <v>526.86599999999999</v>
      </c>
      <c r="D23" s="18" t="s">
        <v>22</v>
      </c>
      <c r="E23" s="18" t="str">
        <f t="shared" si="4"/>
        <v/>
      </c>
      <c r="F23" s="19" t="str">
        <f t="shared" si="5"/>
        <v/>
      </c>
      <c r="G23" s="64" t="s">
        <v>22</v>
      </c>
      <c r="H23" s="20" t="str">
        <f t="shared" si="6"/>
        <v/>
      </c>
      <c r="I23" s="19" t="str">
        <f t="shared" si="7"/>
        <v/>
      </c>
      <c r="J23" s="42"/>
      <c r="K23" s="43"/>
      <c r="L23" s="43"/>
    </row>
    <row r="24" spans="1:12" ht="15.6" x14ac:dyDescent="0.25">
      <c r="A24" s="28" t="str">
        <v xml:space="preserve"> Denver - BA Wadsworth Blvd</v>
      </c>
      <c r="B24" s="29" t="str">
        <v>CO</v>
      </c>
      <c r="C24" s="24">
        <v>1332.5229999999999</v>
      </c>
      <c r="D24" s="13" t="s">
        <v>22</v>
      </c>
      <c r="E24" s="13" t="str">
        <f t="shared" si="4"/>
        <v/>
      </c>
      <c r="F24" s="14" t="str">
        <f t="shared" si="5"/>
        <v/>
      </c>
      <c r="G24" s="63" t="s">
        <v>22</v>
      </c>
      <c r="H24" s="15" t="str">
        <f t="shared" si="6"/>
        <v/>
      </c>
      <c r="I24" s="16" t="str">
        <f t="shared" si="7"/>
        <v/>
      </c>
      <c r="J24" s="41"/>
      <c r="K24" s="41"/>
      <c r="L24" s="41"/>
    </row>
    <row r="25" spans="1:12" ht="15.6" x14ac:dyDescent="0.25">
      <c r="A25" s="30" t="str">
        <v xml:space="preserve"> Fort Collins - Bank of America</v>
      </c>
      <c r="B25" s="31" t="str">
        <v>CO</v>
      </c>
      <c r="C25" s="11">
        <v>831.20399999999995</v>
      </c>
      <c r="D25" s="18" t="s">
        <v>22</v>
      </c>
      <c r="E25" s="18" t="str">
        <f t="shared" si="4"/>
        <v/>
      </c>
      <c r="F25" s="19" t="str">
        <f t="shared" si="5"/>
        <v/>
      </c>
      <c r="G25" s="64" t="s">
        <v>22</v>
      </c>
      <c r="H25" s="20" t="str">
        <f t="shared" si="6"/>
        <v/>
      </c>
      <c r="I25" s="19" t="str">
        <f t="shared" si="7"/>
        <v/>
      </c>
      <c r="J25" s="42"/>
      <c r="K25" s="42"/>
      <c r="L25" s="42"/>
    </row>
    <row r="26" spans="1:12" ht="15.6" x14ac:dyDescent="0.25">
      <c r="A26" s="28" t="str">
        <v xml:space="preserve"> Lafayette - Bank of America</v>
      </c>
      <c r="B26" s="29" t="str">
        <v>CO</v>
      </c>
      <c r="C26" s="24">
        <v>1201.366</v>
      </c>
      <c r="D26" s="13" t="s">
        <v>22</v>
      </c>
      <c r="E26" s="13" t="str">
        <f t="shared" si="4"/>
        <v/>
      </c>
      <c r="F26" s="14" t="str">
        <f t="shared" si="5"/>
        <v/>
      </c>
      <c r="G26" s="63" t="s">
        <v>22</v>
      </c>
      <c r="H26" s="15" t="str">
        <f t="shared" si="6"/>
        <v/>
      </c>
      <c r="I26" s="16" t="str">
        <f t="shared" si="7"/>
        <v/>
      </c>
      <c r="J26" s="41"/>
      <c r="K26" s="41"/>
      <c r="L26" s="41"/>
    </row>
    <row r="27" spans="1:12" ht="15.6" x14ac:dyDescent="0.25">
      <c r="A27" s="30" t="str">
        <v xml:space="preserve"> Lakewood - Bank of America</v>
      </c>
      <c r="B27" s="31" t="str">
        <v>CO</v>
      </c>
      <c r="C27" s="11">
        <v>565.26700000000005</v>
      </c>
      <c r="D27" s="18" t="s">
        <v>22</v>
      </c>
      <c r="E27" s="18" t="str">
        <f t="shared" si="4"/>
        <v/>
      </c>
      <c r="F27" s="19" t="str">
        <f t="shared" si="5"/>
        <v/>
      </c>
      <c r="G27" s="64" t="s">
        <v>22</v>
      </c>
      <c r="H27" s="20" t="str">
        <f t="shared" si="6"/>
        <v/>
      </c>
      <c r="I27" s="19" t="str">
        <f t="shared" si="7"/>
        <v/>
      </c>
      <c r="J27" s="42"/>
      <c r="K27" s="43"/>
      <c r="L27" s="43"/>
    </row>
    <row r="28" spans="1:12" ht="15.6" x14ac:dyDescent="0.25">
      <c r="A28" s="28" t="str">
        <v xml:space="preserve"> Longmont - Bank of America</v>
      </c>
      <c r="B28" s="29" t="str">
        <v>CO</v>
      </c>
      <c r="C28" s="24">
        <v>525.97199999999998</v>
      </c>
      <c r="D28" s="13" t="s">
        <v>22</v>
      </c>
      <c r="E28" s="13" t="str">
        <f t="shared" si="4"/>
        <v/>
      </c>
      <c r="F28" s="14" t="str">
        <f t="shared" si="5"/>
        <v/>
      </c>
      <c r="G28" s="63" t="s">
        <v>22</v>
      </c>
      <c r="H28" s="15" t="str">
        <f t="shared" si="6"/>
        <v/>
      </c>
      <c r="I28" s="16" t="str">
        <f t="shared" si="7"/>
        <v/>
      </c>
      <c r="J28" s="41"/>
      <c r="K28" s="41"/>
      <c r="L28" s="41"/>
    </row>
    <row r="29" spans="1:12" ht="15.6" x14ac:dyDescent="0.25">
      <c r="A29" s="30" t="str">
        <v xml:space="preserve"> Thornton - Bank of America</v>
      </c>
      <c r="B29" s="31" t="str">
        <v>CO</v>
      </c>
      <c r="C29" s="11">
        <v>646.67600000000004</v>
      </c>
      <c r="D29" s="18" t="s">
        <v>22</v>
      </c>
      <c r="E29" s="18" t="str">
        <f t="shared" si="4"/>
        <v/>
      </c>
      <c r="F29" s="19" t="str">
        <f t="shared" si="5"/>
        <v/>
      </c>
      <c r="G29" s="64" t="s">
        <v>22</v>
      </c>
      <c r="H29" s="20" t="str">
        <f t="shared" si="6"/>
        <v/>
      </c>
      <c r="I29" s="19" t="str">
        <f t="shared" si="7"/>
        <v/>
      </c>
      <c r="J29" s="42"/>
      <c r="K29" s="43"/>
      <c r="L29" s="43"/>
    </row>
    <row r="30" spans="1:12" ht="15.6" x14ac:dyDescent="0.25">
      <c r="A30" s="28" t="str">
        <v xml:space="preserve"> Calumet City - Bank of America</v>
      </c>
      <c r="B30" s="29" t="str">
        <v>IL</v>
      </c>
      <c r="C30" s="24">
        <v>1010.516</v>
      </c>
      <c r="D30" s="13" t="s">
        <v>22</v>
      </c>
      <c r="E30" s="13" t="str">
        <f t="shared" si="4"/>
        <v/>
      </c>
      <c r="F30" s="14" t="str">
        <f t="shared" si="5"/>
        <v/>
      </c>
      <c r="G30" s="63" t="s">
        <v>22</v>
      </c>
      <c r="H30" s="15" t="str">
        <f t="shared" si="6"/>
        <v/>
      </c>
      <c r="I30" s="16" t="str">
        <f t="shared" si="7"/>
        <v/>
      </c>
      <c r="J30" s="41"/>
      <c r="K30" s="41"/>
      <c r="L30" s="41"/>
    </row>
    <row r="31" spans="1:12" ht="15.6" x14ac:dyDescent="0.25">
      <c r="A31" s="30" t="str">
        <v xml:space="preserve"> Downers Grove - Bank of America</v>
      </c>
      <c r="B31" s="31" t="str">
        <v>IL</v>
      </c>
      <c r="C31" s="11">
        <v>1186.94</v>
      </c>
      <c r="D31" s="18" t="s">
        <v>22</v>
      </c>
      <c r="E31" s="18" t="str">
        <f t="shared" si="4"/>
        <v/>
      </c>
      <c r="F31" s="19" t="str">
        <f t="shared" si="5"/>
        <v/>
      </c>
      <c r="G31" s="64" t="s">
        <v>22</v>
      </c>
      <c r="H31" s="20" t="str">
        <f t="shared" si="6"/>
        <v/>
      </c>
      <c r="I31" s="19" t="str">
        <f t="shared" si="7"/>
        <v/>
      </c>
      <c r="J31" s="42"/>
      <c r="K31" s="43"/>
      <c r="L31" s="43"/>
    </row>
    <row r="32" spans="1:12" ht="15.6" x14ac:dyDescent="0.25">
      <c r="A32" s="28" t="str">
        <v xml:space="preserve"> Bloomington - Bank of America</v>
      </c>
      <c r="B32" s="29" t="str">
        <v>MN</v>
      </c>
      <c r="C32" s="24">
        <v>166.589</v>
      </c>
      <c r="D32" s="13" t="s">
        <v>22</v>
      </c>
      <c r="E32" s="13" t="str">
        <f t="shared" si="4"/>
        <v/>
      </c>
      <c r="F32" s="14" t="str">
        <f t="shared" si="5"/>
        <v/>
      </c>
      <c r="G32" s="63" t="s">
        <v>22</v>
      </c>
      <c r="H32" s="15" t="str">
        <f t="shared" si="6"/>
        <v/>
      </c>
      <c r="I32" s="16" t="str">
        <f t="shared" si="7"/>
        <v/>
      </c>
      <c r="J32" s="41"/>
      <c r="K32" s="41"/>
      <c r="L32" s="41"/>
    </row>
    <row r="33" spans="1:12" ht="15.6" x14ac:dyDescent="0.25">
      <c r="A33" s="30" t="str">
        <v xml:space="preserve"> Clayton - Bank of America</v>
      </c>
      <c r="B33" s="31" t="str">
        <v>MO</v>
      </c>
      <c r="C33" s="11">
        <v>1145.643</v>
      </c>
      <c r="D33" s="18" t="s">
        <v>22</v>
      </c>
      <c r="E33" s="18" t="str">
        <f t="shared" si="4"/>
        <v/>
      </c>
      <c r="F33" s="19" t="str">
        <f t="shared" si="5"/>
        <v/>
      </c>
      <c r="G33" s="64" t="s">
        <v>22</v>
      </c>
      <c r="H33" s="20" t="str">
        <f t="shared" si="6"/>
        <v/>
      </c>
      <c r="I33" s="19" t="str">
        <f t="shared" si="7"/>
        <v/>
      </c>
      <c r="J33" s="42"/>
      <c r="K33" s="42"/>
      <c r="L33" s="42"/>
    </row>
    <row r="34" spans="1:12" ht="15.6" x14ac:dyDescent="0.25">
      <c r="A34" s="28" t="str">
        <v xml:space="preserve"> Manchester - Bank of America</v>
      </c>
      <c r="B34" s="29" t="str">
        <v>MO</v>
      </c>
      <c r="C34" s="24">
        <v>903.66200000000003</v>
      </c>
      <c r="D34" s="13" t="s">
        <v>22</v>
      </c>
      <c r="E34" s="13" t="str">
        <f t="shared" si="4"/>
        <v/>
      </c>
      <c r="F34" s="14" t="str">
        <f t="shared" si="5"/>
        <v/>
      </c>
      <c r="G34" s="63" t="s">
        <v>22</v>
      </c>
      <c r="H34" s="15" t="str">
        <f t="shared" si="6"/>
        <v/>
      </c>
      <c r="I34" s="16" t="str">
        <f t="shared" si="7"/>
        <v/>
      </c>
      <c r="J34" s="41"/>
      <c r="K34" s="41"/>
      <c r="L34" s="41"/>
    </row>
    <row r="35" spans="1:12" ht="15.6" x14ac:dyDescent="0.25">
      <c r="A35" s="30" t="str">
        <v xml:space="preserve"> Las Vegas - BA - Eastern Ave</v>
      </c>
      <c r="B35" s="31" t="str">
        <v>NV</v>
      </c>
      <c r="C35" s="11">
        <v>29.173999999999999</v>
      </c>
      <c r="D35" s="18" t="s">
        <v>22</v>
      </c>
      <c r="E35" s="18" t="str">
        <f t="shared" si="4"/>
        <v/>
      </c>
      <c r="F35" s="19" t="str">
        <f t="shared" si="5"/>
        <v/>
      </c>
      <c r="G35" s="64" t="s">
        <v>22</v>
      </c>
      <c r="H35" s="20" t="str">
        <f t="shared" si="6"/>
        <v/>
      </c>
      <c r="I35" s="19" t="str">
        <f t="shared" si="7"/>
        <v/>
      </c>
      <c r="J35" s="42"/>
      <c r="K35" s="43"/>
      <c r="L35" s="43"/>
    </row>
    <row r="36" spans="1:12" ht="15.6" x14ac:dyDescent="0.25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4"/>
        <v/>
      </c>
      <c r="F36" s="14" t="str">
        <f t="shared" si="5"/>
        <v/>
      </c>
      <c r="G36" s="63" t="s">
        <v>22</v>
      </c>
      <c r="H36" s="15" t="str">
        <f t="shared" si="6"/>
        <v/>
      </c>
      <c r="I36" s="16" t="str">
        <f t="shared" si="7"/>
        <v/>
      </c>
      <c r="J36" s="41"/>
      <c r="K36" s="41"/>
      <c r="L36" s="41"/>
    </row>
    <row r="37" spans="1:12" ht="15.6" x14ac:dyDescent="0.25">
      <c r="A37" s="30" t="str">
        <v xml:space="preserve"> Riverton - Bank of America</v>
      </c>
      <c r="B37" s="31" t="str">
        <v>UT</v>
      </c>
      <c r="C37" s="11">
        <v>1280.7909999999999</v>
      </c>
      <c r="D37" s="18" t="s">
        <v>22</v>
      </c>
      <c r="E37" s="18" t="str">
        <f t="shared" si="4"/>
        <v/>
      </c>
      <c r="F37" s="19" t="str">
        <f t="shared" si="5"/>
        <v/>
      </c>
      <c r="G37" s="64" t="s">
        <v>22</v>
      </c>
      <c r="H37" s="20" t="str">
        <f t="shared" si="6"/>
        <v/>
      </c>
      <c r="I37" s="19" t="str">
        <f t="shared" si="7"/>
        <v/>
      </c>
      <c r="J37" s="42"/>
      <c r="K37" s="43"/>
      <c r="L37" s="43"/>
    </row>
    <row r="38" spans="1:12" ht="15.6" x14ac:dyDescent="0.25">
      <c r="A38" s="28" t="str">
        <v xml:space="preserve"> Salt Lake City - Bank of America</v>
      </c>
      <c r="B38" s="29" t="str">
        <v>UT</v>
      </c>
      <c r="C38" s="24">
        <v>43.42</v>
      </c>
      <c r="D38" s="13" t="s">
        <v>22</v>
      </c>
      <c r="E38" s="13" t="str">
        <f t="shared" si="4"/>
        <v/>
      </c>
      <c r="F38" s="14" t="str">
        <f t="shared" si="5"/>
        <v/>
      </c>
      <c r="G38" s="63" t="s">
        <v>22</v>
      </c>
      <c r="H38" s="15" t="str">
        <f t="shared" si="6"/>
        <v/>
      </c>
      <c r="I38" s="16" t="str">
        <f t="shared" si="7"/>
        <v/>
      </c>
      <c r="J38" s="41"/>
      <c r="K38" s="41"/>
      <c r="L38" s="41"/>
    </row>
    <row r="39" spans="1:12" ht="14.4" x14ac:dyDescent="0.3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  <c r="L39" s="21"/>
    </row>
    <row r="40" spans="1:12" ht="14.4" x14ac:dyDescent="0.3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  <c r="L40" s="21"/>
    </row>
    <row r="41" spans="1:12" ht="14.4" x14ac:dyDescent="0.3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  <c r="L41" s="21"/>
    </row>
    <row r="42" spans="1:12" ht="14.4" x14ac:dyDescent="0.3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  <c r="L42" s="21"/>
    </row>
    <row r="43" spans="1:12" ht="14.4" x14ac:dyDescent="0.3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  <c r="L43" s="21"/>
    </row>
    <row r="44" spans="1:12" ht="14.4" x14ac:dyDescent="0.3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  <c r="L44" s="21"/>
    </row>
    <row r="45" spans="1:12" ht="14.4" x14ac:dyDescent="0.3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  <c r="L45" s="21"/>
    </row>
    <row r="46" spans="1:12" ht="14.4" x14ac:dyDescent="0.3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  <c r="L46" s="21"/>
    </row>
    <row r="47" spans="1:12" ht="14.4" x14ac:dyDescent="0.3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  <c r="L47" s="21"/>
    </row>
    <row r="48" spans="1:12" ht="14.4" x14ac:dyDescent="0.3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  <c r="L48" s="21"/>
    </row>
    <row r="49" spans="1:12" ht="14.4" x14ac:dyDescent="0.3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  <c r="L49" s="21"/>
    </row>
    <row r="50" spans="1:12" ht="14.4" x14ac:dyDescent="0.3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  <c r="L50" s="21"/>
    </row>
    <row r="51" spans="1:12" ht="14.4" x14ac:dyDescent="0.3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  <c r="L51" s="21"/>
    </row>
    <row r="52" spans="1:12" ht="14.4" x14ac:dyDescent="0.3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  <c r="L52" s="21"/>
    </row>
    <row r="53" spans="1:12" ht="14.4" x14ac:dyDescent="0.3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  <c r="L53" s="21"/>
    </row>
    <row r="54" spans="1:12" ht="14.4" x14ac:dyDescent="0.3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  <c r="L54" s="21"/>
    </row>
    <row r="55" spans="1:12" ht="14.4" x14ac:dyDescent="0.3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  <c r="L55" s="21"/>
    </row>
    <row r="56" spans="1:12" ht="14.4" x14ac:dyDescent="0.3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  <c r="L56" s="21"/>
    </row>
    <row r="57" spans="1:12" ht="14.4" x14ac:dyDescent="0.3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  <c r="L57" s="21"/>
    </row>
    <row r="58" spans="1:12" ht="14.4" x14ac:dyDescent="0.3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  <c r="L58" s="21"/>
    </row>
    <row r="59" spans="1:12" ht="14.4" x14ac:dyDescent="0.3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  <c r="L59" s="21"/>
    </row>
    <row r="60" spans="1:12" ht="14.4" x14ac:dyDescent="0.3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  <c r="L60" s="21"/>
    </row>
    <row r="61" spans="1:12" ht="14.4" x14ac:dyDescent="0.3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  <c r="L61" s="21"/>
    </row>
    <row r="62" spans="1:12" ht="14.4" x14ac:dyDescent="0.3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  <c r="L62" s="21"/>
    </row>
    <row r="63" spans="1:12" ht="14.4" x14ac:dyDescent="0.3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  <c r="L63" s="21"/>
    </row>
    <row r="64" spans="1:12" ht="14.4" x14ac:dyDescent="0.3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  <c r="L64" s="21"/>
    </row>
    <row r="65" spans="1:12" ht="14.4" x14ac:dyDescent="0.3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  <c r="L65" s="21"/>
    </row>
    <row r="66" spans="1:12" ht="14.4" x14ac:dyDescent="0.3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  <c r="L66" s="21"/>
    </row>
    <row r="67" spans="1:12" ht="14.4" x14ac:dyDescent="0.3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  <c r="L67" s="21"/>
    </row>
    <row r="68" spans="1:12" ht="14.4" x14ac:dyDescent="0.3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  <c r="L68" s="21"/>
    </row>
    <row r="69" spans="1:12" ht="14.4" x14ac:dyDescent="0.3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  <c r="L69" s="21"/>
    </row>
    <row r="70" spans="1:12" ht="14.4" x14ac:dyDescent="0.3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  <c r="L70" s="21"/>
    </row>
    <row r="71" spans="1:12" ht="14.4" x14ac:dyDescent="0.3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  <c r="L71" s="21"/>
    </row>
    <row r="72" spans="1:12" ht="14.4" x14ac:dyDescent="0.3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  <c r="L72" s="21"/>
    </row>
    <row r="73" spans="1:12" ht="14.4" x14ac:dyDescent="0.3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  <c r="L73" s="21"/>
    </row>
    <row r="74" spans="1:12" ht="14.4" x14ac:dyDescent="0.3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  <c r="L74" s="21"/>
    </row>
    <row r="75" spans="1:12" ht="14.4" x14ac:dyDescent="0.3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  <c r="L75" s="21"/>
    </row>
    <row r="76" spans="1:12" ht="14.4" x14ac:dyDescent="0.3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  <c r="L76" s="21"/>
    </row>
    <row r="77" spans="1:12" ht="14.4" x14ac:dyDescent="0.3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  <c r="L77" s="21"/>
    </row>
    <row r="78" spans="1:12" ht="14.4" x14ac:dyDescent="0.3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  <c r="L78" s="21"/>
    </row>
    <row r="79" spans="1:12" ht="14.4" x14ac:dyDescent="0.3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  <c r="L79" s="21"/>
    </row>
    <row r="80" spans="1:12" ht="14.4" x14ac:dyDescent="0.3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  <c r="L80" s="21"/>
    </row>
    <row r="81" spans="1:12" ht="14.4" x14ac:dyDescent="0.3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  <c r="L81" s="21"/>
    </row>
    <row r="82" spans="1:12" ht="14.4" x14ac:dyDescent="0.3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  <c r="L82" s="21"/>
    </row>
    <row r="83" spans="1:12" ht="14.4" x14ac:dyDescent="0.3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  <c r="L83" s="21"/>
    </row>
    <row r="84" spans="1:12" ht="14.4" x14ac:dyDescent="0.3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  <c r="L84" s="21"/>
    </row>
    <row r="85" spans="1:12" ht="14.4" x14ac:dyDescent="0.3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  <c r="L85" s="21"/>
    </row>
    <row r="86" spans="1:12" ht="14.4" x14ac:dyDescent="0.3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  <c r="L86" s="21"/>
    </row>
    <row r="87" spans="1:12" ht="14.4" x14ac:dyDescent="0.3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  <c r="L87" s="21"/>
    </row>
    <row r="88" spans="1:12" ht="14.4" x14ac:dyDescent="0.3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  <c r="L88" s="21"/>
    </row>
    <row r="89" spans="1:12" ht="14.4" x14ac:dyDescent="0.3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  <c r="L89" s="21"/>
    </row>
    <row r="90" spans="1:12" ht="14.4" x14ac:dyDescent="0.3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  <c r="L90" s="21"/>
    </row>
    <row r="91" spans="1:12" ht="14.4" x14ac:dyDescent="0.3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  <c r="L91" s="21"/>
    </row>
    <row r="92" spans="1:12" ht="14.4" x14ac:dyDescent="0.3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  <c r="L92" s="21"/>
    </row>
    <row r="93" spans="1:12" ht="14.4" x14ac:dyDescent="0.3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  <c r="L93" s="21"/>
    </row>
    <row r="94" spans="1:12" ht="14.4" x14ac:dyDescent="0.3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  <c r="L94" s="21"/>
    </row>
    <row r="95" spans="1:12" ht="14.4" x14ac:dyDescent="0.3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  <c r="L95" s="21"/>
    </row>
    <row r="96" spans="1:12" ht="14.4" x14ac:dyDescent="0.3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  <c r="L96" s="21"/>
    </row>
    <row r="97" spans="1:12" ht="14.4" x14ac:dyDescent="0.3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  <c r="L97" s="21"/>
    </row>
    <row r="98" spans="1:12" ht="14.4" x14ac:dyDescent="0.3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  <c r="L98" s="21"/>
    </row>
    <row r="99" spans="1:12" ht="14.4" x14ac:dyDescent="0.3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  <c r="L99" s="21"/>
    </row>
    <row r="100" spans="1:12" ht="14.4" x14ac:dyDescent="0.3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  <c r="L100" s="21"/>
    </row>
    <row r="101" spans="1:12" ht="14.4" x14ac:dyDescent="0.3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  <c r="L101" s="21"/>
    </row>
    <row r="102" spans="1:12" ht="14.4" x14ac:dyDescent="0.3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  <c r="L102" s="21"/>
    </row>
    <row r="103" spans="1:12" ht="14.4" x14ac:dyDescent="0.3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  <c r="L103" s="21"/>
    </row>
    <row r="104" spans="1:12" ht="14.4" x14ac:dyDescent="0.3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  <c r="L104" s="21"/>
    </row>
    <row r="105" spans="1:12" ht="14.4" x14ac:dyDescent="0.3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  <c r="L105" s="21"/>
    </row>
    <row r="106" spans="1:12" ht="14.4" x14ac:dyDescent="0.3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  <c r="L106" s="21"/>
    </row>
    <row r="107" spans="1:12" ht="14.4" x14ac:dyDescent="0.3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  <c r="L107" s="21"/>
    </row>
    <row r="108" spans="1:12" ht="14.4" x14ac:dyDescent="0.3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  <c r="L108" s="21"/>
    </row>
    <row r="109" spans="1:12" ht="14.4" x14ac:dyDescent="0.3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  <c r="L109" s="21"/>
    </row>
    <row r="110" spans="1:12" ht="14.4" x14ac:dyDescent="0.3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  <c r="L110" s="21"/>
    </row>
    <row r="111" spans="1:12" ht="14.4" x14ac:dyDescent="0.3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  <c r="L111" s="21"/>
    </row>
    <row r="112" spans="1:12" ht="14.4" x14ac:dyDescent="0.3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  <c r="L112" s="21"/>
    </row>
    <row r="113" spans="1:12" ht="14.4" x14ac:dyDescent="0.3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  <c r="L113" s="21"/>
    </row>
    <row r="114" spans="1:12" ht="14.4" x14ac:dyDescent="0.3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  <c r="L114" s="21"/>
    </row>
    <row r="115" spans="1:12" ht="14.4" x14ac:dyDescent="0.3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  <c r="L115" s="21"/>
    </row>
    <row r="116" spans="1:12" ht="14.4" x14ac:dyDescent="0.3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  <c r="L116" s="21"/>
    </row>
    <row r="117" spans="1:12" ht="14.4" x14ac:dyDescent="0.3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  <c r="L117" s="21"/>
    </row>
    <row r="118" spans="1:12" ht="14.4" x14ac:dyDescent="0.3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  <c r="L118" s="21"/>
    </row>
    <row r="119" spans="1:12" ht="14.4" x14ac:dyDescent="0.3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  <c r="L119" s="21"/>
    </row>
    <row r="120" spans="1:12" ht="14.4" x14ac:dyDescent="0.3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  <c r="L120" s="21"/>
    </row>
    <row r="121" spans="1:12" ht="14.4" x14ac:dyDescent="0.3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  <c r="L121" s="21"/>
    </row>
    <row r="122" spans="1:12" ht="14.4" x14ac:dyDescent="0.3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  <c r="L122" s="21"/>
    </row>
    <row r="123" spans="1:12" ht="14.4" x14ac:dyDescent="0.3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  <c r="L123" s="21"/>
    </row>
    <row r="124" spans="1:12" ht="14.4" x14ac:dyDescent="0.3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  <c r="L124" s="21"/>
    </row>
    <row r="125" spans="1:12" ht="14.4" x14ac:dyDescent="0.3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  <c r="L125" s="21"/>
    </row>
    <row r="126" spans="1:12" ht="14.4" x14ac:dyDescent="0.3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  <c r="L126" s="21"/>
    </row>
    <row r="127" spans="1:12" ht="14.4" x14ac:dyDescent="0.3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  <c r="L127" s="21"/>
    </row>
    <row r="128" spans="1:12" ht="14.4" x14ac:dyDescent="0.3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  <c r="L128" s="21"/>
    </row>
    <row r="129" spans="1:12" ht="14.4" x14ac:dyDescent="0.3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  <c r="L129" s="21"/>
    </row>
    <row r="130" spans="1:12" ht="14.4" x14ac:dyDescent="0.3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  <c r="L130" s="21"/>
    </row>
    <row r="131" spans="1:12" ht="14.4" x14ac:dyDescent="0.3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  <c r="L131" s="21"/>
    </row>
    <row r="132" spans="1:12" ht="14.4" x14ac:dyDescent="0.3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  <c r="L132" s="21"/>
    </row>
    <row r="133" spans="1:12" ht="14.4" x14ac:dyDescent="0.3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  <c r="L133" s="21"/>
    </row>
    <row r="134" spans="1:12" ht="14.4" x14ac:dyDescent="0.3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  <c r="L134" s="21"/>
    </row>
    <row r="135" spans="1:12" ht="14.4" x14ac:dyDescent="0.3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  <c r="L135" s="21"/>
    </row>
    <row r="136" spans="1:12" ht="14.4" x14ac:dyDescent="0.3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  <c r="L136" s="21"/>
    </row>
    <row r="137" spans="1:12" ht="14.4" x14ac:dyDescent="0.3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  <c r="L137" s="21"/>
    </row>
    <row r="138" spans="1:12" ht="14.4" x14ac:dyDescent="0.3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  <c r="L138" s="21"/>
    </row>
    <row r="139" spans="1:12" ht="14.4" x14ac:dyDescent="0.3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  <c r="L139" s="21"/>
    </row>
    <row r="140" spans="1:12" ht="14.4" x14ac:dyDescent="0.3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  <c r="L140" s="21"/>
    </row>
    <row r="141" spans="1:12" ht="14.4" x14ac:dyDescent="0.3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  <c r="L141" s="21"/>
    </row>
    <row r="142" spans="1:12" ht="14.4" x14ac:dyDescent="0.3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  <c r="L142" s="21"/>
    </row>
    <row r="143" spans="1:12" ht="14.4" x14ac:dyDescent="0.3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  <c r="L143" s="21"/>
    </row>
    <row r="144" spans="1:12" ht="14.4" x14ac:dyDescent="0.3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  <c r="L144" s="21"/>
    </row>
    <row r="145" spans="1:12" ht="14.4" x14ac:dyDescent="0.3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  <c r="L145" s="21"/>
    </row>
    <row r="146" spans="1:12" ht="14.4" x14ac:dyDescent="0.3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  <c r="L146" s="21"/>
    </row>
    <row r="147" spans="1:12" ht="14.4" x14ac:dyDescent="0.3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  <c r="L147" s="21"/>
    </row>
    <row r="148" spans="1:12" ht="14.4" x14ac:dyDescent="0.3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  <c r="L148" s="21"/>
    </row>
    <row r="149" spans="1:12" ht="14.4" x14ac:dyDescent="0.3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  <c r="L149" s="21"/>
    </row>
    <row r="150" spans="1:12" ht="14.4" x14ac:dyDescent="0.3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  <c r="L150" s="21"/>
    </row>
    <row r="151" spans="1:12" ht="14.4" x14ac:dyDescent="0.3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  <c r="L151" s="21"/>
    </row>
    <row r="152" spans="1:12" ht="14.4" x14ac:dyDescent="0.3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  <c r="L152" s="21"/>
    </row>
    <row r="153" spans="1:12" ht="14.4" x14ac:dyDescent="0.3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  <c r="L153" s="21"/>
    </row>
    <row r="154" spans="1:12" ht="14.4" x14ac:dyDescent="0.3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  <c r="L154" s="21"/>
    </row>
    <row r="155" spans="1:12" ht="14.4" x14ac:dyDescent="0.3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  <c r="L155" s="21"/>
    </row>
    <row r="156" spans="1:12" ht="14.4" x14ac:dyDescent="0.3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  <c r="L156" s="21"/>
    </row>
    <row r="157" spans="1:12" ht="14.4" x14ac:dyDescent="0.3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  <c r="L157" s="21"/>
    </row>
    <row r="158" spans="1:12" ht="14.4" x14ac:dyDescent="0.3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  <c r="L158" s="21"/>
    </row>
    <row r="159" spans="1:12" ht="14.4" x14ac:dyDescent="0.3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  <c r="L159" s="21"/>
    </row>
    <row r="160" spans="1:12" ht="14.4" x14ac:dyDescent="0.3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  <c r="L160" s="21"/>
    </row>
    <row r="161" spans="1:12" ht="14.4" x14ac:dyDescent="0.3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  <c r="L161" s="21"/>
    </row>
    <row r="162" spans="1:12" ht="14.4" x14ac:dyDescent="0.3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  <c r="L162" s="21"/>
    </row>
    <row r="163" spans="1:12" ht="14.4" x14ac:dyDescent="0.3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  <c r="L163" s="21"/>
    </row>
    <row r="164" spans="1:12" ht="14.4" x14ac:dyDescent="0.3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  <c r="L164" s="21"/>
    </row>
    <row r="165" spans="1:12" ht="14.4" x14ac:dyDescent="0.3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  <c r="L165" s="21"/>
    </row>
    <row r="166" spans="1:12" ht="14.4" x14ac:dyDescent="0.3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  <c r="L166" s="21"/>
    </row>
    <row r="167" spans="1:12" ht="14.4" x14ac:dyDescent="0.3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  <c r="L167" s="21"/>
    </row>
    <row r="168" spans="1:12" ht="14.4" x14ac:dyDescent="0.3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  <c r="L168" s="21"/>
    </row>
    <row r="169" spans="1:12" ht="14.4" x14ac:dyDescent="0.3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  <c r="L169" s="21"/>
    </row>
    <row r="170" spans="1:12" ht="14.4" x14ac:dyDescent="0.3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  <c r="L170" s="21"/>
    </row>
    <row r="171" spans="1:12" ht="14.4" x14ac:dyDescent="0.3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  <c r="L171" s="21"/>
    </row>
    <row r="172" spans="1:12" ht="14.4" x14ac:dyDescent="0.3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  <c r="L172" s="21"/>
    </row>
    <row r="173" spans="1:12" ht="14.4" x14ac:dyDescent="0.3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  <c r="L173" s="21"/>
    </row>
    <row r="174" spans="1:12" ht="14.4" x14ac:dyDescent="0.3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  <c r="L174" s="21"/>
    </row>
    <row r="175" spans="1:12" ht="14.4" x14ac:dyDescent="0.3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  <c r="L175" s="21"/>
    </row>
    <row r="176" spans="1:12" ht="14.4" x14ac:dyDescent="0.3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  <c r="L176" s="21"/>
    </row>
    <row r="177" spans="1:12" ht="14.4" x14ac:dyDescent="0.3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  <c r="L177" s="21"/>
    </row>
    <row r="178" spans="1:12" ht="14.4" x14ac:dyDescent="0.3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  <c r="L178" s="21"/>
    </row>
    <row r="179" spans="1:12" ht="14.4" x14ac:dyDescent="0.3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  <c r="L179" s="21"/>
    </row>
    <row r="180" spans="1:12" ht="14.4" x14ac:dyDescent="0.3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  <c r="L180" s="21"/>
    </row>
    <row r="181" spans="1:12" ht="14.4" x14ac:dyDescent="0.3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  <c r="L181" s="21"/>
    </row>
    <row r="182" spans="1:12" ht="14.4" x14ac:dyDescent="0.3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  <c r="L182" s="21"/>
    </row>
    <row r="183" spans="1:12" ht="14.4" x14ac:dyDescent="0.3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  <c r="L183" s="21"/>
    </row>
    <row r="184" spans="1:12" ht="14.4" x14ac:dyDescent="0.3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  <c r="L184" s="21"/>
    </row>
    <row r="185" spans="1:12" ht="14.4" x14ac:dyDescent="0.3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  <c r="L185" s="21"/>
    </row>
    <row r="186" spans="1:12" ht="14.4" x14ac:dyDescent="0.3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  <c r="L186" s="21"/>
    </row>
    <row r="187" spans="1:12" ht="14.4" x14ac:dyDescent="0.3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  <c r="L187" s="21"/>
    </row>
    <row r="188" spans="1:12" ht="14.4" x14ac:dyDescent="0.3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  <c r="L188" s="21"/>
    </row>
    <row r="189" spans="1:12" ht="14.4" x14ac:dyDescent="0.3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  <c r="L189" s="21"/>
    </row>
    <row r="190" spans="1:12" ht="14.4" x14ac:dyDescent="0.3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  <c r="L190" s="21"/>
    </row>
    <row r="191" spans="1:12" ht="14.4" x14ac:dyDescent="0.3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  <c r="L191" s="21"/>
    </row>
    <row r="192" spans="1:12" ht="14.4" x14ac:dyDescent="0.3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  <c r="L192" s="21"/>
    </row>
    <row r="193" spans="1:12" ht="14.4" x14ac:dyDescent="0.3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  <c r="L193" s="21"/>
    </row>
    <row r="194" spans="1:12" ht="14.4" x14ac:dyDescent="0.3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  <c r="L194" s="21"/>
    </row>
    <row r="195" spans="1:12" ht="14.4" x14ac:dyDescent="0.3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  <c r="L195" s="21"/>
    </row>
    <row r="196" spans="1:12" ht="14.4" x14ac:dyDescent="0.3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  <c r="L196" s="21"/>
    </row>
    <row r="197" spans="1:12" ht="14.4" x14ac:dyDescent="0.3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  <c r="L197" s="21"/>
    </row>
    <row r="198" spans="1:12" ht="14.4" x14ac:dyDescent="0.3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  <c r="L198" s="21"/>
    </row>
    <row r="199" spans="1:12" ht="14.4" x14ac:dyDescent="0.3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  <c r="L199" s="21"/>
    </row>
    <row r="200" spans="1:12" ht="14.4" x14ac:dyDescent="0.3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  <c r="L200" s="21"/>
    </row>
    <row r="201" spans="1:12" ht="14.4" x14ac:dyDescent="0.3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  <c r="L201" s="21"/>
    </row>
    <row r="202" spans="1:12" ht="14.4" x14ac:dyDescent="0.3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  <c r="L202" s="21"/>
    </row>
    <row r="203" spans="1:12" ht="14.4" x14ac:dyDescent="0.3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  <c r="L203" s="21"/>
    </row>
    <row r="204" spans="1:12" ht="14.4" x14ac:dyDescent="0.3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  <c r="L204" s="21"/>
    </row>
    <row r="205" spans="1:12" ht="14.4" x14ac:dyDescent="0.3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  <c r="L205" s="21"/>
    </row>
    <row r="206" spans="1:12" ht="14.4" x14ac:dyDescent="0.3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  <c r="L206" s="21"/>
    </row>
    <row r="207" spans="1:12" ht="14.4" x14ac:dyDescent="0.3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  <c r="L207" s="21"/>
    </row>
    <row r="208" spans="1:12" ht="14.4" x14ac:dyDescent="0.3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  <c r="L208" s="21"/>
    </row>
    <row r="209" spans="1:12" ht="14.4" x14ac:dyDescent="0.3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  <c r="L209" s="21"/>
    </row>
    <row r="210" spans="1:12" ht="14.4" x14ac:dyDescent="0.3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  <c r="L210" s="21"/>
    </row>
    <row r="211" spans="1:12" ht="14.4" x14ac:dyDescent="0.3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  <c r="L211" s="21"/>
    </row>
    <row r="212" spans="1:12" ht="14.4" x14ac:dyDescent="0.3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  <c r="L212" s="21"/>
    </row>
    <row r="213" spans="1:12" ht="14.4" x14ac:dyDescent="0.3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  <c r="L213" s="21"/>
    </row>
    <row r="214" spans="1:12" ht="14.4" x14ac:dyDescent="0.3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  <c r="L214" s="21"/>
    </row>
    <row r="215" spans="1:12" ht="14.4" x14ac:dyDescent="0.3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  <c r="L215" s="21"/>
    </row>
    <row r="216" spans="1:12" ht="14.4" x14ac:dyDescent="0.3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  <c r="L216" s="21"/>
    </row>
    <row r="217" spans="1:12" ht="14.4" x14ac:dyDescent="0.3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  <c r="L217" s="21"/>
    </row>
    <row r="218" spans="1:12" ht="14.4" x14ac:dyDescent="0.3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  <c r="L218" s="21"/>
    </row>
    <row r="219" spans="1:12" ht="14.4" x14ac:dyDescent="0.3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  <c r="L219" s="21"/>
    </row>
    <row r="220" spans="1:12" ht="14.4" x14ac:dyDescent="0.3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  <c r="L220" s="21"/>
    </row>
    <row r="221" spans="1:12" ht="14.4" x14ac:dyDescent="0.3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  <c r="L221" s="21"/>
    </row>
    <row r="222" spans="1:12" ht="14.4" x14ac:dyDescent="0.3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  <c r="L222" s="21"/>
    </row>
    <row r="223" spans="1:12" ht="14.4" x14ac:dyDescent="0.3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  <c r="L223" s="21"/>
    </row>
    <row r="224" spans="1:12" ht="14.4" x14ac:dyDescent="0.3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  <c r="L224" s="21"/>
    </row>
    <row r="225" spans="1:12" ht="14.4" x14ac:dyDescent="0.3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  <c r="L225" s="21"/>
    </row>
    <row r="226" spans="1:12" ht="14.4" x14ac:dyDescent="0.3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  <c r="L226" s="21"/>
    </row>
    <row r="227" spans="1:12" ht="14.4" x14ac:dyDescent="0.3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  <c r="L227" s="21"/>
    </row>
    <row r="228" spans="1:12" ht="14.4" x14ac:dyDescent="0.3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  <c r="L228" s="21"/>
    </row>
    <row r="229" spans="1:12" ht="14.4" x14ac:dyDescent="0.3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  <c r="L229" s="21"/>
    </row>
    <row r="230" spans="1:12" ht="14.4" x14ac:dyDescent="0.3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  <c r="L230" s="21"/>
    </row>
    <row r="231" spans="1:12" ht="14.4" x14ac:dyDescent="0.3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  <c r="L231" s="21"/>
    </row>
    <row r="232" spans="1:12" ht="14.4" x14ac:dyDescent="0.3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  <c r="L232" s="21"/>
    </row>
    <row r="233" spans="1:12" ht="14.4" x14ac:dyDescent="0.3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  <c r="L233" s="21"/>
    </row>
    <row r="234" spans="1:12" ht="14.4" x14ac:dyDescent="0.3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  <c r="L234" s="21"/>
    </row>
    <row r="235" spans="1:12" ht="14.4" x14ac:dyDescent="0.3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  <c r="L235" s="21"/>
    </row>
    <row r="236" spans="1:12" ht="14.4" x14ac:dyDescent="0.3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  <c r="L236" s="21"/>
    </row>
    <row r="237" spans="1:12" ht="14.4" x14ac:dyDescent="0.3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  <c r="L237" s="21"/>
    </row>
    <row r="238" spans="1:12" ht="14.4" x14ac:dyDescent="0.3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  <c r="L238" s="21"/>
    </row>
    <row r="239" spans="1:12" ht="14.4" x14ac:dyDescent="0.3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  <c r="L239" s="21"/>
    </row>
    <row r="240" spans="1:12" ht="14.4" x14ac:dyDescent="0.3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  <c r="L240" s="21"/>
    </row>
    <row r="241" spans="1:12" ht="14.4" x14ac:dyDescent="0.3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  <c r="L241" s="21"/>
    </row>
    <row r="242" spans="1:12" ht="14.4" x14ac:dyDescent="0.3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  <c r="L242" s="21"/>
    </row>
    <row r="243" spans="1:12" ht="14.4" x14ac:dyDescent="0.3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  <c r="L243" s="21"/>
    </row>
    <row r="244" spans="1:12" ht="14.4" x14ac:dyDescent="0.3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  <c r="L244" s="21"/>
    </row>
    <row r="245" spans="1:12" ht="14.4" x14ac:dyDescent="0.3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  <c r="L245" s="21"/>
    </row>
    <row r="246" spans="1:12" ht="14.4" x14ac:dyDescent="0.3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  <c r="L246" s="21"/>
    </row>
    <row r="247" spans="1:12" ht="14.4" x14ac:dyDescent="0.3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  <c r="L247" s="21"/>
    </row>
    <row r="248" spans="1:12" ht="14.4" x14ac:dyDescent="0.3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  <c r="L248" s="21"/>
    </row>
    <row r="249" spans="1:12" ht="14.4" x14ac:dyDescent="0.3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  <c r="L249" s="21"/>
    </row>
    <row r="250" spans="1:12" ht="14.4" x14ac:dyDescent="0.3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  <c r="L250" s="21"/>
    </row>
    <row r="251" spans="1:12" ht="14.4" x14ac:dyDescent="0.3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  <c r="L251" s="21"/>
    </row>
    <row r="252" spans="1:12" ht="14.4" x14ac:dyDescent="0.3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  <c r="L252" s="21"/>
    </row>
    <row r="253" spans="1:12" ht="14.4" x14ac:dyDescent="0.3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  <c r="L253" s="21"/>
    </row>
    <row r="254" spans="1:12" ht="14.4" x14ac:dyDescent="0.3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  <c r="L254" s="21"/>
    </row>
    <row r="255" spans="1:12" ht="14.4" x14ac:dyDescent="0.3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  <c r="L255" s="21"/>
    </row>
    <row r="256" spans="1:12" ht="14.4" x14ac:dyDescent="0.3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  <c r="L256" s="21"/>
    </row>
    <row r="257" spans="1:12" ht="14.4" x14ac:dyDescent="0.3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  <c r="L257" s="21"/>
    </row>
    <row r="258" spans="1:12" ht="14.4" x14ac:dyDescent="0.3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  <c r="L258" s="21"/>
    </row>
    <row r="259" spans="1:12" ht="14.4" x14ac:dyDescent="0.3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  <c r="L259" s="21"/>
    </row>
    <row r="260" spans="1:12" ht="14.4" x14ac:dyDescent="0.3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  <c r="L260" s="21"/>
    </row>
    <row r="261" spans="1:12" ht="14.4" x14ac:dyDescent="0.3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  <c r="L261" s="21"/>
    </row>
    <row r="262" spans="1:12" ht="14.4" x14ac:dyDescent="0.3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  <c r="L262" s="21"/>
    </row>
    <row r="263" spans="1:12" ht="14.4" x14ac:dyDescent="0.3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  <c r="L263" s="21"/>
    </row>
    <row r="264" spans="1:12" ht="14.4" x14ac:dyDescent="0.3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  <c r="L264" s="21"/>
    </row>
    <row r="265" spans="1:12" ht="14.4" x14ac:dyDescent="0.3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  <c r="L265" s="21"/>
    </row>
    <row r="266" spans="1:12" ht="14.4" x14ac:dyDescent="0.3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  <c r="L266" s="21"/>
    </row>
    <row r="267" spans="1:12" ht="14.4" x14ac:dyDescent="0.3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  <c r="L267" s="21"/>
    </row>
    <row r="268" spans="1:12" ht="14.4" x14ac:dyDescent="0.3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  <c r="L268" s="21"/>
    </row>
    <row r="269" spans="1:12" ht="14.4" x14ac:dyDescent="0.3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  <c r="L269" s="21"/>
    </row>
    <row r="270" spans="1:12" ht="14.4" x14ac:dyDescent="0.3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  <c r="L270" s="21"/>
    </row>
    <row r="271" spans="1:12" ht="14.4" x14ac:dyDescent="0.3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  <c r="L271" s="21"/>
    </row>
    <row r="272" spans="1:12" ht="14.4" x14ac:dyDescent="0.3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  <c r="L272" s="21"/>
    </row>
    <row r="273" spans="1:12" ht="14.4" x14ac:dyDescent="0.3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  <c r="L273" s="21"/>
    </row>
    <row r="274" spans="1:12" ht="14.4" x14ac:dyDescent="0.3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  <c r="L274" s="21"/>
    </row>
    <row r="275" spans="1:12" ht="14.4" x14ac:dyDescent="0.3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  <c r="L275" s="21"/>
    </row>
    <row r="276" spans="1:12" ht="14.4" x14ac:dyDescent="0.3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  <c r="L276" s="21"/>
    </row>
    <row r="277" spans="1:12" ht="14.4" x14ac:dyDescent="0.3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  <c r="L277" s="21"/>
    </row>
    <row r="278" spans="1:12" ht="14.4" x14ac:dyDescent="0.3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  <c r="L278" s="21"/>
    </row>
    <row r="279" spans="1:12" ht="14.4" x14ac:dyDescent="0.3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  <c r="L279" s="21"/>
    </row>
    <row r="280" spans="1:12" ht="14.4" x14ac:dyDescent="0.3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  <c r="L280" s="21"/>
    </row>
    <row r="281" spans="1:12" ht="14.4" x14ac:dyDescent="0.3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  <c r="L281" s="21"/>
    </row>
    <row r="282" spans="1:12" ht="14.4" x14ac:dyDescent="0.3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  <c r="L282" s="21"/>
    </row>
    <row r="283" spans="1:12" ht="14.4" x14ac:dyDescent="0.3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  <c r="L283" s="21"/>
    </row>
    <row r="284" spans="1:12" ht="14.4" x14ac:dyDescent="0.3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  <c r="L284" s="21"/>
    </row>
    <row r="285" spans="1:12" ht="14.4" x14ac:dyDescent="0.3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  <c r="L285" s="21"/>
    </row>
    <row r="286" spans="1:12" ht="14.4" x14ac:dyDescent="0.3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  <c r="L286" s="21"/>
    </row>
    <row r="287" spans="1:12" ht="14.4" x14ac:dyDescent="0.3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  <c r="L287" s="21"/>
    </row>
    <row r="288" spans="1:12" ht="14.4" x14ac:dyDescent="0.3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  <c r="L288" s="21"/>
    </row>
    <row r="289" spans="1:12" ht="14.4" x14ac:dyDescent="0.3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  <c r="L289" s="21"/>
    </row>
    <row r="290" spans="1:12" ht="14.4" x14ac:dyDescent="0.3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  <c r="L290" s="21"/>
    </row>
    <row r="291" spans="1:12" ht="14.4" x14ac:dyDescent="0.3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  <c r="L291" s="21"/>
    </row>
    <row r="292" spans="1:12" ht="14.4" x14ac:dyDescent="0.3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  <c r="L292" s="21"/>
    </row>
    <row r="293" spans="1:12" ht="14.4" x14ac:dyDescent="0.3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  <c r="L293" s="21"/>
    </row>
    <row r="294" spans="1:12" ht="14.4" x14ac:dyDescent="0.3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  <c r="L294" s="21"/>
    </row>
    <row r="295" spans="1:12" ht="14.4" x14ac:dyDescent="0.3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  <c r="L295" s="21"/>
    </row>
    <row r="296" spans="1:12" ht="14.4" x14ac:dyDescent="0.3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  <c r="L296" s="21"/>
    </row>
    <row r="297" spans="1:12" ht="14.4" x14ac:dyDescent="0.3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  <c r="L297" s="21"/>
    </row>
    <row r="298" spans="1:12" ht="14.4" x14ac:dyDescent="0.3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  <c r="L298" s="21"/>
    </row>
    <row r="299" spans="1:12" ht="14.4" x14ac:dyDescent="0.3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  <c r="L299" s="21"/>
    </row>
    <row r="300" spans="1:12" ht="14.4" x14ac:dyDescent="0.3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  <c r="L300" s="21"/>
    </row>
    <row r="301" spans="1:12" ht="14.4" x14ac:dyDescent="0.3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  <c r="L301" s="21"/>
    </row>
    <row r="302" spans="1:12" ht="14.4" x14ac:dyDescent="0.3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  <c r="L302" s="21"/>
    </row>
    <row r="303" spans="1:12" ht="14.4" x14ac:dyDescent="0.3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  <c r="L303" s="21"/>
    </row>
    <row r="304" spans="1:12" ht="14.4" x14ac:dyDescent="0.3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  <c r="L304" s="21"/>
    </row>
    <row r="305" spans="1:12" ht="14.4" x14ac:dyDescent="0.3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  <c r="L305" s="21"/>
    </row>
    <row r="306" spans="1:12" ht="14.4" x14ac:dyDescent="0.3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  <c r="L306" s="21"/>
    </row>
    <row r="307" spans="1:12" ht="14.4" x14ac:dyDescent="0.3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  <c r="L307" s="21"/>
    </row>
    <row r="308" spans="1:12" ht="14.4" x14ac:dyDescent="0.3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  <c r="L308" s="21"/>
    </row>
    <row r="309" spans="1:12" ht="14.4" x14ac:dyDescent="0.3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  <c r="L309" s="21"/>
    </row>
    <row r="310" spans="1:12" ht="14.4" x14ac:dyDescent="0.3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  <c r="L310" s="21"/>
    </row>
    <row r="311" spans="1:12" ht="14.4" x14ac:dyDescent="0.3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  <c r="L311" s="21"/>
    </row>
    <row r="312" spans="1:12" ht="14.4" x14ac:dyDescent="0.3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  <c r="L312" s="21"/>
    </row>
    <row r="313" spans="1:12" ht="14.4" x14ac:dyDescent="0.3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  <c r="L313" s="21"/>
    </row>
    <row r="314" spans="1:12" ht="14.4" x14ac:dyDescent="0.3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  <c r="L314" s="21"/>
    </row>
    <row r="315" spans="1:12" ht="14.4" x14ac:dyDescent="0.3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  <c r="L315" s="21"/>
    </row>
    <row r="316" spans="1:12" ht="14.4" x14ac:dyDescent="0.3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  <c r="L316" s="21"/>
    </row>
    <row r="317" spans="1:12" ht="14.4" x14ac:dyDescent="0.3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  <c r="L317" s="21"/>
    </row>
    <row r="318" spans="1:12" ht="14.4" x14ac:dyDescent="0.3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  <c r="L318" s="21"/>
    </row>
    <row r="319" spans="1:12" ht="14.4" x14ac:dyDescent="0.3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  <c r="L319" s="21"/>
    </row>
    <row r="320" spans="1:12" ht="14.4" x14ac:dyDescent="0.3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  <c r="L320" s="21"/>
    </row>
    <row r="321" spans="1:12" ht="14.4" x14ac:dyDescent="0.3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  <c r="L321" s="21"/>
    </row>
    <row r="322" spans="1:12" ht="14.4" x14ac:dyDescent="0.3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  <c r="L322" s="21"/>
    </row>
    <row r="323" spans="1:12" ht="14.4" x14ac:dyDescent="0.3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  <c r="L323" s="21"/>
    </row>
    <row r="324" spans="1:12" ht="14.4" x14ac:dyDescent="0.3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  <c r="L324" s="21"/>
    </row>
    <row r="325" spans="1:12" ht="14.4" x14ac:dyDescent="0.3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  <c r="L325" s="21"/>
    </row>
    <row r="326" spans="1:12" ht="14.4" x14ac:dyDescent="0.3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  <c r="L326" s="21"/>
    </row>
    <row r="327" spans="1:12" ht="14.4" x14ac:dyDescent="0.3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  <c r="L327" s="21"/>
    </row>
    <row r="328" spans="1:12" ht="14.4" x14ac:dyDescent="0.3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  <c r="L328" s="21"/>
    </row>
    <row r="329" spans="1:12" ht="14.4" x14ac:dyDescent="0.3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  <c r="L329" s="21"/>
    </row>
    <row r="330" spans="1:12" ht="14.4" x14ac:dyDescent="0.3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  <c r="L330" s="21"/>
    </row>
    <row r="331" spans="1:12" ht="14.4" x14ac:dyDescent="0.3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  <c r="L331" s="21"/>
    </row>
    <row r="332" spans="1:12" ht="14.4" x14ac:dyDescent="0.3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  <c r="L332" s="21"/>
    </row>
    <row r="333" spans="1:12" ht="14.4" x14ac:dyDescent="0.3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  <c r="L333" s="21"/>
    </row>
    <row r="334" spans="1:12" ht="14.4" x14ac:dyDescent="0.3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  <c r="L334" s="21"/>
    </row>
    <row r="335" spans="1:12" ht="14.4" x14ac:dyDescent="0.3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  <c r="L335" s="21"/>
    </row>
    <row r="336" spans="1:12" ht="14.4" x14ac:dyDescent="0.3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  <c r="L336" s="21"/>
    </row>
    <row r="337" spans="1:12" ht="14.4" x14ac:dyDescent="0.3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  <c r="L337" s="21"/>
    </row>
    <row r="338" spans="1:12" ht="14.4" x14ac:dyDescent="0.3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  <c r="L338" s="21"/>
    </row>
    <row r="339" spans="1:12" ht="14.4" x14ac:dyDescent="0.3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  <c r="L339" s="21"/>
    </row>
    <row r="340" spans="1:12" ht="14.4" x14ac:dyDescent="0.3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  <c r="L340" s="21"/>
    </row>
    <row r="341" spans="1:12" ht="14.4" x14ac:dyDescent="0.3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  <c r="L341" s="21"/>
    </row>
    <row r="342" spans="1:12" ht="14.4" x14ac:dyDescent="0.3">
      <c r="C342" s="21"/>
      <c r="D342" s="21"/>
      <c r="E342" s="21"/>
      <c r="F342" s="22"/>
      <c r="G342" s="21"/>
      <c r="H342" s="21"/>
      <c r="I342" s="22"/>
      <c r="J342" s="21"/>
      <c r="K342" s="21"/>
      <c r="L342" s="21"/>
    </row>
  </sheetData>
  <mergeCells count="4">
    <mergeCell ref="G1:I1"/>
    <mergeCell ref="A1:C1"/>
    <mergeCell ref="D1:F1"/>
    <mergeCell ref="A2:B2"/>
  </mergeCells>
  <conditionalFormatting sqref="F2 I2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conditionalFormatting sqref="F4:F100 I4:I100">
    <cfRule type="cellIs" dxfId="5" priority="1" stopIfTrue="1" operator="lessThanOrEqual">
      <formula>-0.1</formula>
    </cfRule>
    <cfRule type="expression" dxfId="4" priority="2">
      <formula>AND(ISNUMBER(F4), F4&gt;=0.1)</formula>
    </cfRule>
  </conditionalFormatting>
  <hyperlinks>
    <hyperlink ref="K7" r:id="rId1" display="https://us3.assetplanner.com/service_request?ID=109951" xr:uid="{525F78FE-F4B3-455F-A552-46E095B6B9CA}"/>
    <hyperlink ref="K10" r:id="rId2" display="https://us3.assetplanner.com/service_request?ID=102087" xr:uid="{9E22153B-7D82-4D99-B403-FAF84C8DF343}"/>
  </hyperlinks>
  <pageMargins left="0.4" right="0.7" top="0.25" bottom="0.25" header="0.3" footer="0.3"/>
  <pageSetup fitToHeight="99" orientation="landscape"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zoomScale="70" zoomScaleNormal="70" workbookViewId="0">
      <pane xSplit="2" ySplit="3" topLeftCell="P19" activePane="bottomRight" state="frozen"/>
      <selection pane="topRight" activeCell="P19" sqref="P19:P20"/>
      <selection pane="bottomLeft" activeCell="P19" sqref="P19:P20"/>
      <selection pane="bottomRight" activeCell="P19" sqref="P19:P20"/>
    </sheetView>
  </sheetViews>
  <sheetFormatPr defaultRowHeight="13.8" x14ac:dyDescent="0.25"/>
  <cols>
    <col min="1" max="1" width="35.88671875" bestFit="1" customWidth="1"/>
    <col min="2" max="2" width="8.44140625" style="34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89" t="str" cm="1">
        <f t="array" ref="A1">portfolio</f>
        <v>Cushman &amp; Wakefield</v>
      </c>
      <c r="B1" s="89"/>
      <c r="C1" s="89"/>
      <c r="D1" s="90" t="s">
        <v>161</v>
      </c>
      <c r="E1" s="90"/>
      <c r="F1" s="90"/>
      <c r="G1" s="88" t="s">
        <v>162</v>
      </c>
      <c r="H1" s="88"/>
      <c r="I1" s="88"/>
      <c r="J1" s="4"/>
      <c r="K1" s="4"/>
    </row>
    <row r="2" spans="1:11" ht="19.5" customHeight="1" x14ac:dyDescent="0.25">
      <c r="A2" s="91" t="s">
        <v>2</v>
      </c>
      <c r="B2" s="91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 x14ac:dyDescent="0.3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>
        <v>0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 x14ac:dyDescent="0.25">
      <c r="A5" s="30" t="str">
        <v xml:space="preserve"> Apple Valley - Bank of America</v>
      </c>
      <c r="B5" s="31" t="str">
        <v>CA</v>
      </c>
      <c r="C5" s="11"/>
      <c r="D5" s="18">
        <v>0</v>
      </c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 x14ac:dyDescent="0.25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 x14ac:dyDescent="0.25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60"/>
      <c r="K7" s="60"/>
    </row>
    <row r="8" spans="1:11" ht="15.6" x14ac:dyDescent="0.25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 x14ac:dyDescent="0.25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60"/>
      <c r="K9" s="61"/>
    </row>
    <row r="10" spans="1:11" ht="15.6" x14ac:dyDescent="0.25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62"/>
      <c r="K10" s="62"/>
    </row>
    <row r="11" spans="1:11" ht="15.6" x14ac:dyDescent="0.25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 x14ac:dyDescent="0.25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 x14ac:dyDescent="0.25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 x14ac:dyDescent="0.25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 x14ac:dyDescent="0.25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6" x14ac:dyDescent="0.25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 x14ac:dyDescent="0.25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60"/>
      <c r="K17" s="60"/>
    </row>
    <row r="18" spans="1:11" ht="12.75" customHeight="1" x14ac:dyDescent="0.25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6" x14ac:dyDescent="0.25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6" x14ac:dyDescent="0.25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6" x14ac:dyDescent="0.25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6" x14ac:dyDescent="0.25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6" x14ac:dyDescent="0.25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6" x14ac:dyDescent="0.25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6" x14ac:dyDescent="0.25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60"/>
      <c r="K25" s="60"/>
    </row>
    <row r="26" spans="1:11" ht="15.6" x14ac:dyDescent="0.25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4"/>
        <v/>
      </c>
      <c r="F26" s="14" t="str">
        <f t="shared" si="5"/>
        <v/>
      </c>
      <c r="G26" s="15"/>
      <c r="H26" s="15" t="str">
        <f t="shared" si="6"/>
        <v/>
      </c>
      <c r="I26" s="16" t="str">
        <f t="shared" si="7"/>
        <v/>
      </c>
      <c r="J26" s="62"/>
      <c r="K26" s="62"/>
    </row>
    <row r="27" spans="1:11" ht="15.6" x14ac:dyDescent="0.25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</row>
    <row r="28" spans="1:11" ht="15.6" x14ac:dyDescent="0.25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</row>
    <row r="29" spans="1:11" ht="15.6" x14ac:dyDescent="0.25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3"/>
    </row>
    <row r="30" spans="1:11" ht="15.6" x14ac:dyDescent="0.25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</row>
    <row r="31" spans="1:11" ht="15.6" x14ac:dyDescent="0.25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</row>
    <row r="32" spans="1:11" ht="15.6" x14ac:dyDescent="0.25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62"/>
      <c r="K32" s="62"/>
    </row>
    <row r="33" spans="1:11" ht="15.6" x14ac:dyDescent="0.25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3"/>
    </row>
    <row r="34" spans="1:11" ht="15.6" x14ac:dyDescent="0.25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</row>
    <row r="35" spans="1:11" ht="15.6" x14ac:dyDescent="0.25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</row>
    <row r="36" spans="1:11" ht="15.6" x14ac:dyDescent="0.25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</row>
    <row r="37" spans="1:11" ht="15.6" x14ac:dyDescent="0.25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6" x14ac:dyDescent="0.25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</row>
    <row r="39" spans="1:11" ht="14.4" x14ac:dyDescent="0.3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" x14ac:dyDescent="0.3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" x14ac:dyDescent="0.3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" x14ac:dyDescent="0.3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" x14ac:dyDescent="0.3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" x14ac:dyDescent="0.3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" x14ac:dyDescent="0.3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" x14ac:dyDescent="0.3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" x14ac:dyDescent="0.3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" x14ac:dyDescent="0.3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" x14ac:dyDescent="0.3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" x14ac:dyDescent="0.3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" x14ac:dyDescent="0.3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" x14ac:dyDescent="0.3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" x14ac:dyDescent="0.3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" x14ac:dyDescent="0.3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" x14ac:dyDescent="0.3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" x14ac:dyDescent="0.3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" x14ac:dyDescent="0.3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" x14ac:dyDescent="0.3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" x14ac:dyDescent="0.3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" x14ac:dyDescent="0.3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" x14ac:dyDescent="0.3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" x14ac:dyDescent="0.3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" x14ac:dyDescent="0.3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" x14ac:dyDescent="0.3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" x14ac:dyDescent="0.3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" x14ac:dyDescent="0.3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" x14ac:dyDescent="0.3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" x14ac:dyDescent="0.3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" x14ac:dyDescent="0.3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" x14ac:dyDescent="0.3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" x14ac:dyDescent="0.3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" x14ac:dyDescent="0.3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" x14ac:dyDescent="0.3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" x14ac:dyDescent="0.3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" x14ac:dyDescent="0.3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" x14ac:dyDescent="0.3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" x14ac:dyDescent="0.3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" x14ac:dyDescent="0.3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" x14ac:dyDescent="0.3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" x14ac:dyDescent="0.3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" x14ac:dyDescent="0.3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" x14ac:dyDescent="0.3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" x14ac:dyDescent="0.3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" x14ac:dyDescent="0.3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" x14ac:dyDescent="0.3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" x14ac:dyDescent="0.3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" x14ac:dyDescent="0.3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" x14ac:dyDescent="0.3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" x14ac:dyDescent="0.3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" x14ac:dyDescent="0.3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" x14ac:dyDescent="0.3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" x14ac:dyDescent="0.3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" x14ac:dyDescent="0.3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" x14ac:dyDescent="0.3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" x14ac:dyDescent="0.3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" x14ac:dyDescent="0.3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" x14ac:dyDescent="0.3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" x14ac:dyDescent="0.3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" x14ac:dyDescent="0.3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" x14ac:dyDescent="0.3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" x14ac:dyDescent="0.3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" x14ac:dyDescent="0.3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" x14ac:dyDescent="0.3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" x14ac:dyDescent="0.3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" x14ac:dyDescent="0.3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" x14ac:dyDescent="0.3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" x14ac:dyDescent="0.3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" x14ac:dyDescent="0.3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" x14ac:dyDescent="0.3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" x14ac:dyDescent="0.3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" x14ac:dyDescent="0.3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" x14ac:dyDescent="0.3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" x14ac:dyDescent="0.3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" x14ac:dyDescent="0.3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" x14ac:dyDescent="0.3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" x14ac:dyDescent="0.3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" x14ac:dyDescent="0.3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" x14ac:dyDescent="0.3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" x14ac:dyDescent="0.3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" x14ac:dyDescent="0.3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" x14ac:dyDescent="0.3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" x14ac:dyDescent="0.3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" x14ac:dyDescent="0.3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" x14ac:dyDescent="0.3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" x14ac:dyDescent="0.3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" x14ac:dyDescent="0.3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" x14ac:dyDescent="0.3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" x14ac:dyDescent="0.3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" x14ac:dyDescent="0.3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" x14ac:dyDescent="0.3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" x14ac:dyDescent="0.3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" x14ac:dyDescent="0.3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" x14ac:dyDescent="0.3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" x14ac:dyDescent="0.3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" x14ac:dyDescent="0.3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" x14ac:dyDescent="0.3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" x14ac:dyDescent="0.3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" x14ac:dyDescent="0.3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" x14ac:dyDescent="0.3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" x14ac:dyDescent="0.3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" x14ac:dyDescent="0.3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" x14ac:dyDescent="0.3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" x14ac:dyDescent="0.3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" x14ac:dyDescent="0.3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" x14ac:dyDescent="0.3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" x14ac:dyDescent="0.3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" x14ac:dyDescent="0.3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" x14ac:dyDescent="0.3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" x14ac:dyDescent="0.3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" x14ac:dyDescent="0.3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" x14ac:dyDescent="0.3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" x14ac:dyDescent="0.3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" x14ac:dyDescent="0.3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" x14ac:dyDescent="0.3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" x14ac:dyDescent="0.3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" x14ac:dyDescent="0.3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" x14ac:dyDescent="0.3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" x14ac:dyDescent="0.3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" x14ac:dyDescent="0.3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" x14ac:dyDescent="0.3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" x14ac:dyDescent="0.3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" x14ac:dyDescent="0.3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" x14ac:dyDescent="0.3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" x14ac:dyDescent="0.3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" x14ac:dyDescent="0.3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" x14ac:dyDescent="0.3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" x14ac:dyDescent="0.3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" x14ac:dyDescent="0.3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" x14ac:dyDescent="0.3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" x14ac:dyDescent="0.3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" x14ac:dyDescent="0.3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" x14ac:dyDescent="0.3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" x14ac:dyDescent="0.3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" x14ac:dyDescent="0.3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" x14ac:dyDescent="0.3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" x14ac:dyDescent="0.3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" x14ac:dyDescent="0.3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" x14ac:dyDescent="0.3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" x14ac:dyDescent="0.3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" x14ac:dyDescent="0.3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" x14ac:dyDescent="0.3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" x14ac:dyDescent="0.3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" x14ac:dyDescent="0.3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" x14ac:dyDescent="0.3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" x14ac:dyDescent="0.3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" x14ac:dyDescent="0.3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" x14ac:dyDescent="0.3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" x14ac:dyDescent="0.3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" x14ac:dyDescent="0.3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" x14ac:dyDescent="0.3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" x14ac:dyDescent="0.3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" x14ac:dyDescent="0.3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" x14ac:dyDescent="0.3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" x14ac:dyDescent="0.3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" x14ac:dyDescent="0.3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" x14ac:dyDescent="0.3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" x14ac:dyDescent="0.3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" x14ac:dyDescent="0.3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" x14ac:dyDescent="0.3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" x14ac:dyDescent="0.3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" x14ac:dyDescent="0.3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" x14ac:dyDescent="0.3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" x14ac:dyDescent="0.3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" x14ac:dyDescent="0.3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" x14ac:dyDescent="0.3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" x14ac:dyDescent="0.3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" x14ac:dyDescent="0.3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" x14ac:dyDescent="0.3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" x14ac:dyDescent="0.3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" x14ac:dyDescent="0.3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" x14ac:dyDescent="0.3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" x14ac:dyDescent="0.3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" x14ac:dyDescent="0.3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" x14ac:dyDescent="0.3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" x14ac:dyDescent="0.3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" x14ac:dyDescent="0.3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" x14ac:dyDescent="0.3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" x14ac:dyDescent="0.3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" x14ac:dyDescent="0.3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" x14ac:dyDescent="0.3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" x14ac:dyDescent="0.3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" x14ac:dyDescent="0.3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" x14ac:dyDescent="0.3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" x14ac:dyDescent="0.3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" x14ac:dyDescent="0.3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" x14ac:dyDescent="0.3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" x14ac:dyDescent="0.3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" x14ac:dyDescent="0.3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" x14ac:dyDescent="0.3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" x14ac:dyDescent="0.3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" x14ac:dyDescent="0.3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" x14ac:dyDescent="0.3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" x14ac:dyDescent="0.3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" x14ac:dyDescent="0.3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" x14ac:dyDescent="0.3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" x14ac:dyDescent="0.3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" x14ac:dyDescent="0.3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" x14ac:dyDescent="0.3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" x14ac:dyDescent="0.3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" x14ac:dyDescent="0.3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" x14ac:dyDescent="0.3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" x14ac:dyDescent="0.3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" x14ac:dyDescent="0.3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" x14ac:dyDescent="0.3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" x14ac:dyDescent="0.3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" x14ac:dyDescent="0.3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" x14ac:dyDescent="0.3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" x14ac:dyDescent="0.3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" x14ac:dyDescent="0.3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" x14ac:dyDescent="0.3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" x14ac:dyDescent="0.3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" x14ac:dyDescent="0.3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" x14ac:dyDescent="0.3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" x14ac:dyDescent="0.3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" x14ac:dyDescent="0.3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" x14ac:dyDescent="0.3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" x14ac:dyDescent="0.3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" x14ac:dyDescent="0.3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" x14ac:dyDescent="0.3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" x14ac:dyDescent="0.3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" x14ac:dyDescent="0.3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" x14ac:dyDescent="0.3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" x14ac:dyDescent="0.3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" x14ac:dyDescent="0.3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" x14ac:dyDescent="0.3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" x14ac:dyDescent="0.3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" x14ac:dyDescent="0.3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" x14ac:dyDescent="0.3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" x14ac:dyDescent="0.3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" x14ac:dyDescent="0.3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" x14ac:dyDescent="0.3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" x14ac:dyDescent="0.3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" x14ac:dyDescent="0.3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" x14ac:dyDescent="0.3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" x14ac:dyDescent="0.3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" x14ac:dyDescent="0.3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" x14ac:dyDescent="0.3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" x14ac:dyDescent="0.3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" x14ac:dyDescent="0.3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" x14ac:dyDescent="0.3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" x14ac:dyDescent="0.3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" x14ac:dyDescent="0.3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" x14ac:dyDescent="0.3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" x14ac:dyDescent="0.3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" x14ac:dyDescent="0.3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" x14ac:dyDescent="0.3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" x14ac:dyDescent="0.3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" x14ac:dyDescent="0.3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" x14ac:dyDescent="0.3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" x14ac:dyDescent="0.3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" x14ac:dyDescent="0.3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" x14ac:dyDescent="0.3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" x14ac:dyDescent="0.3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" x14ac:dyDescent="0.3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" x14ac:dyDescent="0.3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" x14ac:dyDescent="0.3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" x14ac:dyDescent="0.3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" x14ac:dyDescent="0.3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" x14ac:dyDescent="0.3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" x14ac:dyDescent="0.3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" x14ac:dyDescent="0.3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" x14ac:dyDescent="0.3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" x14ac:dyDescent="0.3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" x14ac:dyDescent="0.3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" x14ac:dyDescent="0.3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" x14ac:dyDescent="0.3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" x14ac:dyDescent="0.3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" x14ac:dyDescent="0.3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" x14ac:dyDescent="0.3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" x14ac:dyDescent="0.3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" x14ac:dyDescent="0.3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" x14ac:dyDescent="0.3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" x14ac:dyDescent="0.3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" x14ac:dyDescent="0.3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" x14ac:dyDescent="0.3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" x14ac:dyDescent="0.3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" x14ac:dyDescent="0.3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" x14ac:dyDescent="0.3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" x14ac:dyDescent="0.3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" x14ac:dyDescent="0.3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" x14ac:dyDescent="0.3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" x14ac:dyDescent="0.3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" x14ac:dyDescent="0.3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" x14ac:dyDescent="0.3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" x14ac:dyDescent="0.3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" x14ac:dyDescent="0.3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" x14ac:dyDescent="0.3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" x14ac:dyDescent="0.3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" x14ac:dyDescent="0.3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" x14ac:dyDescent="0.3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" x14ac:dyDescent="0.3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" x14ac:dyDescent="0.3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" x14ac:dyDescent="0.3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" x14ac:dyDescent="0.3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" x14ac:dyDescent="0.3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" x14ac:dyDescent="0.3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" x14ac:dyDescent="0.3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" x14ac:dyDescent="0.3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" x14ac:dyDescent="0.3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" x14ac:dyDescent="0.3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" x14ac:dyDescent="0.3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" x14ac:dyDescent="0.3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" priority="3" stopIfTrue="1" operator="lessThanOrEqual">
      <formula>-0.1</formula>
    </cfRule>
    <cfRule type="expression" dxfId="2" priority="4">
      <formula>AND(ISNUMBER(F2), F2&gt;=0.1)</formula>
    </cfRule>
  </conditionalFormatting>
  <conditionalFormatting sqref="F4:F100 I4:I100">
    <cfRule type="cellIs" dxfId="1" priority="1" stopIfTrue="1" operator="lessThanOrEqual">
      <formula>-0.1</formula>
    </cfRule>
    <cfRule type="expression" dxfId="0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38"/>
  <sheetViews>
    <sheetView zoomScaleNormal="100" workbookViewId="0">
      <pane ySplit="3" topLeftCell="A4" activePane="bottomLeft" state="frozen"/>
      <selection pane="bottomLeft" activeCell="A19" sqref="A19"/>
    </sheetView>
  </sheetViews>
  <sheetFormatPr defaultRowHeight="12.75" customHeight="1" x14ac:dyDescent="0.25"/>
  <cols>
    <col min="1" max="1" width="58.5546875" customWidth="1"/>
    <col min="2" max="2" width="41.88671875" customWidth="1"/>
    <col min="4" max="4" width="9.109375" customWidth="1"/>
    <col min="5" max="5" width="18.33203125" customWidth="1"/>
    <col min="6" max="14" width="9.109375" customWidth="1"/>
  </cols>
  <sheetData>
    <row r="1" spans="1:7" ht="12.75" customHeight="1" x14ac:dyDescent="0.25">
      <c r="A1" t="s">
        <v>163</v>
      </c>
      <c r="B1" t="s">
        <v>164</v>
      </c>
    </row>
    <row r="3" spans="1:7" ht="13.2" x14ac:dyDescent="0.25">
      <c r="A3" t="s">
        <v>165</v>
      </c>
      <c r="B3" t="s">
        <v>3</v>
      </c>
      <c r="C3" t="s">
        <v>4</v>
      </c>
      <c r="D3" t="s">
        <v>166</v>
      </c>
      <c r="E3" s="2" t="s">
        <v>167</v>
      </c>
    </row>
    <row r="4" spans="1:7" ht="14.4" x14ac:dyDescent="0.3">
      <c r="A4" s="44" t="s">
        <v>168</v>
      </c>
      <c r="B4" s="45" t="s">
        <v>169</v>
      </c>
      <c r="C4" s="45" t="s">
        <v>170</v>
      </c>
      <c r="D4" s="46"/>
      <c r="E4" s="47" t="s">
        <v>171</v>
      </c>
      <c r="G4" s="3"/>
    </row>
    <row r="5" spans="1:7" ht="14.4" x14ac:dyDescent="0.3">
      <c r="A5" s="48" t="s">
        <v>168</v>
      </c>
      <c r="B5" s="49" t="s">
        <v>172</v>
      </c>
      <c r="C5" s="49" t="s">
        <v>170</v>
      </c>
      <c r="D5" s="50"/>
      <c r="E5" s="51" t="s">
        <v>171</v>
      </c>
      <c r="G5" s="3"/>
    </row>
    <row r="6" spans="1:7" ht="14.4" x14ac:dyDescent="0.3">
      <c r="A6" s="44" t="s">
        <v>173</v>
      </c>
      <c r="B6" s="45" t="s">
        <v>174</v>
      </c>
      <c r="C6" s="45" t="s">
        <v>170</v>
      </c>
      <c r="D6" s="46"/>
      <c r="E6" s="47" t="s">
        <v>171</v>
      </c>
      <c r="G6" s="3"/>
    </row>
    <row r="7" spans="1:7" ht="12.75" customHeight="1" x14ac:dyDescent="0.25">
      <c r="A7" s="48" t="s">
        <v>175</v>
      </c>
      <c r="B7" s="49" t="s">
        <v>176</v>
      </c>
      <c r="C7" s="49" t="s">
        <v>170</v>
      </c>
      <c r="D7" s="50"/>
      <c r="E7" s="51" t="s">
        <v>171</v>
      </c>
    </row>
    <row r="8" spans="1:7" ht="12.75" customHeight="1" x14ac:dyDescent="0.25">
      <c r="A8" s="44" t="s">
        <v>177</v>
      </c>
      <c r="B8" s="45" t="s">
        <v>178</v>
      </c>
      <c r="C8" s="45" t="s">
        <v>170</v>
      </c>
      <c r="D8" s="46"/>
      <c r="E8" s="47" t="s">
        <v>171</v>
      </c>
    </row>
    <row r="9" spans="1:7" ht="12.75" customHeight="1" x14ac:dyDescent="0.25">
      <c r="A9" s="48" t="s">
        <v>179</v>
      </c>
      <c r="B9" s="49" t="s">
        <v>180</v>
      </c>
      <c r="C9" s="49" t="s">
        <v>170</v>
      </c>
      <c r="D9" s="50"/>
      <c r="E9" s="51" t="s">
        <v>171</v>
      </c>
    </row>
    <row r="10" spans="1:7" ht="12.75" customHeight="1" x14ac:dyDescent="0.25">
      <c r="A10" s="44" t="s">
        <v>181</v>
      </c>
      <c r="B10" s="45" t="s">
        <v>182</v>
      </c>
      <c r="C10" s="45" t="s">
        <v>170</v>
      </c>
      <c r="D10" s="46"/>
      <c r="E10" s="47" t="s">
        <v>171</v>
      </c>
    </row>
    <row r="11" spans="1:7" ht="12.75" customHeight="1" x14ac:dyDescent="0.25">
      <c r="A11" s="48" t="s">
        <v>183</v>
      </c>
      <c r="B11" s="49" t="s">
        <v>184</v>
      </c>
      <c r="C11" s="49" t="s">
        <v>170</v>
      </c>
      <c r="D11" s="50"/>
      <c r="E11" s="51" t="s">
        <v>171</v>
      </c>
    </row>
    <row r="12" spans="1:7" ht="12.75" customHeight="1" x14ac:dyDescent="0.25">
      <c r="A12" s="44" t="s">
        <v>185</v>
      </c>
      <c r="B12" s="45" t="s">
        <v>186</v>
      </c>
      <c r="C12" s="45" t="s">
        <v>170</v>
      </c>
      <c r="D12" s="46"/>
      <c r="E12" s="47" t="s">
        <v>171</v>
      </c>
    </row>
    <row r="13" spans="1:7" ht="12.75" customHeight="1" x14ac:dyDescent="0.25">
      <c r="A13" s="48" t="s">
        <v>168</v>
      </c>
      <c r="B13" s="49" t="s">
        <v>187</v>
      </c>
      <c r="C13" s="49" t="s">
        <v>170</v>
      </c>
      <c r="D13" s="50"/>
      <c r="E13" s="51" t="s">
        <v>171</v>
      </c>
    </row>
    <row r="14" spans="1:7" ht="12.75" customHeight="1" x14ac:dyDescent="0.25">
      <c r="A14" s="44" t="s">
        <v>188</v>
      </c>
      <c r="B14" s="45" t="s">
        <v>189</v>
      </c>
      <c r="C14" s="45" t="s">
        <v>170</v>
      </c>
      <c r="D14" s="46"/>
      <c r="E14" s="47" t="s">
        <v>171</v>
      </c>
    </row>
    <row r="15" spans="1:7" ht="12.75" customHeight="1" x14ac:dyDescent="0.25">
      <c r="A15" s="48" t="s">
        <v>190</v>
      </c>
      <c r="B15" s="49" t="s">
        <v>191</v>
      </c>
      <c r="C15" s="49" t="s">
        <v>170</v>
      </c>
      <c r="D15" s="50"/>
      <c r="E15" s="51" t="s">
        <v>171</v>
      </c>
    </row>
    <row r="16" spans="1:7" ht="12.75" customHeight="1" x14ac:dyDescent="0.25">
      <c r="A16" s="44" t="s">
        <v>192</v>
      </c>
      <c r="B16" s="45" t="s">
        <v>193</v>
      </c>
      <c r="C16" s="45" t="s">
        <v>170</v>
      </c>
      <c r="D16" s="46"/>
      <c r="E16" s="47" t="s">
        <v>171</v>
      </c>
    </row>
    <row r="17" spans="1:5" ht="12.75" customHeight="1" x14ac:dyDescent="0.25">
      <c r="A17" s="48" t="s">
        <v>194</v>
      </c>
      <c r="B17" s="49" t="s">
        <v>195</v>
      </c>
      <c r="C17" s="49" t="s">
        <v>170</v>
      </c>
      <c r="D17" s="50"/>
      <c r="E17" s="51" t="s">
        <v>171</v>
      </c>
    </row>
    <row r="18" spans="1:5" ht="12.75" customHeight="1" x14ac:dyDescent="0.25">
      <c r="A18" s="48"/>
      <c r="B18" s="49" t="s">
        <v>196</v>
      </c>
      <c r="C18" s="49" t="s">
        <v>170</v>
      </c>
      <c r="D18" s="46"/>
      <c r="E18" s="47" t="s">
        <v>171</v>
      </c>
    </row>
    <row r="19" spans="1:5" ht="12.75" customHeight="1" x14ac:dyDescent="0.25">
      <c r="A19" s="48" t="s">
        <v>197</v>
      </c>
      <c r="B19" s="49" t="s">
        <v>198</v>
      </c>
      <c r="C19" s="49" t="s">
        <v>199</v>
      </c>
      <c r="D19" s="50"/>
      <c r="E19" s="51" t="s">
        <v>171</v>
      </c>
    </row>
    <row r="20" spans="1:5" ht="12.75" customHeight="1" x14ac:dyDescent="0.25">
      <c r="A20" s="48" t="s">
        <v>200</v>
      </c>
      <c r="B20" s="49" t="s">
        <v>201</v>
      </c>
      <c r="C20" s="49" t="s">
        <v>199</v>
      </c>
      <c r="D20" s="46"/>
      <c r="E20" s="47" t="s">
        <v>171</v>
      </c>
    </row>
    <row r="21" spans="1:5" ht="12.75" customHeight="1" x14ac:dyDescent="0.25">
      <c r="A21" s="48" t="s">
        <v>202</v>
      </c>
      <c r="B21" s="49" t="s">
        <v>203</v>
      </c>
      <c r="C21" s="49" t="s">
        <v>199</v>
      </c>
      <c r="D21" s="50"/>
      <c r="E21" s="51" t="s">
        <v>171</v>
      </c>
    </row>
    <row r="22" spans="1:5" ht="12.75" customHeight="1" x14ac:dyDescent="0.25">
      <c r="A22" s="48" t="s">
        <v>204</v>
      </c>
      <c r="B22" s="49" t="s">
        <v>205</v>
      </c>
      <c r="C22" s="49" t="s">
        <v>199</v>
      </c>
      <c r="D22" s="46"/>
      <c r="E22" s="47" t="s">
        <v>171</v>
      </c>
    </row>
    <row r="23" spans="1:5" ht="12.75" customHeight="1" x14ac:dyDescent="0.25">
      <c r="A23" s="48" t="s">
        <v>206</v>
      </c>
      <c r="B23" s="49" t="s">
        <v>207</v>
      </c>
      <c r="C23" s="49" t="s">
        <v>199</v>
      </c>
      <c r="D23" s="50"/>
      <c r="E23" s="51" t="s">
        <v>171</v>
      </c>
    </row>
    <row r="24" spans="1:5" ht="12.75" customHeight="1" x14ac:dyDescent="0.25">
      <c r="A24" s="48" t="s">
        <v>208</v>
      </c>
      <c r="B24" s="49" t="s">
        <v>209</v>
      </c>
      <c r="C24" s="49" t="s">
        <v>199</v>
      </c>
      <c r="D24" s="46"/>
      <c r="E24" s="47" t="s">
        <v>171</v>
      </c>
    </row>
    <row r="25" spans="1:5" ht="12.75" customHeight="1" x14ac:dyDescent="0.25">
      <c r="A25" s="48" t="s">
        <v>210</v>
      </c>
      <c r="B25" s="49" t="s">
        <v>211</v>
      </c>
      <c r="C25" s="49" t="s">
        <v>199</v>
      </c>
      <c r="D25" s="50"/>
      <c r="E25" s="51" t="s">
        <v>171</v>
      </c>
    </row>
    <row r="26" spans="1:5" ht="12.75" customHeight="1" x14ac:dyDescent="0.25">
      <c r="A26" s="48" t="s">
        <v>212</v>
      </c>
      <c r="B26" s="49" t="s">
        <v>213</v>
      </c>
      <c r="C26" s="49" t="s">
        <v>199</v>
      </c>
      <c r="D26" s="46"/>
      <c r="E26" s="47" t="s">
        <v>171</v>
      </c>
    </row>
    <row r="27" spans="1:5" ht="12.75" customHeight="1" x14ac:dyDescent="0.25">
      <c r="A27" s="48" t="s">
        <v>214</v>
      </c>
      <c r="B27" s="49" t="s">
        <v>215</v>
      </c>
      <c r="C27" s="49" t="s">
        <v>199</v>
      </c>
      <c r="D27" s="50"/>
      <c r="E27" s="51" t="s">
        <v>171</v>
      </c>
    </row>
    <row r="28" spans="1:5" ht="12.75" customHeight="1" x14ac:dyDescent="0.25">
      <c r="A28" s="48" t="s">
        <v>216</v>
      </c>
      <c r="B28" s="49" t="s">
        <v>217</v>
      </c>
      <c r="C28" s="49" t="s">
        <v>199</v>
      </c>
      <c r="D28" s="46"/>
      <c r="E28" s="47" t="s">
        <v>171</v>
      </c>
    </row>
    <row r="29" spans="1:5" ht="12.75" customHeight="1" x14ac:dyDescent="0.25">
      <c r="A29" s="48" t="s">
        <v>218</v>
      </c>
      <c r="B29" s="49" t="s">
        <v>219</v>
      </c>
      <c r="C29" s="49" t="s">
        <v>199</v>
      </c>
      <c r="D29" s="50"/>
      <c r="E29" s="51" t="s">
        <v>171</v>
      </c>
    </row>
    <row r="30" spans="1:5" ht="12.75" customHeight="1" x14ac:dyDescent="0.25">
      <c r="A30" s="48" t="s">
        <v>220</v>
      </c>
      <c r="B30" s="49" t="s">
        <v>221</v>
      </c>
      <c r="C30" s="49" t="s">
        <v>222</v>
      </c>
      <c r="D30" s="46"/>
      <c r="E30" s="47" t="s">
        <v>171</v>
      </c>
    </row>
    <row r="31" spans="1:5" ht="12.75" customHeight="1" x14ac:dyDescent="0.25">
      <c r="A31" s="48" t="s">
        <v>223</v>
      </c>
      <c r="B31" s="49" t="s">
        <v>224</v>
      </c>
      <c r="C31" s="49" t="s">
        <v>222</v>
      </c>
      <c r="D31" s="50"/>
      <c r="E31" s="51" t="s">
        <v>171</v>
      </c>
    </row>
    <row r="32" spans="1:5" ht="12.75" customHeight="1" x14ac:dyDescent="0.25">
      <c r="A32" s="48" t="s">
        <v>168</v>
      </c>
      <c r="B32" s="49" t="s">
        <v>225</v>
      </c>
      <c r="C32" s="49" t="s">
        <v>226</v>
      </c>
      <c r="D32" s="46"/>
      <c r="E32" s="47" t="s">
        <v>171</v>
      </c>
    </row>
    <row r="33" spans="1:5" ht="12.75" customHeight="1" x14ac:dyDescent="0.25">
      <c r="A33" s="48" t="s">
        <v>227</v>
      </c>
      <c r="B33" s="49" t="s">
        <v>228</v>
      </c>
      <c r="C33" s="49" t="s">
        <v>229</v>
      </c>
      <c r="D33" s="50"/>
      <c r="E33" s="51" t="s">
        <v>171</v>
      </c>
    </row>
    <row r="34" spans="1:5" ht="12.75" customHeight="1" x14ac:dyDescent="0.25">
      <c r="A34" s="48" t="s">
        <v>230</v>
      </c>
      <c r="B34" s="49" t="s">
        <v>231</v>
      </c>
      <c r="C34" s="49" t="s">
        <v>229</v>
      </c>
      <c r="D34" s="46"/>
      <c r="E34" s="47" t="s">
        <v>171</v>
      </c>
    </row>
    <row r="35" spans="1:5" ht="12.75" customHeight="1" x14ac:dyDescent="0.25">
      <c r="A35" s="48" t="s">
        <v>232</v>
      </c>
      <c r="B35" s="49" t="s">
        <v>233</v>
      </c>
      <c r="C35" s="49" t="s">
        <v>234</v>
      </c>
      <c r="D35" s="50"/>
      <c r="E35" s="51" t="s">
        <v>171</v>
      </c>
    </row>
    <row r="36" spans="1:5" ht="12.75" customHeight="1" x14ac:dyDescent="0.25">
      <c r="A36" s="48" t="s">
        <v>168</v>
      </c>
      <c r="B36" s="49" t="s">
        <v>235</v>
      </c>
      <c r="C36" s="49" t="s">
        <v>234</v>
      </c>
      <c r="D36" s="46"/>
      <c r="E36" s="47" t="s">
        <v>171</v>
      </c>
    </row>
    <row r="37" spans="1:5" ht="12.75" customHeight="1" x14ac:dyDescent="0.25">
      <c r="A37" s="48" t="s">
        <v>236</v>
      </c>
      <c r="B37" s="49" t="s">
        <v>237</v>
      </c>
      <c r="C37" s="49" t="s">
        <v>238</v>
      </c>
      <c r="D37" s="50"/>
      <c r="E37" s="51" t="s">
        <v>171</v>
      </c>
    </row>
    <row r="38" spans="1:5" ht="12.75" customHeight="1" x14ac:dyDescent="0.25">
      <c r="A38" s="52" t="s">
        <v>239</v>
      </c>
      <c r="B38" s="53" t="s">
        <v>240</v>
      </c>
      <c r="C38" s="53" t="s">
        <v>238</v>
      </c>
      <c r="D38" s="54"/>
      <c r="E38" s="55" t="s">
        <v>171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��
</file>

<file path=customXml/item8.xml>��
</file>

<file path=customXml/item9.xml>��
</file>

<file path=customXml/item1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b1f1756a870b76efc27a8eaee629888b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644d54029bc3338cc5927c7c7a534b5a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customXml/itemProps2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customXml/itemProps4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customXml/itemProps5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customXml/itemProps6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7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customXml/itemProps8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customXml/itemProps9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customXml/itemProps10.xml><?xml version="1.0" encoding="utf-8"?>
<ds:datastoreItem xmlns:ds="http://schemas.openxmlformats.org/officeDocument/2006/customXml" ds:itemID="{334F9BA7-AB12-4EAA-951A-B74CFB6143B5}"/>
</file>

<file path=customXml/itemProps11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customXml/itemProps12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customXml/itemProps13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customXml/itemProps14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customXml/itemProps15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customXml/itemProps16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customXml/itemProps17.xml><?xml version="1.0" encoding="utf-8"?>
<ds:datastoreItem xmlns:ds="http://schemas.openxmlformats.org/officeDocument/2006/customXml" ds:itemID="{8D732231-4216-4543-A665-18A2886B0EB7}">
  <ds:schemaRefs>
    <ds:schemaRef ds:uri="http://schemas.microsoft.com/office/2006/metadata/properties"/>
    <ds:schemaRef ds:uri="http://schemas.microsoft.com/office/infopath/2007/PartnerControls"/>
    <ds:schemaRef ds:uri="ddcd8467-55ca-498e-a9f8-86795db5db7a"/>
    <ds:schemaRef ds:uri="http://schemas.microsoft.com/sharepoint/v3"/>
    <ds:schemaRef ds:uri="7f39bfab-6331-41a1-b6d4-5b974a316951"/>
  </ds:schemaRefs>
</ds:datastoreItem>
</file>

<file path=customXml/itemProps18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19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customXml/itemProps20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Solar Team 2</cp:lastModifiedBy>
  <cp:revision/>
  <dcterms:created xsi:type="dcterms:W3CDTF">2021-01-01T16:39:53Z</dcterms:created>
  <dcterms:modified xsi:type="dcterms:W3CDTF">2025-12-21T12:56:39Z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2025-01-13T22:44:34Z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677233a5-8511-4e1b-a589-b50e327b5f82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