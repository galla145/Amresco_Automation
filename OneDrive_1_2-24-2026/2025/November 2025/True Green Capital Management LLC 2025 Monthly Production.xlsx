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4C469F3A-8944-4F53-9155-B505604399C2}" xr6:coauthVersionLast="47" xr6:coauthVersionMax="47" xr10:uidLastSave="{AB8751D7-4681-47FB-9419-B9EFF49D1EBD}"/>
  <bookViews>
    <workbookView xWindow="-108" yWindow="-108" windowWidth="23256" windowHeight="13896" tabRatio="866" firstSheet="15"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7" l="1"/>
  <c r="H4" i="27"/>
  <c r="H6" i="26"/>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s="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s="1"/>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I7" i="27"/>
  <c r="H6" i="27"/>
  <c r="I6" i="27" s="1"/>
  <c r="E6" i="27"/>
  <c r="F6" i="27" s="1"/>
  <c r="H5" i="27"/>
  <c r="I5" i="27" s="1"/>
  <c r="E5" i="27"/>
  <c r="F5" i="27" s="1"/>
  <c r="I4" i="27"/>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4" i="30" l="1"/>
  <c r="H5" i="30"/>
  <c r="H8" i="30"/>
  <c r="H6" i="30"/>
  <c r="I6" i="30" s="1"/>
  <c r="H7" i="30"/>
  <c r="I8" i="26"/>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tc={50BBCCA5-A392-44CA-BF84-C025897859C2}</author>
  </authors>
  <commentList>
    <comment ref="C4" authorId="0" shapeId="0" xr:uid="{50BBCCA5-A392-44CA-BF84-C025897859C2}">
      <text>
        <t>[Threaded comment]
Your version of Excel allows you to read this threaded comment; however, any edits to it will get removed if the file is opened in a newer version of Excel. Learn more: https://go.microsoft.com/fwlink/?linkid=870924
Comment:
    As meter 2 was not communicating for whole month we have taken total inverters energy as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<sst xmlns="http://schemas.openxmlformats.org/spreadsheetml/2006/main" count="461" uniqueCount="237">
  <si>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</si>
  <si>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</si>
  <si>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</si>
  <si>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</si>
  <si>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</si>
  <si>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</si>
  <si>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</si>
  <si>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</si>
  <si>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</si>
  <si>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</si>
  <si>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</si>
  <si>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</si>
  <si>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</si>
  <si>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</si>
  <si>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</si>
  <si>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</si>
  <si>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</si>
  <si>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</si>
  <si>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</si>
  <si>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</si>
  <si>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</si>
  <si>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</si>
  <si>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</si>
  <si>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</si>
  <si>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</si>
  <si>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</si>
  <si>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</si>
  <si>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</si>
  <si>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</si>
  <si>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</si>
  <si>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</si>
  <si>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</si>
  <si>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</si>
  <si>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</si>
  <si>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</si>
  <si>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</si>
  <si>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</si>
  <si>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</si>
  <si>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</si>
  <si>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</si>
  <si>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</si>
  <si>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</si>
  <si>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</si>
  <si>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</si>
  <si>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</si>
  <si>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</si>
  <si>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</si>
  <si>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</si>
  <si>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</si>
  <si>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</si>
  <si>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</si>
  <si>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</si>
  <si>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</si>
  <si>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</si>
  <si>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</si>
  <si>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</si>
  <si>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</si>
  <si>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</si>
  <si>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</si>
  <si>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</si>
  <si>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</si>
  <si>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</si>
  <si>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</si>
  <si>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</si>
  <si>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</si>
  <si>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</si>
  <si>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</si>
  <si>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</si>
  <si>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</si>
  <si>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</si>
  <si>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</si>
  <si>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</si>
  <si>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</si>
  <si>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</si>
  <si>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</si>
  <si>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</si>
  <si>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</si>
  <si>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</si>
  <si>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</si>
  <si>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</si>
  <si>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</si>
  <si>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</si>
  <si>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</si>
  <si>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</si>
  <si>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</si>
  <si>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</si>
  <si>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</si>
  <si>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</si>
  <si>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</si>
  <si>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</si>
  <si>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</si>
  <si>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</si>
  <si>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</si>
  <si>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</si>
  <si>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</si>
  <si>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</si>
  <si>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</si>
  <si>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</si>
  <si>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</si>
  <si>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</si>
  <si>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</si>
  <si>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</si>
  <si>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</si>
  <si>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</si>
  <si>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</si>
  <si>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</si>
  <si>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</si>
  <si>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</si>
  <si>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</si>
  <si>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</si>
  <si>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</si>
  <si>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</si>
  <si>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</si>
  <si>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</si>
  <si>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</si>
  <si>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</si>
  <si>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</si>
  <si>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</si>
  <si>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</si>
  <si>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</si>
  <si>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</si>
  <si>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</si>
  <si>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</si>
  <si>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</si>
  <si>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 xml:space="preserve">1. SR105393
2. SR105006
3. SR104883
4. SR104670
5. SR104214
6. SR103975
7. SR104000
8. SR103977
9. SR103976
10. SR099221, 	SR103657
11. SR102147
</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</si>
  <si>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</si>
  <si>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</si>
  <si>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</si>
  <si>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</si>
  <si>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</si>
  <si>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</si>
  <si>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</si>
  <si>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</si>
  <si>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</si>
  <si>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</si>
  <si>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1. Most of the trackers required repair. 
2. Inverter 64 was LOTO'd.
3. Inverter 21 was offline from 06:00 on 08/07 to 09:45 on 08/14 Inverter 21 tripped offline at 15:30 on 08/27 and back online 08/28 at 06:00.
4. Inverter 69 tripped offline at 12:30 on 08/07 and back online at 09:00 on 08/14.
5. Inverter 70 was derated by 50kW from 09:00 on 08/11 to 08:00 on 08/14
6. Inverter 33 was offline from 05:45 to 09:00 on 08/01.</t>
  </si>
  <si>
    <t>1. SR102147
2. SR099221
3. SR105946, SR107054
4. SR105860
5. SR106166
6. 	SR105393</t>
  </si>
  <si>
    <t>SR105946</t>
  </si>
  <si>
    <t>SR107054</t>
  </si>
  <si>
    <t>SR105860</t>
  </si>
  <si>
    <t>SR106166</t>
  </si>
  <si>
    <t>SR105393</t>
  </si>
  <si>
    <t>1.  8  trackers remained stuck for whole month.(motors need to be replaced).
2. Inverter 17 was derated at 75.2kW from 08/01 to 08/21
3.  Inverter 16 was derated at 75.3kW from 08/01 to 08/21
4. Weather station was not communicated for whole month.</t>
  </si>
  <si>
    <t>1. SR101583
2. SR105308
3. SR105629
4. SR104941</t>
  </si>
  <si>
    <t>SR105308</t>
  </si>
  <si>
    <t>SR105629</t>
  </si>
  <si>
    <t>SR104941</t>
  </si>
  <si>
    <t>1. NCU 1 all trackers stuck and reporting Wind stow, NCU 2 was not communicated  from 5/15 
2. 12 Modules being replced.</t>
  </si>
  <si>
    <t>1. SR103137
2. SR105402</t>
  </si>
  <si>
    <t>SR105402</t>
  </si>
  <si>
    <t>1.Hukseflux SR15-D1-POA stopped communicating 03/16/25. Huskseflux SR15-D1-BPOA has intermittent comms. 
2.  Tracker system is not communicated for whole month.</t>
  </si>
  <si>
    <t>1. SR099420
2. SR101449</t>
  </si>
  <si>
    <t>SR101449</t>
  </si>
  <si>
    <t>1. Trackers were not communicated for whole month
2. Weather station is not communicated from 12/18 to end of the month.
3. Inverter 14 was offline from 13:30 on 08/20 to 11:30 on 08/26.
4. All Inverters were tripped offline on  08/25 at 12:30 and back online on 08/26 at 11:00.</t>
  </si>
  <si>
    <t>1. SR101580, SR100415
2. SR105397
3. SR106590
4. SR106873</t>
  </si>
  <si>
    <t>SR105397</t>
  </si>
  <si>
    <t>SR106590</t>
  </si>
  <si>
    <t>SR106873</t>
  </si>
  <si>
    <t>September Actual v. Expected</t>
  </si>
  <si>
    <t>September Actual v. Forecasted</t>
  </si>
  <si>
    <t>1.Inverter 13 tripped offline at 07:30 on 09/04 and offline for whole month
2.Inverter 40 tripped offine at 12:30 on 09/08 and back online at 11:45 on 09/12
3. Inverter 64 was LOTO'd.
4. Most of the trackers required repairs. Whenever the trackers were getting stuck, it was also affecting the weather station.</t>
  </si>
  <si>
    <t>1.SR107451
2.SR107650
3. SR099221
4.SR102147</t>
  </si>
  <si>
    <t>SR107650</t>
  </si>
  <si>
    <t>SR102147</t>
  </si>
  <si>
    <t>1.Weather station was not communicated for whole month.
2.Site tripped offline at 08:00 on 09/15 and back online at 13:45 on 09/15.
3.8 trackers remained stuck for whole month.(motors need to be replaced).</t>
  </si>
  <si>
    <t>1.SR104941
2.SR107935
3.SR101583</t>
  </si>
  <si>
    <t>SR107935</t>
  </si>
  <si>
    <t>1. 12 modules are replaced on 09/22
2. Site tripped offline at 07:00 on 09/23 and later back online at 09:30 on 09/27</t>
  </si>
  <si>
    <t>1.SR105402
2.SR108406</t>
  </si>
  <si>
    <t>SR108406</t>
  </si>
  <si>
    <t>1.Hukseflux SR15-D1-POA stopped communicating 03/16/25. Huskseflux SR15-D1-BPOA has intermittent comms. Further Troubleshooting required need to run a new conduit to install replacement cable.
2.  Tracker system is not communicated for whole month.</t>
  </si>
  <si>
    <t>1. SR099420, SR108512
2. SR101449</t>
  </si>
  <si>
    <t>SR108512</t>
  </si>
  <si>
    <t>1.Weather station is not communicated from 12/18 to end of the month.
2. Trackers were not communicated for whole month</t>
  </si>
  <si>
    <t>1.SR105397
2.SR101580, SR100415</t>
  </si>
  <si>
    <t>October Actual v. Expected</t>
  </si>
  <si>
    <t>October Actual v. Forecasted</t>
  </si>
  <si>
    <t>Status</t>
  </si>
  <si>
    <t>1.Inverter 13 tripped offline at 07:30 on 09/04 and offline for whole month
2. Inverter 64 was being LOTO'd.
3. Most of the trackers required repairs. Whenever the trackers were getting stuck, it was also affecting the weather station.
4.Soltec trackers, 
T01: Motor 14, 22, 24, 55, 77, 127, 138 are stuck.
 T02: All motors are stuck.
T03: Motor 10, 13, 52 are stuck. 
T04: Motor 1, 11, 27, 28, 29, 32, 39, 49, 51, 57, 65, 75, 78, 88, 89, 94, 112, 113 are stuck.
5. Inverter 24 is derating at 50kW on 10/24 and later resolved.
6.Inverter 35 offline on 10/10 and back online on 10/11
7. Meters LV2 and LV3, invs 29-80, Huskeflux L32, Weather stations 3, 4, &amp; 6 stopped communicating. UPS 2 is in battery mode on 10/11. On 10/12 technician confirmed several inverters are showing no communications (13,32,34,39, 42,43,44,45 49,51 52, 59,62, 63, 66, 67, 72,74,77 and 80), tech said bad weather in the area is affecting the inverters and some of them are on standby</t>
  </si>
  <si>
    <t>1.SR107650
2.SR099221
3.SR102147
4.	SR109898
5.SR109945
6.SR109354
7.SR109388</t>
  </si>
  <si>
    <t>1.Pending
2.Closed
3.Closed
4.Pending
5.Closed
6.Closed
7.Closed</t>
  </si>
  <si>
    <t>SR109898</t>
  </si>
  <si>
    <t>SR109945</t>
  </si>
  <si>
    <t>SR109354</t>
  </si>
  <si>
    <t>SR109388</t>
  </si>
  <si>
    <t>1. Inverter 22 started derating by 50 kW at 14:00 on 10/01  looks like a fan fault. no alert reported.
2. Inverter 22 has been derating daily from 10/19 due to a fan error, usually starting around 11:00. Initial event occurred 10/16.</t>
  </si>
  <si>
    <t>1.SR108844
2.SR109883</t>
  </si>
  <si>
    <t>1.Closed
2.Pending</t>
  </si>
  <si>
    <t>SR109883</t>
  </si>
  <si>
    <t>1. Site was producing as expected.</t>
  </si>
  <si>
    <t>1.Hukseflux SR15-D1-POA started communicating on 10/20 at 10:30</t>
  </si>
  <si>
    <t>1.SR108512</t>
  </si>
  <si>
    <t>1.Closed</t>
  </si>
  <si>
    <t>1.Weather station is not communicated from 12/18 to end of the month.
2. 7 trackers are currently stuck.
     Tracker 1 Group F motors 12 and target angle, &amp; 14
     Tracker 2 Group A motors 3, &amp; 7 and target angle
     Tracker 2 Group C motors 12 and target angle, &amp; 13
     Tracker 2 Group D motor 7</t>
  </si>
  <si>
    <t>1.SR105397
2.	SR109931</t>
  </si>
  <si>
    <t>1.Pending
2.Pending</t>
  </si>
  <si>
    <t>SR109931</t>
  </si>
  <si>
    <t>November Actual v. Expected</t>
  </si>
  <si>
    <t>November Actual v. Forecasted</t>
  </si>
  <si>
    <t>1.  Inverter 24 is derating at 50kW on regular basis from 11/12 to end of the month.
2. Inverter 64 was being LOTO'd.
3. T01: Motor 14, 22, 24, 55, 77, 127, 138 are stuck.
T02: All motors are stuck.
T03: Motor 10, 13, 52 are stuck. 
T04: Motor 1, 11, 27, 28, 29, 32, 39, 49, 51, 57, 65, 75, 78, 88, 89, 94, 112, 113 are stuck.
4. Inverters 1 to 28 tripped offline at 09:00 on 11/07 and the site was offline from 16:30 on 11/07 to 10:00 on 11/10.
5. Inverter 14 was offline from 08:30 to 10:00 on 11/21.
6.Meter 2 was not communicating from 01:36 on 10/30</t>
  </si>
  <si>
    <t>1. SR111820
2. SR099221
3. SR109898
4. SR110765
5. SR111456
6.SR110529</t>
  </si>
  <si>
    <t>1. Pending
2. Closed
3. Pending
4. Closed
5. Closed
6.Pending</t>
  </si>
  <si>
    <t>SR110765</t>
  </si>
  <si>
    <t>SR111456</t>
  </si>
  <si>
    <t>SR110529</t>
  </si>
  <si>
    <t>1. Inverter 22 fan being RMA'd.
2. A string was found offline from flyover.</t>
  </si>
  <si>
    <t>1. SR109883
2. SR110594</t>
  </si>
  <si>
    <t>1. Pending
2. Pending</t>
  </si>
  <si>
    <t>SR110594</t>
  </si>
  <si>
    <t>1. Inverter 7 was offline from 11:00 to 17:00 on 11/05. Again inverter offline from 12:00 to 17:00 on 11/11</t>
  </si>
  <si>
    <t>1. SR110898</t>
  </si>
  <si>
    <t>1. Closed</t>
  </si>
  <si>
    <t>1. Trackes were not communicated for whole month.</t>
  </si>
  <si>
    <t>1. SR101449</t>
  </si>
  <si>
    <t>1.  7 trackers are currently stuck.
     Tracker 1 Group F motors 12 and target angle, &amp; 14
     Tracker 2 Group A motors 3, &amp; 7 and target angle
     Tracker 2 Group C motors 12 and target angle, &amp; 13
     Tracker 2 Group D motor 7 are stuck
2. Weather station parts being replaced</t>
  </si>
  <si>
    <t>1. SR109931
2. SR105397</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</si>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</sst>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80">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32" fillId="0" borderId="0" xfId="0" applyFont="1" applyAlignment="1">
      <alignment horizontal="left" vertical="top"/>
    </xf>
    <xf numFmtId="49" fontId="38" fillId="0" borderId="0" xfId="45" applyNumberFormat="1" applyAlignment="1">
      <alignment vertical="top" wrapText="1"/>
    </xf>
    <xf numFmtId="49" fontId="38" fillId="0" borderId="0" xfId="45" applyNumberFormat="1" applyAlignment="1">
      <alignment vertical="center" wrapText="1"/>
    </xf>
    <xf numFmtId="0" fontId="0" fillId="0" borderId="0" xfId="0"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0" fillId="0" borderId="0" xfId="0" applyAlignment="1">
      <alignment vertical="top"/>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6F613E94-4CCF-4841-BA77-E3E91F8F08AE}"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12-03T07:45:27.94" personId="{6F613E94-4CCF-4841-BA77-E3E91F8F08AE}" id="{50BBCCA5-A392-44CA-BF84-C025897859C2}">
    <text>As meter 2 was not communicating for whole month we have taken total inverters energy as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1583" TargetMode="External"/><Relationship Id="rId13" Type="http://schemas.openxmlformats.org/officeDocument/2006/relationships/hyperlink" Target="https://us3.assetplanner.com/service_request?ID=105402" TargetMode="External"/><Relationship Id="rId18"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105946" TargetMode="External"/><Relationship Id="rId7" Type="http://schemas.openxmlformats.org/officeDocument/2006/relationships/hyperlink" Target="https://us3.assetplanner.com/service_request?ID=105393" TargetMode="External"/><Relationship Id="rId12" Type="http://schemas.openxmlformats.org/officeDocument/2006/relationships/hyperlink" Target="https://us3.assetplanner.com/service_request?ID=103137" TargetMode="External"/><Relationship Id="rId17" Type="http://schemas.openxmlformats.org/officeDocument/2006/relationships/hyperlink" Target="https://us3.assetplanner.com/service_request?ID=100415"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1580" TargetMode="External"/><Relationship Id="rId20" Type="http://schemas.openxmlformats.org/officeDocument/2006/relationships/hyperlink" Target="https://us3.assetplanner.com/service_request?ID=106873" TargetMode="External"/><Relationship Id="rId1" Type="http://schemas.openxmlformats.org/officeDocument/2006/relationships/hyperlink" Target="https://us3.assetplanner.com/service_request?ID=102147" TargetMode="External"/><Relationship Id="rId6" Type="http://schemas.openxmlformats.org/officeDocument/2006/relationships/hyperlink" Target="https://us3.assetplanner.com/service_request?ID=106166" TargetMode="External"/><Relationship Id="rId11" Type="http://schemas.openxmlformats.org/officeDocument/2006/relationships/hyperlink" Target="https://us3.assetplanner.com/service_request?ID=104941" TargetMode="External"/><Relationship Id="rId5" Type="http://schemas.openxmlformats.org/officeDocument/2006/relationships/hyperlink" Target="https://us3.assetplanner.com/service_request?ID=105860" TargetMode="External"/><Relationship Id="rId15" Type="http://schemas.openxmlformats.org/officeDocument/2006/relationships/hyperlink" Target="https://us3.assetplanner.com/service_request?ID=101449" TargetMode="External"/><Relationship Id="rId10" Type="http://schemas.openxmlformats.org/officeDocument/2006/relationships/hyperlink" Target="https://us3.assetplanner.com/service_request?ID=105629" TargetMode="External"/><Relationship Id="rId19" Type="http://schemas.openxmlformats.org/officeDocument/2006/relationships/hyperlink" Target="https://us3.assetplanner.com/service_request?ID=106590" TargetMode="External"/><Relationship Id="rId4" Type="http://schemas.openxmlformats.org/officeDocument/2006/relationships/hyperlink" Target="https://us3.assetplanner.com/service_request?ID=107054" TargetMode="External"/><Relationship Id="rId9" Type="http://schemas.openxmlformats.org/officeDocument/2006/relationships/hyperlink" Target="https://us3.assetplanner.com/service_request?ID=105308" TargetMode="External"/><Relationship Id="rId14" Type="http://schemas.openxmlformats.org/officeDocument/2006/relationships/hyperlink" Target="https://us3.assetplanner.com/service_request?ID=0994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5402" TargetMode="External"/><Relationship Id="rId13"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099221" TargetMode="External"/><Relationship Id="rId7" Type="http://schemas.openxmlformats.org/officeDocument/2006/relationships/hyperlink" Target="https://us3.assetplanner.com/service_request?ID=101583" TargetMode="External"/><Relationship Id="rId12" Type="http://schemas.openxmlformats.org/officeDocument/2006/relationships/hyperlink" Target="https://us3.assetplanner.com/service_request?ID=101449" TargetMode="External"/><Relationship Id="rId2" Type="http://schemas.openxmlformats.org/officeDocument/2006/relationships/hyperlink" Target="https://us3.assetplanner.com/service_request?ID=107650" TargetMode="External"/><Relationship Id="rId1" Type="http://schemas.openxmlformats.org/officeDocument/2006/relationships/hyperlink" Target="https://us3.assetplanner.com/service_request?ID=107451" TargetMode="External"/><Relationship Id="rId6" Type="http://schemas.openxmlformats.org/officeDocument/2006/relationships/hyperlink" Target="https://us3.assetplanner.com/service_request?ID=107935" TargetMode="External"/><Relationship Id="rId11" Type="http://schemas.openxmlformats.org/officeDocument/2006/relationships/hyperlink" Target="https://us3.assetplanner.com/service_request?ID=108512" TargetMode="External"/><Relationship Id="rId5" Type="http://schemas.openxmlformats.org/officeDocument/2006/relationships/hyperlink" Target="https://us3.assetplanner.com/service_request?ID=104941" TargetMode="External"/><Relationship Id="rId15" Type="http://schemas.openxmlformats.org/officeDocument/2006/relationships/hyperlink" Target="https://us3.assetplanner.com/service_request?ID=100415" TargetMode="External"/><Relationship Id="rId10" Type="http://schemas.openxmlformats.org/officeDocument/2006/relationships/hyperlink" Target="https://us3.assetplanner.com/service_request?ID=099420" TargetMode="External"/><Relationship Id="rId4" Type="http://schemas.openxmlformats.org/officeDocument/2006/relationships/hyperlink" Target="https://us3.assetplanner.com/service_request?ID=102147" TargetMode="External"/><Relationship Id="rId9" Type="http://schemas.openxmlformats.org/officeDocument/2006/relationships/hyperlink" Target="https://us3.assetplanner.com/service_request?ID=108406" TargetMode="External"/><Relationship Id="rId14" Type="http://schemas.openxmlformats.org/officeDocument/2006/relationships/hyperlink" Target="https://us3.assetplanner.com/service_request?ID=10158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4" TargetMode="External"/><Relationship Id="rId3" Type="http://schemas.openxmlformats.org/officeDocument/2006/relationships/hyperlink" Target="https://us3.assetplanner.com/service_request?ID=102147" TargetMode="External"/><Relationship Id="rId7" Type="http://schemas.openxmlformats.org/officeDocument/2006/relationships/hyperlink" Target="https://us3.assetplanner.com/service_request?ID=109388" TargetMode="External"/><Relationship Id="rId12" Type="http://schemas.openxmlformats.org/officeDocument/2006/relationships/hyperlink" Target="https://us3.assetplanner.com/service_request?ID=109931" TargetMode="External"/><Relationship Id="rId2" Type="http://schemas.openxmlformats.org/officeDocument/2006/relationships/hyperlink" Target="https://us3.assetplanner.com/service_request?ID=099221" TargetMode="External"/><Relationship Id="rId1" Type="http://schemas.openxmlformats.org/officeDocument/2006/relationships/hyperlink" Target="https://us3.assetplanner.com/service_request?ID=107650" TargetMode="External"/><Relationship Id="rId6" Type="http://schemas.openxmlformats.org/officeDocument/2006/relationships/hyperlink" Target="https://us3.assetplanner.com/service_request?ID=109354" TargetMode="External"/><Relationship Id="rId11" Type="http://schemas.openxmlformats.org/officeDocument/2006/relationships/hyperlink" Target="https://us3.assetplanner.com/service_request?ID=105397" TargetMode="External"/><Relationship Id="rId5" Type="http://schemas.openxmlformats.org/officeDocument/2006/relationships/hyperlink" Target="https://us3.assetplanner.com/service_request?ID=109945" TargetMode="External"/><Relationship Id="rId10" Type="http://schemas.openxmlformats.org/officeDocument/2006/relationships/hyperlink" Target="https://us3.assetplanner.com/service_request?ID=108512" TargetMode="External"/><Relationship Id="rId4" Type="http://schemas.openxmlformats.org/officeDocument/2006/relationships/hyperlink" Target="https://us3.assetplanner.com/service_request?ID=109898" TargetMode="External"/><Relationship Id="rId9" Type="http://schemas.openxmlformats.org/officeDocument/2006/relationships/hyperlink" Target="https://us3.assetplanner.com/service_request?ID=10988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0594" TargetMode="External"/><Relationship Id="rId13" Type="http://schemas.openxmlformats.org/officeDocument/2006/relationships/printerSettings" Target="../printerSettings/printerSettings4.bin"/><Relationship Id="rId3" Type="http://schemas.openxmlformats.org/officeDocument/2006/relationships/hyperlink" Target="https://us3.assetplanner.com/service_request?ID=109898" TargetMode="External"/><Relationship Id="rId7" Type="http://schemas.openxmlformats.org/officeDocument/2006/relationships/hyperlink" Target="https://us3.assetplanner.com/service_request?ID=109883" TargetMode="External"/><Relationship Id="rId12" Type="http://schemas.openxmlformats.org/officeDocument/2006/relationships/hyperlink" Target="https://us3.assetplanner.com/service_request?ID=105397" TargetMode="External"/><Relationship Id="rId2" Type="http://schemas.openxmlformats.org/officeDocument/2006/relationships/hyperlink" Target="https://us3.assetplanner.com/service_request?ID=099221" TargetMode="External"/><Relationship Id="rId16" Type="http://schemas.microsoft.com/office/2017/10/relationships/threadedComment" Target="../threadedComments/threadedComment1.xml"/><Relationship Id="rId1" Type="http://schemas.openxmlformats.org/officeDocument/2006/relationships/hyperlink" Target="https://us3.assetplanner.com/service_request?ID=111820" TargetMode="External"/><Relationship Id="rId6" Type="http://schemas.openxmlformats.org/officeDocument/2006/relationships/hyperlink" Target="https://us3.assetplanner.com/service_request?ID=110529" TargetMode="External"/><Relationship Id="rId11" Type="http://schemas.openxmlformats.org/officeDocument/2006/relationships/hyperlink" Target="https://us3.assetplanner.com/service_request?ID=109931" TargetMode="External"/><Relationship Id="rId5" Type="http://schemas.openxmlformats.org/officeDocument/2006/relationships/hyperlink" Target="https://us3.assetplanner.com/service_request?ID=111456" TargetMode="External"/><Relationship Id="rId15" Type="http://schemas.openxmlformats.org/officeDocument/2006/relationships/comments" Target="../comments1.xml"/><Relationship Id="rId10" Type="http://schemas.openxmlformats.org/officeDocument/2006/relationships/hyperlink" Target="https://us3.assetplanner.com/service_request?ID=101449" TargetMode="External"/><Relationship Id="rId4" Type="http://schemas.openxmlformats.org/officeDocument/2006/relationships/hyperlink" Target="https://us3.assetplanner.com/service_request?ID=110765" TargetMode="External"/><Relationship Id="rId9" Type="http://schemas.openxmlformats.org/officeDocument/2006/relationships/hyperlink" Target="https://us3.assetplanner.com/service_request?ID=110898" TargetMode="External"/><Relationship Id="rId14"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F25" sqref="F2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0</v>
      </c>
      <c r="E1" s="77"/>
      <c r="F1" s="77"/>
      <c r="G1" s="75" t="s">
        <v>1</v>
      </c>
      <c r="H1" s="75"/>
      <c r="I1" s="75"/>
    </row>
    <row r="2" spans="1:9" ht="19.5" customHeight="1">
      <c r="A2" s="78" t="s">
        <v>2</v>
      </c>
      <c r="B2" s="78"/>
      <c r="C2" s="5">
        <f>SUM(C4:C86)</f>
        <v>39932619.252231173</v>
      </c>
      <c r="D2" s="5">
        <f>SUM(D4:D86)</f>
        <v>33950814.892099999</v>
      </c>
      <c r="E2" s="5">
        <f>C2-D2</f>
        <v>5981804.3601311743</v>
      </c>
      <c r="F2" s="6">
        <f>IFERROR(E2/D2, 0)</f>
        <v>0.1761903029173853</v>
      </c>
      <c r="G2" s="5">
        <f>SUM(G4:G86)</f>
        <v>44723789.570000008</v>
      </c>
      <c r="H2" s="7">
        <f>C2-G2</f>
        <v>-4791170.3177688345</v>
      </c>
      <c r="I2" s="6">
        <f>IFERROR(H2/G2, 0)</f>
        <v>-0.10712800421954122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17752740.949000001</v>
      </c>
      <c r="D4" s="13">
        <f>SUM('1st Qtr'!D4, '2nd Qtr'!D4, '3rd Qtr'!D4, '4th Qtr'!D4)</f>
        <v>18527853.77</v>
      </c>
      <c r="E4" s="13">
        <f>IF(AND(ISNUMBER(C4),ISNUMBER(D4)), C4-D4, "")</f>
        <v>-775112.8209999986</v>
      </c>
      <c r="F4" s="14">
        <f>IFERROR(E4/D4, "")</f>
        <v>-4.1835003159138094E-2</v>
      </c>
      <c r="G4" s="15">
        <f>SUM('1st Qtr'!G4, '2nd Qtr'!G4, '3rd Qtr'!G4, '4th Qtr'!G4)</f>
        <v>20063772.470000003</v>
      </c>
      <c r="H4" s="15">
        <f>SUM('1st Qtr'!H4, '2nd Qtr'!H4, '3rd Qtr'!H4, '4th Qtr'!H4)</f>
        <v>1030007.4789999996</v>
      </c>
      <c r="I4" s="51">
        <f>IFERROR(H4/G4, "")</f>
        <v>5.1336680603814654E-2</v>
      </c>
    </row>
    <row r="5" spans="1:9" ht="15.6">
      <c r="A5" s="17" t="str">
        <v>Warsaw - Hemings</v>
      </c>
      <c r="B5" s="10" t="str">
        <v>VA</v>
      </c>
      <c r="C5" s="18">
        <f>SUM('1st Qtr'!C5, '2nd Qtr'!C5, '3rd Qtr'!C5, '4th Qtr'!C5)</f>
        <v>9429392.1999999993</v>
      </c>
      <c r="D5" s="18">
        <f>SUM('1st Qtr'!D5, '2nd Qtr'!D5, '3rd Qtr'!D5, '4th Qtr'!D5)</f>
        <v>6531656.8300000001</v>
      </c>
      <c r="E5" s="18">
        <f t="shared" ref="E5:E6" si="0">IF(AND(ISNUMBER(C5),ISNUMBER(D5)), C5-D5, "")</f>
        <v>2897735.3699999992</v>
      </c>
      <c r="F5" s="19">
        <f>IFERROR(E5/D5, "")</f>
        <v>0.44364476662194746</v>
      </c>
      <c r="G5" s="20">
        <f>SUM('1st Qtr'!G5, '2nd Qtr'!G5, '3rd Qtr'!G5, '4th Qtr'!G5)</f>
        <v>9962678.6400000006</v>
      </c>
      <c r="H5" s="52">
        <f>SUM('1st Qtr'!H5, '2nd Qtr'!H5, '3rd Qtr'!H5, '4th Qtr'!H5)</f>
        <v>748064.55999999994</v>
      </c>
      <c r="I5" s="19">
        <f>IFERROR(H5/G5, "")</f>
        <v>7.5086689737891607E-2</v>
      </c>
    </row>
    <row r="6" spans="1:9" ht="15.6">
      <c r="A6" s="12" t="str">
        <v>Mount Jackson - Randolf</v>
      </c>
      <c r="B6" s="9" t="str">
        <v>VA</v>
      </c>
      <c r="C6" s="24">
        <f>SUM('1st Qtr'!C6, '2nd Qtr'!C6, '3rd Qtr'!C6, '4th Qtr'!C6)</f>
        <v>5734260.2032311745</v>
      </c>
      <c r="D6" s="13">
        <f>SUM('1st Qtr'!D6, '2nd Qtr'!D6, '3rd Qtr'!D6, '4th Qtr'!D6)</f>
        <v>5844172.0359999994</v>
      </c>
      <c r="E6" s="13">
        <f t="shared" si="0"/>
        <v>-109911.83276882488</v>
      </c>
      <c r="F6" s="14">
        <f t="shared" ref="F6:F8" si="1">IFERROR(E6/D6, "")</f>
        <v>-1.8807083722342511E-2</v>
      </c>
      <c r="G6" s="15">
        <f>SUM('1st Qtr'!G6, '2nd Qtr'!G6, '3rd Qtr'!G6, '4th Qtr'!G6)</f>
        <v>6855745.7599999998</v>
      </c>
      <c r="H6" s="15">
        <f>SUM('1st Qtr'!H6, '2nd Qtr'!H6, '3rd Qtr'!H6, '4th Qtr'!H6)</f>
        <v>8180.6432311749377</v>
      </c>
      <c r="I6" s="16">
        <f t="shared" ref="I6:I8" si="2">IFERROR(H6/G6, "")</f>
        <v>1.1932535886766808E-3</v>
      </c>
    </row>
    <row r="7" spans="1:9" ht="15.6">
      <c r="A7" s="17" t="str">
        <v>Callands Gretna - Monroe</v>
      </c>
      <c r="B7" s="10" t="str">
        <v>VA</v>
      </c>
      <c r="C7" s="18">
        <f>SUM('1st Qtr'!C7, '2nd Qtr'!C7, '3rd Qtr'!C7, '4th Qtr'!C7)</f>
        <v>4481699</v>
      </c>
      <c r="D7" s="18">
        <f>SUM('1st Qtr'!D7, '2nd Qtr'!D7, '3rd Qtr'!D7, '4th Qtr'!D7)</f>
        <v>3046527.1060000001</v>
      </c>
      <c r="E7" s="18">
        <f t="shared" ref="E7:E8" si="3">IF(AND(ISNUMBER(C7),ISNUMBER(D7)), C7-D7, "")</f>
        <v>1435171.8939999999</v>
      </c>
      <c r="F7" s="19">
        <f t="shared" si="1"/>
        <v>0.47108456418243988</v>
      </c>
      <c r="G7" s="20">
        <f>SUM('1st Qtr'!G7, '2nd Qtr'!G7, '3rd Qtr'!G7, '4th Qtr'!G7)</f>
        <v>4555862.0999999996</v>
      </c>
      <c r="H7" s="20">
        <f>SUM('1st Qtr'!H7, '2nd Qtr'!H7, '3rd Qtr'!H7, '4th Qtr'!H7)</f>
        <v>449626.50000000006</v>
      </c>
      <c r="I7" s="19">
        <f t="shared" si="2"/>
        <v>9.8691859000736681E-2</v>
      </c>
    </row>
    <row r="8" spans="1:9" ht="15.6">
      <c r="A8" s="12" t="str">
        <v>Rockbridge Baths - Small Mouth Bass</v>
      </c>
      <c r="B8" s="9" t="str">
        <v>VA</v>
      </c>
      <c r="C8" s="24">
        <f>SUM('1st Qtr'!C8, '2nd Qtr'!C8, '3rd Qtr'!C8, '4th Qtr'!C8)</f>
        <v>2534526.9</v>
      </c>
      <c r="D8" s="13">
        <f>SUM('1st Qtr'!D8, '2nd Qtr'!D8, '3rd Qtr'!D8, '4th Qtr'!D8)</f>
        <v>605.15009999999995</v>
      </c>
      <c r="E8" s="13">
        <f t="shared" si="3"/>
        <v>2533921.7498999997</v>
      </c>
      <c r="F8" s="14">
        <f t="shared" si="1"/>
        <v>4187.2615569261243</v>
      </c>
      <c r="G8" s="15">
        <f>SUM('1st Qtr'!G8, '2nd Qtr'!G8, '3rd Qtr'!G8, '4th Qtr'!G8)</f>
        <v>3285730.6</v>
      </c>
      <c r="H8" s="15">
        <f>SUM('1st Qtr'!H8, '2nd Qtr'!H8, '3rd Qtr'!H8, '4th Qtr'!H8)</f>
        <v>-142662.20000000001</v>
      </c>
      <c r="I8" s="16">
        <f t="shared" si="2"/>
        <v>-4.3418714851424525E-2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E23" sqref="E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10</v>
      </c>
      <c r="E1" s="77"/>
      <c r="F1" s="77"/>
      <c r="G1" s="75" t="s">
        <v>11</v>
      </c>
      <c r="H1" s="75"/>
      <c r="I1" s="75"/>
    </row>
    <row r="2" spans="1:9" ht="19.5" customHeight="1">
      <c r="A2" s="78" t="s">
        <v>2</v>
      </c>
      <c r="B2" s="78"/>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D18" sqref="D18:D19"/>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12</v>
      </c>
      <c r="E1" s="77"/>
      <c r="F1" s="77"/>
      <c r="G1" s="75" t="s">
        <v>13</v>
      </c>
      <c r="H1" s="75"/>
      <c r="I1" s="75"/>
    </row>
    <row r="2" spans="1:9" ht="19.5" customHeight="1">
      <c r="A2" s="78" t="s">
        <v>2</v>
      </c>
      <c r="B2" s="78"/>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D20" sqref="D20"/>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14</v>
      </c>
      <c r="E1" s="77"/>
      <c r="F1" s="77"/>
      <c r="G1" s="75" t="s">
        <v>15</v>
      </c>
      <c r="H1" s="75"/>
      <c r="I1" s="75"/>
    </row>
    <row r="2" spans="1:9" ht="19.5" customHeight="1">
      <c r="A2" s="78" t="s">
        <v>2</v>
      </c>
      <c r="B2" s="78"/>
      <c r="C2" s="5">
        <f>SUM(C4:C86)</f>
        <v>13413442.6</v>
      </c>
      <c r="D2" s="5">
        <f>SUM(D4:D86)</f>
        <v>10001469.951999998</v>
      </c>
      <c r="E2" s="5">
        <f>C2-D2</f>
        <v>3411972.6480000019</v>
      </c>
      <c r="F2" s="6">
        <f>IFERROR(E2/D2, 0)</f>
        <v>0.34114711781118817</v>
      </c>
      <c r="G2" s="5">
        <f>SUM(G4:G86)</f>
        <v>15281198.970000001</v>
      </c>
      <c r="H2" s="7">
        <f>C2-G2</f>
        <v>-1867756.370000001</v>
      </c>
      <c r="I2" s="6">
        <f>IFERROR(H2/G2, 0)</f>
        <v>-0.12222577388507107</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6128755</v>
      </c>
      <c r="D4" s="13">
        <f>SUM(Jul!D4, Aug!D4, Sep!D4)</f>
        <v>6210126.7699999996</v>
      </c>
      <c r="E4" s="13">
        <f>IF(AND(ISNUMBER(C4),ISNUMBER(D4)), C4-D4, "")</f>
        <v>-81371.769999999553</v>
      </c>
      <c r="F4" s="14">
        <f>IFERROR(E4/D4, "")</f>
        <v>-1.3103077121242012E-2</v>
      </c>
      <c r="G4" s="15">
        <f>SUM(Jul!G4,Aug!G4,Sep!G4)</f>
        <v>7003669.0700000003</v>
      </c>
      <c r="H4" s="15">
        <f>SUM(Jul!H4, Aug!H4, Sep!H4)</f>
        <v>-874914.0700000003</v>
      </c>
      <c r="I4" s="16">
        <f>IFERROR(H4/G4, "")</f>
        <v>-0.12492224593358753</v>
      </c>
    </row>
    <row r="5" spans="1:9" ht="15.6">
      <c r="A5" s="17" t="str">
        <v>Warsaw - Hemings</v>
      </c>
      <c r="B5" s="10" t="str">
        <v>VA</v>
      </c>
      <c r="C5" s="11">
        <f>SUM(Jul!C5, Aug!C5, Sep!C5)</f>
        <v>2771456.2</v>
      </c>
      <c r="D5" s="18">
        <f>SUM(Jul!D5, Aug!D5, Sep!D5)</f>
        <v>502250.43</v>
      </c>
      <c r="E5" s="18">
        <f t="shared" ref="E5:E6" si="0">IF(AND(ISNUMBER(C5),ISNUMBER(D5)), C5-D5, "")</f>
        <v>2269205.77</v>
      </c>
      <c r="F5" s="19">
        <f>IFERROR(E5/D5, "")</f>
        <v>4.5180763110546271</v>
      </c>
      <c r="G5" s="52">
        <f>SUM(Jul!G5,Aug!G5,Sep!G5)</f>
        <v>3132778.6399999997</v>
      </c>
      <c r="H5" s="20">
        <f>SUM(Jul!H5, Aug!H5, Sep!H5)</f>
        <v>-361322.43999999994</v>
      </c>
      <c r="I5" s="19">
        <f>IFERROR(H5/G5, "")</f>
        <v>-0.11533609026394535</v>
      </c>
    </row>
    <row r="6" spans="1:9" ht="15.6">
      <c r="A6" s="12" t="str">
        <v>Mount Jackson - Randolf</v>
      </c>
      <c r="B6" s="9" t="str">
        <v>VA</v>
      </c>
      <c r="C6" s="24">
        <f>SUM(Jul!C6, Aug!C6, Sep!C6)</f>
        <v>1949285.5</v>
      </c>
      <c r="D6" s="13">
        <f>SUM(Jul!D6, Aug!D6, Sep!D6)</f>
        <v>1956086.3359999999</v>
      </c>
      <c r="E6" s="13">
        <f t="shared" si="0"/>
        <v>-6800.8359999998938</v>
      </c>
      <c r="F6" s="14">
        <f t="shared" ref="F6:F8" si="1">IFERROR(E6/D6, "")</f>
        <v>-3.4767565596858676E-3</v>
      </c>
      <c r="G6" s="15">
        <f>SUM(Jul!G6,Aug!G6,Sep!G6)</f>
        <v>2220095.2599999998</v>
      </c>
      <c r="H6" s="15">
        <f>SUM(Jul!H6, Aug!H6, Sep!H6)</f>
        <v>-270809.76</v>
      </c>
      <c r="I6" s="16">
        <f t="shared" ref="I6:I8" si="2">IFERROR(H6/G6, "")</f>
        <v>-0.12198114417847099</v>
      </c>
    </row>
    <row r="7" spans="1:9" ht="15.6">
      <c r="A7" s="17" t="str">
        <v>Callands Gretna - Monroe</v>
      </c>
      <c r="B7" s="10" t="str">
        <v>VA</v>
      </c>
      <c r="C7" s="11">
        <f>SUM(Jul!C7, Aug!C7, Sep!C7)</f>
        <v>1389163</v>
      </c>
      <c r="D7" s="18">
        <f>SUM(Jul!D7, Aug!D7, Sep!D7)</f>
        <v>1333006.416</v>
      </c>
      <c r="E7" s="18">
        <f t="shared" ref="E7:E8" si="3">IF(AND(ISNUMBER(C7),ISNUMBER(D7)), C7-D7, "")</f>
        <v>56156.584000000032</v>
      </c>
      <c r="F7" s="19">
        <f t="shared" si="1"/>
        <v>4.2127767222989894E-2</v>
      </c>
      <c r="G7" s="52">
        <f>SUM(Jul!G7,Aug!G7,Sep!G7)</f>
        <v>1394645.4</v>
      </c>
      <c r="H7" s="20">
        <f>SUM(Jul!H7, Aug!H7, Sep!H7)</f>
        <v>-5482.4000000000233</v>
      </c>
      <c r="I7" s="19">
        <f t="shared" si="2"/>
        <v>-3.9310350860512809E-3</v>
      </c>
    </row>
    <row r="8" spans="1:9" ht="15.6">
      <c r="A8" s="12" t="str">
        <v>Rockbridge Baths - Small Mouth Bass</v>
      </c>
      <c r="B8" s="9" t="str">
        <v>VA</v>
      </c>
      <c r="C8" s="24">
        <f>SUM(Jul!C8, Aug!C8, Sep!C8)</f>
        <v>1174782.8999999999</v>
      </c>
      <c r="D8" s="13">
        <f>SUM(Jul!D8, Aug!D8, Sep!D8)</f>
        <v>0</v>
      </c>
      <c r="E8" s="13">
        <f t="shared" si="3"/>
        <v>1174782.8999999999</v>
      </c>
      <c r="F8" s="14" t="str">
        <f t="shared" si="1"/>
        <v/>
      </c>
      <c r="G8" s="15">
        <f>SUM(Jul!G8,Aug!G8,Sep!G8)</f>
        <v>1530010.6</v>
      </c>
      <c r="H8" s="15">
        <f>SUM(Jul!H8, Aug!H8, Sep!H8)</f>
        <v>-355227.7</v>
      </c>
      <c r="I8" s="16">
        <f t="shared" si="2"/>
        <v>-0.2321733587989521</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8" priority="5" stopIfTrue="1" operator="lessThanOrEqual">
      <formula>-0.1</formula>
    </cfRule>
    <cfRule type="expression" dxfId="47"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tabSelected="1" workbookViewId="0">
      <pane xSplit="2" ySplit="3" topLeftCell="C4" activePane="bottomRight" state="frozen"/>
      <selection pane="bottomRight" activeCell="H13" sqref="H13"/>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16</v>
      </c>
      <c r="E1" s="77"/>
      <c r="F1" s="77"/>
      <c r="G1" s="75" t="s">
        <v>17</v>
      </c>
      <c r="H1" s="75"/>
      <c r="I1" s="75"/>
    </row>
    <row r="2" spans="1:9" ht="19.5" customHeight="1">
      <c r="A2" s="78" t="s">
        <v>2</v>
      </c>
      <c r="B2" s="78"/>
      <c r="C2" s="5">
        <f>SUM(C4:C86)</f>
        <v>5871074.1490000002</v>
      </c>
      <c r="D2" s="5">
        <f>SUM(D4:D86)</f>
        <v>5139001.8501000004</v>
      </c>
      <c r="E2" s="5">
        <f>C2-D2</f>
        <v>732072.29889999982</v>
      </c>
      <c r="F2" s="6">
        <f>IFERROR(E2/D2, 0)</f>
        <v>0.14245418084170458</v>
      </c>
      <c r="G2" s="5">
        <f>SUM(G4:G86)</f>
        <v>5704000.4999999991</v>
      </c>
      <c r="H2" s="7">
        <f>C2-G2</f>
        <v>167073.64900000114</v>
      </c>
      <c r="I2" s="6">
        <f>IFERROR(H2/G2, 0)</f>
        <v>2.9290609108467147E-2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2055945.949</v>
      </c>
      <c r="D4" s="13">
        <f>SUM(Oct!D4, Nov!D4, Dec!D4)</f>
        <v>2135501.4</v>
      </c>
      <c r="E4" s="13">
        <f>IF(AND(ISNUMBER(C4),ISNUMBER(D4)), C4-D4, "")</f>
        <v>-79555.450999999885</v>
      </c>
      <c r="F4" s="14">
        <f>IFERROR(E4/D4, "")</f>
        <v>-3.725375736115176E-2</v>
      </c>
      <c r="G4" s="15">
        <f>SUM(Oct!G4,Nov!G4,Dec!G4)</f>
        <v>2164318.7999999998</v>
      </c>
      <c r="H4" s="15">
        <f>SUM(Oct!H4, Nov!H4, Dec!H4)</f>
        <v>-108372.85100000002</v>
      </c>
      <c r="I4" s="16">
        <f>IFERROR(H4/G4, "")</f>
        <v>-5.007249902371131E-2</v>
      </c>
    </row>
    <row r="5" spans="1:9" ht="15.6">
      <c r="A5" s="17" t="str">
        <v>Warsaw - Hemings</v>
      </c>
      <c r="B5" s="10" t="str">
        <v>VA</v>
      </c>
      <c r="C5" s="11">
        <f>SUM(Oct!C5, Nov!C5, Dec!C5)</f>
        <v>1501751.7</v>
      </c>
      <c r="D5" s="18">
        <f>SUM(Oct!D5, Nov!D5, Dec!D5)</f>
        <v>1482180.6</v>
      </c>
      <c r="E5" s="18">
        <f t="shared" ref="E5:E6" si="0">IF(AND(ISNUMBER(C5),ISNUMBER(D5)), C5-D5, "")</f>
        <v>19571.09999999986</v>
      </c>
      <c r="F5" s="19">
        <f>IFERROR(E5/D5, "")</f>
        <v>1.3204261343050812E-2</v>
      </c>
      <c r="G5" s="20">
        <f>SUM(Oct!G5,Nov!G5,Dec!G5)</f>
        <v>1309015</v>
      </c>
      <c r="H5" s="20">
        <f>SUM(Oct!H5, Nov!H5, Dec!H5)</f>
        <v>192736.69999999995</v>
      </c>
      <c r="I5" s="19">
        <f>IFERROR(H5/G5, "")</f>
        <v>0.14723796136789874</v>
      </c>
    </row>
    <row r="6" spans="1:9" ht="15.6">
      <c r="A6" s="12" t="str">
        <v>Mount Jackson - Randolf</v>
      </c>
      <c r="B6" s="9" t="str">
        <v>VA</v>
      </c>
      <c r="C6" s="24">
        <f>SUM(Oct!C6, Nov!C6, Dec!C6)</f>
        <v>1003250.5</v>
      </c>
      <c r="D6" s="13">
        <f>SUM(Oct!D6, Nov!D6, Dec!D6)</f>
        <v>964722.8</v>
      </c>
      <c r="E6" s="13">
        <f t="shared" si="0"/>
        <v>38527.699999999953</v>
      </c>
      <c r="F6" s="14">
        <f t="shared" ref="F6:F8" si="1">IFERROR(E6/D6, "")</f>
        <v>3.9936549649287806E-2</v>
      </c>
      <c r="G6" s="15">
        <f>SUM(Oct!G6,Nov!G6,Dec!G6)</f>
        <v>927442.89999999991</v>
      </c>
      <c r="H6" s="15">
        <f>SUM(Oct!H6, Nov!H6, Dec!H6)</f>
        <v>75807.600000000035</v>
      </c>
      <c r="I6" s="16">
        <f t="shared" ref="I6:I8" si="2">IFERROR(H6/G6, "")</f>
        <v>8.173829353807123E-2</v>
      </c>
    </row>
    <row r="7" spans="1:9" ht="15.6">
      <c r="A7" s="17" t="str">
        <v>Callands Gretna - Monroe</v>
      </c>
      <c r="B7" s="10" t="str">
        <v>VA</v>
      </c>
      <c r="C7" s="11">
        <f>SUM(Oct!C7, Nov!C7, Dec!C7)</f>
        <v>658551</v>
      </c>
      <c r="D7" s="18">
        <f>SUM(Oct!D7, Nov!D7, Dec!D7)</f>
        <v>555991.9</v>
      </c>
      <c r="E7" s="18">
        <f t="shared" ref="E7:E8" si="3">IF(AND(ISNUMBER(C7),ISNUMBER(D7)), C7-D7, "")</f>
        <v>102559.09999999998</v>
      </c>
      <c r="F7" s="19">
        <f t="shared" si="1"/>
        <v>0.1844615002484748</v>
      </c>
      <c r="G7" s="20">
        <f>SUM(Oct!G7,Nov!G7,Dec!G7)</f>
        <v>639938.80000000005</v>
      </c>
      <c r="H7" s="20">
        <f>SUM(Oct!H7, Nov!H7, Dec!H7)</f>
        <v>18612.200000000012</v>
      </c>
      <c r="I7" s="19">
        <f t="shared" si="2"/>
        <v>2.9084343690365406E-2</v>
      </c>
    </row>
    <row r="8" spans="1:9" ht="15.6">
      <c r="A8" s="12" t="str">
        <v>Rockbridge Baths - Small Mouth Bass</v>
      </c>
      <c r="B8" s="9" t="str">
        <v>VA</v>
      </c>
      <c r="C8" s="24">
        <f>SUM(Oct!C8, Nov!C8, Dec!C8)</f>
        <v>651575</v>
      </c>
      <c r="D8" s="13">
        <f>SUM(Oct!D8, Nov!D8, Dec!D8)</f>
        <v>605.15009999999995</v>
      </c>
      <c r="E8" s="13">
        <f t="shared" si="3"/>
        <v>650969.84990000003</v>
      </c>
      <c r="F8" s="14">
        <f t="shared" si="1"/>
        <v>1075.7163386406119</v>
      </c>
      <c r="G8" s="15">
        <f>SUM(Oct!G8,Nov!G8,Dec!G8)</f>
        <v>663285</v>
      </c>
      <c r="H8" s="15">
        <f>SUM(Oct!H8, Nov!H8, Dec!H8)</f>
        <v>-11710</v>
      </c>
      <c r="I8" s="16">
        <f t="shared" si="2"/>
        <v>-1.765455271866543E-2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6" t="str" cm="1">
        <f t="array" ref="A1">portfolio</f>
        <v>True Green Capital Management LLC</v>
      </c>
      <c r="B1" s="76"/>
      <c r="C1" s="76"/>
      <c r="D1" s="77" t="s">
        <v>18</v>
      </c>
      <c r="E1" s="77"/>
      <c r="F1" s="77"/>
      <c r="G1" s="75" t="s">
        <v>19</v>
      </c>
      <c r="H1" s="75"/>
      <c r="I1" s="75"/>
      <c r="J1" s="4"/>
      <c r="K1" s="4"/>
    </row>
    <row r="2" spans="1:13" ht="19.5" customHeight="1">
      <c r="A2" s="78" t="s">
        <v>2</v>
      </c>
      <c r="B2" s="78"/>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3" t="s">
        <v>20</v>
      </c>
      <c r="K3" s="53" t="s">
        <v>21</v>
      </c>
    </row>
    <row r="4" spans="1:13" ht="57.6">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3" t="s">
        <v>22</v>
      </c>
      <c r="K4" s="61" t="s">
        <v>23</v>
      </c>
      <c r="L4" s="57"/>
      <c r="M4" s="57"/>
    </row>
    <row r="5" spans="1:13" ht="15.6">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2" t="s">
        <v>24</v>
      </c>
      <c r="K5" s="65" t="s">
        <v>25</v>
      </c>
      <c r="L5" s="56"/>
      <c r="M5" s="56"/>
    </row>
    <row r="6" spans="1:13" ht="115.1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3" t="s">
        <v>26</v>
      </c>
      <c r="K6" s="61" t="s">
        <v>27</v>
      </c>
      <c r="L6" s="57"/>
      <c r="M6" s="57"/>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4" t="s">
        <v>28</v>
      </c>
      <c r="K7" s="65" t="s">
        <v>29</v>
      </c>
      <c r="L7" s="56"/>
      <c r="M7" s="56"/>
    </row>
    <row r="8" spans="1:13" ht="15.6">
      <c r="A8" s="31" t="str">
        <v>Rockbridge Baths - Small Mouth Bass</v>
      </c>
      <c r="B8" s="28" t="str">
        <v>VA</v>
      </c>
      <c r="C8" s="24">
        <v>0</v>
      </c>
      <c r="D8" s="13">
        <v>0</v>
      </c>
      <c r="E8" s="13">
        <f t="shared" si="0"/>
        <v>0</v>
      </c>
      <c r="F8" s="14" t="str">
        <f t="shared" si="1"/>
        <v/>
      </c>
      <c r="G8" s="15">
        <v>0</v>
      </c>
      <c r="H8" s="15">
        <f t="shared" si="2"/>
        <v>0</v>
      </c>
      <c r="I8" s="16" t="str">
        <f t="shared" si="3"/>
        <v/>
      </c>
      <c r="J8" s="63" t="s">
        <v>30</v>
      </c>
      <c r="K8" s="61" t="s">
        <v>31</v>
      </c>
      <c r="L8" s="57"/>
      <c r="M8" s="57"/>
    </row>
    <row r="9" spans="1:13" ht="14.45">
      <c r="A9" s="21"/>
      <c r="B9" s="32"/>
      <c r="C9" s="21"/>
      <c r="D9" s="21"/>
      <c r="E9" s="21"/>
      <c r="F9" s="21"/>
      <c r="G9" s="21"/>
      <c r="H9" s="21"/>
      <c r="I9" s="21"/>
      <c r="J9" s="21"/>
      <c r="K9" s="21"/>
      <c r="L9" s="57"/>
      <c r="M9" s="57"/>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44" priority="4" stopIfTrue="1" operator="lessThanOrEqual">
      <formula>-0.1</formula>
    </cfRule>
    <cfRule type="expression" dxfId="43"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bottomRight" activeCell="E19" sqref="E19"/>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6" t="str" cm="1">
        <f t="array" ref="A1">portfolio</f>
        <v>True Green Capital Management LLC</v>
      </c>
      <c r="B1" s="76"/>
      <c r="C1" s="76"/>
      <c r="D1" s="77" t="s">
        <v>32</v>
      </c>
      <c r="E1" s="77"/>
      <c r="F1" s="77"/>
      <c r="G1" s="75" t="s">
        <v>33</v>
      </c>
      <c r="H1" s="75"/>
      <c r="I1" s="75"/>
      <c r="J1" s="4"/>
      <c r="K1" s="4"/>
    </row>
    <row r="2" spans="1:14" ht="19.5" customHeight="1">
      <c r="A2" s="78" t="s">
        <v>2</v>
      </c>
      <c r="B2" s="78"/>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6">
        <v>1113658</v>
      </c>
      <c r="H4" s="15">
        <f t="shared" ref="H4:H8" si="2">IF(AND(ISNUMBER(C4),ISNUMBER(G4)), C4-G4, "")</f>
        <v>-60109</v>
      </c>
      <c r="I4" s="16">
        <f t="shared" ref="I4:I8" si="3">IFERROR(H4/G4, "")</f>
        <v>-5.3974379926332861E-2</v>
      </c>
      <c r="J4" s="63" t="s">
        <v>34</v>
      </c>
      <c r="K4" s="61" t="s">
        <v>35</v>
      </c>
      <c r="L4" s="59"/>
    </row>
    <row r="5" spans="1:14" ht="139.15" customHeight="1">
      <c r="A5" s="29" t="str">
        <v>Warsaw - Hemings</v>
      </c>
      <c r="B5" s="30" t="str">
        <v>VA</v>
      </c>
      <c r="C5" s="48">
        <v>638142.1</v>
      </c>
      <c r="D5" s="58">
        <v>701308.1</v>
      </c>
      <c r="E5" s="18">
        <f t="shared" si="0"/>
        <v>-63166</v>
      </c>
      <c r="F5" s="19">
        <f t="shared" si="1"/>
        <v>-9.0068829947921605E-2</v>
      </c>
      <c r="G5" s="67">
        <v>663175</v>
      </c>
      <c r="H5" s="20">
        <f t="shared" si="2"/>
        <v>-25032.900000000023</v>
      </c>
      <c r="I5" s="19">
        <f t="shared" si="3"/>
        <v>-3.7747050175293131E-2</v>
      </c>
      <c r="J5" s="62" t="s">
        <v>36</v>
      </c>
      <c r="K5" s="65" t="s">
        <v>37</v>
      </c>
      <c r="L5" s="59"/>
      <c r="M5" s="59"/>
      <c r="N5" s="59"/>
    </row>
    <row r="6" spans="1:14" ht="129.6">
      <c r="A6" s="31" t="str">
        <v>Mount Jackson - Randolf</v>
      </c>
      <c r="B6" s="28" t="str">
        <v>VA</v>
      </c>
      <c r="C6" s="43">
        <v>437522.5</v>
      </c>
      <c r="D6" s="13">
        <v>422842.5</v>
      </c>
      <c r="E6" s="13">
        <f t="shared" si="0"/>
        <v>14680</v>
      </c>
      <c r="F6" s="14">
        <f t="shared" si="1"/>
        <v>3.4717418424117727E-2</v>
      </c>
      <c r="G6" s="66">
        <v>449760.2</v>
      </c>
      <c r="H6" s="15">
        <f t="shared" si="2"/>
        <v>-12237.700000000012</v>
      </c>
      <c r="I6" s="16">
        <f t="shared" si="3"/>
        <v>-2.7209388469677867E-2</v>
      </c>
      <c r="J6" s="63" t="s">
        <v>38</v>
      </c>
      <c r="K6" s="61" t="s">
        <v>39</v>
      </c>
      <c r="L6" s="59"/>
    </row>
    <row r="7" spans="1:14" ht="143.25" customHeight="1">
      <c r="A7" s="29" t="str">
        <v>Callands Gretna - Monroe</v>
      </c>
      <c r="B7" s="30" t="str">
        <v>VA</v>
      </c>
      <c r="C7" s="48">
        <v>279299</v>
      </c>
      <c r="D7" s="67">
        <v>99471.79</v>
      </c>
      <c r="E7" s="18">
        <f t="shared" si="0"/>
        <v>179827.21000000002</v>
      </c>
      <c r="F7" s="19">
        <f t="shared" si="1"/>
        <v>1.8078211923199536</v>
      </c>
      <c r="G7" s="68">
        <v>319200</v>
      </c>
      <c r="H7" s="20">
        <f t="shared" si="2"/>
        <v>-39901</v>
      </c>
      <c r="I7" s="19">
        <f t="shared" si="3"/>
        <v>-0.1250031328320802</v>
      </c>
      <c r="J7" s="64" t="s">
        <v>40</v>
      </c>
      <c r="K7" s="65" t="s">
        <v>41</v>
      </c>
      <c r="L7" s="59"/>
      <c r="M7" s="59"/>
      <c r="N7" s="59"/>
    </row>
    <row r="8" spans="1:14" ht="15.6">
      <c r="A8" s="31" t="str">
        <v>Rockbridge Baths - Small Mouth Bass</v>
      </c>
      <c r="B8" s="28" t="str">
        <v>VA</v>
      </c>
      <c r="C8" s="43">
        <v>0</v>
      </c>
      <c r="D8" s="13">
        <v>0</v>
      </c>
      <c r="E8" s="13">
        <f t="shared" si="0"/>
        <v>0</v>
      </c>
      <c r="F8" s="14" t="str">
        <f t="shared" si="1"/>
        <v/>
      </c>
      <c r="G8" s="66">
        <v>0</v>
      </c>
      <c r="H8" s="15">
        <f t="shared" si="2"/>
        <v>0</v>
      </c>
      <c r="I8" s="16" t="str">
        <f t="shared" si="3"/>
        <v/>
      </c>
      <c r="J8" s="63" t="s">
        <v>30</v>
      </c>
      <c r="K8" s="61" t="s">
        <v>31</v>
      </c>
      <c r="L8" s="59"/>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bottomRight" activeCell="E10" sqref="E10"/>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6" t="str" cm="1">
        <f t="array" ref="A1">portfolio</f>
        <v>True Green Capital Management LLC</v>
      </c>
      <c r="B1" s="76"/>
      <c r="C1" s="76"/>
      <c r="D1" s="77" t="s">
        <v>42</v>
      </c>
      <c r="E1" s="77"/>
      <c r="F1" s="77"/>
      <c r="G1" s="75" t="s">
        <v>43</v>
      </c>
      <c r="H1" s="75"/>
      <c r="I1" s="75"/>
      <c r="J1" s="4"/>
      <c r="K1" s="4"/>
    </row>
    <row r="2" spans="1:17" ht="19.5" customHeight="1">
      <c r="A2" s="78" t="s">
        <v>2</v>
      </c>
      <c r="B2" s="78"/>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0" t="s">
        <v>45</v>
      </c>
      <c r="L4" s="69" t="s">
        <v>46</v>
      </c>
      <c r="M4" s="69" t="s">
        <v>47</v>
      </c>
      <c r="N4" s="69" t="s">
        <v>48</v>
      </c>
      <c r="O4" s="69" t="s">
        <v>49</v>
      </c>
      <c r="P4" s="69" t="s">
        <v>50</v>
      </c>
      <c r="Q4" s="69"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5" t="s">
        <v>53</v>
      </c>
      <c r="L5" s="56" t="s">
        <v>54</v>
      </c>
      <c r="M5" s="56" t="s">
        <v>55</v>
      </c>
      <c r="N5" s="56" t="s">
        <v>56</v>
      </c>
      <c r="O5" s="57"/>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0" t="s">
        <v>58</v>
      </c>
      <c r="L6" s="56" t="s">
        <v>59</v>
      </c>
      <c r="M6" s="56" t="s">
        <v>60</v>
      </c>
      <c r="N6" s="56" t="s">
        <v>61</v>
      </c>
      <c r="O6" s="56"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5" t="s">
        <v>64</v>
      </c>
      <c r="L7" s="57"/>
      <c r="M7" s="57"/>
      <c r="N7" s="57"/>
      <c r="O7" s="57"/>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0" t="s">
        <v>66</v>
      </c>
      <c r="L8" s="56" t="s">
        <v>67</v>
      </c>
      <c r="M8" s="57"/>
      <c r="N8" s="57"/>
      <c r="O8" s="57"/>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40" priority="3" stopIfTrue="1" operator="lessThanOrEqual">
      <formula>-0.1</formula>
    </cfRule>
    <cfRule type="expression" dxfId="39"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7"/>
  </cols>
  <sheetData>
    <row r="1" spans="1:18" ht="19.5" customHeight="1">
      <c r="A1" s="76" t="str" cm="1">
        <f t="array" ref="A1">portfolio</f>
        <v>True Green Capital Management LLC</v>
      </c>
      <c r="B1" s="76"/>
      <c r="C1" s="76"/>
      <c r="D1" s="77" t="s">
        <v>68</v>
      </c>
      <c r="E1" s="77"/>
      <c r="F1" s="77"/>
      <c r="G1" s="75" t="s">
        <v>69</v>
      </c>
      <c r="H1" s="75"/>
      <c r="I1" s="75"/>
      <c r="J1" s="4"/>
      <c r="K1" s="4"/>
    </row>
    <row r="2" spans="1:18" ht="19.5" customHeight="1">
      <c r="A2" s="78" t="s">
        <v>2</v>
      </c>
      <c r="B2" s="78"/>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1" t="s">
        <v>71</v>
      </c>
      <c r="L4" s="56" t="s">
        <v>49</v>
      </c>
      <c r="M4" s="56" t="s">
        <v>47</v>
      </c>
      <c r="N4" s="56" t="s">
        <v>48</v>
      </c>
      <c r="O4" s="56" t="s">
        <v>72</v>
      </c>
      <c r="P4" s="56" t="s">
        <v>73</v>
      </c>
      <c r="Q4" s="56" t="s">
        <v>74</v>
      </c>
      <c r="R4" s="56" t="s">
        <v>51</v>
      </c>
    </row>
    <row r="5" spans="1:18" ht="72">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5" t="s">
        <v>76</v>
      </c>
      <c r="L5" s="56" t="s">
        <v>77</v>
      </c>
      <c r="M5" s="56" t="s">
        <v>56</v>
      </c>
      <c r="N5" s="56" t="s">
        <v>78</v>
      </c>
    </row>
    <row r="6" spans="1:18" ht="230.45">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1" t="s">
        <v>80</v>
      </c>
      <c r="L6" s="56" t="s">
        <v>81</v>
      </c>
      <c r="M6" s="56" t="s">
        <v>82</v>
      </c>
      <c r="N6" s="56" t="s">
        <v>83</v>
      </c>
      <c r="O6" s="56" t="s">
        <v>83</v>
      </c>
      <c r="P6" s="56" t="s">
        <v>84</v>
      </c>
      <c r="Q6" s="56" t="s">
        <v>62</v>
      </c>
    </row>
    <row r="7" spans="1:18" ht="100.9">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5" t="s">
        <v>86</v>
      </c>
      <c r="L7" s="56" t="s">
        <v>87</v>
      </c>
      <c r="M7" s="56" t="s">
        <v>88</v>
      </c>
    </row>
    <row r="8" spans="1:18" ht="201.75" customHeight="1">
      <c r="A8" s="31" t="str">
        <v>Rockbridge Baths - Small Mouth Bass</v>
      </c>
      <c r="B8" s="28" t="str">
        <v>VA</v>
      </c>
      <c r="C8" s="24">
        <v>0</v>
      </c>
      <c r="D8" s="13">
        <v>0</v>
      </c>
      <c r="E8" s="13"/>
      <c r="F8" s="14"/>
      <c r="G8" s="15">
        <v>0</v>
      </c>
      <c r="H8" s="15"/>
      <c r="I8" s="16"/>
      <c r="J8" s="46" t="s">
        <v>89</v>
      </c>
      <c r="K8" s="54" t="s">
        <v>90</v>
      </c>
      <c r="L8" s="56" t="s">
        <v>67</v>
      </c>
      <c r="M8" s="56" t="s">
        <v>91</v>
      </c>
      <c r="N8" s="56" t="s">
        <v>92</v>
      </c>
      <c r="O8" s="56" t="s">
        <v>93</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8" priority="3" stopIfTrue="1" operator="lessThanOrEqual">
      <formula>-0.1</formula>
    </cfRule>
    <cfRule type="expression" dxfId="37"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J11" sqref="J11"/>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6" t="str" cm="1">
        <f t="array" ref="A1">portfolio</f>
        <v>True Green Capital Management LLC</v>
      </c>
      <c r="B1" s="76"/>
      <c r="C1" s="76"/>
      <c r="D1" s="77" t="s">
        <v>94</v>
      </c>
      <c r="E1" s="77"/>
      <c r="F1" s="77"/>
      <c r="G1" s="75" t="s">
        <v>95</v>
      </c>
      <c r="H1" s="75"/>
      <c r="I1" s="75"/>
      <c r="J1" s="4"/>
      <c r="K1" s="4"/>
    </row>
    <row r="2" spans="1:14" ht="19.5" customHeight="1">
      <c r="A2" s="78" t="s">
        <v>2</v>
      </c>
      <c r="B2" s="78"/>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224.25" customHeight="1">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96</v>
      </c>
      <c r="K4" s="61" t="s">
        <v>97</v>
      </c>
      <c r="L4" s="56" t="s">
        <v>98</v>
      </c>
      <c r="M4" s="56" t="s">
        <v>99</v>
      </c>
      <c r="N4" s="56" t="s">
        <v>100</v>
      </c>
    </row>
    <row r="5" spans="1:14" ht="50.25" customHeight="1">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101</v>
      </c>
      <c r="K5" s="55" t="s">
        <v>102</v>
      </c>
      <c r="L5" s="56" t="s">
        <v>103</v>
      </c>
      <c r="M5" s="57"/>
      <c r="N5" s="57"/>
    </row>
    <row r="6" spans="1:14" ht="87.75" customHeight="1">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104</v>
      </c>
      <c r="K6" s="54" t="s">
        <v>105</v>
      </c>
      <c r="L6" s="56" t="s">
        <v>82</v>
      </c>
      <c r="M6" s="57"/>
      <c r="N6" s="57"/>
    </row>
    <row r="7" spans="1:14" ht="61.5" customHeight="1">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4" t="s">
        <v>97</v>
      </c>
      <c r="L7" s="57"/>
      <c r="M7" s="57"/>
      <c r="N7" s="57"/>
    </row>
    <row r="8" spans="1:14" ht="54" customHeight="1">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106</v>
      </c>
      <c r="K8" s="54" t="s">
        <v>107</v>
      </c>
      <c r="L8" s="56" t="s">
        <v>108</v>
      </c>
      <c r="M8" s="57"/>
      <c r="N8" s="57"/>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36" priority="19" stopIfTrue="1" operator="lessThanOrEqual">
      <formula>-0.1</formula>
    </cfRule>
    <cfRule type="expression" dxfId="35" priority="20">
      <formula>AND(ISNUMBER(F2), F2&gt;=0.1)</formula>
    </cfRule>
  </conditionalFormatting>
  <conditionalFormatting sqref="F4:F8 I4:I8">
    <cfRule type="cellIs" dxfId="34" priority="1" stopIfTrue="1" operator="lessThanOrEqual">
      <formula>-0.1</formula>
    </cfRule>
    <cfRule type="expression" dxfId="33" priority="2">
      <formula>AND(ISNUMBER(F4), F4&gt;=0.1)</formula>
    </cfRule>
  </conditionalFormatting>
  <conditionalFormatting sqref="F13:F95 I13:I95">
    <cfRule type="cellIs" dxfId="32" priority="17" stopIfTrue="1" operator="lessThanOrEqual">
      <formula>-0.1</formula>
    </cfRule>
    <cfRule type="expression" dxfId="31"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6" t="str" cm="1">
        <f t="array" ref="A1">portfolio</f>
        <v>True Green Capital Management LLC</v>
      </c>
      <c r="B1" s="76"/>
      <c r="C1" s="76"/>
      <c r="D1" s="77" t="s">
        <v>109</v>
      </c>
      <c r="E1" s="77"/>
      <c r="F1" s="77"/>
      <c r="G1" s="75" t="s">
        <v>110</v>
      </c>
      <c r="H1" s="75"/>
      <c r="I1" s="75"/>
      <c r="J1" s="4"/>
      <c r="K1" s="4"/>
    </row>
    <row r="2" spans="1:11" ht="19.5" customHeight="1">
      <c r="A2" s="78" t="s">
        <v>2</v>
      </c>
      <c r="B2" s="78"/>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111</v>
      </c>
      <c r="K4" s="61" t="s">
        <v>112</v>
      </c>
    </row>
    <row r="5" spans="1:11" ht="28.9">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113</v>
      </c>
      <c r="K5" s="55" t="s">
        <v>114</v>
      </c>
    </row>
    <row r="6" spans="1:11" ht="86.4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115</v>
      </c>
      <c r="K6" s="61" t="s">
        <v>116</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117</v>
      </c>
      <c r="K7" s="55" t="s">
        <v>118</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119</v>
      </c>
      <c r="K8" s="61" t="s">
        <v>120</v>
      </c>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1"/>
      <c r="G14" s="21"/>
      <c r="H14" s="21"/>
      <c r="I14" s="21"/>
      <c r="J14" s="21"/>
      <c r="K14" s="21"/>
    </row>
    <row r="15" spans="1:11" ht="14.45">
      <c r="A15" s="21"/>
      <c r="B15" s="32"/>
      <c r="C15" s="21"/>
      <c r="D15" s="21"/>
      <c r="E15" s="21"/>
      <c r="F15" s="21"/>
      <c r="G15" s="21"/>
      <c r="H15" s="21"/>
      <c r="I15" s="21"/>
      <c r="J15" s="21"/>
      <c r="K15" s="21"/>
    </row>
    <row r="16" spans="1:11"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60" zoomScaleNormal="60" workbookViewId="0">
      <pane xSplit="2" ySplit="3" topLeftCell="C4" activePane="bottomRight" state="frozen"/>
      <selection pane="bottomRight" activeCell="C7" sqref="C7"/>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2" customWidth="1"/>
  </cols>
  <sheetData>
    <row r="1" spans="1:15" ht="19.5" customHeight="1">
      <c r="A1" s="76" t="str" cm="1">
        <f t="array" ref="A1">portfolio</f>
        <v>True Green Capital Management LLC</v>
      </c>
      <c r="B1" s="76"/>
      <c r="C1" s="76"/>
      <c r="D1" s="77" t="s">
        <v>121</v>
      </c>
      <c r="E1" s="77"/>
      <c r="F1" s="77"/>
      <c r="G1" s="75" t="s">
        <v>122</v>
      </c>
      <c r="H1" s="75"/>
      <c r="I1" s="75"/>
      <c r="J1" s="4"/>
      <c r="K1" s="4"/>
    </row>
    <row r="2" spans="1:15" ht="19.5" customHeight="1">
      <c r="A2" s="78" t="s">
        <v>2</v>
      </c>
      <c r="B2" s="78"/>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67.75" customHeight="1">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123</v>
      </c>
      <c r="K4" s="61" t="s">
        <v>124</v>
      </c>
      <c r="L4" s="56"/>
      <c r="M4" s="56"/>
      <c r="N4" s="56"/>
    </row>
    <row r="5" spans="1:15" ht="70.5" customHeight="1">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125</v>
      </c>
      <c r="K5" s="55" t="s">
        <v>126</v>
      </c>
      <c r="L5" s="56"/>
      <c r="M5" s="57"/>
      <c r="N5" s="57"/>
    </row>
    <row r="6" spans="1:15" ht="87.75" customHeight="1">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127</v>
      </c>
      <c r="K6" s="54" t="s">
        <v>128</v>
      </c>
      <c r="L6" s="56"/>
      <c r="M6" s="57"/>
      <c r="N6" s="57"/>
    </row>
    <row r="7" spans="1:15" ht="61.5" customHeight="1">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129</v>
      </c>
      <c r="K7" s="55" t="s">
        <v>130</v>
      </c>
      <c r="L7" s="57"/>
      <c r="M7" s="70"/>
      <c r="N7" s="21"/>
    </row>
    <row r="8" spans="1:15" ht="54" customHeight="1">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131</v>
      </c>
      <c r="K8" s="54" t="s">
        <v>132</v>
      </c>
      <c r="L8" s="56"/>
      <c r="M8" s="57"/>
      <c r="N8" s="57"/>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8" priority="13" stopIfTrue="1" operator="lessThanOrEqual">
      <formula>-0.1</formula>
    </cfRule>
    <cfRule type="expression" dxfId="27" priority="14">
      <formula>AND(ISNUMBER(A9), A9&gt;=0.1)</formula>
    </cfRule>
  </conditionalFormatting>
  <conditionalFormatting sqref="F2 I2">
    <cfRule type="cellIs" dxfId="26" priority="15" stopIfTrue="1" operator="lessThanOrEqual">
      <formula>-0.1</formula>
    </cfRule>
    <cfRule type="expression" dxfId="25" priority="16">
      <formula>AND(ISNUMBER(F2), F2&gt;=0.1)</formula>
    </cfRule>
  </conditionalFormatting>
  <conditionalFormatting sqref="F4:F8 I4:I8">
    <cfRule type="cellIs" dxfId="24" priority="3" stopIfTrue="1" operator="lessThanOrEqual">
      <formula>-0.1</formula>
    </cfRule>
    <cfRule type="expression" dxfId="23" priority="4">
      <formula>AND(ISNUMBER(F4), F4&gt;=0.1)</formula>
    </cfRule>
  </conditionalFormatting>
  <conditionalFormatting sqref="N7">
    <cfRule type="cellIs" dxfId="22" priority="1" stopIfTrue="1" operator="lessThanOrEqual">
      <formula>-0.1</formula>
    </cfRule>
    <cfRule type="expression" dxfId="21"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S337"/>
  <sheetViews>
    <sheetView zoomScale="60" zoomScaleNormal="60" workbookViewId="0">
      <pane xSplit="2" ySplit="3" topLeftCell="D4" activePane="bottomRight" state="frozen"/>
      <selection pane="bottomRight" activeCell="J24" sqref="J2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9" width="8.85546875" style="57"/>
  </cols>
  <sheetData>
    <row r="1" spans="1:17" ht="19.5" customHeight="1">
      <c r="A1" s="76" t="str" cm="1">
        <f t="array" ref="A1">portfolio</f>
        <v>True Green Capital Management LLC</v>
      </c>
      <c r="B1" s="76"/>
      <c r="C1" s="76"/>
      <c r="D1" s="77" t="s">
        <v>133</v>
      </c>
      <c r="E1" s="77"/>
      <c r="F1" s="77"/>
      <c r="G1" s="75" t="s">
        <v>134</v>
      </c>
      <c r="H1" s="75"/>
      <c r="I1" s="75"/>
      <c r="J1" s="4"/>
      <c r="K1" s="4"/>
    </row>
    <row r="2" spans="1:17" ht="19.5" customHeight="1">
      <c r="A2" s="78" t="s">
        <v>2</v>
      </c>
      <c r="B2" s="78"/>
      <c r="C2" s="5">
        <f>SUM(C4:C95)</f>
        <v>4554624.5999999996</v>
      </c>
      <c r="D2" s="5">
        <f>SUM(D4:D95)</f>
        <v>3387580.9699999997</v>
      </c>
      <c r="E2" s="5">
        <f>C2-D2</f>
        <v>1167043.6299999999</v>
      </c>
      <c r="F2" s="6">
        <f>IFERROR(E2/D2, 0)</f>
        <v>0.34450649012826401</v>
      </c>
      <c r="G2" s="5">
        <f>SUM(G4:G95)</f>
        <v>5239527.66</v>
      </c>
      <c r="H2" s="7">
        <f>C2-G2</f>
        <v>-684903.06000000052</v>
      </c>
      <c r="I2" s="6">
        <f>IFERROR(H2/G2, 0)</f>
        <v>-0.1307184739625939</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100.9">
      <c r="A4" s="47" t="str" cm="1">
        <f t="array" ref="A4:A8">Sites[Site]</f>
        <v>Rochester - 5516 Valleyhigh NW</v>
      </c>
      <c r="B4" s="28" t="str" cm="1">
        <f t="array" ref="B4:B8">Sites[State]</f>
        <v>MN</v>
      </c>
      <c r="C4" s="24">
        <v>2164221</v>
      </c>
      <c r="D4" s="13">
        <v>2244634.71</v>
      </c>
      <c r="E4" s="13">
        <f t="shared" ref="E4:E12" si="0">IF(AND(ISNUMBER(C4),ISNUMBER(D4)), C4-D4, "")</f>
        <v>-80413.709999999963</v>
      </c>
      <c r="F4" s="14">
        <f t="shared" ref="F4:F12" si="1">IFERROR(E4/D4, "")</f>
        <v>-3.582485365736858E-2</v>
      </c>
      <c r="G4" s="15">
        <v>2394063.9700000002</v>
      </c>
      <c r="H4" s="15">
        <f>IF(AND(ISNUMBER(C4),ISNUMBER(G4)), C4-G4, "")</f>
        <v>-229842.9700000002</v>
      </c>
      <c r="I4" s="16">
        <f t="shared" ref="I4:I8" si="2">IFERROR(H4/G4, "")</f>
        <v>-9.6005358620388156E-2</v>
      </c>
      <c r="J4" s="46" t="s">
        <v>135</v>
      </c>
      <c r="K4" s="54" t="s">
        <v>136</v>
      </c>
      <c r="L4" s="56" t="s">
        <v>49</v>
      </c>
      <c r="M4" s="56" t="s">
        <v>137</v>
      </c>
      <c r="N4" s="56" t="s">
        <v>138</v>
      </c>
      <c r="O4" s="56" t="s">
        <v>139</v>
      </c>
      <c r="P4" s="56" t="s">
        <v>140</v>
      </c>
      <c r="Q4" s="56" t="s">
        <v>141</v>
      </c>
    </row>
    <row r="5" spans="1:17" ht="57.6">
      <c r="A5" s="29" t="str">
        <v>Warsaw - Hemings</v>
      </c>
      <c r="B5" s="30" t="str">
        <v>VA</v>
      </c>
      <c r="C5" s="11">
        <v>790338.5</v>
      </c>
      <c r="D5" s="18">
        <v>0</v>
      </c>
      <c r="E5" s="18">
        <f t="shared" si="0"/>
        <v>790338.5</v>
      </c>
      <c r="F5" s="19" t="str">
        <f t="shared" si="1"/>
        <v/>
      </c>
      <c r="G5" s="20">
        <v>1079860.17</v>
      </c>
      <c r="H5" s="20">
        <f t="shared" ref="H5:H12" si="3">IF(AND(ISNUMBER(C5),ISNUMBER(G5)), C5-G5, "")</f>
        <v>-289521.66999999993</v>
      </c>
      <c r="I5" s="19">
        <f t="shared" si="2"/>
        <v>-0.26811033321101191</v>
      </c>
      <c r="J5" s="45" t="s">
        <v>142</v>
      </c>
      <c r="K5" s="55" t="s">
        <v>143</v>
      </c>
      <c r="L5" s="56" t="s">
        <v>144</v>
      </c>
      <c r="M5" s="56" t="s">
        <v>145</v>
      </c>
      <c r="N5" s="56" t="s">
        <v>146</v>
      </c>
    </row>
    <row r="6" spans="1:17" ht="43.15">
      <c r="A6" s="47" t="str">
        <v>Mount Jackson - Randolf</v>
      </c>
      <c r="B6" s="28" t="str">
        <v>VA</v>
      </c>
      <c r="C6" s="24">
        <v>690534.5</v>
      </c>
      <c r="D6" s="13">
        <v>702387.51599999995</v>
      </c>
      <c r="E6" s="13">
        <f t="shared" si="0"/>
        <v>-11853.015999999945</v>
      </c>
      <c r="F6" s="14">
        <f t="shared" si="1"/>
        <v>-1.6875322710035105E-2</v>
      </c>
      <c r="G6" s="15">
        <v>760750.11</v>
      </c>
      <c r="H6" s="15">
        <f t="shared" si="3"/>
        <v>-70215.609999999986</v>
      </c>
      <c r="I6" s="16">
        <f t="shared" si="2"/>
        <v>-9.2297863749240844E-2</v>
      </c>
      <c r="J6" s="46" t="s">
        <v>147</v>
      </c>
      <c r="K6" s="54" t="s">
        <v>148</v>
      </c>
      <c r="L6" s="56" t="s">
        <v>149</v>
      </c>
    </row>
    <row r="7" spans="1:17" ht="43.15">
      <c r="A7" s="29" t="str">
        <v>Callands Gretna - Monroe</v>
      </c>
      <c r="B7" s="30" t="str">
        <v>VA</v>
      </c>
      <c r="C7" s="11">
        <v>447651</v>
      </c>
      <c r="D7" s="18">
        <v>440558.74400000001</v>
      </c>
      <c r="E7" s="18">
        <f>IF(AND(ISNUMBER(C7),ISNUMBER(D7)), C7-D7, "")</f>
        <v>7092.2559999999939</v>
      </c>
      <c r="F7" s="19">
        <f t="shared" si="1"/>
        <v>1.6098320817802207E-2</v>
      </c>
      <c r="G7" s="20">
        <v>476302.14</v>
      </c>
      <c r="H7" s="20">
        <f t="shared" si="3"/>
        <v>-28651.140000000014</v>
      </c>
      <c r="I7" s="19">
        <f t="shared" si="2"/>
        <v>-6.0153288414786489E-2</v>
      </c>
      <c r="J7" s="45" t="s">
        <v>150</v>
      </c>
      <c r="K7" s="55" t="s">
        <v>151</v>
      </c>
      <c r="L7" s="56" t="s">
        <v>152</v>
      </c>
    </row>
    <row r="8" spans="1:17" ht="72">
      <c r="A8" s="31" t="str">
        <v>Rockbridge Baths - Small Mouth Bass</v>
      </c>
      <c r="B8" s="28" t="str">
        <v>VA</v>
      </c>
      <c r="C8" s="24">
        <v>461879.6</v>
      </c>
      <c r="D8" s="13">
        <v>0</v>
      </c>
      <c r="E8" s="13">
        <f t="shared" si="0"/>
        <v>461879.6</v>
      </c>
      <c r="F8" s="14" t="str">
        <f t="shared" si="1"/>
        <v/>
      </c>
      <c r="G8" s="15">
        <v>528551.27</v>
      </c>
      <c r="H8" s="15">
        <f t="shared" si="3"/>
        <v>-66671.670000000042</v>
      </c>
      <c r="I8" s="16">
        <f t="shared" si="2"/>
        <v>-0.12614040261411166</v>
      </c>
      <c r="J8" s="46" t="s">
        <v>153</v>
      </c>
      <c r="K8" s="54" t="s">
        <v>154</v>
      </c>
      <c r="L8" s="56" t="s">
        <v>93</v>
      </c>
      <c r="M8" s="56" t="s">
        <v>155</v>
      </c>
      <c r="N8" s="56" t="s">
        <v>156</v>
      </c>
      <c r="O8" s="56" t="s">
        <v>157</v>
      </c>
    </row>
    <row r="9" spans="1:17">
      <c r="A9" s="21"/>
      <c r="B9" s="21"/>
      <c r="C9" s="21"/>
      <c r="D9" s="21"/>
      <c r="E9" s="21" t="str">
        <f t="shared" si="0"/>
        <v/>
      </c>
      <c r="F9" s="21" t="str">
        <f t="shared" si="1"/>
        <v/>
      </c>
      <c r="G9" s="21"/>
      <c r="H9" s="21" t="str">
        <f t="shared" si="3"/>
        <v/>
      </c>
      <c r="I9" s="21" t="str">
        <f t="shared" ref="I9:I12" si="4">IFERROR(H9/G9, "")</f>
        <v/>
      </c>
      <c r="J9" s="21"/>
      <c r="K9" s="21"/>
      <c r="L9" s="71"/>
    </row>
    <row r="10" spans="1:17">
      <c r="A10" s="21"/>
      <c r="B10" s="21"/>
      <c r="C10" s="21"/>
      <c r="D10" s="21"/>
      <c r="E10" s="21" t="str">
        <f t="shared" si="0"/>
        <v/>
      </c>
      <c r="F10" s="21" t="str">
        <f t="shared" si="1"/>
        <v/>
      </c>
      <c r="G10" s="21"/>
      <c r="H10" s="21" t="str">
        <f t="shared" si="3"/>
        <v/>
      </c>
      <c r="I10" s="21" t="str">
        <f t="shared" si="4"/>
        <v/>
      </c>
      <c r="J10" s="21"/>
      <c r="K10" s="21"/>
      <c r="L10" s="71"/>
    </row>
    <row r="11" spans="1:17">
      <c r="A11" s="21"/>
      <c r="B11" s="21"/>
      <c r="C11" s="21"/>
      <c r="D11" s="21"/>
      <c r="E11" s="21" t="str">
        <f t="shared" si="0"/>
        <v/>
      </c>
      <c r="F11" s="21" t="str">
        <f t="shared" si="1"/>
        <v/>
      </c>
      <c r="G11" s="21"/>
      <c r="H11" s="21" t="str">
        <f t="shared" si="3"/>
        <v/>
      </c>
      <c r="I11" s="21" t="str">
        <f t="shared" si="4"/>
        <v/>
      </c>
      <c r="J11" s="21"/>
      <c r="K11" s="21"/>
      <c r="L11" s="71"/>
    </row>
    <row r="12" spans="1:17">
      <c r="A12" s="21"/>
      <c r="B12" s="21"/>
      <c r="C12" s="21"/>
      <c r="D12" s="21"/>
      <c r="E12" s="21" t="str">
        <f t="shared" si="0"/>
        <v/>
      </c>
      <c r="F12" s="21" t="str">
        <f t="shared" si="1"/>
        <v/>
      </c>
      <c r="G12" s="21"/>
      <c r="H12" s="21" t="str">
        <f t="shared" si="3"/>
        <v/>
      </c>
      <c r="I12" s="21" t="str">
        <f t="shared" si="4"/>
        <v/>
      </c>
      <c r="J12" s="21"/>
      <c r="K12" s="21"/>
      <c r="L12" s="71"/>
    </row>
    <row r="13" spans="1:17" ht="12.75" customHeight="1">
      <c r="A13" s="21"/>
      <c r="B13" s="21"/>
      <c r="C13" s="21"/>
      <c r="D13" s="21"/>
      <c r="E13" s="21"/>
      <c r="F13" s="21"/>
      <c r="G13" s="21"/>
      <c r="H13" s="21"/>
      <c r="I13" s="21"/>
      <c r="J13" s="21"/>
      <c r="K13" s="21"/>
      <c r="L13" s="71"/>
    </row>
    <row r="14" spans="1:17">
      <c r="A14" s="21"/>
      <c r="B14" s="21"/>
      <c r="C14" s="21"/>
      <c r="D14" s="21"/>
      <c r="E14" s="21"/>
      <c r="F14" s="21"/>
      <c r="G14" s="21"/>
      <c r="H14" s="21"/>
      <c r="I14" s="21"/>
      <c r="J14" s="21"/>
      <c r="K14" s="21"/>
      <c r="L14" s="71"/>
    </row>
    <row r="15" spans="1:17">
      <c r="A15" s="21"/>
      <c r="B15" s="21"/>
      <c r="C15" s="21"/>
      <c r="D15" s="21"/>
      <c r="E15" s="21"/>
      <c r="F15" s="21"/>
      <c r="G15" s="21"/>
      <c r="H15" s="21"/>
      <c r="I15" s="21"/>
      <c r="J15" s="21"/>
      <c r="K15" s="21"/>
      <c r="L15" s="7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5 I4:I95">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147" xr:uid="{0255A83B-57DF-40E2-A113-DDB519D00FFA}"/>
    <hyperlink ref="L4" r:id="rId2" display="https://us3.assetplanner.com/service_request?ID=099221" xr:uid="{F60D5355-63FB-46C6-9766-0B8E89F03B84}"/>
    <hyperlink ref="M4" r:id="rId3" display="https://us3.assetplanner.com/service_request?ID=105946" xr:uid="{56D41EB8-FB4B-44BB-A670-FF469F149BD0}"/>
    <hyperlink ref="N4" r:id="rId4" display="https://us3.assetplanner.com/service_request?ID=107054" xr:uid="{CD6BF34F-F8D7-46CE-A690-35AB84157536}"/>
    <hyperlink ref="O4" r:id="rId5" display="https://us3.assetplanner.com/service_request?ID=105860" xr:uid="{5DB95137-7F2D-4A56-9359-324F2896A0C9}"/>
    <hyperlink ref="P4" r:id="rId6" display="https://us3.assetplanner.com/service_request?ID=106166" xr:uid="{2759D571-7291-4686-8BF4-95745832E56E}"/>
    <hyperlink ref="Q4" r:id="rId7" display="https://us3.assetplanner.com/service_request?ID=105393" xr:uid="{E2FA669B-457F-48B0-86C5-02C79E8987E1}"/>
    <hyperlink ref="K5" r:id="rId8" display="https://us3.assetplanner.com/service_request?ID=101583" xr:uid="{BA948C3A-CD92-4DA4-8BD3-8E458F9CAED6}"/>
    <hyperlink ref="L5" r:id="rId9" display="https://us3.assetplanner.com/service_request?ID=105308" xr:uid="{F7788721-BFB9-4D8A-9C72-CBBF5B8562A4}"/>
    <hyperlink ref="M5" r:id="rId10" display="https://us3.assetplanner.com/service_request?ID=105629" xr:uid="{9A48E778-B113-4E05-AADA-56CC0469A837}"/>
    <hyperlink ref="N5" r:id="rId11" display="https://us3.assetplanner.com/service_request?ID=104941" xr:uid="{9DC9BCB5-AEAF-4BF3-9F68-C91014D404ED}"/>
    <hyperlink ref="K6" r:id="rId12" display="https://us3.assetplanner.com/service_request?ID=103137" xr:uid="{0A8E18CE-60BC-4C3D-A1FC-A3BF2E2DFA41}"/>
    <hyperlink ref="L6" r:id="rId13" display="https://us3.assetplanner.com/service_request?ID=105402" xr:uid="{32826E88-6F48-40F2-904A-143EB367DDEE}"/>
    <hyperlink ref="K7" r:id="rId14" display="https://us3.assetplanner.com/service_request?ID=099420" xr:uid="{DA255E4D-AE6B-420A-8D3E-6E22EE538045}"/>
    <hyperlink ref="L7" r:id="rId15" display="https://us3.assetplanner.com/service_request?ID=101449" xr:uid="{B10CE8E4-9ADE-47CF-9AF0-B1B81563729E}"/>
    <hyperlink ref="K8" r:id="rId16" display="https://us3.assetplanner.com/service_request?ID=101580" xr:uid="{737C7A57-A911-4020-B83E-D0EEF188DC1A}"/>
    <hyperlink ref="L8" r:id="rId17" display="https://us3.assetplanner.com/service_request?ID=100415" xr:uid="{5EA81E41-D2C8-4017-B3B4-43F23A1E9C3B}"/>
    <hyperlink ref="M8" r:id="rId18" display="https://us3.assetplanner.com/service_request?ID=105397" xr:uid="{34BE1A8E-C920-42AC-B3AE-A4E6293E379B}"/>
    <hyperlink ref="N8" r:id="rId19" display="https://us3.assetplanner.com/service_request?ID=106590" xr:uid="{4C0DB83A-5FE7-4244-B152-172BAF51C047}"/>
    <hyperlink ref="O8" r:id="rId20" display="https://us3.assetplanner.com/service_request?ID=106873" xr:uid="{4E60054B-14F4-464C-BC36-382B6A40545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337"/>
  <sheetViews>
    <sheetView zoomScale="70" zoomScaleNormal="70" workbookViewId="0">
      <pane xSplit="2" ySplit="3" topLeftCell="C4" activePane="bottomRight" state="frozen"/>
      <selection pane="bottomRight" activeCell="J15" sqref="J15"/>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7"/>
  </cols>
  <sheetData>
    <row r="1" spans="1:14" ht="19.5" customHeight="1">
      <c r="A1" s="76" t="str" cm="1">
        <f t="array" ref="A1">portfolio</f>
        <v>True Green Capital Management LLC</v>
      </c>
      <c r="B1" s="76"/>
      <c r="C1" s="76"/>
      <c r="D1" s="77" t="s">
        <v>158</v>
      </c>
      <c r="E1" s="77"/>
      <c r="F1" s="77"/>
      <c r="G1" s="75" t="s">
        <v>159</v>
      </c>
      <c r="H1" s="75"/>
      <c r="I1" s="75"/>
      <c r="J1" s="4"/>
      <c r="K1" s="4"/>
    </row>
    <row r="2" spans="1:14" ht="19.5" customHeight="1">
      <c r="A2" s="78" t="s">
        <v>2</v>
      </c>
      <c r="B2" s="78"/>
      <c r="C2" s="5">
        <f>SUM(C4:C95)</f>
        <v>3515868.6999999997</v>
      </c>
      <c r="D2" s="5">
        <f>SUM(D4:D95)</f>
        <v>2048734.3</v>
      </c>
      <c r="E2" s="5">
        <f>C2-D2</f>
        <v>1467134.3999999997</v>
      </c>
      <c r="F2" s="6">
        <f>IFERROR(E2/D2, 0)</f>
        <v>0.71611745847179875</v>
      </c>
      <c r="G2" s="5">
        <f>SUM(G4:G95)</f>
        <v>4259688.4000000004</v>
      </c>
      <c r="H2" s="7">
        <f>C2-G2</f>
        <v>-743819.70000000065</v>
      </c>
      <c r="I2" s="6">
        <f>IFERROR(H2/G2, 0)</f>
        <v>-0.17461833593274112</v>
      </c>
      <c r="J2" s="26"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90.75" customHeight="1">
      <c r="A4" s="29" t="str" cm="1">
        <f t="array" ref="A4:A8">Sites[Site]</f>
        <v>Rochester - 5516 Valleyhigh NW</v>
      </c>
      <c r="B4" s="30" t="str" cm="1">
        <f t="array" ref="B4:B8">Sites[State]</f>
        <v>MN</v>
      </c>
      <c r="C4" s="11">
        <v>1421436</v>
      </c>
      <c r="D4" s="18">
        <v>1231101</v>
      </c>
      <c r="E4" s="18">
        <f t="shared" ref="E4:E12" si="0">IF(AND(ISNUMBER(C4),ISNUMBER(D4)), C4-D4, "")</f>
        <v>190335</v>
      </c>
      <c r="F4" s="19">
        <f t="shared" ref="F4:F12" si="1">IFERROR(E4/D4, "")</f>
        <v>0.15460551165176536</v>
      </c>
      <c r="G4" s="49">
        <v>1880527</v>
      </c>
      <c r="H4" s="20">
        <f t="shared" ref="H4:H12" si="2">IF(AND(ISNUMBER(C4),ISNUMBER(G4)), C4-G4, "")</f>
        <v>-459091</v>
      </c>
      <c r="I4" s="19">
        <f t="shared" ref="I4:I12" si="3">IFERROR(H4/G4, "")</f>
        <v>-0.24412890641825402</v>
      </c>
      <c r="J4" s="50" t="s">
        <v>160</v>
      </c>
      <c r="K4" s="72" t="s">
        <v>161</v>
      </c>
      <c r="L4" s="56" t="s">
        <v>162</v>
      </c>
      <c r="M4" s="56" t="s">
        <v>49</v>
      </c>
      <c r="N4" s="56" t="s">
        <v>163</v>
      </c>
    </row>
    <row r="5" spans="1:14" ht="45" customHeight="1">
      <c r="A5" s="31" t="str">
        <v>Warsaw - Hemings</v>
      </c>
      <c r="B5" s="28" t="str">
        <v>VA</v>
      </c>
      <c r="C5" s="24">
        <v>756441.8</v>
      </c>
      <c r="D5" s="13">
        <v>0</v>
      </c>
      <c r="E5" s="13">
        <f t="shared" si="0"/>
        <v>756441.8</v>
      </c>
      <c r="F5" s="14" t="str">
        <f t="shared" si="1"/>
        <v/>
      </c>
      <c r="G5" s="15">
        <v>903150</v>
      </c>
      <c r="H5" s="15">
        <f t="shared" si="2"/>
        <v>-146708.19999999995</v>
      </c>
      <c r="I5" s="16">
        <f t="shared" si="3"/>
        <v>-0.16244056911919388</v>
      </c>
      <c r="J5" s="40" t="s">
        <v>164</v>
      </c>
      <c r="K5" s="60" t="s">
        <v>165</v>
      </c>
      <c r="L5" s="56" t="s">
        <v>166</v>
      </c>
      <c r="M5" s="56" t="s">
        <v>103</v>
      </c>
    </row>
    <row r="6" spans="1:14" ht="34.5" customHeight="1">
      <c r="A6" s="29" t="str">
        <v>Mount Jackson - Randolf</v>
      </c>
      <c r="B6" s="30" t="str">
        <v>VA</v>
      </c>
      <c r="C6" s="11">
        <v>513321.6</v>
      </c>
      <c r="D6" s="18">
        <v>472595.8</v>
      </c>
      <c r="E6" s="18">
        <f t="shared" si="0"/>
        <v>40725.799999999988</v>
      </c>
      <c r="F6" s="19">
        <f t="shared" si="1"/>
        <v>8.6174697278308413E-2</v>
      </c>
      <c r="G6" s="20">
        <v>629251.5</v>
      </c>
      <c r="H6" s="20">
        <f t="shared" si="2"/>
        <v>-115929.90000000002</v>
      </c>
      <c r="I6" s="19">
        <f t="shared" si="3"/>
        <v>-0.1842346025396841</v>
      </c>
      <c r="J6" s="50" t="s">
        <v>167</v>
      </c>
      <c r="K6" s="73" t="s">
        <v>168</v>
      </c>
      <c r="L6" s="56" t="s">
        <v>169</v>
      </c>
      <c r="M6" s="71"/>
    </row>
    <row r="7" spans="1:14" ht="57.6">
      <c r="A7" s="31" t="str">
        <v>Callands Gretna - Monroe</v>
      </c>
      <c r="B7" s="28" t="str">
        <v>VA</v>
      </c>
      <c r="C7" s="24">
        <v>403870</v>
      </c>
      <c r="D7" s="13">
        <v>345037.5</v>
      </c>
      <c r="E7" s="13">
        <f t="shared" si="0"/>
        <v>58832.5</v>
      </c>
      <c r="F7" s="14">
        <f t="shared" si="1"/>
        <v>0.17051045176248958</v>
      </c>
      <c r="G7" s="15">
        <v>405959.9</v>
      </c>
      <c r="H7" s="15">
        <f t="shared" si="2"/>
        <v>-2089.9000000000233</v>
      </c>
      <c r="I7" s="16">
        <f t="shared" si="3"/>
        <v>-5.1480454103965028E-3</v>
      </c>
      <c r="J7" s="40" t="s">
        <v>170</v>
      </c>
      <c r="K7" s="60" t="s">
        <v>171</v>
      </c>
      <c r="L7" s="56" t="s">
        <v>172</v>
      </c>
      <c r="M7" s="56" t="s">
        <v>152</v>
      </c>
    </row>
    <row r="8" spans="1:14" ht="39.6">
      <c r="A8" s="29" t="str">
        <v>Rockbridge Baths - Small Mouth Bass</v>
      </c>
      <c r="B8" s="30" t="str">
        <v>VA</v>
      </c>
      <c r="C8" s="11">
        <v>420799.3</v>
      </c>
      <c r="D8" s="18">
        <v>0</v>
      </c>
      <c r="E8" s="18">
        <f t="shared" si="0"/>
        <v>420799.3</v>
      </c>
      <c r="F8" s="19" t="str">
        <f t="shared" si="1"/>
        <v/>
      </c>
      <c r="G8" s="20">
        <v>440800</v>
      </c>
      <c r="H8" s="20">
        <f t="shared" si="2"/>
        <v>-20000.700000000012</v>
      </c>
      <c r="I8" s="19">
        <f t="shared" si="3"/>
        <v>-4.5373638838475526E-2</v>
      </c>
      <c r="J8" s="41" t="s">
        <v>173</v>
      </c>
      <c r="K8" s="72" t="s">
        <v>174</v>
      </c>
      <c r="L8" s="56" t="s">
        <v>108</v>
      </c>
      <c r="M8" s="56" t="s">
        <v>93</v>
      </c>
    </row>
    <row r="9" spans="1:14">
      <c r="A9" s="21"/>
      <c r="B9" s="21"/>
      <c r="C9" s="21"/>
      <c r="D9" s="21"/>
      <c r="E9" s="21" t="str">
        <f t="shared" si="0"/>
        <v/>
      </c>
      <c r="F9" s="21" t="str">
        <f t="shared" si="1"/>
        <v/>
      </c>
      <c r="G9" s="21"/>
      <c r="H9" s="21" t="str">
        <f t="shared" si="2"/>
        <v/>
      </c>
      <c r="I9" s="21" t="str">
        <f t="shared" si="3"/>
        <v/>
      </c>
      <c r="J9" s="21"/>
      <c r="K9" s="21"/>
      <c r="L9" s="71"/>
      <c r="M9" s="71"/>
    </row>
    <row r="10" spans="1:14">
      <c r="A10" s="21"/>
      <c r="B10" s="21"/>
      <c r="C10" s="21"/>
      <c r="D10" s="21"/>
      <c r="E10" s="21" t="str">
        <f t="shared" si="0"/>
        <v/>
      </c>
      <c r="F10" s="21" t="str">
        <f t="shared" si="1"/>
        <v/>
      </c>
      <c r="G10" s="21"/>
      <c r="H10" s="21" t="str">
        <f t="shared" si="2"/>
        <v/>
      </c>
      <c r="I10" s="21" t="str">
        <f t="shared" si="3"/>
        <v/>
      </c>
      <c r="J10" s="21"/>
      <c r="K10" s="21"/>
      <c r="L10" s="71"/>
      <c r="M10" s="71"/>
    </row>
    <row r="11" spans="1:14">
      <c r="A11" s="21"/>
      <c r="B11" s="21"/>
      <c r="C11" s="21"/>
      <c r="D11" s="21"/>
      <c r="E11" s="21" t="str">
        <f t="shared" si="0"/>
        <v/>
      </c>
      <c r="F11" s="21" t="str">
        <f t="shared" si="1"/>
        <v/>
      </c>
      <c r="G11" s="21"/>
      <c r="H11" s="21" t="str">
        <f t="shared" si="2"/>
        <v/>
      </c>
      <c r="I11" s="21" t="str">
        <f t="shared" si="3"/>
        <v/>
      </c>
      <c r="J11" s="21"/>
      <c r="K11" s="21"/>
      <c r="L11" s="71"/>
      <c r="M11" s="71"/>
    </row>
    <row r="12" spans="1:14">
      <c r="A12" s="21"/>
      <c r="B12" s="21"/>
      <c r="C12" s="21"/>
      <c r="D12" s="21"/>
      <c r="E12" s="21" t="str">
        <f t="shared" si="0"/>
        <v/>
      </c>
      <c r="F12" s="21" t="str">
        <f t="shared" si="1"/>
        <v/>
      </c>
      <c r="G12" s="21"/>
      <c r="H12" s="21" t="str">
        <f t="shared" si="2"/>
        <v/>
      </c>
      <c r="I12" s="21" t="str">
        <f t="shared" si="3"/>
        <v/>
      </c>
      <c r="J12" s="21"/>
      <c r="K12" s="21"/>
      <c r="L12" s="71"/>
      <c r="M12" s="7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hyperlinks>
    <hyperlink ref="K4" r:id="rId1" display="https://us3.assetplanner.com/service_request?ID=107451" xr:uid="{8F63755C-0E34-49AA-99C0-8626F3CCFEF6}"/>
    <hyperlink ref="L4" r:id="rId2" display="https://us3.assetplanner.com/service_request?ID=107650" xr:uid="{177290BD-F0BC-4418-94B9-5302E682F041}"/>
    <hyperlink ref="M4" r:id="rId3" display="https://us3.assetplanner.com/service_request?ID=099221" xr:uid="{B9E95D0D-406D-4C8F-BCCB-EADA5FE8D2A9}"/>
    <hyperlink ref="N4" r:id="rId4" display="https://us3.assetplanner.com/service_request?ID=102147" xr:uid="{826F1E1C-55AC-4757-8EEE-E429B2EB92A7}"/>
    <hyperlink ref="K5" r:id="rId5" display="https://us3.assetplanner.com/service_request?ID=104941" xr:uid="{0CF89D99-741B-4A0C-87BD-72FC20D5597E}"/>
    <hyperlink ref="L5" r:id="rId6" display="https://us3.assetplanner.com/service_request?ID=107935" xr:uid="{ED2F836C-07F8-452B-8EE3-52212191842A}"/>
    <hyperlink ref="M5" r:id="rId7" display="https://us3.assetplanner.com/service_request?ID=101583" xr:uid="{4B2C0EA7-A84A-4976-B66B-06E5F23D378A}"/>
    <hyperlink ref="K6" r:id="rId8" display="https://us3.assetplanner.com/service_request?ID=105402" xr:uid="{B0292592-B965-4C54-8B97-2F45507E8E29}"/>
    <hyperlink ref="L6" r:id="rId9" display="https://us3.assetplanner.com/service_request?ID=108406" xr:uid="{0BEEFB94-8C1F-42BE-B20E-FC86636F8B7D}"/>
    <hyperlink ref="K7" r:id="rId10" display="https://us3.assetplanner.com/service_request?ID=099420" xr:uid="{DDC4BBC7-6146-4ED4-90C0-933D4A763FF0}"/>
    <hyperlink ref="L7" r:id="rId11" display="https://us3.assetplanner.com/service_request?ID=108512" xr:uid="{ED4EB52A-A9CE-497A-9DB6-E4FD66DE6569}"/>
    <hyperlink ref="M7" r:id="rId12" display="https://us3.assetplanner.com/service_request?ID=101449" xr:uid="{BCEF1F0D-7473-4543-83AC-FF32D3B2B884}"/>
    <hyperlink ref="K8" r:id="rId13" display="https://us3.assetplanner.com/service_request?ID=105397" xr:uid="{1B8170F0-F5D0-4CBD-A427-127C620C6FCB}"/>
    <hyperlink ref="L8" r:id="rId14" display="https://us3.assetplanner.com/service_request?ID=101580" xr:uid="{8B1D2C4D-75A6-4052-8D70-C4D0ED34FC15}"/>
    <hyperlink ref="M8" r:id="rId15" display="https://us3.assetplanner.com/service_request?ID=100415" xr:uid="{FE3ECB99-7CB2-47F6-A755-C8D15FD0421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R337"/>
  <sheetViews>
    <sheetView zoomScale="70" zoomScaleNormal="70" workbookViewId="0">
      <pane xSplit="2" ySplit="3" topLeftCell="C4" activePane="bottomRight" state="frozen"/>
      <selection pane="bottomRight" activeCell="K4" sqref="K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 min="12" max="12" width="23.5703125" style="57" customWidth="1"/>
  </cols>
  <sheetData>
    <row r="1" spans="1:18" ht="19.5" customHeight="1">
      <c r="A1" s="76" t="str" cm="1">
        <f t="array" ref="A1">portfolio</f>
        <v>True Green Capital Management LLC</v>
      </c>
      <c r="B1" s="76"/>
      <c r="C1" s="76"/>
      <c r="D1" s="77" t="s">
        <v>175</v>
      </c>
      <c r="E1" s="77"/>
      <c r="F1" s="77"/>
      <c r="G1" s="75" t="s">
        <v>176</v>
      </c>
      <c r="H1" s="75"/>
      <c r="I1" s="75"/>
      <c r="J1" s="4"/>
      <c r="K1" s="4"/>
    </row>
    <row r="2" spans="1:18" ht="19.5" customHeight="1">
      <c r="A2" s="78" t="s">
        <v>2</v>
      </c>
      <c r="B2" s="78"/>
      <c r="C2" s="5">
        <f>SUM(C4:C95)</f>
        <v>3409621.5</v>
      </c>
      <c r="D2" s="5">
        <f>SUM(D4:D95)</f>
        <v>2918121.5</v>
      </c>
      <c r="E2" s="5">
        <f>C2-D2</f>
        <v>491500</v>
      </c>
      <c r="F2" s="6">
        <f>IFERROR(E2/D2, 0)</f>
        <v>0.1684302726942658</v>
      </c>
      <c r="G2" s="5">
        <f>SUM(G4:G95)</f>
        <v>3339773.8000000003</v>
      </c>
      <c r="H2" s="7">
        <f>C2-G2</f>
        <v>69847.699999999721</v>
      </c>
      <c r="I2" s="6">
        <f>IFERROR(H2/G2, 0)</f>
        <v>2.0913901414520861E-2</v>
      </c>
      <c r="J2" s="26" t="str">
        <f ca="1">IF(AND(TODAY()&gt;DATE(2024, 10,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c r="L3" s="53" t="s">
        <v>177</v>
      </c>
    </row>
    <row r="4" spans="1:18" ht="253.9" customHeight="1">
      <c r="A4" s="29" t="str" cm="1">
        <f t="array" ref="A4:A8">Sites[Site]</f>
        <v>Rochester - 5516 Valleyhigh NW</v>
      </c>
      <c r="B4" s="30" t="str" cm="1">
        <f t="array" ref="B4:B8">Sites[State]</f>
        <v>MN</v>
      </c>
      <c r="C4" s="11">
        <v>1187198</v>
      </c>
      <c r="D4" s="18">
        <v>1325631</v>
      </c>
      <c r="E4" s="18">
        <f t="shared" ref="E4:E12" si="0">IF(AND(ISNUMBER(C4),ISNUMBER(D4)), C4-D4, "")</f>
        <v>-138433</v>
      </c>
      <c r="F4" s="19">
        <f t="shared" ref="F4:F12" si="1">IFERROR(E4/D4, "")</f>
        <v>-0.10442800447485009</v>
      </c>
      <c r="G4" s="20">
        <v>1337272</v>
      </c>
      <c r="H4" s="20">
        <f t="shared" ref="H4:H11" si="2">IF(AND(ISNUMBER(C4),ISNUMBER(G4)), C4-G4, "")</f>
        <v>-150074</v>
      </c>
      <c r="I4" s="19">
        <f t="shared" ref="I4:I11" si="3">IFERROR(H4/G4, "")</f>
        <v>-0.11222399033255763</v>
      </c>
      <c r="J4" s="50" t="s">
        <v>178</v>
      </c>
      <c r="K4" s="55" t="s">
        <v>179</v>
      </c>
      <c r="L4" s="74" t="s">
        <v>180</v>
      </c>
      <c r="M4" s="59" t="s">
        <v>49</v>
      </c>
      <c r="N4" s="59" t="s">
        <v>163</v>
      </c>
      <c r="O4" s="59" t="s">
        <v>181</v>
      </c>
      <c r="P4" s="59" t="s">
        <v>182</v>
      </c>
      <c r="Q4" s="59" t="s">
        <v>183</v>
      </c>
      <c r="R4" s="59" t="s">
        <v>184</v>
      </c>
    </row>
    <row r="5" spans="1:18" ht="66.400000000000006" customHeight="1">
      <c r="A5" s="31" t="str">
        <v>Warsaw - Hemings</v>
      </c>
      <c r="B5" s="28" t="str">
        <v>VA</v>
      </c>
      <c r="C5" s="24">
        <v>875509.89999999898</v>
      </c>
      <c r="D5" s="13">
        <v>861665.3</v>
      </c>
      <c r="E5" s="13">
        <f t="shared" si="0"/>
        <v>13844.599999998929</v>
      </c>
      <c r="F5" s="14">
        <f t="shared" si="1"/>
        <v>1.6067259526406516E-2</v>
      </c>
      <c r="G5" s="15">
        <v>723990</v>
      </c>
      <c r="H5" s="15">
        <f t="shared" si="2"/>
        <v>151519.89999999898</v>
      </c>
      <c r="I5" s="16">
        <f t="shared" si="3"/>
        <v>0.20928452050442545</v>
      </c>
      <c r="J5" s="46" t="s">
        <v>185</v>
      </c>
      <c r="K5" s="54" t="s">
        <v>186</v>
      </c>
      <c r="L5" s="46" t="s">
        <v>187</v>
      </c>
      <c r="M5" s="59" t="s">
        <v>188</v>
      </c>
    </row>
    <row r="6" spans="1:18" ht="15.6">
      <c r="A6" s="29" t="str">
        <v>Mount Jackson - Randolf</v>
      </c>
      <c r="B6" s="30" t="str">
        <v>VA</v>
      </c>
      <c r="C6" s="11">
        <v>590677.10000000102</v>
      </c>
      <c r="D6" s="18">
        <v>575691.1</v>
      </c>
      <c r="E6" s="18">
        <f t="shared" si="0"/>
        <v>14986.000000001048</v>
      </c>
      <c r="F6" s="19">
        <f t="shared" si="1"/>
        <v>2.6031321311031294E-2</v>
      </c>
      <c r="G6" s="20">
        <v>536959.19999999995</v>
      </c>
      <c r="H6" s="20">
        <f t="shared" si="2"/>
        <v>53717.900000001071</v>
      </c>
      <c r="I6" s="19">
        <f t="shared" si="3"/>
        <v>0.1000409342087836</v>
      </c>
      <c r="J6" s="45" t="s">
        <v>189</v>
      </c>
      <c r="K6" s="45"/>
    </row>
    <row r="7" spans="1:18" ht="15.6">
      <c r="A7" s="31" t="str">
        <v>Callands Gretna - Monroe</v>
      </c>
      <c r="B7" s="28" t="str">
        <v>VA</v>
      </c>
      <c r="C7" s="24">
        <v>376347</v>
      </c>
      <c r="D7" s="13">
        <v>155134.1</v>
      </c>
      <c r="E7" s="13">
        <f t="shared" si="0"/>
        <v>221212.9</v>
      </c>
      <c r="F7" s="14">
        <f t="shared" si="1"/>
        <v>1.4259463264362895</v>
      </c>
      <c r="G7" s="15">
        <v>361097.6</v>
      </c>
      <c r="H7" s="15">
        <f t="shared" si="2"/>
        <v>15249.400000000023</v>
      </c>
      <c r="I7" s="16">
        <f t="shared" si="3"/>
        <v>4.2230687769733238E-2</v>
      </c>
      <c r="J7" s="46" t="s">
        <v>190</v>
      </c>
      <c r="K7" s="54" t="s">
        <v>191</v>
      </c>
      <c r="L7" s="46" t="s">
        <v>192</v>
      </c>
    </row>
    <row r="8" spans="1:18" ht="86.45">
      <c r="A8" s="29" t="str">
        <v>Rockbridge Baths - Small Mouth Bass</v>
      </c>
      <c r="B8" s="30" t="str">
        <v>VA</v>
      </c>
      <c r="C8" s="11">
        <v>379889.5</v>
      </c>
      <c r="D8" s="18">
        <v>0</v>
      </c>
      <c r="E8" s="18">
        <f t="shared" si="0"/>
        <v>379889.5</v>
      </c>
      <c r="F8" s="19" t="str">
        <f t="shared" si="1"/>
        <v/>
      </c>
      <c r="G8" s="20">
        <v>380455</v>
      </c>
      <c r="H8" s="20">
        <f t="shared" si="2"/>
        <v>-565.5</v>
      </c>
      <c r="I8" s="19">
        <f t="shared" si="3"/>
        <v>-1.4863781524753256E-3</v>
      </c>
      <c r="J8" s="45" t="s">
        <v>193</v>
      </c>
      <c r="K8" s="55" t="s">
        <v>194</v>
      </c>
      <c r="L8" s="74" t="s">
        <v>195</v>
      </c>
      <c r="M8" s="59" t="s">
        <v>196</v>
      </c>
    </row>
    <row r="9" spans="1:18">
      <c r="A9" s="21"/>
      <c r="B9" s="21"/>
      <c r="C9" s="21"/>
      <c r="D9" s="21"/>
      <c r="E9" s="21" t="str">
        <f t="shared" si="0"/>
        <v/>
      </c>
      <c r="F9" s="21" t="str">
        <f t="shared" si="1"/>
        <v/>
      </c>
      <c r="G9" s="21"/>
      <c r="H9" s="21" t="str">
        <f t="shared" si="2"/>
        <v/>
      </c>
      <c r="I9" s="21" t="str">
        <f t="shared" si="3"/>
        <v/>
      </c>
      <c r="J9" s="21"/>
      <c r="K9" s="21"/>
    </row>
    <row r="10" spans="1:18">
      <c r="A10" s="21"/>
      <c r="B10" s="21"/>
      <c r="C10" s="21"/>
      <c r="D10" s="21"/>
      <c r="E10" s="21" t="str">
        <f t="shared" si="0"/>
        <v/>
      </c>
      <c r="F10" s="21" t="str">
        <f t="shared" si="1"/>
        <v/>
      </c>
      <c r="G10" s="21"/>
      <c r="H10" s="21" t="str">
        <f t="shared" si="2"/>
        <v/>
      </c>
      <c r="I10" s="21" t="str">
        <f t="shared" si="3"/>
        <v/>
      </c>
      <c r="J10" s="21"/>
      <c r="K10" s="21"/>
    </row>
    <row r="11" spans="1:18">
      <c r="A11" s="21"/>
      <c r="B11" s="21"/>
      <c r="C11" s="21"/>
      <c r="D11" s="21"/>
      <c r="E11" s="21" t="str">
        <f t="shared" si="0"/>
        <v/>
      </c>
      <c r="F11" s="21" t="str">
        <f t="shared" si="1"/>
        <v/>
      </c>
      <c r="G11" s="21"/>
      <c r="H11" s="21" t="str">
        <f t="shared" si="2"/>
        <v/>
      </c>
      <c r="I11" s="21" t="str">
        <f t="shared" si="3"/>
        <v/>
      </c>
      <c r="J11" s="21"/>
      <c r="K11" s="21"/>
    </row>
    <row r="12" spans="1:18">
      <c r="A12" s="21"/>
      <c r="B12" s="21"/>
      <c r="C12" s="21"/>
      <c r="D12" s="21"/>
      <c r="E12" s="21" t="str">
        <f t="shared" si="0"/>
        <v/>
      </c>
      <c r="F12" s="21" t="str">
        <f t="shared" si="1"/>
        <v/>
      </c>
      <c r="G12" s="21"/>
      <c r="H12" s="21" t="str">
        <f>IF(AND(ISNUMBER(C12),ISNUMBER(G12)), C12-G12, "")</f>
        <v/>
      </c>
      <c r="I12" s="21" t="str">
        <f>IFERROR(H12/G12, "")</f>
        <v/>
      </c>
      <c r="J12" s="21"/>
      <c r="K12" s="21"/>
    </row>
    <row r="13" spans="1:18" ht="12.75" customHeight="1">
      <c r="A13" s="21"/>
      <c r="B13" s="21"/>
      <c r="C13" s="21"/>
      <c r="D13" s="21"/>
      <c r="E13" s="21"/>
      <c r="F13" s="21"/>
      <c r="G13" s="21"/>
      <c r="H13" s="21"/>
      <c r="I13" s="21"/>
      <c r="J13" s="21"/>
      <c r="K13" s="21"/>
    </row>
    <row r="14" spans="1:18">
      <c r="A14" s="21"/>
      <c r="B14" s="21"/>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hyperlinks>
    <hyperlink ref="K4" r:id="rId1" display="https://us3.assetplanner.com/service_request?ID=107650" xr:uid="{8996EE0E-C912-4D1C-BED2-C2672628E41E}"/>
    <hyperlink ref="M4" r:id="rId2" display="https://us3.assetplanner.com/service_request?ID=099221" xr:uid="{6570B289-5338-4691-9156-9BF6F3AB7B1A}"/>
    <hyperlink ref="N4" r:id="rId3" display="https://us3.assetplanner.com/service_request?ID=102147" xr:uid="{CBCB0FB6-51FE-446E-9F2A-200122579921}"/>
    <hyperlink ref="O4" r:id="rId4" display="https://us3.assetplanner.com/service_request?ID=109898" xr:uid="{7E56DB8F-BEA6-482A-9436-56E2ACBE943D}"/>
    <hyperlink ref="P4" r:id="rId5" display="https://us3.assetplanner.com/service_request?ID=109945" xr:uid="{E0CEF222-50B9-4161-B3E6-36B84A17C786}"/>
    <hyperlink ref="Q4" r:id="rId6" display="https://us3.assetplanner.com/service_request?ID=109354" xr:uid="{2F85DA53-1ABD-4E5F-B6F0-204CA059BE6A}"/>
    <hyperlink ref="R4" r:id="rId7" display="https://us3.assetplanner.com/service_request?ID=109388" xr:uid="{81CE8221-AE8D-4833-BD92-EC252D907094}"/>
    <hyperlink ref="K5" r:id="rId8" display="https://us3.assetplanner.com/service_request?ID=108844" xr:uid="{85530B75-CAD8-43DF-9269-15D5AFD2228F}"/>
    <hyperlink ref="M5" r:id="rId9" display="https://us3.assetplanner.com/service_request?ID=109883" xr:uid="{278D53B5-9117-4015-B744-D9CE48B4F3E4}"/>
    <hyperlink ref="K7" r:id="rId10" display="https://us3.assetplanner.com/service_request?ID=108512" xr:uid="{991805A3-941C-4E3A-A2D1-E2D7791F4D63}"/>
    <hyperlink ref="K8" r:id="rId11" display="https://us3.assetplanner.com/service_request?ID=105397" xr:uid="{F08167D1-46A2-4EDF-89BE-D1C12BA9C2A5}"/>
    <hyperlink ref="M8" r:id="rId12" display="https://us3.assetplanner.com/service_request?ID=109931" xr:uid="{EE355158-3B6E-4BFC-9478-1A2BA8D1C80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Q337"/>
  <sheetViews>
    <sheetView zoomScale="80" zoomScaleNormal="80" workbookViewId="0">
      <pane xSplit="2" ySplit="3" topLeftCell="C4" activePane="bottomRight" state="frozen"/>
      <selection pane="bottomRight" activeCell="E11" sqref="E11"/>
      <selection pane="bottomLeft" activeCell="F23" sqref="F23"/>
      <selection pane="topRight" activeCell="F23" sqref="F23"/>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7109375" customWidth="1"/>
    <col min="13" max="17" width="9.140625" style="79"/>
  </cols>
  <sheetData>
    <row r="1" spans="1:17" ht="19.5" customHeight="1">
      <c r="A1" s="76" t="str" cm="1">
        <f t="array" ref="A1">portfolio</f>
        <v>True Green Capital Management LLC</v>
      </c>
      <c r="B1" s="76"/>
      <c r="C1" s="76"/>
      <c r="D1" s="77" t="s">
        <v>197</v>
      </c>
      <c r="E1" s="77"/>
      <c r="F1" s="77"/>
      <c r="G1" s="75" t="s">
        <v>198</v>
      </c>
      <c r="H1" s="75"/>
      <c r="I1" s="75"/>
      <c r="J1" s="4"/>
      <c r="K1" s="4"/>
    </row>
    <row r="2" spans="1:17" ht="19.5" customHeight="1">
      <c r="A2" s="78" t="s">
        <v>2</v>
      </c>
      <c r="B2" s="78"/>
      <c r="C2" s="5">
        <f>SUM(C4:C95)</f>
        <v>2461452.6490000002</v>
      </c>
      <c r="D2" s="5">
        <f>SUM(D4:D95)</f>
        <v>2220880.3501000004</v>
      </c>
      <c r="E2" s="5">
        <f>C2-D2</f>
        <v>240572.29889999982</v>
      </c>
      <c r="F2" s="6">
        <f>IFERROR(E2/D2, 0)</f>
        <v>0.10832294449773824</v>
      </c>
      <c r="G2" s="5">
        <f>SUM(G4:G95)</f>
        <v>2364226.7000000002</v>
      </c>
      <c r="H2" s="7">
        <f>C2-G2</f>
        <v>97225.949000000022</v>
      </c>
      <c r="I2" s="6">
        <f>IFERROR(H2/G2, 0)</f>
        <v>4.112378436467197E-2</v>
      </c>
      <c r="J2" s="26" t="str">
        <f ca="1">IF(AND(TODAY()&gt;DATE(2024, 11,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c r="L3" s="25" t="s">
        <v>177</v>
      </c>
    </row>
    <row r="4" spans="1:17" ht="190.5" customHeight="1">
      <c r="A4" s="29" t="str" cm="1">
        <f t="array" ref="A4:A8">Sites[Site]</f>
        <v>Rochester - 5516 Valleyhigh NW</v>
      </c>
      <c r="B4" s="30" t="str" cm="1">
        <f t="array" ref="B4:B8">Sites[State]</f>
        <v>MN</v>
      </c>
      <c r="C4" s="18">
        <v>868747.94900000002</v>
      </c>
      <c r="D4" s="18">
        <v>809870.4</v>
      </c>
      <c r="E4" s="18">
        <f t="shared" ref="E4:E8" si="0">IF(AND(ISNUMBER(C4),ISNUMBER(D4)), C4-D4, "")</f>
        <v>58877.548999999999</v>
      </c>
      <c r="F4" s="19">
        <f t="shared" ref="F4:F8" si="1">IFERROR(E4/D4, "")</f>
        <v>7.2699964093020306E-2</v>
      </c>
      <c r="G4" s="20">
        <v>827046.8</v>
      </c>
      <c r="H4" s="20">
        <f t="shared" ref="H4:H8" si="2">IF(AND(ISNUMBER(C4),ISNUMBER(G4)), C4-G4, "")</f>
        <v>41701.148999999976</v>
      </c>
      <c r="I4" s="19">
        <f t="shared" ref="I4:I8" si="3">IFERROR(H4/G4, "")</f>
        <v>5.0421752432873175E-2</v>
      </c>
      <c r="J4" s="50" t="s">
        <v>199</v>
      </c>
      <c r="K4" s="72" t="s">
        <v>200</v>
      </c>
      <c r="L4" s="50" t="s">
        <v>201</v>
      </c>
      <c r="M4" s="69" t="s">
        <v>49</v>
      </c>
      <c r="N4" s="69" t="s">
        <v>181</v>
      </c>
      <c r="O4" s="69" t="s">
        <v>202</v>
      </c>
      <c r="P4" s="69" t="s">
        <v>203</v>
      </c>
      <c r="Q4" s="69" t="s">
        <v>204</v>
      </c>
    </row>
    <row r="5" spans="1:17" ht="30.75">
      <c r="A5" s="31" t="str">
        <v>Warsaw - Hemings</v>
      </c>
      <c r="B5" s="28" t="str">
        <v>VA</v>
      </c>
      <c r="C5" s="24">
        <v>626241.80000000098</v>
      </c>
      <c r="D5" s="13">
        <v>620515.30000000005</v>
      </c>
      <c r="E5" s="13">
        <f t="shared" si="0"/>
        <v>5726.5000000009313</v>
      </c>
      <c r="F5" s="14">
        <f t="shared" si="1"/>
        <v>9.228620148449088E-3</v>
      </c>
      <c r="G5" s="15">
        <v>585025</v>
      </c>
      <c r="H5" s="15">
        <f t="shared" si="2"/>
        <v>41216.800000000978</v>
      </c>
      <c r="I5" s="16">
        <f t="shared" si="3"/>
        <v>7.0453057561644342E-2</v>
      </c>
      <c r="J5" s="40" t="s">
        <v>205</v>
      </c>
      <c r="K5" s="60" t="s">
        <v>206</v>
      </c>
      <c r="L5" s="40" t="s">
        <v>207</v>
      </c>
      <c r="M5" s="69" t="s">
        <v>208</v>
      </c>
    </row>
    <row r="6" spans="1:17" ht="30.75">
      <c r="A6" s="29" t="str">
        <v>Mount Jackson - Randolf</v>
      </c>
      <c r="B6" s="30" t="str">
        <v>VA</v>
      </c>
      <c r="C6" s="11">
        <v>412573.39999999898</v>
      </c>
      <c r="D6" s="18">
        <v>389031.7</v>
      </c>
      <c r="E6" s="18">
        <f t="shared" si="0"/>
        <v>23541.699999998964</v>
      </c>
      <c r="F6" s="19">
        <f t="shared" si="1"/>
        <v>6.0513577685311924E-2</v>
      </c>
      <c r="G6" s="20">
        <v>390483.7</v>
      </c>
      <c r="H6" s="20">
        <f t="shared" si="2"/>
        <v>22089.699999998964</v>
      </c>
      <c r="I6" s="19">
        <f t="shared" si="3"/>
        <v>5.6570094987316917E-2</v>
      </c>
      <c r="J6" s="50" t="s">
        <v>209</v>
      </c>
      <c r="K6" s="72" t="s">
        <v>210</v>
      </c>
      <c r="L6" s="50" t="s">
        <v>211</v>
      </c>
    </row>
    <row r="7" spans="1:17" ht="15.75">
      <c r="A7" s="31" t="str">
        <v>Callands Gretna - Monroe</v>
      </c>
      <c r="B7" s="28" t="str">
        <v>VA</v>
      </c>
      <c r="C7" s="24">
        <v>282204</v>
      </c>
      <c r="D7" s="13">
        <v>400857.8</v>
      </c>
      <c r="E7" s="13">
        <f t="shared" si="0"/>
        <v>-118653.79999999999</v>
      </c>
      <c r="F7" s="14">
        <f t="shared" si="1"/>
        <v>-0.29599972858205575</v>
      </c>
      <c r="G7" s="15">
        <v>278841.2</v>
      </c>
      <c r="H7" s="15">
        <f t="shared" si="2"/>
        <v>3362.7999999999884</v>
      </c>
      <c r="I7" s="16">
        <f t="shared" si="3"/>
        <v>1.2059910802277383E-2</v>
      </c>
      <c r="J7" s="40" t="s">
        <v>212</v>
      </c>
      <c r="K7" s="60" t="s">
        <v>213</v>
      </c>
      <c r="L7" s="40" t="s">
        <v>211</v>
      </c>
    </row>
    <row r="8" spans="1:17" ht="91.5">
      <c r="A8" s="29" t="str">
        <v>Rockbridge Baths - Small Mouth Bass</v>
      </c>
      <c r="B8" s="30" t="str">
        <v>VA</v>
      </c>
      <c r="C8" s="11">
        <v>271685.5</v>
      </c>
      <c r="D8" s="18">
        <v>605.15009999999995</v>
      </c>
      <c r="E8" s="18">
        <f t="shared" si="0"/>
        <v>271080.34989999997</v>
      </c>
      <c r="F8" s="19">
        <f t="shared" si="1"/>
        <v>447.95555664619405</v>
      </c>
      <c r="G8" s="20">
        <v>282830</v>
      </c>
      <c r="H8" s="20">
        <f t="shared" si="2"/>
        <v>-11144.5</v>
      </c>
      <c r="I8" s="19">
        <f t="shared" si="3"/>
        <v>-3.940352862143337E-2</v>
      </c>
      <c r="J8" s="50" t="s">
        <v>214</v>
      </c>
      <c r="K8" s="72" t="s">
        <v>215</v>
      </c>
      <c r="L8" s="50" t="s">
        <v>207</v>
      </c>
      <c r="M8" s="69" t="s">
        <v>155</v>
      </c>
    </row>
    <row r="9" spans="1:17" ht="15.75">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7" ht="15.75">
      <c r="A10" s="29"/>
      <c r="B10" s="29"/>
      <c r="C10" s="29"/>
      <c r="D10" s="29"/>
      <c r="E10" s="29" t="str">
        <f t="shared" si="4"/>
        <v/>
      </c>
      <c r="F10" s="29" t="str">
        <f t="shared" si="5"/>
        <v/>
      </c>
      <c r="G10" s="29"/>
      <c r="H10" s="29" t="str">
        <f t="shared" si="6"/>
        <v/>
      </c>
      <c r="I10" s="29" t="str">
        <f t="shared" si="7"/>
        <v/>
      </c>
      <c r="J10" s="29"/>
      <c r="K10" s="29"/>
      <c r="L10" s="29"/>
    </row>
    <row r="11" spans="1:17" ht="15.75">
      <c r="A11" s="29"/>
      <c r="B11" s="29"/>
      <c r="C11" s="29"/>
      <c r="D11" s="29"/>
      <c r="E11" s="29" t="str">
        <f t="shared" si="4"/>
        <v/>
      </c>
      <c r="F11" s="29" t="str">
        <f t="shared" si="5"/>
        <v/>
      </c>
      <c r="G11" s="29"/>
      <c r="H11" s="29" t="str">
        <f t="shared" si="6"/>
        <v/>
      </c>
      <c r="I11" s="29" t="str">
        <f t="shared" si="7"/>
        <v/>
      </c>
      <c r="J11" s="29"/>
      <c r="K11" s="29"/>
      <c r="L11" s="29"/>
    </row>
    <row r="12" spans="1:17" ht="15.75">
      <c r="A12" s="29"/>
      <c r="B12" s="29"/>
      <c r="C12" s="29"/>
      <c r="D12" s="29"/>
      <c r="E12" s="29" t="str">
        <f t="shared" si="4"/>
        <v/>
      </c>
      <c r="F12" s="29" t="str">
        <f t="shared" si="5"/>
        <v/>
      </c>
      <c r="G12" s="29"/>
      <c r="H12" s="29" t="str">
        <f t="shared" si="6"/>
        <v/>
      </c>
      <c r="I12" s="29" t="str">
        <f t="shared" si="7"/>
        <v/>
      </c>
      <c r="J12" s="29"/>
      <c r="K12" s="29"/>
      <c r="L12" s="29"/>
    </row>
    <row r="13" spans="1:17" ht="12.75" customHeight="1">
      <c r="A13" s="29"/>
      <c r="B13" s="29"/>
      <c r="C13" s="29"/>
      <c r="D13" s="29"/>
      <c r="E13" s="29"/>
      <c r="F13" s="29"/>
      <c r="G13" s="29"/>
      <c r="H13" s="29"/>
      <c r="I13" s="29"/>
      <c r="J13" s="29"/>
      <c r="K13" s="29"/>
      <c r="L13" s="29"/>
    </row>
    <row r="14" spans="1:17" ht="15.75">
      <c r="A14" s="29"/>
      <c r="B14" s="29"/>
      <c r="C14" s="29"/>
      <c r="D14" s="29"/>
      <c r="E14" s="29"/>
      <c r="F14" s="29"/>
      <c r="G14" s="29"/>
      <c r="H14" s="29"/>
      <c r="I14" s="29"/>
      <c r="J14" s="29"/>
      <c r="K14" s="29"/>
      <c r="L14" s="29"/>
    </row>
    <row r="15" spans="1:17" ht="15.75">
      <c r="A15" s="29"/>
      <c r="B15" s="29"/>
      <c r="C15" s="29"/>
      <c r="D15" s="29"/>
      <c r="E15" s="29"/>
      <c r="F15" s="29"/>
      <c r="G15" s="29"/>
      <c r="H15" s="29"/>
      <c r="I15" s="29"/>
      <c r="J15" s="29"/>
      <c r="K15" s="29"/>
      <c r="L15" s="29"/>
    </row>
    <row r="16" spans="1:17" ht="15.75">
      <c r="A16" s="29"/>
      <c r="B16" s="29"/>
      <c r="C16" s="29"/>
      <c r="D16" s="29"/>
      <c r="E16" s="29"/>
      <c r="F16" s="29"/>
      <c r="G16" s="29"/>
      <c r="H16" s="29"/>
      <c r="I16" s="29"/>
      <c r="J16" s="29"/>
      <c r="K16" s="29"/>
      <c r="L16" s="29"/>
    </row>
    <row r="17" spans="1:12" ht="15.75">
      <c r="A17" s="29"/>
      <c r="B17" s="29"/>
      <c r="C17" s="29"/>
      <c r="D17" s="29"/>
      <c r="E17" s="29"/>
      <c r="F17" s="29"/>
      <c r="G17" s="29"/>
      <c r="H17" s="29"/>
      <c r="I17" s="29"/>
      <c r="J17" s="29"/>
      <c r="K17" s="29"/>
      <c r="L17" s="29"/>
    </row>
    <row r="18" spans="1:12" ht="15.75">
      <c r="A18" s="29"/>
      <c r="B18" s="29"/>
      <c r="C18" s="29"/>
      <c r="D18" s="29"/>
      <c r="E18" s="29"/>
      <c r="F18" s="29"/>
      <c r="G18" s="29"/>
      <c r="H18" s="29"/>
      <c r="I18" s="29"/>
      <c r="J18" s="29"/>
      <c r="K18" s="29"/>
      <c r="L18" s="29"/>
    </row>
    <row r="19" spans="1:12" ht="15">
      <c r="A19" s="21"/>
      <c r="B19" s="32"/>
      <c r="C19" s="21"/>
      <c r="D19" s="21"/>
      <c r="E19" s="21"/>
      <c r="F19" s="21"/>
      <c r="G19" s="21"/>
      <c r="H19" s="21"/>
      <c r="I19" s="21"/>
      <c r="J19" s="21"/>
      <c r="K19" s="21"/>
    </row>
    <row r="20" spans="1:12" ht="15">
      <c r="A20" s="21"/>
      <c r="B20" s="32"/>
      <c r="C20" s="21"/>
      <c r="D20" s="21"/>
      <c r="E20" s="21"/>
      <c r="F20" s="21"/>
      <c r="G20" s="21"/>
      <c r="H20" s="21"/>
      <c r="I20" s="21"/>
      <c r="J20" s="21"/>
      <c r="K20" s="21"/>
    </row>
    <row r="21" spans="1:12" ht="15">
      <c r="A21" s="21"/>
      <c r="B21" s="32"/>
      <c r="C21" s="21"/>
      <c r="D21" s="21"/>
      <c r="E21" s="21"/>
      <c r="F21" s="21"/>
      <c r="G21" s="21"/>
      <c r="H21" s="21"/>
      <c r="I21" s="21"/>
      <c r="J21" s="21"/>
      <c r="K21" s="21"/>
    </row>
    <row r="22" spans="1:12" ht="15">
      <c r="A22" s="21"/>
      <c r="B22" s="32"/>
      <c r="C22" s="21"/>
      <c r="D22" s="21"/>
      <c r="E22" s="21"/>
      <c r="F22" s="21"/>
      <c r="G22" s="21"/>
      <c r="H22" s="21"/>
      <c r="I22" s="21"/>
      <c r="J22" s="21"/>
      <c r="K22" s="21"/>
    </row>
    <row r="23" spans="1:12" ht="15">
      <c r="A23" s="21"/>
      <c r="B23" s="32"/>
      <c r="C23" s="21"/>
      <c r="D23" s="21"/>
      <c r="E23" s="21"/>
      <c r="F23" s="21"/>
      <c r="G23" s="21"/>
      <c r="H23" s="21"/>
      <c r="I23" s="21"/>
      <c r="J23" s="21"/>
      <c r="K23" s="21"/>
    </row>
    <row r="24" spans="1:12" ht="15">
      <c r="A24" s="21"/>
      <c r="B24" s="32"/>
      <c r="C24" s="21"/>
      <c r="D24" s="21"/>
      <c r="E24" s="21"/>
      <c r="F24" s="21"/>
      <c r="G24" s="21"/>
      <c r="H24" s="21"/>
      <c r="I24" s="21"/>
      <c r="J24" s="21"/>
      <c r="K24" s="21"/>
    </row>
    <row r="25" spans="1:12" ht="15">
      <c r="A25" s="21"/>
      <c r="B25" s="32"/>
      <c r="C25" s="21"/>
      <c r="D25" s="21"/>
      <c r="E25" s="21"/>
      <c r="F25" s="21"/>
      <c r="G25" s="21"/>
      <c r="H25" s="21"/>
      <c r="I25" s="21"/>
      <c r="J25" s="21"/>
      <c r="K25" s="21"/>
    </row>
    <row r="26" spans="1:12" ht="15">
      <c r="A26" s="21"/>
      <c r="B26" s="32"/>
      <c r="C26" s="21"/>
      <c r="D26" s="21"/>
      <c r="E26" s="21"/>
      <c r="F26" s="21"/>
      <c r="G26" s="21"/>
      <c r="H26" s="21"/>
      <c r="I26" s="21"/>
      <c r="J26" s="21"/>
      <c r="K26" s="21"/>
    </row>
    <row r="27" spans="1:12" ht="15">
      <c r="A27" s="21"/>
      <c r="B27" s="32"/>
      <c r="C27" s="21"/>
      <c r="D27" s="21"/>
      <c r="E27" s="21"/>
      <c r="F27" s="21"/>
      <c r="G27" s="21"/>
      <c r="H27" s="21"/>
      <c r="I27" s="21"/>
      <c r="J27" s="21"/>
      <c r="K27" s="21"/>
    </row>
    <row r="28" spans="1:12" ht="15">
      <c r="A28" s="21"/>
      <c r="B28" s="32"/>
      <c r="C28" s="21"/>
      <c r="D28" s="21"/>
      <c r="E28" s="21"/>
      <c r="F28" s="22"/>
      <c r="G28" s="21"/>
      <c r="H28" s="21"/>
      <c r="I28" s="22"/>
      <c r="J28" s="21"/>
      <c r="K28" s="21"/>
    </row>
    <row r="29" spans="1:12" ht="15">
      <c r="A29" s="21"/>
      <c r="B29" s="32"/>
      <c r="C29" s="21"/>
      <c r="D29" s="21"/>
      <c r="E29" s="21"/>
      <c r="F29" s="22"/>
      <c r="G29" s="21"/>
      <c r="H29" s="21"/>
      <c r="I29" s="22"/>
      <c r="J29" s="21"/>
      <c r="K29" s="21"/>
    </row>
    <row r="30" spans="1:12" ht="15">
      <c r="A30" s="21"/>
      <c r="B30" s="32"/>
      <c r="C30" s="21"/>
      <c r="D30" s="21"/>
      <c r="E30" s="21"/>
      <c r="F30" s="22"/>
      <c r="G30" s="21"/>
      <c r="H30" s="21"/>
      <c r="I30" s="22"/>
      <c r="J30" s="21"/>
      <c r="K30" s="21"/>
    </row>
    <row r="31" spans="1:12" ht="15">
      <c r="A31" s="21"/>
      <c r="B31" s="32"/>
      <c r="C31" s="21"/>
      <c r="D31" s="21"/>
      <c r="E31" s="21"/>
      <c r="F31" s="22"/>
      <c r="G31" s="21"/>
      <c r="H31" s="21"/>
      <c r="I31" s="22"/>
      <c r="J31" s="21"/>
      <c r="K31" s="21"/>
    </row>
    <row r="32" spans="1:12"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ht="15">
      <c r="A322" s="21"/>
      <c r="B322" s="32"/>
      <c r="C322" s="21"/>
      <c r="D322" s="21"/>
      <c r="E322" s="21"/>
      <c r="F322" s="22"/>
      <c r="G322" s="21"/>
      <c r="H322" s="21"/>
      <c r="I322" s="22"/>
      <c r="J322" s="21"/>
      <c r="K322" s="21"/>
    </row>
    <row r="323" spans="1:11" ht="15">
      <c r="A323" s="21"/>
      <c r="B323" s="32"/>
      <c r="C323" s="21"/>
      <c r="D323" s="21"/>
      <c r="E323" s="21"/>
      <c r="F323" s="22"/>
      <c r="G323" s="21"/>
      <c r="H323" s="21"/>
      <c r="I323" s="22"/>
      <c r="J323" s="21"/>
      <c r="K323" s="21"/>
    </row>
    <row r="324" spans="1:11" ht="15">
      <c r="A324" s="21"/>
      <c r="B324" s="32"/>
      <c r="C324" s="21"/>
      <c r="D324" s="21"/>
      <c r="E324" s="21"/>
      <c r="F324" s="22"/>
      <c r="G324" s="21"/>
      <c r="H324" s="21"/>
      <c r="I324" s="22"/>
      <c r="J324" s="21"/>
      <c r="K324" s="21"/>
    </row>
    <row r="325" spans="1:11" ht="15">
      <c r="A325" s="21"/>
      <c r="B325" s="32"/>
      <c r="C325" s="21"/>
      <c r="D325" s="21"/>
      <c r="E325" s="21"/>
      <c r="F325" s="22"/>
      <c r="G325" s="21"/>
      <c r="H325" s="21"/>
      <c r="I325" s="22"/>
      <c r="J325" s="21"/>
      <c r="K325" s="21"/>
    </row>
    <row r="326" spans="1:11" ht="15">
      <c r="A326" s="21"/>
      <c r="B326" s="32"/>
      <c r="C326" s="21"/>
      <c r="D326" s="21"/>
      <c r="E326" s="21"/>
      <c r="F326" s="22"/>
      <c r="G326" s="21"/>
      <c r="H326" s="21"/>
      <c r="I326" s="22"/>
      <c r="J326" s="21"/>
      <c r="K326" s="21"/>
    </row>
    <row r="327" spans="1:11" ht="15">
      <c r="A327" s="21"/>
      <c r="B327" s="32"/>
      <c r="C327" s="21"/>
      <c r="D327" s="21"/>
      <c r="E327" s="21"/>
      <c r="F327" s="22"/>
      <c r="G327" s="21"/>
      <c r="H327" s="21"/>
      <c r="I327" s="22"/>
      <c r="J327" s="21"/>
      <c r="K327" s="21"/>
    </row>
    <row r="328" spans="1:11" ht="15">
      <c r="A328" s="21"/>
      <c r="B328" s="32"/>
      <c r="C328" s="21"/>
      <c r="D328" s="21"/>
      <c r="E328" s="21"/>
      <c r="F328" s="22"/>
      <c r="G328" s="21"/>
      <c r="H328" s="21"/>
      <c r="I328" s="22"/>
      <c r="J328" s="21"/>
      <c r="K328" s="21"/>
    </row>
    <row r="329" spans="1:11" ht="15">
      <c r="A329" s="21"/>
      <c r="B329" s="32"/>
      <c r="C329" s="21"/>
      <c r="D329" s="21"/>
      <c r="E329" s="21"/>
      <c r="F329" s="22"/>
      <c r="G329" s="21"/>
      <c r="H329" s="21"/>
      <c r="I329" s="22"/>
      <c r="J329" s="21"/>
      <c r="K329" s="21"/>
    </row>
    <row r="330" spans="1:11" ht="15">
      <c r="A330" s="21"/>
      <c r="B330" s="32"/>
      <c r="C330" s="21"/>
      <c r="D330" s="21"/>
      <c r="E330" s="21"/>
      <c r="F330" s="22"/>
      <c r="G330" s="21"/>
      <c r="H330" s="21"/>
      <c r="I330" s="22"/>
      <c r="J330" s="21"/>
      <c r="K330" s="21"/>
    </row>
    <row r="331" spans="1:11" ht="15">
      <c r="A331" s="21"/>
      <c r="B331" s="32"/>
      <c r="C331" s="21"/>
      <c r="D331" s="21"/>
      <c r="E331" s="21"/>
      <c r="F331" s="22"/>
      <c r="G331" s="21"/>
      <c r="H331" s="21"/>
      <c r="I331" s="22"/>
      <c r="J331" s="21"/>
      <c r="K331" s="21"/>
    </row>
    <row r="332" spans="1:11" ht="15">
      <c r="A332" s="21"/>
      <c r="B332" s="32"/>
      <c r="C332" s="21"/>
      <c r="D332" s="21"/>
      <c r="E332" s="21"/>
      <c r="F332" s="22"/>
      <c r="G332" s="21"/>
      <c r="H332" s="21"/>
      <c r="I332" s="22"/>
      <c r="J332" s="21"/>
      <c r="K332" s="21"/>
    </row>
    <row r="333" spans="1:11" ht="15">
      <c r="A333" s="21"/>
      <c r="B333" s="32"/>
      <c r="C333" s="21"/>
      <c r="D333" s="21"/>
      <c r="E333" s="21"/>
      <c r="F333" s="22"/>
      <c r="G333" s="21"/>
      <c r="H333" s="21"/>
      <c r="I333" s="22"/>
      <c r="J333" s="21"/>
      <c r="K333" s="21"/>
    </row>
    <row r="334" spans="1:11" ht="15">
      <c r="A334" s="21"/>
      <c r="B334" s="32"/>
      <c r="C334" s="21"/>
      <c r="D334" s="21"/>
      <c r="E334" s="21"/>
      <c r="F334" s="22"/>
      <c r="G334" s="21"/>
      <c r="H334" s="21"/>
      <c r="I334" s="22"/>
      <c r="J334" s="21"/>
      <c r="K334" s="21"/>
    </row>
    <row r="335" spans="1:11" ht="15">
      <c r="A335" s="21"/>
      <c r="B335" s="32"/>
      <c r="C335" s="21"/>
      <c r="D335" s="21"/>
      <c r="E335" s="21"/>
      <c r="F335" s="22"/>
      <c r="G335" s="21"/>
      <c r="H335" s="21"/>
      <c r="I335" s="22"/>
      <c r="J335" s="21"/>
      <c r="K335" s="21"/>
    </row>
    <row r="336" spans="1:11" ht="15">
      <c r="A336" s="21"/>
      <c r="B336" s="32"/>
      <c r="C336" s="21"/>
      <c r="D336" s="21"/>
      <c r="E336" s="21"/>
      <c r="F336" s="22"/>
      <c r="G336" s="21"/>
      <c r="H336" s="21"/>
      <c r="I336" s="22"/>
      <c r="J336" s="21"/>
      <c r="K336" s="21"/>
    </row>
    <row r="337" spans="3:11">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11820" xr:uid="{6B5FB403-A04C-454A-99B5-14E5EB109BB9}"/>
    <hyperlink ref="M4" r:id="rId2" display="https://us3.assetplanner.com/service_request?ID=099221" xr:uid="{A67DC7E6-C442-4306-AA20-A4E27D037042}"/>
    <hyperlink ref="N4" r:id="rId3" display="https://us3.assetplanner.com/service_request?ID=109898" xr:uid="{D217E7C1-B10E-412D-877C-4465EC045426}"/>
    <hyperlink ref="O4" r:id="rId4" display="https://us3.assetplanner.com/service_request?ID=110765" xr:uid="{31B47C36-123C-4A2B-B3CB-5BAF972001C9}"/>
    <hyperlink ref="P4" r:id="rId5" display="https://us3.assetplanner.com/service_request?ID=111456" xr:uid="{7D3D6E74-9DA1-40B0-8928-2AC78A9388D1}"/>
    <hyperlink ref="Q4" r:id="rId6" display="https://us3.assetplanner.com/service_request?ID=110529" xr:uid="{4CFBB061-9D59-4D1A-ACDC-5690579921AB}"/>
    <hyperlink ref="K5" r:id="rId7" display="https://us3.assetplanner.com/service_request?ID=109883" xr:uid="{EAD3D3BF-A0E7-4C1B-BD1D-0F797B521347}"/>
    <hyperlink ref="M5" r:id="rId8" display="https://us3.assetplanner.com/service_request?ID=110594" xr:uid="{1B1E18CA-027D-4C21-961B-40B65E39CE41}"/>
    <hyperlink ref="K6" r:id="rId9" display="https://us3.assetplanner.com/service_request?ID=110898" xr:uid="{C3391103-9899-4AC9-8A71-1CD2A357DFF6}"/>
    <hyperlink ref="K7" r:id="rId10" display="https://us3.assetplanner.com/service_request?ID=101449" xr:uid="{C30E8F2C-E3D0-4919-99E7-73AFA355207A}"/>
    <hyperlink ref="K8" r:id="rId11" display="https://us3.assetplanner.com/service_request?ID=109931" xr:uid="{1BFD784D-5584-4329-9771-D81762563F78}"/>
    <hyperlink ref="M8" r:id="rId12" display="https://us3.assetplanner.com/service_request?ID=105397" xr:uid="{0A25AFAE-DBC7-44D6-B34A-E6EED195D3DB}"/>
  </hyperlinks>
  <pageMargins left="0.4" right="0.7" top="0.25" bottom="0.25" header="0.3" footer="0.3"/>
  <pageSetup fitToHeight="99" orientation="landscape" r:id="rId13"/>
  <legacyDrawing r:id="rId1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6" t="str" cm="1">
        <f t="array" ref="A1">portfolio</f>
        <v>True Green Capital Management LLC</v>
      </c>
      <c r="B1" s="76"/>
      <c r="C1" s="76"/>
      <c r="D1" s="77" t="s">
        <v>216</v>
      </c>
      <c r="E1" s="77"/>
      <c r="F1" s="77"/>
      <c r="G1" s="75" t="s">
        <v>217</v>
      </c>
      <c r="H1" s="75"/>
      <c r="I1" s="75"/>
      <c r="J1" s="4"/>
      <c r="K1" s="4"/>
    </row>
    <row r="2" spans="1:14" ht="19.5" customHeight="1">
      <c r="A2" s="78" t="s">
        <v>2</v>
      </c>
      <c r="B2" s="78"/>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6">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6">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6">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6">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218</v>
      </c>
      <c r="B1" s="42" t="s">
        <v>219</v>
      </c>
    </row>
    <row r="3" spans="1:5" ht="13.15">
      <c r="A3" t="s">
        <v>220</v>
      </c>
      <c r="B3" t="s">
        <v>3</v>
      </c>
      <c r="C3" t="s">
        <v>4</v>
      </c>
      <c r="D3" t="s">
        <v>221</v>
      </c>
      <c r="E3" s="2" t="s">
        <v>222</v>
      </c>
    </row>
    <row r="4" spans="1:5" ht="12.75" customHeight="1">
      <c r="A4" s="42" t="s">
        <v>223</v>
      </c>
      <c r="B4" s="42" t="s">
        <v>224</v>
      </c>
      <c r="C4" t="s">
        <v>225</v>
      </c>
      <c r="D4" t="s">
        <v>226</v>
      </c>
      <c r="E4" s="42" t="s">
        <v>227</v>
      </c>
    </row>
    <row r="5" spans="1:5" ht="12.75" customHeight="1">
      <c r="A5" s="3" t="s">
        <v>228</v>
      </c>
      <c r="B5" s="3" t="s">
        <v>229</v>
      </c>
      <c r="C5" s="3" t="s">
        <v>230</v>
      </c>
      <c r="D5" t="s">
        <v>226</v>
      </c>
      <c r="E5" s="42" t="s">
        <v>227</v>
      </c>
    </row>
    <row r="6" spans="1:5" ht="12.75" customHeight="1">
      <c r="A6" s="3" t="s">
        <v>231</v>
      </c>
      <c r="B6" s="3" t="s">
        <v>232</v>
      </c>
      <c r="C6" s="3" t="s">
        <v>230</v>
      </c>
      <c r="D6" t="s">
        <v>226</v>
      </c>
      <c r="E6" s="42" t="s">
        <v>227</v>
      </c>
    </row>
    <row r="7" spans="1:5" ht="12.75" customHeight="1">
      <c r="A7" s="3" t="s">
        <v>233</v>
      </c>
      <c r="B7" s="3" t="s">
        <v>234</v>
      </c>
      <c r="C7" s="3" t="s">
        <v>230</v>
      </c>
      <c r="D7" t="s">
        <v>226</v>
      </c>
      <c r="E7" s="42" t="s">
        <v>227</v>
      </c>
    </row>
    <row r="8" spans="1:5" ht="12.75" customHeight="1">
      <c r="A8" s="3" t="s">
        <v>235</v>
      </c>
      <c r="B8" s="3" t="s">
        <v>236</v>
      </c>
      <c r="C8" s="3" t="s">
        <v>230</v>
      </c>
      <c r="D8" t="s">
        <v>226</v>
      </c>
      <c r="E8" s="42" t="s">
        <v>227</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39F58A3-6A69-4FBB-9138-A3428C69E461}"/>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14966E4F-347B-477B-B74C-9DAC05405806}"/>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2025-12-04T11:26:39Z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