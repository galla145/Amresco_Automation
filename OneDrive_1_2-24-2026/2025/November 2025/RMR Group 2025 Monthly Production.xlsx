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4F52FAA1-4263-4F02-8DDE-BCC9F9F777D5}" xr6:coauthVersionLast="47" xr6:coauthVersionMax="47" xr10:uidLastSave="{00000000-0000-0000-0000-000000000000}"/>
  <bookViews>
    <workbookView xWindow="28680" yWindow="-120" windowWidth="29040" windowHeight="15720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2" i="20" l="1"/>
  <c r="F2" i="20" s="1"/>
  <c r="H2" i="28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<sst xmlns="http://schemas.openxmlformats.org/spreadsheetml/2006/main" count="267" uniqueCount="64">
  <si>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</si>
  <si>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</si>
  <si>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</si>
  <si>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</si>
  <si>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</si>
  <si>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</si>
  <si>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</si>
  <si>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</si>
  <si>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</si>
  <si>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</si>
  <si>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</si>
  <si>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</si>
  <si>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</si>
  <si>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</si>
  <si>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</si>
  <si>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</si>
  <si>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</si>
  <si>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</si>
  <si>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</si>
  <si>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</si>
  <si>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</si>
  <si>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</si>
  <si>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</si>
  <si>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February Actual v. Expected</t>
  </si>
  <si>
    <t>February Actual v. Forecasted</t>
  </si>
  <si>
    <t>1. Low generation due to weather/snow</t>
  </si>
  <si>
    <t>March Actual v. Expected</t>
  </si>
  <si>
    <t>March Actual v. Forecasted</t>
  </si>
  <si>
    <t xml:space="preserve">1.The Site Expected Energy data reporting intermittently throughout the month due to site communication issues in the Unity portal. </t>
  </si>
  <si>
    <t>1. SR098457,SR092283</t>
  </si>
  <si>
    <t>SR092283</t>
  </si>
  <si>
    <t>April Actual v. Expected</t>
  </si>
  <si>
    <t>April Actual v. Forecasted</t>
  </si>
  <si>
    <t>1.Expected energy data reporting intermittently throughout the month due to site communication issue</t>
  </si>
  <si>
    <t>1.SR092283</t>
  </si>
  <si>
    <t>May Actual v. Expected</t>
  </si>
  <si>
    <t>May Actual v. Forecasted</t>
  </si>
  <si>
    <t>1. SR092283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</si>
  <si>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</si>
  <si>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</si>
  <si>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</si>
  <si>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</si>
  <si>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</si>
  <si>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</si>
  <si>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</si>
  <si>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</si>
  <si>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N/A</t>
  </si>
  <si>
    <t>October Actual v. Expected</t>
  </si>
  <si>
    <t>October Actual v. Forecasted</t>
  </si>
  <si>
    <t>Status</t>
  </si>
  <si>
    <t>1.Closed</t>
  </si>
  <si>
    <t>November Actual v. Expected</t>
  </si>
  <si>
    <t>November Actual v. Forecasted</t>
  </si>
  <si>
    <t>SR Status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</si>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</sst>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2283" TargetMode="External"/><Relationship Id="rId1" Type="http://schemas.openxmlformats.org/officeDocument/2006/relationships/hyperlink" Target="https://us3.assetplanner.com/service_request?ID=09845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092283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228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2283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us3.assetplanner.com/service_request?ID=092283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D4" sqref="D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SUM(C4:C60)</f>
        <v>256051.46499999997</v>
      </c>
      <c r="D2" s="6">
        <f>SUM(D4:D60)</f>
        <v>177566.852139</v>
      </c>
      <c r="E2" s="6">
        <f>C2-D2</f>
        <v>78484.612860999972</v>
      </c>
      <c r="F2" s="7">
        <f>IFERROR(E2/D2, 0)</f>
        <v>0.44200036164160822</v>
      </c>
      <c r="G2" s="6">
        <f>SUM(G4:G60)</f>
        <v>0</v>
      </c>
      <c r="H2" s="8">
        <f>C2-G2</f>
        <v>256051.46499999997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256051.46499999997</v>
      </c>
      <c r="D4" s="14">
        <f>SUM('1st Qtr'!D4, '2nd Qtr'!D4, '3rd Qtr'!D4, '4th Qtr'!D4)</f>
        <v>177566.852139</v>
      </c>
      <c r="E4" s="14">
        <f>IF(AND(ISNUMBER(C4),ISNUMBER(D4)), C4-D4, "")</f>
        <v>78484.612860999972</v>
      </c>
      <c r="F4" s="15">
        <f>IFERROR(E4/D4, "")</f>
        <v>0.44200036164160822</v>
      </c>
      <c r="G4" s="16">
        <f>SUM('1st Qtr'!G4,'2nd Qtr'!G4,'3rd Qtr'!G4,'4th Qtr'!G4)</f>
        <v>0</v>
      </c>
      <c r="H4" s="16">
        <f>SUM('1st Qtr'!H4, '2nd Qtr'!H4, '3rd Qtr'!H4, '4th Qtr'!H4)</f>
        <v>201272.39499999999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C4" sqref="C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SUM(C4:C68)</f>
        <v>41253.092999999993</v>
      </c>
      <c r="D2" s="6">
        <f>SUM(D4:D68)</f>
        <v>40356.013999999996</v>
      </c>
      <c r="E2" s="6">
        <f>C2-D2</f>
        <v>897.0789999999979</v>
      </c>
      <c r="F2" s="7">
        <f>IFERROR(E2/D2, 0)</f>
        <v>2.222912798077625E-2</v>
      </c>
      <c r="G2" s="6">
        <f>SUM(G4:G68)</f>
        <v>0</v>
      </c>
      <c r="H2" s="8">
        <f>C2-G2</f>
        <v>41253.092999999993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41253.092999999993</v>
      </c>
      <c r="D4" s="14">
        <f>SUM(Jan!D4, Feb!D4, Mar!D4)</f>
        <v>40356.013999999996</v>
      </c>
      <c r="E4" s="14">
        <f>IF(AND(ISNUMBER(C4),ISNUMBER(D4)), C4-D4, "")</f>
        <v>897.0789999999979</v>
      </c>
      <c r="F4" s="15">
        <f>IFERROR(E4/D4, "")</f>
        <v>2.222912798077625E-2</v>
      </c>
      <c r="G4" s="16">
        <f>SUM(Jan!G4, Feb!G4, Mar!G4)</f>
        <v>0</v>
      </c>
      <c r="H4" s="16">
        <f>SUM(Jan!H4, Feb!H4, Mar!H4)</f>
        <v>41253.092999999993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4"/>
      <c r="G5" s="23"/>
      <c r="H5" s="23"/>
      <c r="I5" s="24"/>
    </row>
    <row r="6" spans="1:9" ht="13.8" x14ac:dyDescent="0.3">
      <c r="A6" s="23"/>
      <c r="B6" s="23"/>
      <c r="C6" s="23"/>
      <c r="D6" s="23"/>
      <c r="E6" s="23"/>
      <c r="F6" s="24"/>
      <c r="G6" s="23"/>
      <c r="H6" s="23"/>
      <c r="I6" s="24"/>
    </row>
    <row r="7" spans="1:9" ht="13.8" x14ac:dyDescent="0.3">
      <c r="A7" s="23"/>
      <c r="B7" s="23"/>
      <c r="C7" s="23"/>
      <c r="D7" s="23"/>
      <c r="E7" s="23"/>
      <c r="F7" s="24"/>
      <c r="G7" s="23"/>
      <c r="H7" s="23"/>
      <c r="I7" s="24"/>
    </row>
    <row r="8" spans="1:9" ht="13.8" x14ac:dyDescent="0.3">
      <c r="A8" s="23"/>
      <c r="B8" s="23"/>
      <c r="C8" s="23"/>
      <c r="D8" s="23"/>
      <c r="E8" s="23"/>
      <c r="F8" s="24"/>
      <c r="G8" s="23"/>
      <c r="H8" s="23"/>
      <c r="I8" s="24"/>
    </row>
    <row r="9" spans="1:9" ht="13.8" x14ac:dyDescent="0.3">
      <c r="A9" s="23"/>
      <c r="B9" s="23"/>
      <c r="C9" s="23"/>
      <c r="D9" s="23"/>
      <c r="E9" s="23"/>
      <c r="F9" s="24"/>
      <c r="G9" s="23"/>
      <c r="H9" s="23"/>
      <c r="I9" s="24"/>
    </row>
    <row r="10" spans="1:9" ht="13.8" x14ac:dyDescent="0.3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8" x14ac:dyDescent="0.3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8" x14ac:dyDescent="0.3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8" x14ac:dyDescent="0.3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8" x14ac:dyDescent="0.3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8" x14ac:dyDescent="0.3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8" x14ac:dyDescent="0.3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L16" sqref="L1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SUM(C4:C90)</f>
        <v>88768.422999999995</v>
      </c>
      <c r="D2" s="6">
        <f>SUM(D4:D90)</f>
        <v>37069.85</v>
      </c>
      <c r="E2" s="6">
        <f>C2-D2</f>
        <v>51698.572999999997</v>
      </c>
      <c r="F2" s="7">
        <f>IFERROR(E2/D2, 0)</f>
        <v>1.3946259021819618</v>
      </c>
      <c r="G2" s="6">
        <f>SUM(G4:G90)</f>
        <v>0</v>
      </c>
      <c r="H2" s="8">
        <f>C2-G2</f>
        <v>88768.422999999995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88768.422999999995</v>
      </c>
      <c r="D4" s="14">
        <f>SUM(Apr!D4, May!D4, Jun!D4)</f>
        <v>37069.85</v>
      </c>
      <c r="E4" s="14">
        <f>IF(AND(ISNUMBER(C4),ISNUMBER(D4)), C4-D4, "")</f>
        <v>51698.572999999997</v>
      </c>
      <c r="F4" s="15">
        <f>IFERROR(E4/D4, "")</f>
        <v>1.3946259021819618</v>
      </c>
      <c r="G4" s="16">
        <f>SUM(Apr!G4+May!G4+Jun!G4)</f>
        <v>0</v>
      </c>
      <c r="H4" s="16">
        <f>SUM(Apr!H4, May!H4, Jun!H4)</f>
        <v>88768.422999999995</v>
      </c>
      <c r="I4" s="17" t="str">
        <f>IFERROR(H4/G4, "")</f>
        <v/>
      </c>
    </row>
    <row r="5" spans="1:9" ht="15.6" x14ac:dyDescent="0.25">
      <c r="A5" s="19"/>
      <c r="B5" s="11"/>
      <c r="C5" s="12"/>
      <c r="D5" s="20"/>
      <c r="E5" s="20"/>
      <c r="F5" s="21"/>
      <c r="G5" s="22"/>
      <c r="H5" s="22"/>
      <c r="I5" s="21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8" x14ac:dyDescent="0.3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G5" sqref="G5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97315.948999999993</v>
      </c>
      <c r="D2" s="6">
        <f>SUM(D4:D89)</f>
        <v>79082.988138999994</v>
      </c>
      <c r="E2" s="6">
        <f>C2-D2</f>
        <v>18232.960861</v>
      </c>
      <c r="F2" s="7">
        <f>IFERROR(E2/D2, 0)</f>
        <v>0.23055477910056821</v>
      </c>
      <c r="G2" s="6">
        <f>SUM(G4:G89)</f>
        <v>0</v>
      </c>
      <c r="H2" s="8">
        <f>C2-G2</f>
        <v>97315.948999999993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97315.948999999993</v>
      </c>
      <c r="D4" s="14">
        <f>SUM(Jul!D4, Aug!D4, Sep!D4)</f>
        <v>79082.988138999994</v>
      </c>
      <c r="E4" s="14">
        <f>IF(AND(ISNUMBER(C4),ISNUMBER(D4)), C4-D4, "")</f>
        <v>18232.960861</v>
      </c>
      <c r="F4" s="15">
        <f>IFERROR(E4/D4, "")</f>
        <v>0.23055477910056821</v>
      </c>
      <c r="G4" s="16">
        <f>SUM(Jul!G4, Aug!G4, Sep!G4)</f>
        <v>0</v>
      </c>
      <c r="H4" s="16">
        <f>SUM(Jul!H4, Aug!H4, Sep!H4)</f>
        <v>71250.879000000001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9" sqref="E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47" t="str" cm="1">
        <f t="array" ref="A1">portfolio</f>
        <v>RMR Group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 x14ac:dyDescent="0.25">
      <c r="A2" s="49" t="s">
        <v>2</v>
      </c>
      <c r="B2" s="49"/>
      <c r="C2" s="6">
        <f>SUM(C4:C89)</f>
        <v>28714</v>
      </c>
      <c r="D2" s="6">
        <f>SUM(D4:D89)</f>
        <v>21058</v>
      </c>
      <c r="E2" s="6">
        <f>C2-D2</f>
        <v>7656</v>
      </c>
      <c r="F2" s="7">
        <f>IFERROR(E2/D2, 0)</f>
        <v>0.36356729034096308</v>
      </c>
      <c r="G2" s="6">
        <f>SUM(G4:G89)</f>
        <v>0</v>
      </c>
      <c r="H2" s="8">
        <f>C2-G2</f>
        <v>28714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 x14ac:dyDescent="0.2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28714</v>
      </c>
      <c r="D4" s="14">
        <f>SUM(Oct!D4, Nov!D4, Dec!D4)</f>
        <v>21058</v>
      </c>
      <c r="E4" s="14">
        <f>IF(AND(ISNUMBER(C4),ISNUMBER(D4)), C4-D4, "")</f>
        <v>7656</v>
      </c>
      <c r="F4" s="15">
        <f>IFERROR(E4/D4, "")</f>
        <v>0.36356729034096308</v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8" x14ac:dyDescent="0.3">
      <c r="A5" s="23"/>
      <c r="B5" s="23"/>
      <c r="C5" s="23"/>
      <c r="D5" s="23"/>
      <c r="E5" s="23"/>
      <c r="F5" s="23"/>
      <c r="G5" s="23"/>
      <c r="H5" s="23"/>
      <c r="I5" s="23"/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8" x14ac:dyDescent="0.3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8" x14ac:dyDescent="0.3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8" x14ac:dyDescent="0.3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8" x14ac:dyDescent="0.3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8" x14ac:dyDescent="0.3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8" x14ac:dyDescent="0.3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8" x14ac:dyDescent="0.3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8" x14ac:dyDescent="0.3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8" x14ac:dyDescent="0.3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H12" sqref="H12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 t="s">
        <v>22</v>
      </c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activeCell="E23" sqref="E23"/>
      <selection pane="bottomLeft" activeCell="J14" sqref="J1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SUM(C4:C85)</f>
        <v>7778.7</v>
      </c>
      <c r="D2" s="6">
        <f>SUM(D4:D85)</f>
        <v>15467.3</v>
      </c>
      <c r="E2" s="6">
        <f>C2-D2</f>
        <v>-7688.5999999999995</v>
      </c>
      <c r="F2" s="7">
        <f>IFERROR(E2/D2, 0)</f>
        <v>-0.49708740374855337</v>
      </c>
      <c r="G2" s="6">
        <f>SUM(G4:G85)</f>
        <v>0</v>
      </c>
      <c r="H2" s="8">
        <f>C2-G2</f>
        <v>7778.7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7778.7</v>
      </c>
      <c r="D4" s="14">
        <v>15467.3</v>
      </c>
      <c r="E4" s="14">
        <f>IF(AND(ISNUMBER(C4),ISNUMBER(D4)), C4-D4, "")</f>
        <v>-7688.5999999999995</v>
      </c>
      <c r="F4" s="15">
        <f>IFERROR(E4/D4, "")</f>
        <v>-0.49708740374855337</v>
      </c>
      <c r="G4" s="16">
        <v>0</v>
      </c>
      <c r="H4" s="16">
        <f>IF(AND(ISNUMBER(C4),ISNUMBER(G4)), C4-G4, "")</f>
        <v>7778.7</v>
      </c>
      <c r="I4" s="17" t="str">
        <f>IFERROR(H4/G4, "")</f>
        <v/>
      </c>
      <c r="J4" s="18" t="s">
        <v>25</v>
      </c>
      <c r="K4" s="18"/>
    </row>
    <row r="5" spans="1:11" ht="14.4" x14ac:dyDescent="0.3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2"/>
  <sheetViews>
    <sheetView zoomScale="90" zoomScaleNormal="90" workbookViewId="0">
      <pane ySplit="2" topLeftCell="A3" activePane="bottomLeft" state="frozen"/>
      <selection activeCell="H22" sqref="H22"/>
      <selection pane="bottomLeft" activeCell="J17" sqref="J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7" t="str" cm="1">
        <f t="array" ref="A1">portfolio</f>
        <v>RMR Group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24212.6</v>
      </c>
      <c r="D2" s="6">
        <f>SUM(D4:D90)</f>
        <v>9743.5</v>
      </c>
      <c r="E2" s="6">
        <f>C2-D2</f>
        <v>14469.099999999999</v>
      </c>
      <c r="F2" s="7">
        <f>IFERROR(E2/D2, 0)</f>
        <v>1.4850002565813105</v>
      </c>
      <c r="G2" s="6">
        <f>SUM(G4:G90)</f>
        <v>0</v>
      </c>
      <c r="H2" s="8">
        <f>C2-G2</f>
        <v>24212.6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24212.6</v>
      </c>
      <c r="D4" s="14">
        <v>9743.5</v>
      </c>
      <c r="E4" s="14">
        <f>IF(AND(ISNUMBER(C4),ISNUMBER(D4)), C4-D4, "")</f>
        <v>14469.099999999999</v>
      </c>
      <c r="F4" s="15">
        <f>IFERROR(E4/D4, "")</f>
        <v>1.4850002565813105</v>
      </c>
      <c r="G4" s="16">
        <v>0</v>
      </c>
      <c r="H4" s="16">
        <f>IF(AND(ISNUMBER(C4),ISNUMBER(G4)), C4-G4, "")</f>
        <v>24212.6</v>
      </c>
      <c r="I4" s="17" t="str">
        <f>IFERROR(H4/G4, "")</f>
        <v/>
      </c>
      <c r="J4" s="18" t="s">
        <v>28</v>
      </c>
      <c r="K4" s="42" t="s">
        <v>29</v>
      </c>
      <c r="L4" s="43" t="s">
        <v>30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hyperlinks>
    <hyperlink ref="K4" r:id="rId1" display="https://us3.assetplanner.com/service_request?ID=098457" xr:uid="{962A6811-2B8D-4A06-9278-93ED38244485}"/>
    <hyperlink ref="L4" r:id="rId2" display="https://us3.assetplanner.com/service_request?ID=092283" xr:uid="{1434438C-4D4C-406F-A50D-AFB596EB6DFB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topLeftCell="C1" zoomScaleNormal="100" workbookViewId="0">
      <pane ySplit="2" topLeftCell="A3" activePane="bottomLeft" state="frozen"/>
      <selection activeCell="E23" sqref="E23"/>
      <selection pane="bottomLeft" activeCell="H16" sqref="H16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28950.2</v>
      </c>
      <c r="D2" s="6">
        <f>SUM(D4:D90)</f>
        <v>5305.19</v>
      </c>
      <c r="E2" s="6">
        <f>C2-D2</f>
        <v>23645.010000000002</v>
      </c>
      <c r="F2" s="7">
        <f>IFERROR(E2/D2, 0)</f>
        <v>4.4569581862289578</v>
      </c>
      <c r="G2" s="6">
        <f>SUM(G4:G90)</f>
        <v>0</v>
      </c>
      <c r="H2" s="8">
        <f>C2-G2</f>
        <v>28950.2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28950.2</v>
      </c>
      <c r="D4" s="14">
        <v>5305.19</v>
      </c>
      <c r="E4" s="14">
        <f>IF(AND(ISNUMBER(C4),ISNUMBER(D4)), C4-D4, "")</f>
        <v>23645.010000000002</v>
      </c>
      <c r="F4" s="15">
        <f>IFERROR(E4/D4, "")</f>
        <v>4.4569581862289578</v>
      </c>
      <c r="G4" s="44">
        <v>0</v>
      </c>
      <c r="H4" s="16">
        <f>IF(AND(ISNUMBER(C4),ISNUMBER(G4)), C4-G4, "")</f>
        <v>28950.2</v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hyperlinks>
    <hyperlink ref="K4" r:id="rId1" display="https://us3.assetplanner.com/service_request?ID=092283" xr:uid="{76A249B6-AEF1-4C9C-94D6-23E7DB8E970A}"/>
  </hyperlinks>
  <pageMargins left="0.4" right="0.7" top="0.25" bottom="0.25" header="0.3" footer="0.3"/>
  <pageSetup scale="56" fitToHeight="99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activeCell="E23" sqref="E23"/>
      <selection pane="bottomLeft" activeCell="J17" sqref="J17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35</v>
      </c>
      <c r="E1" s="48"/>
      <c r="F1" s="48"/>
      <c r="G1" s="46" t="s">
        <v>36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27649.523000000001</v>
      </c>
      <c r="D2" s="6">
        <f>SUM(D4:D90)</f>
        <v>8317.7000000000007</v>
      </c>
      <c r="E2" s="6">
        <f>C2-D2</f>
        <v>19331.823</v>
      </c>
      <c r="F2" s="7">
        <f>IFERROR(E2/D2, 0)</f>
        <v>2.3241789196532694</v>
      </c>
      <c r="G2" s="6">
        <f>SUM(G4:G90)</f>
        <v>0</v>
      </c>
      <c r="H2" s="8">
        <f>C2-G2</f>
        <v>27649.523000000001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27649.523000000001</v>
      </c>
      <c r="D4" s="14">
        <v>8317.7000000000007</v>
      </c>
      <c r="E4" s="14">
        <f>IF(AND(ISNUMBER(C4),ISNUMBER(D4)), C4-D4, "")</f>
        <v>19331.823</v>
      </c>
      <c r="F4" s="15">
        <f>IFERROR(E4/D4, "")</f>
        <v>2.3241789196532694</v>
      </c>
      <c r="G4" s="44">
        <v>0</v>
      </c>
      <c r="H4" s="16">
        <f>IF(AND(ISNUMBER(C4),ISNUMBER(G4)), C4-G4, "")</f>
        <v>27649.523000000001</v>
      </c>
      <c r="I4" s="17" t="str">
        <f>IFERROR(H4/G4, "")</f>
        <v/>
      </c>
      <c r="J4" s="18" t="s">
        <v>33</v>
      </c>
      <c r="K4" s="42" t="s">
        <v>37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hyperlinks>
    <hyperlink ref="K4" r:id="rId1" display="https://us3.assetplanner.com/service_request?ID=092283" xr:uid="{AAFFE0AE-8CBF-4EE1-917C-43E3AA82AAF9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activeCell="E23" sqref="E23"/>
      <selection pane="bottomLeft" activeCell="H20" sqref="H19:H20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32168.7</v>
      </c>
      <c r="D2" s="6">
        <f>SUM(D4:D90)</f>
        <v>23446.959999999999</v>
      </c>
      <c r="E2" s="6">
        <f>C2-D2</f>
        <v>8721.7400000000016</v>
      </c>
      <c r="F2" s="7">
        <f>IFERROR(E2/D2, 0)</f>
        <v>0.37197743332184652</v>
      </c>
      <c r="G2" s="6">
        <f>SUM(G4:G90)</f>
        <v>0</v>
      </c>
      <c r="H2" s="8">
        <f>C2-G2</f>
        <v>32168.7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32168.7</v>
      </c>
      <c r="D4" s="14">
        <v>23446.959999999999</v>
      </c>
      <c r="E4" s="14">
        <f>IF(AND(ISNUMBER(C4),ISNUMBER(D4)), C4-D4, "")</f>
        <v>8721.7400000000016</v>
      </c>
      <c r="F4" s="15">
        <f>IFERROR(E4/D4, "")</f>
        <v>0.37197743332184652</v>
      </c>
      <c r="G4" s="45">
        <v>0</v>
      </c>
      <c r="H4" s="16">
        <f>IF(AND(ISNUMBER(C4),ISNUMBER(G4)), C4-G4, "")</f>
        <v>32168.7</v>
      </c>
      <c r="I4" s="17" t="str">
        <f>IFERROR(H4/G4, "")</f>
        <v/>
      </c>
      <c r="J4" s="18" t="s">
        <v>33</v>
      </c>
      <c r="K4" s="42" t="s">
        <v>37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hyperlinks>
    <hyperlink ref="K4" r:id="rId1" display="https://us3.assetplanner.com/service_request?ID=092283" xr:uid="{C9E70AA1-707C-44BB-B59A-EFD8644008EF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zoomScale="80" zoomScaleNormal="80" workbookViewId="0">
      <pane ySplit="2" topLeftCell="A4" activePane="bottomLeft" state="frozen"/>
      <selection activeCell="E23" sqref="E23"/>
      <selection pane="bottomLeft" activeCell="J4" sqref="J4: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35625.478999999999</v>
      </c>
      <c r="D2" s="6">
        <f>SUM(D4:D90)</f>
        <v>28464.798138999999</v>
      </c>
      <c r="E2" s="6">
        <f>C2-D2</f>
        <v>7160.6808610000007</v>
      </c>
      <c r="F2" s="7">
        <f>IFERROR(E2/D2, 0)</f>
        <v>0.25156267843645996</v>
      </c>
      <c r="G2" s="6">
        <f>SUM(G4:G90)</f>
        <v>0</v>
      </c>
      <c r="H2" s="8">
        <f>C2-G2</f>
        <v>35625.478999999999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35625.478999999999</v>
      </c>
      <c r="D4" s="14">
        <v>28464.798138999999</v>
      </c>
      <c r="E4" s="14">
        <f>IF(AND(ISNUMBER(C4),ISNUMBER(D4)), C4-D4, "")</f>
        <v>7160.6808610000007</v>
      </c>
      <c r="F4" s="15">
        <f>IFERROR(E4/D4, "")</f>
        <v>0.25156267843645996</v>
      </c>
      <c r="G4" s="44">
        <v>0</v>
      </c>
      <c r="H4" s="16">
        <f>IF(AND(ISNUMBER(C4),ISNUMBER(G4)), C4-G4, "")</f>
        <v>35625.478999999999</v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092283" xr:uid="{EC859F7E-81E1-4C2C-AD68-09B99E73DBF4}"/>
  </hyperlinks>
  <pageMargins left="0.4" right="0.7" top="0.25" bottom="0.25" header="0.3" footer="0.3"/>
  <pageSetup scale="56" fitToHeight="99"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zoomScale="80" zoomScaleNormal="80" workbookViewId="0">
      <pane ySplit="2" topLeftCell="A3" activePane="bottomLeft" state="frozen"/>
      <selection activeCell="E23" sqref="E23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SUM(C4:C30)</f>
        <v>35625.4</v>
      </c>
      <c r="D2" s="6">
        <f>SUM(D4:D30)</f>
        <v>26946.49</v>
      </c>
      <c r="E2" s="6">
        <f>C2-D2</f>
        <v>8678.91</v>
      </c>
      <c r="F2" s="7">
        <f>IFERROR(E2/D2, 0)</f>
        <v>0.32207942481562529</v>
      </c>
      <c r="G2" s="6">
        <f>SUM(G4:G30)</f>
        <v>0</v>
      </c>
      <c r="H2" s="8">
        <f>C2-G2</f>
        <v>35625.4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35625.4</v>
      </c>
      <c r="D4" s="14">
        <v>26946.49</v>
      </c>
      <c r="E4" s="14">
        <f>IF(AND(ISNUMBER(C4),ISNUMBER(D4)), C4-D4, "")</f>
        <v>8678.91</v>
      </c>
      <c r="F4" s="15">
        <f>IFERROR(E4/D4, "")</f>
        <v>0.32207942481562529</v>
      </c>
      <c r="G4" s="16">
        <v>0</v>
      </c>
      <c r="H4" s="16">
        <f>IF(AND(ISNUMBER(C4),ISNUMBER(G4)), C4-G4, "")</f>
        <v>35625.4</v>
      </c>
      <c r="I4" s="17" t="str">
        <f>IFERROR(H4/G4, "")</f>
        <v/>
      </c>
      <c r="J4" s="18" t="s">
        <v>33</v>
      </c>
      <c r="K4" s="42" t="s">
        <v>34</v>
      </c>
    </row>
    <row r="5" spans="1:11" ht="14.4" x14ac:dyDescent="0.3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" x14ac:dyDescent="0.3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" x14ac:dyDescent="0.3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" x14ac:dyDescent="0.3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" x14ac:dyDescent="0.3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" x14ac:dyDescent="0.3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092283" xr:uid="{99ED31F3-346C-4DC0-9E82-761E8D57B3D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opLeftCell="C1" workbookViewId="0">
      <pane ySplit="2" topLeftCell="A3" activePane="bottomLeft" state="frozen"/>
      <selection activeCell="E23" sqref="E23"/>
      <selection pane="bottomLeft" activeCell="K4" sqref="K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26065.07</v>
      </c>
      <c r="D2" s="6">
        <f>SUM(D4:D90)</f>
        <v>23671.7</v>
      </c>
      <c r="E2" s="6">
        <f>C2-D2</f>
        <v>2393.369999999999</v>
      </c>
      <c r="F2" s="7">
        <f>IFERROR(E2/D2, 0)</f>
        <v>0.1011068068622025</v>
      </c>
      <c r="G2" s="6">
        <f>SUM(G4:G90)</f>
        <v>0</v>
      </c>
      <c r="H2" s="8">
        <f>C2-G2</f>
        <v>26065.07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26065.07</v>
      </c>
      <c r="D4" s="14">
        <v>23671.7</v>
      </c>
      <c r="E4" s="14">
        <f>IF(AND(ISNUMBER(C4),ISNUMBER(D4)), C4-D4, "")</f>
        <v>2393.369999999999</v>
      </c>
      <c r="F4" s="15">
        <f>IFERROR(E4/D4, "")</f>
        <v>0.1011068068622025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092283" xr:uid="{1A624327-351A-4AEE-BF2E-E1C9724686F6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32"/>
  <sheetViews>
    <sheetView topLeftCell="D1" workbookViewId="0">
      <pane ySplit="2" topLeftCell="A3" activePane="bottomLeft" state="frozen"/>
      <selection activeCell="E23" sqref="E23"/>
      <selection pane="bottomLeft" activeCell="J4" sqref="J4:L4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47" t="str" cm="1">
        <f t="array" ref="A1">portfolio</f>
        <v>RMR Group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18924.599999999999</v>
      </c>
      <c r="D2" s="6">
        <f>SUM(D4:D90)</f>
        <v>14064.7</v>
      </c>
      <c r="E2" s="6">
        <f>C2-D2</f>
        <v>4859.8999999999978</v>
      </c>
      <c r="F2" s="7">
        <f>IFERROR(E2/D2, 0)</f>
        <v>0.34553883125839852</v>
      </c>
      <c r="G2" s="6">
        <f>SUM(G4:G90)</f>
        <v>0</v>
      </c>
      <c r="H2" s="8">
        <f>C2-G2</f>
        <v>18924.599999999999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49</v>
      </c>
    </row>
    <row r="4" spans="1:12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18924.599999999999</v>
      </c>
      <c r="D4" s="14">
        <v>14064.7</v>
      </c>
      <c r="E4" s="14">
        <f>IF(AND(ISNUMBER(C4),ISNUMBER(D4)), C4-D4, "")</f>
        <v>4859.8999999999978</v>
      </c>
      <c r="F4" s="15">
        <f>IFERROR(E4/D4, "")</f>
        <v>0.34553883125839852</v>
      </c>
      <c r="G4" s="45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  <c r="L4" s="18" t="s">
        <v>50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hyperlinks>
    <hyperlink ref="K4" r:id="rId1" display="https://us3.assetplanner.com/service_request?ID=092283" xr:uid="{3C1BB762-29F0-4814-8C55-EE9D11ECFCE0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32"/>
  <sheetViews>
    <sheetView tabSelected="1" topLeftCell="E1" workbookViewId="0">
      <pane ySplit="2" topLeftCell="A3" activePane="bottomLeft" state="frozen"/>
      <selection activeCell="E23" sqref="E23"/>
      <selection pane="bottomLeft" activeCell="J19" sqref="J19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12.6640625" customWidth="1"/>
  </cols>
  <sheetData>
    <row r="1" spans="1:12" ht="19.5" customHeight="1" x14ac:dyDescent="0.25">
      <c r="A1" s="47" t="str" cm="1">
        <f t="array" ref="A1">portfolio</f>
        <v>RMR Group</v>
      </c>
      <c r="B1" s="47"/>
      <c r="C1" s="47"/>
      <c r="D1" s="48" t="s">
        <v>51</v>
      </c>
      <c r="E1" s="48"/>
      <c r="F1" s="48"/>
      <c r="G1" s="46" t="s">
        <v>52</v>
      </c>
      <c r="H1" s="46"/>
      <c r="I1" s="46"/>
      <c r="J1" s="5"/>
      <c r="K1" s="5"/>
    </row>
    <row r="2" spans="1:12" ht="19.5" customHeight="1" x14ac:dyDescent="0.25">
      <c r="A2" s="49" t="s">
        <v>2</v>
      </c>
      <c r="B2" s="49"/>
      <c r="C2" s="6">
        <f>SUM(C4:C90)</f>
        <v>9789.4</v>
      </c>
      <c r="D2" s="6">
        <f>SUM(D4:D90)</f>
        <v>6993.3</v>
      </c>
      <c r="E2" s="6">
        <f>C2-D2</f>
        <v>2796.0999999999995</v>
      </c>
      <c r="F2" s="7">
        <f>IFERROR(E2/D2, 0)</f>
        <v>0.39982554730956765</v>
      </c>
      <c r="G2" s="6">
        <f>SUM(G4:G90)</f>
        <v>0</v>
      </c>
      <c r="H2" s="8">
        <f>C2-G2</f>
        <v>9789.4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  <c r="L3" s="27" t="s">
        <v>53</v>
      </c>
    </row>
    <row r="4" spans="1:12" ht="28.8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9789.4</v>
      </c>
      <c r="D4" s="14">
        <v>6993.3</v>
      </c>
      <c r="E4" s="14">
        <f>IF(AND(ISNUMBER(C4),ISNUMBER(D4)), C4-D4, "")</f>
        <v>2796.0999999999995</v>
      </c>
      <c r="F4" s="15">
        <f>IFERROR(E4/D4, "")</f>
        <v>0.39982554730956765</v>
      </c>
      <c r="G4" s="44" t="s">
        <v>46</v>
      </c>
      <c r="H4" s="16" t="str">
        <f>IF(AND(ISNUMBER(C4),ISNUMBER(G4)), C4-G4, "")</f>
        <v/>
      </c>
      <c r="I4" s="17" t="str">
        <f>IFERROR(H4/G4, "")</f>
        <v/>
      </c>
      <c r="J4" s="18" t="s">
        <v>33</v>
      </c>
      <c r="K4" s="42" t="s">
        <v>34</v>
      </c>
      <c r="L4" s="18" t="s">
        <v>50</v>
      </c>
    </row>
    <row r="5" spans="1:12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hyperlinks>
    <hyperlink ref="K4" r:id="rId1" display="https://us3.assetplanner.com/service_request?ID=092283" xr:uid="{7C33851F-ED4E-4F31-B24A-DB381BE16BBB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E23" sqref="E23"/>
      <selection pane="bottomLeft" activeCell="E23" sqref="E23"/>
    </sheetView>
  </sheetViews>
  <sheetFormatPr defaultRowHeight="13.8" x14ac:dyDescent="0.25"/>
  <cols>
    <col min="1" max="1" width="35.88671875" bestFit="1" customWidth="1"/>
    <col min="2" max="2" width="8.44140625" style="3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47" t="str" cm="1">
        <f t="array" ref="A1">portfolio</f>
        <v>RMR Group</v>
      </c>
      <c r="B1" s="47"/>
      <c r="C1" s="47"/>
      <c r="D1" s="48" t="s">
        <v>54</v>
      </c>
      <c r="E1" s="48"/>
      <c r="F1" s="48"/>
      <c r="G1" s="46" t="s">
        <v>55</v>
      </c>
      <c r="H1" s="46"/>
      <c r="I1" s="46"/>
      <c r="J1" s="5"/>
      <c r="K1" s="5"/>
    </row>
    <row r="2" spans="1:11" ht="19.5" customHeight="1" x14ac:dyDescent="0.25">
      <c r="A2" s="49" t="s">
        <v>2</v>
      </c>
      <c r="B2" s="49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 x14ac:dyDescent="0.3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 x14ac:dyDescent="0.2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" x14ac:dyDescent="0.3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3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" x14ac:dyDescent="0.3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" x14ac:dyDescent="0.3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" x14ac:dyDescent="0.3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" x14ac:dyDescent="0.3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" x14ac:dyDescent="0.3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" x14ac:dyDescent="0.3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" x14ac:dyDescent="0.3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" x14ac:dyDescent="0.3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" x14ac:dyDescent="0.3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" x14ac:dyDescent="0.3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E14" sqref="E14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56</v>
      </c>
      <c r="B1" t="s">
        <v>57</v>
      </c>
    </row>
    <row r="3" spans="1:7" ht="13.2" x14ac:dyDescent="0.2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" x14ac:dyDescent="0.3">
      <c r="A4" t="s">
        <v>61</v>
      </c>
      <c r="B4" t="s">
        <v>61</v>
      </c>
      <c r="C4" s="4" t="s">
        <v>62</v>
      </c>
      <c r="E4" t="s">
        <v>63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4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5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6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8.xml><?xml version="1.0" encoding="utf-8"?>
<ds:datastoreItem xmlns:ds="http://schemas.openxmlformats.org/officeDocument/2006/customXml" ds:itemID="{0C2AF2D0-1C25-43B0-B695-C3A0B299F6F4}"/>
</file>

<file path=customXml/itemProps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3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6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7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8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9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20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Dheeraj Cheripelly [AGS]</cp:lastModifiedBy>
  <cp:revision/>
  <dcterms:created xsi:type="dcterms:W3CDTF">2021-01-01T16:39:53Z</dcterms:created>
  <dcterms:modified xsi:type="dcterms:W3CDTF">2025-12-10T10:29:49Z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