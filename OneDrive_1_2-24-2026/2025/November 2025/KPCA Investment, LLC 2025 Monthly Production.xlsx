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2" documentId="13_ncr:1_{8823E8B4-16CD-477E-916A-09D77CCFF282}" xr6:coauthVersionLast="47" xr6:coauthVersionMax="47" xr10:uidLastSave="{F536C131-5839-4200-9874-B8FDB8DEAD43}"/>
  <bookViews>
    <workbookView xWindow="-108" yWindow="-108" windowWidth="23256" windowHeight="13896" tabRatio="86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32" l="1"/>
  <c r="I10" i="32" s="1"/>
  <c r="E10" i="32"/>
  <c r="F10" i="32"/>
  <c r="E9" i="32"/>
  <c r="F9" i="32" s="1"/>
  <c r="I7" i="31"/>
  <c r="I5" i="31"/>
  <c r="E10" i="31"/>
  <c r="F10" i="31" s="1"/>
  <c r="E8" i="31"/>
  <c r="H6" i="31"/>
  <c r="H7" i="31"/>
  <c r="H8" i="31"/>
  <c r="H9" i="31"/>
  <c r="H10" i="31"/>
  <c r="I10" i="31" s="1"/>
  <c r="H4" i="31"/>
  <c r="H8" i="28"/>
  <c r="H9" i="28"/>
  <c r="H10" i="28"/>
  <c r="I8" i="28"/>
  <c r="I9" i="28"/>
  <c r="I10" i="28"/>
  <c r="E8" i="28"/>
  <c r="F8" i="28" s="1"/>
  <c r="E9" i="28"/>
  <c r="F9" i="28" s="1"/>
  <c r="E10" i="28"/>
  <c r="F10" i="28" s="1"/>
  <c r="I9" i="27"/>
  <c r="I10" i="27"/>
  <c r="H9" i="27"/>
  <c r="H10" i="27"/>
  <c r="F9" i="27"/>
  <c r="F10" i="27"/>
  <c r="E9" i="27"/>
  <c r="E10" i="27"/>
  <c r="E6" i="26"/>
  <c r="E7" i="26"/>
  <c r="H6" i="26"/>
  <c r="I6" i="26"/>
  <c r="H7" i="26"/>
  <c r="I7" i="26"/>
  <c r="H8" i="26"/>
  <c r="I8" i="26"/>
  <c r="H9" i="26"/>
  <c r="I9" i="26"/>
  <c r="H10" i="26"/>
  <c r="I10" i="26"/>
  <c r="F6" i="26"/>
  <c r="F7" i="26"/>
  <c r="E8" i="26"/>
  <c r="F8" i="26"/>
  <c r="E9" i="26"/>
  <c r="F9" i="26"/>
  <c r="E10" i="26"/>
  <c r="F10" i="26"/>
  <c r="E5" i="26"/>
  <c r="F5" i="26"/>
  <c r="E4" i="26"/>
  <c r="A4" i="26" a="1"/>
  <c r="A4" i="26"/>
  <c r="I9" i="19"/>
  <c r="H9" i="19"/>
  <c r="H10" i="19"/>
  <c r="I10" i="19" s="1"/>
  <c r="F9" i="19"/>
  <c r="E9" i="19"/>
  <c r="E10" i="19"/>
  <c r="F10" i="19" s="1"/>
  <c r="I9" i="20"/>
  <c r="I10" i="20"/>
  <c r="H9" i="20"/>
  <c r="H10" i="20"/>
  <c r="F9" i="20"/>
  <c r="F10" i="20"/>
  <c r="E9" i="20"/>
  <c r="E10" i="20"/>
  <c r="I9" i="21"/>
  <c r="H7" i="21"/>
  <c r="I7" i="21" s="1"/>
  <c r="H8" i="21"/>
  <c r="H9" i="21"/>
  <c r="H10" i="21"/>
  <c r="I10" i="21" s="1"/>
  <c r="E7" i="21"/>
  <c r="F7" i="21" s="1"/>
  <c r="E8" i="21"/>
  <c r="F8" i="21" s="1"/>
  <c r="E9" i="21"/>
  <c r="F9" i="21" s="1"/>
  <c r="E10" i="21"/>
  <c r="F10"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H10" i="29"/>
  <c r="G9" i="29"/>
  <c r="G10" i="29"/>
  <c r="D10" i="29"/>
  <c r="C10" i="29"/>
  <c r="G10" i="1"/>
  <c r="D10" i="1"/>
  <c r="C10" i="1"/>
  <c r="H10" i="30"/>
  <c r="G10" i="30"/>
  <c r="D10" i="30"/>
  <c r="C10" i="30"/>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G6" i="30"/>
  <c r="G7" i="30"/>
  <c r="G8" i="30"/>
  <c r="G9" i="30"/>
  <c r="G5" i="30"/>
  <c r="G4" i="30"/>
  <c r="H9" i="33"/>
  <c r="I9" i="33" s="1"/>
  <c r="E9" i="33"/>
  <c r="F9" i="33" s="1"/>
  <c r="I6" i="31"/>
  <c r="I8" i="31"/>
  <c r="E9" i="31"/>
  <c r="F9" i="31" s="1"/>
  <c r="H9" i="32"/>
  <c r="I9" i="32" s="1"/>
  <c r="E8" i="32"/>
  <c r="F8" i="32" s="1"/>
  <c r="E6" i="31"/>
  <c r="H5" i="31"/>
  <c r="D9" i="29"/>
  <c r="C9" i="29"/>
  <c r="G5" i="29"/>
  <c r="G6" i="29"/>
  <c r="G7" i="29"/>
  <c r="G8" i="29"/>
  <c r="G4" i="29"/>
  <c r="G4" i="18"/>
  <c r="G5" i="18"/>
  <c r="G6" i="18"/>
  <c r="G7" i="18"/>
  <c r="E4" i="4"/>
  <c r="E5" i="72"/>
  <c r="F5" i="72" s="1"/>
  <c r="E6" i="72"/>
  <c r="F6" i="72" s="1"/>
  <c r="E7" i="72"/>
  <c r="F7" i="72" s="1"/>
  <c r="E8" i="72"/>
  <c r="F8" i="72" s="1"/>
  <c r="H9" i="30" l="1"/>
  <c r="I9" i="30" s="1"/>
  <c r="I10" i="30"/>
  <c r="E10" i="30"/>
  <c r="F10" i="30" s="1"/>
  <c r="E9" i="30"/>
  <c r="F9" i="30" s="1"/>
  <c r="I9" i="31"/>
  <c r="I10" i="29"/>
  <c r="E10" i="29"/>
  <c r="F10" i="29" s="1"/>
  <c r="E9" i="29"/>
  <c r="F9" i="29" s="1"/>
  <c r="H10" i="18"/>
  <c r="I10" i="18" s="1"/>
  <c r="E10" i="18"/>
  <c r="F10" i="18" s="1"/>
  <c r="D10" i="34"/>
  <c r="I8" i="21"/>
  <c r="H9" i="29"/>
  <c r="I9" i="29" s="1"/>
  <c r="I9" i="18"/>
  <c r="G10" i="34"/>
  <c r="E9" i="18"/>
  <c r="F9" i="18" s="1"/>
  <c r="H9" i="34"/>
  <c r="I9" i="3"/>
  <c r="H9" i="1"/>
  <c r="H10" i="1"/>
  <c r="I9" i="1"/>
  <c r="G8" i="34"/>
  <c r="E10" i="1"/>
  <c r="F10" i="1" s="1"/>
  <c r="C10" i="34"/>
  <c r="E9" i="1"/>
  <c r="F9" i="1" s="1"/>
  <c r="C9" i="34"/>
  <c r="G9" i="34"/>
  <c r="I9" i="34" s="1"/>
  <c r="D9" i="34"/>
  <c r="C2" i="3"/>
  <c r="E10" i="34" l="1"/>
  <c r="F10" i="34" s="1"/>
  <c r="H10" i="34"/>
  <c r="I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F8" i="31"/>
  <c r="E7" i="31"/>
  <c r="F7" i="31" s="1"/>
  <c r="F6" i="31"/>
  <c r="E5" i="31"/>
  <c r="F5" i="31" s="1"/>
  <c r="I4" i="31"/>
  <c r="E4" i="31"/>
  <c r="F4" i="31" s="1"/>
  <c r="G2" i="31"/>
  <c r="D2" i="31"/>
  <c r="C2" i="31"/>
  <c r="A1" i="31" a="1"/>
  <c r="A1" i="31"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5" i="26"/>
  <c r="H4" i="26"/>
  <c r="F4" i="26"/>
  <c r="G2" i="26"/>
  <c r="D2" i="26"/>
  <c r="C2" i="26"/>
  <c r="A1" i="26" a="1"/>
  <c r="A1" i="26"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E7" i="20"/>
  <c r="F7" i="20" s="1"/>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E8" i="30" l="1"/>
  <c r="F8" i="30" s="1"/>
  <c r="H6" i="29"/>
  <c r="I8" i="32"/>
  <c r="H8" i="30"/>
  <c r="I8" i="30" s="1"/>
  <c r="H7" i="29"/>
  <c r="I8" i="20"/>
  <c r="H8" i="18"/>
  <c r="I8" i="18" s="1"/>
  <c r="C7" i="34"/>
  <c r="H8" i="1"/>
  <c r="H7" i="34"/>
  <c r="I7" i="34" s="1"/>
  <c r="C6" i="34"/>
  <c r="E8" i="1"/>
  <c r="F8" i="1" s="1"/>
  <c r="C8" i="34"/>
  <c r="H8" i="29"/>
  <c r="I8" i="29" s="1"/>
  <c r="D5" i="34"/>
  <c r="I4" i="26"/>
  <c r="H4" i="29"/>
  <c r="I4" i="29" s="1"/>
  <c r="D6" i="34"/>
  <c r="D7" i="34"/>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E7" i="29"/>
  <c r="F7" i="29" s="1"/>
  <c r="I5" i="29"/>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<sst xmlns="http://schemas.openxmlformats.org/spreadsheetml/2006/main" count="383" uniqueCount="154">
  <si>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</si>
  <si>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</si>
  <si>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</si>
  <si>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</si>
  <si>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</si>
  <si>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</si>
  <si>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</si>
  <si>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</si>
  <si>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</si>
  <si>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</si>
  <si>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</si>
  <si>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</si>
  <si>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</si>
  <si>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</si>
  <si>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</si>
  <si>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</si>
  <si>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</si>
  <si>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</si>
  <si>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</si>
  <si>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</si>
  <si>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</si>
  <si>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</si>
  <si>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</si>
  <si>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</si>
  <si>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</si>
  <si>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</si>
  <si>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</si>
  <si>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</si>
  <si>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Meter A phase CT dropped 20 amps on 9/26/24. There is a 5 % variance between the meter and total inverter power. Will be addressed in next PM.</t>
  </si>
  <si>
    <t>1.SR098881</t>
  </si>
  <si>
    <t>1.The site is producing as expected. The higher delta value indicates that the forecasted values are on the higher side.</t>
  </si>
  <si>
    <t>1.Inverter 22 has been down a string (5 kW) since it was re-energized on 05/22/2024. The Operations Team is currently reviewing the issue.
2.Inverter 10 was offline from 04/01 and came back online at 10:30 on 04/04. It went offline again at 17:00 on 04/25 and remained offline for the rest of the month. A dispatch has been scheduled for next month.</t>
  </si>
  <si>
    <t>1.SR098879
2.SR099137,SR100773</t>
  </si>
  <si>
    <t>SR099137</t>
  </si>
  <si>
    <t>SR100773</t>
  </si>
  <si>
    <t>1.Inverter 16 is having an history of multiple trip events. On 04/02, a technician addressed that faults occured due to PV imbalance issues and adjusted settings of comibner boxes. However, the inverter tripped again on 04/03 at 13:45, came online at 11:30 on 04/04,even after technician troubleshooted again inverter  tripped at 12:45on 04/04. Issue got resolved after technician ensured all strands were compressed and torqued to 50 in-lbs. Inverter is back online at 14:00 on 04/22</t>
  </si>
  <si>
    <t>1.SR099120,SR099410,SR099504</t>
  </si>
  <si>
    <t>SR099410</t>
  </si>
  <si>
    <t>SR099504</t>
  </si>
  <si>
    <t>1. Inverters 3, 5, and 7 may be swapped with 4, 6, and 8 in PowerTrack, as their performance suggests mismatched string counts—3, 5, and 7 (7-string) are performing like 8-string units, and vice versa.</t>
  </si>
  <si>
    <t>1.SR100567</t>
  </si>
  <si>
    <t xml:space="preserve"> </t>
  </si>
  <si>
    <t>May Actual v. Expected</t>
  </si>
  <si>
    <t>May Actual v. Forecasted</t>
  </si>
  <si>
    <t>1.The A-phase CT on the meter recorded a drop of 20 amps on 09/26/2024. In May, the drop was reduced to 10 amps on the same phase. A 5% variance currently exwasts between the meter readings and the total inverter power. Thwas wassue was scheduled to be investigated during the upcoming preventive maintenance (PM) event.
2.Inverter 5 started late for production at 07:45 on 05/19.wassue got self resoled.</t>
  </si>
  <si>
    <t>1.SR098881
2.SR101671</t>
  </si>
  <si>
    <t>SR101671</t>
  </si>
  <si>
    <t>1. Multiple inverters experiencied tripping events from 10:30AM to 15:30 due technician was onsite for preventive maintenance.
2. Inverter 5 was offline from 15:30 to 16:30 due technician was onsite for preventive maintenance.
3. The site was producing as expected. The higher delta value indicates that the forecasted values are on the higher side.</t>
  </si>
  <si>
    <t>1. PM13593
2. PM13593</t>
  </si>
  <si>
    <t xml:space="preserve">1.Inverter 3 down a string from 5/06. issue did not resolve.
2. Inverter 4 was offline from 10:55 to 11:20 on 05/06 due to technician was onsite for preventive maintenance.
</t>
  </si>
  <si>
    <t>1.SR101329
2. PM13591.</t>
  </si>
  <si>
    <t>1. Multiple inverters experiencied tripping events from 11:30AM to 15:30 due technician was onsite for preventive maintenance.
2. The site was producing as expected. The higher delta value indicates that the forecasted values are on the higher side.</t>
  </si>
  <si>
    <t>1.  PM13589</t>
  </si>
  <si>
    <t>1.Inverter 14 tripped offline at 11:15 and self resolved at 11:25 on 05/03.
2. Inverters 3, 5, and 7 may be swapped with inverters 4, 6, and 8 in PowerTrack. Invs 3, 5, and 7 are seven string inverters that are performing like eight string inverters, while 4, 6, and 8 are eight string inverters that are performing like seven strings. Will investigate during PM event.</t>
  </si>
  <si>
    <t>1.SR100962
2. SR100567</t>
  </si>
  <si>
    <t>SR100567</t>
  </si>
  <si>
    <t>June Actual v. Expected</t>
  </si>
  <si>
    <t>June Actual v. Forecasted</t>
  </si>
  <si>
    <t>1.The A-phase CT on the meter recorded a drop of 20 amps on 09/26/2024. In May, the drop was reduced to 10 amps on the same phase. A 5% variance currently exwasts between the meter readings and the total inverter power. This issue was scheduled to be investigated during the upcoming preventive maintenance (PM) event.
2.Inverter 1 is underperforming by 5 kW down compared to its peer inverters since 06/16 at 14:00.</t>
  </si>
  <si>
    <t>1.	SR098881
2.	SR103049</t>
  </si>
  <si>
    <t>SR103049</t>
  </si>
  <si>
    <t>1.Inverter 3 down a string from 5/06. Issue was haven't resolved.</t>
  </si>
  <si>
    <t>1.	SR101329</t>
  </si>
  <si>
    <t>1.Inverter 2 tripped offline at 06:15 on 06/23, reporting a 'Steady State GFCI Fault – Fault0090.' The inverter came back online on 06/24.</t>
  </si>
  <si>
    <t>1.	SR103317</t>
  </si>
  <si>
    <t>1.Inverters 3, 5, and 7 may be swapped with inverters 4, 6, and 8 in PowerTrack. Invs 3, 5, and 7 are seven string inverters that are performing like eight string inverters, while 4, 6, and 8 are eight string inverters that are performing like seven strings. Will investigate during PM event.</t>
  </si>
  <si>
    <t>1.	SR100567</t>
  </si>
  <si>
    <t>July Actual v. Expected</t>
  </si>
  <si>
    <t>July Actual v. Forecasted</t>
  </si>
  <si>
    <t xml:space="preserve">1. 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t>
  </si>
  <si>
    <t>1. SR103049 
2. SR104160</t>
  </si>
  <si>
    <t>SR104160</t>
  </si>
  <si>
    <t>1. Inverter 16 is having reoccurring late starts from 6/12.
2. Inverter 20 is down a string since 7/7.</t>
  </si>
  <si>
    <t>1. SR103140
2. SR104320</t>
  </si>
  <si>
    <t>SR104320</t>
  </si>
  <si>
    <t xml:space="preserve">1.Inverter 5 String 4 has low performance. </t>
  </si>
  <si>
    <t>1.SR102034</t>
  </si>
  <si>
    <t xml:space="preserve">1.Inverters 3, 5, and 7 may be swapped with inverters 4, 6, and 8 in PowerTrack. Invs 3, 5, and 7 are seven string inverters that are performing like eight string inverters, while 4, 6, and 8 are eight string inverters that are performing like seven strings. </t>
  </si>
  <si>
    <t>1. SR100567</t>
  </si>
  <si>
    <t>August Actual v. Expected</t>
  </si>
  <si>
    <t>August Actual v. Forecasted</t>
  </si>
  <si>
    <t xml:space="preserve">1.Inverter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t>
  </si>
  <si>
    <t>1.SR103049
2.SR104160</t>
  </si>
  <si>
    <t>1.Site is producing as expected, may be issue with forecasted value</t>
  </si>
  <si>
    <t>1.SR103140
2.SR104320</t>
  </si>
  <si>
    <t>1.Inverter 5 String 4 has low performance. 
2. Inverters 1 and 2 tripped offline at 7:00 on 08/27 and later back online on 08/28 at 07:00</t>
  </si>
  <si>
    <t>1.SR102034
2.SR107041</t>
  </si>
  <si>
    <t>SR107041</t>
  </si>
  <si>
    <t>1.Low production due to weather on 08/16</t>
  </si>
  <si>
    <t>September Actual v. Expected</t>
  </si>
  <si>
    <t>September Actual v. Forecasted</t>
  </si>
  <si>
    <t xml:space="preserve">1.Inverter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On 09/16 technician confirmed Replacement CT being quoted. 
3.Inverter 5 tripped offline multiple days through out the month.
4.Inverters 1, 2, 3, and 4, along with AC Box 3 will remain offline on 09/25  for safety reasons, as the electrical box that is connected to these inverters is damaged, and it needs to be ensured that the electrical box is back in good condition before turning back on these inverters. These inverters will remain offline until the issue is resolved </t>
  </si>
  <si>
    <t>1.SR103049
2.SR104160 ,  SR104160
3.SR107548
4.SR108510</t>
  </si>
  <si>
    <t>SR107548</t>
  </si>
  <si>
    <t>SR108510</t>
  </si>
  <si>
    <t xml:space="preserve">1.Inverter 5 String 4 has low performance. 
2.Inverter 2 tripped offline at 6:15 on 09/02 reporting "Steady State GFCI fault - Fault0090". Self resolve on 09/03 
3.Inverter 2 dropped a string on 09/18
</t>
  </si>
  <si>
    <t xml:space="preserve">1.SR102034
2.	SR107305
3.	SR108644
</t>
  </si>
  <si>
    <t>SR107305</t>
  </si>
  <si>
    <t>SR108644</t>
  </si>
  <si>
    <t>October Actual v. Expected</t>
  </si>
  <si>
    <t>October Actual v. Forecasted</t>
  </si>
  <si>
    <t>Status</t>
  </si>
  <si>
    <t xml:space="preserve">1. Inverter 1 is underperforming by 5 kW down compared to its peer inverters since 06/16 at 14:00.
2. The A-phase CT on the meter recorded a drop of 20 amps on 09/26/2024. In May, the drop was reduced to 10 amps on the same phase. A 5% variance currently exist between the meter readings and the total inverter power. On 09/16 technician confirmed Replacement CT being quoted. 
3. Inverter 5 started late multiple days through out the month.
4. Inverters 1, 2, 3, and 4, along with AC Box 3 will remain offline on 09/25  for safety reasons, as the electrical box that is connected to these inverters is damaged, and it needs to be ensured that the electrical box is back in good condition before turning back on these inverters. These inverters will remain offline until the issue is resolved </t>
  </si>
  <si>
    <t>1.SR103049
2.	SR108381
3.SR107548
4.SR108510</t>
  </si>
  <si>
    <t>1.Pending
2.Pending
3.Pending
4.Pending</t>
  </si>
  <si>
    <t>SR108381</t>
  </si>
  <si>
    <t xml:space="preserve">1. Inverter 2 tripped offline at 10:45  reporting steady state GFCI fault - Fault0090 Static GFCI high on 10/14. It came back online on 10/15
</t>
  </si>
  <si>
    <t>1.SR109470</t>
  </si>
  <si>
    <t>1.Closed</t>
  </si>
  <si>
    <t>1. Site was producing as expected.</t>
  </si>
  <si>
    <t>1.SR103140
2.	SR104320</t>
  </si>
  <si>
    <t xml:space="preserve">1.Pending
2.Pending
</t>
  </si>
  <si>
    <t xml:space="preserve">1.Inverter 5 String 4 has low performance. 
2.Inverter 2 dropped a string on 09/18.  On 10/27 no string issues found on inverter 2
</t>
  </si>
  <si>
    <t>1.	SR102034
2.	SR108644</t>
  </si>
  <si>
    <t>1.Pending
2.Workin progress</t>
  </si>
  <si>
    <t>1. Inverter 3 has evening shading.
2 Inverter 16 has evening and morning shading.</t>
  </si>
  <si>
    <t>1. Site is producing as expected.</t>
  </si>
  <si>
    <t>November Actual v. Expected</t>
  </si>
  <si>
    <t>November Actual v. Forecasted</t>
  </si>
  <si>
    <t>1. The meter was not reporting the full production of the inverters for the entire month due to a bad CT.
2. Inverters 1 to 4 was offline for whole month.
3. Inverter 1 is underperforming by 5 kW down compared to its peer inverters since 06/16 at 14:00.</t>
  </si>
  <si>
    <t>1. SR108381
2. SR108510
3.	SR103049</t>
  </si>
  <si>
    <t>1. Pending
2.Pending
3.Pending</t>
  </si>
  <si>
    <t>1. Inverter 16 was offline from 06:00 to 11:00 on 11/19.
2. Inverter 20 started late at 11:00 on 11/14, 10:00 on 11/15, and 09:00 on 11/16 and it has had a down string since 07/07.</t>
  </si>
  <si>
    <t>1. SR111709, SR103140
2. SR104320, SR111097</t>
  </si>
  <si>
    <t>1.Pending
2. Pending, Closed
3. Closed, Closed</t>
  </si>
  <si>
    <t>SR103140</t>
  </si>
  <si>
    <t>SR111097</t>
  </si>
  <si>
    <t xml:space="preserve">1. Inverter 5 String 4 has low performance. </t>
  </si>
  <si>
    <t>1. SR102034</t>
  </si>
  <si>
    <t>1. Pending</t>
  </si>
  <si>
    <t>December Actual v. Expected</t>
  </si>
  <si>
    <t>December Actual v. Forecasted</t>
  </si>
  <si>
    <t>Portfolio:</t>
  </si>
  <si>
    <t>KPCA Investment, LLC</t>
  </si>
  <si>
    <t>Site DAS Name</t>
  </si>
  <si>
    <t>Update</t>
  </si>
  <si>
    <t>DAS</t>
  </si>
  <si>
    <t>Kaiser - KP3 - Chino Grand CA6581</t>
  </si>
  <si>
    <t>Chino - 3750-3770 Grand Ave</t>
  </si>
  <si>
    <t>CA</t>
  </si>
  <si>
    <t>AEF</t>
  </si>
  <si>
    <t>PowerTrack</t>
  </si>
  <si>
    <t>Murrietta MOB - CA5341</t>
  </si>
  <si>
    <t>Murrieta - 28150 Keller Rd</t>
  </si>
  <si>
    <t>Kaiser - KP3 - La Habra - CA3841 Site</t>
  </si>
  <si>
    <t>La Habra - 601 E Imperial Way</t>
  </si>
  <si>
    <t>San Jose - Skyport</t>
  </si>
  <si>
    <t>Kaiser - KP3 - SCA Skyport - CN7901 Site</t>
  </si>
  <si>
    <t>Kaiser - KP3 - Irwindale MOB &amp; Garage - CA5681 Site</t>
  </si>
  <si>
    <t>Irwindale - 12761 Schabarum Ave</t>
  </si>
  <si>
    <t>Santa Rosa 6 - CN7001</t>
  </si>
  <si>
    <t>Santa Rosa - 2240 Mercury Way</t>
  </si>
  <si>
    <t>Kaiser - KP3 - Dublin - CN2A99 Site</t>
  </si>
  <si>
    <t>Dublin - 3100 Dublin Blvd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</si>
</sst>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87">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49" fontId="30" fillId="38" borderId="0" xfId="2" applyNumberFormat="1" applyFont="1" applyFill="1" applyBorder="1" applyAlignment="1">
      <alignment horizontal="left" vertical="top" wrapText="1"/>
    </xf>
    <xf numFmtId="0" fontId="0" fillId="0" borderId="0" xfId="0" applyAlignment="1">
      <alignment vertical="top" wrapText="1"/>
    </xf>
    <xf numFmtId="49" fontId="36" fillId="38" borderId="0" xfId="45" applyNumberFormat="1" applyFill="1" applyBorder="1" applyAlignment="1">
      <alignment horizontal="left" vertical="top" wrapText="1"/>
    </xf>
    <xf numFmtId="49" fontId="27" fillId="0" borderId="0" xfId="0" applyNumberFormat="1" applyFont="1" applyAlignment="1">
      <alignment horizontal="left" vertical="center" wrapText="1"/>
    </xf>
    <xf numFmtId="0" fontId="32" fillId="0" borderId="0" xfId="0" applyFont="1" applyAlignment="1">
      <alignment horizontal="left"/>
    </xf>
    <xf numFmtId="49" fontId="36" fillId="0" borderId="0" xfId="45" applyNumberFormat="1" applyAlignment="1">
      <alignment vertical="center" wrapText="1"/>
    </xf>
    <xf numFmtId="9" fontId="31" fillId="0" borderId="0" xfId="2" applyFont="1" applyAlignment="1">
      <alignment horizontal="left" vertical="top"/>
    </xf>
    <xf numFmtId="49" fontId="28" fillId="0" borderId="0" xfId="0" applyNumberFormat="1" applyFont="1" applyAlignment="1">
      <alignment horizontal="left" vertical="center" wrapText="1"/>
    </xf>
    <xf numFmtId="49" fontId="36" fillId="0" borderId="0" xfId="45" applyNumberFormat="1" applyAlignment="1">
      <alignment horizontal="left" vertical="center" wrapText="1"/>
    </xf>
    <xf numFmtId="0" fontId="5" fillId="45" borderId="1" xfId="0" applyFont="1" applyFill="1" applyBorder="1" applyAlignment="1">
      <alignment horizontal="left" vertical="top"/>
    </xf>
    <xf numFmtId="0" fontId="0" fillId="0" borderId="0" xfId="0" applyAlignment="1">
      <alignment horizontal="left" vertical="top" wrapText="1"/>
    </xf>
    <xf numFmtId="0" fontId="0" fillId="0" borderId="0" xfId="0" applyAlignment="1">
      <alignment wrapText="1"/>
    </xf>
    <xf numFmtId="0" fontId="0" fillId="0" borderId="0" xfId="0"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0">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567" TargetMode="External"/><Relationship Id="rId3" Type="http://schemas.openxmlformats.org/officeDocument/2006/relationships/hyperlink" Target="https://us3.assetplanner.com/service_request?ID=099137" TargetMode="External"/><Relationship Id="rId7" Type="http://schemas.openxmlformats.org/officeDocument/2006/relationships/hyperlink" Target="https://us3.assetplanner.com/service_request?ID=099504" TargetMode="External"/><Relationship Id="rId2" Type="http://schemas.openxmlformats.org/officeDocument/2006/relationships/hyperlink" Target="https://us3.assetplanner.com/service_request?ID=098879" TargetMode="External"/><Relationship Id="rId1" Type="http://schemas.openxmlformats.org/officeDocument/2006/relationships/hyperlink" Target="https://us3.assetplanner.com/service_request?ID=098881" TargetMode="External"/><Relationship Id="rId6" Type="http://schemas.openxmlformats.org/officeDocument/2006/relationships/hyperlink" Target="https://us3.assetplanner.com/service_request?ID=099410" TargetMode="External"/><Relationship Id="rId5" Type="http://schemas.openxmlformats.org/officeDocument/2006/relationships/hyperlink" Target="https://us3.assetplanner.com/service_request?ID=099120" TargetMode="External"/><Relationship Id="rId4" Type="http://schemas.openxmlformats.org/officeDocument/2006/relationships/hyperlink" Target="https://us3.assetplanner.com/service_request?ID=10077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1329" TargetMode="External"/><Relationship Id="rId2" Type="http://schemas.openxmlformats.org/officeDocument/2006/relationships/hyperlink" Target="https://us3.assetplanner.com/service_request?ID=101671" TargetMode="External"/><Relationship Id="rId1" Type="http://schemas.openxmlformats.org/officeDocument/2006/relationships/hyperlink" Target="https://us3.assetplanner.com/service_request?ID=098881" TargetMode="External"/><Relationship Id="rId5" Type="http://schemas.openxmlformats.org/officeDocument/2006/relationships/hyperlink" Target="https://us3.assetplanner.com/service_request?ID=100567" TargetMode="External"/><Relationship Id="rId4" Type="http://schemas.openxmlformats.org/officeDocument/2006/relationships/hyperlink" Target="https://us3.assetplanner.com/service_request?ID=100962"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1329" TargetMode="External"/><Relationship Id="rId2" Type="http://schemas.openxmlformats.org/officeDocument/2006/relationships/hyperlink" Target="https://us3.assetplanner.com/service_request?ID=103049" TargetMode="External"/><Relationship Id="rId1" Type="http://schemas.openxmlformats.org/officeDocument/2006/relationships/hyperlink" Target="https://us3.assetplanner.com/service_request?ID=098881" TargetMode="External"/><Relationship Id="rId5" Type="http://schemas.openxmlformats.org/officeDocument/2006/relationships/hyperlink" Target="https://us3.assetplanner.com/service_request?ID=100567" TargetMode="External"/><Relationship Id="rId4" Type="http://schemas.openxmlformats.org/officeDocument/2006/relationships/hyperlink" Target="https://us3.assetplanner.com/service_request?ID=103317"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314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0567" TargetMode="External"/><Relationship Id="rId5" Type="http://schemas.openxmlformats.org/officeDocument/2006/relationships/hyperlink" Target="https://us3.assetplanner.com/service_request?ID=102034" TargetMode="External"/><Relationship Id="rId4" Type="http://schemas.openxmlformats.org/officeDocument/2006/relationships/hyperlink" Target="https://us3.assetplanner.com/service_request?ID=104320"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314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7041" TargetMode="External"/><Relationship Id="rId5" Type="http://schemas.openxmlformats.org/officeDocument/2006/relationships/hyperlink" Target="https://us3.assetplanner.com/service_request?ID=102034" TargetMode="External"/><Relationship Id="rId4" Type="http://schemas.openxmlformats.org/officeDocument/2006/relationships/hyperlink" Target="https://us3.assetplanner.com/service_request?ID=10432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2034" TargetMode="External"/><Relationship Id="rId3" Type="http://schemas.openxmlformats.org/officeDocument/2006/relationships/hyperlink" Target="https://us3.assetplanner.com/service_request?ID=104160" TargetMode="External"/><Relationship Id="rId7" Type="http://schemas.openxmlformats.org/officeDocument/2006/relationships/hyperlink" Target="https://us3.assetplanner.com/service_request?ID=10432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3140" TargetMode="External"/><Relationship Id="rId5" Type="http://schemas.openxmlformats.org/officeDocument/2006/relationships/hyperlink" Target="https://us3.assetplanner.com/service_request?ID=108510" TargetMode="External"/><Relationship Id="rId10" Type="http://schemas.openxmlformats.org/officeDocument/2006/relationships/hyperlink" Target="https://us3.assetplanner.com/service_request?ID=108644" TargetMode="External"/><Relationship Id="rId4" Type="http://schemas.openxmlformats.org/officeDocument/2006/relationships/hyperlink" Target="https://us3.assetplanner.com/service_request?ID=107548" TargetMode="External"/><Relationship Id="rId9" Type="http://schemas.openxmlformats.org/officeDocument/2006/relationships/hyperlink" Target="https://us3.assetplanner.com/service_request?ID=107305"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2034" TargetMode="External"/><Relationship Id="rId3" Type="http://schemas.openxmlformats.org/officeDocument/2006/relationships/hyperlink" Target="https://us3.assetplanner.com/service_request?ID=107548" TargetMode="External"/><Relationship Id="rId7" Type="http://schemas.openxmlformats.org/officeDocument/2006/relationships/hyperlink" Target="https://us3.assetplanner.com/service_request?ID=104320" TargetMode="External"/><Relationship Id="rId2" Type="http://schemas.openxmlformats.org/officeDocument/2006/relationships/hyperlink" Target="https://us3.assetplanner.com/service_request?ID=108381"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3140" TargetMode="External"/><Relationship Id="rId5" Type="http://schemas.openxmlformats.org/officeDocument/2006/relationships/hyperlink" Target="https://us3.assetplanner.com/service_request?ID=109470" TargetMode="External"/><Relationship Id="rId4" Type="http://schemas.openxmlformats.org/officeDocument/2006/relationships/hyperlink" Target="https://us3.assetplanner.com/service_request?ID=108510" TargetMode="External"/><Relationship Id="rId9" Type="http://schemas.openxmlformats.org/officeDocument/2006/relationships/hyperlink" Target="https://us3.assetplanner.com/service_request?ID=108644"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2034" TargetMode="External"/><Relationship Id="rId3" Type="http://schemas.openxmlformats.org/officeDocument/2006/relationships/hyperlink" Target="https://us3.assetplanner.com/service_request?ID=103049" TargetMode="External"/><Relationship Id="rId7" Type="http://schemas.openxmlformats.org/officeDocument/2006/relationships/hyperlink" Target="https://us3.assetplanner.com/service_request?ID=111097" TargetMode="External"/><Relationship Id="rId2" Type="http://schemas.openxmlformats.org/officeDocument/2006/relationships/hyperlink" Target="https://us3.assetplanner.com/service_request?ID=108510" TargetMode="External"/><Relationship Id="rId1" Type="http://schemas.openxmlformats.org/officeDocument/2006/relationships/hyperlink" Target="https://us3.assetplanner.com/service_request?ID=108381" TargetMode="External"/><Relationship Id="rId6" Type="http://schemas.openxmlformats.org/officeDocument/2006/relationships/hyperlink" Target="https://us3.assetplanner.com/service_request?ID=104320" TargetMode="External"/><Relationship Id="rId5" Type="http://schemas.openxmlformats.org/officeDocument/2006/relationships/hyperlink" Target="https://us3.assetplanner.com/service_request?ID=103140" TargetMode="External"/><Relationship Id="rId4" Type="http://schemas.openxmlformats.org/officeDocument/2006/relationships/hyperlink" Target="https://us3.assetplanner.com/service_request?ID=111709" TargetMode="External"/><Relationship Id="rId9"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tabSelected="1" workbookViewId="0">
      <pane xSplit="2" ySplit="3" topLeftCell="C4" activePane="bottomRight" state="frozen"/>
      <selection pane="bottomRight" activeCell="D18" sqref="D18"/>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KPCA Investment, LLC</v>
      </c>
      <c r="B1" s="84"/>
      <c r="C1" s="84"/>
      <c r="D1" s="85" t="s">
        <v>0</v>
      </c>
      <c r="E1" s="85"/>
      <c r="F1" s="85"/>
      <c r="G1" s="83" t="s">
        <v>1</v>
      </c>
      <c r="H1" s="83"/>
      <c r="I1" s="83"/>
    </row>
    <row r="2" spans="1:9" ht="19.5" customHeight="1">
      <c r="A2" s="86" t="s">
        <v>2</v>
      </c>
      <c r="B2" s="86"/>
      <c r="C2" s="5">
        <f>SUM(C4:C80)</f>
        <v>3943136.4078037199</v>
      </c>
      <c r="D2" s="5">
        <f>SUM(D4:D80)</f>
        <v>4115200.3650000002</v>
      </c>
      <c r="E2" s="5">
        <f>C2-D2</f>
        <v>-172063.95719628036</v>
      </c>
      <c r="F2" s="6">
        <f>IFERROR(E2/D2, 0)</f>
        <v>-4.1811805485753147E-2</v>
      </c>
      <c r="G2" s="5">
        <f>SUM(G4:G80)</f>
        <v>4566854.8289999999</v>
      </c>
      <c r="H2" s="7">
        <f>C2-G2</f>
        <v>-623718.42119628005</v>
      </c>
      <c r="I2" s="6">
        <f>IFERROR(H2/G2, 0)</f>
        <v>-0.13657504881381463</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Chino - 3750-3770 Grand Ave</v>
      </c>
      <c r="B4" s="30" t="str" cm="1">
        <f t="array" ref="B4:B10">Sites[State]</f>
        <v>CA</v>
      </c>
      <c r="C4" s="22">
        <f>SUM('1st Qtr'!C4, '2nd Qtr'!C4, '3rd Qtr'!C4, '4th Qtr'!C4)</f>
        <v>214782.4266262087</v>
      </c>
      <c r="D4" s="12">
        <f>SUM('1st Qtr'!D4, '2nd Qtr'!D4, '3rd Qtr'!D4, '4th Qtr'!D4)</f>
        <v>212625.20699999999</v>
      </c>
      <c r="E4" s="12">
        <f>IF(AND(ISNUMBER(C4),ISNUMBER(D4)), C4-D4, "")</f>
        <v>2157.2196262087091</v>
      </c>
      <c r="F4" s="13">
        <f>IFERROR(E4/D4, "")</f>
        <v>1.0145643861542292E-2</v>
      </c>
      <c r="G4" s="14">
        <f>SUM('1st Qtr'!G4, '2nd Qtr'!G4, '3rd Qtr'!G4, '4th Qtr'!G4)</f>
        <v>316492</v>
      </c>
      <c r="H4" s="14">
        <f>SUM('1st Qtr'!H4, '2nd Qtr'!H4, '3rd Qtr'!H4, '4th Qtr'!H4)</f>
        <v>-101709.5733737913</v>
      </c>
      <c r="I4" s="15">
        <f>IFERROR(H4/G4, "")</f>
        <v>-0.32136538482423344</v>
      </c>
    </row>
    <row r="5" spans="1:9" ht="15.6">
      <c r="A5" s="50" t="str">
        <v>Murrieta - 28150 Keller Rd</v>
      </c>
      <c r="B5" s="28" t="str">
        <v>CA</v>
      </c>
      <c r="C5" s="16">
        <f>SUM('1st Qtr'!C5, '2nd Qtr'!C5, '3rd Qtr'!C5, '4th Qtr'!C5)</f>
        <v>718704.5</v>
      </c>
      <c r="D5" s="16">
        <f>SUM('1st Qtr'!D5, '2nd Qtr'!D5, '3rd Qtr'!D5, '4th Qtr'!D5)</f>
        <v>724954.41799999995</v>
      </c>
      <c r="E5" s="16">
        <f t="shared" ref="E5:E10" si="0">IF(AND(ISNUMBER(C5),ISNUMBER(D5)), C5-D5, "")</f>
        <v>-6249.9179999999469</v>
      </c>
      <c r="F5" s="17">
        <f>IFERROR(E5/D5, "")</f>
        <v>-8.6211185763129562E-3</v>
      </c>
      <c r="G5" s="18">
        <f>SUM('1st Qtr'!G5, '2nd Qtr'!G5, '3rd Qtr'!G5, '4th Qtr'!G5)</f>
        <v>835069.78299999994</v>
      </c>
      <c r="H5" s="18">
        <f>SUM(Jan!H5, Feb!H5, Mar!H5)</f>
        <v>0</v>
      </c>
      <c r="I5" s="17">
        <f>IFERROR(H5/G5, "")</f>
        <v>0</v>
      </c>
    </row>
    <row r="6" spans="1:9" ht="15.6">
      <c r="A6" s="51" t="str">
        <v>La Habra - 601 E Imperial Way</v>
      </c>
      <c r="B6" s="26" t="str">
        <v>CA</v>
      </c>
      <c r="C6" s="22">
        <f>SUM('1st Qtr'!C6, '2nd Qtr'!C6, '3rd Qtr'!C6, '4th Qtr'!C6)</f>
        <v>147670.80000000019</v>
      </c>
      <c r="D6" s="12">
        <f>SUM('1st Qtr'!D6, '2nd Qtr'!D6, '3rd Qtr'!D6, '4th Qtr'!D6)</f>
        <v>116968.13199999998</v>
      </c>
      <c r="E6" s="12">
        <f t="shared" si="0"/>
        <v>30702.668000000209</v>
      </c>
      <c r="F6" s="13">
        <f t="shared" ref="F6:F10" si="1">IFERROR(E6/D6, "")</f>
        <v>0.26248746111462407</v>
      </c>
      <c r="G6" s="14">
        <f>SUM('1st Qtr'!G6, '2nd Qtr'!G6, '3rd Qtr'!G6, '4th Qtr'!G6)</f>
        <v>170867.217</v>
      </c>
      <c r="H6" s="14">
        <f>SUM('1st Qtr'!H6, '2nd Qtr'!H6, '3rd Qtr'!H6, '4th Qtr'!H6)</f>
        <v>-23196.416999999801</v>
      </c>
      <c r="I6" s="15">
        <f t="shared" ref="I6:I10" si="2">IFERROR(H6/G6, "")</f>
        <v>-0.13575697788768809</v>
      </c>
    </row>
    <row r="7" spans="1:9" ht="15.6">
      <c r="A7" s="50" t="str">
        <v>Kaiser - KP3 - SCA Skyport - CN7901 Site</v>
      </c>
      <c r="B7" s="28" t="str">
        <v>CA</v>
      </c>
      <c r="C7" s="16">
        <f>SUM('1st Qtr'!C7, '2nd Qtr'!C7, '3rd Qtr'!C7, '4th Qtr'!C7)</f>
        <v>784072.08084909362</v>
      </c>
      <c r="D7" s="16">
        <f>SUM('1st Qtr'!D7, '2nd Qtr'!D7, '3rd Qtr'!D7, '4th Qtr'!D7)</f>
        <v>816357.73499999999</v>
      </c>
      <c r="E7" s="16">
        <f t="shared" si="0"/>
        <v>-32285.654150906368</v>
      </c>
      <c r="F7" s="17">
        <f t="shared" si="1"/>
        <v>-3.9548414581882255E-2</v>
      </c>
      <c r="G7" s="18">
        <f>SUM('1st Qtr'!G7, '2nd Qtr'!G7, '3rd Qtr'!G7, '4th Qtr'!G7)</f>
        <v>863778.25300000003</v>
      </c>
      <c r="H7" s="18">
        <f>SUM(Jan!H7, Feb!H7, Mar!H7)</f>
        <v>0</v>
      </c>
      <c r="I7" s="17">
        <f t="shared" si="2"/>
        <v>0</v>
      </c>
    </row>
    <row r="8" spans="1:9" ht="15.6">
      <c r="A8" s="51" t="str">
        <v>Irwindale - 12761 Schabarum Ave</v>
      </c>
      <c r="B8" s="26" t="str">
        <v>CA</v>
      </c>
      <c r="C8" s="22">
        <f>SUM('1st Qtr'!C8, '2nd Qtr'!C8, '3rd Qtr'!C8, '4th Qtr'!C8)</f>
        <v>190403.4899999999</v>
      </c>
      <c r="D8" s="12">
        <f>SUM('1st Qtr'!D8, '2nd Qtr'!D8, '3rd Qtr'!D8, '4th Qtr'!D8)</f>
        <v>157469.78899999999</v>
      </c>
      <c r="E8" s="12">
        <f t="shared" si="0"/>
        <v>32933.700999999914</v>
      </c>
      <c r="F8" s="13">
        <f t="shared" si="1"/>
        <v>0.20914298043544033</v>
      </c>
      <c r="G8" s="14">
        <f>SUM('1st Qtr'!G8, '2nd Qtr'!G8, '3rd Qtr'!G8, '4th Qtr'!G8)</f>
        <v>235293.19</v>
      </c>
      <c r="H8" s="14">
        <f>SUM('1st Qtr'!H8, '2nd Qtr'!H8, '3rd Qtr'!H8, '4th Qtr'!H8)</f>
        <v>-44889.700000000099</v>
      </c>
      <c r="I8" s="15">
        <f t="shared" si="2"/>
        <v>-0.19078197715794537</v>
      </c>
    </row>
    <row r="9" spans="1:9" ht="15.6">
      <c r="A9" s="50" t="str">
        <v>Santa Rosa - 2240 Mercury Way</v>
      </c>
      <c r="B9" s="28" t="str">
        <v>CA</v>
      </c>
      <c r="C9" s="16">
        <f>SUM('1st Qtr'!C9, '2nd Qtr'!C9, '3rd Qtr'!C9, '4th Qtr'!C9)</f>
        <v>628694.1103284175</v>
      </c>
      <c r="D9" s="16">
        <f>SUM('1st Qtr'!D9, '2nd Qtr'!D9, '3rd Qtr'!D9, '4th Qtr'!D9)</f>
        <v>700803.11200000008</v>
      </c>
      <c r="E9" s="16">
        <f t="shared" si="0"/>
        <v>-72109.001671582577</v>
      </c>
      <c r="F9" s="17">
        <f t="shared" si="1"/>
        <v>-0.1028948080236016</v>
      </c>
      <c r="G9" s="18">
        <f>SUM('1st Qtr'!G9, '2nd Qtr'!G9, '3rd Qtr'!G9, '4th Qtr'!G9)</f>
        <v>745251</v>
      </c>
      <c r="H9" s="18">
        <f>SUM(Jan!H9, Feb!H9, Mar!H9)</f>
        <v>0</v>
      </c>
      <c r="I9" s="17">
        <f t="shared" si="2"/>
        <v>0</v>
      </c>
    </row>
    <row r="10" spans="1:9" ht="15.6">
      <c r="A10" s="51" t="str">
        <v>Dublin - 3100 Dublin Blvd</v>
      </c>
      <c r="B10" s="26" t="str">
        <v>CA</v>
      </c>
      <c r="C10" s="22">
        <f>SUM('1st Qtr'!C10, '2nd Qtr'!C10, '3rd Qtr'!C10, '4th Qtr'!C10)</f>
        <v>1258809</v>
      </c>
      <c r="D10" s="12">
        <f>SUM('1st Qtr'!D10, '2nd Qtr'!D10, '3rd Qtr'!D10, '4th Qtr'!D10)</f>
        <v>1386021.9719999998</v>
      </c>
      <c r="E10" s="12">
        <f t="shared" si="0"/>
        <v>-127212.97199999983</v>
      </c>
      <c r="F10" s="13">
        <f t="shared" si="1"/>
        <v>-9.1782796066670044E-2</v>
      </c>
      <c r="G10" s="14">
        <f>SUM('1st Qtr'!G10, '2nd Qtr'!G10, '3rd Qtr'!G10, '4th Qtr'!G10)</f>
        <v>1400103.3859999999</v>
      </c>
      <c r="H10" s="14">
        <f>SUM('1st Qtr'!H10, '2nd Qtr'!H10, '3rd Qtr'!H10, '4th Qtr'!H10)</f>
        <v>-141294.386</v>
      </c>
      <c r="I10" s="15">
        <f t="shared" si="2"/>
        <v>-0.10091710898840724</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9" priority="1" stopIfTrue="1" operator="lessThanOrEqual">
      <formula>-0.1</formula>
    </cfRule>
    <cfRule type="expression" dxfId="58"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D4" activePane="bottomRight" state="frozen"/>
      <selection pane="bottomRight" activeCell="D4" sqref="D4"/>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KPCA Investment, LLC</v>
      </c>
      <c r="B1" s="84"/>
      <c r="C1" s="84"/>
      <c r="D1" s="85" t="s">
        <v>10</v>
      </c>
      <c r="E1" s="85"/>
      <c r="F1" s="85"/>
      <c r="G1" s="83" t="s">
        <v>11</v>
      </c>
      <c r="H1" s="83"/>
      <c r="I1" s="83"/>
    </row>
    <row r="2" spans="1:9" ht="19.5" customHeight="1">
      <c r="A2" s="86" t="s">
        <v>2</v>
      </c>
      <c r="B2" s="86"/>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6">
      <c r="A5" s="47" t="str">
        <v>Murrieta - 28150 Keller Rd</v>
      </c>
      <c r="B5" s="10" t="str">
        <v>CA</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6">
      <c r="A6" s="46" t="str">
        <v>La Habra - 601 E Imperial Way</v>
      </c>
      <c r="B6" s="9" t="str">
        <v>CA</v>
      </c>
      <c r="C6" s="22">
        <f>SUM(Jan!C6, Feb!C6, Mar!C6)</f>
        <v>0</v>
      </c>
      <c r="D6" s="12">
        <f>SUM(Jan!D6, Feb!D6, Mar!D6)</f>
        <v>0</v>
      </c>
      <c r="E6" s="12">
        <f t="shared" si="0"/>
        <v>0</v>
      </c>
      <c r="F6" s="13" t="str">
        <f t="shared" ref="F6:F10" si="1">IFERROR(E6/D6, "")</f>
        <v/>
      </c>
      <c r="G6" s="14">
        <f>SUM(Jan!G6, Feb!G6, Mar!G6)</f>
        <v>0</v>
      </c>
      <c r="H6" s="14">
        <f>SUM(Jan!H6, Feb!H6, Mar!H6)</f>
        <v>0</v>
      </c>
      <c r="I6" s="15" t="str">
        <f t="shared" ref="I6:I10" si="2">IFERROR(H6/G6, "")</f>
        <v/>
      </c>
    </row>
    <row r="7" spans="1:9" ht="15.6">
      <c r="A7" s="47" t="str">
        <v>Kaiser - KP3 - SCA Skyport - CN7901 Site</v>
      </c>
      <c r="B7" s="10" t="str">
        <v>CA</v>
      </c>
      <c r="C7" s="11">
        <f>SUM(Jan!C7, Feb!C7, Mar!C7)</f>
        <v>0</v>
      </c>
      <c r="D7" s="16">
        <f>SUM(Jan!D7, Feb!D7, Mar!D7)</f>
        <v>0</v>
      </c>
      <c r="E7" s="16">
        <f t="shared" si="0"/>
        <v>0</v>
      </c>
      <c r="F7" s="17" t="str">
        <f t="shared" si="1"/>
        <v/>
      </c>
      <c r="G7" s="18">
        <f>SUM(Jan!G7, Feb!G7, Mar!G7)</f>
        <v>0</v>
      </c>
      <c r="H7" s="18">
        <f>SUM(Jan!H7, Feb!H7, Mar!H7)</f>
        <v>0</v>
      </c>
      <c r="I7" s="17" t="str">
        <f t="shared" si="2"/>
        <v/>
      </c>
    </row>
    <row r="8" spans="1:9" ht="15.6">
      <c r="A8" s="46" t="str">
        <v>Irwindale - 12761 Schabarum Ave</v>
      </c>
      <c r="B8" s="9" t="str">
        <v>CA</v>
      </c>
      <c r="C8" s="22">
        <f>SUM(Jan!C8, Feb!C8, Mar!C8)</f>
        <v>0</v>
      </c>
      <c r="D8" s="12">
        <f>SUM(Jan!D8, Feb!D8, Mar!D8)</f>
        <v>0</v>
      </c>
      <c r="E8" s="12">
        <f t="shared" si="0"/>
        <v>0</v>
      </c>
      <c r="F8" s="13" t="str">
        <f t="shared" si="1"/>
        <v/>
      </c>
      <c r="G8" s="14">
        <f>SUM(Jan!G8, Feb!G8, Mar!G8)</f>
        <v>0</v>
      </c>
      <c r="H8" s="14">
        <f>SUM(Jan!H8, Feb!H8, Mar!H8)</f>
        <v>0</v>
      </c>
      <c r="I8" s="15" t="str">
        <f t="shared" si="2"/>
        <v/>
      </c>
    </row>
    <row r="9" spans="1:9" ht="15.6">
      <c r="A9" s="47" t="str">
        <v>Santa Rosa - 2240 Mercury Way</v>
      </c>
      <c r="B9" s="10" t="str">
        <v>CA</v>
      </c>
      <c r="C9" s="11">
        <f>SUM(Jan!C9, Feb!C9, Mar!C9)</f>
        <v>0</v>
      </c>
      <c r="D9" s="16">
        <f>SUM(Jan!D9, Feb!D9, Mar!D9)</f>
        <v>0</v>
      </c>
      <c r="E9" s="16">
        <f t="shared" si="0"/>
        <v>0</v>
      </c>
      <c r="F9" s="17" t="str">
        <f t="shared" si="1"/>
        <v/>
      </c>
      <c r="G9" s="18">
        <f>SUM(Jan!G9, Feb!G9, Mar!G9)</f>
        <v>0</v>
      </c>
      <c r="H9" s="18">
        <f>SUM(Jan!H9, Feb!H9, Mar!H9)</f>
        <v>0</v>
      </c>
      <c r="I9" s="17" t="str">
        <f t="shared" si="2"/>
        <v/>
      </c>
    </row>
    <row r="10" spans="1:9" ht="15.6">
      <c r="A10" s="46" t="str">
        <v>Dublin - 3100 Dublin Blvd</v>
      </c>
      <c r="B10" s="9" t="str">
        <v>CA</v>
      </c>
      <c r="C10" s="22">
        <f>SUM(Jan!C10, Feb!C10, Mar!C10)</f>
        <v>0</v>
      </c>
      <c r="D10" s="12">
        <f>SUM(Jan!D10, Feb!D10, Mar!D10)</f>
        <v>0</v>
      </c>
      <c r="E10" s="12">
        <f t="shared" si="0"/>
        <v>0</v>
      </c>
      <c r="F10" s="13" t="str">
        <f t="shared" si="1"/>
        <v/>
      </c>
      <c r="G10" s="14">
        <f>SUM(Jan!G10, Feb!G10, Mar!G10)</f>
        <v>0</v>
      </c>
      <c r="H10" s="14">
        <f>SUM(Jan!H10, Feb!H10, Mar!H10)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E24" sqref="E24"/>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KPCA Investment, LLC</v>
      </c>
      <c r="B1" s="84"/>
      <c r="C1" s="84"/>
      <c r="D1" s="85" t="s">
        <v>12</v>
      </c>
      <c r="E1" s="85"/>
      <c r="F1" s="85"/>
      <c r="G1" s="83" t="s">
        <v>13</v>
      </c>
      <c r="H1" s="83"/>
      <c r="I1" s="83"/>
    </row>
    <row r="2" spans="1:9" ht="19.5" customHeight="1">
      <c r="A2" s="86" t="s">
        <v>2</v>
      </c>
      <c r="B2" s="86"/>
      <c r="C2" s="5">
        <f>SUM(C4:C80)</f>
        <v>1771758.058529947</v>
      </c>
      <c r="D2" s="5">
        <f>SUM(D4:D80)</f>
        <v>1834976.2749999999</v>
      </c>
      <c r="E2" s="5">
        <f>C2-D2</f>
        <v>-63218.216470052954</v>
      </c>
      <c r="F2" s="6">
        <f>IFERROR(E2/D2, 0)</f>
        <v>-3.4451789557907474E-2</v>
      </c>
      <c r="G2" s="5">
        <f>SUM(G4:G80)</f>
        <v>1939577.0290000001</v>
      </c>
      <c r="H2" s="7">
        <f>C2-G2</f>
        <v>-167818.97047005314</v>
      </c>
      <c r="I2" s="6">
        <f>IFERROR(H2/G2, 0)</f>
        <v>-8.6523488348682204E-2</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SUM(Apr!C4, May!C4, Jun!C4)</f>
        <v>105148.9373501324</v>
      </c>
      <c r="D4" s="12">
        <f>SUM(Apr!D4, May!D4, Jun!D4)</f>
        <v>88704.65</v>
      </c>
      <c r="E4" s="12">
        <f>IF(AND(ISNUMBER(C4),ISNUMBER(D4)), C4-D4, "")</f>
        <v>16444.287350132407</v>
      </c>
      <c r="F4" s="13">
        <f>IFERROR(E4/D4, "")</f>
        <v>0.18538247262271379</v>
      </c>
      <c r="G4" s="14">
        <f>SUM(Apr!G4+May!G4+Jun!G4)</f>
        <v>132650</v>
      </c>
      <c r="H4" s="14">
        <f>SUM(Apr!H4, May!H4, Jun!H4)</f>
        <v>-27501.062649867603</v>
      </c>
      <c r="I4" s="15">
        <f>IFERROR(H4/G4, "")</f>
        <v>-0.20732048737178743</v>
      </c>
    </row>
    <row r="5" spans="1:9" ht="15.6">
      <c r="A5" s="47" t="str">
        <v>Murrieta - 28150 Keller Rd</v>
      </c>
      <c r="B5" s="10" t="str">
        <v>CA</v>
      </c>
      <c r="C5" s="11">
        <f>SUM(Apr!C5, May!C5, Jun!C5)</f>
        <v>301660</v>
      </c>
      <c r="D5" s="16">
        <f>SUM(Apr!D5, May!D5, Jun!D5)</f>
        <v>301975.25</v>
      </c>
      <c r="E5" s="16">
        <f t="shared" ref="E5:E10" si="0">IF(AND(ISNUMBER(C5),ISNUMBER(D5)), C5-D5, "")</f>
        <v>-315.25</v>
      </c>
      <c r="F5" s="17">
        <f>IFERROR(E5/D5, "")</f>
        <v>-1.0439597284876824E-3</v>
      </c>
      <c r="G5" s="18">
        <f>SUM(Apr!G5+May!G5+Jun!G5)</f>
        <v>338989.4</v>
      </c>
      <c r="H5" s="18">
        <f>SUM(Apr!H5, May!H5, Jun!H5)</f>
        <v>-37329.400000000009</v>
      </c>
      <c r="I5" s="17">
        <f>IFERROR(H5/G5, "")</f>
        <v>-0.11011966745862851</v>
      </c>
    </row>
    <row r="6" spans="1:9" ht="15.6">
      <c r="A6" s="46" t="str">
        <v>La Habra - 601 E Imperial Way</v>
      </c>
      <c r="B6" s="9" t="str">
        <v>CA</v>
      </c>
      <c r="C6" s="22">
        <f>SUM(Apr!C6, May!C6, Jun!C6)</f>
        <v>60220.630000000099</v>
      </c>
      <c r="D6" s="12">
        <f>SUM(Apr!D6, May!D6, Jun!D6)</f>
        <v>48057.75</v>
      </c>
      <c r="E6" s="12">
        <f t="shared" si="0"/>
        <v>12162.880000000099</v>
      </c>
      <c r="F6" s="13">
        <f t="shared" ref="F6:F10" si="1">IFERROR(E6/D6, "")</f>
        <v>0.25308883582773017</v>
      </c>
      <c r="G6" s="14">
        <f>SUM(Apr!G6+May!G6+Jun!G6)</f>
        <v>67344.570000000007</v>
      </c>
      <c r="H6" s="14">
        <f>SUM(Apr!H6, May!H6, Jun!H6)</f>
        <v>-7123.9399999999005</v>
      </c>
      <c r="I6" s="15">
        <f t="shared" ref="I6:I9" si="2">IFERROR(H6/G6, "")</f>
        <v>-0.10578343584345255</v>
      </c>
    </row>
    <row r="7" spans="1:9" ht="15.6">
      <c r="A7" s="47" t="str">
        <v>Kaiser - KP3 - SCA Skyport - CN7901 Site</v>
      </c>
      <c r="B7" s="10" t="str">
        <v>CA</v>
      </c>
      <c r="C7" s="11">
        <f>SUM(Apr!C7, May!C7, Jun!C7)</f>
        <v>357011.58408212359</v>
      </c>
      <c r="D7" s="16">
        <f>SUM(Apr!D7, May!D7, Jun!D7)</f>
        <v>364194.08999999997</v>
      </c>
      <c r="E7" s="16">
        <f t="shared" si="0"/>
        <v>-7182.5059178763768</v>
      </c>
      <c r="F7" s="17">
        <f t="shared" si="1"/>
        <v>-1.9721643253124668E-2</v>
      </c>
      <c r="G7" s="18">
        <f>SUM(Apr!G7+May!G7+Jun!G7)</f>
        <v>372880.58900000004</v>
      </c>
      <c r="H7" s="18">
        <f>SUM(Apr!H7, May!H7, Jun!H7)</f>
        <v>-15869.004917876417</v>
      </c>
      <c r="I7" s="17">
        <f t="shared" si="2"/>
        <v>-4.2557873447996553E-2</v>
      </c>
    </row>
    <row r="8" spans="1:9" ht="15.6">
      <c r="A8" s="46" t="str">
        <v>Irwindale - 12761 Schabarum Ave</v>
      </c>
      <c r="B8" s="9" t="str">
        <v>CA</v>
      </c>
      <c r="C8" s="22">
        <f>SUM(Apr!C8, May!C8, Jun!C8)</f>
        <v>84093.869999999908</v>
      </c>
      <c r="D8" s="12">
        <f>SUM(Apr!D8, May!D8, Jun!D8)</f>
        <v>65700.179999999993</v>
      </c>
      <c r="E8" s="12">
        <f t="shared" si="0"/>
        <v>18393.689999999915</v>
      </c>
      <c r="F8" s="13">
        <f t="shared" si="1"/>
        <v>0.27996407315778915</v>
      </c>
      <c r="G8" s="14">
        <f>SUM(Apr!G8+May!G8+Jun!G8)</f>
        <v>95470.97</v>
      </c>
      <c r="H8" s="14">
        <f>SUM(Apr!H8, May!H8, Jun!H8)</f>
        <v>-11377.100000000097</v>
      </c>
      <c r="I8" s="15">
        <f>IFERROR(H8/G8, "")</f>
        <v>-0.11916816179829426</v>
      </c>
    </row>
    <row r="9" spans="1:9" ht="15.6">
      <c r="A9" s="47" t="str">
        <v>Santa Rosa - 2240 Mercury Way</v>
      </c>
      <c r="B9" s="10" t="str">
        <v>CA</v>
      </c>
      <c r="C9" s="11">
        <f>SUM(Apr!C9, May!C9, Jun!C9)</f>
        <v>294721.03709769092</v>
      </c>
      <c r="D9" s="16">
        <f>SUM(Apr!D9, May!D9, Jun!D9)</f>
        <v>315356.7</v>
      </c>
      <c r="E9" s="16">
        <f t="shared" si="0"/>
        <v>-20635.662902309094</v>
      </c>
      <c r="F9" s="17">
        <f t="shared" si="1"/>
        <v>-6.5435942544772613E-2</v>
      </c>
      <c r="G9" s="18">
        <f>SUM(Apr!G9+May!G9+Jun!G9)</f>
        <v>324424</v>
      </c>
      <c r="H9" s="18">
        <f>SUM(Apr!H9, May!H9, Jun!H9)</f>
        <v>-29702.962902309111</v>
      </c>
      <c r="I9" s="17">
        <f t="shared" si="2"/>
        <v>-9.1555997405583775E-2</v>
      </c>
    </row>
    <row r="10" spans="1:9" ht="15.6">
      <c r="A10" s="46" t="str">
        <v>Dublin - 3100 Dublin Blvd</v>
      </c>
      <c r="B10" s="9" t="str">
        <v>CA</v>
      </c>
      <c r="C10" s="22">
        <f>SUM(Apr!C10, May!C10, Jun!C10)</f>
        <v>568902</v>
      </c>
      <c r="D10" s="12">
        <f>SUM(Apr!D10, May!D10, Jun!D10)</f>
        <v>650987.65500000003</v>
      </c>
      <c r="E10" s="12">
        <f t="shared" si="0"/>
        <v>-82085.655000000028</v>
      </c>
      <c r="F10" s="13">
        <f t="shared" si="1"/>
        <v>-0.12609402708258735</v>
      </c>
      <c r="G10" s="14">
        <f>SUM(Apr!G10+May!G10+Jun!G10)</f>
        <v>607817.5</v>
      </c>
      <c r="H10" s="14">
        <f>SUM(Apr!H10, May!H10, Jun!H10)</f>
        <v>-38915.5</v>
      </c>
      <c r="I10" s="15">
        <f>IFERROR(H10/G10, "")</f>
        <v>-6.4024974601751342E-2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C23" sqref="C23"/>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KPCA Investment, LLC</v>
      </c>
      <c r="B1" s="84"/>
      <c r="C1" s="84"/>
      <c r="D1" s="85" t="s">
        <v>14</v>
      </c>
      <c r="E1" s="85"/>
      <c r="F1" s="85"/>
      <c r="G1" s="83" t="s">
        <v>15</v>
      </c>
      <c r="H1" s="83"/>
      <c r="I1" s="83"/>
    </row>
    <row r="2" spans="1:9" ht="19.5" customHeight="1">
      <c r="A2" s="86" t="s">
        <v>2</v>
      </c>
      <c r="B2" s="86"/>
      <c r="C2" s="5">
        <f>SUM(C4:C79)</f>
        <v>1583161.5404251381</v>
      </c>
      <c r="D2" s="5">
        <f>SUM(D4:D79)</f>
        <v>1688703.693</v>
      </c>
      <c r="E2" s="5">
        <f>C2-D2</f>
        <v>-105542.15257486189</v>
      </c>
      <c r="F2" s="6">
        <f>IFERROR(E2/D2, 0)</f>
        <v>-6.2498917372156119E-2</v>
      </c>
      <c r="G2" s="5">
        <f>SUM(G4:G79)</f>
        <v>1914876.3540000001</v>
      </c>
      <c r="H2" s="7">
        <f>C2-G2</f>
        <v>-331714.81357486197</v>
      </c>
      <c r="I2" s="6">
        <f>IFERROR(H2/G2, 0)</f>
        <v>-0.17323040878432716</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SUM(Jul!C4, Aug!C4, Sep!C4)</f>
        <v>90434.252480722294</v>
      </c>
      <c r="D4" s="12">
        <f>SUM(Jul!D4, Aug!D4, Sep!D4)</f>
        <v>87474.947</v>
      </c>
      <c r="E4" s="12">
        <f>IF(AND(ISNUMBER(C4),ISNUMBER(D4)), C4-D4, "")</f>
        <v>2959.3054807222943</v>
      </c>
      <c r="F4" s="13">
        <f>IFERROR(E4/D4, "")</f>
        <v>3.3830320362723904E-2</v>
      </c>
      <c r="G4" s="14">
        <f>SUM(Jul!G4,Aug!G4,Sep!G4)</f>
        <v>129673</v>
      </c>
      <c r="H4" s="14">
        <f>SUM(Jul!H4, Aug!H4, Sep!H4)</f>
        <v>-39238.747519277706</v>
      </c>
      <c r="I4" s="15">
        <f t="shared" ref="I4:I9" si="0">IFERROR(H4/G4, "")</f>
        <v>-0.30259766890006173</v>
      </c>
    </row>
    <row r="5" spans="1:9" ht="15.6">
      <c r="A5" s="47" t="str">
        <v>Murrieta - 28150 Keller Rd</v>
      </c>
      <c r="B5" s="10" t="str">
        <v>CA</v>
      </c>
      <c r="C5" s="11">
        <f>SUM(Jul!C5, Aug!C5, Sep!C5)</f>
        <v>289564.5</v>
      </c>
      <c r="D5" s="16">
        <f>SUM(Jul!D5, Aug!D5, Sep!D5)</f>
        <v>296131.788</v>
      </c>
      <c r="E5" s="16">
        <f t="shared" ref="E5:E10" si="1">IF(AND(ISNUMBER(C5),ISNUMBER(D5)), C5-D5, "")</f>
        <v>-6567.2880000000005</v>
      </c>
      <c r="F5" s="17">
        <f>IFERROR(E5/D5, "")</f>
        <v>-2.2176909964154206E-2</v>
      </c>
      <c r="G5" s="16">
        <f>SUM(Jul!G5,Aug!G5,Sep!G5)</f>
        <v>349616.033</v>
      </c>
      <c r="H5" s="18">
        <f>SUM(Jul!H5, Aug!H5, Sep!H5)</f>
        <v>-60051.532999999996</v>
      </c>
      <c r="I5" s="17">
        <f t="shared" si="0"/>
        <v>-0.17176424228805318</v>
      </c>
    </row>
    <row r="6" spans="1:9" ht="15.6">
      <c r="A6" s="46" t="str">
        <v>La Habra - 601 E Imperial Way</v>
      </c>
      <c r="B6" s="9" t="str">
        <v>CA</v>
      </c>
      <c r="C6" s="22">
        <f>SUM(Jul!C6, Aug!C6, Sep!C6)</f>
        <v>61294.870000000104</v>
      </c>
      <c r="D6" s="12">
        <f>SUM(Jul!D6, Aug!D6, Sep!D6)</f>
        <v>48470.569999999992</v>
      </c>
      <c r="E6" s="12">
        <f t="shared" si="1"/>
        <v>12824.300000000112</v>
      </c>
      <c r="F6" s="13">
        <f t="shared" ref="F6:F10" si="2">IFERROR(E6/D6, "")</f>
        <v>0.26457910439262655</v>
      </c>
      <c r="G6" s="14">
        <f>SUM(Jul!G6,Aug!G6,Sep!G6)</f>
        <v>72455.726999999999</v>
      </c>
      <c r="H6" s="14">
        <f>SUM(Jul!H6, Aug!H6, Sep!H6)</f>
        <v>-11160.856999999904</v>
      </c>
      <c r="I6" s="15">
        <f t="shared" si="0"/>
        <v>-0.15403691967647917</v>
      </c>
    </row>
    <row r="7" spans="1:9" ht="15.6">
      <c r="A7" s="47" t="str">
        <v>Kaiser - KP3 - SCA Skyport - CN7901 Site</v>
      </c>
      <c r="B7" s="10" t="str">
        <v>CA</v>
      </c>
      <c r="C7" s="11">
        <f>SUM(Jul!C7, Aug!C7, Sep!C7)</f>
        <v>312541.08676696999</v>
      </c>
      <c r="D7" s="16">
        <f>SUM(Jul!D7, Aug!D7, Sep!D7)</f>
        <v>330562.61900000001</v>
      </c>
      <c r="E7" s="16">
        <f t="shared" si="1"/>
        <v>-18021.532233030011</v>
      </c>
      <c r="F7" s="17">
        <f t="shared" si="2"/>
        <v>-5.4517756083696842E-2</v>
      </c>
      <c r="G7" s="16">
        <f>SUM(Jul!G7,Aug!G7,Sep!G7)</f>
        <v>363579.23400000005</v>
      </c>
      <c r="H7" s="18">
        <f>SUM(Jul!H7, Aug!H7, Sep!H7)</f>
        <v>-51038.147233030002</v>
      </c>
      <c r="I7" s="17">
        <f t="shared" si="0"/>
        <v>-0.14037695902354533</v>
      </c>
    </row>
    <row r="8" spans="1:9" ht="15.6">
      <c r="A8" s="46" t="str">
        <v>Irwindale - 12761 Schabarum Ave</v>
      </c>
      <c r="B8" s="9" t="str">
        <v>CA</v>
      </c>
      <c r="C8" s="22">
        <f>SUM(Jul!C8, Aug!C8, Sep!C8)</f>
        <v>75985.300000000105</v>
      </c>
      <c r="D8" s="12">
        <f>SUM(Jul!D8, Aug!D8, Sep!D8)</f>
        <v>65616.524000000005</v>
      </c>
      <c r="E8" s="12">
        <f t="shared" si="1"/>
        <v>10368.7760000001</v>
      </c>
      <c r="F8" s="13">
        <f t="shared" si="2"/>
        <v>0.15802080585677014</v>
      </c>
      <c r="G8" s="14">
        <f>SUM(Jul!G8,Aug!G8,Sep!G8)</f>
        <v>98977.860000000015</v>
      </c>
      <c r="H8" s="14">
        <f>SUM(Jul!H8, Aug!H8, Sep!H8)</f>
        <v>-22992.559999999903</v>
      </c>
      <c r="I8" s="15">
        <f t="shared" si="0"/>
        <v>-0.23230003154240655</v>
      </c>
    </row>
    <row r="9" spans="1:9" ht="15.6">
      <c r="A9" s="47" t="str">
        <v>Santa Rosa - 2240 Mercury Way</v>
      </c>
      <c r="B9" s="10" t="str">
        <v>CA</v>
      </c>
      <c r="C9" s="11">
        <f>SUM(Jul!C9, Aug!C9, Sep!C9)</f>
        <v>253233.53117744549</v>
      </c>
      <c r="D9" s="16">
        <f>SUM(Jul!D9, Aug!D9, Sep!D9)</f>
        <v>293509.22499999998</v>
      </c>
      <c r="E9" s="16">
        <f t="shared" si="1"/>
        <v>-40275.693822554487</v>
      </c>
      <c r="F9" s="17">
        <f t="shared" si="2"/>
        <v>-0.13722121961432215</v>
      </c>
      <c r="G9" s="16">
        <f>SUM(Jul!G9,Aug!G9,Sep!G9)</f>
        <v>311213</v>
      </c>
      <c r="H9" s="18">
        <f>SUM(Jul!H9, Aug!H9, Sep!H9)</f>
        <v>-57979.468822554496</v>
      </c>
      <c r="I9" s="17">
        <f t="shared" si="0"/>
        <v>-0.18630156459580574</v>
      </c>
    </row>
    <row r="10" spans="1:9" ht="15.6">
      <c r="A10" s="46" t="str">
        <v>Dublin - 3100 Dublin Blvd</v>
      </c>
      <c r="B10" s="9" t="str">
        <v>CA</v>
      </c>
      <c r="C10" s="22">
        <f>SUM(Jul!C10, Aug!C10, Sep!C10)</f>
        <v>500108</v>
      </c>
      <c r="D10" s="12">
        <f>SUM(Jul!D10, Aug!D10, Sep!D10)</f>
        <v>566938.0199999999</v>
      </c>
      <c r="E10" s="12">
        <f t="shared" si="1"/>
        <v>-66830.019999999902</v>
      </c>
      <c r="F10" s="13">
        <f t="shared" si="2"/>
        <v>-0.11787888206897804</v>
      </c>
      <c r="G10" s="14">
        <f>SUM(Jul!G10,Aug!G10,Sep!G10)</f>
        <v>589361.5</v>
      </c>
      <c r="H10" s="14">
        <f>SUM(Jul!H10, Aug!H10, Sep!H10)</f>
        <v>-89253.5</v>
      </c>
      <c r="I10" s="15">
        <f>IFERROR(H10/G10, "")</f>
        <v>-0.15144100861695242</v>
      </c>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G21" sqref="G2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KPCA Investment, LLC</v>
      </c>
      <c r="B1" s="84"/>
      <c r="C1" s="84"/>
      <c r="D1" s="85" t="s">
        <v>16</v>
      </c>
      <c r="E1" s="85"/>
      <c r="F1" s="85"/>
      <c r="G1" s="83" t="s">
        <v>17</v>
      </c>
      <c r="H1" s="83"/>
      <c r="I1" s="83"/>
    </row>
    <row r="2" spans="1:9" ht="19.5" customHeight="1">
      <c r="A2" s="86" t="s">
        <v>2</v>
      </c>
      <c r="B2" s="86"/>
      <c r="C2" s="5">
        <f>SUM(C4:C80)</f>
        <v>588216.80884863506</v>
      </c>
      <c r="D2" s="5">
        <f>SUM(D4:D80)</f>
        <v>591520.397</v>
      </c>
      <c r="E2" s="5">
        <f>C2-D2</f>
        <v>-3303.5881513649365</v>
      </c>
      <c r="F2" s="6">
        <f>IFERROR(E2/D2, 0)</f>
        <v>-5.5849099508988474E-3</v>
      </c>
      <c r="G2" s="5">
        <f>SUM(G4:G80)</f>
        <v>712401.446</v>
      </c>
      <c r="H2" s="7">
        <f>C2-G2</f>
        <v>-124184.63715136494</v>
      </c>
      <c r="I2" s="6">
        <f>IFERROR(H2/G2, 0)</f>
        <v>-0.17431833953824533</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SUM(Oct!C4, Nov!C4, Dec!C4)</f>
        <v>19199.236795354002</v>
      </c>
      <c r="D4" s="12">
        <f>SUM(Oct!D4, Nov!D4, Dec!D4)</f>
        <v>36445.61</v>
      </c>
      <c r="E4" s="12">
        <f>IF(AND(ISNUMBER(C4),ISNUMBER(D4)), C4-D4, "")</f>
        <v>-17246.373204645999</v>
      </c>
      <c r="F4" s="13">
        <f>IFERROR(E4/D4, "")</f>
        <v>-0.47320852098911226</v>
      </c>
      <c r="G4" s="14">
        <f>SUM(Oct!G4,Nov!G4,Dec!G4)</f>
        <v>54169</v>
      </c>
      <c r="H4" s="14">
        <f>SUM(Oct!H4, Nov!H4, Dec!H4)</f>
        <v>-34969.763204645998</v>
      </c>
      <c r="I4" s="15">
        <f>IFERROR(H4/G4, "")</f>
        <v>-0.64556781931817087</v>
      </c>
    </row>
    <row r="5" spans="1:9" ht="15.6">
      <c r="A5" s="47" t="str">
        <v>Murrieta - 28150 Keller Rd</v>
      </c>
      <c r="B5" s="10" t="str">
        <v>CA</v>
      </c>
      <c r="C5" s="11">
        <f>SUM(Oct!C5, Nov!C5, Dec!C5)</f>
        <v>127480</v>
      </c>
      <c r="D5" s="16">
        <f>SUM(Oct!D5, Nov!D5, Dec!D5)</f>
        <v>126847.38</v>
      </c>
      <c r="E5" s="16">
        <f t="shared" ref="E5:E10" si="0">IF(AND(ISNUMBER(C5),ISNUMBER(D5)), C5-D5, "")</f>
        <v>632.61999999999534</v>
      </c>
      <c r="F5" s="17">
        <f>IFERROR(E5/D5, "")</f>
        <v>4.98725318567869E-3</v>
      </c>
      <c r="G5" s="16">
        <f>SUM(Oct!G5,Nov!G5,Dec!G5)</f>
        <v>146464.35</v>
      </c>
      <c r="H5" s="18">
        <f>SUM(Oct!H5, Nov!H5, Dec!H5)</f>
        <v>-18984.350000000006</v>
      </c>
      <c r="I5" s="17">
        <f>IFERROR(H5/G5, "")</f>
        <v>-0.12961754857069319</v>
      </c>
    </row>
    <row r="6" spans="1:9" ht="15.6">
      <c r="A6" s="46" t="str">
        <v>La Habra - 601 E Imperial Way</v>
      </c>
      <c r="B6" s="9" t="str">
        <v>CA</v>
      </c>
      <c r="C6" s="22">
        <f>SUM(Oct!C6, Nov!C6, Dec!C6)</f>
        <v>26155.3</v>
      </c>
      <c r="D6" s="12">
        <f>SUM(Oct!D6, Nov!D6, Dec!D6)</f>
        <v>20439.811999999998</v>
      </c>
      <c r="E6" s="12">
        <f t="shared" si="0"/>
        <v>5715.4880000000012</v>
      </c>
      <c r="F6" s="13">
        <f t="shared" ref="F6:F10" si="1">IFERROR(E6/D6, "")</f>
        <v>0.27962527248293684</v>
      </c>
      <c r="G6" s="14">
        <f>SUM(Oct!G6,Nov!G6,Dec!G6)</f>
        <v>31066.92</v>
      </c>
      <c r="H6" s="14">
        <f>SUM(Oct!H6, Nov!H6, Dec!H6)</f>
        <v>-4911.619999999999</v>
      </c>
      <c r="I6" s="15">
        <f t="shared" ref="I6:I10" si="2">IFERROR(H6/G6, "")</f>
        <v>-0.15809806701147069</v>
      </c>
    </row>
    <row r="7" spans="1:9" ht="15.6">
      <c r="A7" s="47" t="str">
        <v>Kaiser - KP3 - SCA Skyport - CN7901 Site</v>
      </c>
      <c r="B7" s="10" t="str">
        <v>CA</v>
      </c>
      <c r="C7" s="11">
        <f>SUM(Oct!C7, Nov!C7, Dec!C7)</f>
        <v>114519.41</v>
      </c>
      <c r="D7" s="16">
        <f>SUM(Oct!D7, Nov!D7, Dec!D7)</f>
        <v>121601.026</v>
      </c>
      <c r="E7" s="16">
        <f t="shared" si="0"/>
        <v>-7081.6159999999945</v>
      </c>
      <c r="F7" s="17">
        <f t="shared" si="1"/>
        <v>-5.8236482313890961E-2</v>
      </c>
      <c r="G7" s="16">
        <f>SUM(Oct!G7,Nov!G7,Dec!G7)</f>
        <v>127318.43</v>
      </c>
      <c r="H7" s="18">
        <f>SUM(Oct!H7, Nov!H7, Dec!H7)</f>
        <v>-12799.019999999997</v>
      </c>
      <c r="I7" s="17">
        <f t="shared" si="2"/>
        <v>-0.10052762981761554</v>
      </c>
    </row>
    <row r="8" spans="1:9" ht="15.6">
      <c r="A8" s="46" t="str">
        <v>Irwindale - 12761 Schabarum Ave</v>
      </c>
      <c r="B8" s="9" t="str">
        <v>CA</v>
      </c>
      <c r="C8" s="22">
        <f>SUM(Oct!C8, Nov!C8, Dec!C8)</f>
        <v>30324.319999999901</v>
      </c>
      <c r="D8" s="12">
        <f>SUM(Oct!D8, Nov!D8, Dec!D8)</f>
        <v>26153.084999999999</v>
      </c>
      <c r="E8" s="12">
        <f t="shared" si="0"/>
        <v>4171.2349999999024</v>
      </c>
      <c r="F8" s="13">
        <f t="shared" si="1"/>
        <v>0.15949303877534535</v>
      </c>
      <c r="G8" s="14">
        <f>SUM(Oct!G8,Nov!G8,Dec!G8)</f>
        <v>40844.36</v>
      </c>
      <c r="H8" s="14">
        <f>SUM(Oct!H8,Nov!H8,Dec!H8)</f>
        <v>-10520.040000000099</v>
      </c>
      <c r="I8" s="15">
        <f t="shared" si="2"/>
        <v>-0.25756407983868762</v>
      </c>
    </row>
    <row r="9" spans="1:9" ht="15.6">
      <c r="A9" s="47" t="str">
        <v>Santa Rosa - 2240 Mercury Way</v>
      </c>
      <c r="B9" s="10" t="str">
        <v>CA</v>
      </c>
      <c r="C9" s="11">
        <f>SUM(Oct!C9, Nov!C9, Dec!C9)</f>
        <v>80739.542053281097</v>
      </c>
      <c r="D9" s="16">
        <f>SUM(Oct!D9, Nov!D9, Dec!D9)</f>
        <v>91937.187000000005</v>
      </c>
      <c r="E9" s="16">
        <f t="shared" si="0"/>
        <v>-11197.644946718909</v>
      </c>
      <c r="F9" s="17">
        <f t="shared" si="1"/>
        <v>-0.12179668871877609</v>
      </c>
      <c r="G9" s="16">
        <f>SUM(Oct!G9,Nov!G9,Dec!G9)</f>
        <v>109614</v>
      </c>
      <c r="H9" s="18">
        <f>SUM(Oct!H9,Nov!H9,Dec!H9)</f>
        <v>-28874.4579467189</v>
      </c>
      <c r="I9" s="17">
        <f t="shared" si="2"/>
        <v>-0.26341943498749154</v>
      </c>
    </row>
    <row r="10" spans="1:9" ht="15.6">
      <c r="A10" s="46" t="str">
        <v>Dublin - 3100 Dublin Blvd</v>
      </c>
      <c r="B10" s="9" t="str">
        <v>CA</v>
      </c>
      <c r="C10" s="22">
        <f>SUM(Oct!C10, Nov!C10, Dec!C10)</f>
        <v>189799</v>
      </c>
      <c r="D10" s="12">
        <f>SUM(Oct!D10, Nov!D10, Dec!D10)</f>
        <v>168096.29699999999</v>
      </c>
      <c r="E10" s="12">
        <f t="shared" si="0"/>
        <v>21702.703000000009</v>
      </c>
      <c r="F10" s="13">
        <f t="shared" si="1"/>
        <v>0.12910875127725158</v>
      </c>
      <c r="G10" s="14">
        <f>SUM(Oct!G10,Nov!G10,Dec!G10)</f>
        <v>202924.386</v>
      </c>
      <c r="H10" s="14">
        <f>SUM(Oct!H10,Nov!H10,Dec!H10)</f>
        <v>-13125.385999999999</v>
      </c>
      <c r="I10" s="15">
        <f t="shared" si="2"/>
        <v>-6.4681166510958413E-2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4" t="str" cm="1">
        <f t="array" ref="A1">portfolio</f>
        <v>KPCA Investment, LLC</v>
      </c>
      <c r="B1" s="84"/>
      <c r="C1" s="84"/>
      <c r="D1" s="85" t="s">
        <v>18</v>
      </c>
      <c r="E1" s="85"/>
      <c r="F1" s="85"/>
      <c r="G1" s="83" t="s">
        <v>19</v>
      </c>
      <c r="H1" s="83"/>
      <c r="I1" s="83"/>
      <c r="J1" s="4"/>
      <c r="K1" s="4"/>
    </row>
    <row r="2" spans="1:13" ht="19.5" customHeight="1">
      <c r="A2" s="86" t="s">
        <v>2</v>
      </c>
      <c r="B2" s="86"/>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6">
      <c r="A4" s="57"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Murrieta - 28150 Keller Rd</v>
      </c>
      <c r="B5" s="29" t="str">
        <v>CA</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6">
      <c r="A6" s="51" t="str">
        <v>La Habra - 601 E Imperial Way</v>
      </c>
      <c r="B6" s="27" t="str">
        <v>CA</v>
      </c>
      <c r="C6" s="22"/>
      <c r="D6" s="12"/>
      <c r="E6" s="12" t="str">
        <f t="shared" si="0"/>
        <v/>
      </c>
      <c r="F6" s="13" t="str">
        <f t="shared" si="1"/>
        <v/>
      </c>
      <c r="G6" s="14"/>
      <c r="H6" s="14" t="str">
        <f t="shared" si="2"/>
        <v/>
      </c>
      <c r="I6" s="15" t="str">
        <f t="shared" ref="I6:I10" si="3">IFERROR(H6/G6, "")</f>
        <v/>
      </c>
      <c r="J6" s="39"/>
      <c r="K6" s="59"/>
      <c r="L6" s="63"/>
    </row>
    <row r="7" spans="1:13" ht="15.6">
      <c r="A7" s="50" t="str">
        <v>Kaiser - KP3 - SCA Skyport - CN7901 Site</v>
      </c>
      <c r="B7" s="29" t="str">
        <v>CA</v>
      </c>
      <c r="C7" s="16"/>
      <c r="D7" s="16"/>
      <c r="E7" s="16" t="str">
        <f t="shared" si="0"/>
        <v/>
      </c>
      <c r="F7" s="16" t="str">
        <f t="shared" si="1"/>
        <v/>
      </c>
      <c r="G7" s="18"/>
      <c r="H7" s="18" t="str">
        <f t="shared" ref="H7:H10" si="4">IF(AND(ISNUMBER(C7),ISNUMBER(G7)), C7-G7, "")</f>
        <v/>
      </c>
      <c r="I7" s="17" t="str">
        <f t="shared" si="3"/>
        <v/>
      </c>
      <c r="J7" s="40"/>
      <c r="K7" s="40"/>
    </row>
    <row r="8" spans="1:13" ht="15.6">
      <c r="A8" s="51" t="str">
        <v>Irwindale - 12761 Schabarum Ave</v>
      </c>
      <c r="B8" s="27" t="str">
        <v>CA</v>
      </c>
      <c r="C8" s="22"/>
      <c r="D8" s="12"/>
      <c r="E8" s="12" t="str">
        <f t="shared" si="0"/>
        <v/>
      </c>
      <c r="F8" s="43" t="str">
        <f t="shared" si="1"/>
        <v/>
      </c>
      <c r="G8" s="14"/>
      <c r="H8" s="14" t="str">
        <f t="shared" si="4"/>
        <v/>
      </c>
      <c r="I8" s="15" t="str">
        <f t="shared" si="3"/>
        <v/>
      </c>
      <c r="J8" s="39"/>
      <c r="K8" s="59"/>
      <c r="L8" s="62"/>
      <c r="M8" s="62"/>
    </row>
    <row r="9" spans="1:13" ht="15.6">
      <c r="A9" s="50" t="str">
        <v>Santa Rosa - 2240 Mercury Way</v>
      </c>
      <c r="B9" s="29" t="str">
        <v>CA</v>
      </c>
      <c r="C9" s="16"/>
      <c r="D9" s="16"/>
      <c r="E9" s="16" t="str">
        <f t="shared" si="0"/>
        <v/>
      </c>
      <c r="F9" s="64" t="str">
        <f t="shared" si="1"/>
        <v/>
      </c>
      <c r="G9" s="18"/>
      <c r="H9" s="18" t="str">
        <f t="shared" si="4"/>
        <v/>
      </c>
      <c r="I9" s="17" t="str">
        <f t="shared" si="3"/>
        <v/>
      </c>
      <c r="J9" s="40"/>
      <c r="K9" s="61"/>
      <c r="L9" s="62"/>
    </row>
    <row r="10" spans="1:13" ht="15.6">
      <c r="A10" s="51" t="str">
        <v>Dublin - 3100 Dublin Blvd</v>
      </c>
      <c r="B10" s="27" t="str">
        <v>CA</v>
      </c>
      <c r="C10" s="22"/>
      <c r="D10" s="12"/>
      <c r="E10" s="12" t="str">
        <f t="shared" si="0"/>
        <v/>
      </c>
      <c r="F10" s="43" t="str">
        <f t="shared" si="1"/>
        <v/>
      </c>
      <c r="G10" s="14"/>
      <c r="H10" s="14" t="str">
        <f t="shared" si="4"/>
        <v/>
      </c>
      <c r="I10" s="15" t="str">
        <f t="shared" si="3"/>
        <v/>
      </c>
      <c r="J10" s="39"/>
      <c r="K10" s="59"/>
      <c r="L10" s="62"/>
      <c r="M10" s="62"/>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9" priority="12" stopIfTrue="1" operator="lessThanOrEqual">
      <formula>-0.1</formula>
    </cfRule>
    <cfRule type="expression" dxfId="48" priority="13">
      <formula>AND(ISNUMBER(F2), F2&gt;=0.1)</formula>
    </cfRule>
  </conditionalFormatting>
  <conditionalFormatting sqref="F4">
    <cfRule type="cellIs" dxfId="47" priority="3" stopIfTrue="1" operator="lessThanOrEqual">
      <formula>-0.1</formula>
    </cfRule>
    <cfRule type="expression" dxfId="46" priority="4">
      <formula>AND(ISNUMBER(F4), F4&gt;=0.1)</formula>
    </cfRule>
  </conditionalFormatting>
  <conditionalFormatting sqref="F6">
    <cfRule type="cellIs" dxfId="45" priority="1" stopIfTrue="1" operator="lessThanOrEqual">
      <formula>-0.1</formula>
    </cfRule>
    <cfRule type="expression" dxfId="44" priority="2">
      <formula>AND(ISNUMBER(F6), F6&gt;=0.1)</formula>
    </cfRule>
  </conditionalFormatting>
  <conditionalFormatting sqref="F11:F79">
    <cfRule type="cellIs" dxfId="43" priority="5" stopIfTrue="1" operator="lessThanOrEqual">
      <formula>-0.1</formula>
    </cfRule>
    <cfRule type="expression" dxfId="42"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4" t="str" cm="1">
        <f t="array" ref="A1">portfolio</f>
        <v>KPCA Investment, LLC</v>
      </c>
      <c r="B1" s="84"/>
      <c r="C1" s="84"/>
      <c r="D1" s="85" t="s">
        <v>22</v>
      </c>
      <c r="E1" s="85"/>
      <c r="F1" s="85"/>
      <c r="G1" s="83" t="s">
        <v>23</v>
      </c>
      <c r="H1" s="83"/>
      <c r="I1" s="83"/>
      <c r="J1" s="4"/>
      <c r="K1" s="4"/>
    </row>
    <row r="2" spans="1:14" ht="19.5" customHeight="1">
      <c r="A2" s="86" t="s">
        <v>2</v>
      </c>
      <c r="B2" s="86"/>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Murrieta - 28150 Keller Rd</v>
      </c>
      <c r="B5" s="29" t="str">
        <v>CA</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La Habra - 601 E Imperial Way</v>
      </c>
      <c r="B6" s="27" t="str">
        <v>CA</v>
      </c>
      <c r="C6" s="22"/>
      <c r="D6" s="12"/>
      <c r="E6" s="12" t="str">
        <f t="shared" si="0"/>
        <v/>
      </c>
      <c r="F6" s="13" t="str">
        <f t="shared" si="1"/>
        <v/>
      </c>
      <c r="G6" s="14"/>
      <c r="H6" s="14" t="str">
        <f t="shared" si="2"/>
        <v/>
      </c>
      <c r="I6" s="15" t="str">
        <f t="shared" ref="I6:I10" si="3">IFERROR(H6/G6, "")</f>
        <v/>
      </c>
      <c r="J6" s="39"/>
      <c r="K6" s="59"/>
      <c r="L6" s="66"/>
    </row>
    <row r="7" spans="1:14" ht="15.6">
      <c r="A7" s="28" t="str">
        <v>Kaiser - KP3 - SCA Skyport - CN7901 Site</v>
      </c>
      <c r="B7" s="29" t="str">
        <v>CA</v>
      </c>
      <c r="C7" s="11"/>
      <c r="D7" s="16"/>
      <c r="E7" s="16" t="str">
        <f t="shared" si="0"/>
        <v/>
      </c>
      <c r="F7" s="17" t="str">
        <f t="shared" si="1"/>
        <v/>
      </c>
      <c r="G7" s="18"/>
      <c r="H7" s="18" t="str">
        <f t="shared" si="2"/>
        <v/>
      </c>
      <c r="I7" s="17" t="str">
        <f t="shared" si="3"/>
        <v/>
      </c>
      <c r="J7" s="40"/>
      <c r="K7" s="41"/>
    </row>
    <row r="8" spans="1:14" ht="97.5" customHeight="1">
      <c r="A8" s="26" t="str">
        <v>Irwindale - 12761 Schabarum Ave</v>
      </c>
      <c r="B8" s="27" t="str">
        <v>CA</v>
      </c>
      <c r="C8" s="22"/>
      <c r="D8" s="12"/>
      <c r="E8" s="12" t="str">
        <f t="shared" si="0"/>
        <v/>
      </c>
      <c r="F8" s="13" t="str">
        <f t="shared" si="1"/>
        <v/>
      </c>
      <c r="G8" s="14"/>
      <c r="H8" s="14" t="str">
        <f t="shared" si="2"/>
        <v/>
      </c>
      <c r="I8" s="15" t="str">
        <f t="shared" si="3"/>
        <v/>
      </c>
      <c r="J8" s="39"/>
      <c r="K8" s="59"/>
      <c r="L8" s="66"/>
      <c r="M8" s="66"/>
    </row>
    <row r="9" spans="1:14" ht="98.25" customHeight="1">
      <c r="A9" s="28" t="str">
        <v>Santa Rosa - 2240 Mercury Way</v>
      </c>
      <c r="B9" s="29" t="str">
        <v>CA</v>
      </c>
      <c r="C9" s="11"/>
      <c r="D9" s="16"/>
      <c r="E9" s="16" t="str">
        <f t="shared" si="0"/>
        <v/>
      </c>
      <c r="F9" s="17" t="str">
        <f t="shared" si="1"/>
        <v/>
      </c>
      <c r="G9" s="18"/>
      <c r="H9" s="18" t="str">
        <f t="shared" si="2"/>
        <v/>
      </c>
      <c r="I9" s="17" t="str">
        <f t="shared" si="3"/>
        <v/>
      </c>
      <c r="J9" s="40"/>
      <c r="K9" s="60"/>
      <c r="L9" s="66"/>
      <c r="M9" s="66"/>
    </row>
    <row r="10" spans="1:14" ht="97.5" customHeight="1">
      <c r="A10" s="26" t="str">
        <v>Dublin - 3100 Dublin Blvd</v>
      </c>
      <c r="B10" s="27" t="str">
        <v>CA</v>
      </c>
      <c r="C10" s="22"/>
      <c r="D10" s="12"/>
      <c r="E10" s="12" t="str">
        <f t="shared" si="0"/>
        <v/>
      </c>
      <c r="F10" s="13" t="str">
        <f t="shared" si="1"/>
        <v/>
      </c>
      <c r="G10" s="14"/>
      <c r="H10" s="14" t="str">
        <f t="shared" si="2"/>
        <v/>
      </c>
      <c r="I10" s="15" t="str">
        <f t="shared" si="3"/>
        <v/>
      </c>
      <c r="J10" s="39"/>
      <c r="K10" s="59"/>
      <c r="L10" s="66"/>
      <c r="M10" s="66"/>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41" priority="11" stopIfTrue="1" operator="lessThanOrEqual">
      <formula>-0.1</formula>
    </cfRule>
    <cfRule type="expression" dxfId="40" priority="12">
      <formula>AND(ISNUMBER(F2), F2&gt;=0.1)</formula>
    </cfRule>
  </conditionalFormatting>
  <conditionalFormatting sqref="F4:F80 I4:I80">
    <cfRule type="cellIs" dxfId="39" priority="1" stopIfTrue="1" operator="lessThanOrEqual">
      <formula>-0.1</formula>
    </cfRule>
    <cfRule type="expression" dxfId="38"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4" t="str" cm="1">
        <f t="array" ref="A1">portfolio</f>
        <v>KPCA Investment, LLC</v>
      </c>
      <c r="B1" s="84"/>
      <c r="C1" s="84"/>
      <c r="D1" s="85" t="s">
        <v>24</v>
      </c>
      <c r="E1" s="85"/>
      <c r="F1" s="85"/>
      <c r="G1" s="83" t="s">
        <v>25</v>
      </c>
      <c r="H1" s="83"/>
      <c r="I1" s="83"/>
      <c r="J1" s="4"/>
      <c r="K1" s="4"/>
    </row>
    <row r="2" spans="1:17" ht="19.5" customHeight="1">
      <c r="A2" s="86" t="s">
        <v>2</v>
      </c>
      <c r="B2" s="86"/>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Murrieta - 28150 Keller Rd</v>
      </c>
      <c r="B5" s="29" t="str">
        <v>CA</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La Habra - 601 E Imperial Way</v>
      </c>
      <c r="B6" s="27" t="str">
        <v>CA</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Kaiser - KP3 - SCA Skyport - CN7901 Site</v>
      </c>
      <c r="B7" s="29" t="str">
        <v>CA</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Irwindale - 12761 Schabarum Ave</v>
      </c>
      <c r="B8" s="27" t="str">
        <v>CA</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Santa Rosa - 2240 Mercury Way</v>
      </c>
      <c r="B9" s="29" t="str">
        <v>CA</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Dublin - 3100 Dublin Blvd</v>
      </c>
      <c r="B10" s="27" t="str">
        <v>CA</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7" priority="7" stopIfTrue="1" operator="lessThanOrEqual">
      <formula>-0.1</formula>
    </cfRule>
    <cfRule type="expression" dxfId="36" priority="8">
      <formula>AND(ISNUMBER(F2), F2&gt;=0.1)</formula>
    </cfRule>
  </conditionalFormatting>
  <conditionalFormatting sqref="F4:F80 I4:I80">
    <cfRule type="cellIs" dxfId="35" priority="1" stopIfTrue="1" operator="lessThanOrEqual">
      <formula>-0.1</formula>
    </cfRule>
    <cfRule type="expression" dxfId="34"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2"/>
  <sheetViews>
    <sheetView zoomScale="80" zoomScaleNormal="80" workbookViewId="0">
      <pane xSplit="2" ySplit="3" topLeftCell="D4" activePane="bottomRight" state="frozen"/>
      <selection pane="bottomRight" activeCell="J10" sqref="J10"/>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3" max="13" width="9.85546875" bestFit="1" customWidth="1"/>
  </cols>
  <sheetData>
    <row r="1" spans="1:14" ht="19.5" customHeight="1">
      <c r="A1" s="84" t="str" cm="1">
        <f t="array" ref="A1">portfolio</f>
        <v>KPCA Investment, LLC</v>
      </c>
      <c r="B1" s="84"/>
      <c r="C1" s="84"/>
      <c r="D1" s="85" t="s">
        <v>26</v>
      </c>
      <c r="E1" s="85"/>
      <c r="F1" s="85"/>
      <c r="G1" s="83" t="s">
        <v>27</v>
      </c>
      <c r="H1" s="83"/>
      <c r="I1" s="83"/>
      <c r="J1" s="4"/>
      <c r="K1" s="4"/>
    </row>
    <row r="2" spans="1:14" ht="19.5" customHeight="1">
      <c r="A2" s="86" t="s">
        <v>2</v>
      </c>
      <c r="B2" s="86"/>
      <c r="C2" s="5">
        <f>SUM(C4:C80)</f>
        <v>498732.25972323952</v>
      </c>
      <c r="D2" s="5">
        <f>SUM(D4:D80)</f>
        <v>522792</v>
      </c>
      <c r="E2" s="5">
        <f>C2-D2</f>
        <v>-24059.74027676048</v>
      </c>
      <c r="F2" s="6">
        <f>IFERROR(E2/D2, 0)</f>
        <v>-4.6021630546681049E-2</v>
      </c>
      <c r="G2" s="5">
        <f>SUM(G4:G80)</f>
        <v>576056.17999999993</v>
      </c>
      <c r="H2" s="7">
        <f>C2-G2</f>
        <v>-77323.920276760415</v>
      </c>
      <c r="I2" s="6">
        <f>IFERROR(H2/G2, 0)</f>
        <v>-0.13422982507845055</v>
      </c>
      <c r="J2" s="24"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53" t="s">
        <v>5</v>
      </c>
      <c r="D3" s="33" t="s">
        <v>6</v>
      </c>
      <c r="E3" s="33" t="s">
        <v>7</v>
      </c>
      <c r="F3" s="34" t="s">
        <v>8</v>
      </c>
      <c r="G3" s="35" t="s">
        <v>9</v>
      </c>
      <c r="H3" s="36" t="s">
        <v>7</v>
      </c>
      <c r="I3" s="37" t="s">
        <v>8</v>
      </c>
      <c r="J3" s="23" t="s">
        <v>20</v>
      </c>
      <c r="K3" s="23" t="s">
        <v>21</v>
      </c>
    </row>
    <row r="4" spans="1:14" ht="28.9">
      <c r="A4" s="65" t="str" cm="1">
        <f t="array" ref="A4:A10">Sites[Site]</f>
        <v>Chino - 3750-3770 Grand Ave</v>
      </c>
      <c r="B4" s="27" t="str" cm="1">
        <f t="array" ref="B4:B10">Sites[State]</f>
        <v>CA</v>
      </c>
      <c r="C4" s="22">
        <v>31190.763307372999</v>
      </c>
      <c r="D4" s="12">
        <v>26716.3</v>
      </c>
      <c r="E4" s="12">
        <f>IF(AND(ISNUMBER(C4),ISNUMBER(D4)), C4-D4, "")</f>
        <v>4474.4633073730001</v>
      </c>
      <c r="F4" s="13">
        <f>IFERROR(E4/D4, "")</f>
        <v>0.16748065066543646</v>
      </c>
      <c r="G4" s="14">
        <v>40273</v>
      </c>
      <c r="H4" s="14">
        <f>IF(AND(ISNUMBER(C4),ISNUMBER(G4)), C4-G4, "")</f>
        <v>-9082.2366926270006</v>
      </c>
      <c r="I4" s="15">
        <f>IFERROR(H4/G4, "")</f>
        <v>-0.22551676539187546</v>
      </c>
      <c r="J4" s="70" t="s">
        <v>28</v>
      </c>
      <c r="K4" s="72" t="s">
        <v>29</v>
      </c>
      <c r="L4" s="69"/>
      <c r="M4" s="69"/>
      <c r="N4" s="69"/>
    </row>
    <row r="5" spans="1:14" ht="26.45">
      <c r="A5" s="28" t="str">
        <v>Murrieta - 28150 Keller Rd</v>
      </c>
      <c r="B5" s="29" t="str">
        <v>CA</v>
      </c>
      <c r="C5" s="11">
        <v>87140</v>
      </c>
      <c r="D5" s="16">
        <v>90233.95</v>
      </c>
      <c r="E5" s="16">
        <f t="shared" ref="E5:E10" si="0">IF(AND(ISNUMBER(C5),ISNUMBER(D5)), C5-D5, "")</f>
        <v>-3093.9499999999971</v>
      </c>
      <c r="F5" s="17">
        <f>IFERROR(E5/D5, "")</f>
        <v>-3.4288092231360784E-2</v>
      </c>
      <c r="G5" s="18">
        <v>100122.5</v>
      </c>
      <c r="H5" s="18">
        <f t="shared" ref="H5:H10" si="1">IF(AND(ISNUMBER(C5),ISNUMBER(G5)), C5-G5, "")</f>
        <v>-12982.5</v>
      </c>
      <c r="I5" s="17">
        <f t="shared" ref="I5:I10" si="2">IFERROR(H5/G5, "")</f>
        <v>-0.12966615895527978</v>
      </c>
      <c r="J5" s="71" t="s">
        <v>30</v>
      </c>
      <c r="K5" s="52"/>
      <c r="L5" s="69"/>
      <c r="M5" s="69"/>
      <c r="N5" s="69"/>
    </row>
    <row r="6" spans="1:14" ht="30.75" customHeight="1">
      <c r="A6" s="26" t="str">
        <v>La Habra - 601 E Imperial Way</v>
      </c>
      <c r="B6" s="27" t="str">
        <v>CA</v>
      </c>
      <c r="C6" s="22">
        <v>17571.880000000099</v>
      </c>
      <c r="D6" s="12">
        <v>14932.1</v>
      </c>
      <c r="E6" s="12">
        <f t="shared" si="0"/>
        <v>2639.7800000000989</v>
      </c>
      <c r="F6" s="13">
        <f t="shared" ref="F6:F10" si="3">IFERROR(E6/D6, "")</f>
        <v>0.17678558273786665</v>
      </c>
      <c r="G6" s="14">
        <v>20943.080000000002</v>
      </c>
      <c r="H6" s="14">
        <f t="shared" si="1"/>
        <v>-3371.1999999999025</v>
      </c>
      <c r="I6" s="15">
        <f t="shared" si="2"/>
        <v>-0.16096963770371417</v>
      </c>
      <c r="J6" s="70" t="s">
        <v>30</v>
      </c>
      <c r="K6" s="70"/>
      <c r="L6" s="69"/>
      <c r="M6" s="69"/>
      <c r="N6" s="69"/>
    </row>
    <row r="7" spans="1:14" ht="72">
      <c r="A7" s="28" t="str">
        <v>Kaiser - KP3 - SCA Skyport - CN7901 Site</v>
      </c>
      <c r="B7" s="29" t="str">
        <v>CA</v>
      </c>
      <c r="C7" s="11">
        <v>97799.494882624596</v>
      </c>
      <c r="D7" s="16">
        <v>102139.7</v>
      </c>
      <c r="E7" s="16">
        <f t="shared" si="0"/>
        <v>-4340.2051173754007</v>
      </c>
      <c r="F7" s="17">
        <f t="shared" si="3"/>
        <v>-4.2492832046455993E-2</v>
      </c>
      <c r="G7" s="18">
        <v>110380.3</v>
      </c>
      <c r="H7" s="18">
        <f t="shared" si="1"/>
        <v>-12580.805117375407</v>
      </c>
      <c r="I7" s="17">
        <f t="shared" si="2"/>
        <v>-0.11397690636259737</v>
      </c>
      <c r="J7" s="52" t="s">
        <v>31</v>
      </c>
      <c r="K7" s="60" t="s">
        <v>32</v>
      </c>
      <c r="L7" s="62" t="s">
        <v>33</v>
      </c>
      <c r="M7" s="62" t="s">
        <v>34</v>
      </c>
    </row>
    <row r="8" spans="1:14" ht="27" customHeight="1">
      <c r="A8" s="26" t="str">
        <v>Irwindale - 12761 Schabarum Ave</v>
      </c>
      <c r="B8" s="27" t="str">
        <v>CA</v>
      </c>
      <c r="C8" s="22">
        <v>25974.619999999901</v>
      </c>
      <c r="D8" s="12">
        <v>20129.849999999999</v>
      </c>
      <c r="E8" s="12">
        <f t="shared" si="0"/>
        <v>5844.7699999999022</v>
      </c>
      <c r="F8" s="13">
        <f t="shared" si="3"/>
        <v>0.29035338067595651</v>
      </c>
      <c r="G8" s="14">
        <v>29983.3</v>
      </c>
      <c r="H8" s="14">
        <f t="shared" si="1"/>
        <v>-4008.6800000000985</v>
      </c>
      <c r="I8" s="15">
        <f t="shared" si="2"/>
        <v>-0.13369709138087196</v>
      </c>
      <c r="J8" s="70" t="s">
        <v>30</v>
      </c>
      <c r="K8" s="70"/>
      <c r="L8" s="69"/>
      <c r="M8" s="69"/>
      <c r="N8" s="69"/>
    </row>
    <row r="9" spans="1:14" ht="86.45">
      <c r="A9" s="28" t="str">
        <v>Santa Rosa - 2240 Mercury Way</v>
      </c>
      <c r="B9" s="29" t="str">
        <v>CA</v>
      </c>
      <c r="C9" s="11">
        <v>78610.001533241899</v>
      </c>
      <c r="D9" s="16">
        <v>86048.7</v>
      </c>
      <c r="E9" s="16">
        <f t="shared" si="0"/>
        <v>-7438.6984667580982</v>
      </c>
      <c r="F9" s="17">
        <f t="shared" si="3"/>
        <v>-8.6447540366770201E-2</v>
      </c>
      <c r="G9" s="18">
        <v>98920</v>
      </c>
      <c r="H9" s="18">
        <f t="shared" si="1"/>
        <v>-20309.998466758101</v>
      </c>
      <c r="I9" s="17">
        <f t="shared" si="2"/>
        <v>-0.20531741272501114</v>
      </c>
      <c r="J9" s="52" t="s">
        <v>35</v>
      </c>
      <c r="K9" s="60" t="s">
        <v>36</v>
      </c>
      <c r="L9" s="62" t="s">
        <v>37</v>
      </c>
      <c r="M9" s="62" t="s">
        <v>38</v>
      </c>
      <c r="N9" s="69"/>
    </row>
    <row r="10" spans="1:14" ht="48.75" customHeight="1">
      <c r="A10" s="26" t="str">
        <v>Dublin - 3100 Dublin Blvd</v>
      </c>
      <c r="B10" s="27" t="str">
        <v>CA</v>
      </c>
      <c r="C10" s="22">
        <v>160445.5</v>
      </c>
      <c r="D10" s="12">
        <v>182591.4</v>
      </c>
      <c r="E10" s="12">
        <f t="shared" si="0"/>
        <v>-22145.899999999994</v>
      </c>
      <c r="F10" s="13">
        <f t="shared" si="3"/>
        <v>-0.12128665424549018</v>
      </c>
      <c r="G10" s="14">
        <v>175434</v>
      </c>
      <c r="H10" s="14">
        <f t="shared" si="1"/>
        <v>-14988.5</v>
      </c>
      <c r="I10" s="15">
        <f t="shared" si="2"/>
        <v>-8.5436688441237155E-2</v>
      </c>
      <c r="J10" s="70" t="s">
        <v>39</v>
      </c>
      <c r="K10" s="72" t="s">
        <v>40</v>
      </c>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t="s">
        <v>41</v>
      </c>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3" priority="5" stopIfTrue="1" operator="lessThanOrEqual">
      <formula>-0.1</formula>
    </cfRule>
    <cfRule type="expression" dxfId="32" priority="6">
      <formula>AND(ISNUMBER(F2), F2&gt;=0.1)</formula>
    </cfRule>
  </conditionalFormatting>
  <conditionalFormatting sqref="F4:F80 I4:I80">
    <cfRule type="cellIs" dxfId="31" priority="1" stopIfTrue="1" operator="lessThanOrEqual">
      <formula>-0.1</formula>
    </cfRule>
    <cfRule type="expression" dxfId="30" priority="2">
      <formula>AND(ISNUMBER(F4), F4&gt;=0.1)</formula>
    </cfRule>
  </conditionalFormatting>
  <hyperlinks>
    <hyperlink ref="K4" r:id="rId1" display="https://us3.assetplanner.com/service_request?ID=098881" xr:uid="{F657DF87-F196-4FA5-B507-AD369CD385A8}"/>
    <hyperlink ref="K7" r:id="rId2" display="https://us3.assetplanner.com/service_request?ID=098879" xr:uid="{DBAF9218-6FFE-42FA-B2A4-67471416AAFA}"/>
    <hyperlink ref="L7" r:id="rId3" display="https://us3.assetplanner.com/service_request?ID=099137" xr:uid="{4624C45C-CE0D-4641-BF60-D6BB46816015}"/>
    <hyperlink ref="M7" r:id="rId4" display="https://us3.assetplanner.com/service_request?ID=100773" xr:uid="{402213B3-3BD3-49E1-B179-8AA2738AF075}"/>
    <hyperlink ref="K9" r:id="rId5" display="https://us3.assetplanner.com/service_request?ID=099120" xr:uid="{C9B2FB03-0166-419C-916C-083D6F4E2EDE}"/>
    <hyperlink ref="L9" r:id="rId6" display="https://us3.assetplanner.com/service_request?ID=099410" xr:uid="{C3701840-2BFE-4E11-992B-62B98BF4FC78}"/>
    <hyperlink ref="M9" r:id="rId7" display="https://us3.assetplanner.com/service_request?ID=099504" xr:uid="{1499B655-23F9-4DB8-AEEB-8BB46A2BD1FB}"/>
    <hyperlink ref="K10" r:id="rId8" display="https://us3.assetplanner.com/service_request?ID=100567" xr:uid="{37F2FF22-AFFB-4C99-8D09-67F35D7267A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70" zoomScaleNormal="70" workbookViewId="0">
      <pane xSplit="2" ySplit="3" topLeftCell="J10" activePane="bottomRight" state="frozen"/>
      <selection pane="bottomRight" activeCell="J10" sqref="J10"/>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4" t="str" cm="1">
        <f t="array" ref="A1">portfolio</f>
        <v>KPCA Investment, LLC</v>
      </c>
      <c r="B1" s="84"/>
      <c r="C1" s="84"/>
      <c r="D1" s="85" t="s">
        <v>42</v>
      </c>
      <c r="E1" s="85"/>
      <c r="F1" s="85"/>
      <c r="G1" s="83" t="s">
        <v>43</v>
      </c>
      <c r="H1" s="83"/>
      <c r="I1" s="83"/>
      <c r="J1" s="4"/>
      <c r="K1" s="4"/>
    </row>
    <row r="2" spans="1:14" ht="19.5" customHeight="1">
      <c r="A2" s="86" t="s">
        <v>2</v>
      </c>
      <c r="B2" s="86"/>
      <c r="C2" s="5">
        <f>SUM(C4:C80)</f>
        <v>624624.67191951408</v>
      </c>
      <c r="D2" s="5">
        <f>SUM(D4:D80)</f>
        <v>660255.13</v>
      </c>
      <c r="E2" s="5">
        <f>C2-D2</f>
        <v>-35630.458080485929</v>
      </c>
      <c r="F2" s="6">
        <f>IFERROR(E2/D2, 0)</f>
        <v>-5.3964681926039607E-2</v>
      </c>
      <c r="G2" s="5">
        <f>SUM(G4:G80)</f>
        <v>673935.73</v>
      </c>
      <c r="H2" s="7">
        <f>C2-G2</f>
        <v>-49311.058080485906</v>
      </c>
      <c r="I2" s="6">
        <f>IFERROR(H2/G2, 0)</f>
        <v>-7.3168784329754863E-2</v>
      </c>
      <c r="J2" s="24"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86.45">
      <c r="A4" s="30" t="str" cm="1">
        <f t="array" ref="A4:A10">Sites[Site]</f>
        <v>Chino - 3750-3770 Grand Ave</v>
      </c>
      <c r="B4" s="27" t="str" cm="1">
        <f t="array" ref="B4:B10">Sites[State]</f>
        <v>CA</v>
      </c>
      <c r="C4" s="22">
        <v>34717.2293524942</v>
      </c>
      <c r="D4" s="12">
        <v>30123.32</v>
      </c>
      <c r="E4" s="12">
        <f>IF(AND(ISNUMBER(C4),ISNUMBER(D4)), C4-D4, "")</f>
        <v>4593.9093524942</v>
      </c>
      <c r="F4" s="13">
        <f>IFERROR(E4/D4, "")</f>
        <v>0.15250342102046521</v>
      </c>
      <c r="G4" s="14">
        <v>45926</v>
      </c>
      <c r="H4" s="14">
        <f>IF(AND(ISNUMBER(C4),ISNUMBER(G4)), C4-G4, "")</f>
        <v>-11208.7706475058</v>
      </c>
      <c r="I4" s="15">
        <f>IFERROR(H4/G4, "")</f>
        <v>-0.2440615478706136</v>
      </c>
      <c r="J4" s="39" t="s">
        <v>44</v>
      </c>
      <c r="K4" s="72" t="s">
        <v>45</v>
      </c>
      <c r="L4" s="62" t="s">
        <v>46</v>
      </c>
      <c r="M4" s="69"/>
      <c r="N4" s="69"/>
    </row>
    <row r="5" spans="1:14" ht="86.45">
      <c r="A5" s="28" t="str">
        <v>Murrieta - 28150 Keller Rd</v>
      </c>
      <c r="B5" s="29" t="str">
        <v>CA</v>
      </c>
      <c r="C5" s="11">
        <v>100090</v>
      </c>
      <c r="D5" s="16">
        <v>104378.3</v>
      </c>
      <c r="E5" s="16">
        <f t="shared" ref="E5:E10" si="0">IF(AND(ISNUMBER(C5),ISNUMBER(D5)), C5-D5, "")</f>
        <v>-4288.3000000000029</v>
      </c>
      <c r="F5" s="17">
        <f>IFERROR(E5/D5, "")</f>
        <v>-4.1084210032161887E-2</v>
      </c>
      <c r="G5" s="18">
        <v>118934.8</v>
      </c>
      <c r="H5" s="18">
        <f t="shared" ref="H5:H10" si="1">IF(AND(ISNUMBER(C5),ISNUMBER(G5)), C5-G5, "")</f>
        <v>-18844.800000000003</v>
      </c>
      <c r="I5" s="17">
        <f t="shared" ref="I5:I10" si="2">IFERROR(H5/G5, "")</f>
        <v>-0.15844647655690347</v>
      </c>
      <c r="J5" s="40" t="s">
        <v>47</v>
      </c>
      <c r="K5" s="52" t="s">
        <v>48</v>
      </c>
      <c r="L5" s="69"/>
      <c r="M5" s="69"/>
      <c r="N5" s="69"/>
    </row>
    <row r="6" spans="1:14" ht="47.25" customHeight="1">
      <c r="A6" s="26" t="str">
        <v>La Habra - 601 E Imperial Way</v>
      </c>
      <c r="B6" s="27" t="str">
        <v>CA</v>
      </c>
      <c r="C6" s="22">
        <v>19128.619999999901</v>
      </c>
      <c r="D6" s="12">
        <v>16120.48</v>
      </c>
      <c r="E6" s="12">
        <f t="shared" si="0"/>
        <v>3008.1399999999012</v>
      </c>
      <c r="F6" s="13">
        <f t="shared" ref="F6:F10" si="3">IFERROR(E6/D6, "")</f>
        <v>0.18660362470595795</v>
      </c>
      <c r="G6" s="14">
        <v>23850.17</v>
      </c>
      <c r="H6" s="14">
        <f t="shared" si="1"/>
        <v>-4721.5500000000975</v>
      </c>
      <c r="I6" s="15">
        <f t="shared" si="2"/>
        <v>-0.19796714237257421</v>
      </c>
      <c r="J6" s="39" t="s">
        <v>49</v>
      </c>
      <c r="K6" s="72" t="s">
        <v>50</v>
      </c>
      <c r="L6" s="69"/>
      <c r="M6" s="69"/>
      <c r="N6" s="69"/>
    </row>
    <row r="7" spans="1:14" ht="15.6">
      <c r="A7" s="28" t="str">
        <v>Kaiser - KP3 - SCA Skyport - CN7901 Site</v>
      </c>
      <c r="B7" s="29" t="str">
        <v>CA</v>
      </c>
      <c r="C7" s="11">
        <v>128682.05119949899</v>
      </c>
      <c r="D7" s="16">
        <v>133149.1</v>
      </c>
      <c r="E7" s="16">
        <f t="shared" si="0"/>
        <v>-4467.048800501012</v>
      </c>
      <c r="F7" s="17">
        <f t="shared" si="3"/>
        <v>-3.354922264214337E-2</v>
      </c>
      <c r="G7" s="18">
        <v>129050.2</v>
      </c>
      <c r="H7" s="18">
        <f t="shared" si="1"/>
        <v>-368.14880050100328</v>
      </c>
      <c r="I7" s="17">
        <f t="shared" si="2"/>
        <v>-2.8527565280875447E-3</v>
      </c>
      <c r="J7" s="40"/>
      <c r="K7" s="73"/>
      <c r="L7" s="69"/>
      <c r="M7" s="69"/>
      <c r="N7" s="69"/>
    </row>
    <row r="8" spans="1:14" ht="57.6">
      <c r="A8" s="26" t="str">
        <v>Irwindale - 12761 Schabarum Ave</v>
      </c>
      <c r="B8" s="27" t="str">
        <v>CA</v>
      </c>
      <c r="C8" s="22">
        <v>27504.75</v>
      </c>
      <c r="D8" s="12">
        <v>21662.73</v>
      </c>
      <c r="E8" s="12">
        <f t="shared" si="0"/>
        <v>5842.02</v>
      </c>
      <c r="F8" s="13">
        <f t="shared" si="3"/>
        <v>0.26968069121481919</v>
      </c>
      <c r="G8" s="14">
        <v>32927.56</v>
      </c>
      <c r="H8" s="14">
        <f t="shared" si="1"/>
        <v>-5422.8099999999977</v>
      </c>
      <c r="I8" s="15">
        <f t="shared" si="2"/>
        <v>-0.16468909327019671</v>
      </c>
      <c r="J8" s="39" t="s">
        <v>51</v>
      </c>
      <c r="K8" s="70" t="s">
        <v>52</v>
      </c>
      <c r="L8" s="69"/>
      <c r="M8" s="69"/>
      <c r="N8" s="69"/>
    </row>
    <row r="9" spans="1:14" ht="15.6">
      <c r="A9" s="28" t="str">
        <v>Santa Rosa - 2240 Mercury Way</v>
      </c>
      <c r="B9" s="29" t="str">
        <v>CA</v>
      </c>
      <c r="C9" s="11">
        <v>110658.021367521</v>
      </c>
      <c r="D9" s="16">
        <v>118241.5</v>
      </c>
      <c r="E9" s="16">
        <f t="shared" si="0"/>
        <v>-7583.4786324790039</v>
      </c>
      <c r="F9" s="17">
        <f t="shared" si="3"/>
        <v>-6.4135507689592947E-2</v>
      </c>
      <c r="G9" s="18">
        <v>110018</v>
      </c>
      <c r="H9" s="18">
        <f t="shared" si="1"/>
        <v>640.02136752099614</v>
      </c>
      <c r="I9" s="17">
        <f t="shared" si="2"/>
        <v>5.817424126242943E-3</v>
      </c>
      <c r="J9" s="40"/>
      <c r="K9" s="73"/>
      <c r="L9" s="69"/>
      <c r="M9" s="69"/>
      <c r="N9" s="69"/>
    </row>
    <row r="10" spans="1:14" ht="72">
      <c r="A10" s="26" t="str">
        <v>Dublin - 3100 Dublin Blvd</v>
      </c>
      <c r="B10" s="27" t="str">
        <v>CA</v>
      </c>
      <c r="C10" s="22">
        <v>203844</v>
      </c>
      <c r="D10" s="12">
        <v>236579.7</v>
      </c>
      <c r="E10" s="12">
        <f t="shared" si="0"/>
        <v>-32735.700000000012</v>
      </c>
      <c r="F10" s="13">
        <f t="shared" si="3"/>
        <v>-0.13837070551699918</v>
      </c>
      <c r="G10" s="14">
        <v>213229</v>
      </c>
      <c r="H10" s="14">
        <f t="shared" si="1"/>
        <v>-9385</v>
      </c>
      <c r="I10" s="15">
        <f t="shared" si="2"/>
        <v>-4.4013712956492784E-2</v>
      </c>
      <c r="J10" s="39" t="s">
        <v>53</v>
      </c>
      <c r="K10" s="72" t="s">
        <v>54</v>
      </c>
      <c r="L10" s="62" t="s">
        <v>55</v>
      </c>
      <c r="M10" s="69"/>
      <c r="N10" s="69"/>
    </row>
    <row r="11" spans="1:14" ht="14.45">
      <c r="A11" s="19"/>
      <c r="B11" s="31"/>
      <c r="C11" s="19"/>
      <c r="D11" s="19"/>
      <c r="E11" s="19"/>
      <c r="F11" s="19"/>
      <c r="G11" s="19"/>
      <c r="H11" s="19"/>
      <c r="I11" s="19"/>
      <c r="J11" s="19"/>
      <c r="K11" s="74"/>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9" priority="5" stopIfTrue="1" operator="lessThanOrEqual">
      <formula>-0.1</formula>
    </cfRule>
    <cfRule type="expression" dxfId="28" priority="6">
      <formula>AND(ISNUMBER(F2), F2&gt;=0.1)</formula>
    </cfRule>
  </conditionalFormatting>
  <conditionalFormatting sqref="F4:F80 I4:I80">
    <cfRule type="cellIs" dxfId="27" priority="1" stopIfTrue="1" operator="lessThanOrEqual">
      <formula>-0.1</formula>
    </cfRule>
    <cfRule type="expression" dxfId="26" priority="2">
      <formula>AND(ISNUMBER(F4), F4&gt;=0.1)</formula>
    </cfRule>
  </conditionalFormatting>
  <hyperlinks>
    <hyperlink ref="K4" r:id="rId1" display="https://us3.assetplanner.com/service_request?ID=098881" xr:uid="{A4F010A6-3B40-40C6-B746-8D9AE3868AE0}"/>
    <hyperlink ref="L4" r:id="rId2" display="https://us3.assetplanner.com/service_request?ID=101671" xr:uid="{EE2CDAC7-6914-412A-9397-99EF711E9342}"/>
    <hyperlink ref="K6" r:id="rId3" display="https://us3.assetplanner.com/service_request?ID=101329" xr:uid="{2D878FCE-5F18-4AB6-844E-FF92A7EDCD4A}"/>
    <hyperlink ref="K10" r:id="rId4" display="https://us3.assetplanner.com/service_request?ID=100962" xr:uid="{49286BDE-70A3-42C8-9D7E-73A8D61E52E5}"/>
    <hyperlink ref="L10" r:id="rId5" display="https://us3.assetplanner.com/service_request?ID=100567" xr:uid="{F3D9F451-4E92-4F72-A956-BE785EC34CFC}"/>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22"/>
  <sheetViews>
    <sheetView zoomScale="70" zoomScaleNormal="70" workbookViewId="0">
      <pane xSplit="2" ySplit="3" topLeftCell="C4" activePane="bottomRight" state="frozen"/>
      <selection pane="bottomRight" activeCell="J29" sqref="J29"/>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84" t="str" cm="1">
        <f t="array" ref="A1">portfolio</f>
        <v>KPCA Investment, LLC</v>
      </c>
      <c r="B1" s="84"/>
      <c r="C1" s="84"/>
      <c r="D1" s="85" t="s">
        <v>56</v>
      </c>
      <c r="E1" s="85"/>
      <c r="F1" s="85"/>
      <c r="G1" s="83" t="s">
        <v>57</v>
      </c>
      <c r="H1" s="83"/>
      <c r="I1" s="83"/>
      <c r="J1" s="4"/>
      <c r="K1" s="4"/>
    </row>
    <row r="2" spans="1:12" ht="19.5" customHeight="1">
      <c r="A2" s="86" t="s">
        <v>2</v>
      </c>
      <c r="B2" s="86"/>
      <c r="C2" s="5">
        <f>SUM(C4:C80)</f>
        <v>648401.1268871933</v>
      </c>
      <c r="D2" s="5">
        <f>SUM(D4:D80)</f>
        <v>651929.14500000002</v>
      </c>
      <c r="E2" s="5">
        <f>C2-D2</f>
        <v>-3528.0181128067197</v>
      </c>
      <c r="F2" s="6">
        <f>IFERROR(E2/D2, 0)</f>
        <v>-5.4116588280567202E-3</v>
      </c>
      <c r="G2" s="5">
        <f>SUM(G4:G80)</f>
        <v>689585.11899999995</v>
      </c>
      <c r="H2" s="7">
        <f>C2-G2</f>
        <v>-41183.992112806649</v>
      </c>
      <c r="I2" s="6">
        <f>IFERROR(H2/G2, 0)</f>
        <v>-5.972285505889325E-2</v>
      </c>
      <c r="J2" s="24"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00.9">
      <c r="A4" s="65" t="str" cm="1">
        <f t="array" ref="A4:A10">Sites[Site]</f>
        <v>Chino - 3750-3770 Grand Ave</v>
      </c>
      <c r="B4" s="27" t="str" cm="1">
        <f t="array" ref="B4:B10">Sites[State]</f>
        <v>CA</v>
      </c>
      <c r="C4" s="22">
        <v>39240.944690265198</v>
      </c>
      <c r="D4" s="12">
        <v>31865.03</v>
      </c>
      <c r="E4" s="12">
        <f>IF(AND(ISNUMBER(C4),ISNUMBER(D4)), C4-D4, "")</f>
        <v>7375.9146902651992</v>
      </c>
      <c r="F4" s="13">
        <f>IFERROR(E4/D4, "")</f>
        <v>0.23147364651045987</v>
      </c>
      <c r="G4" s="14">
        <v>46451</v>
      </c>
      <c r="H4" s="14">
        <f>IF(AND(ISNUMBER(C4),ISNUMBER(G4)), C4-G4, "")</f>
        <v>-7210.055309734802</v>
      </c>
      <c r="I4" s="15">
        <f>IFERROR(H4/G4, "")</f>
        <v>-0.15521851649555019</v>
      </c>
      <c r="J4" s="39" t="s">
        <v>58</v>
      </c>
      <c r="K4" s="59" t="s">
        <v>59</v>
      </c>
      <c r="L4" s="62" t="s">
        <v>60</v>
      </c>
    </row>
    <row r="5" spans="1:12" ht="15.6">
      <c r="A5" s="28" t="str">
        <v>Murrieta - 28150 Keller Rd</v>
      </c>
      <c r="B5" s="29" t="str">
        <v>CA</v>
      </c>
      <c r="C5" s="11">
        <v>114430</v>
      </c>
      <c r="D5" s="16">
        <v>107363</v>
      </c>
      <c r="E5" s="16">
        <f t="shared" ref="E5:E10" si="0">IF(AND(ISNUMBER(C5),ISNUMBER(D5)), C5-D5, "")</f>
        <v>7067</v>
      </c>
      <c r="F5" s="17">
        <f>IFERROR(E5/D5, "")</f>
        <v>6.5823421476672597E-2</v>
      </c>
      <c r="G5" s="18">
        <v>119932.1</v>
      </c>
      <c r="H5" s="18">
        <f t="shared" ref="H5:H10" si="1">IF(AND(ISNUMBER(C5),ISNUMBER(G5)), C5-G5, "")</f>
        <v>-5502.1000000000058</v>
      </c>
      <c r="I5" s="17">
        <f t="shared" ref="I5:I10" si="2">IFERROR(H5/G5, "")</f>
        <v>-4.5876791951445908E-2</v>
      </c>
      <c r="J5" s="40"/>
      <c r="K5" s="40"/>
    </row>
    <row r="6" spans="1:12" ht="15.6">
      <c r="A6" s="26" t="str">
        <v>La Habra - 601 E Imperial Way</v>
      </c>
      <c r="B6" s="27" t="str">
        <v>CA</v>
      </c>
      <c r="C6" s="22">
        <v>23520.130000000099</v>
      </c>
      <c r="D6" s="12">
        <v>17005.169999999998</v>
      </c>
      <c r="E6" s="12">
        <f t="shared" si="0"/>
        <v>6514.960000000101</v>
      </c>
      <c r="F6" s="13">
        <f t="shared" ref="F6:F10" si="3">IFERROR(E6/D6, "")</f>
        <v>0.38311642870962781</v>
      </c>
      <c r="G6" s="14">
        <v>22551.32</v>
      </c>
      <c r="H6" s="14">
        <f t="shared" si="1"/>
        <v>968.81000000009954</v>
      </c>
      <c r="I6" s="15">
        <f t="shared" si="2"/>
        <v>4.2960234700234821E-2</v>
      </c>
      <c r="J6" s="39" t="s">
        <v>61</v>
      </c>
      <c r="K6" s="59" t="s">
        <v>62</v>
      </c>
    </row>
    <row r="7" spans="1:12" ht="15.6">
      <c r="A7" s="28" t="str">
        <v>Kaiser - KP3 - SCA Skyport - CN7901 Site</v>
      </c>
      <c r="B7" s="29" t="str">
        <v>CA</v>
      </c>
      <c r="C7" s="11">
        <v>130530.038</v>
      </c>
      <c r="D7" s="16">
        <v>128905.29</v>
      </c>
      <c r="E7" s="16">
        <f t="shared" si="0"/>
        <v>1624.7480000000069</v>
      </c>
      <c r="F7" s="17">
        <f t="shared" si="3"/>
        <v>1.2604199563881412E-2</v>
      </c>
      <c r="G7" s="18">
        <v>133450.08900000001</v>
      </c>
      <c r="H7" s="18">
        <f t="shared" si="1"/>
        <v>-2920.0510000000068</v>
      </c>
      <c r="I7" s="17">
        <f t="shared" si="2"/>
        <v>-2.1881221825187442E-2</v>
      </c>
      <c r="J7" s="40"/>
      <c r="K7" s="41"/>
    </row>
    <row r="8" spans="1:12" ht="35.1" customHeight="1">
      <c r="A8" s="26" t="str">
        <v>Irwindale - 12761 Schabarum Ave</v>
      </c>
      <c r="B8" s="27" t="str">
        <v>CA</v>
      </c>
      <c r="C8" s="22">
        <v>30614.5</v>
      </c>
      <c r="D8" s="12">
        <v>23907.599999999999</v>
      </c>
      <c r="E8" s="12">
        <f t="shared" si="0"/>
        <v>6706.9000000000015</v>
      </c>
      <c r="F8" s="13">
        <f t="shared" si="3"/>
        <v>0.28053422342686013</v>
      </c>
      <c r="G8" s="14">
        <v>32560.11</v>
      </c>
      <c r="H8" s="14">
        <f t="shared" si="1"/>
        <v>-1945.6100000000006</v>
      </c>
      <c r="I8" s="15">
        <f t="shared" si="2"/>
        <v>-5.9754405006617009E-2</v>
      </c>
      <c r="J8" s="39" t="s">
        <v>63</v>
      </c>
      <c r="K8" s="59" t="s">
        <v>64</v>
      </c>
    </row>
    <row r="9" spans="1:12" ht="15.6">
      <c r="A9" s="28" t="str">
        <v>Santa Rosa - 2240 Mercury Way</v>
      </c>
      <c r="B9" s="29" t="str">
        <v>CA</v>
      </c>
      <c r="C9" s="11">
        <v>105453.01419692799</v>
      </c>
      <c r="D9" s="16">
        <v>111066.5</v>
      </c>
      <c r="E9" s="16">
        <f t="shared" si="0"/>
        <v>-5613.4858030720061</v>
      </c>
      <c r="F9" s="17">
        <f t="shared" si="3"/>
        <v>-5.0541664706027528E-2</v>
      </c>
      <c r="G9" s="18">
        <v>115486</v>
      </c>
      <c r="H9" s="18">
        <f t="shared" si="1"/>
        <v>-10032.985803072006</v>
      </c>
      <c r="I9" s="17">
        <f t="shared" si="2"/>
        <v>-8.6876208398178181E-2</v>
      </c>
      <c r="J9" s="40"/>
      <c r="K9" s="41"/>
    </row>
    <row r="10" spans="1:12" ht="66.75" customHeight="1">
      <c r="A10" s="26" t="str">
        <v>Dublin - 3100 Dublin Blvd</v>
      </c>
      <c r="B10" s="27" t="str">
        <v>CA</v>
      </c>
      <c r="C10" s="22">
        <v>204612.5</v>
      </c>
      <c r="D10" s="12">
        <v>231816.55499999999</v>
      </c>
      <c r="E10" s="12">
        <f t="shared" si="0"/>
        <v>-27204.054999999993</v>
      </c>
      <c r="F10" s="13">
        <f t="shared" si="3"/>
        <v>-0.11735164902265066</v>
      </c>
      <c r="G10" s="14">
        <v>219154.5</v>
      </c>
      <c r="H10" s="14">
        <f t="shared" si="1"/>
        <v>-14542</v>
      </c>
      <c r="I10" s="15">
        <f t="shared" si="2"/>
        <v>-6.6355014384828964E-2</v>
      </c>
      <c r="J10" s="39" t="s">
        <v>65</v>
      </c>
      <c r="K10" s="59" t="s">
        <v>66</v>
      </c>
    </row>
    <row r="11" spans="1:12" ht="14.45">
      <c r="A11" s="19"/>
      <c r="B11" s="31"/>
      <c r="C11" s="19"/>
      <c r="D11" s="19"/>
      <c r="E11" s="19"/>
      <c r="F11" s="19"/>
      <c r="G11" s="19"/>
      <c r="H11" s="19"/>
      <c r="I11" s="19"/>
      <c r="J11" s="19"/>
      <c r="K11" s="19"/>
    </row>
    <row r="12" spans="1:12" ht="14.45">
      <c r="A12" s="19"/>
      <c r="B12" s="31"/>
      <c r="C12" s="19"/>
      <c r="D12" s="19"/>
      <c r="E12" s="19"/>
      <c r="F12" s="19"/>
      <c r="G12" s="19"/>
      <c r="H12" s="19"/>
      <c r="I12" s="19"/>
      <c r="J12" s="19"/>
      <c r="K12" s="19"/>
    </row>
    <row r="13" spans="1:12" ht="14.45">
      <c r="A13" s="19"/>
      <c r="B13" s="31"/>
      <c r="C13" s="19"/>
      <c r="D13" s="19"/>
      <c r="E13" s="19"/>
      <c r="F13" s="20"/>
      <c r="G13" s="19"/>
      <c r="H13" s="19"/>
      <c r="I13" s="20"/>
      <c r="J13" s="19"/>
      <c r="K13" s="19"/>
    </row>
    <row r="14" spans="1:12" ht="14.45">
      <c r="A14" s="19"/>
      <c r="B14" s="31"/>
      <c r="C14" s="19"/>
      <c r="D14" s="19"/>
      <c r="E14" s="19"/>
      <c r="F14" s="20"/>
      <c r="G14" s="19"/>
      <c r="H14" s="19"/>
      <c r="I14" s="20"/>
      <c r="J14" s="19"/>
      <c r="K14" s="19"/>
    </row>
    <row r="15" spans="1:12" ht="14.45">
      <c r="A15" s="19"/>
      <c r="B15" s="31"/>
      <c r="C15" s="19"/>
      <c r="D15" s="19"/>
      <c r="E15" s="19"/>
      <c r="F15" s="20"/>
      <c r="G15" s="19"/>
      <c r="H15" s="19"/>
      <c r="I15" s="20"/>
      <c r="J15" s="19"/>
      <c r="K15" s="19"/>
    </row>
    <row r="16" spans="1:12"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5" priority="5" stopIfTrue="1" operator="lessThanOrEqual">
      <formula>-0.1</formula>
    </cfRule>
    <cfRule type="expression" dxfId="24" priority="6">
      <formula>AND(ISNUMBER(F2), F2&gt;=0.1)</formula>
    </cfRule>
  </conditionalFormatting>
  <conditionalFormatting sqref="F4:F80 I4:I80">
    <cfRule type="cellIs" dxfId="23" priority="1" stopIfTrue="1" operator="lessThanOrEqual">
      <formula>-0.1</formula>
    </cfRule>
    <cfRule type="expression" dxfId="22" priority="2">
      <formula>AND(ISNUMBER(F4), F4&gt;=0.1)</formula>
    </cfRule>
  </conditionalFormatting>
  <hyperlinks>
    <hyperlink ref="K4" r:id="rId1" display="https://us3.assetplanner.com/service_request?ID=098881" xr:uid="{BCFC08C6-4453-455B-9334-435D44E5E50C}"/>
    <hyperlink ref="L4" r:id="rId2" display="https://us3.assetplanner.com/service_request?ID=103049" xr:uid="{F3DABFE9-80CE-4554-8947-DFA55671EE41}"/>
    <hyperlink ref="K6" r:id="rId3" display="https://us3.assetplanner.com/service_request?ID=101329" xr:uid="{44A68645-BF34-4F88-A662-C12ED67E46D9}"/>
    <hyperlink ref="K8" r:id="rId4" display="https://us3.assetplanner.com/service_request?ID=103317" xr:uid="{D7788FD0-75D6-491C-8AAC-DAA7C1D5AF6E}"/>
    <hyperlink ref="K10" r:id="rId5" display="https://us3.assetplanner.com/service_request?ID=100567" xr:uid="{89555318-5BD0-4F03-ADAA-07E912C2ED4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22"/>
  <sheetViews>
    <sheetView zoomScale="70" zoomScaleNormal="70" workbookViewId="0">
      <pane xSplit="2" ySplit="3" topLeftCell="C4" activePane="bottomRight" state="frozen"/>
      <selection pane="bottomRight" activeCell="J10" sqref="J10"/>
      <selection pane="bottomLeft" activeCell="J21" sqref="J21"/>
      <selection pane="topRight" activeCell="J21" sqref="J21"/>
    </sheetView>
  </sheetViews>
  <sheetFormatPr defaultRowHeight="13.9"/>
  <cols>
    <col min="1" max="1" width="43"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s>
  <sheetData>
    <row r="1" spans="1:14" ht="19.5" customHeight="1">
      <c r="A1" s="84" t="str" cm="1">
        <f t="array" ref="A1">portfolio</f>
        <v>KPCA Investment, LLC</v>
      </c>
      <c r="B1" s="84"/>
      <c r="C1" s="84"/>
      <c r="D1" s="85" t="s">
        <v>67</v>
      </c>
      <c r="E1" s="85"/>
      <c r="F1" s="85"/>
      <c r="G1" s="83" t="s">
        <v>68</v>
      </c>
      <c r="H1" s="83"/>
      <c r="I1" s="83"/>
      <c r="J1" s="4"/>
      <c r="K1" s="4"/>
    </row>
    <row r="2" spans="1:14" ht="19.5" customHeight="1">
      <c r="A2" s="86" t="s">
        <v>2</v>
      </c>
      <c r="B2" s="86"/>
      <c r="C2" s="5">
        <f>SUM(C4:C80)</f>
        <v>623987.73699999996</v>
      </c>
      <c r="D2" s="5">
        <f>SUM(D4:D80)</f>
        <v>663153.10899999994</v>
      </c>
      <c r="E2" s="5">
        <f>C2-D2</f>
        <v>-39165.371999999974</v>
      </c>
      <c r="F2" s="6">
        <f>IFERROR(E2/D2, 0)</f>
        <v>-5.905932049245656E-2</v>
      </c>
      <c r="G2" s="5">
        <f>SUM(G4:G80)</f>
        <v>718627</v>
      </c>
      <c r="H2" s="7">
        <f>C2-G2</f>
        <v>-94639.263000000035</v>
      </c>
      <c r="I2" s="6">
        <f>IFERROR(H2/G2, 0)</f>
        <v>-0.13169455503341795</v>
      </c>
      <c r="J2" s="24" t="str">
        <f ca="1">IF(AND(TODAY()&gt;DATE(2024, 7,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72">
      <c r="A4" s="30" t="str" cm="1">
        <f t="array" ref="A4:A10">Sites[Site]</f>
        <v>Chino - 3750-3770 Grand Ave</v>
      </c>
      <c r="B4" s="27" t="str" cm="1">
        <f t="array" ref="B4:B10">Sites[State]</f>
        <v>CA</v>
      </c>
      <c r="C4" s="22">
        <v>38033.493999999999</v>
      </c>
      <c r="D4" s="12">
        <v>34071.269999999997</v>
      </c>
      <c r="E4" s="12">
        <f t="shared" ref="E4:E7" si="0">IF(AND(ISNUMBER(C4),ISNUMBER(D4)), C4-D4, "")</f>
        <v>3962.224000000002</v>
      </c>
      <c r="F4" s="13">
        <f>IFERROR(E4/D4, "")</f>
        <v>0.11629223096174585</v>
      </c>
      <c r="G4" s="14">
        <v>48864</v>
      </c>
      <c r="H4" s="14">
        <f>IF(AND(ISNUMBER(C4),ISNUMBER(G4)), C4-G4, "")</f>
        <v>-10830.506000000001</v>
      </c>
      <c r="I4" s="15">
        <f>IFERROR(H4/G4, "")</f>
        <v>-0.2216459151931893</v>
      </c>
      <c r="J4" s="39" t="s">
        <v>69</v>
      </c>
      <c r="K4" s="59" t="s">
        <v>70</v>
      </c>
      <c r="L4" s="62" t="s">
        <v>71</v>
      </c>
      <c r="M4" s="69"/>
      <c r="N4" s="69"/>
    </row>
    <row r="5" spans="1:14" ht="15.6">
      <c r="A5" s="28" t="str">
        <v>Murrieta - 28150 Keller Rd</v>
      </c>
      <c r="B5" s="29" t="str">
        <v>CA</v>
      </c>
      <c r="C5" s="11">
        <v>115259</v>
      </c>
      <c r="D5" s="16">
        <v>114481.1</v>
      </c>
      <c r="E5" s="16">
        <f t="shared" si="0"/>
        <v>777.89999999999418</v>
      </c>
      <c r="F5" s="17">
        <f>IFERROR(E5/D5, "")</f>
        <v>6.7950080843038208E-3</v>
      </c>
      <c r="G5" s="18">
        <v>126237</v>
      </c>
      <c r="H5" s="18">
        <f t="shared" ref="H5:H6" si="1">IF(AND(ISNUMBER(C5),ISNUMBER(G5)), C5-G5, "")</f>
        <v>-10978</v>
      </c>
      <c r="I5" s="17">
        <f t="shared" ref="I5:I6" si="2">IFERROR(H5/G5, "")</f>
        <v>-8.6963410093712626E-2</v>
      </c>
      <c r="J5" s="40"/>
      <c r="K5" s="40"/>
      <c r="L5" s="69"/>
      <c r="M5" s="69"/>
      <c r="N5" s="69"/>
    </row>
    <row r="6" spans="1:14" ht="15.6">
      <c r="A6" s="26" t="str">
        <v>La Habra - 601 E Imperial Way</v>
      </c>
      <c r="B6" s="27" t="str">
        <v>CA</v>
      </c>
      <c r="C6" s="22">
        <v>24207.37</v>
      </c>
      <c r="D6" s="12">
        <v>18656.803</v>
      </c>
      <c r="E6" s="12">
        <f t="shared" si="0"/>
        <v>5550.5669999999991</v>
      </c>
      <c r="F6" s="13">
        <f t="shared" ref="F6:F10" si="3">IFERROR(E6/D6, "")</f>
        <v>0.29750901052018391</v>
      </c>
      <c r="G6" s="14">
        <v>25624</v>
      </c>
      <c r="H6" s="14">
        <f t="shared" si="1"/>
        <v>-1416.630000000001</v>
      </c>
      <c r="I6" s="15">
        <f t="shared" si="2"/>
        <v>-5.5285279425538597E-2</v>
      </c>
      <c r="J6" s="39"/>
      <c r="K6" s="39"/>
      <c r="L6" s="69"/>
      <c r="M6" s="69"/>
      <c r="N6" s="69"/>
    </row>
    <row r="7" spans="1:14" ht="28.9">
      <c r="A7" s="28" t="str">
        <v>Kaiser - KP3 - SCA Skyport - CN7901 Site</v>
      </c>
      <c r="B7" s="29" t="str">
        <v>CA</v>
      </c>
      <c r="C7" s="11">
        <v>123422.003</v>
      </c>
      <c r="D7" s="16">
        <v>129061.81</v>
      </c>
      <c r="E7" s="16">
        <f t="shared" si="0"/>
        <v>-5639.8070000000007</v>
      </c>
      <c r="F7" s="17">
        <f t="shared" si="3"/>
        <v>-4.369849609268614E-2</v>
      </c>
      <c r="G7" s="18">
        <v>141665</v>
      </c>
      <c r="H7" s="18">
        <f t="shared" ref="H7:H10" si="4">IF(AND(ISNUMBER(C7),ISNUMBER(G7)), C7-G7, "")</f>
        <v>-18242.997000000003</v>
      </c>
      <c r="I7" s="17">
        <f t="shared" ref="I7:I10" si="5">IFERROR(H7/G7, "")</f>
        <v>-0.1287756114777821</v>
      </c>
      <c r="J7" s="40" t="s">
        <v>72</v>
      </c>
      <c r="K7" s="75" t="s">
        <v>73</v>
      </c>
      <c r="L7" s="62" t="s">
        <v>74</v>
      </c>
      <c r="M7" s="69"/>
      <c r="N7" s="69"/>
    </row>
    <row r="8" spans="1:14" ht="15.6">
      <c r="A8" s="26" t="str">
        <v>Irwindale - 12761 Schabarum Ave</v>
      </c>
      <c r="B8" s="27" t="str">
        <v>CA</v>
      </c>
      <c r="C8" s="22">
        <v>31536.37</v>
      </c>
      <c r="D8" s="12">
        <v>25932.523000000001</v>
      </c>
      <c r="E8" s="12">
        <f t="shared" ref="E8:E10" si="6">IF(AND(ISNUMBER(C8),ISNUMBER(D8)), C8-D8, "")</f>
        <v>5603.8469999999979</v>
      </c>
      <c r="F8" s="13">
        <f t="shared" si="3"/>
        <v>0.2160933974684992</v>
      </c>
      <c r="G8" s="14">
        <v>37219</v>
      </c>
      <c r="H8" s="14">
        <f t="shared" si="4"/>
        <v>-5682.630000000001</v>
      </c>
      <c r="I8" s="15">
        <f t="shared" si="5"/>
        <v>-0.15268088879335825</v>
      </c>
      <c r="J8" s="39" t="s">
        <v>75</v>
      </c>
      <c r="K8" s="59" t="s">
        <v>76</v>
      </c>
      <c r="L8" s="69"/>
      <c r="M8" s="69"/>
      <c r="N8" s="69"/>
    </row>
    <row r="9" spans="1:14" ht="15.6">
      <c r="A9" s="28" t="str">
        <v>Santa Rosa - 2240 Mercury Way</v>
      </c>
      <c r="B9" s="29" t="str">
        <v>CA</v>
      </c>
      <c r="C9" s="11">
        <v>97975.5</v>
      </c>
      <c r="D9" s="16">
        <v>110139.48</v>
      </c>
      <c r="E9" s="16">
        <f t="shared" si="6"/>
        <v>-12163.979999999996</v>
      </c>
      <c r="F9" s="17">
        <f t="shared" si="3"/>
        <v>-0.11044159641937656</v>
      </c>
      <c r="G9" s="18">
        <v>117314</v>
      </c>
      <c r="H9" s="18">
        <f t="shared" si="4"/>
        <v>-19338.5</v>
      </c>
      <c r="I9" s="17">
        <f t="shared" si="5"/>
        <v>-0.16484392314642754</v>
      </c>
      <c r="J9" s="40"/>
      <c r="K9" s="41"/>
      <c r="L9" s="69"/>
      <c r="M9" s="69"/>
      <c r="N9" s="69"/>
    </row>
    <row r="10" spans="1:14" ht="60.75" customHeight="1">
      <c r="A10" s="26" t="str">
        <v>Dublin - 3100 Dublin Blvd</v>
      </c>
      <c r="B10" s="27" t="str">
        <v>CA</v>
      </c>
      <c r="C10" s="22">
        <v>193554</v>
      </c>
      <c r="D10" s="12">
        <v>230810.12299999999</v>
      </c>
      <c r="E10" s="12">
        <f t="shared" si="6"/>
        <v>-37256.122999999992</v>
      </c>
      <c r="F10" s="13">
        <f t="shared" si="3"/>
        <v>-0.16141459705387357</v>
      </c>
      <c r="G10" s="14">
        <v>221704</v>
      </c>
      <c r="H10" s="14">
        <f t="shared" si="4"/>
        <v>-28150</v>
      </c>
      <c r="I10" s="15">
        <f t="shared" si="5"/>
        <v>-0.12697109659726483</v>
      </c>
      <c r="J10" s="39" t="s">
        <v>77</v>
      </c>
      <c r="K10" s="59" t="s">
        <v>78</v>
      </c>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21" priority="5" stopIfTrue="1" operator="lessThanOrEqual">
      <formula>-0.1</formula>
    </cfRule>
    <cfRule type="expression" dxfId="20" priority="6">
      <formula>AND(ISNUMBER(F2), F2&gt;=0.1)</formula>
    </cfRule>
  </conditionalFormatting>
  <conditionalFormatting sqref="F4:F80 I4:I80">
    <cfRule type="cellIs" dxfId="19" priority="1" stopIfTrue="1" operator="lessThanOrEqual">
      <formula>-0.1</formula>
    </cfRule>
    <cfRule type="expression" dxfId="18" priority="2">
      <formula>AND(ISNUMBER(F4), F4&gt;=0.1)</formula>
    </cfRule>
  </conditionalFormatting>
  <hyperlinks>
    <hyperlink ref="K4" r:id="rId1" display="https://us3.assetplanner.com/service_request?ID=103049" xr:uid="{EC52D185-A0FE-41CB-ADB9-D69FCEB98F31}"/>
    <hyperlink ref="L4" r:id="rId2" display="https://us3.assetplanner.com/service_request?ID=104160" xr:uid="{B99E32DB-222C-4C2D-8DE8-0DEB52096D41}"/>
    <hyperlink ref="K7" r:id="rId3" display="https://us3.assetplanner.com/service_request?ID=103140" xr:uid="{9484737B-5141-4C10-8B3F-199F30219233}"/>
    <hyperlink ref="L7" r:id="rId4" display="https://us3.assetplanner.com/service_request?ID=104320" xr:uid="{2487084D-4E28-41BB-9C5D-0B4237EEFF63}"/>
    <hyperlink ref="K8" r:id="rId5" display="https://us3.assetplanner.com/service_request?ID=102034" xr:uid="{75A9CA73-52B9-4926-815E-EBDBDADE843D}"/>
    <hyperlink ref="K10" r:id="rId6" display="https://us3.assetplanner.com/service_request?ID=100567" xr:uid="{B3D13C27-3F63-4AD9-893B-67BA4E514D42}"/>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N322"/>
  <sheetViews>
    <sheetView zoomScale="70" zoomScaleNormal="70" workbookViewId="0">
      <pane xSplit="2" ySplit="3" topLeftCell="E4" activePane="bottomRight" state="frozen"/>
      <selection pane="bottomRight" activeCell="I21" sqref="I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4" t="str" cm="1">
        <f t="array" ref="A1">portfolio</f>
        <v>KPCA Investment, LLC</v>
      </c>
      <c r="B1" s="84"/>
      <c r="C1" s="84"/>
      <c r="D1" s="85" t="s">
        <v>79</v>
      </c>
      <c r="E1" s="85"/>
      <c r="F1" s="85"/>
      <c r="G1" s="83" t="s">
        <v>80</v>
      </c>
      <c r="H1" s="83"/>
      <c r="I1" s="83"/>
      <c r="J1" s="4"/>
      <c r="K1" s="4"/>
    </row>
    <row r="2" spans="1:14" ht="19.5" customHeight="1">
      <c r="A2" s="86" t="s">
        <v>2</v>
      </c>
      <c r="B2" s="86"/>
      <c r="C2" s="5">
        <f>SUM(C4:C80)</f>
        <v>548563.97342513804</v>
      </c>
      <c r="D2" s="5">
        <f>SUM(D4:D80)</f>
        <v>603181.84</v>
      </c>
      <c r="E2" s="5">
        <f>C2-D2</f>
        <v>-54617.866574861924</v>
      </c>
      <c r="F2" s="6">
        <f>IFERROR(E2/D2, 0)</f>
        <v>-9.0549587127593104E-2</v>
      </c>
      <c r="G2" s="5">
        <f>SUM(G4:G80)</f>
        <v>654651.87</v>
      </c>
      <c r="H2" s="7">
        <f>C2-G2</f>
        <v>-106087.89657486195</v>
      </c>
      <c r="I2" s="6">
        <f>IFERROR(H2/G2, 0)</f>
        <v>-0.16205238453662701</v>
      </c>
      <c r="J2" s="24" t="str">
        <f ca="1">IF(AND(TODAY()&gt;DATE(2024, 8,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72">
      <c r="A4" s="30" t="str" cm="1">
        <f t="array" ref="A4:A10">Sites[Site]</f>
        <v>Chino - 3750-3770 Grand Ave</v>
      </c>
      <c r="B4" s="27" t="str" cm="1">
        <f t="array" ref="B4:B10">Sites[State]</f>
        <v>CA</v>
      </c>
      <c r="C4" s="22">
        <v>31906.6544807223</v>
      </c>
      <c r="D4" s="12">
        <v>30044.7</v>
      </c>
      <c r="E4" s="12">
        <f>IF(AND(ISNUMBER(C4),ISNUMBER(D4)), C4-D4, "")</f>
        <v>1861.9544807222992</v>
      </c>
      <c r="F4" s="13">
        <f>IFERROR(E4/D4, "")</f>
        <v>6.1972809870702625E-2</v>
      </c>
      <c r="G4" s="14">
        <v>45234</v>
      </c>
      <c r="H4" s="14">
        <f>IF(AND(ISNUMBER(C4),ISNUMBER(G4)), C4-G4, "")</f>
        <v>-13327.3455192777</v>
      </c>
      <c r="I4" s="15">
        <f>IFERROR(H4/G4, "")</f>
        <v>-0.29463115177250959</v>
      </c>
      <c r="J4" s="39" t="s">
        <v>81</v>
      </c>
      <c r="K4" s="59" t="s">
        <v>82</v>
      </c>
      <c r="L4" s="62" t="s">
        <v>71</v>
      </c>
      <c r="M4" s="69"/>
      <c r="N4" s="69"/>
    </row>
    <row r="5" spans="1:14" ht="15.6">
      <c r="A5" s="28" t="str">
        <v>Murrieta - 28150 Keller Rd</v>
      </c>
      <c r="B5" s="29" t="str">
        <v>CA</v>
      </c>
      <c r="C5" s="11">
        <v>95153</v>
      </c>
      <c r="D5" s="16">
        <v>99725.96</v>
      </c>
      <c r="E5" s="16">
        <f t="shared" ref="E5:E10" si="0">IF(AND(ISNUMBER(C5),ISNUMBER(D5)), C5-D5, "")</f>
        <v>-4572.9600000000064</v>
      </c>
      <c r="F5" s="17">
        <f>IFERROR(E5/D5, "")</f>
        <v>-4.5855261759325319E-2</v>
      </c>
      <c r="G5" s="18">
        <v>114410.4</v>
      </c>
      <c r="H5" s="18">
        <f t="shared" ref="H5:H10" si="1">IF(AND(ISNUMBER(C5),ISNUMBER(G5)), C5-G5, "")</f>
        <v>-19257.399999999994</v>
      </c>
      <c r="I5" s="17">
        <f t="shared" ref="I5:I10" si="2">IFERROR(H5/G5, "")</f>
        <v>-0.16831861439169862</v>
      </c>
      <c r="J5" s="40" t="s">
        <v>83</v>
      </c>
      <c r="K5" s="40"/>
      <c r="L5" s="76"/>
      <c r="M5" s="69"/>
      <c r="N5" s="69"/>
    </row>
    <row r="6" spans="1:14" ht="15.6">
      <c r="A6" s="26" t="str">
        <v>La Habra - 601 E Imperial Way</v>
      </c>
      <c r="B6" s="27" t="str">
        <v>CA</v>
      </c>
      <c r="C6" s="22">
        <v>21199.630000000099</v>
      </c>
      <c r="D6" s="12">
        <v>16694.73</v>
      </c>
      <c r="E6" s="12">
        <f t="shared" si="0"/>
        <v>4504.9000000000997</v>
      </c>
      <c r="F6" s="13">
        <f t="shared" ref="F6:F10" si="3">IFERROR(E6/D6, "")</f>
        <v>0.26983964400742627</v>
      </c>
      <c r="G6" s="14">
        <v>26525.81</v>
      </c>
      <c r="H6" s="14">
        <f t="shared" si="1"/>
        <v>-5326.1799999999021</v>
      </c>
      <c r="I6" s="15">
        <f t="shared" si="2"/>
        <v>-0.200792360346391</v>
      </c>
      <c r="J6" s="39" t="s">
        <v>83</v>
      </c>
      <c r="K6" s="39"/>
      <c r="L6" s="69"/>
      <c r="M6" s="69"/>
      <c r="N6" s="69"/>
    </row>
    <row r="7" spans="1:14" ht="28.9">
      <c r="A7" s="28" t="str">
        <v>Kaiser - KP3 - SCA Skyport - CN7901 Site</v>
      </c>
      <c r="B7" s="29" t="str">
        <v>CA</v>
      </c>
      <c r="C7" s="11">
        <v>106893.04376697</v>
      </c>
      <c r="D7" s="16">
        <v>114393.8</v>
      </c>
      <c r="E7" s="16">
        <f t="shared" si="0"/>
        <v>-7500.7562330299988</v>
      </c>
      <c r="F7" s="17">
        <f t="shared" si="3"/>
        <v>-6.5569604585475769E-2</v>
      </c>
      <c r="G7" s="18">
        <v>123121.9</v>
      </c>
      <c r="H7" s="18">
        <f t="shared" si="1"/>
        <v>-16228.85623302999</v>
      </c>
      <c r="I7" s="17">
        <f t="shared" si="2"/>
        <v>-0.13181128810577153</v>
      </c>
      <c r="J7" s="40" t="s">
        <v>72</v>
      </c>
      <c r="K7" s="75" t="s">
        <v>84</v>
      </c>
      <c r="L7" s="62" t="s">
        <v>74</v>
      </c>
      <c r="M7" s="69"/>
      <c r="N7" s="69"/>
    </row>
    <row r="8" spans="1:14" ht="43.15">
      <c r="A8" s="26" t="str">
        <v>Irwindale - 12761 Schabarum Ave</v>
      </c>
      <c r="B8" s="27" t="str">
        <v>CA</v>
      </c>
      <c r="C8" s="22">
        <v>25933.630000000099</v>
      </c>
      <c r="D8" s="12">
        <v>22533.55</v>
      </c>
      <c r="E8" s="12">
        <f t="shared" si="0"/>
        <v>3400.0800000001</v>
      </c>
      <c r="F8" s="13">
        <f t="shared" si="3"/>
        <v>0.15088967339811526</v>
      </c>
      <c r="G8" s="14">
        <v>33846.76</v>
      </c>
      <c r="H8" s="14">
        <f t="shared" si="1"/>
        <v>-7913.1299999999028</v>
      </c>
      <c r="I8" s="15">
        <f t="shared" si="2"/>
        <v>-0.23379283571012122</v>
      </c>
      <c r="J8" s="39" t="s">
        <v>85</v>
      </c>
      <c r="K8" s="59" t="s">
        <v>86</v>
      </c>
      <c r="L8" s="62" t="s">
        <v>87</v>
      </c>
      <c r="M8" s="69"/>
      <c r="N8" s="69"/>
    </row>
    <row r="9" spans="1:14" ht="15.6">
      <c r="A9" s="28" t="str">
        <v>Santa Rosa - 2240 Mercury Way</v>
      </c>
      <c r="B9" s="29" t="str">
        <v>CA</v>
      </c>
      <c r="C9" s="11">
        <v>92708.015177445501</v>
      </c>
      <c r="D9" s="16">
        <v>107429.3</v>
      </c>
      <c r="E9" s="16">
        <f t="shared" si="0"/>
        <v>-14721.284822554502</v>
      </c>
      <c r="F9" s="17">
        <f t="shared" si="3"/>
        <v>-0.13703230703871758</v>
      </c>
      <c r="G9" s="18">
        <v>107538</v>
      </c>
      <c r="H9" s="18">
        <f t="shared" si="1"/>
        <v>-14829.984822554499</v>
      </c>
      <c r="I9" s="17">
        <f t="shared" si="2"/>
        <v>-0.13790459951416709</v>
      </c>
      <c r="J9" s="40"/>
      <c r="K9" s="41"/>
      <c r="L9" s="69"/>
      <c r="M9" s="69"/>
      <c r="N9" s="69"/>
    </row>
    <row r="10" spans="1:14" ht="15.6">
      <c r="A10" s="26" t="str">
        <v>Dublin - 3100 Dublin Blvd</v>
      </c>
      <c r="B10" s="27" t="str">
        <v>CA</v>
      </c>
      <c r="C10" s="22">
        <v>174770</v>
      </c>
      <c r="D10" s="12">
        <v>212359.8</v>
      </c>
      <c r="E10" s="12">
        <f t="shared" si="0"/>
        <v>-37589.799999999988</v>
      </c>
      <c r="F10" s="13">
        <f t="shared" si="3"/>
        <v>-0.17700996139570668</v>
      </c>
      <c r="G10" s="14">
        <v>203975</v>
      </c>
      <c r="H10" s="14">
        <f t="shared" si="1"/>
        <v>-29205</v>
      </c>
      <c r="I10" s="15">
        <f t="shared" si="2"/>
        <v>-0.14317931119009683</v>
      </c>
      <c r="J10" s="39" t="s">
        <v>88</v>
      </c>
      <c r="K10" s="39"/>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7" priority="5" stopIfTrue="1" operator="lessThanOrEqual">
      <formula>-0.1</formula>
    </cfRule>
    <cfRule type="expression" dxfId="16" priority="6">
      <formula>AND(ISNUMBER(F2), F2&gt;=0.1)</formula>
    </cfRule>
  </conditionalFormatting>
  <conditionalFormatting sqref="L5">
    <cfRule type="cellIs" dxfId="15" priority="1" stopIfTrue="1" operator="lessThanOrEqual">
      <formula>-0.1</formula>
    </cfRule>
    <cfRule type="expression" dxfId="14" priority="2">
      <formula>AND(ISNUMBER(L5), L5&gt;=0.1)</formula>
    </cfRule>
  </conditionalFormatting>
  <hyperlinks>
    <hyperlink ref="K4" r:id="rId1" display="https://us3.assetplanner.com/service_request?ID=103049" xr:uid="{263F6FA7-FDA9-4295-8BD4-A8F2A58A70DF}"/>
    <hyperlink ref="L4" r:id="rId2" display="https://us3.assetplanner.com/service_request?ID=104160" xr:uid="{38017AB1-8BA0-41CC-8880-7FEE500E28F1}"/>
    <hyperlink ref="K7" r:id="rId3" display="https://us3.assetplanner.com/service_request?ID=103140" xr:uid="{219F410E-2E6F-4015-BC5D-81A28FB534AA}"/>
    <hyperlink ref="L7" r:id="rId4" display="https://us3.assetplanner.com/service_request?ID=104320" xr:uid="{58334292-E990-4D2D-9799-E355C33652BF}"/>
    <hyperlink ref="K8" r:id="rId5" display="https://us3.assetplanner.com/service_request?ID=102034" xr:uid="{A835F1A3-4112-46D3-B591-F839B51AAECE}"/>
    <hyperlink ref="L8" r:id="rId6" display="https://us3.assetplanner.com/service_request?ID=107041" xr:uid="{694A3419-383C-4FB3-8FEF-7A680A331624}"/>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22"/>
  <sheetViews>
    <sheetView zoomScale="70" zoomScaleNormal="70" workbookViewId="0">
      <pane xSplit="2" ySplit="3" topLeftCell="C5" activePane="bottomRight" state="frozen"/>
      <selection pane="bottomRight" activeCell="G21" sqref="G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69"/>
  </cols>
  <sheetData>
    <row r="1" spans="1:15" ht="19.5" customHeight="1">
      <c r="A1" s="84" t="str" cm="1">
        <f t="array" ref="A1">portfolio</f>
        <v>KPCA Investment, LLC</v>
      </c>
      <c r="B1" s="84"/>
      <c r="C1" s="84"/>
      <c r="D1" s="85" t="s">
        <v>89</v>
      </c>
      <c r="E1" s="85"/>
      <c r="F1" s="85"/>
      <c r="G1" s="83" t="s">
        <v>90</v>
      </c>
      <c r="H1" s="83"/>
      <c r="I1" s="83"/>
      <c r="J1" s="4"/>
      <c r="K1" s="4"/>
    </row>
    <row r="2" spans="1:15" ht="19.5" customHeight="1">
      <c r="A2" s="86" t="s">
        <v>2</v>
      </c>
      <c r="B2" s="86"/>
      <c r="C2" s="5">
        <f>SUM(C4:C80)</f>
        <v>410609.82999999996</v>
      </c>
      <c r="D2" s="5">
        <f>SUM(D4:D80)</f>
        <v>422368.74400000001</v>
      </c>
      <c r="E2" s="5">
        <f>C2-D2</f>
        <v>-11758.914000000048</v>
      </c>
      <c r="F2" s="6">
        <f>IFERROR(E2/D2, 0)</f>
        <v>-2.7840398152189139E-2</v>
      </c>
      <c r="G2" s="5">
        <f>SUM(G4:G80)</f>
        <v>541597.48399999994</v>
      </c>
      <c r="H2" s="7">
        <f>C2-G2</f>
        <v>-130987.65399999998</v>
      </c>
      <c r="I2" s="6">
        <f>IFERROR(H2/G2, 0)</f>
        <v>-0.24185425130224569</v>
      </c>
      <c r="J2" s="24" t="str">
        <f ca="1">IF(AND(TODAY()&gt;DATE(2024, 9,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158.44999999999999">
      <c r="A4" s="65" t="str" cm="1">
        <f t="array" ref="A4:A10">Sites[Site]</f>
        <v>Chino - 3750-3770 Grand Ave</v>
      </c>
      <c r="B4" s="27" t="str" cm="1">
        <f t="array" ref="B4:B10">Sites[State]</f>
        <v>CA</v>
      </c>
      <c r="C4" s="22">
        <v>20494.103999999999</v>
      </c>
      <c r="D4" s="12">
        <v>23358.976999999999</v>
      </c>
      <c r="E4" s="12">
        <f>IF(AND(ISNUMBER(C4),ISNUMBER(D4)), C4-D4, "")</f>
        <v>-2864.8729999999996</v>
      </c>
      <c r="F4" s="13">
        <f>IFERROR(E4/D4, "")</f>
        <v>-0.12264548229145479</v>
      </c>
      <c r="G4" s="14">
        <v>35575</v>
      </c>
      <c r="H4" s="14">
        <f>IF(AND(ISNUMBER(C4),ISNUMBER(G4)), C4-G4, "")</f>
        <v>-15080.896000000001</v>
      </c>
      <c r="I4" s="15">
        <f>IFERROR(H4/G4, "")</f>
        <v>-0.42391836964160229</v>
      </c>
      <c r="J4" s="70" t="s">
        <v>91</v>
      </c>
      <c r="K4" s="72" t="s">
        <v>92</v>
      </c>
      <c r="L4" s="62" t="s">
        <v>71</v>
      </c>
      <c r="M4" s="62" t="s">
        <v>71</v>
      </c>
      <c r="N4" s="62" t="s">
        <v>93</v>
      </c>
      <c r="O4" s="62" t="s">
        <v>94</v>
      </c>
    </row>
    <row r="5" spans="1:15" ht="15.6">
      <c r="A5" s="28" t="str">
        <v>Murrieta - 28150 Keller Rd</v>
      </c>
      <c r="B5" s="29" t="str">
        <v>CA</v>
      </c>
      <c r="C5" s="11">
        <v>79152.5</v>
      </c>
      <c r="D5" s="16">
        <v>81924.728000000003</v>
      </c>
      <c r="E5" s="16">
        <f t="shared" ref="E5:E10" si="0">IF(AND(ISNUMBER(C5),ISNUMBER(D5)), C5-D5, "")</f>
        <v>-2772.2280000000028</v>
      </c>
      <c r="F5" s="17">
        <f>IFERROR(E5/D5, "")</f>
        <v>-3.3838720831639538E-2</v>
      </c>
      <c r="G5" s="18">
        <v>108968.633</v>
      </c>
      <c r="H5" s="18">
        <f t="shared" ref="H5:H9" si="1">IF(AND(ISNUMBER(C5),ISNUMBER(G5)), C5-G5, "")</f>
        <v>-29816.133000000002</v>
      </c>
      <c r="I5" s="17">
        <f t="shared" ref="I5:I9" si="2">IFERROR(H5/G5, "")</f>
        <v>-0.27362124474847732</v>
      </c>
      <c r="J5" s="77" t="s">
        <v>83</v>
      </c>
      <c r="K5" s="77"/>
    </row>
    <row r="6" spans="1:15" ht="15.6">
      <c r="A6" s="26" t="str">
        <v>La Habra - 601 E Imperial Way</v>
      </c>
      <c r="B6" s="27" t="str">
        <v>CA</v>
      </c>
      <c r="C6" s="22">
        <v>15887.87</v>
      </c>
      <c r="D6" s="12">
        <v>13119.037</v>
      </c>
      <c r="E6" s="12">
        <f t="shared" si="0"/>
        <v>2768.8330000000005</v>
      </c>
      <c r="F6" s="13">
        <f t="shared" ref="F6:F10" si="3">IFERROR(E6/D6, "")</f>
        <v>0.21105459188810891</v>
      </c>
      <c r="G6" s="14">
        <v>20305.917000000001</v>
      </c>
      <c r="H6" s="14">
        <f t="shared" si="1"/>
        <v>-4418.0470000000005</v>
      </c>
      <c r="I6" s="15">
        <f t="shared" si="2"/>
        <v>-0.21757436514686829</v>
      </c>
      <c r="J6" s="70" t="s">
        <v>83</v>
      </c>
      <c r="K6" s="70"/>
    </row>
    <row r="7" spans="1:15" ht="28.9">
      <c r="A7" s="28" t="str">
        <v>Kaiser - KP3 - SCA Skyport - CN7901 Site</v>
      </c>
      <c r="B7" s="29" t="str">
        <v>CA</v>
      </c>
      <c r="C7" s="11">
        <v>82226.039999999994</v>
      </c>
      <c r="D7" s="16">
        <v>87107.009000000005</v>
      </c>
      <c r="E7" s="16">
        <f t="shared" si="0"/>
        <v>-4880.9690000000119</v>
      </c>
      <c r="F7" s="17">
        <f t="shared" si="3"/>
        <v>-5.6034170568295044E-2</v>
      </c>
      <c r="G7" s="18">
        <v>98792.334000000003</v>
      </c>
      <c r="H7" s="18">
        <f t="shared" si="1"/>
        <v>-16566.294000000009</v>
      </c>
      <c r="I7" s="17">
        <f t="shared" si="2"/>
        <v>-0.16768805158505526</v>
      </c>
      <c r="J7" s="77" t="s">
        <v>72</v>
      </c>
      <c r="K7" s="78" t="s">
        <v>84</v>
      </c>
      <c r="L7" s="62" t="s">
        <v>74</v>
      </c>
    </row>
    <row r="8" spans="1:15" ht="72">
      <c r="A8" s="26" t="str">
        <v>Irwindale - 12761 Schabarum Ave</v>
      </c>
      <c r="B8" s="27" t="str">
        <v>CA</v>
      </c>
      <c r="C8" s="22">
        <v>18515.3</v>
      </c>
      <c r="D8" s="12">
        <v>17150.451000000001</v>
      </c>
      <c r="E8" s="12">
        <f t="shared" si="0"/>
        <v>1364.8489999999983</v>
      </c>
      <c r="F8" s="13">
        <f t="shared" si="3"/>
        <v>7.9580939300080117E-2</v>
      </c>
      <c r="G8" s="14">
        <v>27912.1</v>
      </c>
      <c r="H8" s="14">
        <f t="shared" si="1"/>
        <v>-9396.7999999999993</v>
      </c>
      <c r="I8" s="15">
        <f t="shared" si="2"/>
        <v>-0.33665686207773687</v>
      </c>
      <c r="J8" s="70" t="s">
        <v>95</v>
      </c>
      <c r="K8" s="72" t="s">
        <v>96</v>
      </c>
      <c r="L8" s="62" t="s">
        <v>97</v>
      </c>
      <c r="M8" s="62" t="s">
        <v>98</v>
      </c>
    </row>
    <row r="9" spans="1:15" ht="15.6">
      <c r="A9" s="28" t="str">
        <v>Santa Rosa - 2240 Mercury Way</v>
      </c>
      <c r="B9" s="29" t="str">
        <v>CA</v>
      </c>
      <c r="C9" s="11">
        <v>62550.016000000003</v>
      </c>
      <c r="D9" s="16">
        <v>75940.445000000007</v>
      </c>
      <c r="E9" s="16">
        <f t="shared" si="0"/>
        <v>-13390.429000000004</v>
      </c>
      <c r="F9" s="17">
        <f t="shared" si="3"/>
        <v>-0.17632802915495166</v>
      </c>
      <c r="G9" s="18">
        <v>86361</v>
      </c>
      <c r="H9" s="18">
        <f t="shared" si="1"/>
        <v>-23810.983999999997</v>
      </c>
      <c r="I9" s="17">
        <f t="shared" si="2"/>
        <v>-0.27571454707564752</v>
      </c>
      <c r="J9" s="77"/>
      <c r="K9" s="73"/>
    </row>
    <row r="10" spans="1:15" ht="15.6">
      <c r="A10" s="26" t="str">
        <v>Dublin - 3100 Dublin Blvd</v>
      </c>
      <c r="B10" s="27" t="str">
        <v>CA</v>
      </c>
      <c r="C10" s="22">
        <v>131784</v>
      </c>
      <c r="D10" s="12">
        <v>123768.09699999999</v>
      </c>
      <c r="E10" s="12">
        <f t="shared" si="0"/>
        <v>8015.9030000000057</v>
      </c>
      <c r="F10" s="13">
        <f t="shared" si="3"/>
        <v>6.4765502534954597E-2</v>
      </c>
      <c r="G10" s="14">
        <v>163682.5</v>
      </c>
      <c r="H10" s="14">
        <f>IF(AND(ISNUMBER(C10),ISNUMBER(G10)), C10-G10, "")</f>
        <v>-31898.5</v>
      </c>
      <c r="I10" s="15">
        <f>IFERROR(H10/G10, "")</f>
        <v>-0.19488033235074001</v>
      </c>
      <c r="J10" s="70" t="s">
        <v>83</v>
      </c>
      <c r="K10" s="70"/>
    </row>
    <row r="11" spans="1:15" ht="14.45">
      <c r="A11" s="19"/>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hyperlinks>
    <hyperlink ref="K4" r:id="rId1" display="https://us3.assetplanner.com/service_request?ID=103049" xr:uid="{0D8C8E21-623B-43B2-9F69-5C419E57D836}"/>
    <hyperlink ref="L4" r:id="rId2" display="https://us3.assetplanner.com/service_request?ID=104160" xr:uid="{CEE9519E-52D5-4768-AEA5-6BE8FE761F60}"/>
    <hyperlink ref="M4" r:id="rId3" display="https://us3.assetplanner.com/service_request?ID=104160" xr:uid="{AA3F9F60-7DB6-4320-B3A1-7D16F70BF890}"/>
    <hyperlink ref="N4" r:id="rId4" display="https://us3.assetplanner.com/service_request?ID=107548" xr:uid="{9B380E24-0B2E-4396-A445-ADE623C7DDBB}"/>
    <hyperlink ref="O4" r:id="rId5" display="https://us3.assetplanner.com/service_request?ID=108510" xr:uid="{34A27B9D-E034-4628-88DC-8E4DE6FEDB70}"/>
    <hyperlink ref="K7" r:id="rId6" display="https://us3.assetplanner.com/service_request?ID=103140" xr:uid="{B1A14A34-946A-4B5D-B545-031C5CA449C5}"/>
    <hyperlink ref="L7" r:id="rId7" display="https://us3.assetplanner.com/service_request?ID=104320" xr:uid="{7147E896-A814-47B8-9471-6A162E50EBBD}"/>
    <hyperlink ref="K8" r:id="rId8" display="https://us3.assetplanner.com/service_request?ID=102034" xr:uid="{67A17B52-CD02-4F05-B748-94285D9BDE05}"/>
    <hyperlink ref="L8" r:id="rId9" display="https://us3.assetplanner.com/service_request?ID=107305" xr:uid="{392070CF-C41D-4F60-B4FB-33A17A04F907}"/>
    <hyperlink ref="M8" r:id="rId10" display="https://us3.assetplanner.com/service_request?ID=108644" xr:uid="{EC271903-8C5B-43FC-9559-192CFDDE883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22"/>
  <sheetViews>
    <sheetView zoomScale="70" zoomScaleNormal="70" workbookViewId="0">
      <pane xSplit="2" ySplit="3" topLeftCell="C4" activePane="bottomRight" state="frozen"/>
      <selection pane="bottomRight" activeCell="J19" sqref="J19"/>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0.5703125" style="69" customWidth="1"/>
  </cols>
  <sheetData>
    <row r="1" spans="1:15" ht="19.5" customHeight="1">
      <c r="A1" s="84" t="str" cm="1">
        <f t="array" ref="A1">portfolio</f>
        <v>KPCA Investment, LLC</v>
      </c>
      <c r="B1" s="84"/>
      <c r="C1" s="84"/>
      <c r="D1" s="85" t="s">
        <v>99</v>
      </c>
      <c r="E1" s="85"/>
      <c r="F1" s="85"/>
      <c r="G1" s="83" t="s">
        <v>100</v>
      </c>
      <c r="H1" s="83"/>
      <c r="I1" s="83"/>
      <c r="J1" s="4"/>
      <c r="K1" s="4"/>
    </row>
    <row r="2" spans="1:15" ht="19.5" customHeight="1">
      <c r="A2" s="86" t="s">
        <v>2</v>
      </c>
      <c r="B2" s="86"/>
      <c r="C2" s="5">
        <f>SUM(C4:C80)</f>
        <v>352157.70184863498</v>
      </c>
      <c r="D2" s="5">
        <f>SUM(D4:D80)</f>
        <v>354315.30299999996</v>
      </c>
      <c r="E2" s="5">
        <f>C2-D2</f>
        <v>-2157.6011513649719</v>
      </c>
      <c r="F2" s="6">
        <f>IFERROR(E2/D2, 0)</f>
        <v>-6.0894946763419139E-3</v>
      </c>
      <c r="G2" s="5">
        <f>SUM(G4:G80)</f>
        <v>412083.446</v>
      </c>
      <c r="H2" s="7">
        <f>C2-G2</f>
        <v>-59925.744151365012</v>
      </c>
      <c r="I2" s="6">
        <f>IFERROR(H2/G2, 0)</f>
        <v>-0.1454213818415919</v>
      </c>
      <c r="J2" s="24" t="str">
        <f ca="1">IF(AND(TODAY()&gt;DATE(2024, 10,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c r="L3" s="79" t="s">
        <v>101</v>
      </c>
    </row>
    <row r="4" spans="1:15" ht="158.44999999999999">
      <c r="A4" s="30" t="str" cm="1">
        <f t="array" ref="A4:A10">Sites[Site]</f>
        <v>Chino - 3750-3770 Grand Ave</v>
      </c>
      <c r="B4" s="27" t="str" cm="1">
        <f t="array" ref="B4:B10">Sites[State]</f>
        <v>CA</v>
      </c>
      <c r="C4" s="22">
        <v>11963.036795354001</v>
      </c>
      <c r="D4" s="12">
        <v>21453.31</v>
      </c>
      <c r="E4" s="12">
        <f>IF(AND(ISNUMBER(C4),ISNUMBER(D4)), C4-D4, "")</f>
        <v>-9490.2732046460005</v>
      </c>
      <c r="F4" s="13">
        <f>IFERROR(E4/D4, "")</f>
        <v>-0.44236871627949254</v>
      </c>
      <c r="G4" s="14">
        <v>30206</v>
      </c>
      <c r="H4" s="14">
        <f>IF(AND(ISNUMBER(C4),ISNUMBER(G4)), C4-G4, "")</f>
        <v>-18242.963204645999</v>
      </c>
      <c r="I4" s="15">
        <f>IFERROR(H4/G4, "")</f>
        <v>-0.60395163890107928</v>
      </c>
      <c r="J4" s="39" t="s">
        <v>102</v>
      </c>
      <c r="K4" s="59" t="s">
        <v>103</v>
      </c>
      <c r="L4" s="80" t="s">
        <v>104</v>
      </c>
      <c r="M4" s="66" t="s">
        <v>105</v>
      </c>
      <c r="N4" s="66" t="s">
        <v>93</v>
      </c>
      <c r="O4" s="66" t="s">
        <v>94</v>
      </c>
    </row>
    <row r="5" spans="1:15" ht="43.15">
      <c r="A5" s="28" t="str">
        <v>Murrieta - 28150 Keller Rd</v>
      </c>
      <c r="B5" s="29" t="str">
        <v>CA</v>
      </c>
      <c r="C5" s="11">
        <v>74713</v>
      </c>
      <c r="D5" s="16">
        <v>74409.23</v>
      </c>
      <c r="E5" s="16">
        <f t="shared" ref="E5:E9" si="0">IF(AND(ISNUMBER(C5),ISNUMBER(D5)), C5-D5, "")</f>
        <v>303.77000000000407</v>
      </c>
      <c r="F5" s="17">
        <f>IFERROR(E5/D5, "")</f>
        <v>4.0824236455612303E-3</v>
      </c>
      <c r="G5" s="18">
        <v>79915.350000000006</v>
      </c>
      <c r="H5" s="18">
        <f>IF(AND(ISNUMBER(C5),ISNUMBER(G5)), C5-G5, "")</f>
        <v>-5202.3500000000058</v>
      </c>
      <c r="I5" s="17">
        <f>IFERROR(H5/G5, "")</f>
        <v>-6.5098257093286899E-2</v>
      </c>
      <c r="J5" s="40" t="s">
        <v>106</v>
      </c>
      <c r="K5" s="61" t="s">
        <v>107</v>
      </c>
      <c r="L5" s="69" t="s">
        <v>108</v>
      </c>
    </row>
    <row r="6" spans="1:15" ht="15.6">
      <c r="A6" s="30" t="str">
        <v>La Habra - 601 E Imperial Way</v>
      </c>
      <c r="B6" s="27" t="str">
        <v>CA</v>
      </c>
      <c r="C6" s="22">
        <v>15416.5</v>
      </c>
      <c r="D6" s="12">
        <v>12287.47</v>
      </c>
      <c r="E6" s="12">
        <f>IF(AND(ISNUMBER(C6),ISNUMBER(D6)), C6-D6, "")</f>
        <v>3129.0300000000007</v>
      </c>
      <c r="F6" s="13">
        <f t="shared" ref="F6:F9" si="1">IFERROR(E6/D6, "")</f>
        <v>0.2546520968108163</v>
      </c>
      <c r="G6" s="14">
        <v>17169.919999999998</v>
      </c>
      <c r="H6" s="14">
        <f t="shared" ref="H6:H10" si="2">IF(AND(ISNUMBER(C6),ISNUMBER(G6)), C6-G6, "")</f>
        <v>-1753.4199999999983</v>
      </c>
      <c r="I6" s="15">
        <f t="shared" ref="I6" si="3">IFERROR(H6/G6, "")</f>
        <v>-0.10212161734009235</v>
      </c>
      <c r="J6" s="39" t="s">
        <v>109</v>
      </c>
      <c r="K6" s="39"/>
    </row>
    <row r="7" spans="1:15" ht="39.6">
      <c r="A7" s="28" t="str">
        <v>Kaiser - KP3 - SCA Skyport - CN7901 Site</v>
      </c>
      <c r="B7" s="29" t="str">
        <v>CA</v>
      </c>
      <c r="C7" s="11">
        <v>69605.509999999995</v>
      </c>
      <c r="D7" s="16">
        <v>73078.225999999995</v>
      </c>
      <c r="E7" s="16">
        <f t="shared" si="0"/>
        <v>-3472.7160000000003</v>
      </c>
      <c r="F7" s="17">
        <f t="shared" si="1"/>
        <v>-4.7520529576073736E-2</v>
      </c>
      <c r="G7" s="18">
        <v>76785.429999999993</v>
      </c>
      <c r="H7" s="18">
        <f t="shared" si="2"/>
        <v>-7179.9199999999983</v>
      </c>
      <c r="I7" s="17">
        <f>IFERROR(H7/G7, "")</f>
        <v>-9.3506281074417358E-2</v>
      </c>
      <c r="J7" s="52" t="s">
        <v>72</v>
      </c>
      <c r="K7" s="75" t="s">
        <v>110</v>
      </c>
      <c r="L7" s="80" t="s">
        <v>111</v>
      </c>
      <c r="M7" s="66" t="s">
        <v>74</v>
      </c>
    </row>
    <row r="8" spans="1:15" ht="43.15">
      <c r="A8" s="26" t="str">
        <v>Irwindale - 12761 Schabarum Ave</v>
      </c>
      <c r="B8" s="27" t="str">
        <v>CA</v>
      </c>
      <c r="C8" s="22">
        <v>17638.619999999901</v>
      </c>
      <c r="D8" s="12">
        <v>15926.16</v>
      </c>
      <c r="E8" s="12">
        <f>IF(AND(ISNUMBER(C8),ISNUMBER(D8)), C8-D8, "")</f>
        <v>1712.4599999999009</v>
      </c>
      <c r="F8" s="13">
        <f t="shared" si="1"/>
        <v>0.1075249777724135</v>
      </c>
      <c r="G8" s="14">
        <v>22524.36</v>
      </c>
      <c r="H8" s="14">
        <f t="shared" si="2"/>
        <v>-4885.7400000000998</v>
      </c>
      <c r="I8" s="15">
        <f t="shared" ref="I8:I10" si="4">IFERROR(H8/G8, "")</f>
        <v>-0.21690915968312083</v>
      </c>
      <c r="J8" s="39" t="s">
        <v>112</v>
      </c>
      <c r="K8" s="59" t="s">
        <v>113</v>
      </c>
      <c r="L8" s="80" t="s">
        <v>114</v>
      </c>
      <c r="M8" s="66" t="s">
        <v>98</v>
      </c>
    </row>
    <row r="9" spans="1:15" ht="28.9">
      <c r="A9" s="28" t="str">
        <v>Santa Rosa - 2240 Mercury Way</v>
      </c>
      <c r="B9" s="29" t="str">
        <v>CA</v>
      </c>
      <c r="C9" s="11">
        <v>48677.035053281099</v>
      </c>
      <c r="D9" s="16">
        <v>56672.54</v>
      </c>
      <c r="E9" s="16">
        <f t="shared" si="0"/>
        <v>-7995.5049467189019</v>
      </c>
      <c r="F9" s="17">
        <f t="shared" si="1"/>
        <v>-0.14108252332997431</v>
      </c>
      <c r="G9" s="18">
        <v>66427</v>
      </c>
      <c r="H9" s="18">
        <f t="shared" si="2"/>
        <v>-17749.964946718901</v>
      </c>
      <c r="I9" s="17">
        <f>IFERROR(H9/G9, "")</f>
        <v>-0.26721009449047678</v>
      </c>
      <c r="J9" s="40" t="s">
        <v>115</v>
      </c>
      <c r="K9" s="41"/>
    </row>
    <row r="10" spans="1:15" ht="15.6">
      <c r="A10" s="26" t="str">
        <v>Dublin - 3100 Dublin Blvd</v>
      </c>
      <c r="B10" s="27" t="str">
        <v>CA</v>
      </c>
      <c r="C10" s="22">
        <v>114144</v>
      </c>
      <c r="D10" s="12">
        <v>100488.367</v>
      </c>
      <c r="E10" s="12">
        <f>IF(AND(ISNUMBER(C10),ISNUMBER(D10)), C10-D10, "")</f>
        <v>13655.633000000002</v>
      </c>
      <c r="F10" s="13">
        <f t="shared" ref="F10" si="5">IFERROR(E10/D10, "")</f>
        <v>0.13589267501978614</v>
      </c>
      <c r="G10" s="14">
        <v>119055.386</v>
      </c>
      <c r="H10" s="14">
        <f t="shared" si="2"/>
        <v>-4911.3859999999986</v>
      </c>
      <c r="I10" s="15">
        <f t="shared" si="4"/>
        <v>-4.1252950958472374E-2</v>
      </c>
      <c r="J10" s="39" t="s">
        <v>116</v>
      </c>
      <c r="K10" s="39"/>
    </row>
    <row r="11" spans="1:15" ht="14.45">
      <c r="A11" s="19"/>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hyperlinks>
    <hyperlink ref="K4" r:id="rId1" display="https://us3.assetplanner.com/service_request?ID=103049" xr:uid="{1C89CE54-0163-46BF-8D84-ED6529C46731}"/>
    <hyperlink ref="M4" r:id="rId2" display="https://us3.assetplanner.com/service_request?ID=108381" xr:uid="{652CE8D2-78F7-498D-8C3F-4B5E36CE0333}"/>
    <hyperlink ref="N4" r:id="rId3" display="https://us3.assetplanner.com/service_request?ID=107548" xr:uid="{F1E4EA56-B2D2-4286-A382-1502E562E02C}"/>
    <hyperlink ref="O4" r:id="rId4" display="https://us3.assetplanner.com/service_request?ID=108510" xr:uid="{BF6A9A4F-3B1D-48F0-9AB1-1BAE40BEE4D9}"/>
    <hyperlink ref="K5" r:id="rId5" display="https://us3.assetplanner.com/service_request?ID=109470" xr:uid="{7D811A44-58AE-43D6-A075-08425992898F}"/>
    <hyperlink ref="K7" r:id="rId6" display="https://us3.assetplanner.com/service_request?ID=103140" xr:uid="{F2ACEF17-03FB-4AD1-9940-47C3E123A5A2}"/>
    <hyperlink ref="M7" r:id="rId7" display="https://us3.assetplanner.com/service_request?ID=104320" xr:uid="{A030EAC9-F8D1-4F2B-AA84-A5907D72E750}"/>
    <hyperlink ref="K8" r:id="rId8" display="https://us3.assetplanner.com/service_request?ID=102034" xr:uid="{37B4C561-B5B4-4439-AC5D-793E032E58F8}"/>
    <hyperlink ref="M8" r:id="rId9" display="https://us3.assetplanner.com/service_request?ID=108644" xr:uid="{8ED0E135-ABB6-4952-918C-CCFEECD3DC34}"/>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O322"/>
  <sheetViews>
    <sheetView zoomScale="70" zoomScaleNormal="70" workbookViewId="0">
      <pane xSplit="2" ySplit="4" topLeftCell="C5" activePane="bottomRight" state="frozen"/>
      <selection pane="bottomRight" activeCell="E16" sqref="E16"/>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 min="12" max="12" width="12.28515625" customWidth="1"/>
    <col min="13" max="15" width="9.140625" style="82"/>
  </cols>
  <sheetData>
    <row r="1" spans="1:15" ht="19.5" customHeight="1">
      <c r="A1" s="84" t="str" cm="1">
        <f t="array" ref="A1">portfolio</f>
        <v>KPCA Investment, LLC</v>
      </c>
      <c r="B1" s="84"/>
      <c r="C1" s="84"/>
      <c r="D1" s="85" t="s">
        <v>117</v>
      </c>
      <c r="E1" s="85"/>
      <c r="F1" s="85"/>
      <c r="G1" s="83" t="s">
        <v>118</v>
      </c>
      <c r="H1" s="83"/>
      <c r="I1" s="83"/>
      <c r="J1" s="4"/>
      <c r="K1" s="4"/>
    </row>
    <row r="2" spans="1:15" ht="19.5" customHeight="1">
      <c r="A2" s="86" t="s">
        <v>2</v>
      </c>
      <c r="B2" s="86"/>
      <c r="C2" s="5">
        <f>SUM(C4:C80)</f>
        <v>236059.10699999999</v>
      </c>
      <c r="D2" s="5">
        <f>SUM(D4:D80)</f>
        <v>237205.09399999998</v>
      </c>
      <c r="E2" s="5">
        <f>C2-D2</f>
        <v>-1145.9869999999937</v>
      </c>
      <c r="F2" s="6">
        <f>IFERROR(E2/D2, 0)</f>
        <v>-4.8312073770219871E-3</v>
      </c>
      <c r="G2" s="5">
        <f>SUM(G4:G80)</f>
        <v>300318</v>
      </c>
      <c r="H2" s="7">
        <f>C2-G2</f>
        <v>-64258.893000000011</v>
      </c>
      <c r="I2" s="6">
        <f>IFERROR(H2/G2, 0)</f>
        <v>-0.21396950232753284</v>
      </c>
      <c r="J2" s="24" t="str">
        <f ca="1">IF(AND(TODAY()&gt;DATE(2024, 11,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c r="L3" s="23" t="s">
        <v>101</v>
      </c>
    </row>
    <row r="4" spans="1:15" ht="76.5">
      <c r="A4" s="26" t="str" cm="1">
        <f t="array" ref="A4:A10">Sites[Site]</f>
        <v>Chino - 3750-3770 Grand Ave</v>
      </c>
      <c r="B4" s="27" t="str" cm="1">
        <f t="array" ref="B4:B10">Sites[State]</f>
        <v>CA</v>
      </c>
      <c r="C4" s="22">
        <v>7236.2</v>
      </c>
      <c r="D4" s="12">
        <v>14992.3</v>
      </c>
      <c r="E4" s="12">
        <f>IF(AND(ISNUMBER(C4),ISNUMBER(D4)), C4-D4, "")</f>
        <v>-7756.0999999999995</v>
      </c>
      <c r="F4" s="13">
        <f>IFERROR(E4/D4, "")</f>
        <v>-0.51733890063565968</v>
      </c>
      <c r="G4" s="14">
        <v>23963</v>
      </c>
      <c r="H4" s="14">
        <f>IF(AND(ISNUMBER(C4),ISNUMBER(G4)), C4-G4, "")</f>
        <v>-16726.8</v>
      </c>
      <c r="I4" s="15">
        <f>IFERROR(H4/G4, "")</f>
        <v>-0.69802612360722782</v>
      </c>
      <c r="J4" s="39" t="s">
        <v>119</v>
      </c>
      <c r="K4" s="59" t="s">
        <v>120</v>
      </c>
      <c r="L4" s="71" t="s">
        <v>121</v>
      </c>
      <c r="M4" s="63" t="s">
        <v>94</v>
      </c>
      <c r="N4" s="63" t="s">
        <v>60</v>
      </c>
    </row>
    <row r="5" spans="1:15" ht="15.75">
      <c r="A5" s="28" t="str">
        <v>Murrieta - 28150 Keller Rd</v>
      </c>
      <c r="B5" s="29" t="str">
        <v>CA</v>
      </c>
      <c r="C5" s="11">
        <v>52767</v>
      </c>
      <c r="D5" s="16">
        <v>52438.15</v>
      </c>
      <c r="E5" s="16">
        <f t="shared" ref="E5:E9" si="0">IF(AND(ISNUMBER(C5),ISNUMBER(D5)), C5-D5, "")</f>
        <v>328.84999999999854</v>
      </c>
      <c r="F5" s="17">
        <f>IFERROR(E5/D5, "")</f>
        <v>6.2711975918295845E-3</v>
      </c>
      <c r="G5" s="18">
        <v>66549</v>
      </c>
      <c r="H5" s="18">
        <f t="shared" ref="H5:H9" si="1">IF(AND(ISNUMBER(C5),ISNUMBER(G5)), C5-G5, "")</f>
        <v>-13782</v>
      </c>
      <c r="I5" s="17">
        <f t="shared" ref="I5:I9" si="2">IFERROR(H5/G5, "")</f>
        <v>-0.20709552359915251</v>
      </c>
      <c r="J5" s="56" t="s">
        <v>116</v>
      </c>
      <c r="K5" s="52"/>
    </row>
    <row r="6" spans="1:15" ht="15.75">
      <c r="A6" s="26" t="str">
        <v>La Habra - 601 E Imperial Way</v>
      </c>
      <c r="B6" s="27" t="str">
        <v>CA</v>
      </c>
      <c r="C6" s="22">
        <v>10738.8</v>
      </c>
      <c r="D6" s="12">
        <v>8152.3419999999996</v>
      </c>
      <c r="E6" s="12">
        <f t="shared" si="0"/>
        <v>2586.4579999999996</v>
      </c>
      <c r="F6" s="13">
        <f t="shared" ref="F6:F9" si="3">IFERROR(E6/D6, "")</f>
        <v>0.31726563973886274</v>
      </c>
      <c r="G6" s="14">
        <v>13897</v>
      </c>
      <c r="H6" s="14">
        <f t="shared" si="1"/>
        <v>-3158.2000000000007</v>
      </c>
      <c r="I6" s="15">
        <f t="shared" si="2"/>
        <v>-0.22725768151399589</v>
      </c>
      <c r="J6" s="39" t="s">
        <v>116</v>
      </c>
      <c r="K6" s="39"/>
    </row>
    <row r="7" spans="1:15" ht="60">
      <c r="A7" s="28" t="str">
        <v>Kaiser - KP3 - SCA Skyport - CN7901 Site</v>
      </c>
      <c r="B7" s="29" t="str">
        <v>CA</v>
      </c>
      <c r="C7" s="11">
        <v>44913.9</v>
      </c>
      <c r="D7" s="16">
        <v>48522.8</v>
      </c>
      <c r="E7" s="16">
        <f t="shared" si="0"/>
        <v>-3608.9000000000015</v>
      </c>
      <c r="F7" s="17">
        <f t="shared" si="3"/>
        <v>-7.437534519854587E-2</v>
      </c>
      <c r="G7" s="18">
        <v>50533</v>
      </c>
      <c r="H7" s="18">
        <f t="shared" si="1"/>
        <v>-5619.0999999999985</v>
      </c>
      <c r="I7" s="17">
        <f t="shared" si="2"/>
        <v>-0.1111966437773336</v>
      </c>
      <c r="J7" s="56" t="s">
        <v>122</v>
      </c>
      <c r="K7" s="75" t="s">
        <v>123</v>
      </c>
      <c r="L7" s="81" t="s">
        <v>124</v>
      </c>
      <c r="M7" s="63" t="s">
        <v>125</v>
      </c>
      <c r="N7" s="63" t="s">
        <v>74</v>
      </c>
      <c r="O7" s="63" t="s">
        <v>126</v>
      </c>
    </row>
    <row r="8" spans="1:15" ht="15.75">
      <c r="A8" s="26" t="str">
        <v>Irwindale - 12761 Schabarum Ave</v>
      </c>
      <c r="B8" s="27" t="str">
        <v>CA</v>
      </c>
      <c r="C8" s="22">
        <v>12685.7</v>
      </c>
      <c r="D8" s="12">
        <v>10226.924999999999</v>
      </c>
      <c r="E8" s="12">
        <f t="shared" si="0"/>
        <v>2458.7750000000015</v>
      </c>
      <c r="F8" s="13">
        <f t="shared" si="3"/>
        <v>0.24042172989437213</v>
      </c>
      <c r="G8" s="14">
        <v>18320</v>
      </c>
      <c r="H8" s="14">
        <f t="shared" si="1"/>
        <v>-5634.2999999999993</v>
      </c>
      <c r="I8" s="15">
        <f t="shared" si="2"/>
        <v>-0.30754912663755457</v>
      </c>
      <c r="J8" s="39" t="s">
        <v>127</v>
      </c>
      <c r="K8" s="59" t="s">
        <v>128</v>
      </c>
      <c r="L8" t="s">
        <v>129</v>
      </c>
    </row>
    <row r="9" spans="1:15" ht="15.75">
      <c r="A9" s="28" t="str">
        <v>Santa Rosa - 2240 Mercury Way</v>
      </c>
      <c r="B9" s="29" t="str">
        <v>CA</v>
      </c>
      <c r="C9" s="11">
        <v>32062.507000000001</v>
      </c>
      <c r="D9" s="16">
        <v>35264.646999999997</v>
      </c>
      <c r="E9" s="16">
        <f t="shared" si="0"/>
        <v>-3202.1399999999958</v>
      </c>
      <c r="F9" s="17">
        <f t="shared" si="3"/>
        <v>-9.0803120757170661E-2</v>
      </c>
      <c r="G9" s="18">
        <v>43187</v>
      </c>
      <c r="H9" s="18">
        <f t="shared" si="1"/>
        <v>-11124.492999999999</v>
      </c>
      <c r="I9" s="17">
        <f t="shared" si="2"/>
        <v>-0.25758892722346999</v>
      </c>
      <c r="J9" s="40" t="s">
        <v>116</v>
      </c>
      <c r="K9" s="41"/>
    </row>
    <row r="10" spans="1:15" ht="15.75">
      <c r="A10" s="26" t="str">
        <v>Dublin - 3100 Dublin Blvd</v>
      </c>
      <c r="B10" s="27" t="str">
        <v>CA</v>
      </c>
      <c r="C10" s="22">
        <v>75655</v>
      </c>
      <c r="D10" s="12">
        <v>67607.929999999993</v>
      </c>
      <c r="E10" s="12">
        <f t="shared" ref="E10" si="4">IF(AND(ISNUMBER(C10),ISNUMBER(D10)), C10-D10, "")</f>
        <v>8047.070000000007</v>
      </c>
      <c r="F10" s="13">
        <f t="shared" ref="F10" si="5">IFERROR(E10/D10, "")</f>
        <v>0.11902553443065049</v>
      </c>
      <c r="G10" s="14">
        <v>83869</v>
      </c>
      <c r="H10" s="14">
        <f t="shared" ref="H10" si="6">IF(AND(ISNUMBER(C10),ISNUMBER(G10)), C10-G10, "")</f>
        <v>-8214</v>
      </c>
      <c r="I10" s="15">
        <f t="shared" ref="I10" si="7">IFERROR(H10/G10, "")</f>
        <v>-9.7938451632903697E-2</v>
      </c>
      <c r="J10" s="39" t="s">
        <v>116</v>
      </c>
      <c r="K10" s="39"/>
    </row>
    <row r="11" spans="1:15" ht="15">
      <c r="A11" s="19"/>
      <c r="B11" s="31"/>
      <c r="C11" s="19"/>
      <c r="D11" s="19"/>
      <c r="E11" s="19"/>
      <c r="F11" s="19"/>
      <c r="G11" s="19"/>
      <c r="H11" s="19"/>
      <c r="I11" s="19"/>
      <c r="J11" s="19"/>
      <c r="K11" s="19"/>
    </row>
    <row r="12" spans="1:15" ht="15">
      <c r="A12" s="19"/>
      <c r="B12" s="31"/>
      <c r="C12" s="19"/>
      <c r="D12" s="19"/>
      <c r="E12" s="19"/>
      <c r="F12" s="19"/>
      <c r="G12" s="19"/>
      <c r="H12" s="19"/>
      <c r="I12" s="19"/>
      <c r="J12" s="19"/>
      <c r="K12" s="19"/>
    </row>
    <row r="13" spans="1:15" ht="15">
      <c r="A13" s="19"/>
      <c r="B13" s="31"/>
      <c r="C13" s="19"/>
      <c r="D13" s="19"/>
      <c r="E13" s="19"/>
      <c r="F13" s="20"/>
      <c r="G13" s="19"/>
      <c r="H13" s="19"/>
      <c r="I13" s="20"/>
      <c r="J13" s="19"/>
      <c r="K13" s="19"/>
    </row>
    <row r="14" spans="1:15" ht="15">
      <c r="A14" s="19"/>
      <c r="B14" s="31"/>
      <c r="C14" s="19"/>
      <c r="D14" s="19"/>
      <c r="E14" s="19"/>
      <c r="F14" s="20"/>
      <c r="G14" s="19"/>
      <c r="H14" s="19"/>
      <c r="I14" s="20"/>
      <c r="J14" s="19"/>
      <c r="K14" s="19"/>
    </row>
    <row r="15" spans="1:15" ht="15">
      <c r="A15" s="19"/>
      <c r="B15" s="31"/>
      <c r="C15" s="19"/>
      <c r="D15" s="19"/>
      <c r="E15" s="19"/>
      <c r="F15" s="20"/>
      <c r="G15" s="19"/>
      <c r="H15" s="19"/>
      <c r="I15" s="20"/>
      <c r="J15" s="19"/>
      <c r="K15" s="19"/>
    </row>
    <row r="16" spans="1:15"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hyperlinks>
    <hyperlink ref="K4" r:id="rId1" display="https://us3.assetplanner.com/service_request?ID=108381" xr:uid="{67E2AB32-6847-4990-91BE-58DFB5834204}"/>
    <hyperlink ref="M4" r:id="rId2" display="https://us3.assetplanner.com/service_request?ID=108510" xr:uid="{0E4E788F-0667-4F33-8C0B-7EBC292AA521}"/>
    <hyperlink ref="N4" r:id="rId3" display="https://us3.assetplanner.com/service_request?ID=103049" xr:uid="{3205AE73-A409-4897-BA5D-33436CC1A71C}"/>
    <hyperlink ref="K7" r:id="rId4" display="https://us3.assetplanner.com/service_request?ID=111709" xr:uid="{CF5F2E6D-0574-4D8E-841D-9DE9803DBB5A}"/>
    <hyperlink ref="M7" r:id="rId5" display="https://us3.assetplanner.com/service_request?ID=103140" xr:uid="{F56A4085-653B-4182-BE16-C9BF6D1E0073}"/>
    <hyperlink ref="N7" r:id="rId6" display="https://us3.assetplanner.com/service_request?ID=104320" xr:uid="{7381511B-E8CD-46A4-BA91-A7A5AB8F2CDF}"/>
    <hyperlink ref="O7" r:id="rId7" display="https://us3.assetplanner.com/service_request?ID=111097" xr:uid="{C817A168-B999-4B20-B53E-0A55A813109B}"/>
    <hyperlink ref="K8" r:id="rId8" display="https://us3.assetplanner.com/service_request?ID=102034" xr:uid="{6028EA27-B76C-44BD-A755-C37D511DC901}"/>
  </hyperlinks>
  <pageMargins left="0.4" right="0.7" top="0.25" bottom="0.25" header="0.3" footer="0.3"/>
  <pageSetup fitToHeight="99" orientation="landscape" r:id="rId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4" t="str" cm="1">
        <f t="array" ref="A1">portfolio</f>
        <v>KPCA Investment, LLC</v>
      </c>
      <c r="B1" s="84"/>
      <c r="C1" s="84"/>
      <c r="D1" s="85" t="s">
        <v>130</v>
      </c>
      <c r="E1" s="85"/>
      <c r="F1" s="85"/>
      <c r="G1" s="83" t="s">
        <v>131</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39"/>
    </row>
    <row r="5" spans="1:11" ht="15.6">
      <c r="A5" s="28" t="str">
        <v>Murrieta - 28150 Keller Rd</v>
      </c>
      <c r="B5" s="29" t="str">
        <v>CA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La Habra - 601 E Imperial Way</v>
      </c>
      <c r="B6" s="27" t="str">
        <v>CA</v>
      </c>
      <c r="C6" s="22"/>
      <c r="D6" s="12"/>
      <c r="E6" s="12" t="str">
        <f t="shared" si="0"/>
        <v/>
      </c>
      <c r="F6" s="13" t="str">
        <f t="shared" ref="F6:F9" si="3">IFERROR(E6/D6, "")</f>
        <v/>
      </c>
      <c r="G6" s="14"/>
      <c r="H6" s="14" t="str">
        <f t="shared" si="1"/>
        <v/>
      </c>
      <c r="I6" s="15" t="str">
        <f t="shared" si="2"/>
        <v/>
      </c>
      <c r="J6" s="39"/>
      <c r="K6" s="39"/>
    </row>
    <row r="7" spans="1:11" ht="15.6">
      <c r="A7" s="28" t="str">
        <v>Kaiser - KP3 - SCA Skyport - CN7901 Site</v>
      </c>
      <c r="B7" s="29" t="str">
        <v>CA</v>
      </c>
      <c r="C7" s="11"/>
      <c r="D7" s="16"/>
      <c r="E7" s="16" t="str">
        <f t="shared" si="0"/>
        <v/>
      </c>
      <c r="F7" s="17" t="str">
        <f t="shared" si="3"/>
        <v/>
      </c>
      <c r="G7" s="18"/>
      <c r="H7" s="18" t="str">
        <f t="shared" si="1"/>
        <v/>
      </c>
      <c r="I7" s="17" t="str">
        <f t="shared" si="2"/>
        <v/>
      </c>
      <c r="J7" s="40"/>
      <c r="K7" s="41"/>
    </row>
    <row r="8" spans="1:11" ht="15.6">
      <c r="A8" s="26" t="str">
        <v>Irwindale - 12761 Schabarum Ave</v>
      </c>
      <c r="B8" s="27" t="str">
        <v>CA</v>
      </c>
      <c r="C8" s="22"/>
      <c r="D8" s="12"/>
      <c r="E8" s="12" t="str">
        <f t="shared" si="0"/>
        <v/>
      </c>
      <c r="F8" s="13" t="str">
        <f t="shared" si="3"/>
        <v/>
      </c>
      <c r="G8" s="14"/>
      <c r="H8" s="14" t="str">
        <f t="shared" si="1"/>
        <v/>
      </c>
      <c r="I8" s="15" t="str">
        <f t="shared" si="2"/>
        <v/>
      </c>
      <c r="J8" s="39"/>
      <c r="K8" s="39"/>
    </row>
    <row r="9" spans="1:11" ht="15.6">
      <c r="A9" s="28" t="str">
        <v>Santa Rosa - 2240 Mercury Way</v>
      </c>
      <c r="B9" s="29" t="str">
        <v>CA</v>
      </c>
      <c r="C9" s="11"/>
      <c r="D9" s="16"/>
      <c r="E9" s="16" t="str">
        <f t="shared" si="0"/>
        <v/>
      </c>
      <c r="F9" s="17" t="str">
        <f t="shared" si="3"/>
        <v/>
      </c>
      <c r="G9" s="18"/>
      <c r="H9" s="18" t="str">
        <f t="shared" si="1"/>
        <v/>
      </c>
      <c r="I9" s="17" t="str">
        <f t="shared" si="2"/>
        <v/>
      </c>
      <c r="J9" s="40"/>
      <c r="K9" s="56"/>
    </row>
    <row r="10" spans="1:11" ht="15.6">
      <c r="A10" s="26" t="str">
        <v>Dublin - 3100 Dublin Blvd</v>
      </c>
      <c r="B10" s="27" t="str">
        <v>CA</v>
      </c>
      <c r="C10" s="22"/>
      <c r="D10" s="12"/>
      <c r="E10" s="12"/>
      <c r="F10" s="13"/>
      <c r="G10" s="14"/>
      <c r="H10" s="14"/>
      <c r="I10" s="15"/>
      <c r="J10" s="39"/>
      <c r="K10" s="3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A8" sqref="A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132</v>
      </c>
      <c r="B1" t="s">
        <v>133</v>
      </c>
    </row>
    <row r="3" spans="1:12" ht="13.15">
      <c r="A3" t="s">
        <v>134</v>
      </c>
      <c r="B3" t="s">
        <v>3</v>
      </c>
      <c r="C3" t="s">
        <v>4</v>
      </c>
      <c r="D3" t="s">
        <v>135</v>
      </c>
      <c r="E3" s="2" t="s">
        <v>136</v>
      </c>
    </row>
    <row r="4" spans="1:12" ht="14.45">
      <c r="A4" s="48" t="s">
        <v>137</v>
      </c>
      <c r="B4" t="s">
        <v>138</v>
      </c>
      <c r="C4" s="45" t="s">
        <v>139</v>
      </c>
      <c r="D4" s="44" t="s">
        <v>140</v>
      </c>
      <c r="E4" t="s">
        <v>141</v>
      </c>
      <c r="G4" s="3"/>
    </row>
    <row r="5" spans="1:12" ht="14.45">
      <c r="A5" s="48" t="s">
        <v>142</v>
      </c>
      <c r="B5" t="s">
        <v>143</v>
      </c>
      <c r="C5" s="45" t="s">
        <v>139</v>
      </c>
      <c r="D5" s="44" t="s">
        <v>140</v>
      </c>
      <c r="E5" t="s">
        <v>141</v>
      </c>
      <c r="G5" s="3"/>
    </row>
    <row r="6" spans="1:12" ht="14.45">
      <c r="A6" s="48" t="s">
        <v>144</v>
      </c>
      <c r="B6" t="s">
        <v>145</v>
      </c>
      <c r="C6" s="45" t="s">
        <v>139</v>
      </c>
      <c r="D6" s="44" t="s">
        <v>140</v>
      </c>
      <c r="E6" t="s">
        <v>141</v>
      </c>
      <c r="G6" s="3"/>
    </row>
    <row r="7" spans="1:12" ht="12.75" customHeight="1">
      <c r="A7" s="48" t="s">
        <v>146</v>
      </c>
      <c r="B7" t="s">
        <v>147</v>
      </c>
      <c r="C7" s="45" t="s">
        <v>139</v>
      </c>
      <c r="D7" s="44"/>
      <c r="E7" t="s">
        <v>141</v>
      </c>
    </row>
    <row r="8" spans="1:12" ht="12.75" customHeight="1">
      <c r="A8" s="48" t="s">
        <v>148</v>
      </c>
      <c r="B8" t="s">
        <v>149</v>
      </c>
      <c r="C8" s="45" t="s">
        <v>139</v>
      </c>
      <c r="D8" s="44" t="s">
        <v>140</v>
      </c>
      <c r="E8" t="s">
        <v>141</v>
      </c>
    </row>
    <row r="9" spans="1:12" ht="12.75" customHeight="1">
      <c r="A9" s="54" t="s">
        <v>150</v>
      </c>
      <c r="B9" s="55" t="s">
        <v>151</v>
      </c>
      <c r="C9" s="45" t="s">
        <v>139</v>
      </c>
      <c r="D9" s="44" t="s">
        <v>140</v>
      </c>
      <c r="E9" t="s">
        <v>141</v>
      </c>
      <c r="K9" s="42"/>
      <c r="L9" s="42"/>
    </row>
    <row r="10" spans="1:12" ht="12.75" customHeight="1">
      <c r="A10" s="54" t="s">
        <v>152</v>
      </c>
      <c r="B10" s="55" t="s">
        <v>153</v>
      </c>
      <c r="C10" s="45" t="s">
        <v>139</v>
      </c>
      <c r="D10" s="44"/>
      <c r="E10" t="s">
        <v>141</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89CF5C07-45EB-4100-9AFB-2C6AF77FA787}"/>
</file>

<file path=customXml/itemProps6.xml><?xml version="1.0" encoding="utf-8"?>
<ds:datastoreItem xmlns:ds="http://schemas.openxmlformats.org/officeDocument/2006/customXml" ds:itemID="{2BC74AAC-D69B-4AF1-9649-B21EF3C1C463}"/>
</file>

<file path=customXml/itemProps7.xml><?xml version="1.0" encoding="utf-8"?>
<ds:datastoreItem xmlns:ds="http://schemas.openxmlformats.org/officeDocument/2006/customXml" ds:itemID="{F12EFA50-0068-4A8C-85A0-F1B26389EBC3}"/>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98A113BB-8B7A-453C-8BD4-8EFC67FC2D3F}"/>
</file>

<file path=customXml/itemProps11.xml><?xml version="1.0" encoding="utf-8"?>
<ds:datastoreItem xmlns:ds="http://schemas.openxmlformats.org/officeDocument/2006/customXml" ds:itemID="{0389C43E-394D-44C0-87DC-4780FCFCFB40}"/>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BE26B669-A686-459C-A5E9-FEC3409C4C81}"/>
</file>

<file path=customXml/itemProps15.xml><?xml version="1.0" encoding="utf-8"?>
<ds:datastoreItem xmlns:ds="http://schemas.openxmlformats.org/officeDocument/2006/customXml" ds:itemID="{BF5C6359-7763-4C37-8EAF-2BC4698CB285}"/>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581B6F3C-36E3-4411-AE0C-884F50EF38E0}"/>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Boughman, Kaylin</cp:lastModifiedBy>
  <cp:revision/>
  <dcterms:created xsi:type="dcterms:W3CDTF">2021-01-01T16:39:53Z</dcterms:created>
  <dcterms:modified xsi:type="dcterms:W3CDTF">2025-12-17T21:06:03Z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