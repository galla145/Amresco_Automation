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0" documentId="13_ncr:1_{5752D106-A9DE-46F4-8707-40ECC59AE342}" xr6:coauthVersionLast="47" xr6:coauthVersionMax="47" xr10:uidLastSave="{00000000-0000-0000-0000-000000000000}"/>
  <bookViews>
    <workbookView xWindow="28680" yWindow="-120" windowWidth="29040" windowHeight="15720" tabRatio="866" firstSheet="15" activeTab="1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32" l="1"/>
  <c r="I10" i="32" s="1"/>
  <c r="E10" i="32"/>
  <c r="F10" i="32" s="1"/>
  <c r="I7" i="31"/>
  <c r="H6" i="31"/>
  <c r="I6" i="31" s="1"/>
  <c r="H7" i="31"/>
  <c r="H8" i="31"/>
  <c r="I8" i="31" s="1"/>
  <c r="H9" i="31"/>
  <c r="I9" i="31" s="1"/>
  <c r="H10" i="31"/>
  <c r="I10" i="31" s="1"/>
  <c r="H4" i="31"/>
  <c r="H5" i="31"/>
  <c r="I5" i="31" s="1"/>
  <c r="E10" i="31"/>
  <c r="F10" i="31" s="1"/>
  <c r="I10" i="28"/>
  <c r="H10" i="28"/>
  <c r="F9" i="28"/>
  <c r="F10" i="28"/>
  <c r="E9" i="28"/>
  <c r="E10" i="28"/>
  <c r="I6" i="27"/>
  <c r="I9" i="27"/>
  <c r="I10" i="27"/>
  <c r="H6" i="27"/>
  <c r="H7" i="27"/>
  <c r="I7" i="27" s="1"/>
  <c r="H8" i="27"/>
  <c r="I8" i="27" s="1"/>
  <c r="H9" i="27"/>
  <c r="H10" i="27"/>
  <c r="F6" i="27"/>
  <c r="F9" i="27"/>
  <c r="F10" i="27"/>
  <c r="E6" i="27"/>
  <c r="E7" i="27"/>
  <c r="F7" i="27" s="1"/>
  <c r="E8" i="27"/>
  <c r="F8" i="27" s="1"/>
  <c r="E9" i="27"/>
  <c r="E10" i="27"/>
  <c r="I9" i="26"/>
  <c r="I10" i="26"/>
  <c r="H7" i="26"/>
  <c r="I7" i="26" s="1"/>
  <c r="H8" i="26"/>
  <c r="I8" i="26" s="1"/>
  <c r="H9" i="26"/>
  <c r="H10" i="26"/>
  <c r="H10" i="29" s="1"/>
  <c r="F9" i="26"/>
  <c r="F10" i="26"/>
  <c r="E7" i="26"/>
  <c r="F7" i="26" s="1"/>
  <c r="E8" i="26"/>
  <c r="F8" i="26" s="1"/>
  <c r="E9" i="26"/>
  <c r="E10" i="26"/>
  <c r="F9" i="19"/>
  <c r="F10" i="19"/>
  <c r="E9" i="19"/>
  <c r="E10" i="19"/>
  <c r="I9" i="19"/>
  <c r="I10" i="19"/>
  <c r="H9" i="19"/>
  <c r="H10" i="19"/>
  <c r="G5" i="18"/>
  <c r="I9" i="20"/>
  <c r="I10" i="20"/>
  <c r="H7" i="20"/>
  <c r="I7" i="20" s="1"/>
  <c r="H8" i="20"/>
  <c r="I8" i="20" s="1"/>
  <c r="H9" i="20"/>
  <c r="H10" i="20"/>
  <c r="F9" i="20"/>
  <c r="F10" i="20"/>
  <c r="E7" i="20"/>
  <c r="F7" i="20" s="1"/>
  <c r="E8" i="20"/>
  <c r="F8" i="20" s="1"/>
  <c r="E9" i="20"/>
  <c r="E10" i="20"/>
  <c r="G8" i="18"/>
  <c r="G9" i="18"/>
  <c r="G10" i="18"/>
  <c r="G7" i="18"/>
  <c r="H9" i="18"/>
  <c r="H10" i="18"/>
  <c r="I10" i="18" s="1"/>
  <c r="G6" i="18"/>
  <c r="I9" i="21"/>
  <c r="I10" i="21"/>
  <c r="H7" i="21"/>
  <c r="I7" i="21" s="1"/>
  <c r="H8" i="21"/>
  <c r="H9" i="21"/>
  <c r="H10" i="21"/>
  <c r="F9" i="21"/>
  <c r="F10" i="21"/>
  <c r="E7" i="21"/>
  <c r="F7" i="21" s="1"/>
  <c r="E8" i="21"/>
  <c r="F8" i="21" s="1"/>
  <c r="E9" i="21"/>
  <c r="E10" i="21"/>
  <c r="H10" i="4"/>
  <c r="H9" i="4"/>
  <c r="E6" i="4"/>
  <c r="F6" i="4" s="1"/>
  <c r="E7" i="4"/>
  <c r="F7" i="4" s="1"/>
  <c r="E8" i="4"/>
  <c r="E9" i="4"/>
  <c r="E10" i="4"/>
  <c r="F8" i="4"/>
  <c r="F9" i="4"/>
  <c r="F10" i="4"/>
  <c r="I6" i="4"/>
  <c r="I9" i="4"/>
  <c r="I10" i="4"/>
  <c r="I5" i="72"/>
  <c r="I10" i="72"/>
  <c r="E7" i="3"/>
  <c r="E8" i="3"/>
  <c r="E9" i="3"/>
  <c r="E10" i="3"/>
  <c r="F6" i="3"/>
  <c r="F7" i="3"/>
  <c r="F8" i="3"/>
  <c r="F9" i="3"/>
  <c r="F10" i="3"/>
  <c r="I10" i="3"/>
  <c r="H9" i="3"/>
  <c r="H10" i="3"/>
  <c r="D10" i="18"/>
  <c r="C10" i="18"/>
  <c r="E10" i="18" s="1"/>
  <c r="F10" i="18" s="1"/>
  <c r="G9" i="29"/>
  <c r="G10" i="29"/>
  <c r="D10" i="29"/>
  <c r="C10" i="29"/>
  <c r="E10" i="29" s="1"/>
  <c r="F10" i="29" s="1"/>
  <c r="G10" i="1"/>
  <c r="D10" i="1"/>
  <c r="C10" i="1"/>
  <c r="H10" i="30"/>
  <c r="H10" i="34" s="1"/>
  <c r="G10" i="30"/>
  <c r="D10" i="30"/>
  <c r="C10" i="30"/>
  <c r="H10" i="72"/>
  <c r="E10" i="72"/>
  <c r="F10" i="72" s="1"/>
  <c r="H9" i="72"/>
  <c r="I9" i="72" s="1"/>
  <c r="E9" i="72"/>
  <c r="F9" i="72" s="1"/>
  <c r="A4" i="72" a="1"/>
  <c r="A4" i="72"/>
  <c r="B4" i="72" a="1"/>
  <c r="B4" i="72"/>
  <c r="E4" i="72"/>
  <c r="F4" i="72"/>
  <c r="H4" i="72"/>
  <c r="I4" i="72"/>
  <c r="D9" i="18"/>
  <c r="C9" i="18"/>
  <c r="G8" i="1"/>
  <c r="G9" i="1"/>
  <c r="D8" i="1"/>
  <c r="D9" i="1"/>
  <c r="C9" i="1"/>
  <c r="D9" i="30"/>
  <c r="C9" i="30"/>
  <c r="E9" i="30" s="1"/>
  <c r="F9" i="30" s="1"/>
  <c r="G6" i="30"/>
  <c r="G7" i="30"/>
  <c r="G8" i="30"/>
  <c r="G9" i="30"/>
  <c r="G5" i="30"/>
  <c r="G4" i="30"/>
  <c r="H9" i="33"/>
  <c r="I9" i="33"/>
  <c r="E9" i="33"/>
  <c r="F9" i="33" s="1"/>
  <c r="E9" i="31"/>
  <c r="F9" i="31" s="1"/>
  <c r="H9" i="32"/>
  <c r="I9" i="32" s="1"/>
  <c r="E9" i="32"/>
  <c r="F9" i="32" s="1"/>
  <c r="E8" i="32"/>
  <c r="F8" i="32" s="1"/>
  <c r="E6" i="31"/>
  <c r="D9" i="29"/>
  <c r="C9" i="29"/>
  <c r="G5" i="29"/>
  <c r="G6" i="29"/>
  <c r="G7" i="29"/>
  <c r="G8" i="29"/>
  <c r="G4" i="29"/>
  <c r="H9" i="28"/>
  <c r="E6" i="26"/>
  <c r="G4" i="18"/>
  <c r="E4" i="4"/>
  <c r="E5" i="72"/>
  <c r="F5" i="72" s="1"/>
  <c r="E6" i="72"/>
  <c r="F6" i="72" s="1"/>
  <c r="E7" i="72"/>
  <c r="F7" i="72" s="1"/>
  <c r="E8" i="72"/>
  <c r="F8" i="72" s="1"/>
  <c r="I10" i="30" l="1"/>
  <c r="E10" i="30"/>
  <c r="F10" i="30" s="1"/>
  <c r="H9" i="30"/>
  <c r="I9" i="28"/>
  <c r="H9" i="29"/>
  <c r="I10" i="29"/>
  <c r="E9" i="29"/>
  <c r="F9" i="29" s="1"/>
  <c r="I9" i="18"/>
  <c r="D10" i="34"/>
  <c r="I8" i="21"/>
  <c r="G10" i="34"/>
  <c r="E9" i="18"/>
  <c r="F9" i="18" s="1"/>
  <c r="I9" i="3"/>
  <c r="H9" i="1"/>
  <c r="H10" i="1"/>
  <c r="I9" i="1"/>
  <c r="G8" i="34"/>
  <c r="E10" i="1"/>
  <c r="F10" i="1" s="1"/>
  <c r="C10" i="34"/>
  <c r="I10" i="1"/>
  <c r="E9" i="1"/>
  <c r="F9" i="1" s="1"/>
  <c r="C9" i="34"/>
  <c r="G9" i="34"/>
  <c r="D9" i="34"/>
  <c r="I9" i="29"/>
  <c r="C2" i="3"/>
  <c r="I9" i="30" l="1"/>
  <c r="H9" i="34"/>
  <c r="I9" i="34" s="1"/>
  <c r="E10" i="34"/>
  <c r="F10" i="34" s="1"/>
  <c r="I10" i="34"/>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H7" i="32"/>
  <c r="I7" i="32" s="1"/>
  <c r="E7" i="32"/>
  <c r="F7" i="32" s="1"/>
  <c r="H6" i="32"/>
  <c r="I6" i="32" s="1"/>
  <c r="E6" i="32"/>
  <c r="F6" i="32" s="1"/>
  <c r="H5" i="32"/>
  <c r="I5" i="32" s="1"/>
  <c r="E5" i="32"/>
  <c r="F5" i="32" s="1"/>
  <c r="H4" i="32"/>
  <c r="I4" i="32" s="1"/>
  <c r="E4" i="32"/>
  <c r="F4" i="32" s="1"/>
  <c r="G2" i="32"/>
  <c r="D2" i="32"/>
  <c r="C2" i="32"/>
  <c r="A1" i="32" a="1"/>
  <c r="A1" i="32" s="1"/>
  <c r="E8" i="31"/>
  <c r="F8" i="31" s="1"/>
  <c r="E7" i="31"/>
  <c r="F7" i="31" s="1"/>
  <c r="F6" i="31"/>
  <c r="E5" i="31"/>
  <c r="F5" i="31" s="1"/>
  <c r="I4" i="31"/>
  <c r="E4" i="31"/>
  <c r="F4" i="31" s="1"/>
  <c r="G2" i="31"/>
  <c r="D2" i="31"/>
  <c r="C2" i="31"/>
  <c r="A1" i="31" a="1"/>
  <c r="A1" i="31"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5" i="27"/>
  <c r="I5" i="27" s="1"/>
  <c r="E5" i="27"/>
  <c r="F5" i="27" s="1"/>
  <c r="H4" i="27"/>
  <c r="I4" i="27" s="1"/>
  <c r="E4" i="27"/>
  <c r="F4" i="27" s="1"/>
  <c r="G2" i="27"/>
  <c r="D2" i="27"/>
  <c r="C2" i="27"/>
  <c r="A1" i="27" a="1"/>
  <c r="A1" i="27" s="1"/>
  <c r="H7" i="29"/>
  <c r="H6" i="26"/>
  <c r="F6" i="26"/>
  <c r="H5" i="26"/>
  <c r="E5" i="26"/>
  <c r="F5" i="26" s="1"/>
  <c r="H4" i="26"/>
  <c r="E4" i="26"/>
  <c r="F4" i="26" s="1"/>
  <c r="G2" i="26"/>
  <c r="D2" i="26"/>
  <c r="C2" i="26"/>
  <c r="A1" i="26" a="1"/>
  <c r="A1" i="26" s="1"/>
  <c r="H8" i="19"/>
  <c r="E8" i="19"/>
  <c r="F8" i="19" s="1"/>
  <c r="H7" i="19"/>
  <c r="E7" i="19"/>
  <c r="F7" i="19" s="1"/>
  <c r="H6" i="19"/>
  <c r="I6" i="19" s="1"/>
  <c r="E6" i="19"/>
  <c r="F6" i="19" s="1"/>
  <c r="H5" i="19"/>
  <c r="I5" i="19" s="1"/>
  <c r="E5" i="19"/>
  <c r="F5" i="19" s="1"/>
  <c r="H4" i="19"/>
  <c r="I4" i="19" s="1"/>
  <c r="E4" i="19"/>
  <c r="F4" i="19" s="1"/>
  <c r="G2" i="19"/>
  <c r="D2" i="19"/>
  <c r="C2" i="19"/>
  <c r="A1" i="19" a="1"/>
  <c r="A1" i="19" s="1"/>
  <c r="H6" i="20"/>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H5" i="4"/>
  <c r="I5" i="4" s="1"/>
  <c r="E5" i="4"/>
  <c r="F5" i="4" s="1"/>
  <c r="H4" i="4"/>
  <c r="I4" i="4" s="1"/>
  <c r="F4" i="4"/>
  <c r="G2" i="4"/>
  <c r="D2" i="4"/>
  <c r="C2" i="4"/>
  <c r="A1" i="4" a="1"/>
  <c r="A1" i="4" s="1"/>
  <c r="G2" i="3"/>
  <c r="H2" i="3" s="1"/>
  <c r="D2" i="3"/>
  <c r="J2" i="3"/>
  <c r="A1" i="3" a="1"/>
  <c r="A1" i="3" s="1"/>
  <c r="H6" i="72"/>
  <c r="I6" i="72" s="1"/>
  <c r="H7" i="72"/>
  <c r="I7" i="72" s="1"/>
  <c r="H8" i="72"/>
  <c r="I8" i="72" s="1"/>
  <c r="H5" i="72"/>
  <c r="G2" i="72"/>
  <c r="D2" i="72"/>
  <c r="C2" i="72"/>
  <c r="J2" i="72" s="1"/>
  <c r="A1" i="72" a="1"/>
  <c r="A1" i="72" s="1"/>
  <c r="I8" i="32" l="1"/>
  <c r="H8" i="30"/>
  <c r="H8" i="34" s="1"/>
  <c r="C7" i="34"/>
  <c r="H6" i="29"/>
  <c r="I6" i="29" s="1"/>
  <c r="I7" i="19"/>
  <c r="H7" i="18"/>
  <c r="I7" i="18" s="1"/>
  <c r="I8" i="19"/>
  <c r="H8" i="18"/>
  <c r="I8" i="18" s="1"/>
  <c r="I6" i="20"/>
  <c r="H6" i="18"/>
  <c r="I6" i="18" s="1"/>
  <c r="H8" i="1"/>
  <c r="C6" i="34"/>
  <c r="E8" i="1"/>
  <c r="F8" i="1" s="1"/>
  <c r="C8" i="34"/>
  <c r="H8" i="29"/>
  <c r="I8" i="29" s="1"/>
  <c r="D5" i="34"/>
  <c r="I4" i="26"/>
  <c r="H4" i="29"/>
  <c r="I4" i="29" s="1"/>
  <c r="D6" i="34"/>
  <c r="D7" i="34"/>
  <c r="E7" i="34" s="1"/>
  <c r="F7" i="34" s="1"/>
  <c r="I5" i="26"/>
  <c r="H5" i="29"/>
  <c r="C5" i="34"/>
  <c r="D8" i="34"/>
  <c r="E5" i="30"/>
  <c r="F5" i="30" s="1"/>
  <c r="E8" i="29"/>
  <c r="F8" i="29" s="1"/>
  <c r="E7" i="18"/>
  <c r="F7" i="18" s="1"/>
  <c r="E5" i="18"/>
  <c r="F5" i="18" s="1"/>
  <c r="D2" i="18"/>
  <c r="E4" i="18"/>
  <c r="F4" i="18" s="1"/>
  <c r="E8" i="18"/>
  <c r="F8" i="18" s="1"/>
  <c r="E6" i="30"/>
  <c r="F6" i="30" s="1"/>
  <c r="I7" i="29"/>
  <c r="D4" i="34"/>
  <c r="H6" i="30"/>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E7" i="30"/>
  <c r="F7" i="30" s="1"/>
  <c r="H7" i="30"/>
  <c r="H5" i="30"/>
  <c r="I8" i="30"/>
  <c r="E7" i="29"/>
  <c r="F7" i="29" s="1"/>
  <c r="I6" i="26"/>
  <c r="I5" i="29"/>
  <c r="H4" i="18"/>
  <c r="I4" i="18" s="1"/>
  <c r="C4" i="34"/>
  <c r="H5" i="18"/>
  <c r="I5" i="18"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I4" i="30" l="1"/>
  <c r="H4" i="34"/>
  <c r="I4" i="34" s="1"/>
  <c r="I5" i="30"/>
  <c r="H5" i="34"/>
  <c r="I5" i="34" s="1"/>
  <c r="I7" i="30"/>
  <c r="H7" i="34"/>
  <c r="I7" i="34" s="1"/>
  <c r="I6" i="30"/>
  <c r="H6" i="34"/>
  <c r="I6" i="34" s="1"/>
  <c r="E6" i="34"/>
  <c r="F6" i="34" s="1"/>
  <c r="E8" i="34"/>
  <c r="F8" i="34" s="1"/>
  <c r="E5" i="34"/>
  <c r="F5" i="34" s="1"/>
  <c r="D2" i="34"/>
  <c r="I6" i="1"/>
  <c r="I8" i="1"/>
  <c r="I8" i="34"/>
  <c r="E4" i="34"/>
  <c r="F4" i="34" s="1"/>
  <c r="E2" i="29"/>
  <c r="F2" i="29" s="1"/>
  <c r="G2" i="34"/>
  <c r="H2" i="1"/>
  <c r="I2" i="1" s="1"/>
  <c r="C2" i="34"/>
  <c r="I4" i="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<sst xmlns="http://schemas.openxmlformats.org/spreadsheetml/2006/main" count="513" uniqueCount="251">
  <si>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</si>
  <si>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</si>
  <si>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</si>
  <si>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</si>
  <si>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</si>
  <si>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</si>
  <si>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</si>
  <si>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</si>
  <si>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</si>
  <si>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</si>
  <si>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</si>
  <si>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</si>
  <si>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</si>
  <si>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</si>
  <si>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</si>
  <si>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</si>
  <si>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</si>
  <si>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</si>
  <si>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</si>
  <si>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</si>
  <si>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</si>
  <si>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</si>
  <si>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Fans to be replaced for inverter 13.
2. Site was offline from 10:11 to 14:12on 01/14/25 due to a planned outage.</t>
  </si>
  <si>
    <t>1. SR085127 , SR093008
2. SR095541</t>
  </si>
  <si>
    <t>SR093008</t>
  </si>
  <si>
    <t>SR095541</t>
  </si>
  <si>
    <t>1. Inverters 13, 14, and 15 of Pad 5 were taken offline on 01/07/25 by a technician to replace the CAN cards  and back online on 01/09/25.
2. Pad 2 is tripped offline at 8:15AM on 01/26 due to an power derating and back online at 11:15AM the same day.</t>
  </si>
  <si>
    <t>1. SR095250
2. SR095250</t>
  </si>
  <si>
    <t>SR095250</t>
  </si>
  <si>
    <t>1. Site was offline from 10:00 AM to 12:15 PM on 01/03/25 due to a brief site outage.
2. Site was tripped offline at 6:30 AM on 01/20/25 due to a fire on a pole and came back online at 3:45 PM on 01/21/25 after repairs were made to the circuit by the Eversource crew</t>
  </si>
  <si>
    <t>1.SR095271
2.SR095714</t>
  </si>
  <si>
    <t>SR095714</t>
  </si>
  <si>
    <t>1. Inverter 13 has been offline since 11/07/24. It has been RMA'd on 02/04/24,  and parts need to be replaced in order to bring the inverter back online.
2. Inverter 7 has been offline since 12/18/24. It was RMA'd on 12/19/24, and parts need to be replaced in order to bring the inverter back online.
3. Inverter 11 tripped offline at 12:00 PM on 01/07/25 and back online on 01/08, again tripped offline at 12:35PM on 01/14/25 and back online on 01/15.</t>
  </si>
  <si>
    <t>1. SR092635
2. SR094914
3. SR095569</t>
  </si>
  <si>
    <t>SR094914</t>
  </si>
  <si>
    <t>SR095569</t>
  </si>
  <si>
    <t>1. Inverters 3,4,5,8,10,12,19,26,29,30,31,34 and 35 tripped offline at 10:30 AM to 13:45 on 01/02 due to "Grid voltage out of range".
2. Inverter 31 tripped offline at 12:00 PM  on 01/05 and back online at 07:00 AM on 01/06 due to "Inverter Over Current Fault".</t>
  </si>
  <si>
    <t>1. SR095238
2. SR095323</t>
  </si>
  <si>
    <t>SR095323</t>
  </si>
  <si>
    <t>1. Inverter 3 tripped offline at 11:36 AM on 01/04 due to a Bus Sum High fault and came back online at 7:00 AM on 01/05/25. It tripped offline again at 12:30 PM on 01/07 and came back online at 7:00 AM on 01/08/25.
2. Inverter 2 tripped offline at 8:45 AM on 01/18 due to a Steady State GFCI fault and back online at 7:00 AM on 01/19/25 .
3. Inverters 2, 5, 6, 7, 8, 9, 13, 15, 16, 18, 19, 20, and 21 tripped offline at 11:00 AM on 01/31 due to a steady-state GFCI fault throgh out the day.</t>
  </si>
  <si>
    <t>1. SR095310
2. SR095696
3. SR096176</t>
  </si>
  <si>
    <t>SR095696</t>
  </si>
  <si>
    <t>SR096176</t>
  </si>
  <si>
    <t>February Actual v. Expected</t>
  </si>
  <si>
    <t>February Actual v. Forecasted</t>
  </si>
  <si>
    <t>1.Technician replaced the RMA'd fan for Inverter 13  and Inverter 9 communication board was RMAd on 02/20 . Both inverters producing in line with peers.</t>
  </si>
  <si>
    <t>1.SR085127, SR093008 &amp; SR088882.</t>
  </si>
  <si>
    <t>SR088882</t>
  </si>
  <si>
    <t>1.Inverters 4,5&amp;6 tripped offline at 08:45AM on 02/05 due to AC disconnect fault and back online at 10:30AM after couple of resets from Solectria page on 02/05 and pad 2 inverters (4,5 &amp;6) are having daily issues with the batteries and inverters, meaning, this pad most likely every night will have the batteries down for unknown reason and the morning times are having ground faults.
Again Inverters 4,5&amp;6 tripped offline at 09:15AM on 02/21 due to AC disconnected fault and back online at 15:15 on 02/21.
2. Inverters 13,14 &amp;15 of Pad 5 tripped offline at 10:30AM on 02/08due to AC Disconnected fault and back online at 13:15 on 02/08. Again tripped offline from 02/09 at 14:15 due to AC disconnected fault till date.
3.Site tripped offline from 10:15 to 12:30 due to utility power outage on 02/17. Pad 5 inverters and 30 - 38 Inverters were offline on 02/18 and back online on 02/19.</t>
  </si>
  <si>
    <t>1.SR096327
2.SR096327, SR095250
3.SR097185</t>
  </si>
  <si>
    <t>SR096327</t>
  </si>
  <si>
    <t>SR097185</t>
  </si>
  <si>
    <t>1.Site was taken offline from 10:00 to 14:30 on 02/25 due to planned outage.
2.Site was tripped offline at 03:30AM due to utility outage and after technician checked-in and closed SEL relay site back online at 08:30AM on 02/07. 
Again site tripped offline from 11:15 to 13:00 on 02/07 due to SEL relay open and technician re-energized the site.
Site tripped offline from 08:30 to 13:15 on 02/17 due to SEL relay open later technician closed the relay.</t>
  </si>
  <si>
    <t>1.SR096404
2.SR096414</t>
  </si>
  <si>
    <t>SR096414</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</si>
  <si>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3.Inverter 11 has tripped offline at 10AM on 02/04 and back online by self-resolve on 02/05.</t>
  </si>
  <si>
    <t>1.SR092635
2.SR094914
3.SR095569</t>
  </si>
  <si>
    <t>1. Inverter 28 tripped offline at 10AM on 02/04 due to Over current - Protect 0030 fault and back online on 02/05.
2.Inverter 11 tripped offline at 09:30AM on 02/05 due to Overcurrent fault and back online on 02/06.
3.Site was taken offline from 08:15 to 09:45 on 02/27 due to Agilitas checked in to work on the switch gear and other items.</t>
  </si>
  <si>
    <t>1.SR096292
2.SR096335
3.SR097855</t>
  </si>
  <si>
    <t>SR096335</t>
  </si>
  <si>
    <t>SR097855</t>
  </si>
  <si>
    <t>1.Inverters 2,5,6-9,13,15,16,18,19-21 tripped offline at 11:15AM on 01/31 due to Steady state GFCI fault and back online on 02/01.</t>
  </si>
  <si>
    <t>1.SR096176</t>
  </si>
  <si>
    <t>March Actual v. Expected</t>
  </si>
  <si>
    <t>March Actual v. Forecasted</t>
  </si>
  <si>
    <t>1. Inverters 13, 14, and 15 of Pad 5 tripped offline at 14:15 on 02/09 due to an AC disconnected fault. After troubleshooting by Agilitas and Solectria, the inverters were brought back online at 09:00 AM on 03/11.
2. Inverters 4, 5, and 6 tripped offline at 09:45 AM on 03/24 due to an AC disconnect fault and came back online at 10:30 AM after couple of resets from Solectria page on 03/24.
3. Multiple inverters have been experiencing power derating issues since 03/29, with inverters 1 to 12 being the most affected. After troubleshooting, the inverters were brought back online at 09:15 AM on 03/31.</t>
  </si>
  <si>
    <t>1. SR095250
2. SR096327, 	SR098922
3. SR099164</t>
  </si>
  <si>
    <t>SR098922</t>
  </si>
  <si>
    <t>SR099164</t>
  </si>
  <si>
    <t>1.Inverter 2 went offline at 10:00 AM on 03/07. Additionally, inverter 3 experienced multiple trippings. After a brief outage, as per the meter, the technician tried power cycling the DAS equipment, and inverters 1 and 3 came back online at 13:15 on 03/08.
2.The site tripped offline at 11:45 on 03/07 due to the grid recloser being open. After the technician re-energized the site is back online at 13:15 on 03/08.</t>
  </si>
  <si>
    <t>1. SR098255
2. SR098255</t>
  </si>
  <si>
    <t>SR098255</t>
  </si>
  <si>
    <t>N/A</t>
  </si>
  <si>
    <t>1. Inverter 8 tripped offline at 16:25 on 03/14 due to a fault with an ARC Protect code. After the technician troubleshot the inverter, it came back online at 10:05 AM on 03/18.
2. The meter stopped communicating at 09:55 AM on 03/15 and it's under replacement.</t>
  </si>
  <si>
    <t>1. SR098603, 	SR098617
2. SR098617</t>
  </si>
  <si>
    <t>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</si>
  <si>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The inverter (11) tripped offline at 10:10 AM on 03/07 and came back online at 07:00 AM on 03/08. It later self-resolved.
4. Inverters 4 and 21 appear to be down, as one string for both inverters dropped by 4 kW compared to peers. Additionally, inverter 22 appears to be down by two strings, with a production drop of 8 kW compared to peers.</t>
  </si>
  <si>
    <t>1. SR092635
2. SR094914
3. SR095569
4. SR099233</t>
  </si>
  <si>
    <t>SR099233</t>
  </si>
  <si>
    <t>1. The site tripped offline at 12:45 on 03/08, possibly due to a main breaker trip. The technician found that the recloser was in the open position. The technician immediately reset the relays and closed it. The site was then re-energized and came back online at 15:15 on 03/08.
2. Inverters 1, 13, and 21 tripped offline from 13:00 to 16:30 on 03/10 and later self-resolved.
3.Inverter 28 tripped offline at 12:00 PM on 03/15 and came back online at 06:45 AM on 03/16.
4. The site tripped offline at 14:45 on 03/19 after the client noted that the BESS recloser had tripped late this morning. While troubleshooting, the PV recloser was opened. The site came back online at 17:30 on 03/19 after the PV recloser was closed.
5.The site tripped offline at 16:00 on 03/25 due to the PV recloser being opened to test ESS capacity. After the completion of the ESS capacity test, the site came back online at 18:00 on 03/25.
6.Inverters 5 and 8 tripped offline at 14:30 on 03/27 and later self-resolved, and back online at 16:15 on 03/27. Additionally, inverters 5 and 17 tripped offline at 12:45 PM on 03/28 and later self-resolved, and back online at 03:00 PM on 03/28.</t>
  </si>
  <si>
    <t>1. SR098299
2. SR098355
3. SR098616
4. SR098773
5. SR098773
6. SR099056</t>
  </si>
  <si>
    <t>SR098355</t>
  </si>
  <si>
    <t>SR098616</t>
  </si>
  <si>
    <t>SR098773</t>
  </si>
  <si>
    <t>SR099056</t>
  </si>
  <si>
    <t>1. Inverter 3 tripped offline at 11:45 AM on 03/03, reporting a Bus Sum High fault. It later self-resolved and came back online at 06:45 AM on 03/04. It tripped offline again at 09:00 AM on 03/07, reporting the same Bus Sum High fault. It later self-resolved and came back online at 12:30 PM on 03/08.
2.The site was offline at 11:30 AM on 03/07. After the technician re-energized the site, it came back online at 12:30 PM on 03/08. Additionally, inverters 4 and 23 remained offline and later came back online at 06:45 AM on 03/09.
3. Inverter 3 tripped offline at 13:55 on 03/13, reporting a Bus Sum High fault (Fault 0130), and came back online at 06:45 AM on 03/14. Additionally, Inverter 4 tripped offline from 13:55 to 14:30 on 03/13 and later self-resolved.
4. Inverter 4 tripped offline from 11:45 AM to 03:00 PM on 03/21 and later self-resolved. Additionally, Inverter 3 tripped offline at 03:15 PM on 03/21, reporting a Bus Sum High fault, and later self-resolved at 06:45 AM on 03/22.</t>
  </si>
  <si>
    <t>1. SR095310
2. SR098276
3. SR098520
4. SR098880</t>
  </si>
  <si>
    <t>SR098276</t>
  </si>
  <si>
    <t>SR098520</t>
  </si>
  <si>
    <t>SR098880</t>
  </si>
  <si>
    <t>April Actual v. Expected</t>
  </si>
  <si>
    <t>April Actual v. Forecasted</t>
  </si>
  <si>
    <t>1. Multiple inverters have been experiencing power derating issues since 03/29, with Inverters 1 to 12 being the most affected. After Agilitas reset the inverters, all are currently producing as expected with no curtailment as of 04/01. Additionally, Inverters 16 to 18 were tripped offline between 09:15AM and 09:25AM on 04/01 due to technician activity on site.
2. The site was taken offline at 08:45 AM on 04/03 due to subcontractors working on the replacement of bushings in the transformer and cable pulling. After the new cables were installed, the site was brought back online at 14:45 on 04/10.
3.  Inverters 1, 2, 3, 28, 29, and 39 went offline at 14:45 on 04/10. After Agilitas reset them, the inverters came back online at 10:45AM on 04/12.</t>
  </si>
  <si>
    <t>1. SR099164
2. SR094026
3. SR099689</t>
  </si>
  <si>
    <t>SR094026</t>
  </si>
  <si>
    <t>SR099689</t>
  </si>
  <si>
    <t>1. Inverter 2 tripped offline at 16:00 on 04/14, reporting 'Error Error.' It later self-resolved and came back online at 16:30 on 04/14.</t>
  </si>
  <si>
    <t>1. SR099783</t>
  </si>
  <si>
    <t>1. The meter stopped communicating at 09:55AM on 03/15. After a technician replaced the meter on 04/01, it has been communicating as expected. As part of this work, the site was taken offline from 10:10AM to 12:05PM while the technician was on-site to replace the meter.</t>
  </si>
  <si>
    <t>1. 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</si>
  <si>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Inverters 4 and 21 appear to be down, as one string for both inverters dropped by 4 kW compared to peers. Additionally, inverter 22 appears to be down by two strings, with a production drop of 8 kW compared to peers. After a technician checked the site and replaced the faulty fuses in Inverters 4 and 21, both inverters came back online and have been producing in line with their peers as of 04/01.</t>
  </si>
  <si>
    <t>1. SR092635, SR100128
2. SR094914, SR100127
3. SR099233</t>
  </si>
  <si>
    <t>SR100128</t>
  </si>
  <si>
    <t>SR100127</t>
  </si>
  <si>
    <t>1. Inverter 17 tripped offline at 12:15PM on 04/17, later self-resolved, and back online at 17:15 on 04/17. It tripped offline again at 11:45AM on 04/18 and later self-resolved, coming back online at 16:30 on 04/18.Tripping issue was occuring during high irradiance days.
2. The site tripped offline at 13:45 on 04/27, possibly due to a main breaker trip. Eversource visited the site and discovered an unknown issue on the circuit, which was resolved. The site came back online at 12:00PM on 04/28.
3. Inverters 13 and 14 tripped offline at 13:30 on 04/28, later self-resolved, and came back online at 16:00 on 04/28. Inverter 14 tripped offline again at 10:15AM on 04/29 and self-resolved by 16:00 on 04/29. These inverters have been intermittently tripping frequently. A technician checked the site, updated the firmware on Inverters 13 and 14, and collected fault logs. Both inverters are currently online and producing as expected.</t>
  </si>
  <si>
    <t xml:space="preserve">1. SR099955
2. SR100465
3. SR100579
</t>
  </si>
  <si>
    <t>SR100465</t>
  </si>
  <si>
    <t>SR100579</t>
  </si>
  <si>
    <t>1.Inverter 3 tripped offline at 15:00 on 04/08, reporting a 'Bus Sum High Fault.' It self-resolved and came back online at 6:00AM on 04/09. The inverter tripped again at 10:15AM on 04/09 and once again self-resolved, returning online at 6:00AM on 04/10. A technician visited the site on 04/15, replaced the failed LCD screen, and placed the inverter in independent mode as recommended by the manufacturer. The inverter is currently producing as expected
2.  Inverters 3 &amp; 4 are underperforming approximately 6kW each compared with inverter 11 of same capacity from 04/16 at 09:30AM.</t>
  </si>
  <si>
    <t>1. SR095310
2. SR100683</t>
  </si>
  <si>
    <t>SR100683</t>
  </si>
  <si>
    <t>May Actual v. Expected</t>
  </si>
  <si>
    <t>May Actual v. Forecasted</t>
  </si>
  <si>
    <t>1. Site was offline from 16:00 on 05/28 until 00:15 on 05/29 due to a brief outage.</t>
  </si>
  <si>
    <t>1.SR102063</t>
  </si>
  <si>
    <t xml:space="preserve">1. Inverters 22, 23, and 24 were barely producing, and inverter 22 reported 'Power derating – customer command AC disconnected' on 05/03. It started producing as expected from 05/04, and the issue resolved itself.
</t>
  </si>
  <si>
    <t>1. SR100953</t>
  </si>
  <si>
    <t xml:space="preserve">1. Inverter 2 tripped offline at 15:15 on 05/03, reporting 'Error Error.' It self-resolved and came back online at 10:30 on 05/04. It went offline again from 17:00 to 18:15 on 05/07, and it again tripped offline at 11:30 on 05/08 and back online at 12:30 the same day.
</t>
  </si>
  <si>
    <t>1. SR100978</t>
  </si>
  <si>
    <t xml:space="preserve">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t>
  </si>
  <si>
    <t xml:space="preserve">1. SR092635, SR100128
2. SR094914, SR100127
</t>
  </si>
  <si>
    <t>1. Inverter 11 tripped offline at 11:30 on 05/03 due to 'Fault Inverter Over Current,' self-resolved, and came back online at 06:00 on 05/04. It went offline again at 14:45 on 05/12 and recovered by 06:00 on 05/13. It tripped once more at 09:45 on 05/18 and came back online on 05/19. A technician found grid-related faults. After following Chint’s troubleshooting steps, the inverter failed to exit standby. Photos and inverter details were sent to Chint for the RMA process
2. Inverters 13 and 14 have been producing as expected since the technician updated the firmware on 05/01.</t>
  </si>
  <si>
    <t>1. SR100959
2. SR100579</t>
  </si>
  <si>
    <t>1. Inverters 2, 3, 4, 7, 8, 11, and 17 had been underperforming since 04/16 but have been producing as expected since the technician replaced the LCD screens and performed troubleshooting on 05/20.</t>
  </si>
  <si>
    <t>1. SR100683</t>
  </si>
  <si>
    <t>June Actual v. Expected</t>
  </si>
  <si>
    <t>June Actual v. Forecasted</t>
  </si>
  <si>
    <t>1. Inverter 7 was offline for whole month and being RMA'd.
2. Inverter 13 was offline for whole month and being RMA'd.</t>
  </si>
  <si>
    <t>1. SR100127
2. SR100128</t>
  </si>
  <si>
    <t>1. Inverter 35 has been left offline from 06/16 to end of the month due to thermal damage on combiner box.
2. Inverter 11 was offline from 15:00 on 06/11 to 13:00 on 06/20.
3. Inverter 31 tripped offline on 06/02 at 15:00 and back online on 06/03 at 07:00.</t>
  </si>
  <si>
    <t>1. SR103034
2. SR100959
3. SR102318</t>
  </si>
  <si>
    <t>SR100959</t>
  </si>
  <si>
    <t>SR102318</t>
  </si>
  <si>
    <t>1. Inverter 16 was underproduced by 6kW compared to peers from 06/02 after replacing fuse on string 6 the inverter started to produce as expected.
2. Inverter 15 waas tripped offline on 06/11 at 18:45 due to Arc protection fault and back online at 13:30 on 06/12.
3. Site was offline from 15:30 on 06/12 to 08:30 on 06/16
4. Inverter 4 was offline from 17:00 on 06/03 to through out the month and comms board being RMA'd.</t>
  </si>
  <si>
    <t>1. SR102869
2. SR102863
3. SR102972
4. SR102438</t>
  </si>
  <si>
    <t>SR102863</t>
  </si>
  <si>
    <t>SR102972</t>
  </si>
  <si>
    <t>SR102438</t>
  </si>
  <si>
    <t>July Actual v. Expected</t>
  </si>
  <si>
    <t>July Actual v. Forecasted</t>
  </si>
  <si>
    <t>1. Inverter 6 tripped offline at 11:24 on 07/28 and back online at 18:00 on 07/28.</t>
  </si>
  <si>
    <t>1. SR105168</t>
  </si>
  <si>
    <t xml:space="preserve">1.The site was offline from 08:00 to 13:15 on 07/01 due to USNE transformer repairs
2. Site tripped offline at 19:15 on 07/08 and came back online at 08:45 on 07/09
</t>
  </si>
  <si>
    <t>1.SR102892
2.SR104167</t>
  </si>
  <si>
    <t>SR104167</t>
  </si>
  <si>
    <t xml:space="preserve">1.Site tripped offline at 19:45 on 07/03 due to utility outage and it came back online on 07/08 at 07:00
</t>
  </si>
  <si>
    <t>1.SR103997</t>
  </si>
  <si>
    <t>1. Inverter 7 was offline for whole month and being RMA'd.
2. Inverter 13 was offline for whole month and being RMA'd.
3. Inverter 2 tripped offline at 12:35 on 07/30 and offline for end of month.</t>
  </si>
  <si>
    <t>1. SR100127
2. SR100128
3. SR105359</t>
  </si>
  <si>
    <t>SR105359</t>
  </si>
  <si>
    <t>1. Inverter 35 has been left offline from 06/16 due to thermal damage on combiner box.
2.Inverter 31 tripped offline at 12:30 on 07/01 and came back online at 08:00 on 07/08</t>
  </si>
  <si>
    <t>1.SR103034
2.SR103844</t>
  </si>
  <si>
    <t>SR103844</t>
  </si>
  <si>
    <t xml:space="preserve">1.Inverter 4 was offline from 17:00 on 06/03 to through out the month and comms board being RMA'd.
</t>
  </si>
  <si>
    <t>1.	SR102438</t>
  </si>
  <si>
    <t>August Actual v. Expected</t>
  </si>
  <si>
    <t>August Actual v. Forecasted</t>
  </si>
  <si>
    <t>1. Site was offline from 18:00 on 08/28 to 11:00 on 08/29.</t>
  </si>
  <si>
    <t>1. SR107163</t>
  </si>
  <si>
    <t>1. Inverter 26 was offline from 08:30 08/13 to 06:00 on 08/14 and again inverter was offline from 07:00 on 08/14 to As per client it maybe communication issue.
2. Inverter 25 and 27 was offline from 11:00 to 21:00 on 08/16</t>
  </si>
  <si>
    <t xml:space="preserve">1. SR106261, SR106183, </t>
  </si>
  <si>
    <t>SR106183</t>
  </si>
  <si>
    <t xml:space="preserve">1. Inverter 3 was de-energised by Riad on 07/23 and on 08/06 at 14:00 it was re-energised but pad 3 DC 3 was kept offline. 
</t>
  </si>
  <si>
    <t xml:space="preserve">1. SR104863, SR105751
</t>
  </si>
  <si>
    <t>SR105751</t>
  </si>
  <si>
    <t>1. Inverter 2 tripped offline at 12:35 on 07/30 and came back online at 12:50 on 08/29.
2. Inverter 9 went offline at 14:10 on 08/05 and came back online at 14:30 on 08/28.
3. Inverter 7 was offline since 12/18/24 and came back online at 12:50 on 08/29.
4. Inverter 13 was offline since 11/07/24 and came back online at 14:45 on 08/05.</t>
  </si>
  <si>
    <t>1. SR105359, SR105505
2. SR105757
3. SR100127, SR105994
4. SR100128</t>
  </si>
  <si>
    <t>SR105505</t>
  </si>
  <si>
    <t>SR105757</t>
  </si>
  <si>
    <t>SR105994</t>
  </si>
  <si>
    <t>1. Inverter 35 was offline since 06/16 and came back online at 12:30 on 08/05.
2. Inverter 13 was offline from 11:00 to 15:15 on 08/05 as technician was onsite.
3. The site was offline from 05:45 on 08/20 and came back online at 13:30 on 08/21.</t>
  </si>
  <si>
    <t>1. SR103034
2. SR103034
3. SR106571</t>
  </si>
  <si>
    <t>SR103034</t>
  </si>
  <si>
    <t>SR106571</t>
  </si>
  <si>
    <t>1. Inverters 2 and 21 are underproducing by about 4 kW each, and Inverter 3 is underproducing by about 7 kW throughout the month.
2. Inverter 4 was offline from 17:00 on 06/03 to through out the month and comms board being RMA'd.</t>
  </si>
  <si>
    <t>1. SR105646
2. SR102438</t>
  </si>
  <si>
    <t>September Actual v. Expected</t>
  </si>
  <si>
    <t>September Actual v. Forecasted</t>
  </si>
  <si>
    <t>1.Inverter 12 is derating at ~20kW from 10:00 on 09/20</t>
  </si>
  <si>
    <t>1.SR108306</t>
  </si>
  <si>
    <t>1.Inverter 26 is continuing to trip offline in the morning, resolving at end of day through out the month.
2.Inverters 13-15 were offline from 09/29 and remained offline till end of the month</t>
  </si>
  <si>
    <t>1.SR108408
2.SR108718</t>
  </si>
  <si>
    <t>SR108718</t>
  </si>
  <si>
    <t>1. Site was offline from 16:30 on 09/28 to 07:00 on 09/29</t>
  </si>
  <si>
    <t>1.SR108695</t>
  </si>
  <si>
    <t>1. Site was offline from 14:30 to 16:30 on 09/11</t>
  </si>
  <si>
    <t>1.Inverter 4 was offline from 17:00 on 06/03 to through out the month and comms board being RMA'd.
2. Inverters 2 and 21 are underproducing about 4kw, and inverter 3 is underproducing about 7kw.</t>
  </si>
  <si>
    <t>1.SR102438
2.SR105646</t>
  </si>
  <si>
    <t>SR105646</t>
  </si>
  <si>
    <t>October Actual v. Expected</t>
  </si>
  <si>
    <t>October Actual v. Forecasted</t>
  </si>
  <si>
    <t>Status</t>
  </si>
  <si>
    <t>1. Inverter 7 tripped offline at 15:00 on 10/17, reporting a "Grid Outlimit" fault, and was back online at 10:30 on 10/21.</t>
  </si>
  <si>
    <t>1. SR109648</t>
  </si>
  <si>
    <t>1. Closed</t>
  </si>
  <si>
    <t>1. Inverter 26 tripped offline at 08:00 on 10/04 and, after a remote reset, was back online at 11:30 on 10/05.
2.Inverters 13-15 were offline from 09/29 and back online at 12:00 on 10/17.
3. Site was offline at 09:30 on 10/31.</t>
  </si>
  <si>
    <t>1. SR108408
2. SR108718
3. SR110429</t>
  </si>
  <si>
    <t>1. Closed
2. Pending
3. Closed</t>
  </si>
  <si>
    <t>SR110429</t>
  </si>
  <si>
    <t>1. Site was tripped offline at 21:00 on 10/15 due to a utility outage and back online at 08:45 on 10/16.
2. Site was offline at 10:30 on 10/22 due to planned outage and remained offline through the end of the month.</t>
  </si>
  <si>
    <t>1. SR109563
2. SR108921</t>
  </si>
  <si>
    <t>1. Closed
2. New</t>
  </si>
  <si>
    <t>SR108921</t>
  </si>
  <si>
    <t>1.  Inverter 3 tripped offline at 08:05 on 10/02 and back online at 14:20 on 10/02.</t>
  </si>
  <si>
    <t>1. SR108901</t>
  </si>
  <si>
    <t>1. Few modules need to be replaced.
2. All inverters have shading.</t>
  </si>
  <si>
    <t>1. SR105817</t>
  </si>
  <si>
    <t xml:space="preserve">1. Pending
</t>
  </si>
  <si>
    <t xml:space="preserve">1.SR102438
</t>
  </si>
  <si>
    <t>November Actual v. Expected</t>
  </si>
  <si>
    <t>November Actual v. Forecasted</t>
  </si>
  <si>
    <t>1.Site was offline at 09:30 on 10/31 and back online at 15:15 on 11/09
2. PAD 10 was taken offline by Brain with Agilitas from  12:00 to 15:40 on 11/20</t>
  </si>
  <si>
    <t>1.SR110429
2. SR109919</t>
  </si>
  <si>
    <t>1.Closed
2. New</t>
  </si>
  <si>
    <t>SR109919</t>
  </si>
  <si>
    <t>1.Inverter 1 is offline from 11/28
2.Site was back online at  14:15 on 11/26</t>
  </si>
  <si>
    <t>1.SR111822
2.SR108921</t>
  </si>
  <si>
    <t>1.Pending
2.Closed</t>
  </si>
  <si>
    <t>1.Site was offline from 09:15 to 15:30 on 11/19
2.3 broken modules were replaced on 11/14
3. Inverter 19, 22, 21 and 20 have heavy afternoon shading</t>
  </si>
  <si>
    <t>1.SR111327
2.SR105817</t>
  </si>
  <si>
    <t>1.Closed
2.Pending</t>
  </si>
  <si>
    <t>SR105817</t>
  </si>
  <si>
    <t>1.Inverter 3 tripped offline at 10:30 on 11/17 and back online at 11/18 and inverter 3 was derated on good irradiance day.
2.Inverter 4 is back online at 10:30 on 11/14 and inverter 4 has late starting issues.
3. Inverter 18 frequently drop production by 2kW in the afternoon and few inverters has shading in the afternoon and all inverters have morning shading</t>
  </si>
  <si>
    <t>1.SR111213
2.SR102438</t>
  </si>
  <si>
    <t>1.Closed
2.Closed</t>
  </si>
  <si>
    <t>December Actual v. Expected</t>
  </si>
  <si>
    <t>December Actual v. Forecasted</t>
  </si>
  <si>
    <t>Portfolio:</t>
  </si>
  <si>
    <t>Agilitas Energy</t>
  </si>
  <si>
    <t>Site DAS Name</t>
  </si>
  <si>
    <t>Update</t>
  </si>
  <si>
    <t>DAS</t>
  </si>
  <si>
    <t>Central Street Solar, Rowley</t>
  </si>
  <si>
    <t>Rowley - Central Street Solar</t>
  </si>
  <si>
    <t>MA</t>
  </si>
  <si>
    <t>AEF</t>
  </si>
  <si>
    <t>PowerTrack</t>
  </si>
  <si>
    <t>Leicester Street Solar: DAS + BESS</t>
  </si>
  <si>
    <t>Auburn - Leicester Street Solar</t>
  </si>
  <si>
    <t>Middleboro Road</t>
  </si>
  <si>
    <t>Rochester - Old Middleboro</t>
  </si>
  <si>
    <t>Littleworth Road Solar</t>
  </si>
  <si>
    <t>Dover - Littleworth Road</t>
  </si>
  <si>
    <t>NH</t>
  </si>
  <si>
    <t>SolrenView</t>
  </si>
  <si>
    <t>Milton Municipal Landfill</t>
  </si>
  <si>
    <t>Milton - Landfill</t>
  </si>
  <si>
    <t>Frankland Solar</t>
  </si>
  <si>
    <t>Hopkinton - 71 Frankland Rd</t>
  </si>
  <si>
    <t>Rustcraft Road Solar, LLC 100013</t>
  </si>
  <si>
    <t>Dedham - 100 Rustcraft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</si>
</sst>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amily val="2"/>
    </font>
    <font>
      <sz val="11"/>
      <name val="Calibri"/>
      <scheme val="minor"/>
    </font>
    <font>
      <b/>
      <sz val="11"/>
      <name val="Calibri"/>
      <scheme val="minor"/>
    </font>
    <font>
      <b/>
      <sz val="11"/>
      <color rgb="FFFF0000"/>
      <name val="Calibri"/>
      <scheme val="minor"/>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7" fillId="0" borderId="0" applyNumberFormat="0" applyFill="0" applyBorder="0" applyAlignment="0" applyProtection="0"/>
  </cellStyleXfs>
  <cellXfs count="98">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9" fontId="31" fillId="3" borderId="0" xfId="2" applyFont="1" applyFill="1" applyAlignment="1">
      <alignment horizontal="right" vertical="center"/>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horizontal="left" vertical="top" wrapText="1"/>
    </xf>
    <xf numFmtId="0" fontId="36" fillId="43" borderId="1" xfId="0" applyFont="1" applyFill="1" applyBorder="1" applyAlignment="1">
      <alignment horizontal="center" vertical="center" wrapText="1"/>
    </xf>
    <xf numFmtId="0" fontId="23" fillId="0" borderId="0" xfId="43" applyFont="1" applyAlignment="1">
      <alignment horizontal="left" wrapText="1"/>
    </xf>
    <xf numFmtId="0" fontId="23" fillId="0" borderId="0" xfId="43" applyFont="1"/>
    <xf numFmtId="49" fontId="29" fillId="0" borderId="0" xfId="0" applyNumberFormat="1" applyFont="1" applyAlignment="1">
      <alignment vertical="top" wrapText="1"/>
    </xf>
    <xf numFmtId="0" fontId="35" fillId="40" borderId="0" xfId="0" applyFont="1" applyFill="1" applyAlignment="1">
      <alignment vertical="top"/>
    </xf>
    <xf numFmtId="49" fontId="24" fillId="38" borderId="0" xfId="2" applyNumberFormat="1" applyFont="1" applyFill="1" applyBorder="1" applyAlignment="1">
      <alignment vertical="top" wrapText="1"/>
    </xf>
    <xf numFmtId="49" fontId="37" fillId="38" borderId="0" xfId="45" applyNumberFormat="1" applyFill="1" applyBorder="1" applyAlignment="1">
      <alignment vertical="top" wrapText="1"/>
    </xf>
    <xf numFmtId="49" fontId="37" fillId="0" borderId="0" xfId="45" applyNumberFormat="1" applyAlignment="1">
      <alignment horizontal="left" vertical="top" wrapText="1"/>
    </xf>
    <xf numFmtId="49" fontId="37" fillId="0" borderId="0" xfId="45" applyNumberFormat="1" applyAlignment="1">
      <alignment vertical="top" wrapText="1"/>
    </xf>
    <xf numFmtId="0" fontId="37" fillId="0" borderId="0" xfId="45" applyAlignment="1">
      <alignment horizontal="left" vertical="top"/>
    </xf>
    <xf numFmtId="0" fontId="37" fillId="0" borderId="0" xfId="45" applyAlignment="1">
      <alignment vertical="top"/>
    </xf>
    <xf numFmtId="10" fontId="31" fillId="0" borderId="0" xfId="0" applyNumberFormat="1" applyFont="1" applyAlignment="1">
      <alignment horizontal="center" vertical="center"/>
    </xf>
    <xf numFmtId="0" fontId="35" fillId="40" borderId="0" xfId="0" applyFont="1" applyFill="1" applyAlignment="1">
      <alignment horizontal="center" vertical="center"/>
    </xf>
    <xf numFmtId="0" fontId="37" fillId="0" borderId="0" xfId="45"/>
    <xf numFmtId="3" fontId="31" fillId="0" borderId="0" xfId="1" applyNumberFormat="1" applyFont="1" applyFill="1" applyBorder="1" applyAlignment="1">
      <alignment horizontal="right" vertical="center"/>
    </xf>
    <xf numFmtId="3" fontId="31" fillId="4" borderId="0" xfId="1" applyNumberFormat="1" applyFont="1" applyFill="1" applyBorder="1" applyAlignment="1">
      <alignment horizontal="right" vertical="center"/>
    </xf>
    <xf numFmtId="0" fontId="0" fillId="0" borderId="0" xfId="0" applyAlignment="1">
      <alignment horizontal="left" vertical="top"/>
    </xf>
    <xf numFmtId="49" fontId="29"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3" fillId="0" borderId="0" xfId="0" applyFont="1" applyAlignment="1">
      <alignment vertical="center"/>
    </xf>
    <xf numFmtId="49" fontId="37" fillId="38" borderId="0" xfId="45" applyNumberFormat="1" applyFill="1" applyBorder="1" applyAlignment="1">
      <alignment horizontal="left" vertical="top" wrapText="1"/>
    </xf>
    <xf numFmtId="164" fontId="29" fillId="44" borderId="0" xfId="1" applyNumberFormat="1" applyFont="1" applyFill="1" applyAlignment="1">
      <alignment horizontal="center" vertical="center"/>
    </xf>
    <xf numFmtId="9" fontId="31" fillId="3" borderId="0" xfId="2" applyFont="1" applyFill="1" applyAlignment="1">
      <alignment horizontal="center" vertical="center"/>
    </xf>
    <xf numFmtId="3" fontId="31" fillId="4" borderId="0" xfId="1" applyNumberFormat="1" applyFont="1" applyFill="1" applyAlignment="1">
      <alignment vertical="center"/>
    </xf>
    <xf numFmtId="9" fontId="31" fillId="37" borderId="0" xfId="2" applyFont="1" applyFill="1" applyAlignment="1">
      <alignment horizontal="center" vertical="center"/>
    </xf>
    <xf numFmtId="49" fontId="31" fillId="38" borderId="0" xfId="2" applyNumberFormat="1" applyFont="1" applyFill="1" applyAlignment="1">
      <alignment vertical="top" wrapText="1"/>
    </xf>
    <xf numFmtId="3" fontId="31" fillId="0" borderId="0" xfId="1" applyNumberFormat="1" applyFont="1" applyFill="1" applyBorder="1" applyAlignment="1">
      <alignment horizontal="right"/>
    </xf>
    <xf numFmtId="3" fontId="31" fillId="4" borderId="0" xfId="1" applyNumberFormat="1" applyFont="1" applyFill="1" applyBorder="1" applyAlignment="1">
      <alignment horizontal="right"/>
    </xf>
    <xf numFmtId="3" fontId="31" fillId="0" borderId="0" xfId="1" applyNumberFormat="1" applyFont="1" applyAlignment="1">
      <alignment vertical="center"/>
    </xf>
    <xf numFmtId="49" fontId="37" fillId="38" borderId="0" xfId="45" applyNumberFormat="1" applyFill="1" applyAlignment="1">
      <alignment vertical="top" wrapText="1"/>
    </xf>
    <xf numFmtId="49" fontId="28" fillId="0" borderId="0" xfId="0" applyNumberFormat="1" applyFont="1" applyAlignment="1">
      <alignment vertical="top" wrapText="1"/>
    </xf>
    <xf numFmtId="0" fontId="0" fillId="0" borderId="0" xfId="0" applyAlignment="1">
      <alignment vertical="top"/>
    </xf>
    <xf numFmtId="49" fontId="37" fillId="0" borderId="0" xfId="45" applyNumberFormat="1" applyAlignment="1">
      <alignment vertical="center" wrapText="1"/>
    </xf>
    <xf numFmtId="0" fontId="39" fillId="0" borderId="0" xfId="0" applyFont="1" applyAlignment="1">
      <alignment vertical="center"/>
    </xf>
    <xf numFmtId="0" fontId="40" fillId="0" borderId="0" xfId="0" applyFont="1" applyAlignment="1">
      <alignment vertical="center"/>
    </xf>
    <xf numFmtId="0" fontId="39" fillId="45" borderId="1" xfId="0" applyFont="1" applyFill="1" applyBorder="1" applyAlignment="1">
      <alignment horizontal="center" vertical="center"/>
    </xf>
    <xf numFmtId="0" fontId="38" fillId="0" borderId="0" xfId="0" applyFont="1"/>
    <xf numFmtId="49" fontId="38" fillId="38" borderId="0" xfId="2" applyNumberFormat="1" applyFont="1" applyFill="1" applyBorder="1" applyAlignment="1">
      <alignment horizontal="left" vertical="top" wrapText="1"/>
    </xf>
    <xf numFmtId="0" fontId="38" fillId="0" borderId="0" xfId="0" applyFont="1" applyAlignment="1">
      <alignment horizontal="left" vertical="top" wrapText="1"/>
    </xf>
    <xf numFmtId="0" fontId="38" fillId="0" borderId="0" xfId="0" applyFont="1" applyAlignment="1">
      <alignment horizontal="lef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xf numFmtId="49" fontId="1" fillId="0" borderId="0" xfId="0" applyNumberFormat="1" applyFont="1" applyAlignment="1">
      <alignment horizontal="left" vertical="top"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0" totalsRowShown="0">
  <autoFilter ref="A3:E10"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2635" TargetMode="External"/><Relationship Id="rId13" Type="http://schemas.openxmlformats.org/officeDocument/2006/relationships/hyperlink" Target="https://us3.assetplanner.com/service_request?ID=095310" TargetMode="External"/><Relationship Id="rId3" Type="http://schemas.openxmlformats.org/officeDocument/2006/relationships/hyperlink" Target="https://us3.assetplanner.com/service_request?ID=095541" TargetMode="External"/><Relationship Id="rId7" Type="http://schemas.openxmlformats.org/officeDocument/2006/relationships/hyperlink" Target="https://us3.assetplanner.com/service_request?ID=095714" TargetMode="External"/><Relationship Id="rId12" Type="http://schemas.openxmlformats.org/officeDocument/2006/relationships/hyperlink" Target="https://us3.assetplanner.com/service_request?ID=095323" TargetMode="External"/><Relationship Id="rId2" Type="http://schemas.openxmlformats.org/officeDocument/2006/relationships/hyperlink" Target="https://us3.assetplanner.com/service_request?ID=093008" TargetMode="External"/><Relationship Id="rId16" Type="http://schemas.openxmlformats.org/officeDocument/2006/relationships/printerSettings" Target="../printerSettings/printerSettings3.bin"/><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71" TargetMode="External"/><Relationship Id="rId11" Type="http://schemas.openxmlformats.org/officeDocument/2006/relationships/hyperlink" Target="https://us3.assetplanner.com/service_request?ID=095238" TargetMode="External"/><Relationship Id="rId5" Type="http://schemas.openxmlformats.org/officeDocument/2006/relationships/hyperlink" Target="https://us3.assetplanner.com/service_request?ID=095250" TargetMode="External"/><Relationship Id="rId15" Type="http://schemas.openxmlformats.org/officeDocument/2006/relationships/hyperlink" Target="https://us3.assetplanner.com/service_request?ID=096176" TargetMode="External"/><Relationship Id="rId10" Type="http://schemas.openxmlformats.org/officeDocument/2006/relationships/hyperlink" Target="https://us3.assetplanner.com/service_request?ID=095569" TargetMode="External"/><Relationship Id="rId4" Type="http://schemas.openxmlformats.org/officeDocument/2006/relationships/hyperlink" Target="https://us3.assetplanner.com/service_request?ID=095250" TargetMode="External"/><Relationship Id="rId9" Type="http://schemas.openxmlformats.org/officeDocument/2006/relationships/hyperlink" Target="https://us3.assetplanner.com/service_request?ID=094914" TargetMode="External"/><Relationship Id="rId14" Type="http://schemas.openxmlformats.org/officeDocument/2006/relationships/hyperlink" Target="https://us3.assetplanner.com/service_request?ID=09569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404" TargetMode="External"/><Relationship Id="rId13" Type="http://schemas.openxmlformats.org/officeDocument/2006/relationships/hyperlink" Target="https://us3.assetplanner.com/service_request?ID=096292" TargetMode="External"/><Relationship Id="rId3" Type="http://schemas.openxmlformats.org/officeDocument/2006/relationships/hyperlink" Target="https://us3.assetplanner.com/service_request?ID=088882" TargetMode="External"/><Relationship Id="rId7" Type="http://schemas.openxmlformats.org/officeDocument/2006/relationships/hyperlink" Target="https://us3.assetplanner.com/service_request?ID=097185" TargetMode="External"/><Relationship Id="rId12" Type="http://schemas.openxmlformats.org/officeDocument/2006/relationships/hyperlink" Target="https://us3.assetplanner.com/service_request?ID=095569" TargetMode="External"/><Relationship Id="rId2" Type="http://schemas.openxmlformats.org/officeDocument/2006/relationships/hyperlink" Target="https://us3.assetplanner.com/service_request?ID=093008" TargetMode="External"/><Relationship Id="rId16" Type="http://schemas.openxmlformats.org/officeDocument/2006/relationships/hyperlink" Target="https://us3.assetplanner.com/service_request?ID=096176" TargetMode="External"/><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50"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6327" TargetMode="External"/><Relationship Id="rId15" Type="http://schemas.openxmlformats.org/officeDocument/2006/relationships/hyperlink" Target="https://us3.assetplanner.com/service_request?ID=097855" TargetMode="External"/><Relationship Id="rId10" Type="http://schemas.openxmlformats.org/officeDocument/2006/relationships/hyperlink" Target="https://us3.assetplanner.com/service_request?ID=092635" TargetMode="External"/><Relationship Id="rId4" Type="http://schemas.openxmlformats.org/officeDocument/2006/relationships/hyperlink" Target="https://us3.assetplanner.com/service_request?ID=096327" TargetMode="External"/><Relationship Id="rId9" Type="http://schemas.openxmlformats.org/officeDocument/2006/relationships/hyperlink" Target="https://us3.assetplanner.com/service_request?ID=096414" TargetMode="External"/><Relationship Id="rId14" Type="http://schemas.openxmlformats.org/officeDocument/2006/relationships/hyperlink" Target="https://us3.assetplanner.com/service_request?ID=09633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617" TargetMode="External"/><Relationship Id="rId13" Type="http://schemas.openxmlformats.org/officeDocument/2006/relationships/hyperlink" Target="https://us3.assetplanner.com/service_request?ID=099233" TargetMode="External"/><Relationship Id="rId18" Type="http://schemas.openxmlformats.org/officeDocument/2006/relationships/hyperlink" Target="https://us3.assetplanner.com/service_request?ID=098773" TargetMode="External"/><Relationship Id="rId3" Type="http://schemas.openxmlformats.org/officeDocument/2006/relationships/hyperlink" Target="https://us3.assetplanner.com/service_request?ID=098922" TargetMode="External"/><Relationship Id="rId21" Type="http://schemas.openxmlformats.org/officeDocument/2006/relationships/hyperlink" Target="https://us3.assetplanner.com/service_request?ID=098276" TargetMode="External"/><Relationship Id="rId7" Type="http://schemas.openxmlformats.org/officeDocument/2006/relationships/hyperlink" Target="https://us3.assetplanner.com/service_request?ID=098603" TargetMode="External"/><Relationship Id="rId12" Type="http://schemas.openxmlformats.org/officeDocument/2006/relationships/hyperlink" Target="https://us3.assetplanner.com/service_request?ID=095569" TargetMode="External"/><Relationship Id="rId17" Type="http://schemas.openxmlformats.org/officeDocument/2006/relationships/hyperlink" Target="https://us3.assetplanner.com/service_request?ID=098773" TargetMode="External"/><Relationship Id="rId2" Type="http://schemas.openxmlformats.org/officeDocument/2006/relationships/hyperlink" Target="https://us3.assetplanner.com/service_request?ID=096327" TargetMode="External"/><Relationship Id="rId16" Type="http://schemas.openxmlformats.org/officeDocument/2006/relationships/hyperlink" Target="https://us3.assetplanner.com/service_request?ID=098616" TargetMode="External"/><Relationship Id="rId20" Type="http://schemas.openxmlformats.org/officeDocument/2006/relationships/hyperlink" Target="https://us3.assetplanner.com/service_request?ID=095310" TargetMode="External"/><Relationship Id="rId1" Type="http://schemas.openxmlformats.org/officeDocument/2006/relationships/hyperlink" Target="https://us3.assetplanner.com/service_request?ID=095250" TargetMode="External"/><Relationship Id="rId6" Type="http://schemas.openxmlformats.org/officeDocument/2006/relationships/hyperlink" Target="https://us3.assetplanner.com/service_request?ID=098255"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8255" TargetMode="External"/><Relationship Id="rId15" Type="http://schemas.openxmlformats.org/officeDocument/2006/relationships/hyperlink" Target="https://us3.assetplanner.com/service_request?ID=098355" TargetMode="External"/><Relationship Id="rId23" Type="http://schemas.openxmlformats.org/officeDocument/2006/relationships/hyperlink" Target="https://us3.assetplanner.com/service_request?ID=098880" TargetMode="External"/><Relationship Id="rId10" Type="http://schemas.openxmlformats.org/officeDocument/2006/relationships/hyperlink" Target="https://us3.assetplanner.com/service_request?ID=092635" TargetMode="External"/><Relationship Id="rId19" Type="http://schemas.openxmlformats.org/officeDocument/2006/relationships/hyperlink" Target="https://us3.assetplanner.com/service_request?ID=099056" TargetMode="External"/><Relationship Id="rId4" Type="http://schemas.openxmlformats.org/officeDocument/2006/relationships/hyperlink" Target="https://us3.assetplanner.com/service_request?ID=099164" TargetMode="External"/><Relationship Id="rId9" Type="http://schemas.openxmlformats.org/officeDocument/2006/relationships/hyperlink" Target="https://us3.assetplanner.com/service_request?ID=098617" TargetMode="External"/><Relationship Id="rId14" Type="http://schemas.openxmlformats.org/officeDocument/2006/relationships/hyperlink" Target="https://us3.assetplanner.com/service_request?ID=098299" TargetMode="External"/><Relationship Id="rId22" Type="http://schemas.openxmlformats.org/officeDocument/2006/relationships/hyperlink" Target="https://us3.assetplanner.com/service_request?ID=09852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4914" TargetMode="External"/><Relationship Id="rId13" Type="http://schemas.openxmlformats.org/officeDocument/2006/relationships/hyperlink" Target="https://us3.assetplanner.com/service_request?ID=100579" TargetMode="External"/><Relationship Id="rId3" Type="http://schemas.openxmlformats.org/officeDocument/2006/relationships/hyperlink" Target="https://us3.assetplanner.com/service_request?ID=099689" TargetMode="External"/><Relationship Id="rId7" Type="http://schemas.openxmlformats.org/officeDocument/2006/relationships/hyperlink" Target="https://us3.assetplanner.com/service_request?ID=100128" TargetMode="External"/><Relationship Id="rId12" Type="http://schemas.openxmlformats.org/officeDocument/2006/relationships/hyperlink" Target="https://us3.assetplanner.com/service_request?ID=100465" TargetMode="External"/><Relationship Id="rId2" Type="http://schemas.openxmlformats.org/officeDocument/2006/relationships/hyperlink" Target="https://us3.assetplanner.com/service_request?ID=094026" TargetMode="External"/><Relationship Id="rId1" Type="http://schemas.openxmlformats.org/officeDocument/2006/relationships/hyperlink" Target="https://us3.assetplanner.com/service_request?ID=099164" TargetMode="External"/><Relationship Id="rId6" Type="http://schemas.openxmlformats.org/officeDocument/2006/relationships/hyperlink" Target="https://us3.assetplanner.com/service_request?ID=092635" TargetMode="External"/><Relationship Id="rId11" Type="http://schemas.openxmlformats.org/officeDocument/2006/relationships/hyperlink" Target="https://us3.assetplanner.com/service_request?ID=099955" TargetMode="External"/><Relationship Id="rId5" Type="http://schemas.openxmlformats.org/officeDocument/2006/relationships/hyperlink" Target="https://us3.assetplanner.com/service_request?ID=098617" TargetMode="External"/><Relationship Id="rId15" Type="http://schemas.openxmlformats.org/officeDocument/2006/relationships/hyperlink" Target="https://us3.assetplanner.com/service_request?ID=100683" TargetMode="External"/><Relationship Id="rId10" Type="http://schemas.openxmlformats.org/officeDocument/2006/relationships/hyperlink" Target="https://us3.assetplanner.com/service_request?ID=099233" TargetMode="External"/><Relationship Id="rId4" Type="http://schemas.openxmlformats.org/officeDocument/2006/relationships/hyperlink" Target="https://us3.assetplanner.com/service_request?ID=099783" TargetMode="External"/><Relationship Id="rId9" Type="http://schemas.openxmlformats.org/officeDocument/2006/relationships/hyperlink" Target="https://us3.assetplanner.com/service_request?ID=100127" TargetMode="External"/><Relationship Id="rId14" Type="http://schemas.openxmlformats.org/officeDocument/2006/relationships/hyperlink" Target="https://us3.assetplanner.com/service_request?ID=09531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959" TargetMode="External"/><Relationship Id="rId3" Type="http://schemas.openxmlformats.org/officeDocument/2006/relationships/hyperlink" Target="https://us3.assetplanner.com/service_request?ID=100978" TargetMode="External"/><Relationship Id="rId7" Type="http://schemas.openxmlformats.org/officeDocument/2006/relationships/hyperlink" Target="https://us3.assetplanner.com/service_request?ID=100127" TargetMode="External"/><Relationship Id="rId2" Type="http://schemas.openxmlformats.org/officeDocument/2006/relationships/hyperlink" Target="https://us3.assetplanner.com/service_request?ID=100953" TargetMode="External"/><Relationship Id="rId1" Type="http://schemas.openxmlformats.org/officeDocument/2006/relationships/hyperlink" Target="https://us3.assetplanner.com/service_request?ID=102063" TargetMode="External"/><Relationship Id="rId6"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100128" TargetMode="External"/><Relationship Id="rId10" Type="http://schemas.openxmlformats.org/officeDocument/2006/relationships/hyperlink" Target="https://us3.assetplanner.com/service_request?ID=100683" TargetMode="External"/><Relationship Id="rId4" Type="http://schemas.openxmlformats.org/officeDocument/2006/relationships/hyperlink" Target="https://us3.assetplanner.com/service_request?ID=092635" TargetMode="External"/><Relationship Id="rId9" Type="http://schemas.openxmlformats.org/officeDocument/2006/relationships/hyperlink" Target="https://us3.assetplanner.com/service_request?ID=100579"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2972" TargetMode="External"/><Relationship Id="rId3" Type="http://schemas.openxmlformats.org/officeDocument/2006/relationships/hyperlink" Target="https://us3.assetplanner.com/service_request?ID=103034" TargetMode="External"/><Relationship Id="rId7" Type="http://schemas.openxmlformats.org/officeDocument/2006/relationships/hyperlink" Target="https://us3.assetplanner.com/service_request?ID=102863" TargetMode="External"/><Relationship Id="rId2" Type="http://schemas.openxmlformats.org/officeDocument/2006/relationships/hyperlink" Target="https://us3.assetplanner.com/service_request?ID=100128" TargetMode="External"/><Relationship Id="rId1" Type="http://schemas.openxmlformats.org/officeDocument/2006/relationships/hyperlink" Target="https://us3.assetplanner.com/service_request?ID=100127" TargetMode="External"/><Relationship Id="rId6" Type="http://schemas.openxmlformats.org/officeDocument/2006/relationships/hyperlink" Target="https://us3.assetplanner.com/service_request?ID=102869" TargetMode="External"/><Relationship Id="rId5" Type="http://schemas.openxmlformats.org/officeDocument/2006/relationships/hyperlink" Target="https://us3.assetplanner.com/service_request?ID=102318" TargetMode="External"/><Relationship Id="rId4" Type="http://schemas.openxmlformats.org/officeDocument/2006/relationships/hyperlink" Target="https://us3.assetplanner.com/service_request?ID=100959" TargetMode="External"/><Relationship Id="rId9" Type="http://schemas.openxmlformats.org/officeDocument/2006/relationships/hyperlink" Target="https://us3.assetplanner.com/service_request?ID=102438"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3034" TargetMode="External"/><Relationship Id="rId3" Type="http://schemas.openxmlformats.org/officeDocument/2006/relationships/hyperlink" Target="https://us3.assetplanner.com/service_request?ID=102892" TargetMode="External"/><Relationship Id="rId7" Type="http://schemas.openxmlformats.org/officeDocument/2006/relationships/hyperlink" Target="https://us3.assetplanner.com/service_request?ID=105359" TargetMode="External"/><Relationship Id="rId2" Type="http://schemas.openxmlformats.org/officeDocument/2006/relationships/hyperlink" Target="https://us3.assetplanner.com/service_request?ID=105168" TargetMode="External"/><Relationship Id="rId1" Type="http://schemas.openxmlformats.org/officeDocument/2006/relationships/hyperlink" Target="https://us3.assetplanner.com/service_request?ID=100127" TargetMode="External"/><Relationship Id="rId6" Type="http://schemas.openxmlformats.org/officeDocument/2006/relationships/hyperlink" Target="https://us3.assetplanner.com/service_request?ID=100128" TargetMode="External"/><Relationship Id="rId5" Type="http://schemas.openxmlformats.org/officeDocument/2006/relationships/hyperlink" Target="https://us3.assetplanner.com/service_request?ID=103997" TargetMode="External"/><Relationship Id="rId10" Type="http://schemas.openxmlformats.org/officeDocument/2006/relationships/hyperlink" Target="https://us3.assetplanner.com/service_request?ID=102438" TargetMode="External"/><Relationship Id="rId4" Type="http://schemas.openxmlformats.org/officeDocument/2006/relationships/hyperlink" Target="https://us3.assetplanner.com/service_request?ID=104167" TargetMode="External"/><Relationship Id="rId9" Type="http://schemas.openxmlformats.org/officeDocument/2006/relationships/hyperlink" Target="https://us3.assetplanner.com/service_request?ID=103844"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5757" TargetMode="External"/><Relationship Id="rId13" Type="http://schemas.openxmlformats.org/officeDocument/2006/relationships/hyperlink" Target="https://us3.assetplanner.com/service_request?ID=103034" TargetMode="External"/><Relationship Id="rId3" Type="http://schemas.openxmlformats.org/officeDocument/2006/relationships/hyperlink" Target="https://us3.assetplanner.com/service_request?ID=106183" TargetMode="External"/><Relationship Id="rId7" Type="http://schemas.openxmlformats.org/officeDocument/2006/relationships/hyperlink" Target="https://us3.assetplanner.com/service_request?ID=105505" TargetMode="External"/><Relationship Id="rId12" Type="http://schemas.openxmlformats.org/officeDocument/2006/relationships/hyperlink" Target="https://us3.assetplanner.com/service_request?ID=103034" TargetMode="External"/><Relationship Id="rId2" Type="http://schemas.openxmlformats.org/officeDocument/2006/relationships/hyperlink" Target="https://us3.assetplanner.com/service_request?ID=106261" TargetMode="External"/><Relationship Id="rId16" Type="http://schemas.openxmlformats.org/officeDocument/2006/relationships/hyperlink" Target="https://us3.assetplanner.com/service_request?ID=102438" TargetMode="External"/><Relationship Id="rId1" Type="http://schemas.openxmlformats.org/officeDocument/2006/relationships/hyperlink" Target="https://us3.assetplanner.com/service_request?ID=107163" TargetMode="External"/><Relationship Id="rId6" Type="http://schemas.openxmlformats.org/officeDocument/2006/relationships/hyperlink" Target="https://us3.assetplanner.com/service_request?ID=105359" TargetMode="External"/><Relationship Id="rId11" Type="http://schemas.openxmlformats.org/officeDocument/2006/relationships/hyperlink" Target="https://us3.assetplanner.com/service_request?ID=100128" TargetMode="External"/><Relationship Id="rId5" Type="http://schemas.openxmlformats.org/officeDocument/2006/relationships/hyperlink" Target="https://us3.assetplanner.com/service_request?ID=105751" TargetMode="External"/><Relationship Id="rId15" Type="http://schemas.openxmlformats.org/officeDocument/2006/relationships/hyperlink" Target="https://us3.assetplanner.com/service_request?ID=105646" TargetMode="External"/><Relationship Id="rId10" Type="http://schemas.openxmlformats.org/officeDocument/2006/relationships/hyperlink" Target="https://us3.assetplanner.com/service_request?ID=105994" TargetMode="External"/><Relationship Id="rId4" Type="http://schemas.openxmlformats.org/officeDocument/2006/relationships/hyperlink" Target="https://us3.assetplanner.com/service_request?ID=104863" TargetMode="External"/><Relationship Id="rId9" Type="http://schemas.openxmlformats.org/officeDocument/2006/relationships/hyperlink" Target="https://us3.assetplanner.com/service_request?ID=100127" TargetMode="External"/><Relationship Id="rId14" Type="http://schemas.openxmlformats.org/officeDocument/2006/relationships/hyperlink" Target="https://us3.assetplanner.com/service_request?ID=106571"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8718" TargetMode="External"/><Relationship Id="rId2" Type="http://schemas.openxmlformats.org/officeDocument/2006/relationships/hyperlink" Target="https://us3.assetplanner.com/service_request?ID=108408" TargetMode="External"/><Relationship Id="rId1" Type="http://schemas.openxmlformats.org/officeDocument/2006/relationships/hyperlink" Target="https://us3.assetplanner.com/service_request?ID=108306" TargetMode="External"/><Relationship Id="rId6" Type="http://schemas.openxmlformats.org/officeDocument/2006/relationships/hyperlink" Target="https://us3.assetplanner.com/service_request?ID=105646" TargetMode="External"/><Relationship Id="rId5" Type="http://schemas.openxmlformats.org/officeDocument/2006/relationships/hyperlink" Target="https://us3.assetplanner.com/service_request?ID=102438" TargetMode="External"/><Relationship Id="rId4" Type="http://schemas.openxmlformats.org/officeDocument/2006/relationships/hyperlink" Target="https://us3.assetplanner.com/service_request?ID=108695"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5817" TargetMode="External"/><Relationship Id="rId3" Type="http://schemas.openxmlformats.org/officeDocument/2006/relationships/hyperlink" Target="https://us3.assetplanner.com/service_request?ID=108718" TargetMode="External"/><Relationship Id="rId7" Type="http://schemas.openxmlformats.org/officeDocument/2006/relationships/hyperlink" Target="https://us3.assetplanner.com/service_request?ID=108901" TargetMode="External"/><Relationship Id="rId2" Type="http://schemas.openxmlformats.org/officeDocument/2006/relationships/hyperlink" Target="https://us3.assetplanner.com/service_request?ID=108408" TargetMode="External"/><Relationship Id="rId1" Type="http://schemas.openxmlformats.org/officeDocument/2006/relationships/hyperlink" Target="https://us3.assetplanner.com/service_request?ID=109648" TargetMode="External"/><Relationship Id="rId6" Type="http://schemas.openxmlformats.org/officeDocument/2006/relationships/hyperlink" Target="https://us3.assetplanner.com/service_request?ID=108921" TargetMode="External"/><Relationship Id="rId5" Type="http://schemas.openxmlformats.org/officeDocument/2006/relationships/hyperlink" Target="https://us3.assetplanner.com/service_request?ID=109563" TargetMode="External"/><Relationship Id="rId4" Type="http://schemas.openxmlformats.org/officeDocument/2006/relationships/hyperlink" Target="https://us3.assetplanner.com/service_request?ID=110429" TargetMode="External"/><Relationship Id="rId9" Type="http://schemas.openxmlformats.org/officeDocument/2006/relationships/hyperlink" Target="https://us3.assetplanner.com/service_request?ID=102438"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02438" TargetMode="External"/><Relationship Id="rId3" Type="http://schemas.openxmlformats.org/officeDocument/2006/relationships/hyperlink" Target="https://us3.assetplanner.com/service_request?ID=111822" TargetMode="External"/><Relationship Id="rId7" Type="http://schemas.openxmlformats.org/officeDocument/2006/relationships/hyperlink" Target="https://us3.assetplanner.com/service_request?ID=111213" TargetMode="External"/><Relationship Id="rId2" Type="http://schemas.openxmlformats.org/officeDocument/2006/relationships/hyperlink" Target="https://us3.assetplanner.com/service_request?ID=109919" TargetMode="External"/><Relationship Id="rId1" Type="http://schemas.openxmlformats.org/officeDocument/2006/relationships/hyperlink" Target="https://us3.assetplanner.com/service_request?ID=110429" TargetMode="External"/><Relationship Id="rId6" Type="http://schemas.openxmlformats.org/officeDocument/2006/relationships/hyperlink" Target="https://us3.assetplanner.com/service_request?ID=105817" TargetMode="External"/><Relationship Id="rId5" Type="http://schemas.openxmlformats.org/officeDocument/2006/relationships/hyperlink" Target="https://us3.assetplanner.com/service_request?ID=111327" TargetMode="External"/><Relationship Id="rId4" Type="http://schemas.openxmlformats.org/officeDocument/2006/relationships/hyperlink" Target="https://us3.assetplanner.com/service_request?ID=108921" TargetMode="External"/><Relationship Id="rId9"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G10" sqref="G10"/>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Agilitas Energy</v>
      </c>
      <c r="B1" s="94"/>
      <c r="C1" s="94"/>
      <c r="D1" s="95" t="s">
        <v>0</v>
      </c>
      <c r="E1" s="95"/>
      <c r="F1" s="95"/>
      <c r="G1" s="93" t="s">
        <v>1</v>
      </c>
      <c r="H1" s="93"/>
      <c r="I1" s="93"/>
    </row>
    <row r="2" spans="1:9" ht="19.5" customHeight="1">
      <c r="A2" s="96" t="s">
        <v>2</v>
      </c>
      <c r="B2" s="96"/>
      <c r="C2" s="5">
        <f>SUM(C4:C80)</f>
        <v>27868836.496725447</v>
      </c>
      <c r="D2" s="5">
        <f>SUM(D4:D80)</f>
        <v>27494745.301999997</v>
      </c>
      <c r="E2" s="5">
        <f>C2-D2</f>
        <v>374091.19472545013</v>
      </c>
      <c r="F2" s="6">
        <f>IFERROR(E2/D2, 0)</f>
        <v>1.3605915989272261E-2</v>
      </c>
      <c r="G2" s="5">
        <f>SUM(G4:G80)</f>
        <v>15773201.738999998</v>
      </c>
      <c r="H2" s="7">
        <f>C2-G2</f>
        <v>12095634.757725449</v>
      </c>
      <c r="I2" s="6">
        <f>IFERROR(H2/G2, 0)</f>
        <v>0.76684714732446568</v>
      </c>
    </row>
    <row r="3" spans="1:9" ht="14.25" customHeight="1">
      <c r="A3" s="8" t="s">
        <v>3</v>
      </c>
      <c r="B3" s="8" t="s">
        <v>4</v>
      </c>
      <c r="C3" s="21" t="s">
        <v>5</v>
      </c>
      <c r="D3" s="33" t="s">
        <v>6</v>
      </c>
      <c r="E3" s="33" t="s">
        <v>7</v>
      </c>
      <c r="F3" s="34" t="s">
        <v>8</v>
      </c>
      <c r="G3" s="35" t="s">
        <v>9</v>
      </c>
      <c r="H3" s="36" t="s">
        <v>7</v>
      </c>
      <c r="I3" s="37" t="s">
        <v>8</v>
      </c>
    </row>
    <row r="4" spans="1:9" ht="15.6">
      <c r="A4" s="49" t="str" cm="1">
        <f t="array" ref="A4:A10">Sites[Site]</f>
        <v>Rowley - Central Street Solar</v>
      </c>
      <c r="B4" s="30" t="str" cm="1">
        <f t="array" ref="B4:B10">Sites[State]</f>
        <v>MA</v>
      </c>
      <c r="C4" s="22">
        <f>SUM('1st Qtr'!C4, '2nd Qtr'!C4, '3rd Qtr'!C4, '4th Qtr'!C4)</f>
        <v>785282.72518844262</v>
      </c>
      <c r="D4" s="12">
        <f>SUM('1st Qtr'!D4, '2nd Qtr'!D4, '3rd Qtr'!D4, '4th Qtr'!D4)</f>
        <v>832231.16</v>
      </c>
      <c r="E4" s="12">
        <f>IF(AND(ISNUMBER(C4),ISNUMBER(D4)), C4-D4, "")</f>
        <v>-46948.43481155741</v>
      </c>
      <c r="F4" s="13">
        <f>IFERROR(E4/D4, "")</f>
        <v>-5.6412733706771336E-2</v>
      </c>
      <c r="G4" s="14">
        <f>SUM('1st Qtr'!G4, '2nd Qtr'!G4, '3rd Qtr'!G4, '4th Qtr'!G4)</f>
        <v>781897.05</v>
      </c>
      <c r="H4" s="14">
        <f>SUM('1st Qtr'!H4, '2nd Qtr'!H4, '3rd Qtr'!H4, '4th Qtr'!H4)</f>
        <v>3385.6751884425903</v>
      </c>
      <c r="I4" s="15">
        <f>IFERROR(H4/G4, "")</f>
        <v>4.3300779667126126E-3</v>
      </c>
    </row>
    <row r="5" spans="1:9" ht="15.6">
      <c r="A5" s="50" t="str">
        <v>Auburn - Leicester Street Solar</v>
      </c>
      <c r="B5" s="28" t="str">
        <v>MA</v>
      </c>
      <c r="C5" s="16">
        <f>SUM('1st Qtr'!C5, '2nd Qtr'!C5, '3rd Qtr'!C5, '4th Qtr'!C5)</f>
        <v>7818053.7955333395</v>
      </c>
      <c r="D5" s="16">
        <f>SUM('1st Qtr'!D5, '2nd Qtr'!D5, '3rd Qtr'!D5, '4th Qtr'!D5)</f>
        <v>9415969.9000000004</v>
      </c>
      <c r="E5" s="16">
        <f t="shared" ref="E5:E10" si="0">IF(AND(ISNUMBER(C5),ISNUMBER(D5)), C5-D5, "")</f>
        <v>-1597916.1044666609</v>
      </c>
      <c r="F5" s="17">
        <f>IFERROR(E5/D5, "")</f>
        <v>-0.16970276258706612</v>
      </c>
      <c r="G5" s="18">
        <f>SUM('1st Qtr'!G5, '2nd Qtr'!G5, '3rd Qtr'!G5, '4th Qtr'!G5)</f>
        <v>0</v>
      </c>
      <c r="H5" s="18">
        <f>SUM('1st Qtr'!H5, '2nd Qtr'!H5, '3rd Qtr'!H5, '4th Qtr'!H5)</f>
        <v>7818053.7955333395</v>
      </c>
      <c r="I5" s="17" t="str">
        <f>IFERROR(H5/G5, "")</f>
        <v/>
      </c>
    </row>
    <row r="6" spans="1:9" ht="15.6">
      <c r="A6" s="51" t="str">
        <v>Rochester - Old Middleboro</v>
      </c>
      <c r="B6" s="26" t="str">
        <v>MA</v>
      </c>
      <c r="C6" s="22">
        <f>SUM('1st Qtr'!C6, '2nd Qtr'!C6, '3rd Qtr'!C6, '4th Qtr'!C6)</f>
        <v>10037041.476341903</v>
      </c>
      <c r="D6" s="12">
        <f>SUM('1st Qtr'!D6, '2nd Qtr'!D6, '3rd Qtr'!D6, '4th Qtr'!D6)</f>
        <v>8875893.209999999</v>
      </c>
      <c r="E6" s="12">
        <f t="shared" si="0"/>
        <v>1161148.2663419042</v>
      </c>
      <c r="F6" s="13">
        <f t="shared" ref="F6:F10" si="1">IFERROR(E6/D6, "")</f>
        <v>0.13082044126372541</v>
      </c>
      <c r="G6" s="14">
        <f>SUM('1st Qtr'!G6, '2nd Qtr'!G6, '3rd Qtr'!G6, '4th Qtr'!G6)</f>
        <v>6969692.7699999996</v>
      </c>
      <c r="H6" s="14">
        <f>SUM('1st Qtr'!H6, '2nd Qtr'!H6, '3rd Qtr'!H6, '4th Qtr'!H6)</f>
        <v>3067348.7063419032</v>
      </c>
      <c r="I6" s="15">
        <f t="shared" ref="I6:I10" si="2">IFERROR(H6/G6, "")</f>
        <v>0.44009812305426821</v>
      </c>
    </row>
    <row r="7" spans="1:9" ht="15.6">
      <c r="A7" s="50" t="str">
        <v>Dover - Littleworth Road</v>
      </c>
      <c r="B7" s="28" t="str">
        <v>NH</v>
      </c>
      <c r="C7" s="16">
        <f>SUM('1st Qtr'!C7, '2nd Qtr'!C7, '3rd Qtr'!C7, '4th Qtr'!C7)</f>
        <v>1148949</v>
      </c>
      <c r="D7" s="16">
        <f>SUM('1st Qtr'!D7, '2nd Qtr'!D7, '3rd Qtr'!D7, '4th Qtr'!D7)</f>
        <v>0</v>
      </c>
      <c r="E7" s="16">
        <f t="shared" si="0"/>
        <v>1148949</v>
      </c>
      <c r="F7" s="17" t="str">
        <f>IFERROR(E7/D7, "")</f>
        <v/>
      </c>
      <c r="G7" s="18">
        <f>SUM('1st Qtr'!G7, '2nd Qtr'!G7, '3rd Qtr'!G7, '4th Qtr'!G7)</f>
        <v>0</v>
      </c>
      <c r="H7" s="18">
        <f>SUM('1st Qtr'!H7, '2nd Qtr'!H7, '3rd Qtr'!H7, '4th Qtr'!H7)</f>
        <v>23295</v>
      </c>
      <c r="I7" s="17" t="str">
        <f t="shared" si="2"/>
        <v/>
      </c>
    </row>
    <row r="8" spans="1:9" ht="15.6">
      <c r="A8" s="51" t="str">
        <v>Milton - Landfill</v>
      </c>
      <c r="B8" s="26" t="str">
        <v>NH</v>
      </c>
      <c r="C8" s="22">
        <f>SUM('1st Qtr'!C8, '2nd Qtr'!C8, '3rd Qtr'!C8, '4th Qtr'!C8)</f>
        <v>1006165</v>
      </c>
      <c r="D8" s="12">
        <f>SUM('1st Qtr'!D8, '2nd Qtr'!D8, '3rd Qtr'!D8, '4th Qtr'!D8)</f>
        <v>0</v>
      </c>
      <c r="E8" s="12">
        <f t="shared" si="0"/>
        <v>1006165</v>
      </c>
      <c r="F8" s="13" t="str">
        <f t="shared" si="1"/>
        <v/>
      </c>
      <c r="G8" s="14">
        <f>SUM('1st Qtr'!G8, '2nd Qtr'!G8, '3rd Qtr'!G8, '4th Qtr'!G8)</f>
        <v>0</v>
      </c>
      <c r="H8" s="14">
        <f>SUM('1st Qtr'!H8, '2nd Qtr'!H8, '3rd Qtr'!H8, '4th Qtr'!H8)</f>
        <v>71381</v>
      </c>
      <c r="I8" s="15" t="str">
        <f t="shared" si="2"/>
        <v/>
      </c>
    </row>
    <row r="9" spans="1:9" ht="15.6">
      <c r="A9" s="50" t="str">
        <v>Hopkinton - 71 Frankland Rd</v>
      </c>
      <c r="B9" s="28" t="str">
        <v>MA</v>
      </c>
      <c r="C9" s="16">
        <f>SUM('1st Qtr'!C9, '2nd Qtr'!C9, '3rd Qtr'!C9, '4th Qtr'!C9)</f>
        <v>6020409.9996617623</v>
      </c>
      <c r="D9" s="16">
        <f>SUM('1st Qtr'!D9, '2nd Qtr'!D9, '3rd Qtr'!D9, '4th Qtr'!D9)</f>
        <v>6956521.3499999996</v>
      </c>
      <c r="E9" s="16">
        <f t="shared" si="0"/>
        <v>-936111.35033823736</v>
      </c>
      <c r="F9" s="17">
        <f t="shared" si="1"/>
        <v>-0.13456601413840805</v>
      </c>
      <c r="G9" s="18">
        <f>SUM('1st Qtr'!G9, '2nd Qtr'!G9, '3rd Qtr'!G9, '4th Qtr'!G9)</f>
        <v>6915578.7799999993</v>
      </c>
      <c r="H9" s="18">
        <f>SUM('1st Qtr'!H9, '2nd Qtr'!H9, '3rd Qtr'!H9, '4th Qtr'!H9)</f>
        <v>-895168.78033823799</v>
      </c>
      <c r="I9" s="17">
        <f t="shared" si="2"/>
        <v>-0.12944235165494536</v>
      </c>
    </row>
    <row r="10" spans="1:9" ht="15.6">
      <c r="A10" s="51" t="str">
        <v>Dedham - 100 Rustcraft Rd</v>
      </c>
      <c r="B10" s="26" t="str">
        <v>MA</v>
      </c>
      <c r="C10" s="22">
        <f>SUM('1st Qtr'!C10, '2nd Qtr'!C10, '3rd Qtr'!C10, '4th Qtr'!C10)</f>
        <v>1052934.5</v>
      </c>
      <c r="D10" s="12">
        <f>SUM('1st Qtr'!D10, '2nd Qtr'!D10, '3rd Qtr'!D10, '4th Qtr'!D10)</f>
        <v>1414129.682</v>
      </c>
      <c r="E10" s="12">
        <f t="shared" si="0"/>
        <v>-361195.18200000003</v>
      </c>
      <c r="F10" s="13">
        <f t="shared" si="1"/>
        <v>-0.25541871201597482</v>
      </c>
      <c r="G10" s="14">
        <f>SUM('1st Qtr'!G10, '2nd Qtr'!G10, '3rd Qtr'!G10, '4th Qtr'!G10)</f>
        <v>1106033.139</v>
      </c>
      <c r="H10" s="14">
        <f>SUM('1st Qtr'!H10, '2nd Qtr'!H10, '3rd Qtr'!H10, '4th Qtr'!H10)</f>
        <v>-53098.639000000025</v>
      </c>
      <c r="I10" s="15">
        <f t="shared" si="2"/>
        <v>-4.8008180883267394E-2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F8" sqref="F8"/>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Agilitas Energy</v>
      </c>
      <c r="B1" s="94"/>
      <c r="C1" s="94"/>
      <c r="D1" s="95" t="s">
        <v>10</v>
      </c>
      <c r="E1" s="95"/>
      <c r="F1" s="95"/>
      <c r="G1" s="93" t="s">
        <v>11</v>
      </c>
      <c r="H1" s="93"/>
      <c r="I1" s="93"/>
    </row>
    <row r="2" spans="1:9" ht="19.5" customHeight="1">
      <c r="A2" s="96" t="s">
        <v>2</v>
      </c>
      <c r="B2" s="96"/>
      <c r="C2" s="5">
        <f>SUM(C4:C80)</f>
        <v>5534770.9324354874</v>
      </c>
      <c r="D2" s="5">
        <f>SUM(D4:D80)</f>
        <v>6757593.8320000004</v>
      </c>
      <c r="E2" s="5">
        <f>C2-D2</f>
        <v>-1222822.899564513</v>
      </c>
      <c r="F2" s="6">
        <f>IFERROR(E2/D2, 0)</f>
        <v>-0.1809553710928794</v>
      </c>
      <c r="G2" s="5">
        <f>SUM(G4:G80)</f>
        <v>3264188.2349999999</v>
      </c>
      <c r="H2" s="7">
        <f>C2-G2</f>
        <v>2270582.6974354875</v>
      </c>
      <c r="I2" s="6">
        <f>IFERROR(H2/G2, 0)</f>
        <v>0.69560409325949535</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SUM(Jan!C4, Feb!C4, Mar!C4)</f>
        <v>147392.76206344238</v>
      </c>
      <c r="D4" s="12">
        <f>SUM(Jan!D4, Feb!D4, Mar!D4)</f>
        <v>185255.87</v>
      </c>
      <c r="E4" s="12">
        <f>IF(AND(ISNUMBER(C4),ISNUMBER(D4)), C4-D4, "")</f>
        <v>-37863.107936557615</v>
      </c>
      <c r="F4" s="13">
        <f>IFERROR(E4/D4, "")</f>
        <v>-0.20438277036272923</v>
      </c>
      <c r="G4" s="14">
        <f>SUM(Jan!G4, Feb!G4, Mar!G4)</f>
        <v>166677.47999999998</v>
      </c>
      <c r="H4" s="14">
        <f>SUM(Jan!H4, Feb!H4, Mar!H4)</f>
        <v>-19284.717936557594</v>
      </c>
      <c r="I4" s="15">
        <f>IFERROR(H4/G4, "")</f>
        <v>-0.11570080095137986</v>
      </c>
    </row>
    <row r="5" spans="1:9" ht="15.6">
      <c r="A5" s="47" t="str">
        <v>Auburn - Leicester Street Solar</v>
      </c>
      <c r="B5" s="10" t="str">
        <v>MA</v>
      </c>
      <c r="C5" s="11">
        <f>SUM(Jan!C5, Feb!C5, Mar!C5)</f>
        <v>1498297</v>
      </c>
      <c r="D5" s="16">
        <f>SUM(Jan!D5, Feb!D5, Mar!D5)</f>
        <v>2480547.2000000002</v>
      </c>
      <c r="E5" s="16">
        <f t="shared" ref="E5:E10" si="0">IF(AND(ISNUMBER(C5),ISNUMBER(D5)), C5-D5, "")</f>
        <v>-982250.20000000019</v>
      </c>
      <c r="F5" s="17">
        <f>IFERROR(E5/D5, "")</f>
        <v>-0.3959812576837885</v>
      </c>
      <c r="G5" s="18">
        <f>SUM(Jan!G5, Feb!G5, Mar!G5)</f>
        <v>0</v>
      </c>
      <c r="H5" s="18">
        <f>SUM(Jan!H5, Feb!H5, Mar!H5)</f>
        <v>1498297</v>
      </c>
      <c r="I5" s="17" t="str">
        <f>IFERROR(H5/G5, "")</f>
        <v/>
      </c>
    </row>
    <row r="6" spans="1:9" ht="15.6">
      <c r="A6" s="46" t="str">
        <v>Rochester - Old Middleboro</v>
      </c>
      <c r="B6" s="9" t="str">
        <v>MA</v>
      </c>
      <c r="C6" s="22">
        <f>SUM(Jan!C6, Feb!C6, Mar!C6)</f>
        <v>2264045.6707102829</v>
      </c>
      <c r="D6" s="12">
        <f>SUM(Jan!D6, Feb!D6, Mar!D6)</f>
        <v>2265143.5999999996</v>
      </c>
      <c r="E6" s="12">
        <f t="shared" si="0"/>
        <v>-1097.9292897167616</v>
      </c>
      <c r="F6" s="13">
        <f t="shared" ref="F6:F10" si="1">IFERROR(E6/D6, "")</f>
        <v>-4.847062630893519E-4</v>
      </c>
      <c r="G6" s="14">
        <f>SUM(Jan!G6, Feb!G6, Mar!G6)</f>
        <v>1544599.2999999998</v>
      </c>
      <c r="H6" s="14">
        <f>SUM(Jan!H6, Feb!H6, Mar!H6)</f>
        <v>719446.37071028305</v>
      </c>
      <c r="I6" s="15">
        <f t="shared" ref="I6:I10" si="2">IFERROR(H6/G6, "")</f>
        <v>0.46578188317855845</v>
      </c>
    </row>
    <row r="7" spans="1:9" ht="15.6">
      <c r="A7" s="47" t="str">
        <v>Dover - Littleworth Road</v>
      </c>
      <c r="B7" s="10" t="str">
        <v>NH</v>
      </c>
      <c r="C7" s="11">
        <f>SUM(Jan!C7, Feb!C7, Mar!C7)</f>
        <v>41948</v>
      </c>
      <c r="D7" s="16">
        <f>SUM(Jan!D7, Feb!D7, Mar!D7)</f>
        <v>0</v>
      </c>
      <c r="E7" s="16">
        <f t="shared" si="0"/>
        <v>41948</v>
      </c>
      <c r="F7" s="17" t="str">
        <f t="shared" si="1"/>
        <v/>
      </c>
      <c r="G7" s="18">
        <f>SUM(Jan!G7, Feb!G7, Mar!G7)</f>
        <v>0</v>
      </c>
      <c r="H7" s="18">
        <f>SUM(Jan!H7, Feb!H7, Mar!H7)</f>
        <v>23295</v>
      </c>
      <c r="I7" s="17" t="str">
        <f t="shared" si="2"/>
        <v/>
      </c>
    </row>
    <row r="8" spans="1:9" ht="15.6">
      <c r="A8" s="46" t="str">
        <v>Milton - Landfill</v>
      </c>
      <c r="B8" s="9" t="str">
        <v>NH</v>
      </c>
      <c r="C8" s="22">
        <f>SUM(Jan!C8, Feb!C8, Mar!C8)</f>
        <v>162763</v>
      </c>
      <c r="D8" s="12">
        <f>SUM(Jan!D8, Feb!D8, Mar!D8)</f>
        <v>0</v>
      </c>
      <c r="E8" s="12">
        <f t="shared" si="0"/>
        <v>162763</v>
      </c>
      <c r="F8" s="13" t="str">
        <f t="shared" si="1"/>
        <v/>
      </c>
      <c r="G8" s="14">
        <f>SUM(Jan!G8, Feb!G8, Mar!G8)</f>
        <v>0</v>
      </c>
      <c r="H8" s="14">
        <f>SUM(Jan!H8, Feb!H8, Mar!H8)</f>
        <v>71381</v>
      </c>
      <c r="I8" s="15" t="str">
        <f t="shared" si="2"/>
        <v/>
      </c>
    </row>
    <row r="9" spans="1:9" ht="15.6">
      <c r="A9" s="47" t="str">
        <v>Hopkinton - 71 Frankland Rd</v>
      </c>
      <c r="B9" s="10" t="str">
        <v>MA</v>
      </c>
      <c r="C9" s="11">
        <f>SUM(Jan!C9, Feb!C9, Mar!C9)</f>
        <v>1244561.999661762</v>
      </c>
      <c r="D9" s="16">
        <f>SUM(Jan!D9, Feb!D9, Mar!D9)</f>
        <v>1525430.5</v>
      </c>
      <c r="E9" s="16">
        <f t="shared" si="0"/>
        <v>-280868.50033823797</v>
      </c>
      <c r="F9" s="17">
        <f t="shared" si="1"/>
        <v>-0.18412408847091885</v>
      </c>
      <c r="G9" s="18">
        <f>SUM(Jan!G9, Feb!G9, Mar!G9)</f>
        <v>1315623.8</v>
      </c>
      <c r="H9" s="18">
        <f>SUM(Jan!H9, Feb!H9, Mar!H9)</f>
        <v>-71061.800338238012</v>
      </c>
      <c r="I9" s="17">
        <f t="shared" si="2"/>
        <v>-5.4013769238773282E-2</v>
      </c>
    </row>
    <row r="10" spans="1:9" ht="15.6">
      <c r="A10" s="46" t="str">
        <v>Dedham - 100 Rustcraft Rd</v>
      </c>
      <c r="B10" s="9" t="str">
        <v>MA</v>
      </c>
      <c r="C10" s="22">
        <f>SUM(Jan!C10, Feb!C10, Mar!C10)</f>
        <v>175762.5</v>
      </c>
      <c r="D10" s="12">
        <f>SUM(Jan!D10, Feb!D10, Mar!D10)</f>
        <v>301216.66200000001</v>
      </c>
      <c r="E10" s="12">
        <f t="shared" si="0"/>
        <v>-125454.16200000001</v>
      </c>
      <c r="F10" s="13">
        <f t="shared" si="1"/>
        <v>-0.41649144229611046</v>
      </c>
      <c r="G10" s="14">
        <f>SUM(Jan!G10, Feb!G10, Mar!G10)</f>
        <v>237287.655</v>
      </c>
      <c r="H10" s="14">
        <f>SUM(Jan!H10, Feb!H10, Mar!H10)</f>
        <v>-61525.154999999999</v>
      </c>
      <c r="I10" s="15">
        <f t="shared" si="2"/>
        <v>-0.25928510693065765</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4" priority="1" stopIfTrue="1" operator="lessThanOrEqual">
      <formula>-0.1</formula>
    </cfRule>
    <cfRule type="expression" dxfId="5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G19" sqref="G19"/>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Agilitas Energy</v>
      </c>
      <c r="B1" s="94"/>
      <c r="C1" s="94"/>
      <c r="D1" s="95" t="s">
        <v>12</v>
      </c>
      <c r="E1" s="95"/>
      <c r="F1" s="95"/>
      <c r="G1" s="93" t="s">
        <v>13</v>
      </c>
      <c r="H1" s="93"/>
      <c r="I1" s="93"/>
    </row>
    <row r="2" spans="1:9" ht="19.5" customHeight="1">
      <c r="A2" s="96" t="s">
        <v>2</v>
      </c>
      <c r="B2" s="96"/>
      <c r="C2" s="5">
        <f>SUM(C4:C80)</f>
        <v>8945578.25347507</v>
      </c>
      <c r="D2" s="5">
        <f>SUM(D4:D80)</f>
        <v>8273532.3100000005</v>
      </c>
      <c r="E2" s="5">
        <f>C2-D2</f>
        <v>672045.94347506948</v>
      </c>
      <c r="F2" s="6">
        <f>IFERROR(E2/D2, 0)</f>
        <v>8.1228418321734872E-2</v>
      </c>
      <c r="G2" s="5">
        <f>SUM(G4:G80)</f>
        <v>5270593.4699999988</v>
      </c>
      <c r="H2" s="7">
        <f>C2-G2</f>
        <v>3674984.7834750712</v>
      </c>
      <c r="I2" s="6">
        <f>IFERROR(H2/G2, 0)</f>
        <v>0.69726204542105807</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SUM(Apr!C4, May!C4, Jun!C4)</f>
        <v>246963.71312500001</v>
      </c>
      <c r="D4" s="12">
        <f>SUM(Apr!D4, May!D4, Jun!D4)</f>
        <v>249300.51</v>
      </c>
      <c r="E4" s="12">
        <f>IF(AND(ISNUMBER(C4),ISNUMBER(D4)), C4-D4, "")</f>
        <v>-2336.796875</v>
      </c>
      <c r="F4" s="13">
        <f>IFERROR(E4/D4, "")</f>
        <v>-9.3734139372598953E-3</v>
      </c>
      <c r="G4" s="14">
        <f>SUM(Apr!G4+May!G4+Jun!G4)</f>
        <v>255303.77</v>
      </c>
      <c r="H4" s="14">
        <f>SUM(Apr!H4, May!H4, Jun!H4)</f>
        <v>-8340.0568750000093</v>
      </c>
      <c r="I4" s="15">
        <f>IFERROR(H4/G4, "")</f>
        <v>-3.2667190441410282E-2</v>
      </c>
    </row>
    <row r="5" spans="1:9" ht="15.6">
      <c r="A5" s="47" t="str">
        <v>Auburn - Leicester Street Solar</v>
      </c>
      <c r="B5" s="10" t="str">
        <v>MA</v>
      </c>
      <c r="C5" s="11">
        <f>SUM(Apr!C5, May!C5, Jun!C5)</f>
        <v>2449871</v>
      </c>
      <c r="D5" s="16">
        <f>SUM(Apr!D5, May!D5, Jun!D5)</f>
        <v>2476127.2999999998</v>
      </c>
      <c r="E5" s="16">
        <f t="shared" ref="E5:E10" si="0">IF(AND(ISNUMBER(C5),ISNUMBER(D5)), C5-D5, "")</f>
        <v>-26256.299999999814</v>
      </c>
      <c r="F5" s="17">
        <f>IFERROR(E5/D5, "")</f>
        <v>-1.0603776308269698E-2</v>
      </c>
      <c r="G5" s="81">
        <f>SUM(Apr!G5+May!G5+Jun!G5)</f>
        <v>0</v>
      </c>
      <c r="H5" s="18">
        <f>SUM(Apr!H5, May!H5, Jun!H5)</f>
        <v>2449871</v>
      </c>
      <c r="I5" s="17" t="str">
        <f>IFERROR(H5/G5, "")</f>
        <v/>
      </c>
    </row>
    <row r="6" spans="1:9" ht="15.6">
      <c r="A6" s="46" t="str">
        <v>Rochester - Old Middleboro</v>
      </c>
      <c r="B6" s="9" t="str">
        <v>MA</v>
      </c>
      <c r="C6" s="22">
        <f>SUM(Apr!C6, May!C6, Jun!C6)</f>
        <v>3542039.5403500698</v>
      </c>
      <c r="D6" s="12">
        <f>SUM(Apr!D6, May!D6, Jun!D6)</f>
        <v>2974789.1</v>
      </c>
      <c r="E6" s="12">
        <f t="shared" si="0"/>
        <v>567250.44035006966</v>
      </c>
      <c r="F6" s="13">
        <f t="shared" ref="F6:F10" si="1">IFERROR(E6/D6, "")</f>
        <v>0.190685934794527</v>
      </c>
      <c r="G6" s="14">
        <f>SUM(Apr!G6+May!G6+Jun!G6)</f>
        <v>2281942.5999999996</v>
      </c>
      <c r="H6" s="14">
        <f>SUM(Apr!H6, May!H6, Jun!H6)</f>
        <v>1260096.9403500701</v>
      </c>
      <c r="I6" s="15">
        <f t="shared" ref="I6:I10" si="2">IFERROR(H6/G6, "")</f>
        <v>0.55220360948170666</v>
      </c>
    </row>
    <row r="7" spans="1:9" ht="15.6">
      <c r="A7" s="47" t="str">
        <v>Dover - Littleworth Road</v>
      </c>
      <c r="B7" s="10" t="str">
        <v>NH</v>
      </c>
      <c r="C7" s="11">
        <f>SUM(Apr!C7, May!C7, Jun!C7)</f>
        <v>125423</v>
      </c>
      <c r="D7" s="16">
        <f>SUM(Apr!D7, May!D7, Jun!D7)</f>
        <v>0</v>
      </c>
      <c r="E7" s="16">
        <f t="shared" si="0"/>
        <v>125423</v>
      </c>
      <c r="F7" s="17" t="str">
        <f t="shared" si="1"/>
        <v/>
      </c>
      <c r="G7" s="18">
        <f>SUM(Apr!G7,May!G7,Jun!G7)</f>
        <v>0</v>
      </c>
      <c r="H7" s="18">
        <f>SUM(Apr!H7, May!H7, Jun!H7)</f>
        <v>0</v>
      </c>
      <c r="I7" s="17" t="str">
        <f t="shared" si="2"/>
        <v/>
      </c>
    </row>
    <row r="8" spans="1:9" ht="15.6">
      <c r="A8" s="46" t="str">
        <v>Milton - Landfill</v>
      </c>
      <c r="B8" s="9" t="str">
        <v>NH</v>
      </c>
      <c r="C8" s="22">
        <f>SUM(Apr!C8, May!C8, Jun!C8)</f>
        <v>316021</v>
      </c>
      <c r="D8" s="12">
        <f>SUM(Apr!D8, May!D8, Jun!D8)</f>
        <v>0</v>
      </c>
      <c r="E8" s="12">
        <f t="shared" si="0"/>
        <v>316021</v>
      </c>
      <c r="F8" s="13" t="str">
        <f t="shared" si="1"/>
        <v/>
      </c>
      <c r="G8" s="14">
        <f>SUM(Apr!G8,May!G8,Jun!G8)</f>
        <v>0</v>
      </c>
      <c r="H8" s="14">
        <f>SUM(Apr!H8, May!H8, Jun!H8)</f>
        <v>0</v>
      </c>
      <c r="I8" s="15" t="str">
        <f t="shared" si="2"/>
        <v/>
      </c>
    </row>
    <row r="9" spans="1:9" ht="15.6">
      <c r="A9" s="47" t="str">
        <v>Hopkinton - 71 Frankland Rd</v>
      </c>
      <c r="B9" s="10" t="str">
        <v>MA</v>
      </c>
      <c r="C9" s="11">
        <f>SUM(Apr!C9, May!C9, Jun!C9)</f>
        <v>1912545</v>
      </c>
      <c r="D9" s="16">
        <f>SUM(Apr!D9, May!D9, Jun!D9)</f>
        <v>2145162.4000000004</v>
      </c>
      <c r="E9" s="16">
        <f t="shared" si="0"/>
        <v>-232617.40000000037</v>
      </c>
      <c r="F9" s="17">
        <f t="shared" si="1"/>
        <v>-0.10843813037185451</v>
      </c>
      <c r="G9" s="18">
        <f>SUM(Apr!G9,May!G9,Jun!G9)</f>
        <v>2362712.5999999996</v>
      </c>
      <c r="H9" s="18">
        <f>SUM(Apr!H9, May!H9, Jun!H9)</f>
        <v>-450167.6</v>
      </c>
      <c r="I9" s="17">
        <f t="shared" si="2"/>
        <v>-0.19052998659252932</v>
      </c>
    </row>
    <row r="10" spans="1:9" ht="15.6">
      <c r="A10" s="46" t="str">
        <v>Dedham - 100 Rustcraft Rd</v>
      </c>
      <c r="B10" s="9" t="str">
        <v>MA</v>
      </c>
      <c r="C10" s="22">
        <f>SUM(Apr!C10, May!C10, Jun!C10)</f>
        <v>352715</v>
      </c>
      <c r="D10" s="12">
        <f>SUM(Apr!D10, May!D10, Jun!D10)</f>
        <v>428153.00000000006</v>
      </c>
      <c r="E10" s="12">
        <f t="shared" si="0"/>
        <v>-75438.000000000058</v>
      </c>
      <c r="F10" s="13">
        <f t="shared" si="1"/>
        <v>-0.17619402409886198</v>
      </c>
      <c r="G10" s="14">
        <f>SUM(Apr!G10+May!G10+Jun!G10)</f>
        <v>370634.5</v>
      </c>
      <c r="H10" s="14">
        <f>SUM(Apr!H10, May!H10, Jun!H10)</f>
        <v>-17919.5</v>
      </c>
      <c r="I10" s="15">
        <f t="shared" si="2"/>
        <v>-4.8348170502206349E-2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2" priority="1" stopIfTrue="1" operator="lessThanOrEqual">
      <formula>-0.1</formula>
    </cfRule>
    <cfRule type="expression" dxfId="5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E18" sqref="E18"/>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Agilitas Energy</v>
      </c>
      <c r="B1" s="94"/>
      <c r="C1" s="94"/>
      <c r="D1" s="95" t="s">
        <v>14</v>
      </c>
      <c r="E1" s="95"/>
      <c r="F1" s="95"/>
      <c r="G1" s="93" t="s">
        <v>15</v>
      </c>
      <c r="H1" s="93"/>
      <c r="I1" s="93"/>
    </row>
    <row r="2" spans="1:9" ht="19.5" customHeight="1">
      <c r="A2" s="96" t="s">
        <v>2</v>
      </c>
      <c r="B2" s="96"/>
      <c r="C2" s="5">
        <f>SUM(C4:C79)</f>
        <v>10071014.33805489</v>
      </c>
      <c r="D2" s="5">
        <f>SUM(D4:D79)</f>
        <v>9333188.7300000004</v>
      </c>
      <c r="E2" s="5">
        <f>C2-D2</f>
        <v>737825.60805488937</v>
      </c>
      <c r="F2" s="6">
        <f>IFERROR(E2/D2, 0)</f>
        <v>7.905396852024113E-2</v>
      </c>
      <c r="G2" s="5">
        <f>SUM(G4:G79)</f>
        <v>5270133.9799999995</v>
      </c>
      <c r="H2" s="7">
        <f>C2-G2</f>
        <v>4800880.3580548903</v>
      </c>
      <c r="I2" s="6">
        <f>IFERROR(H2/G2, 0)</f>
        <v>0.91095983067491026</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SUM(Jul!C4, Aug!C4, Sep!C4)</f>
        <v>282511.25000000023</v>
      </c>
      <c r="D4" s="12">
        <f>SUM(Jul!D4, Aug!D4, Sep!D4)</f>
        <v>286065.13</v>
      </c>
      <c r="E4" s="12">
        <f>IF(AND(ISNUMBER(C4),ISNUMBER(D4)), C4-D4, "")</f>
        <v>-3553.8799999997718</v>
      </c>
      <c r="F4" s="13">
        <f>IFERROR(E4/D4, "")</f>
        <v>-1.24233247162972E-2</v>
      </c>
      <c r="G4" s="14">
        <f>SUM(Jul!G4,Aug!G4,Sep!G4)</f>
        <v>259276.18000000002</v>
      </c>
      <c r="H4" s="14">
        <f>SUM(Jul!H4, Aug!H4, Sep!H4)</f>
        <v>23235.070000000196</v>
      </c>
      <c r="I4" s="15">
        <f t="shared" ref="I4:I10" si="0">IFERROR(H4/G4, "")</f>
        <v>8.9615135489886477E-2</v>
      </c>
    </row>
    <row r="5" spans="1:9" ht="15.6">
      <c r="A5" s="47" t="str">
        <v>Auburn - Leicester Street Solar</v>
      </c>
      <c r="B5" s="10" t="str">
        <v>MA</v>
      </c>
      <c r="C5" s="11">
        <f>SUM(Jul!C5, Aug!C5, Sep!C5)</f>
        <v>2864077.00003334</v>
      </c>
      <c r="D5" s="16">
        <f>SUM(Jul!D5, Aug!D5, Sep!D5)</f>
        <v>3142726.4</v>
      </c>
      <c r="E5" s="16">
        <f t="shared" ref="E5:E10" si="1">IF(AND(ISNUMBER(C5),ISNUMBER(D5)), C5-D5, "")</f>
        <v>-278649.39996665996</v>
      </c>
      <c r="F5" s="17">
        <f>IFERROR(E5/D5, "")</f>
        <v>-8.8664861174889406E-2</v>
      </c>
      <c r="G5" s="16">
        <f>SUM(Jul!G5,Aug!G5,Sep!G5)</f>
        <v>0</v>
      </c>
      <c r="H5" s="18">
        <f>SUM(Jul!H5, Aug!H5, Sep!H5)</f>
        <v>2864077.00003334</v>
      </c>
      <c r="I5" s="17" t="str">
        <f t="shared" si="0"/>
        <v/>
      </c>
    </row>
    <row r="6" spans="1:9" ht="15.6">
      <c r="A6" s="46" t="str">
        <v>Rochester - Old Middleboro</v>
      </c>
      <c r="B6" s="9" t="str">
        <v>MA</v>
      </c>
      <c r="C6" s="22">
        <f>SUM(Jul!C6, Aug!C6, Sep!C6)</f>
        <v>3534140.5880215494</v>
      </c>
      <c r="D6" s="12">
        <f>SUM(Jul!D6, Aug!D6, Sep!D6)</f>
        <v>2985320.7</v>
      </c>
      <c r="E6" s="12">
        <f t="shared" si="1"/>
        <v>548819.88802154921</v>
      </c>
      <c r="F6" s="13">
        <f t="shared" ref="F6:F10" si="2">IFERROR(E6/D6, "")</f>
        <v>0.18383950776931576</v>
      </c>
      <c r="G6" s="14">
        <f>SUM(Jul!G6,Aug!G6,Sep!G6)</f>
        <v>2232209.7000000002</v>
      </c>
      <c r="H6" s="14">
        <f>SUM(Jul!H6, Aug!H6, Sep!H6)</f>
        <v>1301930.8880215499</v>
      </c>
      <c r="I6" s="15">
        <f t="shared" si="0"/>
        <v>0.58324757213515821</v>
      </c>
    </row>
    <row r="7" spans="1:9" ht="15.6">
      <c r="A7" s="47" t="str">
        <v>Dover - Littleworth Road</v>
      </c>
      <c r="B7" s="10" t="str">
        <v>NH</v>
      </c>
      <c r="C7" s="11">
        <f>SUM(Jul!C7, Aug!C7, Sep!C7)</f>
        <v>512080</v>
      </c>
      <c r="D7" s="16">
        <f>SUM(Jul!D7, Aug!D7, Sep!D7)</f>
        <v>0</v>
      </c>
      <c r="E7" s="16">
        <f t="shared" si="1"/>
        <v>512080</v>
      </c>
      <c r="F7" s="17" t="str">
        <f t="shared" si="2"/>
        <v/>
      </c>
      <c r="G7" s="16">
        <f>SUM(Jul!G7,Aug!G7,Sep!G7)</f>
        <v>0</v>
      </c>
      <c r="H7" s="18">
        <f>SUM(Jul!H7, Aug!H7, Sep!H7)</f>
        <v>0</v>
      </c>
      <c r="I7" s="17" t="str">
        <f t="shared" si="0"/>
        <v/>
      </c>
    </row>
    <row r="8" spans="1:9" ht="15.6">
      <c r="A8" s="46" t="str">
        <v>Milton - Landfill</v>
      </c>
      <c r="B8" s="9" t="str">
        <v>NH</v>
      </c>
      <c r="C8" s="22">
        <f>SUM(Jul!C8, Aug!C8, Sep!C8)</f>
        <v>366528</v>
      </c>
      <c r="D8" s="12">
        <f>SUM(Jul!D8, Aug!D8, Sep!D8)</f>
        <v>0</v>
      </c>
      <c r="E8" s="12">
        <f t="shared" si="1"/>
        <v>366528</v>
      </c>
      <c r="F8" s="13" t="str">
        <f t="shared" si="2"/>
        <v/>
      </c>
      <c r="G8" s="14">
        <f>SUM(Jul!G8,Aug!G8,Sep!G8)</f>
        <v>0</v>
      </c>
      <c r="H8" s="14">
        <f>SUM(Jul!H8, Aug!H8, Sep!H8)</f>
        <v>0</v>
      </c>
      <c r="I8" s="15" t="str">
        <f t="shared" si="0"/>
        <v/>
      </c>
    </row>
    <row r="9" spans="1:9" ht="15.6">
      <c r="A9" s="47" t="str">
        <v>Hopkinton - 71 Frankland Rd</v>
      </c>
      <c r="B9" s="10" t="str">
        <v>MA</v>
      </c>
      <c r="C9" s="11">
        <f>SUM(Jul!C9, Aug!C9, Sep!C9)</f>
        <v>2119129</v>
      </c>
      <c r="D9" s="16">
        <f>SUM(Jul!D9, Aug!D9, Sep!D9)</f>
        <v>2416361.7999999998</v>
      </c>
      <c r="E9" s="16">
        <f t="shared" si="1"/>
        <v>-297232.79999999981</v>
      </c>
      <c r="F9" s="17">
        <f t="shared" si="2"/>
        <v>-0.12300840048042468</v>
      </c>
      <c r="G9" s="16">
        <f>SUM(Jul!G9,Aug!G9,Sep!G9)</f>
        <v>2411079.7999999998</v>
      </c>
      <c r="H9" s="18">
        <f>SUM(Jul!H9, Aug!H9, Sep!H9)</f>
        <v>-291950.80000000005</v>
      </c>
      <c r="I9" s="17">
        <f t="shared" si="0"/>
        <v>-0.12108715771249051</v>
      </c>
    </row>
    <row r="10" spans="1:9" ht="15.6">
      <c r="A10" s="46" t="str">
        <v>Dedham - 100 Rustcraft Rd</v>
      </c>
      <c r="B10" s="9" t="str">
        <v>MA</v>
      </c>
      <c r="C10" s="22">
        <f>SUM(Jul!C10, Aug!C10, Sep!C10)</f>
        <v>392548.5</v>
      </c>
      <c r="D10" s="12">
        <f>SUM(Jul!D10, Aug!D10, Sep!D10)</f>
        <v>502714.7</v>
      </c>
      <c r="E10" s="12">
        <f t="shared" si="1"/>
        <v>-110166.20000000001</v>
      </c>
      <c r="F10" s="13">
        <f t="shared" si="2"/>
        <v>-0.21914258723685623</v>
      </c>
      <c r="G10" s="14">
        <f>SUM(Jul!G10,Aug!G10,Sep!G10)</f>
        <v>367568.30000000005</v>
      </c>
      <c r="H10" s="14">
        <f>SUM(Jul!H10, Aug!H10, Sep!H10)</f>
        <v>24980.199999999983</v>
      </c>
      <c r="I10" s="15">
        <f t="shared" si="0"/>
        <v>6.7960702813599491E-2</v>
      </c>
    </row>
    <row r="11" spans="1:9" ht="13.9">
      <c r="A11" s="19"/>
      <c r="B11" s="19"/>
      <c r="C11" s="19"/>
      <c r="D11" s="19"/>
      <c r="E11" s="19"/>
      <c r="F11" s="19"/>
      <c r="G11" s="19"/>
      <c r="H11" s="19"/>
      <c r="I11" s="19"/>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9" activePane="bottomRight" state="frozen"/>
      <selection pane="bottomRight" activeCell="F16" sqref="F16"/>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Agilitas Energy</v>
      </c>
      <c r="B1" s="94"/>
      <c r="C1" s="94"/>
      <c r="D1" s="95" t="s">
        <v>16</v>
      </c>
      <c r="E1" s="95"/>
      <c r="F1" s="95"/>
      <c r="G1" s="93" t="s">
        <v>17</v>
      </c>
      <c r="H1" s="93"/>
      <c r="I1" s="93"/>
    </row>
    <row r="2" spans="1:9" ht="19.5" customHeight="1">
      <c r="A2" s="96" t="s">
        <v>2</v>
      </c>
      <c r="B2" s="96"/>
      <c r="C2" s="5">
        <f>SUM(C4:C80)</f>
        <v>3317472.9727600003</v>
      </c>
      <c r="D2" s="5">
        <f>SUM(D4:D80)</f>
        <v>3130430.4299999997</v>
      </c>
      <c r="E2" s="5">
        <f>C2-D2</f>
        <v>187042.54276000056</v>
      </c>
      <c r="F2" s="6">
        <f>IFERROR(E2/D2, 0)</f>
        <v>5.9749784236540461E-2</v>
      </c>
      <c r="G2" s="5">
        <f>SUM(G4:G80)</f>
        <v>1968286.054</v>
      </c>
      <c r="H2" s="7">
        <f>C2-G2</f>
        <v>1349186.9187600003</v>
      </c>
      <c r="I2" s="6">
        <f>IFERROR(H2/G2, 0)</f>
        <v>0.68546282488673282</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SUM(Oct!C4, Nov!C4, Dec!C4)</f>
        <v>108415</v>
      </c>
      <c r="D4" s="12">
        <f>SUM(Oct!D4, Nov!D4, Dec!D4)</f>
        <v>111609.65</v>
      </c>
      <c r="E4" s="12">
        <f>IF(AND(ISNUMBER(C4),ISNUMBER(D4)), C4-D4, "")</f>
        <v>-3194.6499999999942</v>
      </c>
      <c r="F4" s="13">
        <f>IFERROR(E4/D4, "")</f>
        <v>-2.8623421003470529E-2</v>
      </c>
      <c r="G4" s="14">
        <f>SUM(Oct!G4,Nov!G4,Dec!G4)</f>
        <v>100639.62</v>
      </c>
      <c r="H4" s="14">
        <f>SUM(Oct!H4, Nov!H4, Dec!H4)</f>
        <v>7775.3799999999974</v>
      </c>
      <c r="I4" s="15">
        <f>IFERROR(H4/G4, "")</f>
        <v>7.7259631942171461E-2</v>
      </c>
    </row>
    <row r="5" spans="1:9" ht="15.6">
      <c r="A5" s="47" t="str">
        <v>Auburn - Leicester Street Solar</v>
      </c>
      <c r="B5" s="10" t="str">
        <v>MA</v>
      </c>
      <c r="C5" s="11">
        <f>SUM(Oct!C5, Nov!C5, Dec!C5)</f>
        <v>1005808.7955</v>
      </c>
      <c r="D5" s="16">
        <f>SUM(Oct!D5, Nov!D5, Dec!D5)</f>
        <v>1316569</v>
      </c>
      <c r="E5" s="16">
        <f t="shared" ref="E5:E10" si="0">IF(AND(ISNUMBER(C5),ISNUMBER(D5)), C5-D5, "")</f>
        <v>-310760.20449999999</v>
      </c>
      <c r="F5" s="17">
        <f>IFERROR(E5/D5, "")</f>
        <v>-0.23603791711638356</v>
      </c>
      <c r="G5" s="16">
        <f>SUM(Oct!G5,Nov!G5,Dec!G5)</f>
        <v>0</v>
      </c>
      <c r="H5" s="18">
        <f>SUM(Oct!H5, Nov!H5, Dec!H5)</f>
        <v>1005808.7955</v>
      </c>
      <c r="I5" s="17" t="str">
        <f>IFERROR(H5/G5, "")</f>
        <v/>
      </c>
    </row>
    <row r="6" spans="1:9" ht="15.6">
      <c r="A6" s="46" t="str">
        <v>Rochester - Old Middleboro</v>
      </c>
      <c r="B6" s="9" t="str">
        <v>MA</v>
      </c>
      <c r="C6" s="22">
        <f>SUM(Oct!C6, Nov!C6, Dec!C6)</f>
        <v>696815.67726000003</v>
      </c>
      <c r="D6" s="12">
        <f>SUM(Oct!D6, Nov!D6, Dec!D6)</f>
        <v>650639.81000000006</v>
      </c>
      <c r="E6" s="12">
        <f t="shared" si="0"/>
        <v>46175.86725999997</v>
      </c>
      <c r="F6" s="13">
        <f t="shared" ref="F6:F10" si="1">IFERROR(E6/D6, "")</f>
        <v>7.096993843644453E-2</v>
      </c>
      <c r="G6" s="14">
        <f>SUM(Oct!G6,Nov!G6,Dec!G6)</f>
        <v>910941.16999999993</v>
      </c>
      <c r="H6" s="14">
        <f>SUM(Oct!H6, Nov!H6, Dec!H6)</f>
        <v>-214125.49273999996</v>
      </c>
      <c r="I6" s="15">
        <f t="shared" ref="I6:I10" si="2">IFERROR(H6/G6, "")</f>
        <v>-0.23505962820848242</v>
      </c>
    </row>
    <row r="7" spans="1:9" ht="15.6">
      <c r="A7" s="47" t="str">
        <v>Dover - Littleworth Road</v>
      </c>
      <c r="B7" s="10" t="str">
        <v>NH</v>
      </c>
      <c r="C7" s="11">
        <f>SUM(Oct!C7, Nov!C7, Dec!C7)</f>
        <v>469498</v>
      </c>
      <c r="D7" s="16">
        <f>SUM(Oct!D7, Nov!D7, Dec!D7)</f>
        <v>0</v>
      </c>
      <c r="E7" s="16">
        <f t="shared" si="0"/>
        <v>469498</v>
      </c>
      <c r="F7" s="17" t="str">
        <f t="shared" si="1"/>
        <v/>
      </c>
      <c r="G7" s="16">
        <f>SUM(Oct!G7,Nov!G7,Dec!G7)</f>
        <v>0</v>
      </c>
      <c r="H7" s="18">
        <f>SUM(Oct!H7, Nov!H7, Dec!H7)</f>
        <v>0</v>
      </c>
      <c r="I7" s="17" t="str">
        <f t="shared" si="2"/>
        <v/>
      </c>
    </row>
    <row r="8" spans="1:9" ht="15.6">
      <c r="A8" s="46" t="str">
        <v>Milton - Landfill</v>
      </c>
      <c r="B8" s="9" t="str">
        <v>NH</v>
      </c>
      <c r="C8" s="22">
        <f>SUM(Oct!C8, Nov!C8, Dec!C8)</f>
        <v>160853</v>
      </c>
      <c r="D8" s="12">
        <f>SUM(Oct!D8, Nov!D8, Dec!D8)</f>
        <v>0</v>
      </c>
      <c r="E8" s="12">
        <f t="shared" si="0"/>
        <v>160853</v>
      </c>
      <c r="F8" s="13" t="str">
        <f t="shared" si="1"/>
        <v/>
      </c>
      <c r="G8" s="14">
        <f>SUM(Oct!G8,Nov!G8,Dec!G8)</f>
        <v>0</v>
      </c>
      <c r="H8" s="14">
        <f>SUM(Oct!H8,Nov!H8,Dec!H8)</f>
        <v>0</v>
      </c>
      <c r="I8" s="15" t="str">
        <f t="shared" si="2"/>
        <v/>
      </c>
    </row>
    <row r="9" spans="1:9" ht="15.6">
      <c r="A9" s="47" t="str">
        <v>Hopkinton - 71 Frankland Rd</v>
      </c>
      <c r="B9" s="10" t="str">
        <v>MA</v>
      </c>
      <c r="C9" s="11">
        <f>SUM(Oct!C9, Nov!C9, Dec!C9)</f>
        <v>744174</v>
      </c>
      <c r="D9" s="16">
        <f>SUM(Oct!D9, Nov!D9, Dec!D9)</f>
        <v>869566.64999999991</v>
      </c>
      <c r="E9" s="16">
        <f t="shared" si="0"/>
        <v>-125392.64999999991</v>
      </c>
      <c r="F9" s="17">
        <f t="shared" si="1"/>
        <v>-0.14420130992834179</v>
      </c>
      <c r="G9" s="16">
        <f>SUM(Oct!G9,Nov!G9,Dec!G9)</f>
        <v>826162.58000000007</v>
      </c>
      <c r="H9" s="18">
        <f>SUM(Oct!H9,Nov!H9,Dec!H9)</f>
        <v>-81988.580000000016</v>
      </c>
      <c r="I9" s="17">
        <f t="shared" si="2"/>
        <v>-9.9240248813980428E-2</v>
      </c>
    </row>
    <row r="10" spans="1:9" ht="15.6">
      <c r="A10" s="46" t="str">
        <v>Dedham - 100 Rustcraft Rd</v>
      </c>
      <c r="B10" s="9" t="str">
        <v>MA</v>
      </c>
      <c r="C10" s="22">
        <f>SUM(Oct!C10, Nov!C10, Dec!C10)</f>
        <v>131908.5</v>
      </c>
      <c r="D10" s="12">
        <f>SUM(Oct!D10, Nov!D10, Dec!D10)</f>
        <v>182045.32</v>
      </c>
      <c r="E10" s="12">
        <f t="shared" si="0"/>
        <v>-50136.820000000007</v>
      </c>
      <c r="F10" s="13">
        <f t="shared" si="1"/>
        <v>-0.27540845323571078</v>
      </c>
      <c r="G10" s="14">
        <f>SUM(Oct!G10,Nov!G10,Dec!G10)</f>
        <v>130542.68400000001</v>
      </c>
      <c r="H10" s="14">
        <f>SUM(Oct!H10,Nov!H10,Dec!H10)</f>
        <v>1365.8159999999916</v>
      </c>
      <c r="I10" s="15">
        <f t="shared" si="2"/>
        <v>1.0462600876200703E-2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C6" activePane="bottomRight" state="frozen"/>
      <selection pane="bottomRight" activeCell="A15" sqref="A15"/>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94" t="str" cm="1">
        <f t="array" ref="A1">portfolio</f>
        <v>Agilitas Energy</v>
      </c>
      <c r="B1" s="94"/>
      <c r="C1" s="94"/>
      <c r="D1" s="95" t="s">
        <v>18</v>
      </c>
      <c r="E1" s="95"/>
      <c r="F1" s="95"/>
      <c r="G1" s="93" t="s">
        <v>19</v>
      </c>
      <c r="H1" s="93"/>
      <c r="I1" s="93"/>
      <c r="J1" s="4"/>
      <c r="K1" s="4"/>
    </row>
    <row r="2" spans="1:13" ht="19.5" customHeight="1">
      <c r="A2" s="96" t="s">
        <v>2</v>
      </c>
      <c r="B2" s="96"/>
      <c r="C2" s="5">
        <f>SUM(C4:C79)</f>
        <v>1432705.4739164715</v>
      </c>
      <c r="D2" s="5">
        <f>SUM(D4:D79)</f>
        <v>2047587.852</v>
      </c>
      <c r="E2" s="5">
        <f>C2-D2</f>
        <v>-614882.37808352849</v>
      </c>
      <c r="F2" s="6">
        <f>IFERROR(E2/D2, 0)</f>
        <v>-0.30029596897780797</v>
      </c>
      <c r="G2" s="5">
        <f>SUM(G4:G79)</f>
        <v>806550.55499999993</v>
      </c>
      <c r="H2" s="7">
        <f>C2-G2</f>
        <v>626154.91891647154</v>
      </c>
      <c r="I2" s="6">
        <f>IFERROR(H2/G2, 0)</f>
        <v>0.77633685208544878</v>
      </c>
      <c r="J2" s="24" t="str">
        <f ca="1">IF(AND(TODAY()&gt;DATE(2024, 1, 1), COUNTA(Sites[Site])&lt;&gt;(COUNT(C:C)-1)), "Some sites are missing actual data; if new sites were added, make sure they are aligned correctly (including prior months!)", "")</f>
        <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39.6">
      <c r="A4" s="57" t="str" cm="1">
        <f t="array" ref="A4:A10">Sites[Site]</f>
        <v>Rowley - Central Street Solar</v>
      </c>
      <c r="B4" s="27" t="str" cm="1">
        <f t="array" ref="B4:B10">Sites[State]</f>
        <v>MA</v>
      </c>
      <c r="C4" s="22">
        <v>37932.475188442397</v>
      </c>
      <c r="D4" s="12">
        <v>55631.28</v>
      </c>
      <c r="E4" s="12">
        <f>IF(AND(ISNUMBER(C4),ISNUMBER(D4)), C4-D4, "")</f>
        <v>-17698.804811557602</v>
      </c>
      <c r="F4" s="13">
        <f>IFERROR(E4/D4, "")</f>
        <v>-0.3181448424619675</v>
      </c>
      <c r="G4" s="14">
        <v>41263.29</v>
      </c>
      <c r="H4" s="14">
        <f>IF(AND(ISNUMBER(C4),ISNUMBER(G4)), C4-G4, "")</f>
        <v>-3330.8148115576041</v>
      </c>
      <c r="I4" s="15">
        <f>IFERROR(H4/G4, "")</f>
        <v>-8.0721018890098292E-2</v>
      </c>
      <c r="J4" s="58" t="s">
        <v>22</v>
      </c>
      <c r="K4" s="59" t="s">
        <v>23</v>
      </c>
      <c r="L4" s="63" t="s">
        <v>24</v>
      </c>
      <c r="M4" s="63" t="s">
        <v>25</v>
      </c>
    </row>
    <row r="5" spans="1:13" ht="79.5" customHeight="1">
      <c r="A5" s="50" t="str">
        <v>Auburn - Leicester Street Solar</v>
      </c>
      <c r="B5" s="29" t="str">
        <v>MA</v>
      </c>
      <c r="C5" s="16">
        <v>403896</v>
      </c>
      <c r="D5" s="16">
        <v>787406.2</v>
      </c>
      <c r="E5" s="16">
        <f t="shared" ref="E5:E10" si="0">IF(AND(ISNUMBER(C5),ISNUMBER(D5)), C5-D5, "")</f>
        <v>-383510.19999999995</v>
      </c>
      <c r="F5" s="64">
        <f t="shared" ref="F5:F10" si="1">IFERROR(E5/D5, "")</f>
        <v>-0.48705509303838346</v>
      </c>
      <c r="G5" s="18">
        <v>0</v>
      </c>
      <c r="H5" s="18">
        <f t="shared" ref="H5:H6" si="2">IF(AND(ISNUMBER(C5),ISNUMBER(G5)), C5-G5, "")</f>
        <v>403896</v>
      </c>
      <c r="I5" s="17" t="str">
        <f>IFERROR(H5/G5, "")</f>
        <v/>
      </c>
      <c r="J5" s="52" t="s">
        <v>26</v>
      </c>
      <c r="K5" s="60" t="s">
        <v>27</v>
      </c>
      <c r="L5" s="63" t="s">
        <v>28</v>
      </c>
    </row>
    <row r="6" spans="1:13" ht="72">
      <c r="A6" s="51" t="str">
        <v>Rochester - Old Middleboro</v>
      </c>
      <c r="B6" s="27" t="str">
        <v>MA</v>
      </c>
      <c r="C6" s="22">
        <v>611256.99872802896</v>
      </c>
      <c r="D6" s="12">
        <v>702798</v>
      </c>
      <c r="E6" s="12">
        <f t="shared" si="0"/>
        <v>-91541.001271971036</v>
      </c>
      <c r="F6" s="13">
        <f t="shared" si="1"/>
        <v>-0.13025222222028382</v>
      </c>
      <c r="G6" s="14">
        <v>419559.3</v>
      </c>
      <c r="H6" s="14">
        <f t="shared" si="2"/>
        <v>191697.69872802898</v>
      </c>
      <c r="I6" s="15">
        <f t="shared" ref="I6:I10" si="3">IFERROR(H6/G6, "")</f>
        <v>0.45690251348981892</v>
      </c>
      <c r="J6" s="39" t="s">
        <v>29</v>
      </c>
      <c r="K6" s="59" t="s">
        <v>30</v>
      </c>
      <c r="L6" s="63" t="s">
        <v>31</v>
      </c>
    </row>
    <row r="7" spans="1:13" ht="15.6">
      <c r="A7" s="50" t="str">
        <v>Dover - Littleworth Road</v>
      </c>
      <c r="B7" s="29" t="str">
        <v>NH</v>
      </c>
      <c r="C7" s="16">
        <v>17331</v>
      </c>
      <c r="D7" s="16">
        <v>0</v>
      </c>
      <c r="E7" s="16">
        <f t="shared" si="0"/>
        <v>17331</v>
      </c>
      <c r="F7" s="16" t="str">
        <f t="shared" si="1"/>
        <v/>
      </c>
      <c r="G7" s="18">
        <v>0</v>
      </c>
      <c r="H7" s="18">
        <f t="shared" ref="H7:H10" si="4">IF(AND(ISNUMBER(C7),ISNUMBER(G7)), C7-G7, "")</f>
        <v>17331</v>
      </c>
      <c r="I7" s="17" t="str">
        <f t="shared" si="3"/>
        <v/>
      </c>
      <c r="J7" s="40"/>
      <c r="K7" s="40"/>
    </row>
    <row r="8" spans="1:13" ht="86.45">
      <c r="A8" s="51" t="str">
        <v>Milton - Landfill</v>
      </c>
      <c r="B8" s="27" t="str">
        <v>NH</v>
      </c>
      <c r="C8" s="22">
        <v>54795</v>
      </c>
      <c r="D8" s="12">
        <v>0</v>
      </c>
      <c r="E8" s="12">
        <f t="shared" si="0"/>
        <v>54795</v>
      </c>
      <c r="F8" s="43" t="str">
        <f t="shared" si="1"/>
        <v/>
      </c>
      <c r="G8" s="14">
        <v>0</v>
      </c>
      <c r="H8" s="14">
        <f t="shared" si="4"/>
        <v>54795</v>
      </c>
      <c r="I8" s="15" t="str">
        <f t="shared" si="3"/>
        <v/>
      </c>
      <c r="J8" s="39" t="s">
        <v>32</v>
      </c>
      <c r="K8" s="59" t="s">
        <v>33</v>
      </c>
      <c r="L8" s="62" t="s">
        <v>34</v>
      </c>
      <c r="M8" s="62" t="s">
        <v>35</v>
      </c>
    </row>
    <row r="9" spans="1:13" ht="57.6">
      <c r="A9" s="50" t="str">
        <v>Hopkinton - 71 Frankland Rd</v>
      </c>
      <c r="B9" s="29" t="str">
        <v>MA</v>
      </c>
      <c r="C9" s="16">
        <v>266892</v>
      </c>
      <c r="D9" s="16">
        <v>412403.20000000001</v>
      </c>
      <c r="E9" s="16">
        <f t="shared" si="0"/>
        <v>-145511.20000000001</v>
      </c>
      <c r="F9" s="64">
        <f t="shared" si="1"/>
        <v>-0.35283722337751017</v>
      </c>
      <c r="G9" s="18">
        <v>284177</v>
      </c>
      <c r="H9" s="18">
        <f t="shared" si="4"/>
        <v>-17285</v>
      </c>
      <c r="I9" s="17">
        <f t="shared" si="3"/>
        <v>-6.0824767662407582E-2</v>
      </c>
      <c r="J9" s="40" t="s">
        <v>36</v>
      </c>
      <c r="K9" s="61" t="s">
        <v>37</v>
      </c>
      <c r="L9" s="62" t="s">
        <v>38</v>
      </c>
    </row>
    <row r="10" spans="1:13" ht="100.9">
      <c r="A10" s="51" t="str">
        <v>Dedham - 100 Rustcraft Rd</v>
      </c>
      <c r="B10" s="27" t="str">
        <v>MA</v>
      </c>
      <c r="C10" s="22">
        <v>40602</v>
      </c>
      <c r="D10" s="12">
        <v>89349.172000000006</v>
      </c>
      <c r="E10" s="12">
        <f t="shared" si="0"/>
        <v>-48747.172000000006</v>
      </c>
      <c r="F10" s="13">
        <f t="shared" si="1"/>
        <v>-0.54558056788707565</v>
      </c>
      <c r="G10" s="14">
        <v>61550.964999999997</v>
      </c>
      <c r="H10" s="14">
        <f t="shared" si="4"/>
        <v>-20948.964999999997</v>
      </c>
      <c r="I10" s="17">
        <f t="shared" si="3"/>
        <v>-0.34035152820106068</v>
      </c>
      <c r="J10" s="39" t="s">
        <v>39</v>
      </c>
      <c r="K10" s="59" t="s">
        <v>40</v>
      </c>
      <c r="L10" s="62" t="s">
        <v>41</v>
      </c>
      <c r="M10" s="62" t="s">
        <v>42</v>
      </c>
    </row>
    <row r="11" spans="1:13" ht="14.45">
      <c r="A11" s="19"/>
      <c r="B11" s="31"/>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6" priority="12" stopIfTrue="1" operator="lessThanOrEqual">
      <formula>-0.1</formula>
    </cfRule>
    <cfRule type="expression" dxfId="45" priority="13">
      <formula>AND(ISNUMBER(F2), F2&gt;=0.1)</formula>
    </cfRule>
  </conditionalFormatting>
  <conditionalFormatting sqref="F4">
    <cfRule type="cellIs" dxfId="44" priority="3" stopIfTrue="1" operator="lessThanOrEqual">
      <formula>-0.1</formula>
    </cfRule>
    <cfRule type="expression" dxfId="43" priority="4">
      <formula>AND(ISNUMBER(F4), F4&gt;=0.1)</formula>
    </cfRule>
  </conditionalFormatting>
  <conditionalFormatting sqref="F6">
    <cfRule type="cellIs" dxfId="42" priority="1" stopIfTrue="1" operator="lessThanOrEqual">
      <formula>-0.1</formula>
    </cfRule>
    <cfRule type="expression" dxfId="41" priority="2">
      <formula>AND(ISNUMBER(F6), F6&gt;=0.1)</formula>
    </cfRule>
  </conditionalFormatting>
  <conditionalFormatting sqref="F10:F79">
    <cfRule type="cellIs" dxfId="40" priority="5" stopIfTrue="1" operator="lessThanOrEqual">
      <formula>-0.1</formula>
    </cfRule>
    <cfRule type="expression" dxfId="39" priority="6">
      <formula>AND(ISNUMBER(F10), F10&gt;=0.1)</formula>
    </cfRule>
  </conditionalFormatting>
  <hyperlinks>
    <hyperlink ref="K4" r:id="rId1" display="https://us3.assetplanner.com/service_request?ID=085127" xr:uid="{BD19405C-F23C-4670-B446-534A95F8AB84}"/>
    <hyperlink ref="L4" r:id="rId2" display="https://us3.assetplanner.com/service_request?ID=093008" xr:uid="{4AFD7112-F4EF-496A-B484-A7610C1F10FF}"/>
    <hyperlink ref="M4" r:id="rId3" display="https://us3.assetplanner.com/service_request?ID=095541" xr:uid="{D0C59FC7-4284-4E7C-BE4D-B288A88A2DE4}"/>
    <hyperlink ref="K5" r:id="rId4" display="https://us3.assetplanner.com/service_request?ID=095250" xr:uid="{8EB3F8A4-A9BC-4E72-9D3F-3336DF8EDB51}"/>
    <hyperlink ref="L5" r:id="rId5" display="https://us3.assetplanner.com/service_request?ID=095250" xr:uid="{E7AD15AC-05F4-46CF-8944-BAE4BA86CBA0}"/>
    <hyperlink ref="K6" r:id="rId6" display="https://us3.assetplanner.com/service_request?ID=095271" xr:uid="{2CDD91AF-B4B6-4D14-9213-E9EDD490BA8D}"/>
    <hyperlink ref="L6" r:id="rId7" display="https://us3.assetplanner.com/service_request?ID=095714" xr:uid="{80282B4E-1C58-4E96-81FD-4545A9BB1086}"/>
    <hyperlink ref="K8" r:id="rId8" display="https://us3.assetplanner.com/service_request?ID=092635" xr:uid="{60B663A8-AAB3-479A-B6F1-F27D5D7DBFE3}"/>
    <hyperlink ref="L8" r:id="rId9" display="https://us3.assetplanner.com/service_request?ID=094914" xr:uid="{EE85FFB3-0D74-40C5-9C11-7A069BB19B86}"/>
    <hyperlink ref="M8" r:id="rId10" display="https://us3.assetplanner.com/service_request?ID=095569" xr:uid="{59303FA6-AC51-4D9E-B528-359FDA89E63A}"/>
    <hyperlink ref="K9" r:id="rId11" display="https://us3.assetplanner.com/service_request?ID=095238" xr:uid="{00B9D682-9580-4DC4-A949-209DFB785AD9}"/>
    <hyperlink ref="L9" r:id="rId12" display="https://us3.assetplanner.com/service_request?ID=095323" xr:uid="{074FAD51-6C8D-406A-A4DF-4703302138B0}"/>
    <hyperlink ref="K10" r:id="rId13" display="https://us3.assetplanner.com/service_request?ID=095310" xr:uid="{E225D59D-5552-41D0-A2DD-5B3AC7F8939F}"/>
    <hyperlink ref="L10" r:id="rId14" display="https://us3.assetplanner.com/service_request?ID=095696" xr:uid="{B7C5FC2C-DFEA-4230-B111-EED326534328}"/>
    <hyperlink ref="M10" r:id="rId15" display="https://us3.assetplanner.com/service_request?ID=096176" xr:uid="{6780F989-1D5A-464D-9948-2387FF0B6CEB}"/>
  </hyperlinks>
  <pageMargins left="0.4" right="0.7" top="0.25" bottom="0.25" header="0.3" footer="0.3"/>
  <pageSetup fitToHeight="99" orientation="landscape"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bottomRight" activeCell="P5" sqref="P5"/>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94" t="str" cm="1">
        <f t="array" ref="A1">portfolio</f>
        <v>Agilitas Energy</v>
      </c>
      <c r="B1" s="94"/>
      <c r="C1" s="94"/>
      <c r="D1" s="95" t="s">
        <v>43</v>
      </c>
      <c r="E1" s="95"/>
      <c r="F1" s="95"/>
      <c r="G1" s="93" t="s">
        <v>44</v>
      </c>
      <c r="H1" s="93"/>
      <c r="I1" s="93"/>
      <c r="J1" s="4"/>
      <c r="K1" s="4"/>
    </row>
    <row r="2" spans="1:14" ht="19.5" customHeight="1">
      <c r="A2" s="96" t="s">
        <v>2</v>
      </c>
      <c r="B2" s="96"/>
      <c r="C2" s="5">
        <f>SUM(C4:C80)</f>
        <v>1420953.1661759459</v>
      </c>
      <c r="D2" s="5">
        <f>SUM(D4:D80)</f>
        <v>2079297.2500000002</v>
      </c>
      <c r="E2" s="5">
        <f>C2-D2</f>
        <v>-658344.08382405434</v>
      </c>
      <c r="F2" s="6">
        <f>IFERROR(E2/D2, 0)</f>
        <v>-0.31661855168810243</v>
      </c>
      <c r="G2" s="5">
        <f>SUM(G4:G80)</f>
        <v>1031904.2400000001</v>
      </c>
      <c r="H2" s="7">
        <f>C2-G2</f>
        <v>389048.92617594579</v>
      </c>
      <c r="I2" s="6">
        <f>IFERROR(H2/G2, 0)</f>
        <v>0.3770203775652145</v>
      </c>
      <c r="J2" s="24"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0">Sites[Site]</f>
        <v>Rowley - Central Street Solar</v>
      </c>
      <c r="B4" s="27" t="str" cm="1">
        <f t="array" ref="B4:B10">Sites[State]</f>
        <v>MA</v>
      </c>
      <c r="C4" s="22">
        <v>37920.1875</v>
      </c>
      <c r="D4" s="12">
        <v>57349.06</v>
      </c>
      <c r="E4" s="12">
        <f>IF(AND(ISNUMBER(C4),ISNUMBER(D4)), C4-D4, "")</f>
        <v>-19428.872499999998</v>
      </c>
      <c r="F4" s="13">
        <f>IFERROR(E4/D4, "")</f>
        <v>-0.33878275424217935</v>
      </c>
      <c r="G4" s="14">
        <v>53130.43</v>
      </c>
      <c r="H4" s="14">
        <f>IF(AND(ISNUMBER(C4),ISNUMBER(G4)), C4-G4, "")</f>
        <v>-15210.2425</v>
      </c>
      <c r="I4" s="15">
        <f>IFERROR(H4/G4, "")</f>
        <v>-0.28628118575362554</v>
      </c>
      <c r="J4" s="39" t="s">
        <v>45</v>
      </c>
      <c r="K4" s="59" t="s">
        <v>46</v>
      </c>
      <c r="L4" s="66" t="s">
        <v>24</v>
      </c>
      <c r="M4" s="66" t="s">
        <v>47</v>
      </c>
    </row>
    <row r="5" spans="1:14" ht="201.6" customHeight="1">
      <c r="A5" s="28" t="str">
        <v>Auburn - Leicester Street Solar</v>
      </c>
      <c r="B5" s="29" t="str">
        <v>MA</v>
      </c>
      <c r="C5" s="11">
        <v>330277</v>
      </c>
      <c r="D5" s="16">
        <v>785932.80000000005</v>
      </c>
      <c r="E5" s="16">
        <f t="shared" ref="E5:E10" si="0">IF(AND(ISNUMBER(C5),ISNUMBER(D5)), C5-D5, "")</f>
        <v>-455655.80000000005</v>
      </c>
      <c r="F5" s="17">
        <f t="shared" ref="F5:F10" si="1">IFERROR(E5/D5, "")</f>
        <v>-0.5797643259067442</v>
      </c>
      <c r="G5" s="18">
        <v>0</v>
      </c>
      <c r="H5" s="18">
        <f t="shared" ref="H5:H10" si="2">IF(AND(ISNUMBER(C5),ISNUMBER(G5)), C5-G5, "")</f>
        <v>330277</v>
      </c>
      <c r="I5" s="17" t="str">
        <f>IFERROR(H5/G5, "")</f>
        <v/>
      </c>
      <c r="J5" s="52" t="s">
        <v>48</v>
      </c>
      <c r="K5" s="60" t="s">
        <v>49</v>
      </c>
      <c r="L5" s="66" t="s">
        <v>50</v>
      </c>
      <c r="M5" s="66" t="s">
        <v>28</v>
      </c>
      <c r="N5" s="66" t="s">
        <v>51</v>
      </c>
    </row>
    <row r="6" spans="1:14" ht="121.5" customHeight="1">
      <c r="A6" s="26" t="str">
        <v>Rochester - Old Middleboro</v>
      </c>
      <c r="B6" s="27" t="str">
        <v>MA</v>
      </c>
      <c r="C6" s="22">
        <v>641846.47901418398</v>
      </c>
      <c r="D6" s="12">
        <v>693935.9</v>
      </c>
      <c r="E6" s="12">
        <f t="shared" si="0"/>
        <v>-52089.420985816047</v>
      </c>
      <c r="F6" s="13">
        <f t="shared" si="1"/>
        <v>-7.5063735693478378E-2</v>
      </c>
      <c r="G6" s="14">
        <v>488422.1</v>
      </c>
      <c r="H6" s="14">
        <f t="shared" si="2"/>
        <v>153424.379014184</v>
      </c>
      <c r="I6" s="15">
        <f t="shared" ref="I6:I10" si="3">IFERROR(H6/G6, "")</f>
        <v>0.31412251618873105</v>
      </c>
      <c r="J6" s="39" t="s">
        <v>52</v>
      </c>
      <c r="K6" s="59" t="s">
        <v>53</v>
      </c>
      <c r="L6" s="66" t="s">
        <v>54</v>
      </c>
    </row>
    <row r="7" spans="1:14" ht="15.6">
      <c r="A7" s="28" t="str">
        <v>Dover - Littleworth Road</v>
      </c>
      <c r="B7" s="29" t="str">
        <v>NH</v>
      </c>
      <c r="C7" s="11">
        <v>5964</v>
      </c>
      <c r="D7" s="16">
        <v>0</v>
      </c>
      <c r="E7" s="16">
        <f t="shared" si="0"/>
        <v>5964</v>
      </c>
      <c r="F7" s="17" t="str">
        <f t="shared" si="1"/>
        <v/>
      </c>
      <c r="G7" s="18">
        <v>0</v>
      </c>
      <c r="H7" s="18">
        <f t="shared" si="2"/>
        <v>5964</v>
      </c>
      <c r="I7" s="17" t="str">
        <f t="shared" si="3"/>
        <v/>
      </c>
      <c r="J7" s="40"/>
      <c r="K7" s="41"/>
    </row>
    <row r="8" spans="1:14" ht="97.5" customHeight="1">
      <c r="A8" s="26" t="str">
        <v>Milton - Landfill</v>
      </c>
      <c r="B8" s="27" t="str">
        <v>NH</v>
      </c>
      <c r="C8" s="22">
        <v>16586</v>
      </c>
      <c r="D8" s="12">
        <v>0</v>
      </c>
      <c r="E8" s="12">
        <f t="shared" si="0"/>
        <v>16586</v>
      </c>
      <c r="F8" s="13" t="str">
        <f t="shared" si="1"/>
        <v/>
      </c>
      <c r="G8" s="14">
        <v>0</v>
      </c>
      <c r="H8" s="14">
        <f t="shared" si="2"/>
        <v>16586</v>
      </c>
      <c r="I8" s="15" t="str">
        <f t="shared" si="3"/>
        <v/>
      </c>
      <c r="J8" s="39" t="s">
        <v>55</v>
      </c>
      <c r="K8" s="59" t="s">
        <v>56</v>
      </c>
      <c r="L8" s="66" t="s">
        <v>34</v>
      </c>
      <c r="M8" s="66" t="s">
        <v>35</v>
      </c>
    </row>
    <row r="9" spans="1:14" ht="98.25" customHeight="1">
      <c r="A9" s="28" t="str">
        <v>Hopkinton - 71 Frankland Rd</v>
      </c>
      <c r="B9" s="29" t="str">
        <v>MA</v>
      </c>
      <c r="C9" s="11">
        <v>350943.99966176198</v>
      </c>
      <c r="D9" s="16">
        <v>450697.4</v>
      </c>
      <c r="E9" s="16">
        <f t="shared" si="0"/>
        <v>-99753.400338238047</v>
      </c>
      <c r="F9" s="17">
        <f t="shared" si="1"/>
        <v>-0.22133120878495868</v>
      </c>
      <c r="G9" s="18">
        <v>412974.3</v>
      </c>
      <c r="H9" s="18">
        <f t="shared" si="2"/>
        <v>-62030.300338238012</v>
      </c>
      <c r="I9" s="17">
        <f t="shared" si="3"/>
        <v>-0.15020377863280598</v>
      </c>
      <c r="J9" s="40" t="s">
        <v>57</v>
      </c>
      <c r="K9" s="60" t="s">
        <v>58</v>
      </c>
      <c r="L9" s="66" t="s">
        <v>59</v>
      </c>
      <c r="M9" s="66" t="s">
        <v>60</v>
      </c>
    </row>
    <row r="10" spans="1:14" ht="36" customHeight="1">
      <c r="A10" s="26" t="str">
        <v>Dedham - 100 Rustcraft Rd</v>
      </c>
      <c r="B10" s="27" t="str">
        <v>MA</v>
      </c>
      <c r="C10" s="22">
        <v>37415.5</v>
      </c>
      <c r="D10" s="12">
        <v>91382.09</v>
      </c>
      <c r="E10" s="12">
        <f t="shared" si="0"/>
        <v>-53966.59</v>
      </c>
      <c r="F10" s="13">
        <f t="shared" si="1"/>
        <v>-0.59055981319753137</v>
      </c>
      <c r="G10" s="14">
        <v>77377.41</v>
      </c>
      <c r="H10" s="14">
        <f t="shared" si="2"/>
        <v>-39961.910000000003</v>
      </c>
      <c r="I10" s="15">
        <f t="shared" si="3"/>
        <v>-0.51645447941459921</v>
      </c>
      <c r="J10" s="39" t="s">
        <v>61</v>
      </c>
      <c r="K10" s="59" t="s">
        <v>62</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8" priority="11" stopIfTrue="1" operator="lessThanOrEqual">
      <formula>-0.1</formula>
    </cfRule>
    <cfRule type="expression" dxfId="37" priority="12">
      <formula>AND(ISNUMBER(F2), F2&gt;=0.1)</formula>
    </cfRule>
  </conditionalFormatting>
  <conditionalFormatting sqref="F4:F80 I4:I80">
    <cfRule type="cellIs" dxfId="36" priority="1" stopIfTrue="1" operator="lessThanOrEqual">
      <formula>-0.1</formula>
    </cfRule>
    <cfRule type="expression" dxfId="35" priority="2">
      <formula>AND(ISNUMBER(F4), F4&gt;=0.1)</formula>
    </cfRule>
  </conditionalFormatting>
  <hyperlinks>
    <hyperlink ref="K4" r:id="rId1" display="https://us3.assetplanner.com/service_request?ID=085127" xr:uid="{F5EC291F-80CF-4AC9-8E3B-CE982C9B69F1}"/>
    <hyperlink ref="L4" r:id="rId2" display="https://us3.assetplanner.com/service_request?ID=093008" xr:uid="{B53EA27A-A5D3-4FB3-AABD-68938A156D1F}"/>
    <hyperlink ref="M4" r:id="rId3" display="https://us3.assetplanner.com/service_request?ID=088882" xr:uid="{D0E33F49-5A8D-42BC-99C1-4231E18A55CB}"/>
    <hyperlink ref="K5" r:id="rId4" display="https://us3.assetplanner.com/service_request?ID=096327" xr:uid="{B1A2D7FA-8F5A-48BC-9F42-E760CF5C6C68}"/>
    <hyperlink ref="L5" r:id="rId5" display="https://us3.assetplanner.com/service_request?ID=096327" xr:uid="{12A501D7-261E-4369-9010-122C3C109093}"/>
    <hyperlink ref="M5" r:id="rId6" display="https://us3.assetplanner.com/service_request?ID=095250" xr:uid="{DA4E2506-052F-433B-B387-DEB22115E614}"/>
    <hyperlink ref="N5" r:id="rId7" display="https://us3.assetplanner.com/service_request?ID=097185" xr:uid="{A675A3AD-3676-40CC-B722-ED6A8127643B}"/>
    <hyperlink ref="K6" r:id="rId8" display="https://us3.assetplanner.com/service_request?ID=096404" xr:uid="{B99F3C54-D5D3-427F-855D-6F56F36670C1}"/>
    <hyperlink ref="L6" r:id="rId9" display="https://us3.assetplanner.com/service_request?ID=096414" xr:uid="{557FD603-87B3-4953-84D5-0542DCF28A88}"/>
    <hyperlink ref="K8" r:id="rId10" display="https://us3.assetplanner.com/service_request?ID=092635" xr:uid="{633E2F08-9312-43E9-A8A6-1C99165AB989}"/>
    <hyperlink ref="L8" r:id="rId11" display="https://us3.assetplanner.com/service_request?ID=094914" xr:uid="{99773F5B-9E7C-4D09-9719-C9A8AC73F69A}"/>
    <hyperlink ref="M8" r:id="rId12" display="https://us3.assetplanner.com/service_request?ID=095569" xr:uid="{AA871EA9-AABA-451D-90C3-9A1F1695C136}"/>
    <hyperlink ref="K9" r:id="rId13" display="https://us3.assetplanner.com/service_request?ID=096292" xr:uid="{613A642F-083A-457F-A6B0-1C8A1BBD8E45}"/>
    <hyperlink ref="L9" r:id="rId14" display="https://us3.assetplanner.com/service_request?ID=096335" xr:uid="{53E36522-D4F3-46DC-B964-0FAB5903CBA8}"/>
    <hyperlink ref="M9" r:id="rId15" display="https://us3.assetplanner.com/service_request?ID=097855" xr:uid="{5EDCCC1F-87C2-42F3-AD78-8421BAD3F887}"/>
    <hyperlink ref="K10" r:id="rId16" display="https://us3.assetplanner.com/service_request?ID=096176" xr:uid="{07EE6ECC-2A21-4E10-9F1C-F7515A6C72E0}"/>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4" activePane="bottomRight" state="frozen"/>
      <selection pane="bottomRight" activeCell="J9" sqref="J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4" t="str" cm="1">
        <f t="array" ref="A1">portfolio</f>
        <v>Agilitas Energy</v>
      </c>
      <c r="B1" s="94"/>
      <c r="C1" s="94"/>
      <c r="D1" s="95" t="s">
        <v>63</v>
      </c>
      <c r="E1" s="95"/>
      <c r="F1" s="95"/>
      <c r="G1" s="93" t="s">
        <v>64</v>
      </c>
      <c r="H1" s="93"/>
      <c r="I1" s="93"/>
      <c r="J1" s="4"/>
      <c r="K1" s="4"/>
    </row>
    <row r="2" spans="1:17" ht="19.5" customHeight="1">
      <c r="A2" s="96" t="s">
        <v>2</v>
      </c>
      <c r="B2" s="96"/>
      <c r="C2" s="5">
        <f>SUM(C4:C80)</f>
        <v>2681112.2923430698</v>
      </c>
      <c r="D2" s="5">
        <f>SUM(D4:D80)</f>
        <v>2630708.73</v>
      </c>
      <c r="E2" s="5">
        <f>C2-D2</f>
        <v>50403.562343069818</v>
      </c>
      <c r="F2" s="6">
        <f>IFERROR(E2/D2, 0)</f>
        <v>1.9159689466294438E-2</v>
      </c>
      <c r="G2" s="5">
        <f>SUM(G4:G80)</f>
        <v>1425733.4400000002</v>
      </c>
      <c r="H2" s="7">
        <f>C2-G2</f>
        <v>1255378.8523430696</v>
      </c>
      <c r="I2" s="6">
        <f>IFERROR(H2/G2, 0)</f>
        <v>0.88051441954189524</v>
      </c>
      <c r="J2" s="24" t="str">
        <f ca="1">IF(AND(TODAY()&gt;DATE(2024, 3, 1), COUNTA(Sites[Site])&lt;&gt;(COUNT(C:C)-1)), "Some sites are missing actual data; if new sites were added, make sure they are aligned correctly (including prior months!)", "")</f>
        <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0">Sites[Site]</f>
        <v>Rowley - Central Street Solar</v>
      </c>
      <c r="B4" s="27" t="str" cm="1">
        <f t="array" ref="B4:B10">Sites[State]</f>
        <v>MA</v>
      </c>
      <c r="C4" s="22">
        <v>71540.099375000005</v>
      </c>
      <c r="D4" s="12">
        <v>72275.53</v>
      </c>
      <c r="E4" s="12">
        <f>IF(AND(ISNUMBER(C4),ISNUMBER(D4)), C4-D4, "")</f>
        <v>-735.4306249999936</v>
      </c>
      <c r="F4" s="13">
        <f>IFERROR(E4/D4, "")</f>
        <v>-1.0175375054323277E-2</v>
      </c>
      <c r="G4" s="14">
        <v>72283.759999999995</v>
      </c>
      <c r="H4" s="14">
        <f>IF(AND(ISNUMBER(C4),ISNUMBER(G4)), C4-G4, "")</f>
        <v>-743.66062499998952</v>
      </c>
      <c r="I4" s="15">
        <f>IFERROR(H4/G4, "")</f>
        <v>-1.0288073351469121E-2</v>
      </c>
      <c r="J4" s="39"/>
      <c r="K4" s="39"/>
    </row>
    <row r="5" spans="1:17" ht="141" customHeight="1">
      <c r="A5" s="28" t="str">
        <v>Auburn - Leicester Street Solar</v>
      </c>
      <c r="B5" s="29" t="str">
        <v>MA</v>
      </c>
      <c r="C5" s="11">
        <v>764124</v>
      </c>
      <c r="D5" s="16">
        <v>907208.2</v>
      </c>
      <c r="E5" s="16">
        <f t="shared" ref="E5:E10" si="0">IF(AND(ISNUMBER(C5),ISNUMBER(D5)), C5-D5, "")</f>
        <v>-143084.19999999995</v>
      </c>
      <c r="F5" s="17">
        <f>IFERROR(E5/D5, "")</f>
        <v>-0.15771925341944656</v>
      </c>
      <c r="G5" s="18">
        <v>0</v>
      </c>
      <c r="H5" s="18">
        <f t="shared" ref="H5:H10" si="1">IF(AND(ISNUMBER(C5),ISNUMBER(G5)), C5-G5, "")</f>
        <v>764124</v>
      </c>
      <c r="I5" s="17" t="str">
        <f t="shared" ref="I5:I10" si="2">IFERROR(H5/G5, "")</f>
        <v/>
      </c>
      <c r="J5" s="40" t="s">
        <v>65</v>
      </c>
      <c r="K5" s="61" t="s">
        <v>66</v>
      </c>
      <c r="L5" s="66" t="s">
        <v>50</v>
      </c>
      <c r="M5" s="66" t="s">
        <v>67</v>
      </c>
      <c r="N5" s="66" t="s">
        <v>68</v>
      </c>
    </row>
    <row r="6" spans="1:17" ht="98.25" customHeight="1">
      <c r="A6" s="26" t="str">
        <v>Rochester - Old Middleboro</v>
      </c>
      <c r="B6" s="27" t="str">
        <v>MA</v>
      </c>
      <c r="C6" s="22">
        <v>1010942.19296807</v>
      </c>
      <c r="D6" s="12">
        <v>868409.7</v>
      </c>
      <c r="E6" s="12">
        <f t="shared" si="0"/>
        <v>142532.49296807009</v>
      </c>
      <c r="F6" s="13">
        <f t="shared" ref="F6:F10" si="3">IFERROR(E6/D6, "")</f>
        <v>0.1641304708688423</v>
      </c>
      <c r="G6" s="14">
        <v>636617.9</v>
      </c>
      <c r="H6" s="14">
        <f t="shared" si="1"/>
        <v>374324.29296807002</v>
      </c>
      <c r="I6" s="15">
        <f t="shared" si="2"/>
        <v>0.58798895376342697</v>
      </c>
      <c r="J6" s="39" t="s">
        <v>69</v>
      </c>
      <c r="K6" s="59" t="s">
        <v>70</v>
      </c>
      <c r="L6" s="62" t="s">
        <v>71</v>
      </c>
      <c r="M6" s="69"/>
      <c r="N6" s="69"/>
      <c r="O6" s="69"/>
      <c r="P6" s="69"/>
      <c r="Q6" s="69"/>
    </row>
    <row r="7" spans="1:17" ht="78.75" customHeight="1">
      <c r="A7" s="28" t="str">
        <v>Dover - Littleworth Road</v>
      </c>
      <c r="B7" s="29" t="str">
        <v>NH</v>
      </c>
      <c r="C7" s="11">
        <v>18653</v>
      </c>
      <c r="D7" s="16" t="s">
        <v>72</v>
      </c>
      <c r="E7" s="16" t="str">
        <f t="shared" si="0"/>
        <v/>
      </c>
      <c r="F7" s="17" t="str">
        <f t="shared" si="3"/>
        <v/>
      </c>
      <c r="G7" s="67" t="s">
        <v>72</v>
      </c>
      <c r="H7" s="18" t="str">
        <f t="shared" si="1"/>
        <v/>
      </c>
      <c r="I7" s="17" t="str">
        <f t="shared" si="2"/>
        <v/>
      </c>
      <c r="J7" s="40" t="s">
        <v>73</v>
      </c>
      <c r="K7" s="61" t="s">
        <v>74</v>
      </c>
      <c r="L7" s="62" t="s">
        <v>75</v>
      </c>
      <c r="M7" s="62" t="s">
        <v>75</v>
      </c>
      <c r="N7" s="69"/>
      <c r="O7" s="69"/>
      <c r="P7" s="69"/>
      <c r="Q7" s="69"/>
    </row>
    <row r="8" spans="1:17" ht="142.5" customHeight="1">
      <c r="A8" s="26" t="str">
        <v>Milton - Landfill</v>
      </c>
      <c r="B8" s="27" t="str">
        <v>NH</v>
      </c>
      <c r="C8" s="22">
        <v>91382</v>
      </c>
      <c r="D8" s="12" t="s">
        <v>72</v>
      </c>
      <c r="E8" s="12" t="str">
        <f t="shared" si="0"/>
        <v/>
      </c>
      <c r="F8" s="13" t="str">
        <f t="shared" si="3"/>
        <v/>
      </c>
      <c r="G8" s="68" t="s">
        <v>72</v>
      </c>
      <c r="H8" s="14" t="str">
        <f t="shared" si="1"/>
        <v/>
      </c>
      <c r="I8" s="15" t="str">
        <f t="shared" si="2"/>
        <v/>
      </c>
      <c r="J8" s="39" t="s">
        <v>76</v>
      </c>
      <c r="K8" s="59" t="s">
        <v>77</v>
      </c>
      <c r="L8" s="62" t="s">
        <v>34</v>
      </c>
      <c r="M8" s="62" t="s">
        <v>35</v>
      </c>
      <c r="N8" s="62" t="s">
        <v>78</v>
      </c>
      <c r="O8" s="69"/>
      <c r="P8" s="69"/>
      <c r="Q8" s="69"/>
    </row>
    <row r="9" spans="1:17" ht="300.75" customHeight="1">
      <c r="A9" s="28" t="str">
        <v>Hopkinton - 71 Frankland Rd</v>
      </c>
      <c r="B9" s="29" t="str">
        <v>MA</v>
      </c>
      <c r="C9" s="11">
        <v>626726</v>
      </c>
      <c r="D9" s="16">
        <v>662329.9</v>
      </c>
      <c r="E9" s="16">
        <f t="shared" si="0"/>
        <v>-35603.900000000023</v>
      </c>
      <c r="F9" s="17">
        <f t="shared" si="3"/>
        <v>-5.3755537836960132E-2</v>
      </c>
      <c r="G9" s="18">
        <v>618472.5</v>
      </c>
      <c r="H9" s="18">
        <f t="shared" si="1"/>
        <v>8253.5</v>
      </c>
      <c r="I9" s="17">
        <f t="shared" si="2"/>
        <v>1.3344974918044051E-2</v>
      </c>
      <c r="J9" s="52" t="s">
        <v>79</v>
      </c>
      <c r="K9" s="61" t="s">
        <v>80</v>
      </c>
      <c r="L9" s="62" t="s">
        <v>81</v>
      </c>
      <c r="M9" s="62" t="s">
        <v>82</v>
      </c>
      <c r="N9" s="62" t="s">
        <v>83</v>
      </c>
      <c r="O9" s="62" t="s">
        <v>83</v>
      </c>
      <c r="P9" s="62" t="s">
        <v>84</v>
      </c>
      <c r="Q9" s="69"/>
    </row>
    <row r="10" spans="1:17" ht="220.5" customHeight="1">
      <c r="A10" s="26" t="str">
        <v>Dedham - 100 Rustcraft Rd</v>
      </c>
      <c r="B10" s="27" t="str">
        <v>MA</v>
      </c>
      <c r="C10" s="22">
        <v>97745</v>
      </c>
      <c r="D10" s="12">
        <v>120485.4</v>
      </c>
      <c r="E10" s="12">
        <f t="shared" si="0"/>
        <v>-22740.399999999994</v>
      </c>
      <c r="F10" s="13">
        <f t="shared" si="3"/>
        <v>-0.18873988051664348</v>
      </c>
      <c r="G10" s="14">
        <v>98359.28</v>
      </c>
      <c r="H10" s="14">
        <f t="shared" si="1"/>
        <v>-614.27999999999884</v>
      </c>
      <c r="I10" s="15">
        <f t="shared" si="2"/>
        <v>-6.2452673504726636E-3</v>
      </c>
      <c r="J10" s="39" t="s">
        <v>85</v>
      </c>
      <c r="K10" s="59" t="s">
        <v>86</v>
      </c>
      <c r="L10" s="62" t="s">
        <v>87</v>
      </c>
      <c r="M10" s="62" t="s">
        <v>88</v>
      </c>
      <c r="N10" s="62" t="s">
        <v>89</v>
      </c>
      <c r="O10" s="69"/>
      <c r="P10" s="69"/>
      <c r="Q10" s="69"/>
    </row>
    <row r="11" spans="1:17" ht="14.45">
      <c r="A11" s="19"/>
      <c r="B11" s="31"/>
      <c r="C11" s="19"/>
      <c r="D11" s="19"/>
      <c r="E11" s="19"/>
      <c r="F11" s="19"/>
      <c r="G11" s="19"/>
      <c r="H11" s="19"/>
      <c r="I11" s="19"/>
      <c r="J11" s="19"/>
      <c r="K11" s="19"/>
    </row>
    <row r="12" spans="1:17" ht="14.45">
      <c r="A12" s="19"/>
      <c r="B12" s="31"/>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4" priority="7" stopIfTrue="1" operator="lessThanOrEqual">
      <formula>-0.1</formula>
    </cfRule>
    <cfRule type="expression" dxfId="33" priority="8">
      <formula>AND(ISNUMBER(F2), F2&gt;=0.1)</formula>
    </cfRule>
  </conditionalFormatting>
  <conditionalFormatting sqref="F4:F80 I4:I80">
    <cfRule type="cellIs" dxfId="32" priority="1" stopIfTrue="1" operator="lessThanOrEqual">
      <formula>-0.1</formula>
    </cfRule>
    <cfRule type="expression" dxfId="31" priority="2">
      <formula>AND(ISNUMBER(F4), F4&gt;=0.1)</formula>
    </cfRule>
  </conditionalFormatting>
  <hyperlinks>
    <hyperlink ref="K5" r:id="rId1" display="https://us3.assetplanner.com/service_request?ID=095250" xr:uid="{D6A5B866-CA46-4640-BFA3-E4604F4C95B3}"/>
    <hyperlink ref="L5" r:id="rId2" display="https://us3.assetplanner.com/service_request?ID=096327" xr:uid="{EB27826A-C8EE-4804-97A0-124312527F80}"/>
    <hyperlink ref="M5" r:id="rId3" display="https://us3.assetplanner.com/service_request?ID=098922" xr:uid="{E485DB02-1C21-41FE-B605-6E2FF9F5382E}"/>
    <hyperlink ref="N5" r:id="rId4" display="https://us3.assetplanner.com/service_request?ID=099164" xr:uid="{187F0729-1D1C-49EC-A64A-36BE6C56B0F6}"/>
    <hyperlink ref="K6" r:id="rId5" display="https://us3.assetplanner.com/service_request?ID=098255" xr:uid="{25F11BAA-D009-42B6-988A-084E6EA5F819}"/>
    <hyperlink ref="L6" r:id="rId6" display="https://us3.assetplanner.com/service_request?ID=098255" xr:uid="{6F0A7AB0-53A0-4581-B1AE-98D2399941D5}"/>
    <hyperlink ref="K7" r:id="rId7" display="https://us3.assetplanner.com/service_request?ID=098603" xr:uid="{B6AAC75A-D851-442C-B137-9A978599F7DB}"/>
    <hyperlink ref="L7" r:id="rId8" display="https://us3.assetplanner.com/service_request?ID=098617" xr:uid="{592A9161-4CFF-4566-AEBA-796A520532C8}"/>
    <hyperlink ref="M7" r:id="rId9" display="https://us3.assetplanner.com/service_request?ID=098617" xr:uid="{22906569-D305-4801-8E31-0E5EE2CC0169}"/>
    <hyperlink ref="K8" r:id="rId10" display="https://us3.assetplanner.com/service_request?ID=092635" xr:uid="{AE051626-6A17-4AD2-8FFB-E37F22722668}"/>
    <hyperlink ref="L8" r:id="rId11" display="https://us3.assetplanner.com/service_request?ID=094914" xr:uid="{9AE5E42D-3E88-40F4-B36A-F663240ED9E2}"/>
    <hyperlink ref="M8" r:id="rId12" display="https://us3.assetplanner.com/service_request?ID=095569" xr:uid="{C5A67D76-E253-4377-A50F-29E8989B587B}"/>
    <hyperlink ref="N8" r:id="rId13" display="https://us3.assetplanner.com/service_request?ID=099233" xr:uid="{28426F48-A39F-4ACC-9EBE-EF42450C71F1}"/>
    <hyperlink ref="K9" r:id="rId14" display="https://us3.assetplanner.com/service_request?ID=098299" xr:uid="{CAFC6080-FFD6-4A9C-A4EB-5639AB5C47FD}"/>
    <hyperlink ref="L9" r:id="rId15" display="https://us3.assetplanner.com/service_request?ID=098355" xr:uid="{82DD4C1B-942B-4216-B136-18DCA0FF7B8D}"/>
    <hyperlink ref="M9" r:id="rId16" display="https://us3.assetplanner.com/service_request?ID=098616" xr:uid="{3D47FD43-9BA3-4AAB-AA8B-34F1064D223B}"/>
    <hyperlink ref="N9" r:id="rId17" display="https://us3.assetplanner.com/service_request?ID=098773" xr:uid="{A6A0E777-3D7F-46DE-A780-F2F6381AA105}"/>
    <hyperlink ref="O9" r:id="rId18" display="https://us3.assetplanner.com/service_request?ID=098773" xr:uid="{E1A38429-4862-4D79-A118-65BB9904E083}"/>
    <hyperlink ref="P9" r:id="rId19" display="https://us3.assetplanner.com/service_request?ID=099056" xr:uid="{2C774BFA-40E0-4176-8BA4-6E51FF4349F5}"/>
    <hyperlink ref="K10" r:id="rId20" display="https://us3.assetplanner.com/service_request?ID=095310" xr:uid="{2124CD16-5D9F-45B8-8D54-8A941E0B2218}"/>
    <hyperlink ref="L10" r:id="rId21" display="https://us3.assetplanner.com/service_request?ID=098276" xr:uid="{7B5B80E8-F9BC-4348-B966-C75B810902F9}"/>
    <hyperlink ref="M10" r:id="rId22" display="https://us3.assetplanner.com/service_request?ID=098520" xr:uid="{7E83BF7D-365D-403A-BA23-066DF51F9558}"/>
    <hyperlink ref="N10" r:id="rId23" display="https://us3.assetplanner.com/service_request?ID=098880" xr:uid="{80C34AB1-41D9-488C-B6DD-CA7310B3F4EE}"/>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P322"/>
  <sheetViews>
    <sheetView zoomScale="70" zoomScaleNormal="70" workbookViewId="0">
      <pane xSplit="2" ySplit="3" topLeftCell="J5" activePane="bottomRight" state="frozen"/>
      <selection pane="bottomRight" activeCell="J19" sqref="J1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69"/>
  </cols>
  <sheetData>
    <row r="1" spans="1:15" ht="19.5" customHeight="1">
      <c r="A1" s="94" t="str" cm="1">
        <f t="array" ref="A1">portfolio</f>
        <v>Agilitas Energy</v>
      </c>
      <c r="B1" s="94"/>
      <c r="C1" s="94"/>
      <c r="D1" s="95" t="s">
        <v>90</v>
      </c>
      <c r="E1" s="95"/>
      <c r="F1" s="95"/>
      <c r="G1" s="93" t="s">
        <v>91</v>
      </c>
      <c r="H1" s="93"/>
      <c r="I1" s="93"/>
      <c r="J1" s="4"/>
      <c r="K1" s="4"/>
    </row>
    <row r="2" spans="1:15" ht="19.5" customHeight="1">
      <c r="A2" s="96" t="s">
        <v>2</v>
      </c>
      <c r="B2" s="96"/>
      <c r="C2" s="5">
        <f>SUM(C4:C80)</f>
        <v>2786921.2911654003</v>
      </c>
      <c r="D2" s="5">
        <f>SUM(D4:D80)</f>
        <v>2596421.5300000003</v>
      </c>
      <c r="E2" s="5">
        <f>C2-D2</f>
        <v>190499.76116540004</v>
      </c>
      <c r="F2" s="6">
        <f>IFERROR(E2/D2, 0)</f>
        <v>7.3370120746687847E-2</v>
      </c>
      <c r="G2" s="5">
        <f>SUM(G4:G80)</f>
        <v>1617277.21</v>
      </c>
      <c r="H2" s="7">
        <f>C2-G2</f>
        <v>1169644.0811654003</v>
      </c>
      <c r="I2" s="6">
        <f>IFERROR(H2/G2, 0)</f>
        <v>0.72321805682613949</v>
      </c>
      <c r="J2" s="24" t="str">
        <f ca="1">IF(AND(TODAY()&gt;DATE(2024, 4, 1), COUNTA(Sites[Site])&lt;&gt;(COUNT(C:C)-1)), "Some sites are missing actual data; if new sites were added, make sure they are aligned correctly (including prior months!)", "")</f>
        <v/>
      </c>
      <c r="K2" s="4"/>
    </row>
    <row r="3" spans="1:15" ht="14.25" customHeight="1">
      <c r="A3" s="8" t="s">
        <v>3</v>
      </c>
      <c r="B3" s="8" t="s">
        <v>4</v>
      </c>
      <c r="C3" s="53" t="s">
        <v>5</v>
      </c>
      <c r="D3" s="33" t="s">
        <v>6</v>
      </c>
      <c r="E3" s="33" t="s">
        <v>7</v>
      </c>
      <c r="F3" s="34" t="s">
        <v>8</v>
      </c>
      <c r="G3" s="35" t="s">
        <v>9</v>
      </c>
      <c r="H3" s="36" t="s">
        <v>7</v>
      </c>
      <c r="I3" s="37" t="s">
        <v>8</v>
      </c>
      <c r="J3" s="23" t="s">
        <v>20</v>
      </c>
      <c r="K3" s="23" t="s">
        <v>21</v>
      </c>
    </row>
    <row r="4" spans="1:15" ht="15.6">
      <c r="A4" s="65" t="str" cm="1">
        <f t="array" ref="A4:A10">Sites[Site]</f>
        <v>Rowley - Central Street Solar</v>
      </c>
      <c r="B4" s="27" t="str" cm="1">
        <f t="array" ref="B4:B10">Sites[State]</f>
        <v>MA</v>
      </c>
      <c r="C4" s="22">
        <v>82040.963124999995</v>
      </c>
      <c r="D4" s="12">
        <v>82476.03</v>
      </c>
      <c r="E4" s="12">
        <f>IF(AND(ISNUMBER(C4),ISNUMBER(D4)), C4-D4, "")</f>
        <v>-435.06687500000407</v>
      </c>
      <c r="F4" s="13">
        <f>IFERROR(E4/D4, "")</f>
        <v>-5.2750705265518245E-3</v>
      </c>
      <c r="G4" s="14">
        <v>81850.41</v>
      </c>
      <c r="H4" s="14">
        <f>IF(AND(ISNUMBER(C4),ISNUMBER(G4)), C4-G4, "")</f>
        <v>190.55312499999127</v>
      </c>
      <c r="I4" s="15">
        <f>IFERROR(H4/G4, "")</f>
        <v>2.3280656138434893E-3</v>
      </c>
      <c r="J4" s="39"/>
      <c r="K4" s="39"/>
    </row>
    <row r="5" spans="1:15" ht="144">
      <c r="A5" s="28" t="str">
        <v>Auburn - Leicester Street Solar</v>
      </c>
      <c r="B5" s="29" t="str">
        <v>MA</v>
      </c>
      <c r="C5" s="11">
        <v>708193</v>
      </c>
      <c r="D5" s="16">
        <v>738902.9</v>
      </c>
      <c r="E5" s="16">
        <f t="shared" ref="E5:E10" si="0">IF(AND(ISNUMBER(C5),ISNUMBER(D5)), C5-D5, "")</f>
        <v>-30709.900000000023</v>
      </c>
      <c r="F5" s="17">
        <f>IFERROR(E5/D5, "")</f>
        <v>-4.1561482570984659E-2</v>
      </c>
      <c r="G5" s="18">
        <v>0</v>
      </c>
      <c r="H5" s="18">
        <f t="shared" ref="H5:H10" si="1">IF(AND(ISNUMBER(C5),ISNUMBER(G5)), C5-G5, "")</f>
        <v>708193</v>
      </c>
      <c r="I5" s="17" t="str">
        <f t="shared" ref="I5:I10" si="2">IFERROR(H5/G5, "")</f>
        <v/>
      </c>
      <c r="J5" s="52" t="s">
        <v>92</v>
      </c>
      <c r="K5" s="60" t="s">
        <v>93</v>
      </c>
      <c r="L5" s="62" t="s">
        <v>94</v>
      </c>
      <c r="M5" s="62" t="s">
        <v>95</v>
      </c>
    </row>
    <row r="6" spans="1:15" ht="46.5" customHeight="1">
      <c r="A6" s="26" t="str">
        <v>Rochester - Old Middleboro</v>
      </c>
      <c r="B6" s="27" t="str">
        <v>MA</v>
      </c>
      <c r="C6" s="22">
        <v>1100423.3280404001</v>
      </c>
      <c r="D6" s="12">
        <v>913176.1</v>
      </c>
      <c r="E6" s="12">
        <f t="shared" si="0"/>
        <v>187247.22804040008</v>
      </c>
      <c r="F6" s="13">
        <f t="shared" ref="F6:F10" si="3">IFERROR(E6/D6, "")</f>
        <v>0.20505051330230836</v>
      </c>
      <c r="G6" s="14">
        <v>694457.6</v>
      </c>
      <c r="H6" s="14">
        <f t="shared" si="1"/>
        <v>405965.72804040008</v>
      </c>
      <c r="I6" s="15">
        <f t="shared" si="2"/>
        <v>0.58457957410272432</v>
      </c>
      <c r="J6" s="71" t="s">
        <v>96</v>
      </c>
      <c r="K6" s="73" t="s">
        <v>97</v>
      </c>
    </row>
    <row r="7" spans="1:15" ht="57.6">
      <c r="A7" s="28" t="str">
        <v>Dover - Littleworth Road</v>
      </c>
      <c r="B7" s="29" t="str">
        <v>NH</v>
      </c>
      <c r="C7" s="11">
        <v>41468</v>
      </c>
      <c r="D7" s="16" t="s">
        <v>72</v>
      </c>
      <c r="E7" s="16" t="str">
        <f t="shared" si="0"/>
        <v/>
      </c>
      <c r="F7" s="17" t="str">
        <f t="shared" si="3"/>
        <v/>
      </c>
      <c r="G7" s="67" t="s">
        <v>72</v>
      </c>
      <c r="H7" s="18" t="str">
        <f t="shared" si="1"/>
        <v/>
      </c>
      <c r="I7" s="17" t="str">
        <f t="shared" si="2"/>
        <v/>
      </c>
      <c r="J7" s="70" t="s">
        <v>98</v>
      </c>
      <c r="K7" s="60" t="s">
        <v>99</v>
      </c>
    </row>
    <row r="8" spans="1:15" ht="150" customHeight="1">
      <c r="A8" s="26" t="str">
        <v>Milton - Landfill</v>
      </c>
      <c r="B8" s="27" t="str">
        <v>NH</v>
      </c>
      <c r="C8" s="22">
        <v>106949</v>
      </c>
      <c r="D8" s="12" t="s">
        <v>72</v>
      </c>
      <c r="E8" s="12" t="str">
        <f t="shared" si="0"/>
        <v/>
      </c>
      <c r="F8" s="13" t="str">
        <f t="shared" si="3"/>
        <v/>
      </c>
      <c r="G8" s="68" t="s">
        <v>72</v>
      </c>
      <c r="H8" s="14" t="str">
        <f t="shared" si="1"/>
        <v/>
      </c>
      <c r="I8" s="15" t="str">
        <f t="shared" si="2"/>
        <v/>
      </c>
      <c r="J8" s="71" t="s">
        <v>100</v>
      </c>
      <c r="K8" s="73" t="s">
        <v>101</v>
      </c>
      <c r="L8" s="62" t="s">
        <v>102</v>
      </c>
      <c r="M8" s="62" t="s">
        <v>34</v>
      </c>
      <c r="N8" s="62" t="s">
        <v>103</v>
      </c>
      <c r="O8" s="62" t="s">
        <v>78</v>
      </c>
    </row>
    <row r="9" spans="1:15" ht="187.15">
      <c r="A9" s="28" t="str">
        <v>Hopkinton - 71 Frankland Rd</v>
      </c>
      <c r="B9" s="29" t="str">
        <v>MA</v>
      </c>
      <c r="C9" s="11">
        <v>629515</v>
      </c>
      <c r="D9" s="16">
        <v>718867.3</v>
      </c>
      <c r="E9" s="16">
        <f t="shared" si="0"/>
        <v>-89352.300000000047</v>
      </c>
      <c r="F9" s="17">
        <f t="shared" si="3"/>
        <v>-0.12429595837785366</v>
      </c>
      <c r="G9" s="18">
        <v>724526.6</v>
      </c>
      <c r="H9" s="18">
        <f t="shared" si="1"/>
        <v>-95011.599999999977</v>
      </c>
      <c r="I9" s="17">
        <f t="shared" si="2"/>
        <v>-0.13113611011659196</v>
      </c>
      <c r="J9" s="52" t="s">
        <v>104</v>
      </c>
      <c r="K9" s="60" t="s">
        <v>105</v>
      </c>
      <c r="L9" s="62" t="s">
        <v>106</v>
      </c>
      <c r="M9" s="62" t="s">
        <v>107</v>
      </c>
    </row>
    <row r="10" spans="1:15" ht="120" customHeight="1">
      <c r="A10" s="26" t="str">
        <v>Dedham - 100 Rustcraft Rd</v>
      </c>
      <c r="B10" s="27" t="str">
        <v>MA</v>
      </c>
      <c r="C10" s="22">
        <v>118332</v>
      </c>
      <c r="D10" s="12">
        <v>142999.20000000001</v>
      </c>
      <c r="E10" s="12">
        <f t="shared" si="0"/>
        <v>-24667.200000000012</v>
      </c>
      <c r="F10" s="13">
        <f t="shared" si="3"/>
        <v>-0.17249886712652945</v>
      </c>
      <c r="G10" s="14">
        <v>116442.6</v>
      </c>
      <c r="H10" s="14">
        <f t="shared" si="1"/>
        <v>1889.3999999999942</v>
      </c>
      <c r="I10" s="15">
        <f t="shared" si="2"/>
        <v>1.622602037398679E-2</v>
      </c>
      <c r="J10" s="71" t="s">
        <v>108</v>
      </c>
      <c r="K10" s="73" t="s">
        <v>109</v>
      </c>
      <c r="L10" s="62" t="s">
        <v>110</v>
      </c>
    </row>
    <row r="11" spans="1:15" ht="14.45">
      <c r="A11" s="72"/>
      <c r="B11" s="31"/>
      <c r="C11" s="19"/>
      <c r="D11" s="19"/>
      <c r="E11" s="19"/>
      <c r="F11" s="19"/>
      <c r="G11" s="19"/>
      <c r="H11" s="19"/>
      <c r="I11" s="19"/>
      <c r="J11" s="19"/>
      <c r="K11" s="19"/>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0 I4:I80">
    <cfRule type="cellIs" dxfId="28" priority="1" stopIfTrue="1" operator="lessThanOrEqual">
      <formula>-0.1</formula>
    </cfRule>
    <cfRule type="expression" dxfId="27" priority="2">
      <formula>AND(ISNUMBER(F4), F4&gt;=0.1)</formula>
    </cfRule>
  </conditionalFormatting>
  <hyperlinks>
    <hyperlink ref="K5" r:id="rId1" display="https://us3.assetplanner.com/service_request?ID=099164" xr:uid="{CFAACD05-5704-43E0-9AF6-3295FD0B02ED}"/>
    <hyperlink ref="L5" r:id="rId2" display="https://us3.assetplanner.com/service_request?ID=094026" xr:uid="{DCD6E12B-A53A-4792-A251-B548263E2DA4}"/>
    <hyperlink ref="M5" r:id="rId3" display="https://us3.assetplanner.com/service_request?ID=099689" xr:uid="{6B3E35C6-B95E-440A-ADD5-E3B2147B65BA}"/>
    <hyperlink ref="K6" r:id="rId4" display="https://us3.assetplanner.com/service_request?ID=099783" xr:uid="{3EE43613-B529-4219-8535-E4E704FC4957}"/>
    <hyperlink ref="K7" r:id="rId5" display="https://us3.assetplanner.com/service_request?ID=098617" xr:uid="{DCAE8ED2-E9D5-4CC4-9A08-E9D8CE747C47}"/>
    <hyperlink ref="K8" r:id="rId6" display="https://us3.assetplanner.com/service_request?ID=092635" xr:uid="{317844F3-50B6-4C76-A018-1AD98A107DD1}"/>
    <hyperlink ref="L8" r:id="rId7" display="https://us3.assetplanner.com/service_request?ID=100128" xr:uid="{B005BA5D-AE7F-495B-B925-6A48FB76745D}"/>
    <hyperlink ref="M8" r:id="rId8" display="https://us3.assetplanner.com/service_request?ID=094914" xr:uid="{452BF554-005A-43F3-8C81-BCEE911B0105}"/>
    <hyperlink ref="N8" r:id="rId9" display="https://us3.assetplanner.com/service_request?ID=100127" xr:uid="{B6A08407-5074-4D75-9FF6-358F3EE1B58F}"/>
    <hyperlink ref="O8" r:id="rId10" display="https://us3.assetplanner.com/service_request?ID=099233" xr:uid="{B864D61A-DC16-45AF-B785-8E41DB6A5B36}"/>
    <hyperlink ref="K9" r:id="rId11" display="https://us3.assetplanner.com/service_request?ID=099955" xr:uid="{994A9325-764F-45B4-983E-FBF94B3E2862}"/>
    <hyperlink ref="L9" r:id="rId12" display="https://us3.assetplanner.com/service_request?ID=100465" xr:uid="{3659F593-163E-4EA8-9AB3-D3E5D34F77D0}"/>
    <hyperlink ref="M9" r:id="rId13" display="https://us3.assetplanner.com/service_request?ID=100579" xr:uid="{0D9251D3-A15F-467E-8A54-D21FEE1D22B8}"/>
    <hyperlink ref="K10" r:id="rId14" display="https://us3.assetplanner.com/service_request?ID=095310" xr:uid="{E30593D0-6E8E-4CEB-A789-C4109558DF44}"/>
    <hyperlink ref="L10" r:id="rId15" display="https://us3.assetplanner.com/service_request?ID=100683" xr:uid="{55492261-4C68-4331-A874-2F88344F32D3}"/>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N322"/>
  <sheetViews>
    <sheetView zoomScale="80" zoomScaleNormal="80" workbookViewId="0">
      <pane xSplit="2" ySplit="3" topLeftCell="C4" activePane="bottomRight" state="frozen"/>
      <selection pane="bottomRight" activeCell="I19" sqref="I1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94" t="str" cm="1">
        <f t="array" ref="A1">portfolio</f>
        <v>Agilitas Energy</v>
      </c>
      <c r="B1" s="94"/>
      <c r="C1" s="94"/>
      <c r="D1" s="95" t="s">
        <v>111</v>
      </c>
      <c r="E1" s="95"/>
      <c r="F1" s="95"/>
      <c r="G1" s="93" t="s">
        <v>112</v>
      </c>
      <c r="H1" s="93"/>
      <c r="I1" s="93"/>
      <c r="J1" s="4"/>
      <c r="K1" s="4"/>
    </row>
    <row r="2" spans="1:14" ht="19.5" customHeight="1">
      <c r="A2" s="96" t="s">
        <v>2</v>
      </c>
      <c r="B2" s="96"/>
      <c r="C2" s="5">
        <f>SUM(C4:C80)</f>
        <v>2888611.2631954001</v>
      </c>
      <c r="D2" s="5">
        <f>SUM(D4:D80)</f>
        <v>2665133.7200000002</v>
      </c>
      <c r="E2" s="5">
        <f>C2-D2</f>
        <v>223477.54319539992</v>
      </c>
      <c r="F2" s="6">
        <f>IFERROR(E2/D2, 0)</f>
        <v>8.3852281601615064E-2</v>
      </c>
      <c r="G2" s="5">
        <f>SUM(G4:G80)</f>
        <v>1809259.65</v>
      </c>
      <c r="H2" s="7">
        <f>C2-G2</f>
        <v>1079351.6131954002</v>
      </c>
      <c r="I2" s="6">
        <f>IFERROR(H2/G2, 0)</f>
        <v>0.59657087538286735</v>
      </c>
      <c r="J2" s="24" t="str">
        <f ca="1">IF(AND(TODAY()&gt;DATE(2024, 5,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15.6">
      <c r="A4" s="30" t="str" cm="1">
        <f t="array" ref="A4:A10">Sites[Site]</f>
        <v>Rowley - Central Street Solar</v>
      </c>
      <c r="B4" s="27" t="str" cm="1">
        <f t="array" ref="B4:B10">Sites[State]</f>
        <v>MA</v>
      </c>
      <c r="C4" s="22">
        <v>77791.375</v>
      </c>
      <c r="D4" s="12">
        <v>78899.62</v>
      </c>
      <c r="E4" s="12">
        <f>IF(AND(ISNUMBER(C4),ISNUMBER(D4)), C4-D4, "")</f>
        <v>-1108.2449999999953</v>
      </c>
      <c r="F4" s="13">
        <f>IFERROR(E4/D4, "")</f>
        <v>-1.4046265368578396E-2</v>
      </c>
      <c r="G4" s="14">
        <v>88286.95</v>
      </c>
      <c r="H4" s="14">
        <f>IF(AND(ISNUMBER(C4),ISNUMBER(G4)), C4-G4, "")</f>
        <v>-10495.574999999997</v>
      </c>
      <c r="I4" s="15">
        <f>IFERROR(H4/G4, "")</f>
        <v>-0.11888025353690435</v>
      </c>
      <c r="J4" s="39" t="s">
        <v>113</v>
      </c>
      <c r="K4" s="59" t="s">
        <v>114</v>
      </c>
    </row>
    <row r="5" spans="1:14" ht="57.6">
      <c r="A5" s="28" t="str">
        <v>Auburn - Leicester Street Solar</v>
      </c>
      <c r="B5" s="29" t="str">
        <v>MA</v>
      </c>
      <c r="C5" s="11">
        <v>787814</v>
      </c>
      <c r="D5" s="16">
        <v>792633.2</v>
      </c>
      <c r="E5" s="16">
        <f t="shared" ref="E5:E6" si="0">IF(AND(ISNUMBER(C5),ISNUMBER(D5)), C5-D5, "")</f>
        <v>-4819.1999999999534</v>
      </c>
      <c r="F5" s="17">
        <f>IFERROR(E5/D5, "")</f>
        <v>-6.0799875654968197E-3</v>
      </c>
      <c r="G5" s="79">
        <v>0</v>
      </c>
      <c r="H5" s="18">
        <f t="shared" ref="H5:H6" si="1">IF(AND(ISNUMBER(C5),ISNUMBER(G5)), C5-G5, "")</f>
        <v>787814</v>
      </c>
      <c r="I5" s="17" t="str">
        <f t="shared" ref="I5:I6" si="2">IFERROR(H5/G5, "")</f>
        <v/>
      </c>
      <c r="J5" s="40" t="s">
        <v>115</v>
      </c>
      <c r="K5" s="60" t="s">
        <v>116</v>
      </c>
    </row>
    <row r="6" spans="1:14" ht="72">
      <c r="A6" s="26" t="str">
        <v>Rochester - Old Middleboro</v>
      </c>
      <c r="B6" s="27" t="str">
        <v>MA</v>
      </c>
      <c r="C6" s="22">
        <v>1174443.8881953999</v>
      </c>
      <c r="D6" s="12">
        <v>1006086</v>
      </c>
      <c r="E6" s="12">
        <f t="shared" si="0"/>
        <v>168357.88819539989</v>
      </c>
      <c r="F6" s="13">
        <f t="shared" ref="F6" si="3">IFERROR(E6/D6, "")</f>
        <v>0.16733946024037696</v>
      </c>
      <c r="G6" s="14">
        <v>788377.3</v>
      </c>
      <c r="H6" s="14">
        <f t="shared" si="1"/>
        <v>386066.58819539985</v>
      </c>
      <c r="I6" s="15">
        <f t="shared" si="2"/>
        <v>0.48969774776036784</v>
      </c>
      <c r="J6" s="39" t="s">
        <v>117</v>
      </c>
      <c r="K6" s="59" t="s">
        <v>118</v>
      </c>
    </row>
    <row r="7" spans="1:14" ht="15.6">
      <c r="A7" s="28" t="str">
        <v>Dover - Littleworth Road</v>
      </c>
      <c r="B7" s="29" t="str">
        <v>NH</v>
      </c>
      <c r="C7" s="11">
        <v>39141</v>
      </c>
      <c r="D7" s="16" t="s">
        <v>72</v>
      </c>
      <c r="E7" s="16" t="str">
        <f>IF(AND(ISNUMBER(C7),ISNUMBER(D7)), C7-D7, "")</f>
        <v/>
      </c>
      <c r="F7" s="17" t="str">
        <f>IFERROR(E7/D7, "")</f>
        <v/>
      </c>
      <c r="G7" s="79" t="s">
        <v>72</v>
      </c>
      <c r="H7" s="18" t="str">
        <f>IF(AND(ISNUMBER(C7),ISNUMBER(G7)), C7-G7, "")</f>
        <v/>
      </c>
      <c r="I7" s="17" t="str">
        <f>IFERROR(H7/G7, "")</f>
        <v/>
      </c>
      <c r="J7" s="40"/>
      <c r="K7" s="41"/>
    </row>
    <row r="8" spans="1:14" ht="72">
      <c r="A8" s="26" t="str">
        <v>Milton - Landfill</v>
      </c>
      <c r="B8" s="27" t="str">
        <v>NH</v>
      </c>
      <c r="C8" s="22">
        <v>95251</v>
      </c>
      <c r="D8" s="12" t="s">
        <v>72</v>
      </c>
      <c r="E8" s="12" t="str">
        <f>IF(AND(ISNUMBER(C8),ISNUMBER(D8)), C8-D8, "")</f>
        <v/>
      </c>
      <c r="F8" s="13" t="str">
        <f>IFERROR(E8/D8, "")</f>
        <v/>
      </c>
      <c r="G8" s="80" t="s">
        <v>72</v>
      </c>
      <c r="H8" s="14" t="str">
        <f>IF(AND(ISNUMBER(C8),ISNUMBER(G8)), C8-G8, "")</f>
        <v/>
      </c>
      <c r="I8" s="15" t="str">
        <f>IFERROR(H8/G8, "")</f>
        <v/>
      </c>
      <c r="J8" s="39" t="s">
        <v>119</v>
      </c>
      <c r="K8" s="59" t="s">
        <v>120</v>
      </c>
      <c r="L8" s="63" t="s">
        <v>102</v>
      </c>
      <c r="M8" s="63" t="s">
        <v>34</v>
      </c>
      <c r="N8" s="63" t="s">
        <v>103</v>
      </c>
    </row>
    <row r="9" spans="1:14" ht="115.15">
      <c r="A9" s="28" t="str">
        <v>Hopkinton - 71 Frankland Rd</v>
      </c>
      <c r="B9" s="29" t="str">
        <v>MA</v>
      </c>
      <c r="C9" s="11">
        <v>597928</v>
      </c>
      <c r="D9" s="16">
        <v>648303.80000000005</v>
      </c>
      <c r="E9" s="16">
        <f>IF(AND(ISNUMBER(C9),ISNUMBER(D9)), C9-D9, "")</f>
        <v>-50375.800000000047</v>
      </c>
      <c r="F9" s="17">
        <f>IFERROR(E9/D9, "")</f>
        <v>-7.7704002351983811E-2</v>
      </c>
      <c r="G9" s="18">
        <v>808954.2</v>
      </c>
      <c r="H9" s="18">
        <f>IF(AND(ISNUMBER(C9),ISNUMBER(G9)), C9-G9, "")</f>
        <v>-211026.19999999995</v>
      </c>
      <c r="I9" s="17">
        <f>IFERROR(H9/G9, "")</f>
        <v>-0.26086297592620195</v>
      </c>
      <c r="J9" s="40" t="s">
        <v>121</v>
      </c>
      <c r="K9" s="60" t="s">
        <v>122</v>
      </c>
      <c r="L9" s="63" t="s">
        <v>107</v>
      </c>
    </row>
    <row r="10" spans="1:14" ht="43.15">
      <c r="A10" s="26" t="str">
        <v>Dedham - 100 Rustcraft Rd</v>
      </c>
      <c r="B10" s="27" t="str">
        <v>MA</v>
      </c>
      <c r="C10" s="74">
        <v>116242</v>
      </c>
      <c r="D10" s="12">
        <v>139211.1</v>
      </c>
      <c r="E10" s="12">
        <f>IF(AND(ISNUMBER(C10),ISNUMBER(D10)), C10-D10, "")</f>
        <v>-22969.100000000006</v>
      </c>
      <c r="F10" s="75">
        <f>IFERROR(E10/D10, "")</f>
        <v>-0.16499474539027423</v>
      </c>
      <c r="G10" s="76">
        <v>123641.2</v>
      </c>
      <c r="H10" s="76">
        <f>IF(AND(ISNUMBER(C10),ISNUMBER(G10)), C10-G10, "")</f>
        <v>-7399.1999999999971</v>
      </c>
      <c r="I10" s="77">
        <f>IFERROR(H10/G10, "")</f>
        <v>-5.9844129626693991E-2</v>
      </c>
      <c r="J10" s="78" t="s">
        <v>123</v>
      </c>
      <c r="K10" s="82" t="s">
        <v>124</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6" priority="5" stopIfTrue="1" operator="lessThanOrEqual">
      <formula>-0.1</formula>
    </cfRule>
    <cfRule type="expression" dxfId="25" priority="6">
      <formula>AND(ISNUMBER(F2), F2&gt;=0.1)</formula>
    </cfRule>
  </conditionalFormatting>
  <conditionalFormatting sqref="F4:F80 I4:I80">
    <cfRule type="cellIs" dxfId="24" priority="1" stopIfTrue="1" operator="lessThanOrEqual">
      <formula>-0.1</formula>
    </cfRule>
    <cfRule type="expression" dxfId="23" priority="2">
      <formula>AND(ISNUMBER(F4), F4&gt;=0.1)</formula>
    </cfRule>
  </conditionalFormatting>
  <hyperlinks>
    <hyperlink ref="K4" r:id="rId1" display="https://us3.assetplanner.com/service_request?ID=102063" xr:uid="{BE3F44DA-5502-4F19-9E9D-FEFF286B5C25}"/>
    <hyperlink ref="K5" r:id="rId2" display="https://us3.assetplanner.com/service_request?ID=100953" xr:uid="{7B220C65-34B2-47D6-B9F1-7218D5F19DCD}"/>
    <hyperlink ref="K6" r:id="rId3" display="https://us3.assetplanner.com/service_request?ID=100978" xr:uid="{B9659DA2-83E3-481C-AD5D-166520660922}"/>
    <hyperlink ref="K8" r:id="rId4" display="https://us3.assetplanner.com/service_request?ID=092635" xr:uid="{5C942DFD-DD25-4A89-81CB-14F339E3DFA4}"/>
    <hyperlink ref="L8" r:id="rId5" display="https://us3.assetplanner.com/service_request?ID=100128" xr:uid="{5C476CD4-DE89-4737-A557-7BC4F61E8151}"/>
    <hyperlink ref="M8" r:id="rId6" display="https://us3.assetplanner.com/service_request?ID=094914" xr:uid="{677834E5-9F1F-4982-80DD-FB82D2CF7D75}"/>
    <hyperlink ref="N8" r:id="rId7" display="https://us3.assetplanner.com/service_request?ID=100127" xr:uid="{02528A3D-D626-428D-8C13-863E137D8178}"/>
    <hyperlink ref="K9" r:id="rId8" display="https://us3.assetplanner.com/service_request?ID=100959" xr:uid="{102F481D-B416-4403-8511-A2BEEFC8FF75}"/>
    <hyperlink ref="L9" r:id="rId9" display="https://us3.assetplanner.com/service_request?ID=100579" xr:uid="{AAEFFB74-E306-4BB1-90A6-1E706F98A175}"/>
    <hyperlink ref="K10" r:id="rId10" display="https://us3.assetplanner.com/service_request?ID=100683" xr:uid="{5FBD556B-8A96-4305-894C-0FC04CB50E7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C4" activePane="bottomRight" state="frozen"/>
      <selection pane="bottomRight" activeCell="K8" sqref="K8"/>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9"/>
  </cols>
  <sheetData>
    <row r="1" spans="1:14" ht="19.5" customHeight="1">
      <c r="A1" s="94" t="str" cm="1">
        <f t="array" ref="A1">portfolio</f>
        <v>Agilitas Energy</v>
      </c>
      <c r="B1" s="94"/>
      <c r="C1" s="94"/>
      <c r="D1" s="95" t="s">
        <v>125</v>
      </c>
      <c r="E1" s="95"/>
      <c r="F1" s="95"/>
      <c r="G1" s="93" t="s">
        <v>126</v>
      </c>
      <c r="H1" s="93"/>
      <c r="I1" s="93"/>
      <c r="J1" s="4"/>
      <c r="K1" s="4"/>
    </row>
    <row r="2" spans="1:14" ht="19.5" customHeight="1">
      <c r="A2" s="96" t="s">
        <v>2</v>
      </c>
      <c r="B2" s="96"/>
      <c r="C2" s="5">
        <f>SUM(C4:C80)</f>
        <v>3270045.69911427</v>
      </c>
      <c r="D2" s="5">
        <f>SUM(D4:D80)</f>
        <v>3011977.0600000005</v>
      </c>
      <c r="E2" s="5">
        <f>C2-D2</f>
        <v>258068.63911426952</v>
      </c>
      <c r="F2" s="6">
        <f>IFERROR(E2/D2, 0)</f>
        <v>8.5680811630839404E-2</v>
      </c>
      <c r="G2" s="5">
        <f>SUM(G4:G80)</f>
        <v>1844056.61</v>
      </c>
      <c r="H2" s="7">
        <f>C2-G2</f>
        <v>1425989.0891142699</v>
      </c>
      <c r="I2" s="6">
        <f>IFERROR(H2/G2, 0)</f>
        <v>0.77328921540769291</v>
      </c>
      <c r="J2" s="24" t="str">
        <f ca="1">IF(AND(TODAY()&gt;DATE(2024, 6,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15.6">
      <c r="A4" s="30" t="str" cm="1">
        <f t="array" ref="A4:A10">Sites[Site]</f>
        <v>Rowley - Central Street Solar</v>
      </c>
      <c r="B4" s="27" t="str" cm="1">
        <f t="array" ref="B4:B10">Sites[State]</f>
        <v>MA</v>
      </c>
      <c r="C4" s="22">
        <v>87131.375</v>
      </c>
      <c r="D4" s="12">
        <v>87924.86</v>
      </c>
      <c r="E4" s="12">
        <f>IF(AND(ISNUMBER(C4),ISNUMBER(D4)), C4-D4, "")</f>
        <v>-793.48500000000058</v>
      </c>
      <c r="F4" s="13">
        <f>IFERROR(E4/D4, "")</f>
        <v>-9.0245807613455464E-3</v>
      </c>
      <c r="G4" s="14">
        <v>85166.41</v>
      </c>
      <c r="H4" s="14">
        <f>IF(AND(ISNUMBER(C4),ISNUMBER(G4)), C4-G4, "")</f>
        <v>1964.9649999999965</v>
      </c>
      <c r="I4" s="15">
        <f>IFERROR(H4/G4, "")</f>
        <v>2.3072065618358183E-2</v>
      </c>
      <c r="J4" s="39"/>
      <c r="K4" s="39"/>
    </row>
    <row r="5" spans="1:14" ht="15.6">
      <c r="A5" s="28" t="str">
        <v>Auburn - Leicester Street Solar</v>
      </c>
      <c r="B5" s="29" t="str">
        <v>MA</v>
      </c>
      <c r="C5" s="11">
        <v>953864</v>
      </c>
      <c r="D5" s="16">
        <v>944591.2</v>
      </c>
      <c r="E5" s="16">
        <f t="shared" ref="E5:E10" si="0">IF(AND(ISNUMBER(C5),ISNUMBER(D5)), C5-D5, "")</f>
        <v>9272.8000000000466</v>
      </c>
      <c r="F5" s="17">
        <f>IFERROR(E5/D5, "")</f>
        <v>9.8167334186471857E-3</v>
      </c>
      <c r="G5" s="18">
        <v>0</v>
      </c>
      <c r="H5" s="18">
        <f t="shared" ref="H5:H10" si="1">IF(AND(ISNUMBER(C5),ISNUMBER(G5)), C5-G5, "")</f>
        <v>953864</v>
      </c>
      <c r="I5" s="17" t="str">
        <f t="shared" ref="I5:I10" si="2">IFERROR(H5/G5, "")</f>
        <v/>
      </c>
      <c r="J5" s="40"/>
      <c r="K5" s="40"/>
    </row>
    <row r="6" spans="1:14" ht="15.6">
      <c r="A6" s="26" t="str">
        <v>Rochester - Old Middleboro</v>
      </c>
      <c r="B6" s="27" t="str">
        <v>MA</v>
      </c>
      <c r="C6" s="22">
        <v>1267172.32411427</v>
      </c>
      <c r="D6" s="12">
        <v>1055527</v>
      </c>
      <c r="E6" s="12">
        <f t="shared" si="0"/>
        <v>211645.32411427004</v>
      </c>
      <c r="F6" s="13">
        <f t="shared" ref="F6:F10" si="3">IFERROR(E6/D6, "")</f>
        <v>0.20051152089361052</v>
      </c>
      <c r="G6" s="14">
        <v>799107.7</v>
      </c>
      <c r="H6" s="14">
        <f t="shared" si="1"/>
        <v>468064.62411427009</v>
      </c>
      <c r="I6" s="15">
        <f t="shared" si="2"/>
        <v>0.58573409330716009</v>
      </c>
      <c r="J6" s="39"/>
      <c r="K6" s="39"/>
    </row>
    <row r="7" spans="1:14" ht="15.6">
      <c r="A7" s="28" t="str">
        <v>Dover - Littleworth Road</v>
      </c>
      <c r="B7" s="29" t="str">
        <v>NH</v>
      </c>
      <c r="C7" s="11">
        <v>44814</v>
      </c>
      <c r="D7" s="16" t="s">
        <v>72</v>
      </c>
      <c r="E7" s="16" t="str">
        <f t="shared" si="0"/>
        <v/>
      </c>
      <c r="F7" s="17" t="str">
        <f t="shared" si="3"/>
        <v/>
      </c>
      <c r="G7" s="67" t="s">
        <v>72</v>
      </c>
      <c r="H7" s="18" t="str">
        <f t="shared" si="1"/>
        <v/>
      </c>
      <c r="I7" s="17" t="str">
        <f t="shared" si="2"/>
        <v/>
      </c>
      <c r="J7" s="40"/>
      <c r="K7" s="41"/>
    </row>
    <row r="8" spans="1:14" ht="34.9" customHeight="1">
      <c r="A8" s="26" t="str">
        <v>Milton - Landfill</v>
      </c>
      <c r="B8" s="27" t="str">
        <v>NH</v>
      </c>
      <c r="C8" s="22">
        <v>113821</v>
      </c>
      <c r="D8" s="12" t="s">
        <v>72</v>
      </c>
      <c r="E8" s="12" t="str">
        <f t="shared" si="0"/>
        <v/>
      </c>
      <c r="F8" s="13" t="str">
        <f t="shared" si="3"/>
        <v/>
      </c>
      <c r="G8" s="68" t="s">
        <v>72</v>
      </c>
      <c r="H8" s="14" t="str">
        <f t="shared" si="1"/>
        <v/>
      </c>
      <c r="I8" s="15" t="str">
        <f t="shared" si="2"/>
        <v/>
      </c>
      <c r="J8" s="39" t="s">
        <v>127</v>
      </c>
      <c r="K8" s="59" t="s">
        <v>128</v>
      </c>
      <c r="L8" s="62" t="s">
        <v>102</v>
      </c>
    </row>
    <row r="9" spans="1:14" ht="57.6">
      <c r="A9" s="28" t="str">
        <v>Hopkinton - 71 Frankland Rd</v>
      </c>
      <c r="B9" s="29" t="str">
        <v>MA</v>
      </c>
      <c r="C9" s="11">
        <v>685102</v>
      </c>
      <c r="D9" s="16">
        <v>777991.3</v>
      </c>
      <c r="E9" s="16">
        <f t="shared" si="0"/>
        <v>-92889.300000000047</v>
      </c>
      <c r="F9" s="13">
        <f t="shared" si="3"/>
        <v>-0.1193963222982057</v>
      </c>
      <c r="G9" s="18">
        <v>829231.8</v>
      </c>
      <c r="H9" s="18">
        <f t="shared" si="1"/>
        <v>-144129.80000000005</v>
      </c>
      <c r="I9" s="17">
        <f t="shared" si="2"/>
        <v>-0.17381123106952728</v>
      </c>
      <c r="J9" s="52" t="s">
        <v>129</v>
      </c>
      <c r="K9" s="60" t="s">
        <v>130</v>
      </c>
      <c r="L9" s="62" t="s">
        <v>131</v>
      </c>
      <c r="M9" s="62" t="s">
        <v>132</v>
      </c>
    </row>
    <row r="10" spans="1:14" ht="100.9">
      <c r="A10" s="26" t="str">
        <v>Dedham - 100 Rustcraft Rd</v>
      </c>
      <c r="B10" s="27" t="str">
        <v>MA</v>
      </c>
      <c r="C10" s="22">
        <v>118141</v>
      </c>
      <c r="D10" s="12">
        <v>145942.70000000001</v>
      </c>
      <c r="E10" s="12">
        <f t="shared" si="0"/>
        <v>-27801.700000000012</v>
      </c>
      <c r="F10" s="13">
        <f t="shared" si="3"/>
        <v>-0.1904973664321683</v>
      </c>
      <c r="G10" s="14">
        <v>130550.7</v>
      </c>
      <c r="H10" s="14">
        <f t="shared" si="1"/>
        <v>-12409.699999999997</v>
      </c>
      <c r="I10" s="15">
        <f t="shared" si="2"/>
        <v>-9.5056556571508216E-2</v>
      </c>
      <c r="J10" s="39" t="s">
        <v>133</v>
      </c>
      <c r="K10" s="59" t="s">
        <v>134</v>
      </c>
      <c r="L10" s="62" t="s">
        <v>135</v>
      </c>
      <c r="M10" s="62" t="s">
        <v>136</v>
      </c>
      <c r="N10" s="62" t="s">
        <v>137</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2" priority="5" stopIfTrue="1" operator="lessThanOrEqual">
      <formula>-0.1</formula>
    </cfRule>
    <cfRule type="expression" dxfId="21" priority="6">
      <formula>AND(ISNUMBER(F2), F2&gt;=0.1)</formula>
    </cfRule>
  </conditionalFormatting>
  <conditionalFormatting sqref="F4:F80 I4:I80">
    <cfRule type="cellIs" dxfId="20" priority="1" stopIfTrue="1" operator="lessThanOrEqual">
      <formula>-0.1</formula>
    </cfRule>
    <cfRule type="expression" dxfId="19" priority="2">
      <formula>AND(ISNUMBER(F4), F4&gt;=0.1)</formula>
    </cfRule>
  </conditionalFormatting>
  <hyperlinks>
    <hyperlink ref="K8" r:id="rId1" display="https://us3.assetplanner.com/service_request?ID=100127" xr:uid="{479572E1-5DC1-4EC0-BD4C-7BD520821961}"/>
    <hyperlink ref="L8" r:id="rId2" display="https://us3.assetplanner.com/service_request?ID=100128" xr:uid="{EC6DBFEB-CEF9-4E95-B72B-FAB9337F2C59}"/>
    <hyperlink ref="K9" r:id="rId3" display="https://us3.assetplanner.com/service_request?ID=103034" xr:uid="{D2B51AE0-EDB5-4225-9476-323FEC6A37B3}"/>
    <hyperlink ref="L9" r:id="rId4" display="https://us3.assetplanner.com/service_request?ID=100959" xr:uid="{AB50A0B5-D67E-49FD-A8D7-C2D403F94BFC}"/>
    <hyperlink ref="M9" r:id="rId5" display="https://us3.assetplanner.com/service_request?ID=102318" xr:uid="{A5F45DB2-04EC-4644-84F3-E4E243634463}"/>
    <hyperlink ref="K10" r:id="rId6" display="https://us3.assetplanner.com/service_request?ID=102869" xr:uid="{BDF25E3C-BCD2-4794-9EE8-F2B43DF7D0B9}"/>
    <hyperlink ref="L10" r:id="rId7" display="https://us3.assetplanner.com/service_request?ID=102863" xr:uid="{DAB5A022-21BE-431B-BC27-2DB14B3579E4}"/>
    <hyperlink ref="M10" r:id="rId8" display="https://us3.assetplanner.com/service_request?ID=102972" xr:uid="{E5473829-9290-4F39-8F6F-564297B5A732}"/>
    <hyperlink ref="N10" r:id="rId9" display="https://us3.assetplanner.com/service_request?ID=102438" xr:uid="{F91E3498-9D1A-4FC9-A946-FFFBCA87F1F7}"/>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M322"/>
  <sheetViews>
    <sheetView zoomScale="70" zoomScaleNormal="70" workbookViewId="0">
      <pane xSplit="2" ySplit="3" topLeftCell="E4" activePane="bottomRight" state="frozen"/>
      <selection pane="bottomRight" activeCell="E22" sqref="E22"/>
      <selection pane="bottomLeft" activeCell="G13" sqref="G13"/>
      <selection pane="topRight" activeCell="G13" sqref="G13"/>
    </sheetView>
  </sheetViews>
  <sheetFormatPr defaultRowHeight="13.9"/>
  <cols>
    <col min="1" max="1" width="35.855468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 min="12" max="13" width="9.140625" style="84"/>
  </cols>
  <sheetData>
    <row r="1" spans="1:13" ht="19.5" customHeight="1">
      <c r="A1" s="94" t="str" cm="1">
        <f t="array" ref="A1">portfolio</f>
        <v>Agilitas Energy</v>
      </c>
      <c r="B1" s="94"/>
      <c r="C1" s="94"/>
      <c r="D1" s="95" t="s">
        <v>138</v>
      </c>
      <c r="E1" s="95"/>
      <c r="F1" s="95"/>
      <c r="G1" s="93" t="s">
        <v>139</v>
      </c>
      <c r="H1" s="93"/>
      <c r="I1" s="93"/>
      <c r="J1" s="4"/>
      <c r="K1" s="4"/>
    </row>
    <row r="2" spans="1:13" ht="19.5" customHeight="1">
      <c r="A2" s="96" t="s">
        <v>2</v>
      </c>
      <c r="B2" s="96"/>
      <c r="C2" s="5">
        <f>SUM(C4:C80)</f>
        <v>3204807.6543380804</v>
      </c>
      <c r="D2" s="5">
        <f>SUM(D4:D80)</f>
        <v>3121865.45</v>
      </c>
      <c r="E2" s="5">
        <f>C2-D2</f>
        <v>82942.20433808025</v>
      </c>
      <c r="F2" s="6">
        <f>IFERROR(E2/D2, 0)</f>
        <v>2.656815473520175E-2</v>
      </c>
      <c r="G2" s="5">
        <f>SUM(G4:G80)</f>
        <v>1944524.2000000002</v>
      </c>
      <c r="H2" s="7">
        <f>C2-G2</f>
        <v>1260283.4543380802</v>
      </c>
      <c r="I2" s="6">
        <f>IFERROR(H2/G2, 0)</f>
        <v>0.6481191925192189</v>
      </c>
      <c r="J2" s="24" t="str">
        <f ca="1">IF(AND(TODAY()&gt;DATE(2024, 7, 1), COUNTA(Sites[Site])&lt;&gt;(COUNT(C:C)-1)), "Some sites are missing actual data; if new sites were added, make sure they are aligned correctly (including prior months!)", "")</f>
        <v/>
      </c>
      <c r="K2" s="4"/>
    </row>
    <row r="3" spans="1:13" ht="14.25" customHeight="1">
      <c r="A3" s="8" t="s">
        <v>3</v>
      </c>
      <c r="B3" s="8" t="s">
        <v>4</v>
      </c>
      <c r="C3" s="21" t="s">
        <v>5</v>
      </c>
      <c r="D3" s="33" t="s">
        <v>6</v>
      </c>
      <c r="E3" s="33" t="s">
        <v>7</v>
      </c>
      <c r="F3" s="34" t="s">
        <v>8</v>
      </c>
      <c r="G3" s="35" t="s">
        <v>9</v>
      </c>
      <c r="H3" s="36" t="s">
        <v>7</v>
      </c>
      <c r="I3" s="37" t="s">
        <v>8</v>
      </c>
      <c r="J3" s="23" t="s">
        <v>20</v>
      </c>
      <c r="K3" s="23" t="s">
        <v>21</v>
      </c>
    </row>
    <row r="4" spans="1:13" ht="15.6">
      <c r="A4" s="30" t="str" cm="1">
        <f t="array" ref="A4:A10">Sites[Site]</f>
        <v>Rowley - Central Street Solar</v>
      </c>
      <c r="B4" s="27" t="str" cm="1">
        <f t="array" ref="B4:B10">Sites[State]</f>
        <v>MA</v>
      </c>
      <c r="C4" s="22">
        <v>97741.000000000204</v>
      </c>
      <c r="D4" s="12">
        <v>98263.55</v>
      </c>
      <c r="E4" s="12">
        <f>IF(AND(ISNUMBER(C4),ISNUMBER(D4)), C4-D4, "")</f>
        <v>-522.54999999979918</v>
      </c>
      <c r="F4" s="13">
        <f>IFERROR(E4/D4, "")</f>
        <v>-5.317841661529623E-3</v>
      </c>
      <c r="G4" s="14">
        <v>93151.6</v>
      </c>
      <c r="H4" s="14">
        <f>IF(AND(ISNUMBER(C4),ISNUMBER(G4)), C4-G4, "")</f>
        <v>4589.4000000001979</v>
      </c>
      <c r="I4" s="15">
        <f>IFERROR(H4/G4, "")</f>
        <v>4.926807483714931E-2</v>
      </c>
      <c r="J4" s="39" t="s">
        <v>140</v>
      </c>
      <c r="K4" s="59" t="s">
        <v>141</v>
      </c>
    </row>
    <row r="5" spans="1:13" ht="57.6">
      <c r="A5" s="28" t="str">
        <v>Auburn - Leicester Street Solar</v>
      </c>
      <c r="B5" s="29" t="str">
        <v>MA</v>
      </c>
      <c r="C5" s="11">
        <v>983381</v>
      </c>
      <c r="D5" s="16">
        <v>1037504</v>
      </c>
      <c r="E5" s="16">
        <f t="shared" ref="E5:E10" si="0">IF(AND(ISNUMBER(C5),ISNUMBER(D5)), C5-D5, "")</f>
        <v>-54123</v>
      </c>
      <c r="F5" s="17">
        <f>IFERROR(E5/D5, "")</f>
        <v>-5.2166545863919563E-2</v>
      </c>
      <c r="G5" s="18">
        <v>0</v>
      </c>
      <c r="H5" s="18">
        <f t="shared" ref="H5:H10" si="1">IF(AND(ISNUMBER(C5),ISNUMBER(G5)), C5-G5, "")</f>
        <v>983381</v>
      </c>
      <c r="I5" s="17" t="str">
        <f t="shared" ref="I5:I10" si="2">IFERROR(H5/G5, "")</f>
        <v/>
      </c>
      <c r="J5" s="52" t="s">
        <v>142</v>
      </c>
      <c r="K5" s="61" t="s">
        <v>143</v>
      </c>
      <c r="L5" s="63" t="s">
        <v>144</v>
      </c>
    </row>
    <row r="6" spans="1:13" ht="43.15">
      <c r="A6" s="26" t="str">
        <v>Rochester - Old Middleboro</v>
      </c>
      <c r="B6" s="27" t="str">
        <v>MA</v>
      </c>
      <c r="C6" s="22">
        <v>1097546.65433808</v>
      </c>
      <c r="D6" s="12">
        <v>969831.3</v>
      </c>
      <c r="E6" s="12">
        <f>IF(AND(ISNUMBER(C6),ISNUMBER(D6)), C6-D6, "")</f>
        <v>127715.35433807992</v>
      </c>
      <c r="F6" s="13">
        <f t="shared" ref="F6:F10" si="3">IFERROR(E6/D6, "")</f>
        <v>0.13168821663940927</v>
      </c>
      <c r="G6" s="14">
        <v>813075.1</v>
      </c>
      <c r="H6" s="14">
        <f t="shared" si="1"/>
        <v>284471.55433807999</v>
      </c>
      <c r="I6" s="15">
        <f t="shared" si="2"/>
        <v>0.34987119189614835</v>
      </c>
      <c r="J6" s="39" t="s">
        <v>145</v>
      </c>
      <c r="K6" s="59" t="s">
        <v>146</v>
      </c>
    </row>
    <row r="7" spans="1:13" ht="15.6">
      <c r="A7" s="28" t="str">
        <v>Dover - Littleworth Road</v>
      </c>
      <c r="B7" s="29" t="str">
        <v>NH</v>
      </c>
      <c r="C7" s="11">
        <v>44814</v>
      </c>
      <c r="D7" s="16" t="s">
        <v>72</v>
      </c>
      <c r="E7" s="16" t="str">
        <f t="shared" si="0"/>
        <v/>
      </c>
      <c r="F7" s="17" t="str">
        <f t="shared" si="3"/>
        <v/>
      </c>
      <c r="G7" s="67" t="s">
        <v>72</v>
      </c>
      <c r="H7" s="18" t="str">
        <f t="shared" si="1"/>
        <v/>
      </c>
      <c r="I7" s="17" t="str">
        <f t="shared" si="2"/>
        <v/>
      </c>
      <c r="J7" s="56"/>
      <c r="K7" s="83"/>
    </row>
    <row r="8" spans="1:13" ht="43.15">
      <c r="A8" s="26" t="str">
        <v>Milton - Landfill</v>
      </c>
      <c r="B8" s="27" t="str">
        <v>NH</v>
      </c>
      <c r="C8" s="22">
        <v>113821</v>
      </c>
      <c r="D8" s="12" t="s">
        <v>72</v>
      </c>
      <c r="E8" s="12" t="str">
        <f t="shared" si="0"/>
        <v/>
      </c>
      <c r="F8" s="13" t="str">
        <f t="shared" si="3"/>
        <v/>
      </c>
      <c r="G8" s="68" t="s">
        <v>72</v>
      </c>
      <c r="H8" s="14" t="str">
        <f t="shared" si="1"/>
        <v/>
      </c>
      <c r="I8" s="15" t="str">
        <f t="shared" si="2"/>
        <v/>
      </c>
      <c r="J8" s="39" t="s">
        <v>147</v>
      </c>
      <c r="K8" s="59" t="s">
        <v>148</v>
      </c>
      <c r="L8" s="63" t="s">
        <v>102</v>
      </c>
      <c r="M8" s="63" t="s">
        <v>149</v>
      </c>
    </row>
    <row r="9" spans="1:13" ht="58.15" customHeight="1">
      <c r="A9" s="28" t="str">
        <v>Hopkinton - 71 Frankland Rd</v>
      </c>
      <c r="B9" s="29" t="str">
        <v>MA</v>
      </c>
      <c r="C9" s="11">
        <v>727229</v>
      </c>
      <c r="D9" s="16">
        <v>837059.5</v>
      </c>
      <c r="E9" s="16">
        <f t="shared" si="0"/>
        <v>-109830.5</v>
      </c>
      <c r="F9" s="17">
        <f t="shared" si="3"/>
        <v>-0.13120990801729149</v>
      </c>
      <c r="G9" s="18">
        <v>903244.9</v>
      </c>
      <c r="H9" s="18">
        <f t="shared" si="1"/>
        <v>-176015.90000000002</v>
      </c>
      <c r="I9" s="17">
        <f t="shared" si="2"/>
        <v>-0.19487062700270991</v>
      </c>
      <c r="J9" s="56" t="s">
        <v>150</v>
      </c>
      <c r="K9" s="61" t="s">
        <v>151</v>
      </c>
      <c r="L9" s="63" t="s">
        <v>152</v>
      </c>
    </row>
    <row r="10" spans="1:13" ht="43.15">
      <c r="A10" s="26" t="str">
        <v>Dedham - 100 Rustcraft Rd</v>
      </c>
      <c r="B10" s="27" t="str">
        <v>MA</v>
      </c>
      <c r="C10" s="22">
        <v>140275</v>
      </c>
      <c r="D10" s="12">
        <v>179207.1</v>
      </c>
      <c r="E10" s="12">
        <f t="shared" si="0"/>
        <v>-38932.100000000006</v>
      </c>
      <c r="F10" s="13">
        <f t="shared" si="3"/>
        <v>-0.21724641490208818</v>
      </c>
      <c r="G10" s="14">
        <v>135052.6</v>
      </c>
      <c r="H10" s="14">
        <f t="shared" si="1"/>
        <v>5222.3999999999942</v>
      </c>
      <c r="I10" s="15">
        <f t="shared" si="2"/>
        <v>3.8669377709129586E-2</v>
      </c>
      <c r="J10" s="39" t="s">
        <v>153</v>
      </c>
      <c r="K10" s="59" t="s">
        <v>154</v>
      </c>
    </row>
    <row r="11" spans="1:13" ht="14.45">
      <c r="A11" s="19"/>
      <c r="B11" s="31"/>
      <c r="C11" s="19"/>
      <c r="D11" s="19"/>
      <c r="E11" s="19"/>
      <c r="F11" s="19"/>
      <c r="G11" s="19"/>
      <c r="H11" s="19"/>
      <c r="I11" s="19"/>
      <c r="J11" s="19"/>
      <c r="K11" s="19"/>
    </row>
    <row r="12" spans="1:13" ht="14.45">
      <c r="A12" s="19"/>
      <c r="B12" s="31"/>
      <c r="C12" s="19"/>
      <c r="D12" s="19"/>
      <c r="E12" s="19"/>
      <c r="F12" s="19"/>
      <c r="G12" s="19"/>
      <c r="H12" s="19"/>
      <c r="I12" s="19"/>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8" priority="5" stopIfTrue="1" operator="lessThanOrEqual">
      <formula>-0.1</formula>
    </cfRule>
    <cfRule type="expression" dxfId="17" priority="6">
      <formula>AND(ISNUMBER(F2), F2&gt;=0.1)</formula>
    </cfRule>
  </conditionalFormatting>
  <conditionalFormatting sqref="F4:F80 I4:I80">
    <cfRule type="cellIs" dxfId="16" priority="1" stopIfTrue="1" operator="lessThanOrEqual">
      <formula>-0.1</formula>
    </cfRule>
    <cfRule type="expression" dxfId="15" priority="2">
      <formula>AND(ISNUMBER(F4), F4&gt;=0.1)</formula>
    </cfRule>
  </conditionalFormatting>
  <hyperlinks>
    <hyperlink ref="K8" r:id="rId1" display="https://us3.assetplanner.com/service_request?ID=100127" xr:uid="{82FEA7F7-AEB4-43DD-B9C0-3CCD0F1CE521}"/>
    <hyperlink ref="K4" r:id="rId2" display="https://us3.assetplanner.com/service_request?ID=105168" xr:uid="{3FC523BE-385B-4F69-81F9-29CA79E11186}"/>
    <hyperlink ref="K5" r:id="rId3" display="https://us3.assetplanner.com/service_request?ID=102892" xr:uid="{CF909D8D-6B40-4529-8144-7C469672EF16}"/>
    <hyperlink ref="L5" r:id="rId4" display="https://us3.assetplanner.com/service_request?ID=104167" xr:uid="{B7538A38-AA71-4F81-9BAE-7F83D06DD347}"/>
    <hyperlink ref="K6" r:id="rId5" display="https://us3.assetplanner.com/service_request?ID=103997" xr:uid="{2ED136AE-B5D4-4FA3-B0C3-917A74E7EA3A}"/>
    <hyperlink ref="L8" r:id="rId6" display="https://us3.assetplanner.com/service_request?ID=100128" xr:uid="{E49D7541-D5B7-405D-8D93-5762E19B50D4}"/>
    <hyperlink ref="M8" r:id="rId7" display="https://us3.assetplanner.com/service_request?ID=105359" xr:uid="{5D24E5C4-3E32-43C3-83CF-62E2B3247C5D}"/>
    <hyperlink ref="K9" r:id="rId8" display="https://us3.assetplanner.com/service_request?ID=103034" xr:uid="{6C0A8F88-C428-4594-AFD1-F38480848825}"/>
    <hyperlink ref="L9" r:id="rId9" display="https://us3.assetplanner.com/service_request?ID=103844" xr:uid="{55DA7DF7-6828-472E-9447-17988438134F}"/>
    <hyperlink ref="K10" r:id="rId10" display="https://us3.assetplanner.com/service_request?ID=102438" xr:uid="{5AE19EE1-C887-4823-863C-8B59E7205F1D}"/>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Q322"/>
  <sheetViews>
    <sheetView zoomScale="70" zoomScaleNormal="70" workbookViewId="0">
      <pane xSplit="2" ySplit="3" topLeftCell="C4" activePane="bottomRight" state="frozen"/>
      <selection pane="bottomRight" activeCell="J10" sqref="J10"/>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7" width="8.85546875" style="69"/>
  </cols>
  <sheetData>
    <row r="1" spans="1:16" ht="19.5" customHeight="1">
      <c r="A1" s="94" t="str" cm="1">
        <f t="array" ref="A1">portfolio</f>
        <v>Agilitas Energy</v>
      </c>
      <c r="B1" s="94"/>
      <c r="C1" s="94"/>
      <c r="D1" s="95" t="s">
        <v>155</v>
      </c>
      <c r="E1" s="95"/>
      <c r="F1" s="95"/>
      <c r="G1" s="93" t="s">
        <v>156</v>
      </c>
      <c r="H1" s="93"/>
      <c r="I1" s="93"/>
      <c r="J1" s="4"/>
      <c r="K1" s="4"/>
    </row>
    <row r="2" spans="1:16" ht="19.5" customHeight="1">
      <c r="A2" s="96" t="s">
        <v>2</v>
      </c>
      <c r="B2" s="96"/>
      <c r="C2" s="5">
        <f>SUM(C4:C80)</f>
        <v>3816929.0190168098</v>
      </c>
      <c r="D2" s="5">
        <f>SUM(D4:D80)</f>
        <v>3388690.6999999997</v>
      </c>
      <c r="E2" s="5">
        <f>C2-D2</f>
        <v>428238.31901681004</v>
      </c>
      <c r="F2" s="6">
        <f>IFERROR(E2/D2, 0)</f>
        <v>0.12637279614123828</v>
      </c>
      <c r="G2" s="5">
        <f>SUM(G4:G80)</f>
        <v>1807621.0500000003</v>
      </c>
      <c r="H2" s="7">
        <f>C2-G2</f>
        <v>2009307.9690168095</v>
      </c>
      <c r="I2" s="6">
        <f>IFERROR(H2/G2, 0)</f>
        <v>1.1115758853421236</v>
      </c>
      <c r="J2" s="24" t="str">
        <f ca="1">IF(AND(TODAY()&gt;DATE(2024, 8, 1), COUNTA(Sites[Site])&lt;&gt;(COUNT(C:C)-1)), "Some sites are missing actual data; if new sites were added, make sure they are aligned correctly (including prior months!)", "")</f>
        <v/>
      </c>
      <c r="K2" s="4"/>
    </row>
    <row r="3" spans="1:16" ht="14.25" customHeight="1">
      <c r="A3" s="8" t="s">
        <v>3</v>
      </c>
      <c r="B3" s="8" t="s">
        <v>4</v>
      </c>
      <c r="C3" s="21" t="s">
        <v>5</v>
      </c>
      <c r="D3" s="33" t="s">
        <v>6</v>
      </c>
      <c r="E3" s="33" t="s">
        <v>7</v>
      </c>
      <c r="F3" s="34" t="s">
        <v>8</v>
      </c>
      <c r="G3" s="35" t="s">
        <v>9</v>
      </c>
      <c r="H3" s="36" t="s">
        <v>7</v>
      </c>
      <c r="I3" s="37" t="s">
        <v>8</v>
      </c>
      <c r="J3" s="23" t="s">
        <v>20</v>
      </c>
      <c r="K3" s="23" t="s">
        <v>21</v>
      </c>
    </row>
    <row r="4" spans="1:16" ht="15.6">
      <c r="A4" s="30" t="str" cm="1">
        <f t="array" ref="A4:A10">Sites[Site]</f>
        <v>Rowley - Central Street Solar</v>
      </c>
      <c r="B4" s="27" t="str" cm="1">
        <f t="array" ref="B4:B10">Sites[State]</f>
        <v>MA</v>
      </c>
      <c r="C4" s="22">
        <v>102645.25</v>
      </c>
      <c r="D4" s="12">
        <v>104156.4</v>
      </c>
      <c r="E4" s="12">
        <f>IF(AND(ISNUMBER(C4),ISNUMBER(D4)), C4-D4, "")</f>
        <v>-1511.1499999999942</v>
      </c>
      <c r="F4" s="13">
        <f>IFERROR(E4/D4, "")</f>
        <v>-1.4508469954798689E-2</v>
      </c>
      <c r="G4" s="14">
        <v>88622.55</v>
      </c>
      <c r="H4" s="14">
        <f>IF(AND(ISNUMBER(C4),ISNUMBER(G4)), C4-G4, "")</f>
        <v>14022.699999999997</v>
      </c>
      <c r="I4" s="15">
        <f>IFERROR(H4/G4, "")</f>
        <v>0.15822947996869868</v>
      </c>
      <c r="J4" s="39" t="s">
        <v>157</v>
      </c>
      <c r="K4" s="59" t="s">
        <v>158</v>
      </c>
    </row>
    <row r="5" spans="1:16" ht="43.15">
      <c r="A5" s="28" t="str">
        <v>Auburn - Leicester Street Solar</v>
      </c>
      <c r="B5" s="29" t="str">
        <v>MA</v>
      </c>
      <c r="C5" s="11">
        <v>1040885.33333334</v>
      </c>
      <c r="D5" s="16">
        <v>1110733</v>
      </c>
      <c r="E5" s="16">
        <f t="shared" ref="E5:E10" si="0">IF(AND(ISNUMBER(C5),ISNUMBER(D5)), C5-D5, "")</f>
        <v>-69847.666666659992</v>
      </c>
      <c r="F5" s="17">
        <f>IFERROR(E5/D5, "")</f>
        <v>-6.2884299527123072E-2</v>
      </c>
      <c r="G5" s="18">
        <v>0</v>
      </c>
      <c r="H5" s="18">
        <f t="shared" ref="H5:H10" si="1">IF(AND(ISNUMBER(C5),ISNUMBER(G5)), C5-G5, "")</f>
        <v>1040885.33333334</v>
      </c>
      <c r="I5" s="17" t="str">
        <f t="shared" ref="I5:I10" si="2">IFERROR(H5/G5, "")</f>
        <v/>
      </c>
      <c r="J5" s="40" t="s">
        <v>159</v>
      </c>
      <c r="K5" s="85" t="s">
        <v>160</v>
      </c>
      <c r="L5" s="62" t="s">
        <v>161</v>
      </c>
    </row>
    <row r="6" spans="1:16" ht="43.15">
      <c r="A6" s="26" t="str">
        <v>Rochester - Old Middleboro</v>
      </c>
      <c r="B6" s="27" t="str">
        <v>MA</v>
      </c>
      <c r="C6" s="22">
        <v>1386296.93568347</v>
      </c>
      <c r="D6" s="12">
        <v>1123116</v>
      </c>
      <c r="E6" s="12">
        <f t="shared" si="0"/>
        <v>263180.93568346999</v>
      </c>
      <c r="F6" s="13">
        <f t="shared" ref="F6:F10" si="3">IFERROR(E6/D6, "")</f>
        <v>0.23433103587115667</v>
      </c>
      <c r="G6" s="14">
        <v>758988.9</v>
      </c>
      <c r="H6" s="14">
        <f t="shared" si="1"/>
        <v>627308.03568346996</v>
      </c>
      <c r="I6" s="15">
        <f t="shared" si="2"/>
        <v>0.82650488786261556</v>
      </c>
      <c r="J6" s="39" t="s">
        <v>162</v>
      </c>
      <c r="K6" s="59" t="s">
        <v>163</v>
      </c>
      <c r="L6" s="62" t="s">
        <v>164</v>
      </c>
    </row>
    <row r="7" spans="1:16" ht="15.6">
      <c r="A7" s="28" t="str">
        <v>Dover - Littleworth Road</v>
      </c>
      <c r="B7" s="29" t="str">
        <v>NH</v>
      </c>
      <c r="C7" s="11">
        <v>237731</v>
      </c>
      <c r="D7" s="16" t="s">
        <v>72</v>
      </c>
      <c r="E7" s="16" t="str">
        <f t="shared" si="0"/>
        <v/>
      </c>
      <c r="F7" s="17" t="str">
        <f t="shared" si="3"/>
        <v/>
      </c>
      <c r="G7" s="79" t="s">
        <v>72</v>
      </c>
      <c r="H7" s="18" t="str">
        <f t="shared" si="1"/>
        <v/>
      </c>
      <c r="I7" s="17" t="str">
        <f t="shared" si="2"/>
        <v/>
      </c>
      <c r="J7" s="40"/>
      <c r="K7" s="41"/>
    </row>
    <row r="8" spans="1:16" ht="80.650000000000006" customHeight="1">
      <c r="A8" s="26" t="str">
        <v>Milton - Landfill</v>
      </c>
      <c r="B8" s="27" t="str">
        <v>NH</v>
      </c>
      <c r="C8" s="22">
        <v>129632</v>
      </c>
      <c r="D8" s="12" t="s">
        <v>72</v>
      </c>
      <c r="E8" s="12" t="str">
        <f t="shared" si="0"/>
        <v/>
      </c>
      <c r="F8" s="13" t="str">
        <f t="shared" si="3"/>
        <v/>
      </c>
      <c r="G8" s="68" t="s">
        <v>72</v>
      </c>
      <c r="H8" s="14" t="str">
        <f t="shared" si="1"/>
        <v/>
      </c>
      <c r="I8" s="15" t="str">
        <f t="shared" si="2"/>
        <v/>
      </c>
      <c r="J8" s="39" t="s">
        <v>165</v>
      </c>
      <c r="K8" s="59" t="s">
        <v>166</v>
      </c>
      <c r="L8" s="62" t="s">
        <v>167</v>
      </c>
      <c r="M8" s="62" t="s">
        <v>168</v>
      </c>
      <c r="N8" s="62" t="s">
        <v>103</v>
      </c>
      <c r="O8" s="62" t="s">
        <v>169</v>
      </c>
      <c r="P8" s="62" t="s">
        <v>102</v>
      </c>
    </row>
    <row r="9" spans="1:16" ht="73.5" customHeight="1">
      <c r="A9" s="28" t="str">
        <v>Hopkinton - 71 Frankland Rd</v>
      </c>
      <c r="B9" s="29" t="str">
        <v>MA</v>
      </c>
      <c r="C9" s="11">
        <v>776736</v>
      </c>
      <c r="D9" s="16">
        <v>870272.2</v>
      </c>
      <c r="E9" s="16">
        <f t="shared" si="0"/>
        <v>-93536.199999999953</v>
      </c>
      <c r="F9" s="17">
        <f t="shared" si="3"/>
        <v>-0.10747924614850383</v>
      </c>
      <c r="G9" s="18">
        <v>829322.5</v>
      </c>
      <c r="H9" s="18">
        <f t="shared" si="1"/>
        <v>-52586.5</v>
      </c>
      <c r="I9" s="17">
        <f t="shared" si="2"/>
        <v>-6.3408987456628749E-2</v>
      </c>
      <c r="J9" s="40" t="s">
        <v>170</v>
      </c>
      <c r="K9" s="61" t="s">
        <v>171</v>
      </c>
      <c r="L9" s="62" t="s">
        <v>172</v>
      </c>
      <c r="M9" s="62" t="s">
        <v>173</v>
      </c>
    </row>
    <row r="10" spans="1:16" ht="57.6">
      <c r="A10" s="26" t="str">
        <v>Dedham - 100 Rustcraft Rd</v>
      </c>
      <c r="B10" s="27" t="str">
        <v>MA</v>
      </c>
      <c r="C10" s="22">
        <v>143002.5</v>
      </c>
      <c r="D10" s="12">
        <v>180413.1</v>
      </c>
      <c r="E10" s="12">
        <f t="shared" si="0"/>
        <v>-37410.600000000006</v>
      </c>
      <c r="F10" s="13">
        <f t="shared" si="3"/>
        <v>-0.20736077369104575</v>
      </c>
      <c r="G10" s="14">
        <v>130687.1</v>
      </c>
      <c r="H10" s="14">
        <f t="shared" si="1"/>
        <v>12315.399999999994</v>
      </c>
      <c r="I10" s="15">
        <f t="shared" si="2"/>
        <v>9.4235773844549259E-2</v>
      </c>
      <c r="J10" s="39" t="s">
        <v>174</v>
      </c>
      <c r="K10" s="59" t="s">
        <v>175</v>
      </c>
      <c r="L10" s="62" t="s">
        <v>137</v>
      </c>
    </row>
    <row r="11" spans="1:16" ht="14.45">
      <c r="A11" s="19"/>
      <c r="B11" s="31"/>
      <c r="C11" s="19"/>
      <c r="D11" s="19"/>
      <c r="E11" s="19"/>
      <c r="F11" s="19"/>
      <c r="G11" s="19"/>
      <c r="H11" s="19"/>
      <c r="I11" s="19"/>
      <c r="J11" s="19"/>
      <c r="K11" s="19"/>
    </row>
    <row r="12" spans="1:16" ht="14.45">
      <c r="A12" s="19"/>
      <c r="B12" s="31"/>
      <c r="C12" s="19"/>
      <c r="D12" s="19"/>
      <c r="E12" s="19"/>
      <c r="F12" s="19"/>
      <c r="G12" s="19"/>
      <c r="H12" s="19"/>
      <c r="I12" s="19"/>
      <c r="J12" s="19"/>
      <c r="K12" s="19"/>
    </row>
    <row r="13" spans="1:16" ht="14.45">
      <c r="A13" s="19"/>
      <c r="B13" s="31"/>
      <c r="C13" s="19"/>
      <c r="D13" s="19"/>
      <c r="E13" s="19"/>
      <c r="F13" s="20"/>
      <c r="G13" s="19"/>
      <c r="H13" s="19"/>
      <c r="I13" s="20"/>
      <c r="J13" s="19"/>
      <c r="K13" s="19"/>
    </row>
    <row r="14" spans="1:16" ht="14.45">
      <c r="A14" s="19"/>
      <c r="B14" s="31"/>
      <c r="C14" s="19"/>
      <c r="D14" s="19"/>
      <c r="E14" s="19"/>
      <c r="F14" s="20"/>
      <c r="G14" s="19"/>
      <c r="H14" s="19"/>
      <c r="I14" s="20"/>
      <c r="J14" s="19"/>
      <c r="K14" s="19"/>
    </row>
    <row r="15" spans="1:16" ht="14.45">
      <c r="A15" s="19"/>
      <c r="B15" s="31"/>
      <c r="C15" s="19"/>
      <c r="D15" s="19"/>
      <c r="E15" s="19"/>
      <c r="F15" s="20"/>
      <c r="G15" s="19"/>
      <c r="H15" s="19"/>
      <c r="I15" s="20"/>
      <c r="J15" s="19"/>
      <c r="K15" s="19"/>
    </row>
    <row r="16" spans="1:16"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7163" xr:uid="{F91965A9-1834-4F08-A814-F933CC678050}"/>
    <hyperlink ref="K5" r:id="rId2" display="https://us3.assetplanner.com/service_request?ID=106261" xr:uid="{924F7CF6-665E-4D46-A6A7-94DA462A8392}"/>
    <hyperlink ref="L5" r:id="rId3" display="https://us3.assetplanner.com/service_request?ID=106183" xr:uid="{8BBFF667-E5C1-4863-9798-C22C1D5FB689}"/>
    <hyperlink ref="K6" r:id="rId4" display="https://us3.assetplanner.com/service_request?ID=104863" xr:uid="{3BED8917-A25C-4682-B610-60566BC54323}"/>
    <hyperlink ref="L6" r:id="rId5" display="https://us3.assetplanner.com/service_request?ID=105751" xr:uid="{B2EF6833-5431-4493-8315-40AD0556885A}"/>
    <hyperlink ref="K8" r:id="rId6" display="https://us3.assetplanner.com/service_request?ID=105359" xr:uid="{AC9F2725-2325-4147-A274-6F422686CFB8}"/>
    <hyperlink ref="L8" r:id="rId7" display="https://us3.assetplanner.com/service_request?ID=105505" xr:uid="{C9624993-DFAE-4655-ADB6-68FB3A336922}"/>
    <hyperlink ref="M8" r:id="rId8" display="https://us3.assetplanner.com/service_request?ID=105757" xr:uid="{ABFB1DB4-1AD3-4A5E-855D-4AD3D786699A}"/>
    <hyperlink ref="N8" r:id="rId9" display="https://us3.assetplanner.com/service_request?ID=100127" xr:uid="{8FEC6BF5-7674-4E4F-9500-E86439C3D162}"/>
    <hyperlink ref="O8" r:id="rId10" display="https://us3.assetplanner.com/service_request?ID=105994" xr:uid="{7E140E7C-F80C-44D0-80A5-9AE967FC1430}"/>
    <hyperlink ref="P8" r:id="rId11" display="https://us3.assetplanner.com/service_request?ID=100128" xr:uid="{3445F99E-E309-4361-B62A-6A7DEAFCAF79}"/>
    <hyperlink ref="K9" r:id="rId12" display="https://us3.assetplanner.com/service_request?ID=103034" xr:uid="{94D5EE81-A8CB-4981-AF17-465264E5154C}"/>
    <hyperlink ref="L9" r:id="rId13" display="https://us3.assetplanner.com/service_request?ID=103034" xr:uid="{05B72ADC-F539-40F6-BA02-9CEBC7771086}"/>
    <hyperlink ref="M9" r:id="rId14" display="https://us3.assetplanner.com/service_request?ID=106571" xr:uid="{06CB4DC8-632D-4C00-8EB0-C0DF118944B9}"/>
    <hyperlink ref="K10" r:id="rId15" display="https://us3.assetplanner.com/service_request?ID=105646" xr:uid="{DDE9BD0B-C60C-478C-8EA7-5BA08635C52D}"/>
    <hyperlink ref="L10" r:id="rId16" display="https://us3.assetplanner.com/service_request?ID=102438" xr:uid="{DE0DE3D5-1CF0-4D57-86BF-C53E69E0C248}"/>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322"/>
  <sheetViews>
    <sheetView workbookViewId="0">
      <pane xSplit="2" ySplit="3" topLeftCell="C4" activePane="bottomRight" state="frozen"/>
      <selection pane="bottomRight" activeCell="L1" sqref="L1:L1048576"/>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69"/>
  </cols>
  <sheetData>
    <row r="1" spans="1:12" ht="19.5" customHeight="1">
      <c r="A1" s="94" t="str" cm="1">
        <f t="array" ref="A1">portfolio</f>
        <v>Agilitas Energy</v>
      </c>
      <c r="B1" s="94"/>
      <c r="C1" s="94"/>
      <c r="D1" s="95" t="s">
        <v>176</v>
      </c>
      <c r="E1" s="95"/>
      <c r="F1" s="95"/>
      <c r="G1" s="93" t="s">
        <v>177</v>
      </c>
      <c r="H1" s="93"/>
      <c r="I1" s="93"/>
      <c r="J1" s="4"/>
      <c r="K1" s="4"/>
    </row>
    <row r="2" spans="1:12" ht="19.5" customHeight="1">
      <c r="A2" s="96" t="s">
        <v>2</v>
      </c>
      <c r="B2" s="96"/>
      <c r="C2" s="5">
        <f>SUM(C4:C80)</f>
        <v>3049277.6646999996</v>
      </c>
      <c r="D2" s="5">
        <f>SUM(D4:D80)</f>
        <v>2822632.58</v>
      </c>
      <c r="E2" s="5">
        <f>C2-D2</f>
        <v>226645.08469999954</v>
      </c>
      <c r="F2" s="6">
        <f>IFERROR(E2/D2, 0)</f>
        <v>8.0295638300894104E-2</v>
      </c>
      <c r="G2" s="5">
        <f>SUM(G4:G80)</f>
        <v>1517988.73</v>
      </c>
      <c r="H2" s="7">
        <f>C2-G2</f>
        <v>1531288.9346999996</v>
      </c>
      <c r="I2" s="6">
        <f>IFERROR(H2/G2, 0)</f>
        <v>1.0087617282244248</v>
      </c>
      <c r="J2" s="24" t="str">
        <f ca="1">IF(AND(TODAY()&gt;DATE(2024, 9, 1), COUNTA(Sites[Site])&lt;&gt;(COUNT(C:C)-1)), "Some sites are missing actual data; if new sites were added, make sure they are aligned correctly (including prior months!)", "")</f>
        <v/>
      </c>
      <c r="K2" s="4"/>
    </row>
    <row r="3" spans="1:12" ht="14.25" customHeight="1">
      <c r="A3" s="8" t="s">
        <v>3</v>
      </c>
      <c r="B3" s="8" t="s">
        <v>4</v>
      </c>
      <c r="C3" s="21" t="s">
        <v>5</v>
      </c>
      <c r="D3" s="33" t="s">
        <v>6</v>
      </c>
      <c r="E3" s="33" t="s">
        <v>7</v>
      </c>
      <c r="F3" s="34" t="s">
        <v>8</v>
      </c>
      <c r="G3" s="35" t="s">
        <v>9</v>
      </c>
      <c r="H3" s="36" t="s">
        <v>7</v>
      </c>
      <c r="I3" s="37" t="s">
        <v>8</v>
      </c>
      <c r="J3" s="23" t="s">
        <v>20</v>
      </c>
      <c r="K3" s="23" t="s">
        <v>21</v>
      </c>
    </row>
    <row r="4" spans="1:12" ht="15.6">
      <c r="A4" s="30" t="str" cm="1">
        <f t="array" ref="A4:A10">Sites[Site]</f>
        <v>Rowley - Central Street Solar</v>
      </c>
      <c r="B4" s="27" t="str" cm="1">
        <f t="array" ref="B4:B10">Sites[State]</f>
        <v>MA</v>
      </c>
      <c r="C4" s="22">
        <v>82125</v>
      </c>
      <c r="D4" s="12">
        <v>83645.179999999993</v>
      </c>
      <c r="E4" s="12">
        <f>IF(AND(ISNUMBER(C4),ISNUMBER(D4)), C4-D4, "")</f>
        <v>-1520.179999999993</v>
      </c>
      <c r="F4" s="13">
        <f>IFERROR(E4/D4, "")</f>
        <v>-1.8174149424987705E-2</v>
      </c>
      <c r="G4" s="14">
        <v>77502.03</v>
      </c>
      <c r="H4" s="14">
        <f>IF(AND(ISNUMBER(C4),ISNUMBER(G4)), C4-G4, "")</f>
        <v>4622.9700000000012</v>
      </c>
      <c r="I4" s="15">
        <f>IFERROR(H4/G4, "")</f>
        <v>5.9649663370107867E-2</v>
      </c>
      <c r="J4" s="39" t="s">
        <v>178</v>
      </c>
      <c r="K4" s="59" t="s">
        <v>179</v>
      </c>
    </row>
    <row r="5" spans="1:12" ht="43.15">
      <c r="A5" s="28" t="str">
        <v>Auburn - Leicester Street Solar</v>
      </c>
      <c r="B5" s="29" t="str">
        <v>MA</v>
      </c>
      <c r="C5" s="11">
        <v>839810.66669999994</v>
      </c>
      <c r="D5" s="16">
        <v>994489.4</v>
      </c>
      <c r="E5" s="16">
        <f t="shared" ref="E5:E10" si="0">IF(AND(ISNUMBER(C5),ISNUMBER(D5)), C5-D5, "")</f>
        <v>-154678.73330000008</v>
      </c>
      <c r="F5" s="17">
        <f>IFERROR(E5/D5, "")</f>
        <v>-0.15553582903950516</v>
      </c>
      <c r="G5" s="18">
        <v>0</v>
      </c>
      <c r="H5" s="18">
        <f t="shared" ref="H5:H10" si="1">IF(AND(ISNUMBER(C5),ISNUMBER(G5)), C5-G5, "")</f>
        <v>839810.66669999994</v>
      </c>
      <c r="I5" s="17" t="str">
        <f t="shared" ref="I5:I10" si="2">IFERROR(H5/G5, "")</f>
        <v/>
      </c>
      <c r="J5" s="40" t="s">
        <v>180</v>
      </c>
      <c r="K5" s="85" t="s">
        <v>181</v>
      </c>
      <c r="L5" s="62" t="s">
        <v>182</v>
      </c>
    </row>
    <row r="6" spans="1:12" ht="15.6">
      <c r="A6" s="26" t="str">
        <v>Rochester - Old Middleboro</v>
      </c>
      <c r="B6" s="27" t="str">
        <v>MA</v>
      </c>
      <c r="C6" s="22">
        <v>1050296.9979999999</v>
      </c>
      <c r="D6" s="12">
        <v>892373.4</v>
      </c>
      <c r="E6" s="12">
        <f t="shared" si="0"/>
        <v>157923.59799999988</v>
      </c>
      <c r="F6" s="13">
        <f t="shared" ref="F6:F10" si="3">IFERROR(E6/D6, "")</f>
        <v>0.17697031085866061</v>
      </c>
      <c r="G6" s="14">
        <v>660145.69999999995</v>
      </c>
      <c r="H6" s="14">
        <f t="shared" si="1"/>
        <v>390151.29799999995</v>
      </c>
      <c r="I6" s="15">
        <f t="shared" si="2"/>
        <v>0.59100786084041745</v>
      </c>
      <c r="J6" s="39"/>
      <c r="K6" s="39"/>
    </row>
    <row r="7" spans="1:12" ht="15.6">
      <c r="A7" s="28" t="str">
        <v>Dover - Littleworth Road</v>
      </c>
      <c r="B7" s="29" t="str">
        <v>NH</v>
      </c>
      <c r="C7" s="11">
        <v>229535</v>
      </c>
      <c r="D7" s="16" t="s">
        <v>72</v>
      </c>
      <c r="E7" s="16" t="str">
        <f t="shared" si="0"/>
        <v/>
      </c>
      <c r="F7" s="17" t="str">
        <f t="shared" si="3"/>
        <v/>
      </c>
      <c r="G7" s="67" t="s">
        <v>72</v>
      </c>
      <c r="H7" s="18" t="str">
        <f t="shared" si="1"/>
        <v/>
      </c>
      <c r="I7" s="17" t="str">
        <f t="shared" si="2"/>
        <v/>
      </c>
      <c r="J7" s="40" t="s">
        <v>183</v>
      </c>
      <c r="K7" s="85" t="s">
        <v>184</v>
      </c>
    </row>
    <row r="8" spans="1:12" ht="15.6">
      <c r="A8" s="26" t="str">
        <v>Milton - Landfill</v>
      </c>
      <c r="B8" s="27" t="str">
        <v>NH</v>
      </c>
      <c r="C8" s="22">
        <v>123075</v>
      </c>
      <c r="D8" s="12" t="s">
        <v>72</v>
      </c>
      <c r="E8" s="12" t="str">
        <f t="shared" si="0"/>
        <v/>
      </c>
      <c r="F8" s="13" t="str">
        <f t="shared" si="3"/>
        <v/>
      </c>
      <c r="G8" s="68" t="s">
        <v>72</v>
      </c>
      <c r="H8" s="14" t="str">
        <f t="shared" si="1"/>
        <v/>
      </c>
      <c r="I8" s="15" t="str">
        <f t="shared" si="2"/>
        <v/>
      </c>
      <c r="J8" s="39"/>
      <c r="K8" s="39"/>
    </row>
    <row r="9" spans="1:12" ht="15.6">
      <c r="A9" s="28" t="str">
        <v>Hopkinton - 71 Frankland Rd</v>
      </c>
      <c r="B9" s="29" t="str">
        <v>MA</v>
      </c>
      <c r="C9" s="11">
        <v>615164</v>
      </c>
      <c r="D9" s="16">
        <v>709030.1</v>
      </c>
      <c r="E9" s="16">
        <f t="shared" si="0"/>
        <v>-93866.099999999977</v>
      </c>
      <c r="F9" s="17">
        <f t="shared" si="3"/>
        <v>-0.13238662223225781</v>
      </c>
      <c r="G9" s="18">
        <v>678512.4</v>
      </c>
      <c r="H9" s="18">
        <f t="shared" si="1"/>
        <v>-63348.400000000023</v>
      </c>
      <c r="I9" s="17">
        <f t="shared" si="2"/>
        <v>-9.336365849761924E-2</v>
      </c>
      <c r="J9" s="40" t="s">
        <v>185</v>
      </c>
      <c r="K9" s="41"/>
    </row>
    <row r="10" spans="1:12" ht="57.6">
      <c r="A10" s="26" t="str">
        <v>Dedham - 100 Rustcraft Rd</v>
      </c>
      <c r="B10" s="27" t="str">
        <v>MA</v>
      </c>
      <c r="C10" s="22">
        <v>109271</v>
      </c>
      <c r="D10" s="12">
        <v>143094.5</v>
      </c>
      <c r="E10" s="12">
        <f t="shared" si="0"/>
        <v>-33823.5</v>
      </c>
      <c r="F10" s="13">
        <f t="shared" si="3"/>
        <v>-0.236371768306958</v>
      </c>
      <c r="G10" s="14">
        <v>101828.6</v>
      </c>
      <c r="H10" s="14">
        <f t="shared" si="1"/>
        <v>7442.3999999999942</v>
      </c>
      <c r="I10" s="15">
        <f t="shared" si="2"/>
        <v>7.3087521580381093E-2</v>
      </c>
      <c r="J10" s="39" t="s">
        <v>186</v>
      </c>
      <c r="K10" s="59" t="s">
        <v>187</v>
      </c>
      <c r="L10" s="62" t="s">
        <v>188</v>
      </c>
    </row>
    <row r="11" spans="1:12" ht="14.45">
      <c r="A11" s="19"/>
      <c r="B11" s="31"/>
      <c r="C11" s="19"/>
      <c r="D11" s="19"/>
      <c r="E11" s="19"/>
      <c r="F11" s="19"/>
      <c r="G11" s="19"/>
      <c r="H11" s="19"/>
      <c r="I11" s="19"/>
      <c r="J11" s="19"/>
      <c r="K11" s="19"/>
    </row>
    <row r="12" spans="1:12" ht="14.45">
      <c r="A12" s="19"/>
      <c r="B12" s="31"/>
      <c r="C12" s="19"/>
      <c r="D12" s="19"/>
      <c r="E12" s="19"/>
      <c r="F12" s="19"/>
      <c r="G12" s="19"/>
      <c r="H12" s="19"/>
      <c r="I12" s="19"/>
      <c r="J12" s="19"/>
      <c r="K12" s="19"/>
    </row>
    <row r="13" spans="1:12" ht="14.45">
      <c r="A13" s="19"/>
      <c r="B13" s="31"/>
      <c r="C13" s="19"/>
      <c r="D13" s="19"/>
      <c r="E13" s="19"/>
      <c r="F13" s="20"/>
      <c r="G13" s="19"/>
      <c r="H13" s="19"/>
      <c r="I13" s="20"/>
      <c r="J13" s="19"/>
      <c r="K13" s="19"/>
    </row>
    <row r="14" spans="1:12" ht="14.45">
      <c r="A14" s="19"/>
      <c r="B14" s="31"/>
      <c r="C14" s="19"/>
      <c r="D14" s="19"/>
      <c r="E14" s="19"/>
      <c r="F14" s="20"/>
      <c r="G14" s="19"/>
      <c r="H14" s="19"/>
      <c r="I14" s="20"/>
      <c r="J14" s="19"/>
      <c r="K14" s="19"/>
    </row>
    <row r="15" spans="1:12" ht="14.45">
      <c r="A15" s="19"/>
      <c r="B15" s="31"/>
      <c r="C15" s="19"/>
      <c r="D15" s="19"/>
      <c r="E15" s="19"/>
      <c r="F15" s="20"/>
      <c r="G15" s="19"/>
      <c r="H15" s="19"/>
      <c r="I15" s="20"/>
      <c r="J15" s="19"/>
      <c r="K15" s="19"/>
    </row>
    <row r="16" spans="1:12"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hyperlinks>
    <hyperlink ref="K4" r:id="rId1" display="https://us3.assetplanner.com/service_request?ID=108306" xr:uid="{CA18B425-0BEB-48AB-B229-64457B132AA3}"/>
    <hyperlink ref="K5" r:id="rId2" display="https://us3.assetplanner.com/service_request?ID=108408" xr:uid="{032E8181-0057-4535-BC64-FCEEDD446C77}"/>
    <hyperlink ref="L5" r:id="rId3" display="https://us3.assetplanner.com/service_request?ID=108718" xr:uid="{D0FDC03A-7968-4820-8AB0-A2A143E8F1A3}"/>
    <hyperlink ref="K7" r:id="rId4" display="https://us3.assetplanner.com/service_request?ID=108695" xr:uid="{00DD01CB-1255-453D-818A-77E58CDEE668}"/>
    <hyperlink ref="K10" r:id="rId5" display="https://us3.assetplanner.com/service_request?ID=102438" xr:uid="{B6E0ACAD-216A-4A35-A347-A31EF88B9CD0}"/>
    <hyperlink ref="L10" r:id="rId6" display="https://us3.assetplanner.com/service_request?ID=105646" xr:uid="{7809D986-389E-46D3-A841-8DCBCB2DBA04}"/>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N322"/>
  <sheetViews>
    <sheetView workbookViewId="0">
      <pane xSplit="2" ySplit="3" topLeftCell="C4" activePane="bottomRight" state="frozen"/>
      <selection pane="bottomRight" activeCell="J9" sqref="J9"/>
      <selection pane="bottomLeft" activeCell="G13" sqref="G13"/>
      <selection pane="topRight" activeCell="G13" sqref="G13"/>
    </sheetView>
  </sheetViews>
  <sheetFormatPr defaultRowHeight="14.4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style="89" customWidth="1"/>
    <col min="11" max="11" width="20.5703125" style="89" bestFit="1" customWidth="1"/>
    <col min="12" max="12" width="12.7109375" style="89" customWidth="1"/>
  </cols>
  <sheetData>
    <row r="1" spans="1:14" ht="19.5" customHeight="1">
      <c r="A1" s="94" t="str" cm="1">
        <f t="array" ref="A1">portfolio</f>
        <v>Agilitas Energy</v>
      </c>
      <c r="B1" s="94"/>
      <c r="C1" s="94"/>
      <c r="D1" s="95" t="s">
        <v>189</v>
      </c>
      <c r="E1" s="95"/>
      <c r="F1" s="95"/>
      <c r="G1" s="93" t="s">
        <v>190</v>
      </c>
      <c r="H1" s="93"/>
      <c r="I1" s="93"/>
      <c r="J1" s="86"/>
      <c r="K1" s="86"/>
    </row>
    <row r="2" spans="1:14" ht="19.5" customHeight="1">
      <c r="A2" s="96" t="s">
        <v>2</v>
      </c>
      <c r="B2" s="96"/>
      <c r="C2" s="5">
        <f>SUM(C4:C80)</f>
        <v>2219399.6260000002</v>
      </c>
      <c r="D2" s="5">
        <f>SUM(D4:D80)</f>
        <v>2153778.48</v>
      </c>
      <c r="E2" s="5">
        <f>C2-D2</f>
        <v>65621.146000000183</v>
      </c>
      <c r="F2" s="6">
        <f>IFERROR(E2/D2, 0)</f>
        <v>3.0467917944839055E-2</v>
      </c>
      <c r="G2" s="5">
        <f>SUM(G4:G80)</f>
        <v>1172104.324</v>
      </c>
      <c r="H2" s="7">
        <f>C2-G2</f>
        <v>1047295.3020000001</v>
      </c>
      <c r="I2" s="6">
        <f>IFERROR(H2/G2, 0)</f>
        <v>0.89351713883789075</v>
      </c>
      <c r="J2" s="87" t="str">
        <f ca="1">IF(AND(TODAY()&gt;DATE(2024, 10, 1), COUNTA(Sites[Site])&lt;&gt;(COUNT(C:C)-1)), "Some sites are missing actual data; if new sites were added, make sure they are aligned correctly (including prior months!)", "")</f>
        <v/>
      </c>
      <c r="K2" s="86"/>
    </row>
    <row r="3" spans="1:14" ht="14.25" customHeight="1">
      <c r="A3" s="8" t="s">
        <v>3</v>
      </c>
      <c r="B3" s="8" t="s">
        <v>4</v>
      </c>
      <c r="C3" s="21" t="s">
        <v>5</v>
      </c>
      <c r="D3" s="33" t="s">
        <v>6</v>
      </c>
      <c r="E3" s="33" t="s">
        <v>7</v>
      </c>
      <c r="F3" s="34" t="s">
        <v>8</v>
      </c>
      <c r="G3" s="35" t="s">
        <v>9</v>
      </c>
      <c r="H3" s="36" t="s">
        <v>7</v>
      </c>
      <c r="I3" s="37" t="s">
        <v>8</v>
      </c>
      <c r="J3" s="88" t="s">
        <v>20</v>
      </c>
      <c r="K3" s="88" t="s">
        <v>21</v>
      </c>
      <c r="L3" s="88" t="s">
        <v>191</v>
      </c>
    </row>
    <row r="4" spans="1:14" ht="28.9">
      <c r="A4" s="30" t="str" cm="1">
        <f t="array" ref="A4:A10">Sites[Site]</f>
        <v>Rowley - Central Street Solar</v>
      </c>
      <c r="B4" s="27" t="str" cm="1">
        <f t="array" ref="B4:B10">Sites[State]</f>
        <v>MA</v>
      </c>
      <c r="C4" s="22">
        <v>64755.875</v>
      </c>
      <c r="D4" s="12">
        <v>66816.36</v>
      </c>
      <c r="E4" s="12">
        <f>IF(AND(ISNUMBER(C4),ISNUMBER(D4)), C4-D4, "")</f>
        <v>-2060.4850000000006</v>
      </c>
      <c r="F4" s="13">
        <f>IFERROR(E4/D4, "")</f>
        <v>-3.0838031284553671E-2</v>
      </c>
      <c r="G4" s="14">
        <v>59936.33</v>
      </c>
      <c r="H4" s="14">
        <f>IF(AND(ISNUMBER(C4),ISNUMBER(G4)), C4-G4, "")</f>
        <v>4819.5449999999983</v>
      </c>
      <c r="I4" s="15">
        <f>IFERROR(H4/G4, "")</f>
        <v>8.0411079557256807E-2</v>
      </c>
      <c r="J4" s="90" t="s">
        <v>192</v>
      </c>
      <c r="K4" s="73" t="s">
        <v>193</v>
      </c>
      <c r="L4" s="90" t="s">
        <v>194</v>
      </c>
    </row>
    <row r="5" spans="1:14" ht="57.6">
      <c r="A5" s="28" t="str">
        <v>Auburn - Leicester Street Solar</v>
      </c>
      <c r="B5" s="29" t="str">
        <v>MA</v>
      </c>
      <c r="C5" s="11">
        <v>614234</v>
      </c>
      <c r="D5" s="16">
        <v>876987.4</v>
      </c>
      <c r="E5" s="16">
        <f t="shared" ref="E5:E9" si="0">IF(AND(ISNUMBER(C5),ISNUMBER(D5)), C5-D5, "")</f>
        <v>-262753.40000000002</v>
      </c>
      <c r="F5" s="17">
        <f>IFERROR(E5/D5, "")</f>
        <v>-0.29960909358560911</v>
      </c>
      <c r="G5" s="18">
        <v>0</v>
      </c>
      <c r="H5" s="18">
        <f>IF(AND(ISNUMBER(C5),ISNUMBER(G5)), C5-G5, "")</f>
        <v>614234</v>
      </c>
      <c r="I5" s="17" t="str">
        <f>IFERROR(H5/G5, "")</f>
        <v/>
      </c>
      <c r="J5" s="97" t="s">
        <v>195</v>
      </c>
      <c r="K5" s="60" t="s">
        <v>196</v>
      </c>
      <c r="L5" s="91" t="s">
        <v>197</v>
      </c>
      <c r="M5" s="66" t="s">
        <v>182</v>
      </c>
      <c r="N5" s="66" t="s">
        <v>198</v>
      </c>
    </row>
    <row r="6" spans="1:14" ht="76.5" customHeight="1">
      <c r="A6" s="30" t="str">
        <v>Rochester - Old Middleboro</v>
      </c>
      <c r="B6" s="27" t="str">
        <v>MA</v>
      </c>
      <c r="C6" s="22">
        <v>656776.25100000005</v>
      </c>
      <c r="D6" s="12">
        <v>565856.66</v>
      </c>
      <c r="E6" s="12">
        <f>IF(AND(ISNUMBER(C6),ISNUMBER(D6)), C6-D6, "")</f>
        <v>90919.591000000015</v>
      </c>
      <c r="F6" s="13">
        <f t="shared" ref="F6:F9" si="1">IFERROR(E6/D6, "")</f>
        <v>0.16067601112974442</v>
      </c>
      <c r="G6" s="14">
        <v>534705.37</v>
      </c>
      <c r="H6" s="14">
        <f t="shared" ref="H6:H10" si="2">IF(AND(ISNUMBER(C6),ISNUMBER(G6)), C6-G6, "")</f>
        <v>122070.88100000005</v>
      </c>
      <c r="I6" s="15">
        <f t="shared" ref="I6" si="3">IFERROR(H6/G6, "")</f>
        <v>0.22829559575958636</v>
      </c>
      <c r="J6" s="90" t="s">
        <v>199</v>
      </c>
      <c r="K6" s="73" t="s">
        <v>200</v>
      </c>
      <c r="L6" s="90" t="s">
        <v>201</v>
      </c>
      <c r="M6" s="66" t="s">
        <v>202</v>
      </c>
    </row>
    <row r="7" spans="1:14" ht="24.75" customHeight="1">
      <c r="A7" s="28" t="str">
        <v>Dover - Littleworth Road</v>
      </c>
      <c r="B7" s="29" t="str">
        <v>NH</v>
      </c>
      <c r="C7" s="11">
        <v>236886</v>
      </c>
      <c r="D7" s="16" t="s">
        <v>72</v>
      </c>
      <c r="E7" s="16" t="str">
        <f t="shared" si="0"/>
        <v/>
      </c>
      <c r="F7" s="17" t="str">
        <f t="shared" si="1"/>
        <v/>
      </c>
      <c r="G7" s="79" t="s">
        <v>72</v>
      </c>
      <c r="H7" s="18" t="str">
        <f t="shared" si="2"/>
        <v/>
      </c>
      <c r="I7" s="17" t="str">
        <f>IFERROR(H7/G7, "")</f>
        <v/>
      </c>
      <c r="J7" s="97" t="s">
        <v>203</v>
      </c>
      <c r="K7" s="60" t="s">
        <v>204</v>
      </c>
      <c r="L7" s="92" t="s">
        <v>194</v>
      </c>
    </row>
    <row r="8" spans="1:14" ht="15.6">
      <c r="A8" s="26" t="str">
        <v>Milton - Landfill</v>
      </c>
      <c r="B8" s="27" t="str">
        <v>NH</v>
      </c>
      <c r="C8" s="22">
        <v>101243</v>
      </c>
      <c r="D8" s="12" t="s">
        <v>72</v>
      </c>
      <c r="E8" s="12" t="str">
        <f t="shared" si="0"/>
        <v/>
      </c>
      <c r="F8" s="13" t="str">
        <f t="shared" si="1"/>
        <v/>
      </c>
      <c r="G8" s="80" t="s">
        <v>72</v>
      </c>
      <c r="H8" s="14" t="str">
        <f t="shared" si="2"/>
        <v/>
      </c>
      <c r="I8" s="15" t="str">
        <f t="shared" ref="I8" si="4">IFERROR(H8/G8, "")</f>
        <v/>
      </c>
      <c r="J8" s="90"/>
      <c r="K8" s="90"/>
      <c r="L8" s="90"/>
    </row>
    <row r="9" spans="1:14" ht="28.9">
      <c r="A9" s="28" t="str">
        <v>Hopkinton - 71 Frankland Rd</v>
      </c>
      <c r="B9" s="29" t="str">
        <v>MA</v>
      </c>
      <c r="C9" s="11">
        <v>465914</v>
      </c>
      <c r="D9" s="16">
        <v>536719.85</v>
      </c>
      <c r="E9" s="16">
        <f t="shared" si="0"/>
        <v>-70805.849999999977</v>
      </c>
      <c r="F9" s="17">
        <f t="shared" si="1"/>
        <v>-0.13192329294323654</v>
      </c>
      <c r="G9" s="18">
        <v>500346.38</v>
      </c>
      <c r="H9" s="18">
        <f t="shared" si="2"/>
        <v>-34432.380000000005</v>
      </c>
      <c r="I9" s="17">
        <f>IFERROR(H9/G9, "")</f>
        <v>-6.8817086275311926E-2</v>
      </c>
      <c r="J9" s="97" t="s">
        <v>205</v>
      </c>
      <c r="K9" s="60" t="s">
        <v>206</v>
      </c>
      <c r="L9" s="91" t="s">
        <v>207</v>
      </c>
    </row>
    <row r="10" spans="1:14" ht="43.15">
      <c r="A10" s="26" t="str">
        <v>Dedham - 100 Rustcraft Rd</v>
      </c>
      <c r="B10" s="27" t="str">
        <v>MA</v>
      </c>
      <c r="C10" s="22">
        <v>79590.5</v>
      </c>
      <c r="D10" s="12">
        <v>107398.21</v>
      </c>
      <c r="E10" s="12">
        <f t="shared" ref="E10" si="5">IF(AND(ISNUMBER(C10),ISNUMBER(D10)), C10-D10, "")</f>
        <v>-27807.710000000006</v>
      </c>
      <c r="F10" s="13">
        <f t="shared" ref="F10" si="6">IFERROR(E10/D10, "")</f>
        <v>-0.25892154068489598</v>
      </c>
      <c r="G10" s="14">
        <v>77116.244000000006</v>
      </c>
      <c r="H10" s="14">
        <f t="shared" si="2"/>
        <v>2474.2559999999939</v>
      </c>
      <c r="I10" s="15">
        <f t="shared" ref="I10" si="7">IFERROR(H10/G10, "")</f>
        <v>3.2084757654950023E-2</v>
      </c>
      <c r="J10" s="90" t="s">
        <v>153</v>
      </c>
      <c r="K10" s="73" t="s">
        <v>208</v>
      </c>
      <c r="L10" s="90" t="s">
        <v>207</v>
      </c>
    </row>
    <row r="11" spans="1:14">
      <c r="A11" s="19"/>
      <c r="B11" s="31"/>
      <c r="C11" s="19"/>
      <c r="D11" s="19"/>
      <c r="E11" s="19"/>
      <c r="F11" s="19"/>
      <c r="G11" s="19"/>
      <c r="H11" s="19"/>
      <c r="I11" s="19"/>
    </row>
    <row r="12" spans="1:14">
      <c r="A12" s="19"/>
      <c r="B12" s="31"/>
      <c r="C12" s="19"/>
      <c r="D12" s="19"/>
      <c r="E12" s="19"/>
      <c r="F12" s="19"/>
      <c r="G12" s="19"/>
      <c r="H12" s="19"/>
      <c r="I12" s="19"/>
    </row>
    <row r="13" spans="1:14">
      <c r="A13" s="19"/>
      <c r="B13" s="31"/>
      <c r="C13" s="19"/>
      <c r="D13" s="19"/>
      <c r="E13" s="19"/>
      <c r="F13" s="20"/>
      <c r="G13" s="19"/>
      <c r="H13" s="19"/>
      <c r="I13" s="20"/>
    </row>
    <row r="14" spans="1:14">
      <c r="A14" s="19"/>
      <c r="B14" s="31"/>
      <c r="C14" s="19"/>
      <c r="D14" s="19"/>
      <c r="E14" s="19"/>
      <c r="F14" s="20"/>
      <c r="G14" s="19"/>
      <c r="H14" s="19"/>
      <c r="I14" s="20"/>
    </row>
    <row r="15" spans="1:14">
      <c r="A15" s="19"/>
      <c r="B15" s="31"/>
      <c r="C15" s="19"/>
      <c r="D15" s="19"/>
      <c r="E15" s="19"/>
      <c r="F15" s="20"/>
      <c r="G15" s="19"/>
      <c r="H15" s="19"/>
      <c r="I15" s="20"/>
    </row>
    <row r="16" spans="1:14">
      <c r="A16" s="19"/>
      <c r="B16" s="31"/>
      <c r="C16" s="19"/>
      <c r="D16" s="19"/>
      <c r="E16" s="19"/>
      <c r="F16" s="20"/>
      <c r="G16" s="19"/>
      <c r="H16" s="19"/>
      <c r="I16" s="20"/>
    </row>
    <row r="17" spans="1:9">
      <c r="A17" s="19"/>
      <c r="B17" s="31"/>
      <c r="C17" s="19"/>
      <c r="D17" s="19"/>
      <c r="E17" s="19"/>
      <c r="F17" s="20"/>
      <c r="G17" s="19"/>
      <c r="H17" s="19"/>
      <c r="I17" s="20"/>
    </row>
    <row r="18" spans="1:9">
      <c r="A18" s="19"/>
      <c r="B18" s="31"/>
      <c r="C18" s="19"/>
      <c r="D18" s="19"/>
      <c r="E18" s="19"/>
      <c r="F18" s="20"/>
      <c r="G18" s="19"/>
      <c r="H18" s="19"/>
      <c r="I18" s="20"/>
    </row>
    <row r="19" spans="1:9">
      <c r="A19" s="19"/>
      <c r="B19" s="31"/>
      <c r="C19" s="19"/>
      <c r="D19" s="19"/>
      <c r="E19" s="19"/>
      <c r="F19" s="20"/>
      <c r="G19" s="19"/>
      <c r="H19" s="19"/>
      <c r="I19" s="20"/>
    </row>
    <row r="20" spans="1:9">
      <c r="A20" s="19"/>
      <c r="B20" s="31"/>
      <c r="C20" s="19"/>
      <c r="D20" s="19"/>
      <c r="E20" s="19"/>
      <c r="F20" s="20"/>
      <c r="G20" s="19"/>
      <c r="H20" s="19"/>
      <c r="I20" s="20"/>
    </row>
    <row r="21" spans="1:9">
      <c r="A21" s="19"/>
      <c r="B21" s="31"/>
      <c r="C21" s="19"/>
      <c r="D21" s="19"/>
      <c r="E21" s="19"/>
      <c r="F21" s="20"/>
      <c r="G21" s="19"/>
      <c r="H21" s="19"/>
      <c r="I21" s="20"/>
    </row>
    <row r="22" spans="1:9">
      <c r="A22" s="19"/>
      <c r="B22" s="31"/>
      <c r="C22" s="19"/>
      <c r="D22" s="19"/>
      <c r="E22" s="19"/>
      <c r="F22" s="20"/>
      <c r="G22" s="19"/>
      <c r="H22" s="19"/>
      <c r="I22" s="20"/>
    </row>
    <row r="23" spans="1:9">
      <c r="A23" s="19"/>
      <c r="B23" s="31"/>
      <c r="C23" s="19"/>
      <c r="D23" s="19"/>
      <c r="E23" s="19"/>
      <c r="F23" s="20"/>
      <c r="G23" s="19"/>
      <c r="H23" s="19"/>
      <c r="I23" s="20"/>
    </row>
    <row r="24" spans="1:9">
      <c r="A24" s="19"/>
      <c r="B24" s="31"/>
      <c r="C24" s="19"/>
      <c r="D24" s="19"/>
      <c r="E24" s="19"/>
      <c r="F24" s="20"/>
      <c r="G24" s="19"/>
      <c r="H24" s="19"/>
      <c r="I24" s="20"/>
    </row>
    <row r="25" spans="1:9">
      <c r="A25" s="19"/>
      <c r="B25" s="31"/>
      <c r="C25" s="19"/>
      <c r="D25" s="19"/>
      <c r="E25" s="19"/>
      <c r="F25" s="20"/>
      <c r="G25" s="19"/>
      <c r="H25" s="19"/>
      <c r="I25" s="20"/>
    </row>
    <row r="26" spans="1:9">
      <c r="A26" s="19"/>
      <c r="B26" s="31"/>
      <c r="C26" s="19"/>
      <c r="D26" s="19"/>
      <c r="E26" s="19"/>
      <c r="F26" s="20"/>
      <c r="G26" s="19"/>
      <c r="H26" s="19"/>
      <c r="I26" s="20"/>
    </row>
    <row r="27" spans="1:9">
      <c r="A27" s="19"/>
      <c r="B27" s="31"/>
      <c r="C27" s="19"/>
      <c r="D27" s="19"/>
      <c r="E27" s="19"/>
      <c r="F27" s="20"/>
      <c r="G27" s="19"/>
      <c r="H27" s="19"/>
      <c r="I27" s="20"/>
    </row>
    <row r="28" spans="1:9">
      <c r="A28" s="19"/>
      <c r="B28" s="31"/>
      <c r="C28" s="19"/>
      <c r="D28" s="19"/>
      <c r="E28" s="19"/>
      <c r="F28" s="20"/>
      <c r="G28" s="19"/>
      <c r="H28" s="19"/>
      <c r="I28" s="20"/>
    </row>
    <row r="29" spans="1:9">
      <c r="A29" s="19"/>
      <c r="B29" s="31"/>
      <c r="C29" s="19"/>
      <c r="D29" s="19"/>
      <c r="E29" s="19"/>
      <c r="F29" s="20"/>
      <c r="G29" s="19"/>
      <c r="H29" s="19"/>
      <c r="I29" s="20"/>
    </row>
    <row r="30" spans="1:9">
      <c r="A30" s="19"/>
      <c r="B30" s="31"/>
      <c r="C30" s="19"/>
      <c r="D30" s="19"/>
      <c r="E30" s="19"/>
      <c r="F30" s="20"/>
      <c r="G30" s="19"/>
      <c r="H30" s="19"/>
      <c r="I30" s="20"/>
    </row>
    <row r="31" spans="1:9">
      <c r="A31" s="19"/>
      <c r="B31" s="31"/>
      <c r="C31" s="19"/>
      <c r="D31" s="19"/>
      <c r="E31" s="19"/>
      <c r="F31" s="20"/>
      <c r="G31" s="19"/>
      <c r="H31" s="19"/>
      <c r="I31" s="20"/>
    </row>
    <row r="32" spans="1:9">
      <c r="A32" s="19"/>
      <c r="B32" s="31"/>
      <c r="C32" s="19"/>
      <c r="D32" s="19"/>
      <c r="E32" s="19"/>
      <c r="F32" s="20"/>
      <c r="G32" s="19"/>
      <c r="H32" s="19"/>
      <c r="I32" s="20"/>
    </row>
    <row r="33" spans="1:9">
      <c r="A33" s="19"/>
      <c r="B33" s="31"/>
      <c r="C33" s="19"/>
      <c r="D33" s="19"/>
      <c r="E33" s="19"/>
      <c r="F33" s="20"/>
      <c r="G33" s="19"/>
      <c r="H33" s="19"/>
      <c r="I33" s="20"/>
    </row>
    <row r="34" spans="1:9">
      <c r="A34" s="19"/>
      <c r="B34" s="31"/>
      <c r="C34" s="19"/>
      <c r="D34" s="19"/>
      <c r="E34" s="19"/>
      <c r="F34" s="20"/>
      <c r="G34" s="19"/>
      <c r="H34" s="19"/>
      <c r="I34" s="20"/>
    </row>
    <row r="35" spans="1:9">
      <c r="A35" s="19"/>
      <c r="B35" s="31"/>
      <c r="C35" s="19"/>
      <c r="D35" s="19"/>
      <c r="E35" s="19"/>
      <c r="F35" s="20"/>
      <c r="G35" s="19"/>
      <c r="H35" s="19"/>
      <c r="I35" s="20"/>
    </row>
    <row r="36" spans="1:9">
      <c r="A36" s="19"/>
      <c r="B36" s="31"/>
      <c r="C36" s="19"/>
      <c r="D36" s="19"/>
      <c r="E36" s="19"/>
      <c r="F36" s="20"/>
      <c r="G36" s="19"/>
      <c r="H36" s="19"/>
      <c r="I36" s="20"/>
    </row>
    <row r="37" spans="1:9">
      <c r="A37" s="19"/>
      <c r="B37" s="31"/>
      <c r="C37" s="19"/>
      <c r="D37" s="19"/>
      <c r="E37" s="19"/>
      <c r="F37" s="20"/>
      <c r="G37" s="19"/>
      <c r="H37" s="19"/>
      <c r="I37" s="20"/>
    </row>
    <row r="38" spans="1:9">
      <c r="A38" s="19"/>
      <c r="B38" s="31"/>
      <c r="C38" s="19"/>
      <c r="D38" s="19"/>
      <c r="E38" s="19"/>
      <c r="F38" s="20"/>
      <c r="G38" s="19"/>
      <c r="H38" s="19"/>
      <c r="I38" s="20"/>
    </row>
    <row r="39" spans="1:9">
      <c r="A39" s="19"/>
      <c r="B39" s="31"/>
      <c r="C39" s="19"/>
      <c r="D39" s="19"/>
      <c r="E39" s="19"/>
      <c r="F39" s="20"/>
      <c r="G39" s="19"/>
      <c r="H39" s="19"/>
      <c r="I39" s="20"/>
    </row>
    <row r="40" spans="1:9">
      <c r="A40" s="19"/>
      <c r="B40" s="31"/>
      <c r="C40" s="19"/>
      <c r="D40" s="19"/>
      <c r="E40" s="19"/>
      <c r="F40" s="20"/>
      <c r="G40" s="19"/>
      <c r="H40" s="19"/>
      <c r="I40" s="20"/>
    </row>
    <row r="41" spans="1:9">
      <c r="A41" s="19"/>
      <c r="B41" s="31"/>
      <c r="C41" s="19"/>
      <c r="D41" s="19"/>
      <c r="E41" s="19"/>
      <c r="F41" s="20"/>
      <c r="G41" s="19"/>
      <c r="H41" s="19"/>
      <c r="I41" s="20"/>
    </row>
    <row r="42" spans="1:9">
      <c r="A42" s="19"/>
      <c r="B42" s="31"/>
      <c r="C42" s="19"/>
      <c r="D42" s="19"/>
      <c r="E42" s="19"/>
      <c r="F42" s="20"/>
      <c r="G42" s="19"/>
      <c r="H42" s="19"/>
      <c r="I42" s="20"/>
    </row>
    <row r="43" spans="1:9">
      <c r="A43" s="19"/>
      <c r="B43" s="31"/>
      <c r="C43" s="19"/>
      <c r="D43" s="19"/>
      <c r="E43" s="19"/>
      <c r="F43" s="20"/>
      <c r="G43" s="19"/>
      <c r="H43" s="19"/>
      <c r="I43" s="20"/>
    </row>
    <row r="44" spans="1:9">
      <c r="A44" s="19"/>
      <c r="B44" s="31"/>
      <c r="C44" s="19"/>
      <c r="D44" s="19"/>
      <c r="E44" s="19"/>
      <c r="F44" s="20"/>
      <c r="G44" s="19"/>
      <c r="H44" s="19"/>
      <c r="I44" s="20"/>
    </row>
    <row r="45" spans="1:9">
      <c r="A45" s="19"/>
      <c r="B45" s="31"/>
      <c r="C45" s="19"/>
      <c r="D45" s="19"/>
      <c r="E45" s="19"/>
      <c r="F45" s="20"/>
      <c r="G45" s="19"/>
      <c r="H45" s="19"/>
      <c r="I45" s="20"/>
    </row>
    <row r="46" spans="1:9">
      <c r="A46" s="19"/>
      <c r="B46" s="31"/>
      <c r="C46" s="19"/>
      <c r="D46" s="19"/>
      <c r="E46" s="19"/>
      <c r="F46" s="20"/>
      <c r="G46" s="19"/>
      <c r="H46" s="19"/>
      <c r="I46" s="20"/>
    </row>
    <row r="47" spans="1:9">
      <c r="A47" s="19"/>
      <c r="B47" s="31"/>
      <c r="C47" s="19"/>
      <c r="D47" s="19"/>
      <c r="E47" s="19"/>
      <c r="F47" s="20"/>
      <c r="G47" s="19"/>
      <c r="H47" s="19"/>
      <c r="I47" s="20"/>
    </row>
    <row r="48" spans="1:9">
      <c r="A48" s="19"/>
      <c r="B48" s="31"/>
      <c r="C48" s="19"/>
      <c r="D48" s="19"/>
      <c r="E48" s="19"/>
      <c r="F48" s="20"/>
      <c r="G48" s="19"/>
      <c r="H48" s="19"/>
      <c r="I48" s="20"/>
    </row>
    <row r="49" spans="1:9">
      <c r="A49" s="19"/>
      <c r="B49" s="31"/>
      <c r="C49" s="19"/>
      <c r="D49" s="19"/>
      <c r="E49" s="19"/>
      <c r="F49" s="20"/>
      <c r="G49" s="19"/>
      <c r="H49" s="19"/>
      <c r="I49" s="20"/>
    </row>
    <row r="50" spans="1:9">
      <c r="A50" s="19"/>
      <c r="B50" s="31"/>
      <c r="C50" s="19"/>
      <c r="D50" s="19"/>
      <c r="E50" s="19"/>
      <c r="F50" s="20"/>
      <c r="G50" s="19"/>
      <c r="H50" s="19"/>
      <c r="I50" s="20"/>
    </row>
    <row r="51" spans="1:9">
      <c r="A51" s="19"/>
      <c r="B51" s="31"/>
      <c r="C51" s="19"/>
      <c r="D51" s="19"/>
      <c r="E51" s="19"/>
      <c r="F51" s="20"/>
      <c r="G51" s="19"/>
      <c r="H51" s="19"/>
      <c r="I51" s="20"/>
    </row>
    <row r="52" spans="1:9">
      <c r="A52" s="19"/>
      <c r="B52" s="31"/>
      <c r="C52" s="19"/>
      <c r="D52" s="19"/>
      <c r="E52" s="19"/>
      <c r="F52" s="20"/>
      <c r="G52" s="19"/>
      <c r="H52" s="19"/>
      <c r="I52" s="20"/>
    </row>
    <row r="53" spans="1:9">
      <c r="A53" s="19"/>
      <c r="B53" s="31"/>
      <c r="C53" s="19"/>
      <c r="D53" s="19"/>
      <c r="E53" s="19"/>
      <c r="F53" s="20"/>
      <c r="G53" s="19"/>
      <c r="H53" s="19"/>
      <c r="I53" s="20"/>
    </row>
    <row r="54" spans="1:9">
      <c r="A54" s="19"/>
      <c r="B54" s="31"/>
      <c r="C54" s="19"/>
      <c r="D54" s="19"/>
      <c r="E54" s="19"/>
      <c r="F54" s="20"/>
      <c r="G54" s="19"/>
      <c r="H54" s="19"/>
      <c r="I54" s="20"/>
    </row>
    <row r="55" spans="1:9">
      <c r="A55" s="19"/>
      <c r="B55" s="31"/>
      <c r="C55" s="19"/>
      <c r="D55" s="19"/>
      <c r="E55" s="19"/>
      <c r="F55" s="20"/>
      <c r="G55" s="19"/>
      <c r="H55" s="19"/>
      <c r="I55" s="20"/>
    </row>
    <row r="56" spans="1:9">
      <c r="A56" s="19"/>
      <c r="B56" s="31"/>
      <c r="C56" s="19"/>
      <c r="D56" s="19"/>
      <c r="E56" s="19"/>
      <c r="F56" s="20"/>
      <c r="G56" s="19"/>
      <c r="H56" s="19"/>
      <c r="I56" s="20"/>
    </row>
    <row r="57" spans="1:9">
      <c r="A57" s="19"/>
      <c r="B57" s="31"/>
      <c r="C57" s="19"/>
      <c r="D57" s="19"/>
      <c r="E57" s="19"/>
      <c r="F57" s="20"/>
      <c r="G57" s="19"/>
      <c r="H57" s="19"/>
      <c r="I57" s="20"/>
    </row>
    <row r="58" spans="1:9">
      <c r="A58" s="19"/>
      <c r="B58" s="31"/>
      <c r="C58" s="19"/>
      <c r="D58" s="19"/>
      <c r="E58" s="19"/>
      <c r="F58" s="20"/>
      <c r="G58" s="19"/>
      <c r="H58" s="19"/>
      <c r="I58" s="20"/>
    </row>
    <row r="59" spans="1:9">
      <c r="A59" s="19"/>
      <c r="B59" s="31"/>
      <c r="C59" s="19"/>
      <c r="D59" s="19"/>
      <c r="E59" s="19"/>
      <c r="F59" s="20"/>
      <c r="G59" s="19"/>
      <c r="H59" s="19"/>
      <c r="I59" s="20"/>
    </row>
    <row r="60" spans="1:9">
      <c r="A60" s="19"/>
      <c r="B60" s="31"/>
      <c r="C60" s="19"/>
      <c r="D60" s="19"/>
      <c r="E60" s="19"/>
      <c r="F60" s="20"/>
      <c r="G60" s="19"/>
      <c r="H60" s="19"/>
      <c r="I60" s="20"/>
    </row>
    <row r="61" spans="1:9">
      <c r="A61" s="19"/>
      <c r="B61" s="31"/>
      <c r="C61" s="19"/>
      <c r="D61" s="19"/>
      <c r="E61" s="19"/>
      <c r="F61" s="20"/>
      <c r="G61" s="19"/>
      <c r="H61" s="19"/>
      <c r="I61" s="20"/>
    </row>
    <row r="62" spans="1:9">
      <c r="A62" s="19"/>
      <c r="B62" s="31"/>
      <c r="C62" s="19"/>
      <c r="D62" s="19"/>
      <c r="E62" s="19"/>
      <c r="F62" s="20"/>
      <c r="G62" s="19"/>
      <c r="H62" s="19"/>
      <c r="I62" s="20"/>
    </row>
    <row r="63" spans="1:9">
      <c r="A63" s="19"/>
      <c r="B63" s="31"/>
      <c r="C63" s="19"/>
      <c r="D63" s="19"/>
      <c r="E63" s="19"/>
      <c r="F63" s="20"/>
      <c r="G63" s="19"/>
      <c r="H63" s="19"/>
      <c r="I63" s="20"/>
    </row>
    <row r="64" spans="1:9">
      <c r="A64" s="19"/>
      <c r="B64" s="31"/>
      <c r="C64" s="19"/>
      <c r="D64" s="19"/>
      <c r="E64" s="19"/>
      <c r="F64" s="20"/>
      <c r="G64" s="19"/>
      <c r="H64" s="19"/>
      <c r="I64" s="20"/>
    </row>
    <row r="65" spans="1:9">
      <c r="A65" s="19"/>
      <c r="B65" s="31"/>
      <c r="C65" s="19"/>
      <c r="D65" s="19"/>
      <c r="E65" s="19"/>
      <c r="F65" s="20"/>
      <c r="G65" s="19"/>
      <c r="H65" s="19"/>
      <c r="I65" s="20"/>
    </row>
    <row r="66" spans="1:9">
      <c r="A66" s="19"/>
      <c r="B66" s="31"/>
      <c r="C66" s="19"/>
      <c r="D66" s="19"/>
      <c r="E66" s="19"/>
      <c r="F66" s="20"/>
      <c r="G66" s="19"/>
      <c r="H66" s="19"/>
      <c r="I66" s="20"/>
    </row>
    <row r="67" spans="1:9">
      <c r="A67" s="19"/>
      <c r="B67" s="31"/>
      <c r="C67" s="19"/>
      <c r="D67" s="19"/>
      <c r="E67" s="19"/>
      <c r="F67" s="20"/>
      <c r="G67" s="19"/>
      <c r="H67" s="19"/>
      <c r="I67" s="20"/>
    </row>
    <row r="68" spans="1:9">
      <c r="A68" s="19"/>
      <c r="B68" s="31"/>
      <c r="C68" s="19"/>
      <c r="D68" s="19"/>
      <c r="E68" s="19"/>
      <c r="F68" s="20"/>
      <c r="G68" s="19"/>
      <c r="H68" s="19"/>
      <c r="I68" s="20"/>
    </row>
    <row r="69" spans="1:9">
      <c r="A69" s="19"/>
      <c r="B69" s="31"/>
      <c r="C69" s="19"/>
      <c r="D69" s="19"/>
      <c r="E69" s="19"/>
      <c r="F69" s="20"/>
      <c r="G69" s="19"/>
      <c r="H69" s="19"/>
      <c r="I69" s="20"/>
    </row>
    <row r="70" spans="1:9">
      <c r="A70" s="19"/>
      <c r="B70" s="31"/>
      <c r="C70" s="19"/>
      <c r="D70" s="19"/>
      <c r="E70" s="19"/>
      <c r="F70" s="20"/>
      <c r="G70" s="19"/>
      <c r="H70" s="19"/>
      <c r="I70" s="20"/>
    </row>
    <row r="71" spans="1:9">
      <c r="A71" s="19"/>
      <c r="B71" s="31"/>
      <c r="C71" s="19"/>
      <c r="D71" s="19"/>
      <c r="E71" s="19"/>
      <c r="F71" s="20"/>
      <c r="G71" s="19"/>
      <c r="H71" s="19"/>
      <c r="I71" s="20"/>
    </row>
    <row r="72" spans="1:9">
      <c r="A72" s="19"/>
      <c r="B72" s="31"/>
      <c r="C72" s="19"/>
      <c r="D72" s="19"/>
      <c r="E72" s="19"/>
      <c r="F72" s="20"/>
      <c r="G72" s="19"/>
      <c r="H72" s="19"/>
      <c r="I72" s="20"/>
    </row>
    <row r="73" spans="1:9">
      <c r="A73" s="19"/>
      <c r="B73" s="31"/>
      <c r="C73" s="19"/>
      <c r="D73" s="19"/>
      <c r="E73" s="19"/>
      <c r="F73" s="20"/>
      <c r="G73" s="19"/>
      <c r="H73" s="19"/>
      <c r="I73" s="20"/>
    </row>
    <row r="74" spans="1:9">
      <c r="A74" s="19"/>
      <c r="B74" s="31"/>
      <c r="C74" s="19"/>
      <c r="D74" s="19"/>
      <c r="E74" s="19"/>
      <c r="F74" s="20"/>
      <c r="G74" s="19"/>
      <c r="H74" s="19"/>
      <c r="I74" s="20"/>
    </row>
    <row r="75" spans="1:9">
      <c r="A75" s="19"/>
      <c r="B75" s="31"/>
      <c r="C75" s="19"/>
      <c r="D75" s="19"/>
      <c r="E75" s="19"/>
      <c r="F75" s="20"/>
      <c r="G75" s="19"/>
      <c r="H75" s="19"/>
      <c r="I75" s="20"/>
    </row>
    <row r="76" spans="1:9">
      <c r="A76" s="19"/>
      <c r="B76" s="31"/>
      <c r="C76" s="19"/>
      <c r="D76" s="19"/>
      <c r="E76" s="19"/>
      <c r="F76" s="20"/>
      <c r="G76" s="19"/>
      <c r="H76" s="19"/>
      <c r="I76" s="20"/>
    </row>
    <row r="77" spans="1:9">
      <c r="A77" s="19"/>
      <c r="B77" s="31"/>
      <c r="C77" s="19"/>
      <c r="D77" s="19"/>
      <c r="E77" s="19"/>
      <c r="F77" s="20"/>
      <c r="G77" s="19"/>
      <c r="H77" s="19"/>
      <c r="I77" s="20"/>
    </row>
    <row r="78" spans="1:9">
      <c r="A78" s="19"/>
      <c r="B78" s="31"/>
      <c r="C78" s="19"/>
      <c r="D78" s="19"/>
      <c r="E78" s="19"/>
      <c r="F78" s="20"/>
      <c r="G78" s="19"/>
      <c r="H78" s="19"/>
      <c r="I78" s="20"/>
    </row>
    <row r="79" spans="1:9">
      <c r="A79" s="19"/>
      <c r="B79" s="31"/>
      <c r="C79" s="19"/>
      <c r="D79" s="19"/>
      <c r="E79" s="19"/>
      <c r="F79" s="20"/>
      <c r="G79" s="19"/>
      <c r="H79" s="19"/>
      <c r="I79" s="20"/>
    </row>
    <row r="80" spans="1:9">
      <c r="A80" s="19"/>
      <c r="B80" s="31"/>
      <c r="C80" s="19"/>
      <c r="D80" s="19"/>
      <c r="E80" s="19"/>
      <c r="F80" s="20"/>
      <c r="G80" s="19"/>
      <c r="H80" s="19"/>
      <c r="I80" s="20"/>
    </row>
    <row r="81" spans="1:9">
      <c r="A81" s="19"/>
      <c r="B81" s="31"/>
      <c r="C81" s="19"/>
      <c r="D81" s="19"/>
      <c r="E81" s="19"/>
      <c r="F81" s="20"/>
      <c r="G81" s="19"/>
      <c r="H81" s="19"/>
      <c r="I81" s="20"/>
    </row>
    <row r="82" spans="1:9">
      <c r="A82" s="19"/>
      <c r="B82" s="31"/>
      <c r="C82" s="19"/>
      <c r="D82" s="19"/>
      <c r="E82" s="19"/>
      <c r="F82" s="20"/>
      <c r="G82" s="19"/>
      <c r="H82" s="19"/>
      <c r="I82" s="20"/>
    </row>
    <row r="83" spans="1:9">
      <c r="A83" s="19"/>
      <c r="B83" s="31"/>
      <c r="C83" s="19"/>
      <c r="D83" s="19"/>
      <c r="E83" s="19"/>
      <c r="F83" s="20"/>
      <c r="G83" s="19"/>
      <c r="H83" s="19"/>
      <c r="I83" s="20"/>
    </row>
    <row r="84" spans="1:9">
      <c r="A84" s="19"/>
      <c r="B84" s="31"/>
      <c r="C84" s="19"/>
      <c r="D84" s="19"/>
      <c r="E84" s="19"/>
      <c r="F84" s="20"/>
      <c r="G84" s="19"/>
      <c r="H84" s="19"/>
      <c r="I84" s="20"/>
    </row>
    <row r="85" spans="1:9">
      <c r="A85" s="19"/>
      <c r="B85" s="31"/>
      <c r="C85" s="19"/>
      <c r="D85" s="19"/>
      <c r="E85" s="19"/>
      <c r="F85" s="20"/>
      <c r="G85" s="19"/>
      <c r="H85" s="19"/>
      <c r="I85" s="20"/>
    </row>
    <row r="86" spans="1:9">
      <c r="A86" s="19"/>
      <c r="B86" s="31"/>
      <c r="C86" s="19"/>
      <c r="D86" s="19"/>
      <c r="E86" s="19"/>
      <c r="F86" s="20"/>
      <c r="G86" s="19"/>
      <c r="H86" s="19"/>
      <c r="I86" s="20"/>
    </row>
    <row r="87" spans="1:9">
      <c r="A87" s="19"/>
      <c r="B87" s="31"/>
      <c r="C87" s="19"/>
      <c r="D87" s="19"/>
      <c r="E87" s="19"/>
      <c r="F87" s="20"/>
      <c r="G87" s="19"/>
      <c r="H87" s="19"/>
      <c r="I87" s="20"/>
    </row>
    <row r="88" spans="1:9">
      <c r="A88" s="19"/>
      <c r="B88" s="31"/>
      <c r="C88" s="19"/>
      <c r="D88" s="19"/>
      <c r="E88" s="19"/>
      <c r="F88" s="20"/>
      <c r="G88" s="19"/>
      <c r="H88" s="19"/>
      <c r="I88" s="20"/>
    </row>
    <row r="89" spans="1:9">
      <c r="A89" s="19"/>
      <c r="B89" s="31"/>
      <c r="C89" s="19"/>
      <c r="D89" s="19"/>
      <c r="E89" s="19"/>
      <c r="F89" s="20"/>
      <c r="G89" s="19"/>
      <c r="H89" s="19"/>
      <c r="I89" s="20"/>
    </row>
    <row r="90" spans="1:9">
      <c r="A90" s="19"/>
      <c r="B90" s="31"/>
      <c r="C90" s="19"/>
      <c r="D90" s="19"/>
      <c r="E90" s="19"/>
      <c r="F90" s="20"/>
      <c r="G90" s="19"/>
      <c r="H90" s="19"/>
      <c r="I90" s="20"/>
    </row>
    <row r="91" spans="1:9">
      <c r="A91" s="19"/>
      <c r="B91" s="31"/>
      <c r="C91" s="19"/>
      <c r="D91" s="19"/>
      <c r="E91" s="19"/>
      <c r="F91" s="20"/>
      <c r="G91" s="19"/>
      <c r="H91" s="19"/>
      <c r="I91" s="20"/>
    </row>
    <row r="92" spans="1:9">
      <c r="A92" s="19"/>
      <c r="B92" s="31"/>
      <c r="C92" s="19"/>
      <c r="D92" s="19"/>
      <c r="E92" s="19"/>
      <c r="F92" s="20"/>
      <c r="G92" s="19"/>
      <c r="H92" s="19"/>
      <c r="I92" s="20"/>
    </row>
    <row r="93" spans="1:9">
      <c r="A93" s="19"/>
      <c r="B93" s="31"/>
      <c r="C93" s="19"/>
      <c r="D93" s="19"/>
      <c r="E93" s="19"/>
      <c r="F93" s="20"/>
      <c r="G93" s="19"/>
      <c r="H93" s="19"/>
      <c r="I93" s="20"/>
    </row>
    <row r="94" spans="1:9">
      <c r="A94" s="19"/>
      <c r="B94" s="31"/>
      <c r="C94" s="19"/>
      <c r="D94" s="19"/>
      <c r="E94" s="19"/>
      <c r="F94" s="20"/>
      <c r="G94" s="19"/>
      <c r="H94" s="19"/>
      <c r="I94" s="20"/>
    </row>
    <row r="95" spans="1:9">
      <c r="A95" s="19"/>
      <c r="B95" s="31"/>
      <c r="C95" s="19"/>
      <c r="D95" s="19"/>
      <c r="E95" s="19"/>
      <c r="F95" s="20"/>
      <c r="G95" s="19"/>
      <c r="H95" s="19"/>
      <c r="I95" s="20"/>
    </row>
    <row r="96" spans="1:9">
      <c r="A96" s="19"/>
      <c r="B96" s="31"/>
      <c r="C96" s="19"/>
      <c r="D96" s="19"/>
      <c r="E96" s="19"/>
      <c r="F96" s="20"/>
      <c r="G96" s="19"/>
      <c r="H96" s="19"/>
      <c r="I96" s="20"/>
    </row>
    <row r="97" spans="1:9">
      <c r="A97" s="19"/>
      <c r="B97" s="31"/>
      <c r="C97" s="19"/>
      <c r="D97" s="19"/>
      <c r="E97" s="19"/>
      <c r="F97" s="20"/>
      <c r="G97" s="19"/>
      <c r="H97" s="19"/>
      <c r="I97" s="20"/>
    </row>
    <row r="98" spans="1:9">
      <c r="A98" s="19"/>
      <c r="B98" s="31"/>
      <c r="C98" s="19"/>
      <c r="D98" s="19"/>
      <c r="E98" s="19"/>
      <c r="F98" s="20"/>
      <c r="G98" s="19"/>
      <c r="H98" s="19"/>
      <c r="I98" s="20"/>
    </row>
    <row r="99" spans="1:9">
      <c r="A99" s="19"/>
      <c r="B99" s="31"/>
      <c r="C99" s="19"/>
      <c r="D99" s="19"/>
      <c r="E99" s="19"/>
      <c r="F99" s="20"/>
      <c r="G99" s="19"/>
      <c r="H99" s="19"/>
      <c r="I99" s="20"/>
    </row>
    <row r="100" spans="1:9">
      <c r="A100" s="19"/>
      <c r="B100" s="31"/>
      <c r="C100" s="19"/>
      <c r="D100" s="19"/>
      <c r="E100" s="19"/>
      <c r="F100" s="20"/>
      <c r="G100" s="19"/>
      <c r="H100" s="19"/>
      <c r="I100" s="20"/>
    </row>
    <row r="101" spans="1:9">
      <c r="A101" s="19"/>
      <c r="B101" s="31"/>
      <c r="C101" s="19"/>
      <c r="D101" s="19"/>
      <c r="E101" s="19"/>
      <c r="F101" s="20"/>
      <c r="G101" s="19"/>
      <c r="H101" s="19"/>
      <c r="I101" s="20"/>
    </row>
    <row r="102" spans="1:9">
      <c r="A102" s="19"/>
      <c r="B102" s="31"/>
      <c r="C102" s="19"/>
      <c r="D102" s="19"/>
      <c r="E102" s="19"/>
      <c r="F102" s="20"/>
      <c r="G102" s="19"/>
      <c r="H102" s="19"/>
      <c r="I102" s="20"/>
    </row>
    <row r="103" spans="1:9">
      <c r="A103" s="19"/>
      <c r="B103" s="31"/>
      <c r="C103" s="19"/>
      <c r="D103" s="19"/>
      <c r="E103" s="19"/>
      <c r="F103" s="20"/>
      <c r="G103" s="19"/>
      <c r="H103" s="19"/>
      <c r="I103" s="20"/>
    </row>
    <row r="104" spans="1:9">
      <c r="A104" s="19"/>
      <c r="B104" s="31"/>
      <c r="C104" s="19"/>
      <c r="D104" s="19"/>
      <c r="E104" s="19"/>
      <c r="F104" s="20"/>
      <c r="G104" s="19"/>
      <c r="H104" s="19"/>
      <c r="I104" s="20"/>
    </row>
    <row r="105" spans="1:9">
      <c r="A105" s="19"/>
      <c r="B105" s="31"/>
      <c r="C105" s="19"/>
      <c r="D105" s="19"/>
      <c r="E105" s="19"/>
      <c r="F105" s="20"/>
      <c r="G105" s="19"/>
      <c r="H105" s="19"/>
      <c r="I105" s="20"/>
    </row>
    <row r="106" spans="1:9">
      <c r="A106" s="19"/>
      <c r="B106" s="31"/>
      <c r="C106" s="19"/>
      <c r="D106" s="19"/>
      <c r="E106" s="19"/>
      <c r="F106" s="20"/>
      <c r="G106" s="19"/>
      <c r="H106" s="19"/>
      <c r="I106" s="20"/>
    </row>
    <row r="107" spans="1:9">
      <c r="A107" s="19"/>
      <c r="B107" s="31"/>
      <c r="C107" s="19"/>
      <c r="D107" s="19"/>
      <c r="E107" s="19"/>
      <c r="F107" s="20"/>
      <c r="G107" s="19"/>
      <c r="H107" s="19"/>
      <c r="I107" s="20"/>
    </row>
    <row r="108" spans="1:9">
      <c r="A108" s="19"/>
      <c r="B108" s="31"/>
      <c r="C108" s="19"/>
      <c r="D108" s="19"/>
      <c r="E108" s="19"/>
      <c r="F108" s="20"/>
      <c r="G108" s="19"/>
      <c r="H108" s="19"/>
      <c r="I108" s="20"/>
    </row>
    <row r="109" spans="1:9">
      <c r="A109" s="19"/>
      <c r="B109" s="31"/>
      <c r="C109" s="19"/>
      <c r="D109" s="19"/>
      <c r="E109" s="19"/>
      <c r="F109" s="20"/>
      <c r="G109" s="19"/>
      <c r="H109" s="19"/>
      <c r="I109" s="20"/>
    </row>
    <row r="110" spans="1:9">
      <c r="A110" s="19"/>
      <c r="B110" s="31"/>
      <c r="C110" s="19"/>
      <c r="D110" s="19"/>
      <c r="E110" s="19"/>
      <c r="F110" s="20"/>
      <c r="G110" s="19"/>
      <c r="H110" s="19"/>
      <c r="I110" s="20"/>
    </row>
    <row r="111" spans="1:9">
      <c r="A111" s="19"/>
      <c r="B111" s="31"/>
      <c r="C111" s="19"/>
      <c r="D111" s="19"/>
      <c r="E111" s="19"/>
      <c r="F111" s="20"/>
      <c r="G111" s="19"/>
      <c r="H111" s="19"/>
      <c r="I111" s="20"/>
    </row>
    <row r="112" spans="1:9">
      <c r="A112" s="19"/>
      <c r="B112" s="31"/>
      <c r="C112" s="19"/>
      <c r="D112" s="19"/>
      <c r="E112" s="19"/>
      <c r="F112" s="20"/>
      <c r="G112" s="19"/>
      <c r="H112" s="19"/>
      <c r="I112" s="20"/>
    </row>
    <row r="113" spans="1:9">
      <c r="A113" s="19"/>
      <c r="B113" s="31"/>
      <c r="C113" s="19"/>
      <c r="D113" s="19"/>
      <c r="E113" s="19"/>
      <c r="F113" s="20"/>
      <c r="G113" s="19"/>
      <c r="H113" s="19"/>
      <c r="I113" s="20"/>
    </row>
    <row r="114" spans="1:9">
      <c r="A114" s="19"/>
      <c r="B114" s="31"/>
      <c r="C114" s="19"/>
      <c r="D114" s="19"/>
      <c r="E114" s="19"/>
      <c r="F114" s="20"/>
      <c r="G114" s="19"/>
      <c r="H114" s="19"/>
      <c r="I114" s="20"/>
    </row>
    <row r="115" spans="1:9">
      <c r="A115" s="19"/>
      <c r="B115" s="31"/>
      <c r="C115" s="19"/>
      <c r="D115" s="19"/>
      <c r="E115" s="19"/>
      <c r="F115" s="20"/>
      <c r="G115" s="19"/>
      <c r="H115" s="19"/>
      <c r="I115" s="20"/>
    </row>
    <row r="116" spans="1:9">
      <c r="A116" s="19"/>
      <c r="B116" s="31"/>
      <c r="C116" s="19"/>
      <c r="D116" s="19"/>
      <c r="E116" s="19"/>
      <c r="F116" s="20"/>
      <c r="G116" s="19"/>
      <c r="H116" s="19"/>
      <c r="I116" s="20"/>
    </row>
    <row r="117" spans="1:9">
      <c r="A117" s="19"/>
      <c r="B117" s="31"/>
      <c r="C117" s="19"/>
      <c r="D117" s="19"/>
      <c r="E117" s="19"/>
      <c r="F117" s="20"/>
      <c r="G117" s="19"/>
      <c r="H117" s="19"/>
      <c r="I117" s="20"/>
    </row>
    <row r="118" spans="1:9">
      <c r="A118" s="19"/>
      <c r="B118" s="31"/>
      <c r="C118" s="19"/>
      <c r="D118" s="19"/>
      <c r="E118" s="19"/>
      <c r="F118" s="20"/>
      <c r="G118" s="19"/>
      <c r="H118" s="19"/>
      <c r="I118" s="20"/>
    </row>
    <row r="119" spans="1:9">
      <c r="A119" s="19"/>
      <c r="B119" s="31"/>
      <c r="C119" s="19"/>
      <c r="D119" s="19"/>
      <c r="E119" s="19"/>
      <c r="F119" s="20"/>
      <c r="G119" s="19"/>
      <c r="H119" s="19"/>
      <c r="I119" s="20"/>
    </row>
    <row r="120" spans="1:9">
      <c r="A120" s="19"/>
      <c r="B120" s="31"/>
      <c r="C120" s="19"/>
      <c r="D120" s="19"/>
      <c r="E120" s="19"/>
      <c r="F120" s="20"/>
      <c r="G120" s="19"/>
      <c r="H120" s="19"/>
      <c r="I120" s="20"/>
    </row>
    <row r="121" spans="1:9">
      <c r="A121" s="19"/>
      <c r="B121" s="31"/>
      <c r="C121" s="19"/>
      <c r="D121" s="19"/>
      <c r="E121" s="19"/>
      <c r="F121" s="20"/>
      <c r="G121" s="19"/>
      <c r="H121" s="19"/>
      <c r="I121" s="20"/>
    </row>
    <row r="122" spans="1:9">
      <c r="A122" s="19"/>
      <c r="B122" s="31"/>
      <c r="C122" s="19"/>
      <c r="D122" s="19"/>
      <c r="E122" s="19"/>
      <c r="F122" s="20"/>
      <c r="G122" s="19"/>
      <c r="H122" s="19"/>
      <c r="I122" s="20"/>
    </row>
    <row r="123" spans="1:9">
      <c r="A123" s="19"/>
      <c r="B123" s="31"/>
      <c r="C123" s="19"/>
      <c r="D123" s="19"/>
      <c r="E123" s="19"/>
      <c r="F123" s="20"/>
      <c r="G123" s="19"/>
      <c r="H123" s="19"/>
      <c r="I123" s="20"/>
    </row>
    <row r="124" spans="1:9">
      <c r="A124" s="19"/>
      <c r="B124" s="31"/>
      <c r="C124" s="19"/>
      <c r="D124" s="19"/>
      <c r="E124" s="19"/>
      <c r="F124" s="20"/>
      <c r="G124" s="19"/>
      <c r="H124" s="19"/>
      <c r="I124" s="20"/>
    </row>
    <row r="125" spans="1:9">
      <c r="A125" s="19"/>
      <c r="B125" s="31"/>
      <c r="C125" s="19"/>
      <c r="D125" s="19"/>
      <c r="E125" s="19"/>
      <c r="F125" s="20"/>
      <c r="G125" s="19"/>
      <c r="H125" s="19"/>
      <c r="I125" s="20"/>
    </row>
    <row r="126" spans="1:9">
      <c r="A126" s="19"/>
      <c r="B126" s="31"/>
      <c r="C126" s="19"/>
      <c r="D126" s="19"/>
      <c r="E126" s="19"/>
      <c r="F126" s="20"/>
      <c r="G126" s="19"/>
      <c r="H126" s="19"/>
      <c r="I126" s="20"/>
    </row>
    <row r="127" spans="1:9">
      <c r="A127" s="19"/>
      <c r="B127" s="31"/>
      <c r="C127" s="19"/>
      <c r="D127" s="19"/>
      <c r="E127" s="19"/>
      <c r="F127" s="20"/>
      <c r="G127" s="19"/>
      <c r="H127" s="19"/>
      <c r="I127" s="20"/>
    </row>
    <row r="128" spans="1:9">
      <c r="A128" s="19"/>
      <c r="B128" s="31"/>
      <c r="C128" s="19"/>
      <c r="D128" s="19"/>
      <c r="E128" s="19"/>
      <c r="F128" s="20"/>
      <c r="G128" s="19"/>
      <c r="H128" s="19"/>
      <c r="I128" s="20"/>
    </row>
    <row r="129" spans="1:9">
      <c r="A129" s="19"/>
      <c r="B129" s="31"/>
      <c r="C129" s="19"/>
      <c r="D129" s="19"/>
      <c r="E129" s="19"/>
      <c r="F129" s="20"/>
      <c r="G129" s="19"/>
      <c r="H129" s="19"/>
      <c r="I129" s="20"/>
    </row>
    <row r="130" spans="1:9">
      <c r="A130" s="19"/>
      <c r="B130" s="31"/>
      <c r="C130" s="19"/>
      <c r="D130" s="19"/>
      <c r="E130" s="19"/>
      <c r="F130" s="20"/>
      <c r="G130" s="19"/>
      <c r="H130" s="19"/>
      <c r="I130" s="20"/>
    </row>
    <row r="131" spans="1:9">
      <c r="A131" s="19"/>
      <c r="B131" s="31"/>
      <c r="C131" s="19"/>
      <c r="D131" s="19"/>
      <c r="E131" s="19"/>
      <c r="F131" s="20"/>
      <c r="G131" s="19"/>
      <c r="H131" s="19"/>
      <c r="I131" s="20"/>
    </row>
    <row r="132" spans="1:9">
      <c r="A132" s="19"/>
      <c r="B132" s="31"/>
      <c r="C132" s="19"/>
      <c r="D132" s="19"/>
      <c r="E132" s="19"/>
      <c r="F132" s="20"/>
      <c r="G132" s="19"/>
      <c r="H132" s="19"/>
      <c r="I132" s="20"/>
    </row>
    <row r="133" spans="1:9">
      <c r="A133" s="19"/>
      <c r="B133" s="31"/>
      <c r="C133" s="19"/>
      <c r="D133" s="19"/>
      <c r="E133" s="19"/>
      <c r="F133" s="20"/>
      <c r="G133" s="19"/>
      <c r="H133" s="19"/>
      <c r="I133" s="20"/>
    </row>
    <row r="134" spans="1:9">
      <c r="A134" s="19"/>
      <c r="B134" s="31"/>
      <c r="C134" s="19"/>
      <c r="D134" s="19"/>
      <c r="E134" s="19"/>
      <c r="F134" s="20"/>
      <c r="G134" s="19"/>
      <c r="H134" s="19"/>
      <c r="I134" s="20"/>
    </row>
    <row r="135" spans="1:9">
      <c r="A135" s="19"/>
      <c r="B135" s="31"/>
      <c r="C135" s="19"/>
      <c r="D135" s="19"/>
      <c r="E135" s="19"/>
      <c r="F135" s="20"/>
      <c r="G135" s="19"/>
      <c r="H135" s="19"/>
      <c r="I135" s="20"/>
    </row>
    <row r="136" spans="1:9">
      <c r="A136" s="19"/>
      <c r="B136" s="31"/>
      <c r="C136" s="19"/>
      <c r="D136" s="19"/>
      <c r="E136" s="19"/>
      <c r="F136" s="20"/>
      <c r="G136" s="19"/>
      <c r="H136" s="19"/>
      <c r="I136" s="20"/>
    </row>
    <row r="137" spans="1:9">
      <c r="A137" s="19"/>
      <c r="B137" s="31"/>
      <c r="C137" s="19"/>
      <c r="D137" s="19"/>
      <c r="E137" s="19"/>
      <c r="F137" s="20"/>
      <c r="G137" s="19"/>
      <c r="H137" s="19"/>
      <c r="I137" s="20"/>
    </row>
    <row r="138" spans="1:9">
      <c r="A138" s="19"/>
      <c r="B138" s="31"/>
      <c r="C138" s="19"/>
      <c r="D138" s="19"/>
      <c r="E138" s="19"/>
      <c r="F138" s="20"/>
      <c r="G138" s="19"/>
      <c r="H138" s="19"/>
      <c r="I138" s="20"/>
    </row>
    <row r="139" spans="1:9">
      <c r="A139" s="19"/>
      <c r="B139" s="31"/>
      <c r="C139" s="19"/>
      <c r="D139" s="19"/>
      <c r="E139" s="19"/>
      <c r="F139" s="20"/>
      <c r="G139" s="19"/>
      <c r="H139" s="19"/>
      <c r="I139" s="20"/>
    </row>
    <row r="140" spans="1:9">
      <c r="A140" s="19"/>
      <c r="B140" s="31"/>
      <c r="C140" s="19"/>
      <c r="D140" s="19"/>
      <c r="E140" s="19"/>
      <c r="F140" s="20"/>
      <c r="G140" s="19"/>
      <c r="H140" s="19"/>
      <c r="I140" s="20"/>
    </row>
    <row r="141" spans="1:9">
      <c r="A141" s="19"/>
      <c r="B141" s="31"/>
      <c r="C141" s="19"/>
      <c r="D141" s="19"/>
      <c r="E141" s="19"/>
      <c r="F141" s="20"/>
      <c r="G141" s="19"/>
      <c r="H141" s="19"/>
      <c r="I141" s="20"/>
    </row>
    <row r="142" spans="1:9">
      <c r="A142" s="19"/>
      <c r="B142" s="31"/>
      <c r="C142" s="19"/>
      <c r="D142" s="19"/>
      <c r="E142" s="19"/>
      <c r="F142" s="20"/>
      <c r="G142" s="19"/>
      <c r="H142" s="19"/>
      <c r="I142" s="20"/>
    </row>
    <row r="143" spans="1:9">
      <c r="A143" s="19"/>
      <c r="B143" s="31"/>
      <c r="C143" s="19"/>
      <c r="D143" s="19"/>
      <c r="E143" s="19"/>
      <c r="F143" s="20"/>
      <c r="G143" s="19"/>
      <c r="H143" s="19"/>
      <c r="I143" s="20"/>
    </row>
    <row r="144" spans="1:9">
      <c r="A144" s="19"/>
      <c r="B144" s="31"/>
      <c r="C144" s="19"/>
      <c r="D144" s="19"/>
      <c r="E144" s="19"/>
      <c r="F144" s="20"/>
      <c r="G144" s="19"/>
      <c r="H144" s="19"/>
      <c r="I144" s="20"/>
    </row>
    <row r="145" spans="1:9">
      <c r="A145" s="19"/>
      <c r="B145" s="31"/>
      <c r="C145" s="19"/>
      <c r="D145" s="19"/>
      <c r="E145" s="19"/>
      <c r="F145" s="20"/>
      <c r="G145" s="19"/>
      <c r="H145" s="19"/>
      <c r="I145" s="20"/>
    </row>
    <row r="146" spans="1:9">
      <c r="A146" s="19"/>
      <c r="B146" s="31"/>
      <c r="C146" s="19"/>
      <c r="D146" s="19"/>
      <c r="E146" s="19"/>
      <c r="F146" s="20"/>
      <c r="G146" s="19"/>
      <c r="H146" s="19"/>
      <c r="I146" s="20"/>
    </row>
    <row r="147" spans="1:9">
      <c r="A147" s="19"/>
      <c r="B147" s="31"/>
      <c r="C147" s="19"/>
      <c r="D147" s="19"/>
      <c r="E147" s="19"/>
      <c r="F147" s="20"/>
      <c r="G147" s="19"/>
      <c r="H147" s="19"/>
      <c r="I147" s="20"/>
    </row>
    <row r="148" spans="1:9">
      <c r="A148" s="19"/>
      <c r="B148" s="31"/>
      <c r="C148" s="19"/>
      <c r="D148" s="19"/>
      <c r="E148" s="19"/>
      <c r="F148" s="20"/>
      <c r="G148" s="19"/>
      <c r="H148" s="19"/>
      <c r="I148" s="20"/>
    </row>
    <row r="149" spans="1:9">
      <c r="A149" s="19"/>
      <c r="B149" s="31"/>
      <c r="C149" s="19"/>
      <c r="D149" s="19"/>
      <c r="E149" s="19"/>
      <c r="F149" s="20"/>
      <c r="G149" s="19"/>
      <c r="H149" s="19"/>
      <c r="I149" s="20"/>
    </row>
    <row r="150" spans="1:9">
      <c r="A150" s="19"/>
      <c r="B150" s="31"/>
      <c r="C150" s="19"/>
      <c r="D150" s="19"/>
      <c r="E150" s="19"/>
      <c r="F150" s="20"/>
      <c r="G150" s="19"/>
      <c r="H150" s="19"/>
      <c r="I150" s="20"/>
    </row>
    <row r="151" spans="1:9">
      <c r="A151" s="19"/>
      <c r="B151" s="31"/>
      <c r="C151" s="19"/>
      <c r="D151" s="19"/>
      <c r="E151" s="19"/>
      <c r="F151" s="20"/>
      <c r="G151" s="19"/>
      <c r="H151" s="19"/>
      <c r="I151" s="20"/>
    </row>
    <row r="152" spans="1:9">
      <c r="A152" s="19"/>
      <c r="B152" s="31"/>
      <c r="C152" s="19"/>
      <c r="D152" s="19"/>
      <c r="E152" s="19"/>
      <c r="F152" s="20"/>
      <c r="G152" s="19"/>
      <c r="H152" s="19"/>
      <c r="I152" s="20"/>
    </row>
    <row r="153" spans="1:9">
      <c r="A153" s="19"/>
      <c r="B153" s="31"/>
      <c r="C153" s="19"/>
      <c r="D153" s="19"/>
      <c r="E153" s="19"/>
      <c r="F153" s="20"/>
      <c r="G153" s="19"/>
      <c r="H153" s="19"/>
      <c r="I153" s="20"/>
    </row>
    <row r="154" spans="1:9">
      <c r="A154" s="19"/>
      <c r="B154" s="31"/>
      <c r="C154" s="19"/>
      <c r="D154" s="19"/>
      <c r="E154" s="19"/>
      <c r="F154" s="20"/>
      <c r="G154" s="19"/>
      <c r="H154" s="19"/>
      <c r="I154" s="20"/>
    </row>
    <row r="155" spans="1:9">
      <c r="A155" s="19"/>
      <c r="B155" s="31"/>
      <c r="C155" s="19"/>
      <c r="D155" s="19"/>
      <c r="E155" s="19"/>
      <c r="F155" s="20"/>
      <c r="G155" s="19"/>
      <c r="H155" s="19"/>
      <c r="I155" s="20"/>
    </row>
    <row r="156" spans="1:9">
      <c r="A156" s="19"/>
      <c r="B156" s="31"/>
      <c r="C156" s="19"/>
      <c r="D156" s="19"/>
      <c r="E156" s="19"/>
      <c r="F156" s="20"/>
      <c r="G156" s="19"/>
      <c r="H156" s="19"/>
      <c r="I156" s="20"/>
    </row>
    <row r="157" spans="1:9">
      <c r="A157" s="19"/>
      <c r="B157" s="31"/>
      <c r="C157" s="19"/>
      <c r="D157" s="19"/>
      <c r="E157" s="19"/>
      <c r="F157" s="20"/>
      <c r="G157" s="19"/>
      <c r="H157" s="19"/>
      <c r="I157" s="20"/>
    </row>
    <row r="158" spans="1:9">
      <c r="A158" s="19"/>
      <c r="B158" s="31"/>
      <c r="C158" s="19"/>
      <c r="D158" s="19"/>
      <c r="E158" s="19"/>
      <c r="F158" s="20"/>
      <c r="G158" s="19"/>
      <c r="H158" s="19"/>
      <c r="I158" s="20"/>
    </row>
    <row r="159" spans="1:9">
      <c r="A159" s="19"/>
      <c r="B159" s="31"/>
      <c r="C159" s="19"/>
      <c r="D159" s="19"/>
      <c r="E159" s="19"/>
      <c r="F159" s="20"/>
      <c r="G159" s="19"/>
      <c r="H159" s="19"/>
      <c r="I159" s="20"/>
    </row>
    <row r="160" spans="1:9">
      <c r="A160" s="19"/>
      <c r="B160" s="31"/>
      <c r="C160" s="19"/>
      <c r="D160" s="19"/>
      <c r="E160" s="19"/>
      <c r="F160" s="20"/>
      <c r="G160" s="19"/>
      <c r="H160" s="19"/>
      <c r="I160" s="20"/>
    </row>
    <row r="161" spans="1:9">
      <c r="A161" s="19"/>
      <c r="B161" s="31"/>
      <c r="C161" s="19"/>
      <c r="D161" s="19"/>
      <c r="E161" s="19"/>
      <c r="F161" s="20"/>
      <c r="G161" s="19"/>
      <c r="H161" s="19"/>
      <c r="I161" s="20"/>
    </row>
    <row r="162" spans="1:9">
      <c r="A162" s="19"/>
      <c r="B162" s="31"/>
      <c r="C162" s="19"/>
      <c r="D162" s="19"/>
      <c r="E162" s="19"/>
      <c r="F162" s="20"/>
      <c r="G162" s="19"/>
      <c r="H162" s="19"/>
      <c r="I162" s="20"/>
    </row>
    <row r="163" spans="1:9">
      <c r="A163" s="19"/>
      <c r="B163" s="31"/>
      <c r="C163" s="19"/>
      <c r="D163" s="19"/>
      <c r="E163" s="19"/>
      <c r="F163" s="20"/>
      <c r="G163" s="19"/>
      <c r="H163" s="19"/>
      <c r="I163" s="20"/>
    </row>
    <row r="164" spans="1:9">
      <c r="A164" s="19"/>
      <c r="B164" s="31"/>
      <c r="C164" s="19"/>
      <c r="D164" s="19"/>
      <c r="E164" s="19"/>
      <c r="F164" s="20"/>
      <c r="G164" s="19"/>
      <c r="H164" s="19"/>
      <c r="I164" s="20"/>
    </row>
    <row r="165" spans="1:9">
      <c r="A165" s="19"/>
      <c r="B165" s="31"/>
      <c r="C165" s="19"/>
      <c r="D165" s="19"/>
      <c r="E165" s="19"/>
      <c r="F165" s="20"/>
      <c r="G165" s="19"/>
      <c r="H165" s="19"/>
      <c r="I165" s="20"/>
    </row>
    <row r="166" spans="1:9">
      <c r="A166" s="19"/>
      <c r="B166" s="31"/>
      <c r="C166" s="19"/>
      <c r="D166" s="19"/>
      <c r="E166" s="19"/>
      <c r="F166" s="20"/>
      <c r="G166" s="19"/>
      <c r="H166" s="19"/>
      <c r="I166" s="20"/>
    </row>
    <row r="167" spans="1:9">
      <c r="A167" s="19"/>
      <c r="B167" s="31"/>
      <c r="C167" s="19"/>
      <c r="D167" s="19"/>
      <c r="E167" s="19"/>
      <c r="F167" s="20"/>
      <c r="G167" s="19"/>
      <c r="H167" s="19"/>
      <c r="I167" s="20"/>
    </row>
    <row r="168" spans="1:9">
      <c r="A168" s="19"/>
      <c r="B168" s="31"/>
      <c r="C168" s="19"/>
      <c r="D168" s="19"/>
      <c r="E168" s="19"/>
      <c r="F168" s="20"/>
      <c r="G168" s="19"/>
      <c r="H168" s="19"/>
      <c r="I168" s="20"/>
    </row>
    <row r="169" spans="1:9">
      <c r="A169" s="19"/>
      <c r="B169" s="31"/>
      <c r="C169" s="19"/>
      <c r="D169" s="19"/>
      <c r="E169" s="19"/>
      <c r="F169" s="20"/>
      <c r="G169" s="19"/>
      <c r="H169" s="19"/>
      <c r="I169" s="20"/>
    </row>
    <row r="170" spans="1:9">
      <c r="A170" s="19"/>
      <c r="B170" s="31"/>
      <c r="C170" s="19"/>
      <c r="D170" s="19"/>
      <c r="E170" s="19"/>
      <c r="F170" s="20"/>
      <c r="G170" s="19"/>
      <c r="H170" s="19"/>
      <c r="I170" s="20"/>
    </row>
    <row r="171" spans="1:9">
      <c r="A171" s="19"/>
      <c r="B171" s="31"/>
      <c r="C171" s="19"/>
      <c r="D171" s="19"/>
      <c r="E171" s="19"/>
      <c r="F171" s="20"/>
      <c r="G171" s="19"/>
      <c r="H171" s="19"/>
      <c r="I171" s="20"/>
    </row>
    <row r="172" spans="1:9">
      <c r="A172" s="19"/>
      <c r="B172" s="31"/>
      <c r="C172" s="19"/>
      <c r="D172" s="19"/>
      <c r="E172" s="19"/>
      <c r="F172" s="20"/>
      <c r="G172" s="19"/>
      <c r="H172" s="19"/>
      <c r="I172" s="20"/>
    </row>
    <row r="173" spans="1:9">
      <c r="A173" s="19"/>
      <c r="B173" s="31"/>
      <c r="C173" s="19"/>
      <c r="D173" s="19"/>
      <c r="E173" s="19"/>
      <c r="F173" s="20"/>
      <c r="G173" s="19"/>
      <c r="H173" s="19"/>
      <c r="I173" s="20"/>
    </row>
    <row r="174" spans="1:9">
      <c r="A174" s="19"/>
      <c r="B174" s="31"/>
      <c r="C174" s="19"/>
      <c r="D174" s="19"/>
      <c r="E174" s="19"/>
      <c r="F174" s="20"/>
      <c r="G174" s="19"/>
      <c r="H174" s="19"/>
      <c r="I174" s="20"/>
    </row>
    <row r="175" spans="1:9">
      <c r="A175" s="19"/>
      <c r="B175" s="31"/>
      <c r="C175" s="19"/>
      <c r="D175" s="19"/>
      <c r="E175" s="19"/>
      <c r="F175" s="20"/>
      <c r="G175" s="19"/>
      <c r="H175" s="19"/>
      <c r="I175" s="20"/>
    </row>
    <row r="176" spans="1:9">
      <c r="A176" s="19"/>
      <c r="B176" s="31"/>
      <c r="C176" s="19"/>
      <c r="D176" s="19"/>
      <c r="E176" s="19"/>
      <c r="F176" s="20"/>
      <c r="G176" s="19"/>
      <c r="H176" s="19"/>
      <c r="I176" s="20"/>
    </row>
    <row r="177" spans="1:9">
      <c r="A177" s="19"/>
      <c r="B177" s="31"/>
      <c r="C177" s="19"/>
      <c r="D177" s="19"/>
      <c r="E177" s="19"/>
      <c r="F177" s="20"/>
      <c r="G177" s="19"/>
      <c r="H177" s="19"/>
      <c r="I177" s="20"/>
    </row>
    <row r="178" spans="1:9">
      <c r="A178" s="19"/>
      <c r="B178" s="31"/>
      <c r="C178" s="19"/>
      <c r="D178" s="19"/>
      <c r="E178" s="19"/>
      <c r="F178" s="20"/>
      <c r="G178" s="19"/>
      <c r="H178" s="19"/>
      <c r="I178" s="20"/>
    </row>
    <row r="179" spans="1:9">
      <c r="A179" s="19"/>
      <c r="B179" s="31"/>
      <c r="C179" s="19"/>
      <c r="D179" s="19"/>
      <c r="E179" s="19"/>
      <c r="F179" s="20"/>
      <c r="G179" s="19"/>
      <c r="H179" s="19"/>
      <c r="I179" s="20"/>
    </row>
    <row r="180" spans="1:9">
      <c r="A180" s="19"/>
      <c r="B180" s="31"/>
      <c r="C180" s="19"/>
      <c r="D180" s="19"/>
      <c r="E180" s="19"/>
      <c r="F180" s="20"/>
      <c r="G180" s="19"/>
      <c r="H180" s="19"/>
      <c r="I180" s="20"/>
    </row>
    <row r="181" spans="1:9">
      <c r="A181" s="19"/>
      <c r="B181" s="31"/>
      <c r="C181" s="19"/>
      <c r="D181" s="19"/>
      <c r="E181" s="19"/>
      <c r="F181" s="20"/>
      <c r="G181" s="19"/>
      <c r="H181" s="19"/>
      <c r="I181" s="20"/>
    </row>
    <row r="182" spans="1:9">
      <c r="A182" s="19"/>
      <c r="B182" s="31"/>
      <c r="C182" s="19"/>
      <c r="D182" s="19"/>
      <c r="E182" s="19"/>
      <c r="F182" s="20"/>
      <c r="G182" s="19"/>
      <c r="H182" s="19"/>
      <c r="I182" s="20"/>
    </row>
    <row r="183" spans="1:9">
      <c r="A183" s="19"/>
      <c r="B183" s="31"/>
      <c r="C183" s="19"/>
      <c r="D183" s="19"/>
      <c r="E183" s="19"/>
      <c r="F183" s="20"/>
      <c r="G183" s="19"/>
      <c r="H183" s="19"/>
      <c r="I183" s="20"/>
    </row>
    <row r="184" spans="1:9">
      <c r="A184" s="19"/>
      <c r="B184" s="31"/>
      <c r="C184" s="19"/>
      <c r="D184" s="19"/>
      <c r="E184" s="19"/>
      <c r="F184" s="20"/>
      <c r="G184" s="19"/>
      <c r="H184" s="19"/>
      <c r="I184" s="20"/>
    </row>
    <row r="185" spans="1:9">
      <c r="A185" s="19"/>
      <c r="B185" s="31"/>
      <c r="C185" s="19"/>
      <c r="D185" s="19"/>
      <c r="E185" s="19"/>
      <c r="F185" s="20"/>
      <c r="G185" s="19"/>
      <c r="H185" s="19"/>
      <c r="I185" s="20"/>
    </row>
    <row r="186" spans="1:9">
      <c r="A186" s="19"/>
      <c r="B186" s="31"/>
      <c r="C186" s="19"/>
      <c r="D186" s="19"/>
      <c r="E186" s="19"/>
      <c r="F186" s="20"/>
      <c r="G186" s="19"/>
      <c r="H186" s="19"/>
      <c r="I186" s="20"/>
    </row>
    <row r="187" spans="1:9">
      <c r="A187" s="19"/>
      <c r="B187" s="31"/>
      <c r="C187" s="19"/>
      <c r="D187" s="19"/>
      <c r="E187" s="19"/>
      <c r="F187" s="20"/>
      <c r="G187" s="19"/>
      <c r="H187" s="19"/>
      <c r="I187" s="20"/>
    </row>
    <row r="188" spans="1:9">
      <c r="A188" s="19"/>
      <c r="B188" s="31"/>
      <c r="C188" s="19"/>
      <c r="D188" s="19"/>
      <c r="E188" s="19"/>
      <c r="F188" s="20"/>
      <c r="G188" s="19"/>
      <c r="H188" s="19"/>
      <c r="I188" s="20"/>
    </row>
    <row r="189" spans="1:9">
      <c r="A189" s="19"/>
      <c r="B189" s="31"/>
      <c r="C189" s="19"/>
      <c r="D189" s="19"/>
      <c r="E189" s="19"/>
      <c r="F189" s="20"/>
      <c r="G189" s="19"/>
      <c r="H189" s="19"/>
      <c r="I189" s="20"/>
    </row>
    <row r="190" spans="1:9">
      <c r="A190" s="19"/>
      <c r="B190" s="31"/>
      <c r="C190" s="19"/>
      <c r="D190" s="19"/>
      <c r="E190" s="19"/>
      <c r="F190" s="20"/>
      <c r="G190" s="19"/>
      <c r="H190" s="19"/>
      <c r="I190" s="20"/>
    </row>
    <row r="191" spans="1:9">
      <c r="A191" s="19"/>
      <c r="B191" s="31"/>
      <c r="C191" s="19"/>
      <c r="D191" s="19"/>
      <c r="E191" s="19"/>
      <c r="F191" s="20"/>
      <c r="G191" s="19"/>
      <c r="H191" s="19"/>
      <c r="I191" s="20"/>
    </row>
    <row r="192" spans="1:9">
      <c r="A192" s="19"/>
      <c r="B192" s="31"/>
      <c r="C192" s="19"/>
      <c r="D192" s="19"/>
      <c r="E192" s="19"/>
      <c r="F192" s="20"/>
      <c r="G192" s="19"/>
      <c r="H192" s="19"/>
      <c r="I192" s="20"/>
    </row>
    <row r="193" spans="1:9">
      <c r="A193" s="19"/>
      <c r="B193" s="31"/>
      <c r="C193" s="19"/>
      <c r="D193" s="19"/>
      <c r="E193" s="19"/>
      <c r="F193" s="20"/>
      <c r="G193" s="19"/>
      <c r="H193" s="19"/>
      <c r="I193" s="20"/>
    </row>
    <row r="194" spans="1:9">
      <c r="A194" s="19"/>
      <c r="B194" s="31"/>
      <c r="C194" s="19"/>
      <c r="D194" s="19"/>
      <c r="E194" s="19"/>
      <c r="F194" s="20"/>
      <c r="G194" s="19"/>
      <c r="H194" s="19"/>
      <c r="I194" s="20"/>
    </row>
    <row r="195" spans="1:9">
      <c r="A195" s="19"/>
      <c r="B195" s="31"/>
      <c r="C195" s="19"/>
      <c r="D195" s="19"/>
      <c r="E195" s="19"/>
      <c r="F195" s="20"/>
      <c r="G195" s="19"/>
      <c r="H195" s="19"/>
      <c r="I195" s="20"/>
    </row>
    <row r="196" spans="1:9">
      <c r="A196" s="19"/>
      <c r="B196" s="31"/>
      <c r="C196" s="19"/>
      <c r="D196" s="19"/>
      <c r="E196" s="19"/>
      <c r="F196" s="20"/>
      <c r="G196" s="19"/>
      <c r="H196" s="19"/>
      <c r="I196" s="20"/>
    </row>
    <row r="197" spans="1:9">
      <c r="A197" s="19"/>
      <c r="B197" s="31"/>
      <c r="C197" s="19"/>
      <c r="D197" s="19"/>
      <c r="E197" s="19"/>
      <c r="F197" s="20"/>
      <c r="G197" s="19"/>
      <c r="H197" s="19"/>
      <c r="I197" s="20"/>
    </row>
    <row r="198" spans="1:9">
      <c r="A198" s="19"/>
      <c r="B198" s="31"/>
      <c r="C198" s="19"/>
      <c r="D198" s="19"/>
      <c r="E198" s="19"/>
      <c r="F198" s="20"/>
      <c r="G198" s="19"/>
      <c r="H198" s="19"/>
      <c r="I198" s="20"/>
    </row>
    <row r="199" spans="1:9">
      <c r="A199" s="19"/>
      <c r="B199" s="31"/>
      <c r="C199" s="19"/>
      <c r="D199" s="19"/>
      <c r="E199" s="19"/>
      <c r="F199" s="20"/>
      <c r="G199" s="19"/>
      <c r="H199" s="19"/>
      <c r="I199" s="20"/>
    </row>
    <row r="200" spans="1:9">
      <c r="A200" s="19"/>
      <c r="B200" s="31"/>
      <c r="C200" s="19"/>
      <c r="D200" s="19"/>
      <c r="E200" s="19"/>
      <c r="F200" s="20"/>
      <c r="G200" s="19"/>
      <c r="H200" s="19"/>
      <c r="I200" s="20"/>
    </row>
    <row r="201" spans="1:9">
      <c r="A201" s="19"/>
      <c r="B201" s="31"/>
      <c r="C201" s="19"/>
      <c r="D201" s="19"/>
      <c r="E201" s="19"/>
      <c r="F201" s="20"/>
      <c r="G201" s="19"/>
      <c r="H201" s="19"/>
      <c r="I201" s="20"/>
    </row>
    <row r="202" spans="1:9">
      <c r="A202" s="19"/>
      <c r="B202" s="31"/>
      <c r="C202" s="19"/>
      <c r="D202" s="19"/>
      <c r="E202" s="19"/>
      <c r="F202" s="20"/>
      <c r="G202" s="19"/>
      <c r="H202" s="19"/>
      <c r="I202" s="20"/>
    </row>
    <row r="203" spans="1:9">
      <c r="A203" s="19"/>
      <c r="B203" s="31"/>
      <c r="C203" s="19"/>
      <c r="D203" s="19"/>
      <c r="E203" s="19"/>
      <c r="F203" s="20"/>
      <c r="G203" s="19"/>
      <c r="H203" s="19"/>
      <c r="I203" s="20"/>
    </row>
    <row r="204" spans="1:9">
      <c r="A204" s="19"/>
      <c r="B204" s="31"/>
      <c r="C204" s="19"/>
      <c r="D204" s="19"/>
      <c r="E204" s="19"/>
      <c r="F204" s="20"/>
      <c r="G204" s="19"/>
      <c r="H204" s="19"/>
      <c r="I204" s="20"/>
    </row>
    <row r="205" spans="1:9">
      <c r="A205" s="19"/>
      <c r="B205" s="31"/>
      <c r="C205" s="19"/>
      <c r="D205" s="19"/>
      <c r="E205" s="19"/>
      <c r="F205" s="20"/>
      <c r="G205" s="19"/>
      <c r="H205" s="19"/>
      <c r="I205" s="20"/>
    </row>
    <row r="206" spans="1:9">
      <c r="A206" s="19"/>
      <c r="B206" s="31"/>
      <c r="C206" s="19"/>
      <c r="D206" s="19"/>
      <c r="E206" s="19"/>
      <c r="F206" s="20"/>
      <c r="G206" s="19"/>
      <c r="H206" s="19"/>
      <c r="I206" s="20"/>
    </row>
    <row r="207" spans="1:9">
      <c r="A207" s="19"/>
      <c r="B207" s="31"/>
      <c r="C207" s="19"/>
      <c r="D207" s="19"/>
      <c r="E207" s="19"/>
      <c r="F207" s="20"/>
      <c r="G207" s="19"/>
      <c r="H207" s="19"/>
      <c r="I207" s="20"/>
    </row>
    <row r="208" spans="1:9">
      <c r="A208" s="19"/>
      <c r="B208" s="31"/>
      <c r="C208" s="19"/>
      <c r="D208" s="19"/>
      <c r="E208" s="19"/>
      <c r="F208" s="20"/>
      <c r="G208" s="19"/>
      <c r="H208" s="19"/>
      <c r="I208" s="20"/>
    </row>
    <row r="209" spans="1:9">
      <c r="A209" s="19"/>
      <c r="B209" s="31"/>
      <c r="C209" s="19"/>
      <c r="D209" s="19"/>
      <c r="E209" s="19"/>
      <c r="F209" s="20"/>
      <c r="G209" s="19"/>
      <c r="H209" s="19"/>
      <c r="I209" s="20"/>
    </row>
    <row r="210" spans="1:9">
      <c r="A210" s="19"/>
      <c r="B210" s="31"/>
      <c r="C210" s="19"/>
      <c r="D210" s="19"/>
      <c r="E210" s="19"/>
      <c r="F210" s="20"/>
      <c r="G210" s="19"/>
      <c r="H210" s="19"/>
      <c r="I210" s="20"/>
    </row>
    <row r="211" spans="1:9">
      <c r="A211" s="19"/>
      <c r="B211" s="31"/>
      <c r="C211" s="19"/>
      <c r="D211" s="19"/>
      <c r="E211" s="19"/>
      <c r="F211" s="20"/>
      <c r="G211" s="19"/>
      <c r="H211" s="19"/>
      <c r="I211" s="20"/>
    </row>
    <row r="212" spans="1:9">
      <c r="A212" s="19"/>
      <c r="B212" s="31"/>
      <c r="C212" s="19"/>
      <c r="D212" s="19"/>
      <c r="E212" s="19"/>
      <c r="F212" s="20"/>
      <c r="G212" s="19"/>
      <c r="H212" s="19"/>
      <c r="I212" s="20"/>
    </row>
    <row r="213" spans="1:9">
      <c r="A213" s="19"/>
      <c r="B213" s="31"/>
      <c r="C213" s="19"/>
      <c r="D213" s="19"/>
      <c r="E213" s="19"/>
      <c r="F213" s="20"/>
      <c r="G213" s="19"/>
      <c r="H213" s="19"/>
      <c r="I213" s="20"/>
    </row>
    <row r="214" spans="1:9">
      <c r="A214" s="19"/>
      <c r="B214" s="31"/>
      <c r="C214" s="19"/>
      <c r="D214" s="19"/>
      <c r="E214" s="19"/>
      <c r="F214" s="20"/>
      <c r="G214" s="19"/>
      <c r="H214" s="19"/>
      <c r="I214" s="20"/>
    </row>
    <row r="215" spans="1:9">
      <c r="A215" s="19"/>
      <c r="B215" s="31"/>
      <c r="C215" s="19"/>
      <c r="D215" s="19"/>
      <c r="E215" s="19"/>
      <c r="F215" s="20"/>
      <c r="G215" s="19"/>
      <c r="H215" s="19"/>
      <c r="I215" s="20"/>
    </row>
    <row r="216" spans="1:9">
      <c r="A216" s="19"/>
      <c r="B216" s="31"/>
      <c r="C216" s="19"/>
      <c r="D216" s="19"/>
      <c r="E216" s="19"/>
      <c r="F216" s="20"/>
      <c r="G216" s="19"/>
      <c r="H216" s="19"/>
      <c r="I216" s="20"/>
    </row>
    <row r="217" spans="1:9">
      <c r="A217" s="19"/>
      <c r="B217" s="31"/>
      <c r="C217" s="19"/>
      <c r="D217" s="19"/>
      <c r="E217" s="19"/>
      <c r="F217" s="20"/>
      <c r="G217" s="19"/>
      <c r="H217" s="19"/>
      <c r="I217" s="20"/>
    </row>
    <row r="218" spans="1:9">
      <c r="A218" s="19"/>
      <c r="B218" s="31"/>
      <c r="C218" s="19"/>
      <c r="D218" s="19"/>
      <c r="E218" s="19"/>
      <c r="F218" s="20"/>
      <c r="G218" s="19"/>
      <c r="H218" s="19"/>
      <c r="I218" s="20"/>
    </row>
    <row r="219" spans="1:9">
      <c r="A219" s="19"/>
      <c r="B219" s="31"/>
      <c r="C219" s="19"/>
      <c r="D219" s="19"/>
      <c r="E219" s="19"/>
      <c r="F219" s="20"/>
      <c r="G219" s="19"/>
      <c r="H219" s="19"/>
      <c r="I219" s="20"/>
    </row>
    <row r="220" spans="1:9">
      <c r="A220" s="19"/>
      <c r="B220" s="31"/>
      <c r="C220" s="19"/>
      <c r="D220" s="19"/>
      <c r="E220" s="19"/>
      <c r="F220" s="20"/>
      <c r="G220" s="19"/>
      <c r="H220" s="19"/>
      <c r="I220" s="20"/>
    </row>
    <row r="221" spans="1:9">
      <c r="A221" s="19"/>
      <c r="B221" s="31"/>
      <c r="C221" s="19"/>
      <c r="D221" s="19"/>
      <c r="E221" s="19"/>
      <c r="F221" s="20"/>
      <c r="G221" s="19"/>
      <c r="H221" s="19"/>
      <c r="I221" s="20"/>
    </row>
    <row r="222" spans="1:9">
      <c r="A222" s="19"/>
      <c r="B222" s="31"/>
      <c r="C222" s="19"/>
      <c r="D222" s="19"/>
      <c r="E222" s="19"/>
      <c r="F222" s="20"/>
      <c r="G222" s="19"/>
      <c r="H222" s="19"/>
      <c r="I222" s="20"/>
    </row>
    <row r="223" spans="1:9">
      <c r="A223" s="19"/>
      <c r="B223" s="31"/>
      <c r="C223" s="19"/>
      <c r="D223" s="19"/>
      <c r="E223" s="19"/>
      <c r="F223" s="20"/>
      <c r="G223" s="19"/>
      <c r="H223" s="19"/>
      <c r="I223" s="20"/>
    </row>
    <row r="224" spans="1:9">
      <c r="A224" s="19"/>
      <c r="B224" s="31"/>
      <c r="C224" s="19"/>
      <c r="D224" s="19"/>
      <c r="E224" s="19"/>
      <c r="F224" s="20"/>
      <c r="G224" s="19"/>
      <c r="H224" s="19"/>
      <c r="I224" s="20"/>
    </row>
    <row r="225" spans="1:9">
      <c r="A225" s="19"/>
      <c r="B225" s="31"/>
      <c r="C225" s="19"/>
      <c r="D225" s="19"/>
      <c r="E225" s="19"/>
      <c r="F225" s="20"/>
      <c r="G225" s="19"/>
      <c r="H225" s="19"/>
      <c r="I225" s="20"/>
    </row>
    <row r="226" spans="1:9">
      <c r="A226" s="19"/>
      <c r="B226" s="31"/>
      <c r="C226" s="19"/>
      <c r="D226" s="19"/>
      <c r="E226" s="19"/>
      <c r="F226" s="20"/>
      <c r="G226" s="19"/>
      <c r="H226" s="19"/>
      <c r="I226" s="20"/>
    </row>
    <row r="227" spans="1:9">
      <c r="A227" s="19"/>
      <c r="B227" s="31"/>
      <c r="C227" s="19"/>
      <c r="D227" s="19"/>
      <c r="E227" s="19"/>
      <c r="F227" s="20"/>
      <c r="G227" s="19"/>
      <c r="H227" s="19"/>
      <c r="I227" s="20"/>
    </row>
    <row r="228" spans="1:9">
      <c r="A228" s="19"/>
      <c r="B228" s="31"/>
      <c r="C228" s="19"/>
      <c r="D228" s="19"/>
      <c r="E228" s="19"/>
      <c r="F228" s="20"/>
      <c r="G228" s="19"/>
      <c r="H228" s="19"/>
      <c r="I228" s="20"/>
    </row>
    <row r="229" spans="1:9">
      <c r="A229" s="19"/>
      <c r="B229" s="31"/>
      <c r="C229" s="19"/>
      <c r="D229" s="19"/>
      <c r="E229" s="19"/>
      <c r="F229" s="20"/>
      <c r="G229" s="19"/>
      <c r="H229" s="19"/>
      <c r="I229" s="20"/>
    </row>
    <row r="230" spans="1:9">
      <c r="A230" s="19"/>
      <c r="B230" s="31"/>
      <c r="C230" s="19"/>
      <c r="D230" s="19"/>
      <c r="E230" s="19"/>
      <c r="F230" s="20"/>
      <c r="G230" s="19"/>
      <c r="H230" s="19"/>
      <c r="I230" s="20"/>
    </row>
    <row r="231" spans="1:9">
      <c r="A231" s="19"/>
      <c r="B231" s="31"/>
      <c r="C231" s="19"/>
      <c r="D231" s="19"/>
      <c r="E231" s="19"/>
      <c r="F231" s="20"/>
      <c r="G231" s="19"/>
      <c r="H231" s="19"/>
      <c r="I231" s="20"/>
    </row>
    <row r="232" spans="1:9">
      <c r="A232" s="19"/>
      <c r="B232" s="31"/>
      <c r="C232" s="19"/>
      <c r="D232" s="19"/>
      <c r="E232" s="19"/>
      <c r="F232" s="20"/>
      <c r="G232" s="19"/>
      <c r="H232" s="19"/>
      <c r="I232" s="20"/>
    </row>
    <row r="233" spans="1:9">
      <c r="A233" s="19"/>
      <c r="B233" s="31"/>
      <c r="C233" s="19"/>
      <c r="D233" s="19"/>
      <c r="E233" s="19"/>
      <c r="F233" s="20"/>
      <c r="G233" s="19"/>
      <c r="H233" s="19"/>
      <c r="I233" s="20"/>
    </row>
    <row r="234" spans="1:9">
      <c r="A234" s="19"/>
      <c r="B234" s="31"/>
      <c r="C234" s="19"/>
      <c r="D234" s="19"/>
      <c r="E234" s="19"/>
      <c r="F234" s="20"/>
      <c r="G234" s="19"/>
      <c r="H234" s="19"/>
      <c r="I234" s="20"/>
    </row>
    <row r="235" spans="1:9">
      <c r="A235" s="19"/>
      <c r="B235" s="31"/>
      <c r="C235" s="19"/>
      <c r="D235" s="19"/>
      <c r="E235" s="19"/>
      <c r="F235" s="20"/>
      <c r="G235" s="19"/>
      <c r="H235" s="19"/>
      <c r="I235" s="20"/>
    </row>
    <row r="236" spans="1:9">
      <c r="A236" s="19"/>
      <c r="B236" s="31"/>
      <c r="C236" s="19"/>
      <c r="D236" s="19"/>
      <c r="E236" s="19"/>
      <c r="F236" s="20"/>
      <c r="G236" s="19"/>
      <c r="H236" s="19"/>
      <c r="I236" s="20"/>
    </row>
    <row r="237" spans="1:9">
      <c r="A237" s="19"/>
      <c r="B237" s="31"/>
      <c r="C237" s="19"/>
      <c r="D237" s="19"/>
      <c r="E237" s="19"/>
      <c r="F237" s="20"/>
      <c r="G237" s="19"/>
      <c r="H237" s="19"/>
      <c r="I237" s="20"/>
    </row>
    <row r="238" spans="1:9">
      <c r="A238" s="19"/>
      <c r="B238" s="31"/>
      <c r="C238" s="19"/>
      <c r="D238" s="19"/>
      <c r="E238" s="19"/>
      <c r="F238" s="20"/>
      <c r="G238" s="19"/>
      <c r="H238" s="19"/>
      <c r="I238" s="20"/>
    </row>
    <row r="239" spans="1:9">
      <c r="A239" s="19"/>
      <c r="B239" s="31"/>
      <c r="C239" s="19"/>
      <c r="D239" s="19"/>
      <c r="E239" s="19"/>
      <c r="F239" s="20"/>
      <c r="G239" s="19"/>
      <c r="H239" s="19"/>
      <c r="I239" s="20"/>
    </row>
    <row r="240" spans="1:9">
      <c r="A240" s="19"/>
      <c r="B240" s="31"/>
      <c r="C240" s="19"/>
      <c r="D240" s="19"/>
      <c r="E240" s="19"/>
      <c r="F240" s="20"/>
      <c r="G240" s="19"/>
      <c r="H240" s="19"/>
      <c r="I240" s="20"/>
    </row>
    <row r="241" spans="1:9">
      <c r="A241" s="19"/>
      <c r="B241" s="31"/>
      <c r="C241" s="19"/>
      <c r="D241" s="19"/>
      <c r="E241" s="19"/>
      <c r="F241" s="20"/>
      <c r="G241" s="19"/>
      <c r="H241" s="19"/>
      <c r="I241" s="20"/>
    </row>
    <row r="242" spans="1:9">
      <c r="A242" s="19"/>
      <c r="B242" s="31"/>
      <c r="C242" s="19"/>
      <c r="D242" s="19"/>
      <c r="E242" s="19"/>
      <c r="F242" s="20"/>
      <c r="G242" s="19"/>
      <c r="H242" s="19"/>
      <c r="I242" s="20"/>
    </row>
    <row r="243" spans="1:9">
      <c r="A243" s="19"/>
      <c r="B243" s="31"/>
      <c r="C243" s="19"/>
      <c r="D243" s="19"/>
      <c r="E243" s="19"/>
      <c r="F243" s="20"/>
      <c r="G243" s="19"/>
      <c r="H243" s="19"/>
      <c r="I243" s="20"/>
    </row>
    <row r="244" spans="1:9">
      <c r="A244" s="19"/>
      <c r="B244" s="31"/>
      <c r="C244" s="19"/>
      <c r="D244" s="19"/>
      <c r="E244" s="19"/>
      <c r="F244" s="20"/>
      <c r="G244" s="19"/>
      <c r="H244" s="19"/>
      <c r="I244" s="20"/>
    </row>
    <row r="245" spans="1:9">
      <c r="A245" s="19"/>
      <c r="B245" s="31"/>
      <c r="C245" s="19"/>
      <c r="D245" s="19"/>
      <c r="E245" s="19"/>
      <c r="F245" s="20"/>
      <c r="G245" s="19"/>
      <c r="H245" s="19"/>
      <c r="I245" s="20"/>
    </row>
    <row r="246" spans="1:9">
      <c r="A246" s="19"/>
      <c r="B246" s="31"/>
      <c r="C246" s="19"/>
      <c r="D246" s="19"/>
      <c r="E246" s="19"/>
      <c r="F246" s="20"/>
      <c r="G246" s="19"/>
      <c r="H246" s="19"/>
      <c r="I246" s="20"/>
    </row>
    <row r="247" spans="1:9">
      <c r="A247" s="19"/>
      <c r="B247" s="31"/>
      <c r="C247" s="19"/>
      <c r="D247" s="19"/>
      <c r="E247" s="19"/>
      <c r="F247" s="20"/>
      <c r="G247" s="19"/>
      <c r="H247" s="19"/>
      <c r="I247" s="20"/>
    </row>
    <row r="248" spans="1:9">
      <c r="A248" s="19"/>
      <c r="B248" s="31"/>
      <c r="C248" s="19"/>
      <c r="D248" s="19"/>
      <c r="E248" s="19"/>
      <c r="F248" s="20"/>
      <c r="G248" s="19"/>
      <c r="H248" s="19"/>
      <c r="I248" s="20"/>
    </row>
    <row r="249" spans="1:9">
      <c r="A249" s="19"/>
      <c r="B249" s="31"/>
      <c r="C249" s="19"/>
      <c r="D249" s="19"/>
      <c r="E249" s="19"/>
      <c r="F249" s="20"/>
      <c r="G249" s="19"/>
      <c r="H249" s="19"/>
      <c r="I249" s="20"/>
    </row>
    <row r="250" spans="1:9">
      <c r="A250" s="19"/>
      <c r="B250" s="31"/>
      <c r="C250" s="19"/>
      <c r="D250" s="19"/>
      <c r="E250" s="19"/>
      <c r="F250" s="20"/>
      <c r="G250" s="19"/>
      <c r="H250" s="19"/>
      <c r="I250" s="20"/>
    </row>
    <row r="251" spans="1:9">
      <c r="A251" s="19"/>
      <c r="B251" s="31"/>
      <c r="C251" s="19"/>
      <c r="D251" s="19"/>
      <c r="E251" s="19"/>
      <c r="F251" s="20"/>
      <c r="G251" s="19"/>
      <c r="H251" s="19"/>
      <c r="I251" s="20"/>
    </row>
    <row r="252" spans="1:9">
      <c r="A252" s="19"/>
      <c r="B252" s="31"/>
      <c r="C252" s="19"/>
      <c r="D252" s="19"/>
      <c r="E252" s="19"/>
      <c r="F252" s="20"/>
      <c r="G252" s="19"/>
      <c r="H252" s="19"/>
      <c r="I252" s="20"/>
    </row>
    <row r="253" spans="1:9">
      <c r="A253" s="19"/>
      <c r="B253" s="31"/>
      <c r="C253" s="19"/>
      <c r="D253" s="19"/>
      <c r="E253" s="19"/>
      <c r="F253" s="20"/>
      <c r="G253" s="19"/>
      <c r="H253" s="19"/>
      <c r="I253" s="20"/>
    </row>
    <row r="254" spans="1:9">
      <c r="A254" s="19"/>
      <c r="B254" s="31"/>
      <c r="C254" s="19"/>
      <c r="D254" s="19"/>
      <c r="E254" s="19"/>
      <c r="F254" s="20"/>
      <c r="G254" s="19"/>
      <c r="H254" s="19"/>
      <c r="I254" s="20"/>
    </row>
    <row r="255" spans="1:9">
      <c r="A255" s="19"/>
      <c r="B255" s="31"/>
      <c r="C255" s="19"/>
      <c r="D255" s="19"/>
      <c r="E255" s="19"/>
      <c r="F255" s="20"/>
      <c r="G255" s="19"/>
      <c r="H255" s="19"/>
      <c r="I255" s="20"/>
    </row>
    <row r="256" spans="1:9">
      <c r="A256" s="19"/>
      <c r="B256" s="31"/>
      <c r="C256" s="19"/>
      <c r="D256" s="19"/>
      <c r="E256" s="19"/>
      <c r="F256" s="20"/>
      <c r="G256" s="19"/>
      <c r="H256" s="19"/>
      <c r="I256" s="20"/>
    </row>
    <row r="257" spans="1:9">
      <c r="A257" s="19"/>
      <c r="B257" s="31"/>
      <c r="C257" s="19"/>
      <c r="D257" s="19"/>
      <c r="E257" s="19"/>
      <c r="F257" s="20"/>
      <c r="G257" s="19"/>
      <c r="H257" s="19"/>
      <c r="I257" s="20"/>
    </row>
    <row r="258" spans="1:9">
      <c r="A258" s="19"/>
      <c r="B258" s="31"/>
      <c r="C258" s="19"/>
      <c r="D258" s="19"/>
      <c r="E258" s="19"/>
      <c r="F258" s="20"/>
      <c r="G258" s="19"/>
      <c r="H258" s="19"/>
      <c r="I258" s="20"/>
    </row>
    <row r="259" spans="1:9">
      <c r="A259" s="19"/>
      <c r="B259" s="31"/>
      <c r="C259" s="19"/>
      <c r="D259" s="19"/>
      <c r="E259" s="19"/>
      <c r="F259" s="20"/>
      <c r="G259" s="19"/>
      <c r="H259" s="19"/>
      <c r="I259" s="20"/>
    </row>
    <row r="260" spans="1:9">
      <c r="A260" s="19"/>
      <c r="B260" s="31"/>
      <c r="C260" s="19"/>
      <c r="D260" s="19"/>
      <c r="E260" s="19"/>
      <c r="F260" s="20"/>
      <c r="G260" s="19"/>
      <c r="H260" s="19"/>
      <c r="I260" s="20"/>
    </row>
    <row r="261" spans="1:9">
      <c r="A261" s="19"/>
      <c r="B261" s="31"/>
      <c r="C261" s="19"/>
      <c r="D261" s="19"/>
      <c r="E261" s="19"/>
      <c r="F261" s="20"/>
      <c r="G261" s="19"/>
      <c r="H261" s="19"/>
      <c r="I261" s="20"/>
    </row>
    <row r="262" spans="1:9">
      <c r="A262" s="19"/>
      <c r="B262" s="31"/>
      <c r="C262" s="19"/>
      <c r="D262" s="19"/>
      <c r="E262" s="19"/>
      <c r="F262" s="20"/>
      <c r="G262" s="19"/>
      <c r="H262" s="19"/>
      <c r="I262" s="20"/>
    </row>
    <row r="263" spans="1:9">
      <c r="A263" s="19"/>
      <c r="B263" s="31"/>
      <c r="C263" s="19"/>
      <c r="D263" s="19"/>
      <c r="E263" s="19"/>
      <c r="F263" s="20"/>
      <c r="G263" s="19"/>
      <c r="H263" s="19"/>
      <c r="I263" s="20"/>
    </row>
    <row r="264" spans="1:9">
      <c r="A264" s="19"/>
      <c r="B264" s="31"/>
      <c r="C264" s="19"/>
      <c r="D264" s="19"/>
      <c r="E264" s="19"/>
      <c r="F264" s="20"/>
      <c r="G264" s="19"/>
      <c r="H264" s="19"/>
      <c r="I264" s="20"/>
    </row>
    <row r="265" spans="1:9">
      <c r="A265" s="19"/>
      <c r="B265" s="31"/>
      <c r="C265" s="19"/>
      <c r="D265" s="19"/>
      <c r="E265" s="19"/>
      <c r="F265" s="20"/>
      <c r="G265" s="19"/>
      <c r="H265" s="19"/>
      <c r="I265" s="20"/>
    </row>
    <row r="266" spans="1:9">
      <c r="A266" s="19"/>
      <c r="B266" s="31"/>
      <c r="C266" s="19"/>
      <c r="D266" s="19"/>
      <c r="E266" s="19"/>
      <c r="F266" s="20"/>
      <c r="G266" s="19"/>
      <c r="H266" s="19"/>
      <c r="I266" s="20"/>
    </row>
    <row r="267" spans="1:9">
      <c r="A267" s="19"/>
      <c r="B267" s="31"/>
      <c r="C267" s="19"/>
      <c r="D267" s="19"/>
      <c r="E267" s="19"/>
      <c r="F267" s="20"/>
      <c r="G267" s="19"/>
      <c r="H267" s="19"/>
      <c r="I267" s="20"/>
    </row>
    <row r="268" spans="1:9">
      <c r="A268" s="19"/>
      <c r="B268" s="31"/>
      <c r="C268" s="19"/>
      <c r="D268" s="19"/>
      <c r="E268" s="19"/>
      <c r="F268" s="20"/>
      <c r="G268" s="19"/>
      <c r="H268" s="19"/>
      <c r="I268" s="20"/>
    </row>
    <row r="269" spans="1:9">
      <c r="A269" s="19"/>
      <c r="B269" s="31"/>
      <c r="C269" s="19"/>
      <c r="D269" s="19"/>
      <c r="E269" s="19"/>
      <c r="F269" s="20"/>
      <c r="G269" s="19"/>
      <c r="H269" s="19"/>
      <c r="I269" s="20"/>
    </row>
    <row r="270" spans="1:9">
      <c r="A270" s="19"/>
      <c r="B270" s="31"/>
      <c r="C270" s="19"/>
      <c r="D270" s="19"/>
      <c r="E270" s="19"/>
      <c r="F270" s="20"/>
      <c r="G270" s="19"/>
      <c r="H270" s="19"/>
      <c r="I270" s="20"/>
    </row>
    <row r="271" spans="1:9">
      <c r="A271" s="19"/>
      <c r="B271" s="31"/>
      <c r="C271" s="19"/>
      <c r="D271" s="19"/>
      <c r="E271" s="19"/>
      <c r="F271" s="20"/>
      <c r="G271" s="19"/>
      <c r="H271" s="19"/>
      <c r="I271" s="20"/>
    </row>
    <row r="272" spans="1:9">
      <c r="A272" s="19"/>
      <c r="B272" s="31"/>
      <c r="C272" s="19"/>
      <c r="D272" s="19"/>
      <c r="E272" s="19"/>
      <c r="F272" s="20"/>
      <c r="G272" s="19"/>
      <c r="H272" s="19"/>
      <c r="I272" s="20"/>
    </row>
    <row r="273" spans="1:9">
      <c r="A273" s="19"/>
      <c r="B273" s="31"/>
      <c r="C273" s="19"/>
      <c r="D273" s="19"/>
      <c r="E273" s="19"/>
      <c r="F273" s="20"/>
      <c r="G273" s="19"/>
      <c r="H273" s="19"/>
      <c r="I273" s="20"/>
    </row>
    <row r="274" spans="1:9">
      <c r="A274" s="19"/>
      <c r="B274" s="31"/>
      <c r="C274" s="19"/>
      <c r="D274" s="19"/>
      <c r="E274" s="19"/>
      <c r="F274" s="20"/>
      <c r="G274" s="19"/>
      <c r="H274" s="19"/>
      <c r="I274" s="20"/>
    </row>
    <row r="275" spans="1:9">
      <c r="A275" s="19"/>
      <c r="B275" s="31"/>
      <c r="C275" s="19"/>
      <c r="D275" s="19"/>
      <c r="E275" s="19"/>
      <c r="F275" s="20"/>
      <c r="G275" s="19"/>
      <c r="H275" s="19"/>
      <c r="I275" s="20"/>
    </row>
    <row r="276" spans="1:9">
      <c r="A276" s="19"/>
      <c r="B276" s="31"/>
      <c r="C276" s="19"/>
      <c r="D276" s="19"/>
      <c r="E276" s="19"/>
      <c r="F276" s="20"/>
      <c r="G276" s="19"/>
      <c r="H276" s="19"/>
      <c r="I276" s="20"/>
    </row>
    <row r="277" spans="1:9">
      <c r="A277" s="19"/>
      <c r="B277" s="31"/>
      <c r="C277" s="19"/>
      <c r="D277" s="19"/>
      <c r="E277" s="19"/>
      <c r="F277" s="20"/>
      <c r="G277" s="19"/>
      <c r="H277" s="19"/>
      <c r="I277" s="20"/>
    </row>
    <row r="278" spans="1:9">
      <c r="A278" s="19"/>
      <c r="B278" s="31"/>
      <c r="C278" s="19"/>
      <c r="D278" s="19"/>
      <c r="E278" s="19"/>
      <c r="F278" s="20"/>
      <c r="G278" s="19"/>
      <c r="H278" s="19"/>
      <c r="I278" s="20"/>
    </row>
    <row r="279" spans="1:9">
      <c r="A279" s="19"/>
      <c r="B279" s="31"/>
      <c r="C279" s="19"/>
      <c r="D279" s="19"/>
      <c r="E279" s="19"/>
      <c r="F279" s="20"/>
      <c r="G279" s="19"/>
      <c r="H279" s="19"/>
      <c r="I279" s="20"/>
    </row>
    <row r="280" spans="1:9">
      <c r="A280" s="19"/>
      <c r="B280" s="31"/>
      <c r="C280" s="19"/>
      <c r="D280" s="19"/>
      <c r="E280" s="19"/>
      <c r="F280" s="20"/>
      <c r="G280" s="19"/>
      <c r="H280" s="19"/>
      <c r="I280" s="20"/>
    </row>
    <row r="281" spans="1:9">
      <c r="A281" s="19"/>
      <c r="B281" s="31"/>
      <c r="C281" s="19"/>
      <c r="D281" s="19"/>
      <c r="E281" s="19"/>
      <c r="F281" s="20"/>
      <c r="G281" s="19"/>
      <c r="H281" s="19"/>
      <c r="I281" s="20"/>
    </row>
    <row r="282" spans="1:9">
      <c r="A282" s="19"/>
      <c r="B282" s="31"/>
      <c r="C282" s="19"/>
      <c r="D282" s="19"/>
      <c r="E282" s="19"/>
      <c r="F282" s="20"/>
      <c r="G282" s="19"/>
      <c r="H282" s="19"/>
      <c r="I282" s="20"/>
    </row>
    <row r="283" spans="1:9">
      <c r="A283" s="19"/>
      <c r="B283" s="31"/>
      <c r="C283" s="19"/>
      <c r="D283" s="19"/>
      <c r="E283" s="19"/>
      <c r="F283" s="20"/>
      <c r="G283" s="19"/>
      <c r="H283" s="19"/>
      <c r="I283" s="20"/>
    </row>
    <row r="284" spans="1:9">
      <c r="A284" s="19"/>
      <c r="B284" s="31"/>
      <c r="C284" s="19"/>
      <c r="D284" s="19"/>
      <c r="E284" s="19"/>
      <c r="F284" s="20"/>
      <c r="G284" s="19"/>
      <c r="H284" s="19"/>
      <c r="I284" s="20"/>
    </row>
    <row r="285" spans="1:9">
      <c r="A285" s="19"/>
      <c r="B285" s="31"/>
      <c r="C285" s="19"/>
      <c r="D285" s="19"/>
      <c r="E285" s="19"/>
      <c r="F285" s="20"/>
      <c r="G285" s="19"/>
      <c r="H285" s="19"/>
      <c r="I285" s="20"/>
    </row>
    <row r="286" spans="1:9">
      <c r="A286" s="19"/>
      <c r="B286" s="31"/>
      <c r="C286" s="19"/>
      <c r="D286" s="19"/>
      <c r="E286" s="19"/>
      <c r="F286" s="20"/>
      <c r="G286" s="19"/>
      <c r="H286" s="19"/>
      <c r="I286" s="20"/>
    </row>
    <row r="287" spans="1:9">
      <c r="A287" s="19"/>
      <c r="B287" s="31"/>
      <c r="C287" s="19"/>
      <c r="D287" s="19"/>
      <c r="E287" s="19"/>
      <c r="F287" s="20"/>
      <c r="G287" s="19"/>
      <c r="H287" s="19"/>
      <c r="I287" s="20"/>
    </row>
    <row r="288" spans="1:9">
      <c r="A288" s="19"/>
      <c r="B288" s="31"/>
      <c r="C288" s="19"/>
      <c r="D288" s="19"/>
      <c r="E288" s="19"/>
      <c r="F288" s="20"/>
      <c r="G288" s="19"/>
      <c r="H288" s="19"/>
      <c r="I288" s="20"/>
    </row>
    <row r="289" spans="1:9">
      <c r="A289" s="19"/>
      <c r="B289" s="31"/>
      <c r="C289" s="19"/>
      <c r="D289" s="19"/>
      <c r="E289" s="19"/>
      <c r="F289" s="20"/>
      <c r="G289" s="19"/>
      <c r="H289" s="19"/>
      <c r="I289" s="20"/>
    </row>
    <row r="290" spans="1:9">
      <c r="A290" s="19"/>
      <c r="B290" s="31"/>
      <c r="C290" s="19"/>
      <c r="D290" s="19"/>
      <c r="E290" s="19"/>
      <c r="F290" s="20"/>
      <c r="G290" s="19"/>
      <c r="H290" s="19"/>
      <c r="I290" s="20"/>
    </row>
    <row r="291" spans="1:9">
      <c r="A291" s="19"/>
      <c r="B291" s="31"/>
      <c r="C291" s="19"/>
      <c r="D291" s="19"/>
      <c r="E291" s="19"/>
      <c r="F291" s="20"/>
      <c r="G291" s="19"/>
      <c r="H291" s="19"/>
      <c r="I291" s="20"/>
    </row>
    <row r="292" spans="1:9">
      <c r="A292" s="19"/>
      <c r="B292" s="31"/>
      <c r="C292" s="19"/>
      <c r="D292" s="19"/>
      <c r="E292" s="19"/>
      <c r="F292" s="20"/>
      <c r="G292" s="19"/>
      <c r="H292" s="19"/>
      <c r="I292" s="20"/>
    </row>
    <row r="293" spans="1:9">
      <c r="A293" s="19"/>
      <c r="B293" s="31"/>
      <c r="C293" s="19"/>
      <c r="D293" s="19"/>
      <c r="E293" s="19"/>
      <c r="F293" s="20"/>
      <c r="G293" s="19"/>
      <c r="H293" s="19"/>
      <c r="I293" s="20"/>
    </row>
    <row r="294" spans="1:9">
      <c r="A294" s="19"/>
      <c r="B294" s="31"/>
      <c r="C294" s="19"/>
      <c r="D294" s="19"/>
      <c r="E294" s="19"/>
      <c r="F294" s="20"/>
      <c r="G294" s="19"/>
      <c r="H294" s="19"/>
      <c r="I294" s="20"/>
    </row>
    <row r="295" spans="1:9">
      <c r="A295" s="19"/>
      <c r="B295" s="31"/>
      <c r="C295" s="19"/>
      <c r="D295" s="19"/>
      <c r="E295" s="19"/>
      <c r="F295" s="20"/>
      <c r="G295" s="19"/>
      <c r="H295" s="19"/>
      <c r="I295" s="20"/>
    </row>
    <row r="296" spans="1:9">
      <c r="A296" s="19"/>
      <c r="B296" s="31"/>
      <c r="C296" s="19"/>
      <c r="D296" s="19"/>
      <c r="E296" s="19"/>
      <c r="F296" s="20"/>
      <c r="G296" s="19"/>
      <c r="H296" s="19"/>
      <c r="I296" s="20"/>
    </row>
    <row r="297" spans="1:9">
      <c r="A297" s="19"/>
      <c r="B297" s="31"/>
      <c r="C297" s="19"/>
      <c r="D297" s="19"/>
      <c r="E297" s="19"/>
      <c r="F297" s="20"/>
      <c r="G297" s="19"/>
      <c r="H297" s="19"/>
      <c r="I297" s="20"/>
    </row>
    <row r="298" spans="1:9">
      <c r="A298" s="19"/>
      <c r="B298" s="31"/>
      <c r="C298" s="19"/>
      <c r="D298" s="19"/>
      <c r="E298" s="19"/>
      <c r="F298" s="20"/>
      <c r="G298" s="19"/>
      <c r="H298" s="19"/>
      <c r="I298" s="20"/>
    </row>
    <row r="299" spans="1:9">
      <c r="A299" s="19"/>
      <c r="B299" s="31"/>
      <c r="C299" s="19"/>
      <c r="D299" s="19"/>
      <c r="E299" s="19"/>
      <c r="F299" s="20"/>
      <c r="G299" s="19"/>
      <c r="H299" s="19"/>
      <c r="I299" s="20"/>
    </row>
    <row r="300" spans="1:9">
      <c r="A300" s="19"/>
      <c r="B300" s="31"/>
      <c r="C300" s="19"/>
      <c r="D300" s="19"/>
      <c r="E300" s="19"/>
      <c r="F300" s="20"/>
      <c r="G300" s="19"/>
      <c r="H300" s="19"/>
      <c r="I300" s="20"/>
    </row>
    <row r="301" spans="1:9">
      <c r="A301" s="19"/>
      <c r="B301" s="31"/>
      <c r="C301" s="19"/>
      <c r="D301" s="19"/>
      <c r="E301" s="19"/>
      <c r="F301" s="20"/>
      <c r="G301" s="19"/>
      <c r="H301" s="19"/>
      <c r="I301" s="20"/>
    </row>
    <row r="302" spans="1:9">
      <c r="A302" s="19"/>
      <c r="B302" s="31"/>
      <c r="C302" s="19"/>
      <c r="D302" s="19"/>
      <c r="E302" s="19"/>
      <c r="F302" s="20"/>
      <c r="G302" s="19"/>
      <c r="H302" s="19"/>
      <c r="I302" s="20"/>
    </row>
    <row r="303" spans="1:9">
      <c r="A303" s="19"/>
      <c r="B303" s="31"/>
      <c r="C303" s="19"/>
      <c r="D303" s="19"/>
      <c r="E303" s="19"/>
      <c r="F303" s="20"/>
      <c r="G303" s="19"/>
      <c r="H303" s="19"/>
      <c r="I303" s="20"/>
    </row>
    <row r="304" spans="1:9">
      <c r="A304" s="19"/>
      <c r="B304" s="31"/>
      <c r="C304" s="19"/>
      <c r="D304" s="19"/>
      <c r="E304" s="19"/>
      <c r="F304" s="20"/>
      <c r="G304" s="19"/>
      <c r="H304" s="19"/>
      <c r="I304" s="20"/>
    </row>
    <row r="305" spans="1:9">
      <c r="A305" s="19"/>
      <c r="B305" s="31"/>
      <c r="C305" s="19"/>
      <c r="D305" s="19"/>
      <c r="E305" s="19"/>
      <c r="F305" s="20"/>
      <c r="G305" s="19"/>
      <c r="H305" s="19"/>
      <c r="I305" s="20"/>
    </row>
    <row r="306" spans="1:9">
      <c r="A306" s="19"/>
      <c r="B306" s="31"/>
      <c r="C306" s="19"/>
      <c r="D306" s="19"/>
      <c r="E306" s="19"/>
      <c r="F306" s="20"/>
      <c r="G306" s="19"/>
      <c r="H306" s="19"/>
      <c r="I306" s="20"/>
    </row>
    <row r="307" spans="1:9">
      <c r="A307" s="19"/>
      <c r="B307" s="31"/>
      <c r="C307" s="19"/>
      <c r="D307" s="19"/>
      <c r="E307" s="19"/>
      <c r="F307" s="20"/>
      <c r="G307" s="19"/>
      <c r="H307" s="19"/>
      <c r="I307" s="20"/>
    </row>
    <row r="308" spans="1:9">
      <c r="A308" s="19"/>
      <c r="B308" s="31"/>
      <c r="C308" s="19"/>
      <c r="D308" s="19"/>
      <c r="E308" s="19"/>
      <c r="F308" s="20"/>
      <c r="G308" s="19"/>
      <c r="H308" s="19"/>
      <c r="I308" s="20"/>
    </row>
    <row r="309" spans="1:9">
      <c r="A309" s="19"/>
      <c r="B309" s="31"/>
      <c r="C309" s="19"/>
      <c r="D309" s="19"/>
      <c r="E309" s="19"/>
      <c r="F309" s="20"/>
      <c r="G309" s="19"/>
      <c r="H309" s="19"/>
      <c r="I309" s="20"/>
    </row>
    <row r="310" spans="1:9">
      <c r="A310" s="19"/>
      <c r="B310" s="31"/>
      <c r="C310" s="19"/>
      <c r="D310" s="19"/>
      <c r="E310" s="19"/>
      <c r="F310" s="20"/>
      <c r="G310" s="19"/>
      <c r="H310" s="19"/>
      <c r="I310" s="20"/>
    </row>
    <row r="311" spans="1:9">
      <c r="A311" s="19"/>
      <c r="B311" s="31"/>
      <c r="C311" s="19"/>
      <c r="D311" s="19"/>
      <c r="E311" s="19"/>
      <c r="F311" s="20"/>
      <c r="G311" s="19"/>
      <c r="H311" s="19"/>
      <c r="I311" s="20"/>
    </row>
    <row r="312" spans="1:9">
      <c r="A312" s="19"/>
      <c r="B312" s="31"/>
      <c r="C312" s="19"/>
      <c r="D312" s="19"/>
      <c r="E312" s="19"/>
      <c r="F312" s="20"/>
      <c r="G312" s="19"/>
      <c r="H312" s="19"/>
      <c r="I312" s="20"/>
    </row>
    <row r="313" spans="1:9">
      <c r="A313" s="19"/>
      <c r="B313" s="31"/>
      <c r="C313" s="19"/>
      <c r="D313" s="19"/>
      <c r="E313" s="19"/>
      <c r="F313" s="20"/>
      <c r="G313" s="19"/>
      <c r="H313" s="19"/>
      <c r="I313" s="20"/>
    </row>
    <row r="314" spans="1:9">
      <c r="A314" s="19"/>
      <c r="B314" s="31"/>
      <c r="C314" s="19"/>
      <c r="D314" s="19"/>
      <c r="E314" s="19"/>
      <c r="F314" s="20"/>
      <c r="G314" s="19"/>
      <c r="H314" s="19"/>
      <c r="I314" s="20"/>
    </row>
    <row r="315" spans="1:9">
      <c r="A315" s="19"/>
      <c r="B315" s="31"/>
      <c r="C315" s="19"/>
      <c r="D315" s="19"/>
      <c r="E315" s="19"/>
      <c r="F315" s="20"/>
      <c r="G315" s="19"/>
      <c r="H315" s="19"/>
      <c r="I315" s="20"/>
    </row>
    <row r="316" spans="1:9">
      <c r="A316" s="19"/>
      <c r="B316" s="31"/>
      <c r="C316" s="19"/>
      <c r="D316" s="19"/>
      <c r="E316" s="19"/>
      <c r="F316" s="20"/>
      <c r="G316" s="19"/>
      <c r="H316" s="19"/>
      <c r="I316" s="20"/>
    </row>
    <row r="317" spans="1:9">
      <c r="A317" s="19"/>
      <c r="B317" s="31"/>
      <c r="C317" s="19"/>
      <c r="D317" s="19"/>
      <c r="E317" s="19"/>
      <c r="F317" s="20"/>
      <c r="G317" s="19"/>
      <c r="H317" s="19"/>
      <c r="I317" s="20"/>
    </row>
    <row r="318" spans="1:9">
      <c r="A318" s="19"/>
      <c r="B318" s="31"/>
      <c r="C318" s="19"/>
      <c r="D318" s="19"/>
      <c r="E318" s="19"/>
      <c r="F318" s="20"/>
      <c r="G318" s="19"/>
      <c r="H318" s="19"/>
      <c r="I318" s="20"/>
    </row>
    <row r="319" spans="1:9">
      <c r="A319" s="19"/>
      <c r="B319" s="31"/>
      <c r="C319" s="19"/>
      <c r="D319" s="19"/>
      <c r="E319" s="19"/>
      <c r="F319" s="20"/>
      <c r="G319" s="19"/>
      <c r="H319" s="19"/>
      <c r="I319" s="20"/>
    </row>
    <row r="320" spans="1:9">
      <c r="A320" s="19"/>
      <c r="B320" s="31"/>
      <c r="C320" s="19"/>
      <c r="D320" s="19"/>
      <c r="E320" s="19"/>
      <c r="F320" s="20"/>
      <c r="G320" s="19"/>
      <c r="H320" s="19"/>
      <c r="I320" s="20"/>
    </row>
    <row r="321" spans="1:9">
      <c r="A321" s="19"/>
      <c r="B321" s="31"/>
      <c r="C321" s="19"/>
      <c r="D321" s="19"/>
      <c r="E321" s="19"/>
      <c r="F321" s="20"/>
      <c r="G321" s="19"/>
      <c r="H321" s="19"/>
      <c r="I321" s="20"/>
    </row>
    <row r="322" spans="1:9">
      <c r="C322" s="19"/>
      <c r="D322" s="19"/>
      <c r="E322" s="19"/>
      <c r="F322" s="20"/>
      <c r="G322" s="19"/>
      <c r="H322" s="19"/>
      <c r="I322" s="20"/>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80 I4:I80">
    <cfRule type="cellIs" dxfId="8" priority="1" stopIfTrue="1" operator="lessThanOrEqual">
      <formula>-0.1</formula>
    </cfRule>
    <cfRule type="expression" dxfId="7" priority="2">
      <formula>AND(ISNUMBER(F4), F4&gt;=0.1)</formula>
    </cfRule>
  </conditionalFormatting>
  <hyperlinks>
    <hyperlink ref="K4" r:id="rId1" display="https://us3.assetplanner.com/service_request?ID=109648" xr:uid="{3CDBA5B5-0E4E-47E6-A48A-EA75BED77B08}"/>
    <hyperlink ref="K5" r:id="rId2" display="https://us3.assetplanner.com/service_request?ID=108408" xr:uid="{DC7E4AD5-803E-4697-AAF9-3890E53E4D6D}"/>
    <hyperlink ref="M5" r:id="rId3" display="https://us3.assetplanner.com/service_request?ID=108718" xr:uid="{8860988B-3340-451B-A33E-651A821A9E4C}"/>
    <hyperlink ref="N5" r:id="rId4" display="https://us3.assetplanner.com/service_request?ID=110429" xr:uid="{0A9EB051-7F4D-4054-B9B7-04378E5FFC28}"/>
    <hyperlink ref="K6" r:id="rId5" display="https://us3.assetplanner.com/service_request?ID=109563" xr:uid="{9382F9D1-D2AA-45F1-B409-F3A4FA45591B}"/>
    <hyperlink ref="M6" r:id="rId6" display="https://us3.assetplanner.com/service_request?ID=108921" xr:uid="{A39AC7FB-3997-4187-A38C-9FA114954179}"/>
    <hyperlink ref="K7" r:id="rId7" display="https://us3.assetplanner.com/service_request?ID=108901" xr:uid="{632C9B08-B58D-41B2-BF0F-9C2F64C87256}"/>
    <hyperlink ref="K9" r:id="rId8" display="https://us3.assetplanner.com/service_request?ID=105817" xr:uid="{8180CB92-CD89-41AC-B80F-6B426EC6B823}"/>
    <hyperlink ref="K10" r:id="rId9" display="https://us3.assetplanner.com/service_request?ID=102438" xr:uid="{32E1A4BF-49B6-4AC0-A91F-7E80C133A1A6}"/>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322"/>
  <sheetViews>
    <sheetView tabSelected="1" zoomScale="91" zoomScaleNormal="91" workbookViewId="0">
      <pane xSplit="2" ySplit="4" topLeftCell="C5" activePane="bottomRight" state="frozen"/>
      <selection pane="bottomRight" activeCell="N16" sqref="N16"/>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8.5703125" customWidth="1"/>
    <col min="12" max="12" width="14.28515625" customWidth="1"/>
  </cols>
  <sheetData>
    <row r="1" spans="1:13" ht="19.5" customHeight="1">
      <c r="A1" s="94" t="str" cm="1">
        <f t="array" ref="A1">portfolio</f>
        <v>Agilitas Energy</v>
      </c>
      <c r="B1" s="94"/>
      <c r="C1" s="94"/>
      <c r="D1" s="95" t="s">
        <v>209</v>
      </c>
      <c r="E1" s="95"/>
      <c r="F1" s="95"/>
      <c r="G1" s="93" t="s">
        <v>210</v>
      </c>
      <c r="H1" s="93"/>
      <c r="I1" s="93"/>
      <c r="J1" s="4"/>
      <c r="K1" s="4"/>
      <c r="L1" s="4"/>
    </row>
    <row r="2" spans="1:13" ht="19.5" customHeight="1">
      <c r="A2" s="96" t="s">
        <v>2</v>
      </c>
      <c r="B2" s="96"/>
      <c r="C2" s="5">
        <f>SUM(C4:C80)</f>
        <v>1098073.3467600001</v>
      </c>
      <c r="D2" s="5">
        <f>SUM(D4:D80)</f>
        <v>976651.94999999984</v>
      </c>
      <c r="E2" s="5">
        <f>C2-D2</f>
        <v>121421.39676000027</v>
      </c>
      <c r="F2" s="6">
        <f>IFERROR(E2/D2, 0)</f>
        <v>0.1243241225904482</v>
      </c>
      <c r="G2" s="5">
        <f>SUM(G4:G80)</f>
        <v>796181.73</v>
      </c>
      <c r="H2" s="7">
        <f>C2-G2</f>
        <v>301891.61676000012</v>
      </c>
      <c r="I2" s="6">
        <f>IFERROR(H2/G2, 0)</f>
        <v>0.37917425806794153</v>
      </c>
      <c r="J2" s="24" t="str">
        <f ca="1">IF(AND(TODAY()&gt;DATE(2024, 11, 1), COUNTA(Sites[Site])&lt;&gt;(COUNT(C:C)-1)), "Some sites are missing actual data; if new sites were added, make sure they are aligned correctly (including prior months!)", "")</f>
        <v/>
      </c>
      <c r="K2" s="4"/>
      <c r="L2" s="4"/>
    </row>
    <row r="3" spans="1:13" ht="14.25" customHeight="1">
      <c r="A3" s="8" t="s">
        <v>3</v>
      </c>
      <c r="B3" s="8" t="s">
        <v>4</v>
      </c>
      <c r="C3" s="21" t="s">
        <v>5</v>
      </c>
      <c r="D3" s="33" t="s">
        <v>6</v>
      </c>
      <c r="E3" s="33" t="s">
        <v>7</v>
      </c>
      <c r="F3" s="34" t="s">
        <v>8</v>
      </c>
      <c r="G3" s="35" t="s">
        <v>9</v>
      </c>
      <c r="H3" s="36" t="s">
        <v>7</v>
      </c>
      <c r="I3" s="37" t="s">
        <v>8</v>
      </c>
      <c r="J3" s="23" t="s">
        <v>20</v>
      </c>
      <c r="K3" s="23" t="s">
        <v>21</v>
      </c>
      <c r="L3" s="23" t="s">
        <v>191</v>
      </c>
    </row>
    <row r="4" spans="1:13" ht="15.6">
      <c r="A4" s="30" t="str" cm="1">
        <f t="array" ref="A4:A10">Sites[Site]</f>
        <v>Rowley - Central Street Solar</v>
      </c>
      <c r="B4" s="27" t="str" cm="1">
        <f t="array" ref="B4:B10">Sites[State]</f>
        <v>MA</v>
      </c>
      <c r="C4" s="22">
        <v>43659.125</v>
      </c>
      <c r="D4" s="12">
        <v>44793.29</v>
      </c>
      <c r="E4" s="12">
        <f>IF(AND(ISNUMBER(C4),ISNUMBER(D4)), C4-D4, "")</f>
        <v>-1134.1650000000009</v>
      </c>
      <c r="F4" s="13">
        <f>IFERROR(E4/D4, "")</f>
        <v>-2.5319975380241121E-2</v>
      </c>
      <c r="G4" s="14">
        <v>40703.29</v>
      </c>
      <c r="H4" s="14">
        <f>IF(AND(ISNUMBER(C4),ISNUMBER(G4)), C4-G4, "")</f>
        <v>2955.8349999999991</v>
      </c>
      <c r="I4" s="15">
        <f>IFERROR(H4/G4, "")</f>
        <v>7.2619068384889754E-2</v>
      </c>
      <c r="J4" s="39"/>
      <c r="K4" s="39"/>
      <c r="L4" s="39"/>
    </row>
    <row r="5" spans="1:13" ht="28.9">
      <c r="A5" s="28" t="str">
        <v>Auburn - Leicester Street Solar</v>
      </c>
      <c r="B5" s="29" t="str">
        <v>MA</v>
      </c>
      <c r="C5" s="11">
        <v>391574.79550000001</v>
      </c>
      <c r="D5" s="16">
        <v>439581.6</v>
      </c>
      <c r="E5" s="16">
        <f t="shared" ref="E5:E10" si="0">IF(AND(ISNUMBER(C5),ISNUMBER(D5)), C5-D5, "")</f>
        <v>-48006.804499999969</v>
      </c>
      <c r="F5" s="17">
        <f>IFERROR(E5/D5, "")</f>
        <v>-0.10921022285737159</v>
      </c>
      <c r="G5" s="18">
        <v>0</v>
      </c>
      <c r="H5" s="18">
        <f t="shared" ref="H5:H10" si="1">IF(AND(ISNUMBER(C5),ISNUMBER(G5)), C5-G5, "")</f>
        <v>391574.79550000001</v>
      </c>
      <c r="I5" s="17" t="str">
        <f t="shared" ref="I5:I10" si="2">IFERROR(H5/G5, "")</f>
        <v/>
      </c>
      <c r="J5" s="56" t="s">
        <v>211</v>
      </c>
      <c r="K5" s="60" t="s">
        <v>212</v>
      </c>
      <c r="L5" s="52" t="s">
        <v>213</v>
      </c>
      <c r="M5" s="66" t="s">
        <v>214</v>
      </c>
    </row>
    <row r="6" spans="1:13" ht="28.9">
      <c r="A6" s="30" t="str">
        <v>Rochester - Old Middleboro</v>
      </c>
      <c r="B6" s="27" t="str">
        <v>MA</v>
      </c>
      <c r="C6" s="22">
        <v>40039.42626</v>
      </c>
      <c r="D6" s="12">
        <v>84783.15</v>
      </c>
      <c r="E6" s="12">
        <f t="shared" si="0"/>
        <v>-44743.723739999994</v>
      </c>
      <c r="F6" s="13">
        <f t="shared" ref="F6:F10" si="3">IFERROR(E6/D6, "")</f>
        <v>-0.52774311570164589</v>
      </c>
      <c r="G6" s="14">
        <v>376235.8</v>
      </c>
      <c r="H6" s="14">
        <f t="shared" si="1"/>
        <v>-336196.37374000001</v>
      </c>
      <c r="I6" s="15">
        <f t="shared" si="2"/>
        <v>-0.89357890381510752</v>
      </c>
      <c r="J6" s="39" t="s">
        <v>215</v>
      </c>
      <c r="K6" s="59" t="s">
        <v>216</v>
      </c>
      <c r="L6" s="39" t="s">
        <v>217</v>
      </c>
      <c r="M6" s="66" t="s">
        <v>202</v>
      </c>
    </row>
    <row r="7" spans="1:13" ht="15.6">
      <c r="A7" s="28" t="str">
        <v>Dover - Littleworth Road</v>
      </c>
      <c r="B7" s="29" t="str">
        <v>NH</v>
      </c>
      <c r="C7" s="11">
        <v>232612</v>
      </c>
      <c r="D7" s="16" t="s">
        <v>72</v>
      </c>
      <c r="E7" s="16" t="str">
        <f t="shared" si="0"/>
        <v/>
      </c>
      <c r="F7" s="17" t="str">
        <f t="shared" si="3"/>
        <v/>
      </c>
      <c r="G7" s="79" t="s">
        <v>72</v>
      </c>
      <c r="H7" s="18" t="str">
        <f t="shared" si="1"/>
        <v/>
      </c>
      <c r="I7" s="17" t="str">
        <f t="shared" si="2"/>
        <v/>
      </c>
      <c r="J7" s="40"/>
      <c r="K7" s="41"/>
      <c r="L7" s="41"/>
    </row>
    <row r="8" spans="1:13" ht="15.6">
      <c r="A8" s="26" t="str">
        <v>Milton - Landfill</v>
      </c>
      <c r="B8" s="27" t="str">
        <v>NH</v>
      </c>
      <c r="C8" s="22">
        <v>59610</v>
      </c>
      <c r="D8" s="12" t="s">
        <v>72</v>
      </c>
      <c r="E8" s="12" t="str">
        <f t="shared" si="0"/>
        <v/>
      </c>
      <c r="F8" s="13" t="str">
        <f t="shared" si="3"/>
        <v/>
      </c>
      <c r="G8" s="80" t="s">
        <v>72</v>
      </c>
      <c r="H8" s="14" t="str">
        <f t="shared" si="1"/>
        <v/>
      </c>
      <c r="I8" s="15" t="str">
        <f t="shared" si="2"/>
        <v/>
      </c>
      <c r="J8" s="39"/>
      <c r="K8" s="39"/>
      <c r="L8" s="39"/>
    </row>
    <row r="9" spans="1:13" ht="43.15">
      <c r="A9" s="28" t="str">
        <v>Hopkinton - 71 Frankland Rd</v>
      </c>
      <c r="B9" s="29" t="str">
        <v>MA</v>
      </c>
      <c r="C9" s="11">
        <v>278260</v>
      </c>
      <c r="D9" s="16">
        <v>332846.8</v>
      </c>
      <c r="E9" s="16">
        <f t="shared" si="0"/>
        <v>-54586.799999999988</v>
      </c>
      <c r="F9" s="17">
        <f t="shared" si="3"/>
        <v>-0.16399977407023289</v>
      </c>
      <c r="G9" s="18">
        <v>325816.2</v>
      </c>
      <c r="H9" s="18">
        <f t="shared" si="1"/>
        <v>-47556.200000000012</v>
      </c>
      <c r="I9" s="17">
        <f t="shared" si="2"/>
        <v>-0.14596020701241991</v>
      </c>
      <c r="J9" s="40" t="s">
        <v>218</v>
      </c>
      <c r="K9" s="85" t="s">
        <v>219</v>
      </c>
      <c r="L9" s="41" t="s">
        <v>220</v>
      </c>
      <c r="M9" s="66" t="s">
        <v>221</v>
      </c>
    </row>
    <row r="10" spans="1:13" ht="72">
      <c r="A10" s="26" t="str">
        <v>Dedham - 100 Rustcraft Rd</v>
      </c>
      <c r="B10" s="27" t="str">
        <v>MA</v>
      </c>
      <c r="C10" s="22">
        <v>52318</v>
      </c>
      <c r="D10" s="12">
        <v>74647.11</v>
      </c>
      <c r="E10" s="12">
        <f t="shared" si="0"/>
        <v>-22329.11</v>
      </c>
      <c r="F10" s="13">
        <f t="shared" si="3"/>
        <v>-0.29912892809915881</v>
      </c>
      <c r="G10" s="14">
        <v>53426.44</v>
      </c>
      <c r="H10" s="14">
        <f t="shared" si="1"/>
        <v>-1108.4400000000023</v>
      </c>
      <c r="I10" s="15">
        <f t="shared" si="2"/>
        <v>-2.0747030870857244E-2</v>
      </c>
      <c r="J10" s="39" t="s">
        <v>222</v>
      </c>
      <c r="K10" s="59" t="s">
        <v>223</v>
      </c>
      <c r="L10" s="39" t="s">
        <v>224</v>
      </c>
      <c r="M10" s="66" t="s">
        <v>137</v>
      </c>
    </row>
    <row r="11" spans="1:13" ht="14.45">
      <c r="A11" s="19"/>
      <c r="B11" s="31"/>
      <c r="C11" s="19"/>
      <c r="D11" s="19"/>
      <c r="E11" s="19"/>
      <c r="F11" s="19"/>
      <c r="G11" s="19"/>
      <c r="H11" s="19"/>
      <c r="I11" s="19"/>
      <c r="J11" s="19"/>
      <c r="K11" s="19"/>
      <c r="L11" s="19"/>
    </row>
    <row r="12" spans="1:13" ht="14.45">
      <c r="A12" s="19"/>
      <c r="B12" s="31"/>
      <c r="C12" s="19"/>
      <c r="D12" s="19"/>
      <c r="E12" s="19"/>
      <c r="F12" s="19"/>
      <c r="G12" s="19"/>
      <c r="H12" s="19"/>
      <c r="I12" s="19"/>
      <c r="J12" s="19"/>
      <c r="K12" s="19"/>
      <c r="L12" s="19"/>
    </row>
    <row r="13" spans="1:13" ht="14.45">
      <c r="A13" s="19"/>
      <c r="B13" s="31"/>
      <c r="C13" s="19"/>
      <c r="D13" s="19"/>
      <c r="E13" s="19"/>
      <c r="F13" s="20"/>
      <c r="G13" s="19"/>
      <c r="H13" s="19"/>
      <c r="I13" s="20"/>
      <c r="J13" s="19"/>
      <c r="K13" s="19"/>
      <c r="L13" s="19"/>
    </row>
    <row r="14" spans="1:13" ht="14.45">
      <c r="A14" s="19"/>
      <c r="B14" s="31"/>
      <c r="C14" s="19"/>
      <c r="D14" s="19"/>
      <c r="E14" s="19"/>
      <c r="F14" s="20"/>
      <c r="G14" s="19"/>
      <c r="H14" s="19"/>
      <c r="I14" s="20"/>
      <c r="J14" s="19"/>
      <c r="K14" s="19"/>
      <c r="L14" s="19"/>
    </row>
    <row r="15" spans="1:13" ht="14.45">
      <c r="A15" s="19"/>
      <c r="B15" s="31"/>
      <c r="C15" s="19"/>
      <c r="D15" s="19"/>
      <c r="E15" s="19"/>
      <c r="F15" s="20"/>
      <c r="G15" s="19"/>
      <c r="H15" s="19"/>
      <c r="I15" s="20"/>
      <c r="J15" s="19"/>
      <c r="K15" s="19"/>
      <c r="L15" s="19"/>
    </row>
    <row r="16" spans="1:13" ht="14.45">
      <c r="A16" s="19"/>
      <c r="B16" s="31"/>
      <c r="C16" s="19"/>
      <c r="D16" s="19"/>
      <c r="E16" s="19"/>
      <c r="F16" s="20"/>
      <c r="G16" s="19"/>
      <c r="H16" s="19"/>
      <c r="I16" s="20"/>
      <c r="J16" s="19"/>
      <c r="K16" s="19"/>
      <c r="L16" s="19"/>
    </row>
    <row r="17" spans="1:12" ht="14.45">
      <c r="A17" s="19"/>
      <c r="B17" s="31"/>
      <c r="C17" s="19"/>
      <c r="D17" s="19"/>
      <c r="E17" s="19"/>
      <c r="F17" s="20"/>
      <c r="G17" s="19"/>
      <c r="H17" s="19"/>
      <c r="I17" s="20"/>
      <c r="J17" s="19"/>
      <c r="K17" s="19"/>
      <c r="L17" s="19"/>
    </row>
    <row r="18" spans="1:12" ht="14.45">
      <c r="A18" s="19"/>
      <c r="B18" s="31"/>
      <c r="C18" s="19"/>
      <c r="D18" s="19"/>
      <c r="E18" s="19"/>
      <c r="F18" s="20"/>
      <c r="G18" s="19"/>
      <c r="H18" s="19"/>
      <c r="I18" s="20"/>
      <c r="J18" s="19"/>
      <c r="K18" s="19"/>
      <c r="L18" s="19"/>
    </row>
    <row r="19" spans="1:12" ht="14.45">
      <c r="A19" s="19"/>
      <c r="B19" s="31"/>
      <c r="C19" s="19"/>
      <c r="D19" s="19"/>
      <c r="E19" s="19"/>
      <c r="F19" s="20"/>
      <c r="G19" s="19"/>
      <c r="H19" s="19"/>
      <c r="I19" s="20"/>
      <c r="J19" s="19"/>
      <c r="K19" s="19"/>
      <c r="L19" s="19"/>
    </row>
    <row r="20" spans="1:12" ht="14.45">
      <c r="A20" s="19"/>
      <c r="B20" s="31"/>
      <c r="C20" s="19"/>
      <c r="D20" s="19"/>
      <c r="E20" s="19"/>
      <c r="F20" s="20"/>
      <c r="G20" s="19"/>
      <c r="H20" s="19"/>
      <c r="I20" s="20"/>
      <c r="J20" s="19"/>
      <c r="K20" s="19"/>
      <c r="L20" s="19"/>
    </row>
    <row r="21" spans="1:12" ht="14.45">
      <c r="A21" s="19"/>
      <c r="B21" s="31"/>
      <c r="C21" s="19"/>
      <c r="D21" s="19"/>
      <c r="E21" s="19"/>
      <c r="F21" s="20"/>
      <c r="G21" s="19"/>
      <c r="H21" s="19"/>
      <c r="I21" s="20"/>
      <c r="J21" s="19"/>
      <c r="K21" s="19"/>
      <c r="L21" s="19"/>
    </row>
    <row r="22" spans="1:12" ht="14.45">
      <c r="A22" s="19"/>
      <c r="B22" s="31"/>
      <c r="C22" s="19"/>
      <c r="D22" s="19"/>
      <c r="E22" s="19"/>
      <c r="F22" s="20"/>
      <c r="G22" s="19"/>
      <c r="H22" s="19"/>
      <c r="I22" s="20"/>
      <c r="J22" s="19"/>
      <c r="K22" s="19"/>
      <c r="L22" s="19"/>
    </row>
    <row r="23" spans="1:12" ht="14.45">
      <c r="A23" s="19"/>
      <c r="B23" s="31"/>
      <c r="C23" s="19"/>
      <c r="D23" s="19"/>
      <c r="E23" s="19"/>
      <c r="F23" s="20"/>
      <c r="G23" s="19"/>
      <c r="H23" s="19"/>
      <c r="I23" s="20"/>
      <c r="J23" s="19"/>
      <c r="K23" s="19"/>
      <c r="L23" s="19"/>
    </row>
    <row r="24" spans="1:12" ht="14.45">
      <c r="A24" s="19"/>
      <c r="B24" s="31"/>
      <c r="C24" s="19"/>
      <c r="D24" s="19"/>
      <c r="E24" s="19"/>
      <c r="F24" s="20"/>
      <c r="G24" s="19"/>
      <c r="H24" s="19"/>
      <c r="I24" s="20"/>
      <c r="J24" s="19"/>
      <c r="K24" s="19"/>
      <c r="L24" s="19"/>
    </row>
    <row r="25" spans="1:12" ht="14.45">
      <c r="A25" s="19"/>
      <c r="B25" s="31"/>
      <c r="C25" s="19"/>
      <c r="D25" s="19"/>
      <c r="E25" s="19"/>
      <c r="F25" s="20"/>
      <c r="G25" s="19"/>
      <c r="H25" s="19"/>
      <c r="I25" s="20"/>
      <c r="J25" s="19"/>
      <c r="K25" s="19"/>
      <c r="L25" s="19"/>
    </row>
    <row r="26" spans="1:12" ht="14.45">
      <c r="A26" s="19"/>
      <c r="B26" s="31"/>
      <c r="C26" s="19"/>
      <c r="D26" s="19"/>
      <c r="E26" s="19"/>
      <c r="F26" s="20"/>
      <c r="G26" s="19"/>
      <c r="H26" s="19"/>
      <c r="I26" s="20"/>
      <c r="J26" s="19"/>
      <c r="K26" s="19"/>
      <c r="L26" s="19"/>
    </row>
    <row r="27" spans="1:12" ht="14.45">
      <c r="A27" s="19"/>
      <c r="B27" s="31"/>
      <c r="C27" s="19"/>
      <c r="D27" s="19"/>
      <c r="E27" s="19"/>
      <c r="F27" s="20"/>
      <c r="G27" s="19"/>
      <c r="H27" s="19"/>
      <c r="I27" s="20"/>
      <c r="J27" s="19"/>
      <c r="K27" s="19"/>
      <c r="L27" s="19"/>
    </row>
    <row r="28" spans="1:12" ht="14.45">
      <c r="A28" s="19"/>
      <c r="B28" s="31"/>
      <c r="C28" s="19"/>
      <c r="D28" s="19"/>
      <c r="E28" s="19"/>
      <c r="F28" s="20"/>
      <c r="G28" s="19"/>
      <c r="H28" s="19"/>
      <c r="I28" s="20"/>
      <c r="J28" s="19"/>
      <c r="K28" s="19"/>
      <c r="L28" s="19"/>
    </row>
    <row r="29" spans="1:12" ht="14.45">
      <c r="A29" s="19"/>
      <c r="B29" s="31"/>
      <c r="C29" s="19"/>
      <c r="D29" s="19"/>
      <c r="E29" s="19"/>
      <c r="F29" s="20"/>
      <c r="G29" s="19"/>
      <c r="H29" s="19"/>
      <c r="I29" s="20"/>
      <c r="J29" s="19"/>
      <c r="K29" s="19"/>
      <c r="L29" s="19"/>
    </row>
    <row r="30" spans="1:12" ht="14.45">
      <c r="A30" s="19"/>
      <c r="B30" s="31"/>
      <c r="C30" s="19"/>
      <c r="D30" s="19"/>
      <c r="E30" s="19"/>
      <c r="F30" s="20"/>
      <c r="G30" s="19"/>
      <c r="H30" s="19"/>
      <c r="I30" s="20"/>
      <c r="J30" s="19"/>
      <c r="K30" s="19"/>
      <c r="L30" s="19"/>
    </row>
    <row r="31" spans="1:12" ht="14.45">
      <c r="A31" s="19"/>
      <c r="B31" s="31"/>
      <c r="C31" s="19"/>
      <c r="D31" s="19"/>
      <c r="E31" s="19"/>
      <c r="F31" s="20"/>
      <c r="G31" s="19"/>
      <c r="H31" s="19"/>
      <c r="I31" s="20"/>
      <c r="J31" s="19"/>
      <c r="K31" s="19"/>
      <c r="L31" s="19"/>
    </row>
    <row r="32" spans="1:12" ht="14.45">
      <c r="A32" s="19"/>
      <c r="B32" s="31"/>
      <c r="C32" s="19"/>
      <c r="D32" s="19"/>
      <c r="E32" s="19"/>
      <c r="F32" s="20"/>
      <c r="G32" s="19"/>
      <c r="H32" s="19"/>
      <c r="I32" s="20"/>
      <c r="J32" s="19"/>
      <c r="K32" s="19"/>
      <c r="L32" s="19"/>
    </row>
    <row r="33" spans="1:12" ht="14.45">
      <c r="A33" s="19"/>
      <c r="B33" s="31"/>
      <c r="C33" s="19"/>
      <c r="D33" s="19"/>
      <c r="E33" s="19"/>
      <c r="F33" s="20"/>
      <c r="G33" s="19"/>
      <c r="H33" s="19"/>
      <c r="I33" s="20"/>
      <c r="J33" s="19"/>
      <c r="K33" s="19"/>
      <c r="L33" s="19"/>
    </row>
    <row r="34" spans="1:12" ht="14.45">
      <c r="A34" s="19"/>
      <c r="B34" s="31"/>
      <c r="C34" s="19"/>
      <c r="D34" s="19"/>
      <c r="E34" s="19"/>
      <c r="F34" s="20"/>
      <c r="G34" s="19"/>
      <c r="H34" s="19"/>
      <c r="I34" s="20"/>
      <c r="J34" s="19"/>
      <c r="K34" s="19"/>
      <c r="L34" s="19"/>
    </row>
    <row r="35" spans="1:12" ht="14.45">
      <c r="A35" s="19"/>
      <c r="B35" s="31"/>
      <c r="C35" s="19"/>
      <c r="D35" s="19"/>
      <c r="E35" s="19"/>
      <c r="F35" s="20"/>
      <c r="G35" s="19"/>
      <c r="H35" s="19"/>
      <c r="I35" s="20"/>
      <c r="J35" s="19"/>
      <c r="K35" s="19"/>
      <c r="L35" s="19"/>
    </row>
    <row r="36" spans="1:12" ht="14.45">
      <c r="A36" s="19"/>
      <c r="B36" s="31"/>
      <c r="C36" s="19"/>
      <c r="D36" s="19"/>
      <c r="E36" s="19"/>
      <c r="F36" s="20"/>
      <c r="G36" s="19"/>
      <c r="H36" s="19"/>
      <c r="I36" s="20"/>
      <c r="J36" s="19"/>
      <c r="K36" s="19"/>
      <c r="L36" s="19"/>
    </row>
    <row r="37" spans="1:12" ht="14.45">
      <c r="A37" s="19"/>
      <c r="B37" s="31"/>
      <c r="C37" s="19"/>
      <c r="D37" s="19"/>
      <c r="E37" s="19"/>
      <c r="F37" s="20"/>
      <c r="G37" s="19"/>
      <c r="H37" s="19"/>
      <c r="I37" s="20"/>
      <c r="J37" s="19"/>
      <c r="K37" s="19"/>
      <c r="L37" s="19"/>
    </row>
    <row r="38" spans="1:12" ht="14.45">
      <c r="A38" s="19"/>
      <c r="B38" s="31"/>
      <c r="C38" s="19"/>
      <c r="D38" s="19"/>
      <c r="E38" s="19"/>
      <c r="F38" s="20"/>
      <c r="G38" s="19"/>
      <c r="H38" s="19"/>
      <c r="I38" s="20"/>
      <c r="J38" s="19"/>
      <c r="K38" s="19"/>
      <c r="L38" s="19"/>
    </row>
    <row r="39" spans="1:12" ht="14.45">
      <c r="A39" s="19"/>
      <c r="B39" s="31"/>
      <c r="C39" s="19"/>
      <c r="D39" s="19"/>
      <c r="E39" s="19"/>
      <c r="F39" s="20"/>
      <c r="G39" s="19"/>
      <c r="H39" s="19"/>
      <c r="I39" s="20"/>
      <c r="J39" s="19"/>
      <c r="K39" s="19"/>
      <c r="L39" s="19"/>
    </row>
    <row r="40" spans="1:12" ht="14.45">
      <c r="A40" s="19"/>
      <c r="B40" s="31"/>
      <c r="C40" s="19"/>
      <c r="D40" s="19"/>
      <c r="E40" s="19"/>
      <c r="F40" s="20"/>
      <c r="G40" s="19"/>
      <c r="H40" s="19"/>
      <c r="I40" s="20"/>
      <c r="J40" s="19"/>
      <c r="K40" s="19"/>
      <c r="L40" s="19"/>
    </row>
    <row r="41" spans="1:12" ht="14.45">
      <c r="A41" s="19"/>
      <c r="B41" s="31"/>
      <c r="C41" s="19"/>
      <c r="D41" s="19"/>
      <c r="E41" s="19"/>
      <c r="F41" s="20"/>
      <c r="G41" s="19"/>
      <c r="H41" s="19"/>
      <c r="I41" s="20"/>
      <c r="J41" s="19"/>
      <c r="K41" s="19"/>
      <c r="L41" s="19"/>
    </row>
    <row r="42" spans="1:12" ht="14.45">
      <c r="A42" s="19"/>
      <c r="B42" s="31"/>
      <c r="C42" s="19"/>
      <c r="D42" s="19"/>
      <c r="E42" s="19"/>
      <c r="F42" s="20"/>
      <c r="G42" s="19"/>
      <c r="H42" s="19"/>
      <c r="I42" s="20"/>
      <c r="J42" s="19"/>
      <c r="K42" s="19"/>
      <c r="L42" s="19"/>
    </row>
    <row r="43" spans="1:12" ht="14.45">
      <c r="A43" s="19"/>
      <c r="B43" s="31"/>
      <c r="C43" s="19"/>
      <c r="D43" s="19"/>
      <c r="E43" s="19"/>
      <c r="F43" s="20"/>
      <c r="G43" s="19"/>
      <c r="H43" s="19"/>
      <c r="I43" s="20"/>
      <c r="J43" s="19"/>
      <c r="K43" s="19"/>
      <c r="L43" s="19"/>
    </row>
    <row r="44" spans="1:12" ht="14.45">
      <c r="A44" s="19"/>
      <c r="B44" s="31"/>
      <c r="C44" s="19"/>
      <c r="D44" s="19"/>
      <c r="E44" s="19"/>
      <c r="F44" s="20"/>
      <c r="G44" s="19"/>
      <c r="H44" s="19"/>
      <c r="I44" s="20"/>
      <c r="J44" s="19"/>
      <c r="K44" s="19"/>
      <c r="L44" s="19"/>
    </row>
    <row r="45" spans="1:12" ht="14.45">
      <c r="A45" s="19"/>
      <c r="B45" s="31"/>
      <c r="C45" s="19"/>
      <c r="D45" s="19"/>
      <c r="E45" s="19"/>
      <c r="F45" s="20"/>
      <c r="G45" s="19"/>
      <c r="H45" s="19"/>
      <c r="I45" s="20"/>
      <c r="J45" s="19"/>
      <c r="K45" s="19"/>
      <c r="L45" s="19"/>
    </row>
    <row r="46" spans="1:12" ht="14.45">
      <c r="A46" s="19"/>
      <c r="B46" s="31"/>
      <c r="C46" s="19"/>
      <c r="D46" s="19"/>
      <c r="E46" s="19"/>
      <c r="F46" s="20"/>
      <c r="G46" s="19"/>
      <c r="H46" s="19"/>
      <c r="I46" s="20"/>
      <c r="J46" s="19"/>
      <c r="K46" s="19"/>
      <c r="L46" s="19"/>
    </row>
    <row r="47" spans="1:12" ht="14.45">
      <c r="A47" s="19"/>
      <c r="B47" s="31"/>
      <c r="C47" s="19"/>
      <c r="D47" s="19"/>
      <c r="E47" s="19"/>
      <c r="F47" s="20"/>
      <c r="G47" s="19"/>
      <c r="H47" s="19"/>
      <c r="I47" s="20"/>
      <c r="J47" s="19"/>
      <c r="K47" s="19"/>
      <c r="L47" s="19"/>
    </row>
    <row r="48" spans="1:12" ht="14.45">
      <c r="A48" s="19"/>
      <c r="B48" s="31"/>
      <c r="C48" s="19"/>
      <c r="D48" s="19"/>
      <c r="E48" s="19"/>
      <c r="F48" s="20"/>
      <c r="G48" s="19"/>
      <c r="H48" s="19"/>
      <c r="I48" s="20"/>
      <c r="J48" s="19"/>
      <c r="K48" s="19"/>
      <c r="L48" s="19"/>
    </row>
    <row r="49" spans="1:12" ht="14.45">
      <c r="A49" s="19"/>
      <c r="B49" s="31"/>
      <c r="C49" s="19"/>
      <c r="D49" s="19"/>
      <c r="E49" s="19"/>
      <c r="F49" s="20"/>
      <c r="G49" s="19"/>
      <c r="H49" s="19"/>
      <c r="I49" s="20"/>
      <c r="J49" s="19"/>
      <c r="K49" s="19"/>
      <c r="L49" s="19"/>
    </row>
    <row r="50" spans="1:12" ht="14.45">
      <c r="A50" s="19"/>
      <c r="B50" s="31"/>
      <c r="C50" s="19"/>
      <c r="D50" s="19"/>
      <c r="E50" s="19"/>
      <c r="F50" s="20"/>
      <c r="G50" s="19"/>
      <c r="H50" s="19"/>
      <c r="I50" s="20"/>
      <c r="J50" s="19"/>
      <c r="K50" s="19"/>
      <c r="L50" s="19"/>
    </row>
    <row r="51" spans="1:12" ht="14.45">
      <c r="A51" s="19"/>
      <c r="B51" s="31"/>
      <c r="C51" s="19"/>
      <c r="D51" s="19"/>
      <c r="E51" s="19"/>
      <c r="F51" s="20"/>
      <c r="G51" s="19"/>
      <c r="H51" s="19"/>
      <c r="I51" s="20"/>
      <c r="J51" s="19"/>
      <c r="K51" s="19"/>
      <c r="L51" s="19"/>
    </row>
    <row r="52" spans="1:12" ht="14.45">
      <c r="A52" s="19"/>
      <c r="B52" s="31"/>
      <c r="C52" s="19"/>
      <c r="D52" s="19"/>
      <c r="E52" s="19"/>
      <c r="F52" s="20"/>
      <c r="G52" s="19"/>
      <c r="H52" s="19"/>
      <c r="I52" s="20"/>
      <c r="J52" s="19"/>
      <c r="K52" s="19"/>
      <c r="L52" s="19"/>
    </row>
    <row r="53" spans="1:12" ht="14.45">
      <c r="A53" s="19"/>
      <c r="B53" s="31"/>
      <c r="C53" s="19"/>
      <c r="D53" s="19"/>
      <c r="E53" s="19"/>
      <c r="F53" s="20"/>
      <c r="G53" s="19"/>
      <c r="H53" s="19"/>
      <c r="I53" s="20"/>
      <c r="J53" s="19"/>
      <c r="K53" s="19"/>
      <c r="L53" s="19"/>
    </row>
    <row r="54" spans="1:12" ht="14.45">
      <c r="A54" s="19"/>
      <c r="B54" s="31"/>
      <c r="C54" s="19"/>
      <c r="D54" s="19"/>
      <c r="E54" s="19"/>
      <c r="F54" s="20"/>
      <c r="G54" s="19"/>
      <c r="H54" s="19"/>
      <c r="I54" s="20"/>
      <c r="J54" s="19"/>
      <c r="K54" s="19"/>
      <c r="L54" s="19"/>
    </row>
    <row r="55" spans="1:12" ht="14.45">
      <c r="A55" s="19"/>
      <c r="B55" s="31"/>
      <c r="C55" s="19"/>
      <c r="D55" s="19"/>
      <c r="E55" s="19"/>
      <c r="F55" s="20"/>
      <c r="G55" s="19"/>
      <c r="H55" s="19"/>
      <c r="I55" s="20"/>
      <c r="J55" s="19"/>
      <c r="K55" s="19"/>
      <c r="L55" s="19"/>
    </row>
    <row r="56" spans="1:12" ht="14.45">
      <c r="A56" s="19"/>
      <c r="B56" s="31"/>
      <c r="C56" s="19"/>
      <c r="D56" s="19"/>
      <c r="E56" s="19"/>
      <c r="F56" s="20"/>
      <c r="G56" s="19"/>
      <c r="H56" s="19"/>
      <c r="I56" s="20"/>
      <c r="J56" s="19"/>
      <c r="K56" s="19"/>
      <c r="L56" s="19"/>
    </row>
    <row r="57" spans="1:12" ht="14.45">
      <c r="A57" s="19"/>
      <c r="B57" s="31"/>
      <c r="C57" s="19"/>
      <c r="D57" s="19"/>
      <c r="E57" s="19"/>
      <c r="F57" s="20"/>
      <c r="G57" s="19"/>
      <c r="H57" s="19"/>
      <c r="I57" s="20"/>
      <c r="J57" s="19"/>
      <c r="K57" s="19"/>
      <c r="L57" s="19"/>
    </row>
    <row r="58" spans="1:12" ht="14.45">
      <c r="A58" s="19"/>
      <c r="B58" s="31"/>
      <c r="C58" s="19"/>
      <c r="D58" s="19"/>
      <c r="E58" s="19"/>
      <c r="F58" s="20"/>
      <c r="G58" s="19"/>
      <c r="H58" s="19"/>
      <c r="I58" s="20"/>
      <c r="J58" s="19"/>
      <c r="K58" s="19"/>
      <c r="L58" s="19"/>
    </row>
    <row r="59" spans="1:12" ht="14.45">
      <c r="A59" s="19"/>
      <c r="B59" s="31"/>
      <c r="C59" s="19"/>
      <c r="D59" s="19"/>
      <c r="E59" s="19"/>
      <c r="F59" s="20"/>
      <c r="G59" s="19"/>
      <c r="H59" s="19"/>
      <c r="I59" s="20"/>
      <c r="J59" s="19"/>
      <c r="K59" s="19"/>
      <c r="L59" s="19"/>
    </row>
    <row r="60" spans="1:12" ht="14.45">
      <c r="A60" s="19"/>
      <c r="B60" s="31"/>
      <c r="C60" s="19"/>
      <c r="D60" s="19"/>
      <c r="E60" s="19"/>
      <c r="F60" s="20"/>
      <c r="G60" s="19"/>
      <c r="H60" s="19"/>
      <c r="I60" s="20"/>
      <c r="J60" s="19"/>
      <c r="K60" s="19"/>
      <c r="L60" s="19"/>
    </row>
    <row r="61" spans="1:12" ht="14.45">
      <c r="A61" s="19"/>
      <c r="B61" s="31"/>
      <c r="C61" s="19"/>
      <c r="D61" s="19"/>
      <c r="E61" s="19"/>
      <c r="F61" s="20"/>
      <c r="G61" s="19"/>
      <c r="H61" s="19"/>
      <c r="I61" s="20"/>
      <c r="J61" s="19"/>
      <c r="K61" s="19"/>
      <c r="L61" s="19"/>
    </row>
    <row r="62" spans="1:12" ht="14.45">
      <c r="A62" s="19"/>
      <c r="B62" s="31"/>
      <c r="C62" s="19"/>
      <c r="D62" s="19"/>
      <c r="E62" s="19"/>
      <c r="F62" s="20"/>
      <c r="G62" s="19"/>
      <c r="H62" s="19"/>
      <c r="I62" s="20"/>
      <c r="J62" s="19"/>
      <c r="K62" s="19"/>
      <c r="L62" s="19"/>
    </row>
    <row r="63" spans="1:12" ht="14.45">
      <c r="A63" s="19"/>
      <c r="B63" s="31"/>
      <c r="C63" s="19"/>
      <c r="D63" s="19"/>
      <c r="E63" s="19"/>
      <c r="F63" s="20"/>
      <c r="G63" s="19"/>
      <c r="H63" s="19"/>
      <c r="I63" s="20"/>
      <c r="J63" s="19"/>
      <c r="K63" s="19"/>
      <c r="L63" s="19"/>
    </row>
    <row r="64" spans="1:12" ht="14.45">
      <c r="A64" s="19"/>
      <c r="B64" s="31"/>
      <c r="C64" s="19"/>
      <c r="D64" s="19"/>
      <c r="E64" s="19"/>
      <c r="F64" s="20"/>
      <c r="G64" s="19"/>
      <c r="H64" s="19"/>
      <c r="I64" s="20"/>
      <c r="J64" s="19"/>
      <c r="K64" s="19"/>
      <c r="L64" s="19"/>
    </row>
    <row r="65" spans="1:12" ht="14.45">
      <c r="A65" s="19"/>
      <c r="B65" s="31"/>
      <c r="C65" s="19"/>
      <c r="D65" s="19"/>
      <c r="E65" s="19"/>
      <c r="F65" s="20"/>
      <c r="G65" s="19"/>
      <c r="H65" s="19"/>
      <c r="I65" s="20"/>
      <c r="J65" s="19"/>
      <c r="K65" s="19"/>
      <c r="L65" s="19"/>
    </row>
    <row r="66" spans="1:12" ht="14.45">
      <c r="A66" s="19"/>
      <c r="B66" s="31"/>
      <c r="C66" s="19"/>
      <c r="D66" s="19"/>
      <c r="E66" s="19"/>
      <c r="F66" s="20"/>
      <c r="G66" s="19"/>
      <c r="H66" s="19"/>
      <c r="I66" s="20"/>
      <c r="J66" s="19"/>
      <c r="K66" s="19"/>
      <c r="L66" s="19"/>
    </row>
    <row r="67" spans="1:12" ht="14.45">
      <c r="A67" s="19"/>
      <c r="B67" s="31"/>
      <c r="C67" s="19"/>
      <c r="D67" s="19"/>
      <c r="E67" s="19"/>
      <c r="F67" s="20"/>
      <c r="G67" s="19"/>
      <c r="H67" s="19"/>
      <c r="I67" s="20"/>
      <c r="J67" s="19"/>
      <c r="K67" s="19"/>
      <c r="L67" s="19"/>
    </row>
    <row r="68" spans="1:12" ht="14.45">
      <c r="A68" s="19"/>
      <c r="B68" s="31"/>
      <c r="C68" s="19"/>
      <c r="D68" s="19"/>
      <c r="E68" s="19"/>
      <c r="F68" s="20"/>
      <c r="G68" s="19"/>
      <c r="H68" s="19"/>
      <c r="I68" s="20"/>
      <c r="J68" s="19"/>
      <c r="K68" s="19"/>
      <c r="L68" s="19"/>
    </row>
    <row r="69" spans="1:12" ht="14.45">
      <c r="A69" s="19"/>
      <c r="B69" s="31"/>
      <c r="C69" s="19"/>
      <c r="D69" s="19"/>
      <c r="E69" s="19"/>
      <c r="F69" s="20"/>
      <c r="G69" s="19"/>
      <c r="H69" s="19"/>
      <c r="I69" s="20"/>
      <c r="J69" s="19"/>
      <c r="K69" s="19"/>
      <c r="L69" s="19"/>
    </row>
    <row r="70" spans="1:12" ht="14.45">
      <c r="A70" s="19"/>
      <c r="B70" s="31"/>
      <c r="C70" s="19"/>
      <c r="D70" s="19"/>
      <c r="E70" s="19"/>
      <c r="F70" s="20"/>
      <c r="G70" s="19"/>
      <c r="H70" s="19"/>
      <c r="I70" s="20"/>
      <c r="J70" s="19"/>
      <c r="K70" s="19"/>
      <c r="L70" s="19"/>
    </row>
    <row r="71" spans="1:12" ht="14.45">
      <c r="A71" s="19"/>
      <c r="B71" s="31"/>
      <c r="C71" s="19"/>
      <c r="D71" s="19"/>
      <c r="E71" s="19"/>
      <c r="F71" s="20"/>
      <c r="G71" s="19"/>
      <c r="H71" s="19"/>
      <c r="I71" s="20"/>
      <c r="J71" s="19"/>
      <c r="K71" s="19"/>
      <c r="L71" s="19"/>
    </row>
    <row r="72" spans="1:12" ht="14.45">
      <c r="A72" s="19"/>
      <c r="B72" s="31"/>
      <c r="C72" s="19"/>
      <c r="D72" s="19"/>
      <c r="E72" s="19"/>
      <c r="F72" s="20"/>
      <c r="G72" s="19"/>
      <c r="H72" s="19"/>
      <c r="I72" s="20"/>
      <c r="J72" s="19"/>
      <c r="K72" s="19"/>
      <c r="L72" s="19"/>
    </row>
    <row r="73" spans="1:12" ht="14.45">
      <c r="A73" s="19"/>
      <c r="B73" s="31"/>
      <c r="C73" s="19"/>
      <c r="D73" s="19"/>
      <c r="E73" s="19"/>
      <c r="F73" s="20"/>
      <c r="G73" s="19"/>
      <c r="H73" s="19"/>
      <c r="I73" s="20"/>
      <c r="J73" s="19"/>
      <c r="K73" s="19"/>
      <c r="L73" s="19"/>
    </row>
    <row r="74" spans="1:12" ht="14.45">
      <c r="A74" s="19"/>
      <c r="B74" s="31"/>
      <c r="C74" s="19"/>
      <c r="D74" s="19"/>
      <c r="E74" s="19"/>
      <c r="F74" s="20"/>
      <c r="G74" s="19"/>
      <c r="H74" s="19"/>
      <c r="I74" s="20"/>
      <c r="J74" s="19"/>
      <c r="K74" s="19"/>
      <c r="L74" s="19"/>
    </row>
    <row r="75" spans="1:12" ht="14.45">
      <c r="A75" s="19"/>
      <c r="B75" s="31"/>
      <c r="C75" s="19"/>
      <c r="D75" s="19"/>
      <c r="E75" s="19"/>
      <c r="F75" s="20"/>
      <c r="G75" s="19"/>
      <c r="H75" s="19"/>
      <c r="I75" s="20"/>
      <c r="J75" s="19"/>
      <c r="K75" s="19"/>
      <c r="L75" s="19"/>
    </row>
    <row r="76" spans="1:12" ht="14.45">
      <c r="A76" s="19"/>
      <c r="B76" s="31"/>
      <c r="C76" s="19"/>
      <c r="D76" s="19"/>
      <c r="E76" s="19"/>
      <c r="F76" s="20"/>
      <c r="G76" s="19"/>
      <c r="H76" s="19"/>
      <c r="I76" s="20"/>
      <c r="J76" s="19"/>
      <c r="K76" s="19"/>
      <c r="L76" s="19"/>
    </row>
    <row r="77" spans="1:12" ht="14.45">
      <c r="A77" s="19"/>
      <c r="B77" s="31"/>
      <c r="C77" s="19"/>
      <c r="D77" s="19"/>
      <c r="E77" s="19"/>
      <c r="F77" s="20"/>
      <c r="G77" s="19"/>
      <c r="H77" s="19"/>
      <c r="I77" s="20"/>
      <c r="J77" s="19"/>
      <c r="K77" s="19"/>
      <c r="L77" s="19"/>
    </row>
    <row r="78" spans="1:12" ht="14.45">
      <c r="A78" s="19"/>
      <c r="B78" s="31"/>
      <c r="C78" s="19"/>
      <c r="D78" s="19"/>
      <c r="E78" s="19"/>
      <c r="F78" s="20"/>
      <c r="G78" s="19"/>
      <c r="H78" s="19"/>
      <c r="I78" s="20"/>
      <c r="J78" s="19"/>
      <c r="K78" s="19"/>
      <c r="L78" s="19"/>
    </row>
    <row r="79" spans="1:12" ht="14.45">
      <c r="A79" s="19"/>
      <c r="B79" s="31"/>
      <c r="C79" s="19"/>
      <c r="D79" s="19"/>
      <c r="E79" s="19"/>
      <c r="F79" s="20"/>
      <c r="G79" s="19"/>
      <c r="H79" s="19"/>
      <c r="I79" s="20"/>
      <c r="J79" s="19"/>
      <c r="K79" s="19"/>
      <c r="L79" s="19"/>
    </row>
    <row r="80" spans="1:12" ht="14.45">
      <c r="A80" s="19"/>
      <c r="B80" s="31"/>
      <c r="C80" s="19"/>
      <c r="D80" s="19"/>
      <c r="E80" s="19"/>
      <c r="F80" s="20"/>
      <c r="G80" s="19"/>
      <c r="H80" s="19"/>
      <c r="I80" s="20"/>
      <c r="J80" s="19"/>
      <c r="K80" s="19"/>
      <c r="L80" s="19"/>
    </row>
    <row r="81" spans="1:12" ht="14.45">
      <c r="A81" s="19"/>
      <c r="B81" s="31"/>
      <c r="C81" s="19"/>
      <c r="D81" s="19"/>
      <c r="E81" s="19"/>
      <c r="F81" s="20"/>
      <c r="G81" s="19"/>
      <c r="H81" s="19"/>
      <c r="I81" s="20"/>
      <c r="J81" s="19"/>
      <c r="K81" s="19"/>
      <c r="L81" s="19"/>
    </row>
    <row r="82" spans="1:12" ht="14.45">
      <c r="A82" s="19"/>
      <c r="B82" s="31"/>
      <c r="C82" s="19"/>
      <c r="D82" s="19"/>
      <c r="E82" s="19"/>
      <c r="F82" s="20"/>
      <c r="G82" s="19"/>
      <c r="H82" s="19"/>
      <c r="I82" s="20"/>
      <c r="J82" s="19"/>
      <c r="K82" s="19"/>
      <c r="L82" s="19"/>
    </row>
    <row r="83" spans="1:12" ht="14.45">
      <c r="A83" s="19"/>
      <c r="B83" s="31"/>
      <c r="C83" s="19"/>
      <c r="D83" s="19"/>
      <c r="E83" s="19"/>
      <c r="F83" s="20"/>
      <c r="G83" s="19"/>
      <c r="H83" s="19"/>
      <c r="I83" s="20"/>
      <c r="J83" s="19"/>
      <c r="K83" s="19"/>
      <c r="L83" s="19"/>
    </row>
    <row r="84" spans="1:12" ht="14.45">
      <c r="A84" s="19"/>
      <c r="B84" s="31"/>
      <c r="C84" s="19"/>
      <c r="D84" s="19"/>
      <c r="E84" s="19"/>
      <c r="F84" s="20"/>
      <c r="G84" s="19"/>
      <c r="H84" s="19"/>
      <c r="I84" s="20"/>
      <c r="J84" s="19"/>
      <c r="K84" s="19"/>
      <c r="L84" s="19"/>
    </row>
    <row r="85" spans="1:12" ht="14.45">
      <c r="A85" s="19"/>
      <c r="B85" s="31"/>
      <c r="C85" s="19"/>
      <c r="D85" s="19"/>
      <c r="E85" s="19"/>
      <c r="F85" s="20"/>
      <c r="G85" s="19"/>
      <c r="H85" s="19"/>
      <c r="I85" s="20"/>
      <c r="J85" s="19"/>
      <c r="K85" s="19"/>
      <c r="L85" s="19"/>
    </row>
    <row r="86" spans="1:12" ht="14.45">
      <c r="A86" s="19"/>
      <c r="B86" s="31"/>
      <c r="C86" s="19"/>
      <c r="D86" s="19"/>
      <c r="E86" s="19"/>
      <c r="F86" s="20"/>
      <c r="G86" s="19"/>
      <c r="H86" s="19"/>
      <c r="I86" s="20"/>
      <c r="J86" s="19"/>
      <c r="K86" s="19"/>
      <c r="L86" s="19"/>
    </row>
    <row r="87" spans="1:12" ht="14.45">
      <c r="A87" s="19"/>
      <c r="B87" s="31"/>
      <c r="C87" s="19"/>
      <c r="D87" s="19"/>
      <c r="E87" s="19"/>
      <c r="F87" s="20"/>
      <c r="G87" s="19"/>
      <c r="H87" s="19"/>
      <c r="I87" s="20"/>
      <c r="J87" s="19"/>
      <c r="K87" s="19"/>
      <c r="L87" s="19"/>
    </row>
    <row r="88" spans="1:12" ht="14.45">
      <c r="A88" s="19"/>
      <c r="B88" s="31"/>
      <c r="C88" s="19"/>
      <c r="D88" s="19"/>
      <c r="E88" s="19"/>
      <c r="F88" s="20"/>
      <c r="G88" s="19"/>
      <c r="H88" s="19"/>
      <c r="I88" s="20"/>
      <c r="J88" s="19"/>
      <c r="K88" s="19"/>
      <c r="L88" s="19"/>
    </row>
    <row r="89" spans="1:12" ht="14.45">
      <c r="A89" s="19"/>
      <c r="B89" s="31"/>
      <c r="C89" s="19"/>
      <c r="D89" s="19"/>
      <c r="E89" s="19"/>
      <c r="F89" s="20"/>
      <c r="G89" s="19"/>
      <c r="H89" s="19"/>
      <c r="I89" s="20"/>
      <c r="J89" s="19"/>
      <c r="K89" s="19"/>
      <c r="L89" s="19"/>
    </row>
    <row r="90" spans="1:12" ht="14.45">
      <c r="A90" s="19"/>
      <c r="B90" s="31"/>
      <c r="C90" s="19"/>
      <c r="D90" s="19"/>
      <c r="E90" s="19"/>
      <c r="F90" s="20"/>
      <c r="G90" s="19"/>
      <c r="H90" s="19"/>
      <c r="I90" s="20"/>
      <c r="J90" s="19"/>
      <c r="K90" s="19"/>
      <c r="L90" s="19"/>
    </row>
    <row r="91" spans="1:12" ht="14.45">
      <c r="A91" s="19"/>
      <c r="B91" s="31"/>
      <c r="C91" s="19"/>
      <c r="D91" s="19"/>
      <c r="E91" s="19"/>
      <c r="F91" s="20"/>
      <c r="G91" s="19"/>
      <c r="H91" s="19"/>
      <c r="I91" s="20"/>
      <c r="J91" s="19"/>
      <c r="K91" s="19"/>
      <c r="L91" s="19"/>
    </row>
    <row r="92" spans="1:12" ht="14.45">
      <c r="A92" s="19"/>
      <c r="B92" s="31"/>
      <c r="C92" s="19"/>
      <c r="D92" s="19"/>
      <c r="E92" s="19"/>
      <c r="F92" s="20"/>
      <c r="G92" s="19"/>
      <c r="H92" s="19"/>
      <c r="I92" s="20"/>
      <c r="J92" s="19"/>
      <c r="K92" s="19"/>
      <c r="L92" s="19"/>
    </row>
    <row r="93" spans="1:12" ht="14.45">
      <c r="A93" s="19"/>
      <c r="B93" s="31"/>
      <c r="C93" s="19"/>
      <c r="D93" s="19"/>
      <c r="E93" s="19"/>
      <c r="F93" s="20"/>
      <c r="G93" s="19"/>
      <c r="H93" s="19"/>
      <c r="I93" s="20"/>
      <c r="J93" s="19"/>
      <c r="K93" s="19"/>
      <c r="L93" s="19"/>
    </row>
    <row r="94" spans="1:12" ht="14.45">
      <c r="A94" s="19"/>
      <c r="B94" s="31"/>
      <c r="C94" s="19"/>
      <c r="D94" s="19"/>
      <c r="E94" s="19"/>
      <c r="F94" s="20"/>
      <c r="G94" s="19"/>
      <c r="H94" s="19"/>
      <c r="I94" s="20"/>
      <c r="J94" s="19"/>
      <c r="K94" s="19"/>
      <c r="L94" s="19"/>
    </row>
    <row r="95" spans="1:12" ht="14.45">
      <c r="A95" s="19"/>
      <c r="B95" s="31"/>
      <c r="C95" s="19"/>
      <c r="D95" s="19"/>
      <c r="E95" s="19"/>
      <c r="F95" s="20"/>
      <c r="G95" s="19"/>
      <c r="H95" s="19"/>
      <c r="I95" s="20"/>
      <c r="J95" s="19"/>
      <c r="K95" s="19"/>
      <c r="L95" s="19"/>
    </row>
    <row r="96" spans="1:12" ht="14.45">
      <c r="A96" s="19"/>
      <c r="B96" s="31"/>
      <c r="C96" s="19"/>
      <c r="D96" s="19"/>
      <c r="E96" s="19"/>
      <c r="F96" s="20"/>
      <c r="G96" s="19"/>
      <c r="H96" s="19"/>
      <c r="I96" s="20"/>
      <c r="J96" s="19"/>
      <c r="K96" s="19"/>
      <c r="L96" s="19"/>
    </row>
    <row r="97" spans="1:12" ht="14.45">
      <c r="A97" s="19"/>
      <c r="B97" s="31"/>
      <c r="C97" s="19"/>
      <c r="D97" s="19"/>
      <c r="E97" s="19"/>
      <c r="F97" s="20"/>
      <c r="G97" s="19"/>
      <c r="H97" s="19"/>
      <c r="I97" s="20"/>
      <c r="J97" s="19"/>
      <c r="K97" s="19"/>
      <c r="L97" s="19"/>
    </row>
    <row r="98" spans="1:12" ht="14.45">
      <c r="A98" s="19"/>
      <c r="B98" s="31"/>
      <c r="C98" s="19"/>
      <c r="D98" s="19"/>
      <c r="E98" s="19"/>
      <c r="F98" s="20"/>
      <c r="G98" s="19"/>
      <c r="H98" s="19"/>
      <c r="I98" s="20"/>
      <c r="J98" s="19"/>
      <c r="K98" s="19"/>
      <c r="L98" s="19"/>
    </row>
    <row r="99" spans="1:12" ht="14.45">
      <c r="A99" s="19"/>
      <c r="B99" s="31"/>
      <c r="C99" s="19"/>
      <c r="D99" s="19"/>
      <c r="E99" s="19"/>
      <c r="F99" s="20"/>
      <c r="G99" s="19"/>
      <c r="H99" s="19"/>
      <c r="I99" s="20"/>
      <c r="J99" s="19"/>
      <c r="K99" s="19"/>
      <c r="L99" s="19"/>
    </row>
    <row r="100" spans="1:12" ht="14.45">
      <c r="A100" s="19"/>
      <c r="B100" s="31"/>
      <c r="C100" s="19"/>
      <c r="D100" s="19"/>
      <c r="E100" s="19"/>
      <c r="F100" s="20"/>
      <c r="G100" s="19"/>
      <c r="H100" s="19"/>
      <c r="I100" s="20"/>
      <c r="J100" s="19"/>
      <c r="K100" s="19"/>
      <c r="L100" s="19"/>
    </row>
    <row r="101" spans="1:12" ht="14.45">
      <c r="A101" s="19"/>
      <c r="B101" s="31"/>
      <c r="C101" s="19"/>
      <c r="D101" s="19"/>
      <c r="E101" s="19"/>
      <c r="F101" s="20"/>
      <c r="G101" s="19"/>
      <c r="H101" s="19"/>
      <c r="I101" s="20"/>
      <c r="J101" s="19"/>
      <c r="K101" s="19"/>
      <c r="L101" s="19"/>
    </row>
    <row r="102" spans="1:12" ht="14.45">
      <c r="A102" s="19"/>
      <c r="B102" s="31"/>
      <c r="C102" s="19"/>
      <c r="D102" s="19"/>
      <c r="E102" s="19"/>
      <c r="F102" s="20"/>
      <c r="G102" s="19"/>
      <c r="H102" s="19"/>
      <c r="I102" s="20"/>
      <c r="J102" s="19"/>
      <c r="K102" s="19"/>
      <c r="L102" s="19"/>
    </row>
    <row r="103" spans="1:12" ht="14.45">
      <c r="A103" s="19"/>
      <c r="B103" s="31"/>
      <c r="C103" s="19"/>
      <c r="D103" s="19"/>
      <c r="E103" s="19"/>
      <c r="F103" s="20"/>
      <c r="G103" s="19"/>
      <c r="H103" s="19"/>
      <c r="I103" s="20"/>
      <c r="J103" s="19"/>
      <c r="K103" s="19"/>
      <c r="L103" s="19"/>
    </row>
    <row r="104" spans="1:12" ht="14.45">
      <c r="A104" s="19"/>
      <c r="B104" s="31"/>
      <c r="C104" s="19"/>
      <c r="D104" s="19"/>
      <c r="E104" s="19"/>
      <c r="F104" s="20"/>
      <c r="G104" s="19"/>
      <c r="H104" s="19"/>
      <c r="I104" s="20"/>
      <c r="J104" s="19"/>
      <c r="K104" s="19"/>
      <c r="L104" s="19"/>
    </row>
    <row r="105" spans="1:12" ht="14.45">
      <c r="A105" s="19"/>
      <c r="B105" s="31"/>
      <c r="C105" s="19"/>
      <c r="D105" s="19"/>
      <c r="E105" s="19"/>
      <c r="F105" s="20"/>
      <c r="G105" s="19"/>
      <c r="H105" s="19"/>
      <c r="I105" s="20"/>
      <c r="J105" s="19"/>
      <c r="K105" s="19"/>
      <c r="L105" s="19"/>
    </row>
    <row r="106" spans="1:12" ht="14.45">
      <c r="A106" s="19"/>
      <c r="B106" s="31"/>
      <c r="C106" s="19"/>
      <c r="D106" s="19"/>
      <c r="E106" s="19"/>
      <c r="F106" s="20"/>
      <c r="G106" s="19"/>
      <c r="H106" s="19"/>
      <c r="I106" s="20"/>
      <c r="J106" s="19"/>
      <c r="K106" s="19"/>
      <c r="L106" s="19"/>
    </row>
    <row r="107" spans="1:12" ht="14.45">
      <c r="A107" s="19"/>
      <c r="B107" s="31"/>
      <c r="C107" s="19"/>
      <c r="D107" s="19"/>
      <c r="E107" s="19"/>
      <c r="F107" s="20"/>
      <c r="G107" s="19"/>
      <c r="H107" s="19"/>
      <c r="I107" s="20"/>
      <c r="J107" s="19"/>
      <c r="K107" s="19"/>
      <c r="L107" s="19"/>
    </row>
    <row r="108" spans="1:12" ht="14.45">
      <c r="A108" s="19"/>
      <c r="B108" s="31"/>
      <c r="C108" s="19"/>
      <c r="D108" s="19"/>
      <c r="E108" s="19"/>
      <c r="F108" s="20"/>
      <c r="G108" s="19"/>
      <c r="H108" s="19"/>
      <c r="I108" s="20"/>
      <c r="J108" s="19"/>
      <c r="K108" s="19"/>
      <c r="L108" s="19"/>
    </row>
    <row r="109" spans="1:12" ht="14.45">
      <c r="A109" s="19"/>
      <c r="B109" s="31"/>
      <c r="C109" s="19"/>
      <c r="D109" s="19"/>
      <c r="E109" s="19"/>
      <c r="F109" s="20"/>
      <c r="G109" s="19"/>
      <c r="H109" s="19"/>
      <c r="I109" s="20"/>
      <c r="J109" s="19"/>
      <c r="K109" s="19"/>
      <c r="L109" s="19"/>
    </row>
    <row r="110" spans="1:12" ht="14.45">
      <c r="A110" s="19"/>
      <c r="B110" s="31"/>
      <c r="C110" s="19"/>
      <c r="D110" s="19"/>
      <c r="E110" s="19"/>
      <c r="F110" s="20"/>
      <c r="G110" s="19"/>
      <c r="H110" s="19"/>
      <c r="I110" s="20"/>
      <c r="J110" s="19"/>
      <c r="K110" s="19"/>
      <c r="L110" s="19"/>
    </row>
    <row r="111" spans="1:12" ht="14.45">
      <c r="A111" s="19"/>
      <c r="B111" s="31"/>
      <c r="C111" s="19"/>
      <c r="D111" s="19"/>
      <c r="E111" s="19"/>
      <c r="F111" s="20"/>
      <c r="G111" s="19"/>
      <c r="H111" s="19"/>
      <c r="I111" s="20"/>
      <c r="J111" s="19"/>
      <c r="K111" s="19"/>
      <c r="L111" s="19"/>
    </row>
    <row r="112" spans="1:12" ht="14.45">
      <c r="A112" s="19"/>
      <c r="B112" s="31"/>
      <c r="C112" s="19"/>
      <c r="D112" s="19"/>
      <c r="E112" s="19"/>
      <c r="F112" s="20"/>
      <c r="G112" s="19"/>
      <c r="H112" s="19"/>
      <c r="I112" s="20"/>
      <c r="J112" s="19"/>
      <c r="K112" s="19"/>
      <c r="L112" s="19"/>
    </row>
    <row r="113" spans="1:12" ht="14.45">
      <c r="A113" s="19"/>
      <c r="B113" s="31"/>
      <c r="C113" s="19"/>
      <c r="D113" s="19"/>
      <c r="E113" s="19"/>
      <c r="F113" s="20"/>
      <c r="G113" s="19"/>
      <c r="H113" s="19"/>
      <c r="I113" s="20"/>
      <c r="J113" s="19"/>
      <c r="K113" s="19"/>
      <c r="L113" s="19"/>
    </row>
    <row r="114" spans="1:12" ht="14.45">
      <c r="A114" s="19"/>
      <c r="B114" s="31"/>
      <c r="C114" s="19"/>
      <c r="D114" s="19"/>
      <c r="E114" s="19"/>
      <c r="F114" s="20"/>
      <c r="G114" s="19"/>
      <c r="H114" s="19"/>
      <c r="I114" s="20"/>
      <c r="J114" s="19"/>
      <c r="K114" s="19"/>
      <c r="L114" s="19"/>
    </row>
    <row r="115" spans="1:12" ht="14.45">
      <c r="A115" s="19"/>
      <c r="B115" s="31"/>
      <c r="C115" s="19"/>
      <c r="D115" s="19"/>
      <c r="E115" s="19"/>
      <c r="F115" s="20"/>
      <c r="G115" s="19"/>
      <c r="H115" s="19"/>
      <c r="I115" s="20"/>
      <c r="J115" s="19"/>
      <c r="K115" s="19"/>
      <c r="L115" s="19"/>
    </row>
    <row r="116" spans="1:12" ht="14.45">
      <c r="A116" s="19"/>
      <c r="B116" s="31"/>
      <c r="C116" s="19"/>
      <c r="D116" s="19"/>
      <c r="E116" s="19"/>
      <c r="F116" s="20"/>
      <c r="G116" s="19"/>
      <c r="H116" s="19"/>
      <c r="I116" s="20"/>
      <c r="J116" s="19"/>
      <c r="K116" s="19"/>
      <c r="L116" s="19"/>
    </row>
    <row r="117" spans="1:12" ht="14.45">
      <c r="A117" s="19"/>
      <c r="B117" s="31"/>
      <c r="C117" s="19"/>
      <c r="D117" s="19"/>
      <c r="E117" s="19"/>
      <c r="F117" s="20"/>
      <c r="G117" s="19"/>
      <c r="H117" s="19"/>
      <c r="I117" s="20"/>
      <c r="J117" s="19"/>
      <c r="K117" s="19"/>
      <c r="L117" s="19"/>
    </row>
    <row r="118" spans="1:12" ht="14.45">
      <c r="A118" s="19"/>
      <c r="B118" s="31"/>
      <c r="C118" s="19"/>
      <c r="D118" s="19"/>
      <c r="E118" s="19"/>
      <c r="F118" s="20"/>
      <c r="G118" s="19"/>
      <c r="H118" s="19"/>
      <c r="I118" s="20"/>
      <c r="J118" s="19"/>
      <c r="K118" s="19"/>
      <c r="L118" s="19"/>
    </row>
    <row r="119" spans="1:12" ht="14.45">
      <c r="A119" s="19"/>
      <c r="B119" s="31"/>
      <c r="C119" s="19"/>
      <c r="D119" s="19"/>
      <c r="E119" s="19"/>
      <c r="F119" s="20"/>
      <c r="G119" s="19"/>
      <c r="H119" s="19"/>
      <c r="I119" s="20"/>
      <c r="J119" s="19"/>
      <c r="K119" s="19"/>
      <c r="L119" s="19"/>
    </row>
    <row r="120" spans="1:12" ht="14.45">
      <c r="A120" s="19"/>
      <c r="B120" s="31"/>
      <c r="C120" s="19"/>
      <c r="D120" s="19"/>
      <c r="E120" s="19"/>
      <c r="F120" s="20"/>
      <c r="G120" s="19"/>
      <c r="H120" s="19"/>
      <c r="I120" s="20"/>
      <c r="J120" s="19"/>
      <c r="K120" s="19"/>
      <c r="L120" s="19"/>
    </row>
    <row r="121" spans="1:12" ht="14.45">
      <c r="A121" s="19"/>
      <c r="B121" s="31"/>
      <c r="C121" s="19"/>
      <c r="D121" s="19"/>
      <c r="E121" s="19"/>
      <c r="F121" s="20"/>
      <c r="G121" s="19"/>
      <c r="H121" s="19"/>
      <c r="I121" s="20"/>
      <c r="J121" s="19"/>
      <c r="K121" s="19"/>
      <c r="L121" s="19"/>
    </row>
    <row r="122" spans="1:12" ht="14.45">
      <c r="A122" s="19"/>
      <c r="B122" s="31"/>
      <c r="C122" s="19"/>
      <c r="D122" s="19"/>
      <c r="E122" s="19"/>
      <c r="F122" s="20"/>
      <c r="G122" s="19"/>
      <c r="H122" s="19"/>
      <c r="I122" s="20"/>
      <c r="J122" s="19"/>
      <c r="K122" s="19"/>
      <c r="L122" s="19"/>
    </row>
    <row r="123" spans="1:12" ht="14.45">
      <c r="A123" s="19"/>
      <c r="B123" s="31"/>
      <c r="C123" s="19"/>
      <c r="D123" s="19"/>
      <c r="E123" s="19"/>
      <c r="F123" s="20"/>
      <c r="G123" s="19"/>
      <c r="H123" s="19"/>
      <c r="I123" s="20"/>
      <c r="J123" s="19"/>
      <c r="K123" s="19"/>
      <c r="L123" s="19"/>
    </row>
    <row r="124" spans="1:12" ht="14.45">
      <c r="A124" s="19"/>
      <c r="B124" s="31"/>
      <c r="C124" s="19"/>
      <c r="D124" s="19"/>
      <c r="E124" s="19"/>
      <c r="F124" s="20"/>
      <c r="G124" s="19"/>
      <c r="H124" s="19"/>
      <c r="I124" s="20"/>
      <c r="J124" s="19"/>
      <c r="K124" s="19"/>
      <c r="L124" s="19"/>
    </row>
    <row r="125" spans="1:12" ht="14.45">
      <c r="A125" s="19"/>
      <c r="B125" s="31"/>
      <c r="C125" s="19"/>
      <c r="D125" s="19"/>
      <c r="E125" s="19"/>
      <c r="F125" s="20"/>
      <c r="G125" s="19"/>
      <c r="H125" s="19"/>
      <c r="I125" s="20"/>
      <c r="J125" s="19"/>
      <c r="K125" s="19"/>
      <c r="L125" s="19"/>
    </row>
    <row r="126" spans="1:12" ht="14.45">
      <c r="A126" s="19"/>
      <c r="B126" s="31"/>
      <c r="C126" s="19"/>
      <c r="D126" s="19"/>
      <c r="E126" s="19"/>
      <c r="F126" s="20"/>
      <c r="G126" s="19"/>
      <c r="H126" s="19"/>
      <c r="I126" s="20"/>
      <c r="J126" s="19"/>
      <c r="K126" s="19"/>
      <c r="L126" s="19"/>
    </row>
    <row r="127" spans="1:12" ht="14.45">
      <c r="A127" s="19"/>
      <c r="B127" s="31"/>
      <c r="C127" s="19"/>
      <c r="D127" s="19"/>
      <c r="E127" s="19"/>
      <c r="F127" s="20"/>
      <c r="G127" s="19"/>
      <c r="H127" s="19"/>
      <c r="I127" s="20"/>
      <c r="J127" s="19"/>
      <c r="K127" s="19"/>
      <c r="L127" s="19"/>
    </row>
    <row r="128" spans="1:12" ht="14.45">
      <c r="A128" s="19"/>
      <c r="B128" s="31"/>
      <c r="C128" s="19"/>
      <c r="D128" s="19"/>
      <c r="E128" s="19"/>
      <c r="F128" s="20"/>
      <c r="G128" s="19"/>
      <c r="H128" s="19"/>
      <c r="I128" s="20"/>
      <c r="J128" s="19"/>
      <c r="K128" s="19"/>
      <c r="L128" s="19"/>
    </row>
    <row r="129" spans="1:12" ht="14.45">
      <c r="A129" s="19"/>
      <c r="B129" s="31"/>
      <c r="C129" s="19"/>
      <c r="D129" s="19"/>
      <c r="E129" s="19"/>
      <c r="F129" s="20"/>
      <c r="G129" s="19"/>
      <c r="H129" s="19"/>
      <c r="I129" s="20"/>
      <c r="J129" s="19"/>
      <c r="K129" s="19"/>
      <c r="L129" s="19"/>
    </row>
    <row r="130" spans="1:12" ht="14.45">
      <c r="A130" s="19"/>
      <c r="B130" s="31"/>
      <c r="C130" s="19"/>
      <c r="D130" s="19"/>
      <c r="E130" s="19"/>
      <c r="F130" s="20"/>
      <c r="G130" s="19"/>
      <c r="H130" s="19"/>
      <c r="I130" s="20"/>
      <c r="J130" s="19"/>
      <c r="K130" s="19"/>
      <c r="L130" s="19"/>
    </row>
    <row r="131" spans="1:12" ht="14.45">
      <c r="A131" s="19"/>
      <c r="B131" s="31"/>
      <c r="C131" s="19"/>
      <c r="D131" s="19"/>
      <c r="E131" s="19"/>
      <c r="F131" s="20"/>
      <c r="G131" s="19"/>
      <c r="H131" s="19"/>
      <c r="I131" s="20"/>
      <c r="J131" s="19"/>
      <c r="K131" s="19"/>
      <c r="L131" s="19"/>
    </row>
    <row r="132" spans="1:12" ht="14.45">
      <c r="A132" s="19"/>
      <c r="B132" s="31"/>
      <c r="C132" s="19"/>
      <c r="D132" s="19"/>
      <c r="E132" s="19"/>
      <c r="F132" s="20"/>
      <c r="G132" s="19"/>
      <c r="H132" s="19"/>
      <c r="I132" s="20"/>
      <c r="J132" s="19"/>
      <c r="K132" s="19"/>
      <c r="L132" s="19"/>
    </row>
    <row r="133" spans="1:12" ht="14.45">
      <c r="A133" s="19"/>
      <c r="B133" s="31"/>
      <c r="C133" s="19"/>
      <c r="D133" s="19"/>
      <c r="E133" s="19"/>
      <c r="F133" s="20"/>
      <c r="G133" s="19"/>
      <c r="H133" s="19"/>
      <c r="I133" s="20"/>
      <c r="J133" s="19"/>
      <c r="K133" s="19"/>
      <c r="L133" s="19"/>
    </row>
    <row r="134" spans="1:12" ht="14.45">
      <c r="A134" s="19"/>
      <c r="B134" s="31"/>
      <c r="C134" s="19"/>
      <c r="D134" s="19"/>
      <c r="E134" s="19"/>
      <c r="F134" s="20"/>
      <c r="G134" s="19"/>
      <c r="H134" s="19"/>
      <c r="I134" s="20"/>
      <c r="J134" s="19"/>
      <c r="K134" s="19"/>
      <c r="L134" s="19"/>
    </row>
    <row r="135" spans="1:12" ht="14.45">
      <c r="A135" s="19"/>
      <c r="B135" s="31"/>
      <c r="C135" s="19"/>
      <c r="D135" s="19"/>
      <c r="E135" s="19"/>
      <c r="F135" s="20"/>
      <c r="G135" s="19"/>
      <c r="H135" s="19"/>
      <c r="I135" s="20"/>
      <c r="J135" s="19"/>
      <c r="K135" s="19"/>
      <c r="L135" s="19"/>
    </row>
    <row r="136" spans="1:12" ht="14.45">
      <c r="A136" s="19"/>
      <c r="B136" s="31"/>
      <c r="C136" s="19"/>
      <c r="D136" s="19"/>
      <c r="E136" s="19"/>
      <c r="F136" s="20"/>
      <c r="G136" s="19"/>
      <c r="H136" s="19"/>
      <c r="I136" s="20"/>
      <c r="J136" s="19"/>
      <c r="K136" s="19"/>
      <c r="L136" s="19"/>
    </row>
    <row r="137" spans="1:12" ht="14.45">
      <c r="A137" s="19"/>
      <c r="B137" s="31"/>
      <c r="C137" s="19"/>
      <c r="D137" s="19"/>
      <c r="E137" s="19"/>
      <c r="F137" s="20"/>
      <c r="G137" s="19"/>
      <c r="H137" s="19"/>
      <c r="I137" s="20"/>
      <c r="J137" s="19"/>
      <c r="K137" s="19"/>
      <c r="L137" s="19"/>
    </row>
    <row r="138" spans="1:12" ht="14.45">
      <c r="A138" s="19"/>
      <c r="B138" s="31"/>
      <c r="C138" s="19"/>
      <c r="D138" s="19"/>
      <c r="E138" s="19"/>
      <c r="F138" s="20"/>
      <c r="G138" s="19"/>
      <c r="H138" s="19"/>
      <c r="I138" s="20"/>
      <c r="J138" s="19"/>
      <c r="K138" s="19"/>
      <c r="L138" s="19"/>
    </row>
    <row r="139" spans="1:12" ht="14.45">
      <c r="A139" s="19"/>
      <c r="B139" s="31"/>
      <c r="C139" s="19"/>
      <c r="D139" s="19"/>
      <c r="E139" s="19"/>
      <c r="F139" s="20"/>
      <c r="G139" s="19"/>
      <c r="H139" s="19"/>
      <c r="I139" s="20"/>
      <c r="J139" s="19"/>
      <c r="K139" s="19"/>
      <c r="L139" s="19"/>
    </row>
    <row r="140" spans="1:12" ht="14.45">
      <c r="A140" s="19"/>
      <c r="B140" s="31"/>
      <c r="C140" s="19"/>
      <c r="D140" s="19"/>
      <c r="E140" s="19"/>
      <c r="F140" s="20"/>
      <c r="G140" s="19"/>
      <c r="H140" s="19"/>
      <c r="I140" s="20"/>
      <c r="J140" s="19"/>
      <c r="K140" s="19"/>
      <c r="L140" s="19"/>
    </row>
    <row r="141" spans="1:12" ht="14.45">
      <c r="A141" s="19"/>
      <c r="B141" s="31"/>
      <c r="C141" s="19"/>
      <c r="D141" s="19"/>
      <c r="E141" s="19"/>
      <c r="F141" s="20"/>
      <c r="G141" s="19"/>
      <c r="H141" s="19"/>
      <c r="I141" s="20"/>
      <c r="J141" s="19"/>
      <c r="K141" s="19"/>
      <c r="L141" s="19"/>
    </row>
    <row r="142" spans="1:12" ht="14.45">
      <c r="A142" s="19"/>
      <c r="B142" s="31"/>
      <c r="C142" s="19"/>
      <c r="D142" s="19"/>
      <c r="E142" s="19"/>
      <c r="F142" s="20"/>
      <c r="G142" s="19"/>
      <c r="H142" s="19"/>
      <c r="I142" s="20"/>
      <c r="J142" s="19"/>
      <c r="K142" s="19"/>
      <c r="L142" s="19"/>
    </row>
    <row r="143" spans="1:12" ht="14.45">
      <c r="A143" s="19"/>
      <c r="B143" s="31"/>
      <c r="C143" s="19"/>
      <c r="D143" s="19"/>
      <c r="E143" s="19"/>
      <c r="F143" s="20"/>
      <c r="G143" s="19"/>
      <c r="H143" s="19"/>
      <c r="I143" s="20"/>
      <c r="J143" s="19"/>
      <c r="K143" s="19"/>
      <c r="L143" s="19"/>
    </row>
    <row r="144" spans="1:12" ht="14.45">
      <c r="A144" s="19"/>
      <c r="B144" s="31"/>
      <c r="C144" s="19"/>
      <c r="D144" s="19"/>
      <c r="E144" s="19"/>
      <c r="F144" s="20"/>
      <c r="G144" s="19"/>
      <c r="H144" s="19"/>
      <c r="I144" s="20"/>
      <c r="J144" s="19"/>
      <c r="K144" s="19"/>
      <c r="L144" s="19"/>
    </row>
    <row r="145" spans="1:12" ht="14.45">
      <c r="A145" s="19"/>
      <c r="B145" s="31"/>
      <c r="C145" s="19"/>
      <c r="D145" s="19"/>
      <c r="E145" s="19"/>
      <c r="F145" s="20"/>
      <c r="G145" s="19"/>
      <c r="H145" s="19"/>
      <c r="I145" s="20"/>
      <c r="J145" s="19"/>
      <c r="K145" s="19"/>
      <c r="L145" s="19"/>
    </row>
    <row r="146" spans="1:12" ht="14.45">
      <c r="A146" s="19"/>
      <c r="B146" s="31"/>
      <c r="C146" s="19"/>
      <c r="D146" s="19"/>
      <c r="E146" s="19"/>
      <c r="F146" s="20"/>
      <c r="G146" s="19"/>
      <c r="H146" s="19"/>
      <c r="I146" s="20"/>
      <c r="J146" s="19"/>
      <c r="K146" s="19"/>
      <c r="L146" s="19"/>
    </row>
    <row r="147" spans="1:12" ht="14.45">
      <c r="A147" s="19"/>
      <c r="B147" s="31"/>
      <c r="C147" s="19"/>
      <c r="D147" s="19"/>
      <c r="E147" s="19"/>
      <c r="F147" s="20"/>
      <c r="G147" s="19"/>
      <c r="H147" s="19"/>
      <c r="I147" s="20"/>
      <c r="J147" s="19"/>
      <c r="K147" s="19"/>
      <c r="L147" s="19"/>
    </row>
    <row r="148" spans="1:12" ht="14.45">
      <c r="A148" s="19"/>
      <c r="B148" s="31"/>
      <c r="C148" s="19"/>
      <c r="D148" s="19"/>
      <c r="E148" s="19"/>
      <c r="F148" s="20"/>
      <c r="G148" s="19"/>
      <c r="H148" s="19"/>
      <c r="I148" s="20"/>
      <c r="J148" s="19"/>
      <c r="K148" s="19"/>
      <c r="L148" s="19"/>
    </row>
    <row r="149" spans="1:12" ht="14.45">
      <c r="A149" s="19"/>
      <c r="B149" s="31"/>
      <c r="C149" s="19"/>
      <c r="D149" s="19"/>
      <c r="E149" s="19"/>
      <c r="F149" s="20"/>
      <c r="G149" s="19"/>
      <c r="H149" s="19"/>
      <c r="I149" s="20"/>
      <c r="J149" s="19"/>
      <c r="K149" s="19"/>
      <c r="L149" s="19"/>
    </row>
    <row r="150" spans="1:12" ht="14.45">
      <c r="A150" s="19"/>
      <c r="B150" s="31"/>
      <c r="C150" s="19"/>
      <c r="D150" s="19"/>
      <c r="E150" s="19"/>
      <c r="F150" s="20"/>
      <c r="G150" s="19"/>
      <c r="H150" s="19"/>
      <c r="I150" s="20"/>
      <c r="J150" s="19"/>
      <c r="K150" s="19"/>
      <c r="L150" s="19"/>
    </row>
    <row r="151" spans="1:12" ht="14.45">
      <c r="A151" s="19"/>
      <c r="B151" s="31"/>
      <c r="C151" s="19"/>
      <c r="D151" s="19"/>
      <c r="E151" s="19"/>
      <c r="F151" s="20"/>
      <c r="G151" s="19"/>
      <c r="H151" s="19"/>
      <c r="I151" s="20"/>
      <c r="J151" s="19"/>
      <c r="K151" s="19"/>
      <c r="L151" s="19"/>
    </row>
    <row r="152" spans="1:12" ht="14.45">
      <c r="A152" s="19"/>
      <c r="B152" s="31"/>
      <c r="C152" s="19"/>
      <c r="D152" s="19"/>
      <c r="E152" s="19"/>
      <c r="F152" s="20"/>
      <c r="G152" s="19"/>
      <c r="H152" s="19"/>
      <c r="I152" s="20"/>
      <c r="J152" s="19"/>
      <c r="K152" s="19"/>
      <c r="L152" s="19"/>
    </row>
    <row r="153" spans="1:12" ht="14.45">
      <c r="A153" s="19"/>
      <c r="B153" s="31"/>
      <c r="C153" s="19"/>
      <c r="D153" s="19"/>
      <c r="E153" s="19"/>
      <c r="F153" s="20"/>
      <c r="G153" s="19"/>
      <c r="H153" s="19"/>
      <c r="I153" s="20"/>
      <c r="J153" s="19"/>
      <c r="K153" s="19"/>
      <c r="L153" s="19"/>
    </row>
    <row r="154" spans="1:12" ht="14.45">
      <c r="A154" s="19"/>
      <c r="B154" s="31"/>
      <c r="C154" s="19"/>
      <c r="D154" s="19"/>
      <c r="E154" s="19"/>
      <c r="F154" s="20"/>
      <c r="G154" s="19"/>
      <c r="H154" s="19"/>
      <c r="I154" s="20"/>
      <c r="J154" s="19"/>
      <c r="K154" s="19"/>
      <c r="L154" s="19"/>
    </row>
    <row r="155" spans="1:12" ht="14.45">
      <c r="A155" s="19"/>
      <c r="B155" s="31"/>
      <c r="C155" s="19"/>
      <c r="D155" s="19"/>
      <c r="E155" s="19"/>
      <c r="F155" s="20"/>
      <c r="G155" s="19"/>
      <c r="H155" s="19"/>
      <c r="I155" s="20"/>
      <c r="J155" s="19"/>
      <c r="K155" s="19"/>
      <c r="L155" s="19"/>
    </row>
    <row r="156" spans="1:12" ht="14.45">
      <c r="A156" s="19"/>
      <c r="B156" s="31"/>
      <c r="C156" s="19"/>
      <c r="D156" s="19"/>
      <c r="E156" s="19"/>
      <c r="F156" s="20"/>
      <c r="G156" s="19"/>
      <c r="H156" s="19"/>
      <c r="I156" s="20"/>
      <c r="J156" s="19"/>
      <c r="K156" s="19"/>
      <c r="L156" s="19"/>
    </row>
    <row r="157" spans="1:12" ht="14.45">
      <c r="A157" s="19"/>
      <c r="B157" s="31"/>
      <c r="C157" s="19"/>
      <c r="D157" s="19"/>
      <c r="E157" s="19"/>
      <c r="F157" s="20"/>
      <c r="G157" s="19"/>
      <c r="H157" s="19"/>
      <c r="I157" s="20"/>
      <c r="J157" s="19"/>
      <c r="K157" s="19"/>
      <c r="L157" s="19"/>
    </row>
    <row r="158" spans="1:12" ht="14.45">
      <c r="A158" s="19"/>
      <c r="B158" s="31"/>
      <c r="C158" s="19"/>
      <c r="D158" s="19"/>
      <c r="E158" s="19"/>
      <c r="F158" s="20"/>
      <c r="G158" s="19"/>
      <c r="H158" s="19"/>
      <c r="I158" s="20"/>
      <c r="J158" s="19"/>
      <c r="K158" s="19"/>
      <c r="L158" s="19"/>
    </row>
    <row r="159" spans="1:12" ht="14.45">
      <c r="A159" s="19"/>
      <c r="B159" s="31"/>
      <c r="C159" s="19"/>
      <c r="D159" s="19"/>
      <c r="E159" s="19"/>
      <c r="F159" s="20"/>
      <c r="G159" s="19"/>
      <c r="H159" s="19"/>
      <c r="I159" s="20"/>
      <c r="J159" s="19"/>
      <c r="K159" s="19"/>
      <c r="L159" s="19"/>
    </row>
    <row r="160" spans="1:12" ht="14.45">
      <c r="A160" s="19"/>
      <c r="B160" s="31"/>
      <c r="C160" s="19"/>
      <c r="D160" s="19"/>
      <c r="E160" s="19"/>
      <c r="F160" s="20"/>
      <c r="G160" s="19"/>
      <c r="H160" s="19"/>
      <c r="I160" s="20"/>
      <c r="J160" s="19"/>
      <c r="K160" s="19"/>
      <c r="L160" s="19"/>
    </row>
    <row r="161" spans="1:12" ht="14.45">
      <c r="A161" s="19"/>
      <c r="B161" s="31"/>
      <c r="C161" s="19"/>
      <c r="D161" s="19"/>
      <c r="E161" s="19"/>
      <c r="F161" s="20"/>
      <c r="G161" s="19"/>
      <c r="H161" s="19"/>
      <c r="I161" s="20"/>
      <c r="J161" s="19"/>
      <c r="K161" s="19"/>
      <c r="L161" s="19"/>
    </row>
    <row r="162" spans="1:12" ht="14.45">
      <c r="A162" s="19"/>
      <c r="B162" s="31"/>
      <c r="C162" s="19"/>
      <c r="D162" s="19"/>
      <c r="E162" s="19"/>
      <c r="F162" s="20"/>
      <c r="G162" s="19"/>
      <c r="H162" s="19"/>
      <c r="I162" s="20"/>
      <c r="J162" s="19"/>
      <c r="K162" s="19"/>
      <c r="L162" s="19"/>
    </row>
    <row r="163" spans="1:12" ht="14.45">
      <c r="A163" s="19"/>
      <c r="B163" s="31"/>
      <c r="C163" s="19"/>
      <c r="D163" s="19"/>
      <c r="E163" s="19"/>
      <c r="F163" s="20"/>
      <c r="G163" s="19"/>
      <c r="H163" s="19"/>
      <c r="I163" s="20"/>
      <c r="J163" s="19"/>
      <c r="K163" s="19"/>
      <c r="L163" s="19"/>
    </row>
    <row r="164" spans="1:12" ht="14.45">
      <c r="A164" s="19"/>
      <c r="B164" s="31"/>
      <c r="C164" s="19"/>
      <c r="D164" s="19"/>
      <c r="E164" s="19"/>
      <c r="F164" s="20"/>
      <c r="G164" s="19"/>
      <c r="H164" s="19"/>
      <c r="I164" s="20"/>
      <c r="J164" s="19"/>
      <c r="K164" s="19"/>
      <c r="L164" s="19"/>
    </row>
    <row r="165" spans="1:12" ht="14.45">
      <c r="A165" s="19"/>
      <c r="B165" s="31"/>
      <c r="C165" s="19"/>
      <c r="D165" s="19"/>
      <c r="E165" s="19"/>
      <c r="F165" s="20"/>
      <c r="G165" s="19"/>
      <c r="H165" s="19"/>
      <c r="I165" s="20"/>
      <c r="J165" s="19"/>
      <c r="K165" s="19"/>
      <c r="L165" s="19"/>
    </row>
    <row r="166" spans="1:12" ht="14.45">
      <c r="A166" s="19"/>
      <c r="B166" s="31"/>
      <c r="C166" s="19"/>
      <c r="D166" s="19"/>
      <c r="E166" s="19"/>
      <c r="F166" s="20"/>
      <c r="G166" s="19"/>
      <c r="H166" s="19"/>
      <c r="I166" s="20"/>
      <c r="J166" s="19"/>
      <c r="K166" s="19"/>
      <c r="L166" s="19"/>
    </row>
    <row r="167" spans="1:12" ht="14.45">
      <c r="A167" s="19"/>
      <c r="B167" s="31"/>
      <c r="C167" s="19"/>
      <c r="D167" s="19"/>
      <c r="E167" s="19"/>
      <c r="F167" s="20"/>
      <c r="G167" s="19"/>
      <c r="H167" s="19"/>
      <c r="I167" s="20"/>
      <c r="J167" s="19"/>
      <c r="K167" s="19"/>
      <c r="L167" s="19"/>
    </row>
    <row r="168" spans="1:12" ht="14.45">
      <c r="A168" s="19"/>
      <c r="B168" s="31"/>
      <c r="C168" s="19"/>
      <c r="D168" s="19"/>
      <c r="E168" s="19"/>
      <c r="F168" s="20"/>
      <c r="G168" s="19"/>
      <c r="H168" s="19"/>
      <c r="I168" s="20"/>
      <c r="J168" s="19"/>
      <c r="K168" s="19"/>
      <c r="L168" s="19"/>
    </row>
    <row r="169" spans="1:12" ht="14.45">
      <c r="A169" s="19"/>
      <c r="B169" s="31"/>
      <c r="C169" s="19"/>
      <c r="D169" s="19"/>
      <c r="E169" s="19"/>
      <c r="F169" s="20"/>
      <c r="G169" s="19"/>
      <c r="H169" s="19"/>
      <c r="I169" s="20"/>
      <c r="J169" s="19"/>
      <c r="K169" s="19"/>
      <c r="L169" s="19"/>
    </row>
    <row r="170" spans="1:12" ht="14.45">
      <c r="A170" s="19"/>
      <c r="B170" s="31"/>
      <c r="C170" s="19"/>
      <c r="D170" s="19"/>
      <c r="E170" s="19"/>
      <c r="F170" s="20"/>
      <c r="G170" s="19"/>
      <c r="H170" s="19"/>
      <c r="I170" s="20"/>
      <c r="J170" s="19"/>
      <c r="K170" s="19"/>
      <c r="L170" s="19"/>
    </row>
    <row r="171" spans="1:12" ht="14.45">
      <c r="A171" s="19"/>
      <c r="B171" s="31"/>
      <c r="C171" s="19"/>
      <c r="D171" s="19"/>
      <c r="E171" s="19"/>
      <c r="F171" s="20"/>
      <c r="G171" s="19"/>
      <c r="H171" s="19"/>
      <c r="I171" s="20"/>
      <c r="J171" s="19"/>
      <c r="K171" s="19"/>
      <c r="L171" s="19"/>
    </row>
    <row r="172" spans="1:12" ht="14.45">
      <c r="A172" s="19"/>
      <c r="B172" s="31"/>
      <c r="C172" s="19"/>
      <c r="D172" s="19"/>
      <c r="E172" s="19"/>
      <c r="F172" s="20"/>
      <c r="G172" s="19"/>
      <c r="H172" s="19"/>
      <c r="I172" s="20"/>
      <c r="J172" s="19"/>
      <c r="K172" s="19"/>
      <c r="L172" s="19"/>
    </row>
    <row r="173" spans="1:12" ht="14.45">
      <c r="A173" s="19"/>
      <c r="B173" s="31"/>
      <c r="C173" s="19"/>
      <c r="D173" s="19"/>
      <c r="E173" s="19"/>
      <c r="F173" s="20"/>
      <c r="G173" s="19"/>
      <c r="H173" s="19"/>
      <c r="I173" s="20"/>
      <c r="J173" s="19"/>
      <c r="K173" s="19"/>
      <c r="L173" s="19"/>
    </row>
    <row r="174" spans="1:12" ht="14.45">
      <c r="A174" s="19"/>
      <c r="B174" s="31"/>
      <c r="C174" s="19"/>
      <c r="D174" s="19"/>
      <c r="E174" s="19"/>
      <c r="F174" s="20"/>
      <c r="G174" s="19"/>
      <c r="H174" s="19"/>
      <c r="I174" s="20"/>
      <c r="J174" s="19"/>
      <c r="K174" s="19"/>
      <c r="L174" s="19"/>
    </row>
    <row r="175" spans="1:12" ht="14.45">
      <c r="A175" s="19"/>
      <c r="B175" s="31"/>
      <c r="C175" s="19"/>
      <c r="D175" s="19"/>
      <c r="E175" s="19"/>
      <c r="F175" s="20"/>
      <c r="G175" s="19"/>
      <c r="H175" s="19"/>
      <c r="I175" s="20"/>
      <c r="J175" s="19"/>
      <c r="K175" s="19"/>
      <c r="L175" s="19"/>
    </row>
    <row r="176" spans="1:12" ht="14.45">
      <c r="A176" s="19"/>
      <c r="B176" s="31"/>
      <c r="C176" s="19"/>
      <c r="D176" s="19"/>
      <c r="E176" s="19"/>
      <c r="F176" s="20"/>
      <c r="G176" s="19"/>
      <c r="H176" s="19"/>
      <c r="I176" s="20"/>
      <c r="J176" s="19"/>
      <c r="K176" s="19"/>
      <c r="L176" s="19"/>
    </row>
    <row r="177" spans="1:12" ht="14.45">
      <c r="A177" s="19"/>
      <c r="B177" s="31"/>
      <c r="C177" s="19"/>
      <c r="D177" s="19"/>
      <c r="E177" s="19"/>
      <c r="F177" s="20"/>
      <c r="G177" s="19"/>
      <c r="H177" s="19"/>
      <c r="I177" s="20"/>
      <c r="J177" s="19"/>
      <c r="K177" s="19"/>
      <c r="L177" s="19"/>
    </row>
    <row r="178" spans="1:12" ht="14.45">
      <c r="A178" s="19"/>
      <c r="B178" s="31"/>
      <c r="C178" s="19"/>
      <c r="D178" s="19"/>
      <c r="E178" s="19"/>
      <c r="F178" s="20"/>
      <c r="G178" s="19"/>
      <c r="H178" s="19"/>
      <c r="I178" s="20"/>
      <c r="J178" s="19"/>
      <c r="K178" s="19"/>
      <c r="L178" s="19"/>
    </row>
    <row r="179" spans="1:12" ht="14.45">
      <c r="A179" s="19"/>
      <c r="B179" s="31"/>
      <c r="C179" s="19"/>
      <c r="D179" s="19"/>
      <c r="E179" s="19"/>
      <c r="F179" s="20"/>
      <c r="G179" s="19"/>
      <c r="H179" s="19"/>
      <c r="I179" s="20"/>
      <c r="J179" s="19"/>
      <c r="K179" s="19"/>
      <c r="L179" s="19"/>
    </row>
    <row r="180" spans="1:12" ht="14.45">
      <c r="A180" s="19"/>
      <c r="B180" s="31"/>
      <c r="C180" s="19"/>
      <c r="D180" s="19"/>
      <c r="E180" s="19"/>
      <c r="F180" s="20"/>
      <c r="G180" s="19"/>
      <c r="H180" s="19"/>
      <c r="I180" s="20"/>
      <c r="J180" s="19"/>
      <c r="K180" s="19"/>
      <c r="L180" s="19"/>
    </row>
    <row r="181" spans="1:12" ht="14.45">
      <c r="A181" s="19"/>
      <c r="B181" s="31"/>
      <c r="C181" s="19"/>
      <c r="D181" s="19"/>
      <c r="E181" s="19"/>
      <c r="F181" s="20"/>
      <c r="G181" s="19"/>
      <c r="H181" s="19"/>
      <c r="I181" s="20"/>
      <c r="J181" s="19"/>
      <c r="K181" s="19"/>
      <c r="L181" s="19"/>
    </row>
    <row r="182" spans="1:12" ht="14.45">
      <c r="A182" s="19"/>
      <c r="B182" s="31"/>
      <c r="C182" s="19"/>
      <c r="D182" s="19"/>
      <c r="E182" s="19"/>
      <c r="F182" s="20"/>
      <c r="G182" s="19"/>
      <c r="H182" s="19"/>
      <c r="I182" s="20"/>
      <c r="J182" s="19"/>
      <c r="K182" s="19"/>
      <c r="L182" s="19"/>
    </row>
    <row r="183" spans="1:12" ht="14.45">
      <c r="A183" s="19"/>
      <c r="B183" s="31"/>
      <c r="C183" s="19"/>
      <c r="D183" s="19"/>
      <c r="E183" s="19"/>
      <c r="F183" s="20"/>
      <c r="G183" s="19"/>
      <c r="H183" s="19"/>
      <c r="I183" s="20"/>
      <c r="J183" s="19"/>
      <c r="K183" s="19"/>
      <c r="L183" s="19"/>
    </row>
    <row r="184" spans="1:12" ht="14.45">
      <c r="A184" s="19"/>
      <c r="B184" s="31"/>
      <c r="C184" s="19"/>
      <c r="D184" s="19"/>
      <c r="E184" s="19"/>
      <c r="F184" s="20"/>
      <c r="G184" s="19"/>
      <c r="H184" s="19"/>
      <c r="I184" s="20"/>
      <c r="J184" s="19"/>
      <c r="K184" s="19"/>
      <c r="L184" s="19"/>
    </row>
    <row r="185" spans="1:12" ht="14.45">
      <c r="A185" s="19"/>
      <c r="B185" s="31"/>
      <c r="C185" s="19"/>
      <c r="D185" s="19"/>
      <c r="E185" s="19"/>
      <c r="F185" s="20"/>
      <c r="G185" s="19"/>
      <c r="H185" s="19"/>
      <c r="I185" s="20"/>
      <c r="J185" s="19"/>
      <c r="K185" s="19"/>
      <c r="L185" s="19"/>
    </row>
    <row r="186" spans="1:12" ht="14.45">
      <c r="A186" s="19"/>
      <c r="B186" s="31"/>
      <c r="C186" s="19"/>
      <c r="D186" s="19"/>
      <c r="E186" s="19"/>
      <c r="F186" s="20"/>
      <c r="G186" s="19"/>
      <c r="H186" s="19"/>
      <c r="I186" s="20"/>
      <c r="J186" s="19"/>
      <c r="K186" s="19"/>
      <c r="L186" s="19"/>
    </row>
    <row r="187" spans="1:12" ht="14.45">
      <c r="A187" s="19"/>
      <c r="B187" s="31"/>
      <c r="C187" s="19"/>
      <c r="D187" s="19"/>
      <c r="E187" s="19"/>
      <c r="F187" s="20"/>
      <c r="G187" s="19"/>
      <c r="H187" s="19"/>
      <c r="I187" s="20"/>
      <c r="J187" s="19"/>
      <c r="K187" s="19"/>
      <c r="L187" s="19"/>
    </row>
    <row r="188" spans="1:12" ht="14.45">
      <c r="A188" s="19"/>
      <c r="B188" s="31"/>
      <c r="C188" s="19"/>
      <c r="D188" s="19"/>
      <c r="E188" s="19"/>
      <c r="F188" s="20"/>
      <c r="G188" s="19"/>
      <c r="H188" s="19"/>
      <c r="I188" s="20"/>
      <c r="J188" s="19"/>
      <c r="K188" s="19"/>
      <c r="L188" s="19"/>
    </row>
    <row r="189" spans="1:12" ht="14.45">
      <c r="A189" s="19"/>
      <c r="B189" s="31"/>
      <c r="C189" s="19"/>
      <c r="D189" s="19"/>
      <c r="E189" s="19"/>
      <c r="F189" s="20"/>
      <c r="G189" s="19"/>
      <c r="H189" s="19"/>
      <c r="I189" s="20"/>
      <c r="J189" s="19"/>
      <c r="K189" s="19"/>
      <c r="L189" s="19"/>
    </row>
    <row r="190" spans="1:12" ht="14.45">
      <c r="A190" s="19"/>
      <c r="B190" s="31"/>
      <c r="C190" s="19"/>
      <c r="D190" s="19"/>
      <c r="E190" s="19"/>
      <c r="F190" s="20"/>
      <c r="G190" s="19"/>
      <c r="H190" s="19"/>
      <c r="I190" s="20"/>
      <c r="J190" s="19"/>
      <c r="K190" s="19"/>
      <c r="L190" s="19"/>
    </row>
    <row r="191" spans="1:12" ht="14.45">
      <c r="A191" s="19"/>
      <c r="B191" s="31"/>
      <c r="C191" s="19"/>
      <c r="D191" s="19"/>
      <c r="E191" s="19"/>
      <c r="F191" s="20"/>
      <c r="G191" s="19"/>
      <c r="H191" s="19"/>
      <c r="I191" s="20"/>
      <c r="J191" s="19"/>
      <c r="K191" s="19"/>
      <c r="L191" s="19"/>
    </row>
    <row r="192" spans="1:12" ht="14.45">
      <c r="A192" s="19"/>
      <c r="B192" s="31"/>
      <c r="C192" s="19"/>
      <c r="D192" s="19"/>
      <c r="E192" s="19"/>
      <c r="F192" s="20"/>
      <c r="G192" s="19"/>
      <c r="H192" s="19"/>
      <c r="I192" s="20"/>
      <c r="J192" s="19"/>
      <c r="K192" s="19"/>
      <c r="L192" s="19"/>
    </row>
    <row r="193" spans="1:12" ht="14.45">
      <c r="A193" s="19"/>
      <c r="B193" s="31"/>
      <c r="C193" s="19"/>
      <c r="D193" s="19"/>
      <c r="E193" s="19"/>
      <c r="F193" s="20"/>
      <c r="G193" s="19"/>
      <c r="H193" s="19"/>
      <c r="I193" s="20"/>
      <c r="J193" s="19"/>
      <c r="K193" s="19"/>
      <c r="L193" s="19"/>
    </row>
    <row r="194" spans="1:12" ht="14.45">
      <c r="A194" s="19"/>
      <c r="B194" s="31"/>
      <c r="C194" s="19"/>
      <c r="D194" s="19"/>
      <c r="E194" s="19"/>
      <c r="F194" s="20"/>
      <c r="G194" s="19"/>
      <c r="H194" s="19"/>
      <c r="I194" s="20"/>
      <c r="J194" s="19"/>
      <c r="K194" s="19"/>
      <c r="L194" s="19"/>
    </row>
    <row r="195" spans="1:12" ht="14.45">
      <c r="A195" s="19"/>
      <c r="B195" s="31"/>
      <c r="C195" s="19"/>
      <c r="D195" s="19"/>
      <c r="E195" s="19"/>
      <c r="F195" s="20"/>
      <c r="G195" s="19"/>
      <c r="H195" s="19"/>
      <c r="I195" s="20"/>
      <c r="J195" s="19"/>
      <c r="K195" s="19"/>
      <c r="L195" s="19"/>
    </row>
    <row r="196" spans="1:12" ht="14.45">
      <c r="A196" s="19"/>
      <c r="B196" s="31"/>
      <c r="C196" s="19"/>
      <c r="D196" s="19"/>
      <c r="E196" s="19"/>
      <c r="F196" s="20"/>
      <c r="G196" s="19"/>
      <c r="H196" s="19"/>
      <c r="I196" s="20"/>
      <c r="J196" s="19"/>
      <c r="K196" s="19"/>
      <c r="L196" s="19"/>
    </row>
    <row r="197" spans="1:12" ht="14.45">
      <c r="A197" s="19"/>
      <c r="B197" s="31"/>
      <c r="C197" s="19"/>
      <c r="D197" s="19"/>
      <c r="E197" s="19"/>
      <c r="F197" s="20"/>
      <c r="G197" s="19"/>
      <c r="H197" s="19"/>
      <c r="I197" s="20"/>
      <c r="J197" s="19"/>
      <c r="K197" s="19"/>
      <c r="L197" s="19"/>
    </row>
    <row r="198" spans="1:12" ht="14.45">
      <c r="A198" s="19"/>
      <c r="B198" s="31"/>
      <c r="C198" s="19"/>
      <c r="D198" s="19"/>
      <c r="E198" s="19"/>
      <c r="F198" s="20"/>
      <c r="G198" s="19"/>
      <c r="H198" s="19"/>
      <c r="I198" s="20"/>
      <c r="J198" s="19"/>
      <c r="K198" s="19"/>
      <c r="L198" s="19"/>
    </row>
    <row r="199" spans="1:12" ht="14.45">
      <c r="A199" s="19"/>
      <c r="B199" s="31"/>
      <c r="C199" s="19"/>
      <c r="D199" s="19"/>
      <c r="E199" s="19"/>
      <c r="F199" s="20"/>
      <c r="G199" s="19"/>
      <c r="H199" s="19"/>
      <c r="I199" s="20"/>
      <c r="J199" s="19"/>
      <c r="K199" s="19"/>
      <c r="L199" s="19"/>
    </row>
    <row r="200" spans="1:12" ht="14.45">
      <c r="A200" s="19"/>
      <c r="B200" s="31"/>
      <c r="C200" s="19"/>
      <c r="D200" s="19"/>
      <c r="E200" s="19"/>
      <c r="F200" s="20"/>
      <c r="G200" s="19"/>
      <c r="H200" s="19"/>
      <c r="I200" s="20"/>
      <c r="J200" s="19"/>
      <c r="K200" s="19"/>
      <c r="L200" s="19"/>
    </row>
    <row r="201" spans="1:12" ht="14.45">
      <c r="A201" s="19"/>
      <c r="B201" s="31"/>
      <c r="C201" s="19"/>
      <c r="D201" s="19"/>
      <c r="E201" s="19"/>
      <c r="F201" s="20"/>
      <c r="G201" s="19"/>
      <c r="H201" s="19"/>
      <c r="I201" s="20"/>
      <c r="J201" s="19"/>
      <c r="K201" s="19"/>
      <c r="L201" s="19"/>
    </row>
    <row r="202" spans="1:12" ht="14.45">
      <c r="A202" s="19"/>
      <c r="B202" s="31"/>
      <c r="C202" s="19"/>
      <c r="D202" s="19"/>
      <c r="E202" s="19"/>
      <c r="F202" s="20"/>
      <c r="G202" s="19"/>
      <c r="H202" s="19"/>
      <c r="I202" s="20"/>
      <c r="J202" s="19"/>
      <c r="K202" s="19"/>
      <c r="L202" s="19"/>
    </row>
    <row r="203" spans="1:12" ht="14.45">
      <c r="A203" s="19"/>
      <c r="B203" s="31"/>
      <c r="C203" s="19"/>
      <c r="D203" s="19"/>
      <c r="E203" s="19"/>
      <c r="F203" s="20"/>
      <c r="G203" s="19"/>
      <c r="H203" s="19"/>
      <c r="I203" s="20"/>
      <c r="J203" s="19"/>
      <c r="K203" s="19"/>
      <c r="L203" s="19"/>
    </row>
    <row r="204" spans="1:12" ht="14.45">
      <c r="A204" s="19"/>
      <c r="B204" s="31"/>
      <c r="C204" s="19"/>
      <c r="D204" s="19"/>
      <c r="E204" s="19"/>
      <c r="F204" s="20"/>
      <c r="G204" s="19"/>
      <c r="H204" s="19"/>
      <c r="I204" s="20"/>
      <c r="J204" s="19"/>
      <c r="K204" s="19"/>
      <c r="L204" s="19"/>
    </row>
    <row r="205" spans="1:12" ht="14.45">
      <c r="A205" s="19"/>
      <c r="B205" s="31"/>
      <c r="C205" s="19"/>
      <c r="D205" s="19"/>
      <c r="E205" s="19"/>
      <c r="F205" s="20"/>
      <c r="G205" s="19"/>
      <c r="H205" s="19"/>
      <c r="I205" s="20"/>
      <c r="J205" s="19"/>
      <c r="K205" s="19"/>
      <c r="L205" s="19"/>
    </row>
    <row r="206" spans="1:12" ht="14.45">
      <c r="A206" s="19"/>
      <c r="B206" s="31"/>
      <c r="C206" s="19"/>
      <c r="D206" s="19"/>
      <c r="E206" s="19"/>
      <c r="F206" s="20"/>
      <c r="G206" s="19"/>
      <c r="H206" s="19"/>
      <c r="I206" s="20"/>
      <c r="J206" s="19"/>
      <c r="K206" s="19"/>
      <c r="L206" s="19"/>
    </row>
    <row r="207" spans="1:12" ht="14.45">
      <c r="A207" s="19"/>
      <c r="B207" s="31"/>
      <c r="C207" s="19"/>
      <c r="D207" s="19"/>
      <c r="E207" s="19"/>
      <c r="F207" s="20"/>
      <c r="G207" s="19"/>
      <c r="H207" s="19"/>
      <c r="I207" s="20"/>
      <c r="J207" s="19"/>
      <c r="K207" s="19"/>
      <c r="L207" s="19"/>
    </row>
    <row r="208" spans="1:12" ht="14.45">
      <c r="A208" s="19"/>
      <c r="B208" s="31"/>
      <c r="C208" s="19"/>
      <c r="D208" s="19"/>
      <c r="E208" s="19"/>
      <c r="F208" s="20"/>
      <c r="G208" s="19"/>
      <c r="H208" s="19"/>
      <c r="I208" s="20"/>
      <c r="J208" s="19"/>
      <c r="K208" s="19"/>
      <c r="L208" s="19"/>
    </row>
    <row r="209" spans="1:12" ht="14.45">
      <c r="A209" s="19"/>
      <c r="B209" s="31"/>
      <c r="C209" s="19"/>
      <c r="D209" s="19"/>
      <c r="E209" s="19"/>
      <c r="F209" s="20"/>
      <c r="G209" s="19"/>
      <c r="H209" s="19"/>
      <c r="I209" s="20"/>
      <c r="J209" s="19"/>
      <c r="K209" s="19"/>
      <c r="L209" s="19"/>
    </row>
    <row r="210" spans="1:12" ht="14.45">
      <c r="A210" s="19"/>
      <c r="B210" s="31"/>
      <c r="C210" s="19"/>
      <c r="D210" s="19"/>
      <c r="E210" s="19"/>
      <c r="F210" s="20"/>
      <c r="G210" s="19"/>
      <c r="H210" s="19"/>
      <c r="I210" s="20"/>
      <c r="J210" s="19"/>
      <c r="K210" s="19"/>
      <c r="L210" s="19"/>
    </row>
    <row r="211" spans="1:12" ht="14.45">
      <c r="A211" s="19"/>
      <c r="B211" s="31"/>
      <c r="C211" s="19"/>
      <c r="D211" s="19"/>
      <c r="E211" s="19"/>
      <c r="F211" s="20"/>
      <c r="G211" s="19"/>
      <c r="H211" s="19"/>
      <c r="I211" s="20"/>
      <c r="J211" s="19"/>
      <c r="K211" s="19"/>
      <c r="L211" s="19"/>
    </row>
    <row r="212" spans="1:12" ht="14.45">
      <c r="A212" s="19"/>
      <c r="B212" s="31"/>
      <c r="C212" s="19"/>
      <c r="D212" s="19"/>
      <c r="E212" s="19"/>
      <c r="F212" s="20"/>
      <c r="G212" s="19"/>
      <c r="H212" s="19"/>
      <c r="I212" s="20"/>
      <c r="J212" s="19"/>
      <c r="K212" s="19"/>
      <c r="L212" s="19"/>
    </row>
    <row r="213" spans="1:12" ht="14.45">
      <c r="A213" s="19"/>
      <c r="B213" s="31"/>
      <c r="C213" s="19"/>
      <c r="D213" s="19"/>
      <c r="E213" s="19"/>
      <c r="F213" s="20"/>
      <c r="G213" s="19"/>
      <c r="H213" s="19"/>
      <c r="I213" s="20"/>
      <c r="J213" s="19"/>
      <c r="K213" s="19"/>
      <c r="L213" s="19"/>
    </row>
    <row r="214" spans="1:12" ht="14.45">
      <c r="A214" s="19"/>
      <c r="B214" s="31"/>
      <c r="C214" s="19"/>
      <c r="D214" s="19"/>
      <c r="E214" s="19"/>
      <c r="F214" s="20"/>
      <c r="G214" s="19"/>
      <c r="H214" s="19"/>
      <c r="I214" s="20"/>
      <c r="J214" s="19"/>
      <c r="K214" s="19"/>
      <c r="L214" s="19"/>
    </row>
    <row r="215" spans="1:12" ht="14.45">
      <c r="A215" s="19"/>
      <c r="B215" s="31"/>
      <c r="C215" s="19"/>
      <c r="D215" s="19"/>
      <c r="E215" s="19"/>
      <c r="F215" s="20"/>
      <c r="G215" s="19"/>
      <c r="H215" s="19"/>
      <c r="I215" s="20"/>
      <c r="J215" s="19"/>
      <c r="K215" s="19"/>
      <c r="L215" s="19"/>
    </row>
    <row r="216" spans="1:12" ht="14.45">
      <c r="A216" s="19"/>
      <c r="B216" s="31"/>
      <c r="C216" s="19"/>
      <c r="D216" s="19"/>
      <c r="E216" s="19"/>
      <c r="F216" s="20"/>
      <c r="G216" s="19"/>
      <c r="H216" s="19"/>
      <c r="I216" s="20"/>
      <c r="J216" s="19"/>
      <c r="K216" s="19"/>
      <c r="L216" s="19"/>
    </row>
    <row r="217" spans="1:12" ht="14.45">
      <c r="A217" s="19"/>
      <c r="B217" s="31"/>
      <c r="C217" s="19"/>
      <c r="D217" s="19"/>
      <c r="E217" s="19"/>
      <c r="F217" s="20"/>
      <c r="G217" s="19"/>
      <c r="H217" s="19"/>
      <c r="I217" s="20"/>
      <c r="J217" s="19"/>
      <c r="K217" s="19"/>
      <c r="L217" s="19"/>
    </row>
    <row r="218" spans="1:12" ht="14.45">
      <c r="A218" s="19"/>
      <c r="B218" s="31"/>
      <c r="C218" s="19"/>
      <c r="D218" s="19"/>
      <c r="E218" s="19"/>
      <c r="F218" s="20"/>
      <c r="G218" s="19"/>
      <c r="H218" s="19"/>
      <c r="I218" s="20"/>
      <c r="J218" s="19"/>
      <c r="K218" s="19"/>
      <c r="L218" s="19"/>
    </row>
    <row r="219" spans="1:12" ht="14.45">
      <c r="A219" s="19"/>
      <c r="B219" s="31"/>
      <c r="C219" s="19"/>
      <c r="D219" s="19"/>
      <c r="E219" s="19"/>
      <c r="F219" s="20"/>
      <c r="G219" s="19"/>
      <c r="H219" s="19"/>
      <c r="I219" s="20"/>
      <c r="J219" s="19"/>
      <c r="K219" s="19"/>
      <c r="L219" s="19"/>
    </row>
    <row r="220" spans="1:12" ht="14.45">
      <c r="A220" s="19"/>
      <c r="B220" s="31"/>
      <c r="C220" s="19"/>
      <c r="D220" s="19"/>
      <c r="E220" s="19"/>
      <c r="F220" s="20"/>
      <c r="G220" s="19"/>
      <c r="H220" s="19"/>
      <c r="I220" s="20"/>
      <c r="J220" s="19"/>
      <c r="K220" s="19"/>
      <c r="L220" s="19"/>
    </row>
    <row r="221" spans="1:12" ht="14.45">
      <c r="A221" s="19"/>
      <c r="B221" s="31"/>
      <c r="C221" s="19"/>
      <c r="D221" s="19"/>
      <c r="E221" s="19"/>
      <c r="F221" s="20"/>
      <c r="G221" s="19"/>
      <c r="H221" s="19"/>
      <c r="I221" s="20"/>
      <c r="J221" s="19"/>
      <c r="K221" s="19"/>
      <c r="L221" s="19"/>
    </row>
    <row r="222" spans="1:12" ht="14.45">
      <c r="A222" s="19"/>
      <c r="B222" s="31"/>
      <c r="C222" s="19"/>
      <c r="D222" s="19"/>
      <c r="E222" s="19"/>
      <c r="F222" s="20"/>
      <c r="G222" s="19"/>
      <c r="H222" s="19"/>
      <c r="I222" s="20"/>
      <c r="J222" s="19"/>
      <c r="K222" s="19"/>
      <c r="L222" s="19"/>
    </row>
    <row r="223" spans="1:12" ht="14.45">
      <c r="A223" s="19"/>
      <c r="B223" s="31"/>
      <c r="C223" s="19"/>
      <c r="D223" s="19"/>
      <c r="E223" s="19"/>
      <c r="F223" s="20"/>
      <c r="G223" s="19"/>
      <c r="H223" s="19"/>
      <c r="I223" s="20"/>
      <c r="J223" s="19"/>
      <c r="K223" s="19"/>
      <c r="L223" s="19"/>
    </row>
    <row r="224" spans="1:12" ht="14.45">
      <c r="A224" s="19"/>
      <c r="B224" s="31"/>
      <c r="C224" s="19"/>
      <c r="D224" s="19"/>
      <c r="E224" s="19"/>
      <c r="F224" s="20"/>
      <c r="G224" s="19"/>
      <c r="H224" s="19"/>
      <c r="I224" s="20"/>
      <c r="J224" s="19"/>
      <c r="K224" s="19"/>
      <c r="L224" s="19"/>
    </row>
    <row r="225" spans="1:12" ht="14.45">
      <c r="A225" s="19"/>
      <c r="B225" s="31"/>
      <c r="C225" s="19"/>
      <c r="D225" s="19"/>
      <c r="E225" s="19"/>
      <c r="F225" s="20"/>
      <c r="G225" s="19"/>
      <c r="H225" s="19"/>
      <c r="I225" s="20"/>
      <c r="J225" s="19"/>
      <c r="K225" s="19"/>
      <c r="L225" s="19"/>
    </row>
    <row r="226" spans="1:12" ht="14.45">
      <c r="A226" s="19"/>
      <c r="B226" s="31"/>
      <c r="C226" s="19"/>
      <c r="D226" s="19"/>
      <c r="E226" s="19"/>
      <c r="F226" s="20"/>
      <c r="G226" s="19"/>
      <c r="H226" s="19"/>
      <c r="I226" s="20"/>
      <c r="J226" s="19"/>
      <c r="K226" s="19"/>
      <c r="L226" s="19"/>
    </row>
    <row r="227" spans="1:12" ht="14.45">
      <c r="A227" s="19"/>
      <c r="B227" s="31"/>
      <c r="C227" s="19"/>
      <c r="D227" s="19"/>
      <c r="E227" s="19"/>
      <c r="F227" s="20"/>
      <c r="G227" s="19"/>
      <c r="H227" s="19"/>
      <c r="I227" s="20"/>
      <c r="J227" s="19"/>
      <c r="K227" s="19"/>
      <c r="L227" s="19"/>
    </row>
    <row r="228" spans="1:12" ht="14.45">
      <c r="A228" s="19"/>
      <c r="B228" s="31"/>
      <c r="C228" s="19"/>
      <c r="D228" s="19"/>
      <c r="E228" s="19"/>
      <c r="F228" s="20"/>
      <c r="G228" s="19"/>
      <c r="H228" s="19"/>
      <c r="I228" s="20"/>
      <c r="J228" s="19"/>
      <c r="K228" s="19"/>
      <c r="L228" s="19"/>
    </row>
    <row r="229" spans="1:12" ht="14.45">
      <c r="A229" s="19"/>
      <c r="B229" s="31"/>
      <c r="C229" s="19"/>
      <c r="D229" s="19"/>
      <c r="E229" s="19"/>
      <c r="F229" s="20"/>
      <c r="G229" s="19"/>
      <c r="H229" s="19"/>
      <c r="I229" s="20"/>
      <c r="J229" s="19"/>
      <c r="K229" s="19"/>
      <c r="L229" s="19"/>
    </row>
    <row r="230" spans="1:12" ht="14.45">
      <c r="A230" s="19"/>
      <c r="B230" s="31"/>
      <c r="C230" s="19"/>
      <c r="D230" s="19"/>
      <c r="E230" s="19"/>
      <c r="F230" s="20"/>
      <c r="G230" s="19"/>
      <c r="H230" s="19"/>
      <c r="I230" s="20"/>
      <c r="J230" s="19"/>
      <c r="K230" s="19"/>
      <c r="L230" s="19"/>
    </row>
    <row r="231" spans="1:12" ht="14.45">
      <c r="A231" s="19"/>
      <c r="B231" s="31"/>
      <c r="C231" s="19"/>
      <c r="D231" s="19"/>
      <c r="E231" s="19"/>
      <c r="F231" s="20"/>
      <c r="G231" s="19"/>
      <c r="H231" s="19"/>
      <c r="I231" s="20"/>
      <c r="J231" s="19"/>
      <c r="K231" s="19"/>
      <c r="L231" s="19"/>
    </row>
    <row r="232" spans="1:12" ht="14.45">
      <c r="A232" s="19"/>
      <c r="B232" s="31"/>
      <c r="C232" s="19"/>
      <c r="D232" s="19"/>
      <c r="E232" s="19"/>
      <c r="F232" s="20"/>
      <c r="G232" s="19"/>
      <c r="H232" s="19"/>
      <c r="I232" s="20"/>
      <c r="J232" s="19"/>
      <c r="K232" s="19"/>
      <c r="L232" s="19"/>
    </row>
    <row r="233" spans="1:12" ht="14.45">
      <c r="A233" s="19"/>
      <c r="B233" s="31"/>
      <c r="C233" s="19"/>
      <c r="D233" s="19"/>
      <c r="E233" s="19"/>
      <c r="F233" s="20"/>
      <c r="G233" s="19"/>
      <c r="H233" s="19"/>
      <c r="I233" s="20"/>
      <c r="J233" s="19"/>
      <c r="K233" s="19"/>
      <c r="L233" s="19"/>
    </row>
    <row r="234" spans="1:12" ht="14.45">
      <c r="A234" s="19"/>
      <c r="B234" s="31"/>
      <c r="C234" s="19"/>
      <c r="D234" s="19"/>
      <c r="E234" s="19"/>
      <c r="F234" s="20"/>
      <c r="G234" s="19"/>
      <c r="H234" s="19"/>
      <c r="I234" s="20"/>
      <c r="J234" s="19"/>
      <c r="K234" s="19"/>
      <c r="L234" s="19"/>
    </row>
    <row r="235" spans="1:12" ht="14.45">
      <c r="A235" s="19"/>
      <c r="B235" s="31"/>
      <c r="C235" s="19"/>
      <c r="D235" s="19"/>
      <c r="E235" s="19"/>
      <c r="F235" s="20"/>
      <c r="G235" s="19"/>
      <c r="H235" s="19"/>
      <c r="I235" s="20"/>
      <c r="J235" s="19"/>
      <c r="K235" s="19"/>
      <c r="L235" s="19"/>
    </row>
    <row r="236" spans="1:12" ht="14.45">
      <c r="A236" s="19"/>
      <c r="B236" s="31"/>
      <c r="C236" s="19"/>
      <c r="D236" s="19"/>
      <c r="E236" s="19"/>
      <c r="F236" s="20"/>
      <c r="G236" s="19"/>
      <c r="H236" s="19"/>
      <c r="I236" s="20"/>
      <c r="J236" s="19"/>
      <c r="K236" s="19"/>
      <c r="L236" s="19"/>
    </row>
    <row r="237" spans="1:12" ht="14.45">
      <c r="A237" s="19"/>
      <c r="B237" s="31"/>
      <c r="C237" s="19"/>
      <c r="D237" s="19"/>
      <c r="E237" s="19"/>
      <c r="F237" s="20"/>
      <c r="G237" s="19"/>
      <c r="H237" s="19"/>
      <c r="I237" s="20"/>
      <c r="J237" s="19"/>
      <c r="K237" s="19"/>
      <c r="L237" s="19"/>
    </row>
    <row r="238" spans="1:12" ht="14.45">
      <c r="A238" s="19"/>
      <c r="B238" s="31"/>
      <c r="C238" s="19"/>
      <c r="D238" s="19"/>
      <c r="E238" s="19"/>
      <c r="F238" s="20"/>
      <c r="G238" s="19"/>
      <c r="H238" s="19"/>
      <c r="I238" s="20"/>
      <c r="J238" s="19"/>
      <c r="K238" s="19"/>
      <c r="L238" s="19"/>
    </row>
    <row r="239" spans="1:12" ht="14.45">
      <c r="A239" s="19"/>
      <c r="B239" s="31"/>
      <c r="C239" s="19"/>
      <c r="D239" s="19"/>
      <c r="E239" s="19"/>
      <c r="F239" s="20"/>
      <c r="G239" s="19"/>
      <c r="H239" s="19"/>
      <c r="I239" s="20"/>
      <c r="J239" s="19"/>
      <c r="K239" s="19"/>
      <c r="L239" s="19"/>
    </row>
    <row r="240" spans="1:12" ht="14.45">
      <c r="A240" s="19"/>
      <c r="B240" s="31"/>
      <c r="C240" s="19"/>
      <c r="D240" s="19"/>
      <c r="E240" s="19"/>
      <c r="F240" s="20"/>
      <c r="G240" s="19"/>
      <c r="H240" s="19"/>
      <c r="I240" s="20"/>
      <c r="J240" s="19"/>
      <c r="K240" s="19"/>
      <c r="L240" s="19"/>
    </row>
    <row r="241" spans="1:12" ht="14.45">
      <c r="A241" s="19"/>
      <c r="B241" s="31"/>
      <c r="C241" s="19"/>
      <c r="D241" s="19"/>
      <c r="E241" s="19"/>
      <c r="F241" s="20"/>
      <c r="G241" s="19"/>
      <c r="H241" s="19"/>
      <c r="I241" s="20"/>
      <c r="J241" s="19"/>
      <c r="K241" s="19"/>
      <c r="L241" s="19"/>
    </row>
    <row r="242" spans="1:12" ht="14.45">
      <c r="A242" s="19"/>
      <c r="B242" s="31"/>
      <c r="C242" s="19"/>
      <c r="D242" s="19"/>
      <c r="E242" s="19"/>
      <c r="F242" s="20"/>
      <c r="G242" s="19"/>
      <c r="H242" s="19"/>
      <c r="I242" s="20"/>
      <c r="J242" s="19"/>
      <c r="K242" s="19"/>
      <c r="L242" s="19"/>
    </row>
    <row r="243" spans="1:12" ht="14.45">
      <c r="A243" s="19"/>
      <c r="B243" s="31"/>
      <c r="C243" s="19"/>
      <c r="D243" s="19"/>
      <c r="E243" s="19"/>
      <c r="F243" s="20"/>
      <c r="G243" s="19"/>
      <c r="H243" s="19"/>
      <c r="I243" s="20"/>
      <c r="J243" s="19"/>
      <c r="K243" s="19"/>
      <c r="L243" s="19"/>
    </row>
    <row r="244" spans="1:12" ht="14.45">
      <c r="A244" s="19"/>
      <c r="B244" s="31"/>
      <c r="C244" s="19"/>
      <c r="D244" s="19"/>
      <c r="E244" s="19"/>
      <c r="F244" s="20"/>
      <c r="G244" s="19"/>
      <c r="H244" s="19"/>
      <c r="I244" s="20"/>
      <c r="J244" s="19"/>
      <c r="K244" s="19"/>
      <c r="L244" s="19"/>
    </row>
    <row r="245" spans="1:12" ht="14.45">
      <c r="A245" s="19"/>
      <c r="B245" s="31"/>
      <c r="C245" s="19"/>
      <c r="D245" s="19"/>
      <c r="E245" s="19"/>
      <c r="F245" s="20"/>
      <c r="G245" s="19"/>
      <c r="H245" s="19"/>
      <c r="I245" s="20"/>
      <c r="J245" s="19"/>
      <c r="K245" s="19"/>
      <c r="L245" s="19"/>
    </row>
    <row r="246" spans="1:12" ht="14.45">
      <c r="A246" s="19"/>
      <c r="B246" s="31"/>
      <c r="C246" s="19"/>
      <c r="D246" s="19"/>
      <c r="E246" s="19"/>
      <c r="F246" s="20"/>
      <c r="G246" s="19"/>
      <c r="H246" s="19"/>
      <c r="I246" s="20"/>
      <c r="J246" s="19"/>
      <c r="K246" s="19"/>
      <c r="L246" s="19"/>
    </row>
    <row r="247" spans="1:12" ht="14.45">
      <c r="A247" s="19"/>
      <c r="B247" s="31"/>
      <c r="C247" s="19"/>
      <c r="D247" s="19"/>
      <c r="E247" s="19"/>
      <c r="F247" s="20"/>
      <c r="G247" s="19"/>
      <c r="H247" s="19"/>
      <c r="I247" s="20"/>
      <c r="J247" s="19"/>
      <c r="K247" s="19"/>
      <c r="L247" s="19"/>
    </row>
    <row r="248" spans="1:12" ht="14.45">
      <c r="A248" s="19"/>
      <c r="B248" s="31"/>
      <c r="C248" s="19"/>
      <c r="D248" s="19"/>
      <c r="E248" s="19"/>
      <c r="F248" s="20"/>
      <c r="G248" s="19"/>
      <c r="H248" s="19"/>
      <c r="I248" s="20"/>
      <c r="J248" s="19"/>
      <c r="K248" s="19"/>
      <c r="L248" s="19"/>
    </row>
    <row r="249" spans="1:12" ht="14.45">
      <c r="A249" s="19"/>
      <c r="B249" s="31"/>
      <c r="C249" s="19"/>
      <c r="D249" s="19"/>
      <c r="E249" s="19"/>
      <c r="F249" s="20"/>
      <c r="G249" s="19"/>
      <c r="H249" s="19"/>
      <c r="I249" s="20"/>
      <c r="J249" s="19"/>
      <c r="K249" s="19"/>
      <c r="L249" s="19"/>
    </row>
    <row r="250" spans="1:12" ht="14.45">
      <c r="A250" s="19"/>
      <c r="B250" s="31"/>
      <c r="C250" s="19"/>
      <c r="D250" s="19"/>
      <c r="E250" s="19"/>
      <c r="F250" s="20"/>
      <c r="G250" s="19"/>
      <c r="H250" s="19"/>
      <c r="I250" s="20"/>
      <c r="J250" s="19"/>
      <c r="K250" s="19"/>
      <c r="L250" s="19"/>
    </row>
    <row r="251" spans="1:12" ht="14.45">
      <c r="A251" s="19"/>
      <c r="B251" s="31"/>
      <c r="C251" s="19"/>
      <c r="D251" s="19"/>
      <c r="E251" s="19"/>
      <c r="F251" s="20"/>
      <c r="G251" s="19"/>
      <c r="H251" s="19"/>
      <c r="I251" s="20"/>
      <c r="J251" s="19"/>
      <c r="K251" s="19"/>
      <c r="L251" s="19"/>
    </row>
    <row r="252" spans="1:12" ht="14.45">
      <c r="A252" s="19"/>
      <c r="B252" s="31"/>
      <c r="C252" s="19"/>
      <c r="D252" s="19"/>
      <c r="E252" s="19"/>
      <c r="F252" s="20"/>
      <c r="G252" s="19"/>
      <c r="H252" s="19"/>
      <c r="I252" s="20"/>
      <c r="J252" s="19"/>
      <c r="K252" s="19"/>
      <c r="L252" s="19"/>
    </row>
    <row r="253" spans="1:12" ht="14.45">
      <c r="A253" s="19"/>
      <c r="B253" s="31"/>
      <c r="C253" s="19"/>
      <c r="D253" s="19"/>
      <c r="E253" s="19"/>
      <c r="F253" s="20"/>
      <c r="G253" s="19"/>
      <c r="H253" s="19"/>
      <c r="I253" s="20"/>
      <c r="J253" s="19"/>
      <c r="K253" s="19"/>
      <c r="L253" s="19"/>
    </row>
    <row r="254" spans="1:12" ht="14.45">
      <c r="A254" s="19"/>
      <c r="B254" s="31"/>
      <c r="C254" s="19"/>
      <c r="D254" s="19"/>
      <c r="E254" s="19"/>
      <c r="F254" s="20"/>
      <c r="G254" s="19"/>
      <c r="H254" s="19"/>
      <c r="I254" s="20"/>
      <c r="J254" s="19"/>
      <c r="K254" s="19"/>
      <c r="L254" s="19"/>
    </row>
    <row r="255" spans="1:12" ht="14.45">
      <c r="A255" s="19"/>
      <c r="B255" s="31"/>
      <c r="C255" s="19"/>
      <c r="D255" s="19"/>
      <c r="E255" s="19"/>
      <c r="F255" s="20"/>
      <c r="G255" s="19"/>
      <c r="H255" s="19"/>
      <c r="I255" s="20"/>
      <c r="J255" s="19"/>
      <c r="K255" s="19"/>
      <c r="L255" s="19"/>
    </row>
    <row r="256" spans="1:12" ht="14.45">
      <c r="A256" s="19"/>
      <c r="B256" s="31"/>
      <c r="C256" s="19"/>
      <c r="D256" s="19"/>
      <c r="E256" s="19"/>
      <c r="F256" s="20"/>
      <c r="G256" s="19"/>
      <c r="H256" s="19"/>
      <c r="I256" s="20"/>
      <c r="J256" s="19"/>
      <c r="K256" s="19"/>
      <c r="L256" s="19"/>
    </row>
    <row r="257" spans="1:12" ht="14.45">
      <c r="A257" s="19"/>
      <c r="B257" s="31"/>
      <c r="C257" s="19"/>
      <c r="D257" s="19"/>
      <c r="E257" s="19"/>
      <c r="F257" s="20"/>
      <c r="G257" s="19"/>
      <c r="H257" s="19"/>
      <c r="I257" s="20"/>
      <c r="J257" s="19"/>
      <c r="K257" s="19"/>
      <c r="L257" s="19"/>
    </row>
    <row r="258" spans="1:12" ht="14.45">
      <c r="A258" s="19"/>
      <c r="B258" s="31"/>
      <c r="C258" s="19"/>
      <c r="D258" s="19"/>
      <c r="E258" s="19"/>
      <c r="F258" s="20"/>
      <c r="G258" s="19"/>
      <c r="H258" s="19"/>
      <c r="I258" s="20"/>
      <c r="J258" s="19"/>
      <c r="K258" s="19"/>
      <c r="L258" s="19"/>
    </row>
    <row r="259" spans="1:12" ht="14.45">
      <c r="A259" s="19"/>
      <c r="B259" s="31"/>
      <c r="C259" s="19"/>
      <c r="D259" s="19"/>
      <c r="E259" s="19"/>
      <c r="F259" s="20"/>
      <c r="G259" s="19"/>
      <c r="H259" s="19"/>
      <c r="I259" s="20"/>
      <c r="J259" s="19"/>
      <c r="K259" s="19"/>
      <c r="L259" s="19"/>
    </row>
    <row r="260" spans="1:12" ht="14.45">
      <c r="A260" s="19"/>
      <c r="B260" s="31"/>
      <c r="C260" s="19"/>
      <c r="D260" s="19"/>
      <c r="E260" s="19"/>
      <c r="F260" s="20"/>
      <c r="G260" s="19"/>
      <c r="H260" s="19"/>
      <c r="I260" s="20"/>
      <c r="J260" s="19"/>
      <c r="K260" s="19"/>
      <c r="L260" s="19"/>
    </row>
    <row r="261" spans="1:12" ht="14.45">
      <c r="A261" s="19"/>
      <c r="B261" s="31"/>
      <c r="C261" s="19"/>
      <c r="D261" s="19"/>
      <c r="E261" s="19"/>
      <c r="F261" s="20"/>
      <c r="G261" s="19"/>
      <c r="H261" s="19"/>
      <c r="I261" s="20"/>
      <c r="J261" s="19"/>
      <c r="K261" s="19"/>
      <c r="L261" s="19"/>
    </row>
    <row r="262" spans="1:12" ht="14.45">
      <c r="A262" s="19"/>
      <c r="B262" s="31"/>
      <c r="C262" s="19"/>
      <c r="D262" s="19"/>
      <c r="E262" s="19"/>
      <c r="F262" s="20"/>
      <c r="G262" s="19"/>
      <c r="H262" s="19"/>
      <c r="I262" s="20"/>
      <c r="J262" s="19"/>
      <c r="K262" s="19"/>
      <c r="L262" s="19"/>
    </row>
    <row r="263" spans="1:12" ht="14.45">
      <c r="A263" s="19"/>
      <c r="B263" s="31"/>
      <c r="C263" s="19"/>
      <c r="D263" s="19"/>
      <c r="E263" s="19"/>
      <c r="F263" s="20"/>
      <c r="G263" s="19"/>
      <c r="H263" s="19"/>
      <c r="I263" s="20"/>
      <c r="J263" s="19"/>
      <c r="K263" s="19"/>
      <c r="L263" s="19"/>
    </row>
    <row r="264" spans="1:12" ht="14.45">
      <c r="A264" s="19"/>
      <c r="B264" s="31"/>
      <c r="C264" s="19"/>
      <c r="D264" s="19"/>
      <c r="E264" s="19"/>
      <c r="F264" s="20"/>
      <c r="G264" s="19"/>
      <c r="H264" s="19"/>
      <c r="I264" s="20"/>
      <c r="J264" s="19"/>
      <c r="K264" s="19"/>
      <c r="L264" s="19"/>
    </row>
    <row r="265" spans="1:12" ht="14.45">
      <c r="A265" s="19"/>
      <c r="B265" s="31"/>
      <c r="C265" s="19"/>
      <c r="D265" s="19"/>
      <c r="E265" s="19"/>
      <c r="F265" s="20"/>
      <c r="G265" s="19"/>
      <c r="H265" s="19"/>
      <c r="I265" s="20"/>
      <c r="J265" s="19"/>
      <c r="K265" s="19"/>
      <c r="L265" s="19"/>
    </row>
    <row r="266" spans="1:12" ht="14.45">
      <c r="A266" s="19"/>
      <c r="B266" s="31"/>
      <c r="C266" s="19"/>
      <c r="D266" s="19"/>
      <c r="E266" s="19"/>
      <c r="F266" s="20"/>
      <c r="G266" s="19"/>
      <c r="H266" s="19"/>
      <c r="I266" s="20"/>
      <c r="J266" s="19"/>
      <c r="K266" s="19"/>
      <c r="L266" s="19"/>
    </row>
    <row r="267" spans="1:12" ht="14.45">
      <c r="A267" s="19"/>
      <c r="B267" s="31"/>
      <c r="C267" s="19"/>
      <c r="D267" s="19"/>
      <c r="E267" s="19"/>
      <c r="F267" s="20"/>
      <c r="G267" s="19"/>
      <c r="H267" s="19"/>
      <c r="I267" s="20"/>
      <c r="J267" s="19"/>
      <c r="K267" s="19"/>
      <c r="L267" s="19"/>
    </row>
    <row r="268" spans="1:12" ht="14.45">
      <c r="A268" s="19"/>
      <c r="B268" s="31"/>
      <c r="C268" s="19"/>
      <c r="D268" s="19"/>
      <c r="E268" s="19"/>
      <c r="F268" s="20"/>
      <c r="G268" s="19"/>
      <c r="H268" s="19"/>
      <c r="I268" s="20"/>
      <c r="J268" s="19"/>
      <c r="K268" s="19"/>
      <c r="L268" s="19"/>
    </row>
    <row r="269" spans="1:12" ht="14.45">
      <c r="A269" s="19"/>
      <c r="B269" s="31"/>
      <c r="C269" s="19"/>
      <c r="D269" s="19"/>
      <c r="E269" s="19"/>
      <c r="F269" s="20"/>
      <c r="G269" s="19"/>
      <c r="H269" s="19"/>
      <c r="I269" s="20"/>
      <c r="J269" s="19"/>
      <c r="K269" s="19"/>
      <c r="L269" s="19"/>
    </row>
    <row r="270" spans="1:12" ht="14.45">
      <c r="A270" s="19"/>
      <c r="B270" s="31"/>
      <c r="C270" s="19"/>
      <c r="D270" s="19"/>
      <c r="E270" s="19"/>
      <c r="F270" s="20"/>
      <c r="G270" s="19"/>
      <c r="H270" s="19"/>
      <c r="I270" s="20"/>
      <c r="J270" s="19"/>
      <c r="K270" s="19"/>
      <c r="L270" s="19"/>
    </row>
    <row r="271" spans="1:12" ht="14.45">
      <c r="A271" s="19"/>
      <c r="B271" s="31"/>
      <c r="C271" s="19"/>
      <c r="D271" s="19"/>
      <c r="E271" s="19"/>
      <c r="F271" s="20"/>
      <c r="G271" s="19"/>
      <c r="H271" s="19"/>
      <c r="I271" s="20"/>
      <c r="J271" s="19"/>
      <c r="K271" s="19"/>
      <c r="L271" s="19"/>
    </row>
    <row r="272" spans="1:12" ht="14.45">
      <c r="A272" s="19"/>
      <c r="B272" s="31"/>
      <c r="C272" s="19"/>
      <c r="D272" s="19"/>
      <c r="E272" s="19"/>
      <c r="F272" s="20"/>
      <c r="G272" s="19"/>
      <c r="H272" s="19"/>
      <c r="I272" s="20"/>
      <c r="J272" s="19"/>
      <c r="K272" s="19"/>
      <c r="L272" s="19"/>
    </row>
    <row r="273" spans="1:12" ht="14.45">
      <c r="A273" s="19"/>
      <c r="B273" s="31"/>
      <c r="C273" s="19"/>
      <c r="D273" s="19"/>
      <c r="E273" s="19"/>
      <c r="F273" s="20"/>
      <c r="G273" s="19"/>
      <c r="H273" s="19"/>
      <c r="I273" s="20"/>
      <c r="J273" s="19"/>
      <c r="K273" s="19"/>
      <c r="L273" s="19"/>
    </row>
    <row r="274" spans="1:12" ht="14.45">
      <c r="A274" s="19"/>
      <c r="B274" s="31"/>
      <c r="C274" s="19"/>
      <c r="D274" s="19"/>
      <c r="E274" s="19"/>
      <c r="F274" s="20"/>
      <c r="G274" s="19"/>
      <c r="H274" s="19"/>
      <c r="I274" s="20"/>
      <c r="J274" s="19"/>
      <c r="K274" s="19"/>
      <c r="L274" s="19"/>
    </row>
    <row r="275" spans="1:12" ht="14.45">
      <c r="A275" s="19"/>
      <c r="B275" s="31"/>
      <c r="C275" s="19"/>
      <c r="D275" s="19"/>
      <c r="E275" s="19"/>
      <c r="F275" s="20"/>
      <c r="G275" s="19"/>
      <c r="H275" s="19"/>
      <c r="I275" s="20"/>
      <c r="J275" s="19"/>
      <c r="K275" s="19"/>
      <c r="L275" s="19"/>
    </row>
    <row r="276" spans="1:12" ht="14.45">
      <c r="A276" s="19"/>
      <c r="B276" s="31"/>
      <c r="C276" s="19"/>
      <c r="D276" s="19"/>
      <c r="E276" s="19"/>
      <c r="F276" s="20"/>
      <c r="G276" s="19"/>
      <c r="H276" s="19"/>
      <c r="I276" s="20"/>
      <c r="J276" s="19"/>
      <c r="K276" s="19"/>
      <c r="L276" s="19"/>
    </row>
    <row r="277" spans="1:12" ht="14.45">
      <c r="A277" s="19"/>
      <c r="B277" s="31"/>
      <c r="C277" s="19"/>
      <c r="D277" s="19"/>
      <c r="E277" s="19"/>
      <c r="F277" s="20"/>
      <c r="G277" s="19"/>
      <c r="H277" s="19"/>
      <c r="I277" s="20"/>
      <c r="J277" s="19"/>
      <c r="K277" s="19"/>
      <c r="L277" s="19"/>
    </row>
    <row r="278" spans="1:12" ht="14.45">
      <c r="A278" s="19"/>
      <c r="B278" s="31"/>
      <c r="C278" s="19"/>
      <c r="D278" s="19"/>
      <c r="E278" s="19"/>
      <c r="F278" s="20"/>
      <c r="G278" s="19"/>
      <c r="H278" s="19"/>
      <c r="I278" s="20"/>
      <c r="J278" s="19"/>
      <c r="K278" s="19"/>
      <c r="L278" s="19"/>
    </row>
    <row r="279" spans="1:12" ht="14.45">
      <c r="A279" s="19"/>
      <c r="B279" s="31"/>
      <c r="C279" s="19"/>
      <c r="D279" s="19"/>
      <c r="E279" s="19"/>
      <c r="F279" s="20"/>
      <c r="G279" s="19"/>
      <c r="H279" s="19"/>
      <c r="I279" s="20"/>
      <c r="J279" s="19"/>
      <c r="K279" s="19"/>
      <c r="L279" s="19"/>
    </row>
    <row r="280" spans="1:12" ht="14.45">
      <c r="A280" s="19"/>
      <c r="B280" s="31"/>
      <c r="C280" s="19"/>
      <c r="D280" s="19"/>
      <c r="E280" s="19"/>
      <c r="F280" s="20"/>
      <c r="G280" s="19"/>
      <c r="H280" s="19"/>
      <c r="I280" s="20"/>
      <c r="J280" s="19"/>
      <c r="K280" s="19"/>
      <c r="L280" s="19"/>
    </row>
    <row r="281" spans="1:12" ht="14.45">
      <c r="A281" s="19"/>
      <c r="B281" s="31"/>
      <c r="C281" s="19"/>
      <c r="D281" s="19"/>
      <c r="E281" s="19"/>
      <c r="F281" s="20"/>
      <c r="G281" s="19"/>
      <c r="H281" s="19"/>
      <c r="I281" s="20"/>
      <c r="J281" s="19"/>
      <c r="K281" s="19"/>
      <c r="L281" s="19"/>
    </row>
    <row r="282" spans="1:12" ht="14.45">
      <c r="A282" s="19"/>
      <c r="B282" s="31"/>
      <c r="C282" s="19"/>
      <c r="D282" s="19"/>
      <c r="E282" s="19"/>
      <c r="F282" s="20"/>
      <c r="G282" s="19"/>
      <c r="H282" s="19"/>
      <c r="I282" s="20"/>
      <c r="J282" s="19"/>
      <c r="K282" s="19"/>
      <c r="L282" s="19"/>
    </row>
    <row r="283" spans="1:12" ht="14.45">
      <c r="A283" s="19"/>
      <c r="B283" s="31"/>
      <c r="C283" s="19"/>
      <c r="D283" s="19"/>
      <c r="E283" s="19"/>
      <c r="F283" s="20"/>
      <c r="G283" s="19"/>
      <c r="H283" s="19"/>
      <c r="I283" s="20"/>
      <c r="J283" s="19"/>
      <c r="K283" s="19"/>
      <c r="L283" s="19"/>
    </row>
    <row r="284" spans="1:12" ht="14.45">
      <c r="A284" s="19"/>
      <c r="B284" s="31"/>
      <c r="C284" s="19"/>
      <c r="D284" s="19"/>
      <c r="E284" s="19"/>
      <c r="F284" s="20"/>
      <c r="G284" s="19"/>
      <c r="H284" s="19"/>
      <c r="I284" s="20"/>
      <c r="J284" s="19"/>
      <c r="K284" s="19"/>
      <c r="L284" s="19"/>
    </row>
    <row r="285" spans="1:12" ht="14.45">
      <c r="A285" s="19"/>
      <c r="B285" s="31"/>
      <c r="C285" s="19"/>
      <c r="D285" s="19"/>
      <c r="E285" s="19"/>
      <c r="F285" s="20"/>
      <c r="G285" s="19"/>
      <c r="H285" s="19"/>
      <c r="I285" s="20"/>
      <c r="J285" s="19"/>
      <c r="K285" s="19"/>
      <c r="L285" s="19"/>
    </row>
    <row r="286" spans="1:12" ht="14.45">
      <c r="A286" s="19"/>
      <c r="B286" s="31"/>
      <c r="C286" s="19"/>
      <c r="D286" s="19"/>
      <c r="E286" s="19"/>
      <c r="F286" s="20"/>
      <c r="G286" s="19"/>
      <c r="H286" s="19"/>
      <c r="I286" s="20"/>
      <c r="J286" s="19"/>
      <c r="K286" s="19"/>
      <c r="L286" s="19"/>
    </row>
    <row r="287" spans="1:12" ht="14.45">
      <c r="A287" s="19"/>
      <c r="B287" s="31"/>
      <c r="C287" s="19"/>
      <c r="D287" s="19"/>
      <c r="E287" s="19"/>
      <c r="F287" s="20"/>
      <c r="G287" s="19"/>
      <c r="H287" s="19"/>
      <c r="I287" s="20"/>
      <c r="J287" s="19"/>
      <c r="K287" s="19"/>
      <c r="L287" s="19"/>
    </row>
    <row r="288" spans="1:12" ht="14.45">
      <c r="A288" s="19"/>
      <c r="B288" s="31"/>
      <c r="C288" s="19"/>
      <c r="D288" s="19"/>
      <c r="E288" s="19"/>
      <c r="F288" s="20"/>
      <c r="G288" s="19"/>
      <c r="H288" s="19"/>
      <c r="I288" s="20"/>
      <c r="J288" s="19"/>
      <c r="K288" s="19"/>
      <c r="L288" s="19"/>
    </row>
    <row r="289" spans="1:12" ht="14.45">
      <c r="A289" s="19"/>
      <c r="B289" s="31"/>
      <c r="C289" s="19"/>
      <c r="D289" s="19"/>
      <c r="E289" s="19"/>
      <c r="F289" s="20"/>
      <c r="G289" s="19"/>
      <c r="H289" s="19"/>
      <c r="I289" s="20"/>
      <c r="J289" s="19"/>
      <c r="K289" s="19"/>
      <c r="L289" s="19"/>
    </row>
    <row r="290" spans="1:12" ht="14.45">
      <c r="A290" s="19"/>
      <c r="B290" s="31"/>
      <c r="C290" s="19"/>
      <c r="D290" s="19"/>
      <c r="E290" s="19"/>
      <c r="F290" s="20"/>
      <c r="G290" s="19"/>
      <c r="H290" s="19"/>
      <c r="I290" s="20"/>
      <c r="J290" s="19"/>
      <c r="K290" s="19"/>
      <c r="L290" s="19"/>
    </row>
    <row r="291" spans="1:12" ht="14.45">
      <c r="A291" s="19"/>
      <c r="B291" s="31"/>
      <c r="C291" s="19"/>
      <c r="D291" s="19"/>
      <c r="E291" s="19"/>
      <c r="F291" s="20"/>
      <c r="G291" s="19"/>
      <c r="H291" s="19"/>
      <c r="I291" s="20"/>
      <c r="J291" s="19"/>
      <c r="K291" s="19"/>
      <c r="L291" s="19"/>
    </row>
    <row r="292" spans="1:12" ht="14.45">
      <c r="A292" s="19"/>
      <c r="B292" s="31"/>
      <c r="C292" s="19"/>
      <c r="D292" s="19"/>
      <c r="E292" s="19"/>
      <c r="F292" s="20"/>
      <c r="G292" s="19"/>
      <c r="H292" s="19"/>
      <c r="I292" s="20"/>
      <c r="J292" s="19"/>
      <c r="K292" s="19"/>
      <c r="L292" s="19"/>
    </row>
    <row r="293" spans="1:12" ht="14.45">
      <c r="A293" s="19"/>
      <c r="B293" s="31"/>
      <c r="C293" s="19"/>
      <c r="D293" s="19"/>
      <c r="E293" s="19"/>
      <c r="F293" s="20"/>
      <c r="G293" s="19"/>
      <c r="H293" s="19"/>
      <c r="I293" s="20"/>
      <c r="J293" s="19"/>
      <c r="K293" s="19"/>
      <c r="L293" s="19"/>
    </row>
    <row r="294" spans="1:12" ht="14.45">
      <c r="A294" s="19"/>
      <c r="B294" s="31"/>
      <c r="C294" s="19"/>
      <c r="D294" s="19"/>
      <c r="E294" s="19"/>
      <c r="F294" s="20"/>
      <c r="G294" s="19"/>
      <c r="H294" s="19"/>
      <c r="I294" s="20"/>
      <c r="J294" s="19"/>
      <c r="K294" s="19"/>
      <c r="L294" s="19"/>
    </row>
    <row r="295" spans="1:12" ht="14.45">
      <c r="A295" s="19"/>
      <c r="B295" s="31"/>
      <c r="C295" s="19"/>
      <c r="D295" s="19"/>
      <c r="E295" s="19"/>
      <c r="F295" s="20"/>
      <c r="G295" s="19"/>
      <c r="H295" s="19"/>
      <c r="I295" s="20"/>
      <c r="J295" s="19"/>
      <c r="K295" s="19"/>
      <c r="L295" s="19"/>
    </row>
    <row r="296" spans="1:12" ht="14.45">
      <c r="A296" s="19"/>
      <c r="B296" s="31"/>
      <c r="C296" s="19"/>
      <c r="D296" s="19"/>
      <c r="E296" s="19"/>
      <c r="F296" s="20"/>
      <c r="G296" s="19"/>
      <c r="H296" s="19"/>
      <c r="I296" s="20"/>
      <c r="J296" s="19"/>
      <c r="K296" s="19"/>
      <c r="L296" s="19"/>
    </row>
    <row r="297" spans="1:12" ht="14.45">
      <c r="A297" s="19"/>
      <c r="B297" s="31"/>
      <c r="C297" s="19"/>
      <c r="D297" s="19"/>
      <c r="E297" s="19"/>
      <c r="F297" s="20"/>
      <c r="G297" s="19"/>
      <c r="H297" s="19"/>
      <c r="I297" s="20"/>
      <c r="J297" s="19"/>
      <c r="K297" s="19"/>
      <c r="L297" s="19"/>
    </row>
    <row r="298" spans="1:12" ht="14.45">
      <c r="A298" s="19"/>
      <c r="B298" s="31"/>
      <c r="C298" s="19"/>
      <c r="D298" s="19"/>
      <c r="E298" s="19"/>
      <c r="F298" s="20"/>
      <c r="G298" s="19"/>
      <c r="H298" s="19"/>
      <c r="I298" s="20"/>
      <c r="J298" s="19"/>
      <c r="K298" s="19"/>
      <c r="L298" s="19"/>
    </row>
    <row r="299" spans="1:12" ht="14.45">
      <c r="A299" s="19"/>
      <c r="B299" s="31"/>
      <c r="C299" s="19"/>
      <c r="D299" s="19"/>
      <c r="E299" s="19"/>
      <c r="F299" s="20"/>
      <c r="G299" s="19"/>
      <c r="H299" s="19"/>
      <c r="I299" s="20"/>
      <c r="J299" s="19"/>
      <c r="K299" s="19"/>
      <c r="L299" s="19"/>
    </row>
    <row r="300" spans="1:12" ht="14.45">
      <c r="A300" s="19"/>
      <c r="B300" s="31"/>
      <c r="C300" s="19"/>
      <c r="D300" s="19"/>
      <c r="E300" s="19"/>
      <c r="F300" s="20"/>
      <c r="G300" s="19"/>
      <c r="H300" s="19"/>
      <c r="I300" s="20"/>
      <c r="J300" s="19"/>
      <c r="K300" s="19"/>
      <c r="L300" s="19"/>
    </row>
    <row r="301" spans="1:12" ht="14.45">
      <c r="A301" s="19"/>
      <c r="B301" s="31"/>
      <c r="C301" s="19"/>
      <c r="D301" s="19"/>
      <c r="E301" s="19"/>
      <c r="F301" s="20"/>
      <c r="G301" s="19"/>
      <c r="H301" s="19"/>
      <c r="I301" s="20"/>
      <c r="J301" s="19"/>
      <c r="K301" s="19"/>
      <c r="L301" s="19"/>
    </row>
    <row r="302" spans="1:12" ht="14.45">
      <c r="A302" s="19"/>
      <c r="B302" s="31"/>
      <c r="C302" s="19"/>
      <c r="D302" s="19"/>
      <c r="E302" s="19"/>
      <c r="F302" s="20"/>
      <c r="G302" s="19"/>
      <c r="H302" s="19"/>
      <c r="I302" s="20"/>
      <c r="J302" s="19"/>
      <c r="K302" s="19"/>
      <c r="L302" s="19"/>
    </row>
    <row r="303" spans="1:12" ht="14.45">
      <c r="A303" s="19"/>
      <c r="B303" s="31"/>
      <c r="C303" s="19"/>
      <c r="D303" s="19"/>
      <c r="E303" s="19"/>
      <c r="F303" s="20"/>
      <c r="G303" s="19"/>
      <c r="H303" s="19"/>
      <c r="I303" s="20"/>
      <c r="J303" s="19"/>
      <c r="K303" s="19"/>
      <c r="L303" s="19"/>
    </row>
    <row r="304" spans="1:12" ht="14.45">
      <c r="A304" s="19"/>
      <c r="B304" s="31"/>
      <c r="C304" s="19"/>
      <c r="D304" s="19"/>
      <c r="E304" s="19"/>
      <c r="F304" s="20"/>
      <c r="G304" s="19"/>
      <c r="H304" s="19"/>
      <c r="I304" s="20"/>
      <c r="J304" s="19"/>
      <c r="K304" s="19"/>
      <c r="L304" s="19"/>
    </row>
    <row r="305" spans="1:12" ht="14.45">
      <c r="A305" s="19"/>
      <c r="B305" s="31"/>
      <c r="C305" s="19"/>
      <c r="D305" s="19"/>
      <c r="E305" s="19"/>
      <c r="F305" s="20"/>
      <c r="G305" s="19"/>
      <c r="H305" s="19"/>
      <c r="I305" s="20"/>
      <c r="J305" s="19"/>
      <c r="K305" s="19"/>
      <c r="L305" s="19"/>
    </row>
    <row r="306" spans="1:12" ht="14.45">
      <c r="A306" s="19"/>
      <c r="B306" s="31"/>
      <c r="C306" s="19"/>
      <c r="D306" s="19"/>
      <c r="E306" s="19"/>
      <c r="F306" s="20"/>
      <c r="G306" s="19"/>
      <c r="H306" s="19"/>
      <c r="I306" s="20"/>
      <c r="J306" s="19"/>
      <c r="K306" s="19"/>
      <c r="L306" s="19"/>
    </row>
    <row r="307" spans="1:12" ht="14.45">
      <c r="A307" s="19"/>
      <c r="B307" s="31"/>
      <c r="C307" s="19"/>
      <c r="D307" s="19"/>
      <c r="E307" s="19"/>
      <c r="F307" s="20"/>
      <c r="G307" s="19"/>
      <c r="H307" s="19"/>
      <c r="I307" s="20"/>
      <c r="J307" s="19"/>
      <c r="K307" s="19"/>
      <c r="L307" s="19"/>
    </row>
    <row r="308" spans="1:12" ht="14.45">
      <c r="A308" s="19"/>
      <c r="B308" s="31"/>
      <c r="C308" s="19"/>
      <c r="D308" s="19"/>
      <c r="E308" s="19"/>
      <c r="F308" s="20"/>
      <c r="G308" s="19"/>
      <c r="H308" s="19"/>
      <c r="I308" s="20"/>
      <c r="J308" s="19"/>
      <c r="K308" s="19"/>
      <c r="L308" s="19"/>
    </row>
    <row r="309" spans="1:12" ht="14.45">
      <c r="A309" s="19"/>
      <c r="B309" s="31"/>
      <c r="C309" s="19"/>
      <c r="D309" s="19"/>
      <c r="E309" s="19"/>
      <c r="F309" s="20"/>
      <c r="G309" s="19"/>
      <c r="H309" s="19"/>
      <c r="I309" s="20"/>
      <c r="J309" s="19"/>
      <c r="K309" s="19"/>
      <c r="L309" s="19"/>
    </row>
    <row r="310" spans="1:12" ht="14.45">
      <c r="A310" s="19"/>
      <c r="B310" s="31"/>
      <c r="C310" s="19"/>
      <c r="D310" s="19"/>
      <c r="E310" s="19"/>
      <c r="F310" s="20"/>
      <c r="G310" s="19"/>
      <c r="H310" s="19"/>
      <c r="I310" s="20"/>
      <c r="J310" s="19"/>
      <c r="K310" s="19"/>
      <c r="L310" s="19"/>
    </row>
    <row r="311" spans="1:12" ht="14.45">
      <c r="A311" s="19"/>
      <c r="B311" s="31"/>
      <c r="C311" s="19"/>
      <c r="D311" s="19"/>
      <c r="E311" s="19"/>
      <c r="F311" s="20"/>
      <c r="G311" s="19"/>
      <c r="H311" s="19"/>
      <c r="I311" s="20"/>
      <c r="J311" s="19"/>
      <c r="K311" s="19"/>
      <c r="L311" s="19"/>
    </row>
    <row r="312" spans="1:12" ht="14.45">
      <c r="A312" s="19"/>
      <c r="B312" s="31"/>
      <c r="C312" s="19"/>
      <c r="D312" s="19"/>
      <c r="E312" s="19"/>
      <c r="F312" s="20"/>
      <c r="G312" s="19"/>
      <c r="H312" s="19"/>
      <c r="I312" s="20"/>
      <c r="J312" s="19"/>
      <c r="K312" s="19"/>
      <c r="L312" s="19"/>
    </row>
    <row r="313" spans="1:12" ht="14.45">
      <c r="A313" s="19"/>
      <c r="B313" s="31"/>
      <c r="C313" s="19"/>
      <c r="D313" s="19"/>
      <c r="E313" s="19"/>
      <c r="F313" s="20"/>
      <c r="G313" s="19"/>
      <c r="H313" s="19"/>
      <c r="I313" s="20"/>
      <c r="J313" s="19"/>
      <c r="K313" s="19"/>
      <c r="L313" s="19"/>
    </row>
    <row r="314" spans="1:12" ht="14.45">
      <c r="A314" s="19"/>
      <c r="B314" s="31"/>
      <c r="C314" s="19"/>
      <c r="D314" s="19"/>
      <c r="E314" s="19"/>
      <c r="F314" s="20"/>
      <c r="G314" s="19"/>
      <c r="H314" s="19"/>
      <c r="I314" s="20"/>
      <c r="J314" s="19"/>
      <c r="K314" s="19"/>
      <c r="L314" s="19"/>
    </row>
    <row r="315" spans="1:12" ht="14.45">
      <c r="A315" s="19"/>
      <c r="B315" s="31"/>
      <c r="C315" s="19"/>
      <c r="D315" s="19"/>
      <c r="E315" s="19"/>
      <c r="F315" s="20"/>
      <c r="G315" s="19"/>
      <c r="H315" s="19"/>
      <c r="I315" s="20"/>
      <c r="J315" s="19"/>
      <c r="K315" s="19"/>
      <c r="L315" s="19"/>
    </row>
    <row r="316" spans="1:12" ht="14.45">
      <c r="A316" s="19"/>
      <c r="B316" s="31"/>
      <c r="C316" s="19"/>
      <c r="D316" s="19"/>
      <c r="E316" s="19"/>
      <c r="F316" s="20"/>
      <c r="G316" s="19"/>
      <c r="H316" s="19"/>
      <c r="I316" s="20"/>
      <c r="J316" s="19"/>
      <c r="K316" s="19"/>
      <c r="L316" s="19"/>
    </row>
    <row r="317" spans="1:12" ht="14.45">
      <c r="A317" s="19"/>
      <c r="B317" s="31"/>
      <c r="C317" s="19"/>
      <c r="D317" s="19"/>
      <c r="E317" s="19"/>
      <c r="F317" s="20"/>
      <c r="G317" s="19"/>
      <c r="H317" s="19"/>
      <c r="I317" s="20"/>
      <c r="J317" s="19"/>
      <c r="K317" s="19"/>
      <c r="L317" s="19"/>
    </row>
    <row r="318" spans="1:12" ht="14.45">
      <c r="A318" s="19"/>
      <c r="B318" s="31"/>
      <c r="C318" s="19"/>
      <c r="D318" s="19"/>
      <c r="E318" s="19"/>
      <c r="F318" s="20"/>
      <c r="G318" s="19"/>
      <c r="H318" s="19"/>
      <c r="I318" s="20"/>
      <c r="J318" s="19"/>
      <c r="K318" s="19"/>
      <c r="L318" s="19"/>
    </row>
    <row r="319" spans="1:12" ht="14.45">
      <c r="A319" s="19"/>
      <c r="B319" s="31"/>
      <c r="C319" s="19"/>
      <c r="D319" s="19"/>
      <c r="E319" s="19"/>
      <c r="F319" s="20"/>
      <c r="G319" s="19"/>
      <c r="H319" s="19"/>
      <c r="I319" s="20"/>
      <c r="J319" s="19"/>
      <c r="K319" s="19"/>
      <c r="L319" s="19"/>
    </row>
    <row r="320" spans="1:12" ht="14.45">
      <c r="A320" s="19"/>
      <c r="B320" s="31"/>
      <c r="C320" s="19"/>
      <c r="D320" s="19"/>
      <c r="E320" s="19"/>
      <c r="F320" s="20"/>
      <c r="G320" s="19"/>
      <c r="H320" s="19"/>
      <c r="I320" s="20"/>
      <c r="J320" s="19"/>
      <c r="K320" s="19"/>
      <c r="L320" s="19"/>
    </row>
    <row r="321" spans="1:12" ht="14.45">
      <c r="A321" s="19"/>
      <c r="B321" s="31"/>
      <c r="C321" s="19"/>
      <c r="D321" s="19"/>
      <c r="E321" s="19"/>
      <c r="F321" s="20"/>
      <c r="G321" s="19"/>
      <c r="H321" s="19"/>
      <c r="I321" s="20"/>
      <c r="J321" s="19"/>
      <c r="K321" s="19"/>
      <c r="L321" s="19"/>
    </row>
    <row r="322" spans="1:12" ht="14.45">
      <c r="C322" s="19"/>
      <c r="D322" s="19"/>
      <c r="E322" s="19"/>
      <c r="F322" s="20"/>
      <c r="G322" s="19"/>
      <c r="H322" s="19"/>
      <c r="I322" s="20"/>
      <c r="J322" s="19"/>
      <c r="K322" s="19"/>
      <c r="L322" s="19"/>
    </row>
  </sheetData>
  <mergeCells count="4">
    <mergeCell ref="G1:I1"/>
    <mergeCell ref="A1:C1"/>
    <mergeCell ref="D1:F1"/>
    <mergeCell ref="A2:B2"/>
  </mergeCells>
  <conditionalFormatting sqref="F2 I2 F4:F80 I4:I80">
    <cfRule type="cellIs" dxfId="6" priority="3" stopIfTrue="1" operator="lessThanOrEqual">
      <formula>-0.1</formula>
    </cfRule>
    <cfRule type="expression" dxfId="5" priority="4">
      <formula>AND(ISNUMBER(F2), F2&gt;=0.1)</formula>
    </cfRule>
  </conditionalFormatting>
  <hyperlinks>
    <hyperlink ref="K5" r:id="rId1" display="https://us3.assetplanner.com/service_request?ID=110429" xr:uid="{B06B888A-4813-4E10-924E-16A514FF0726}"/>
    <hyperlink ref="M5" r:id="rId2" display="https://us3.assetplanner.com/service_request?ID=109919" xr:uid="{7BC3218B-89A3-4BD3-8B83-FFF08D2623BD}"/>
    <hyperlink ref="K6" r:id="rId3" display="https://us3.assetplanner.com/service_request?ID=111822" xr:uid="{502118E9-E4C9-44E0-BBC5-1DE3F11EEE26}"/>
    <hyperlink ref="M6" r:id="rId4" display="https://us3.assetplanner.com/service_request?ID=108921" xr:uid="{68192BC4-F0BF-4B62-A092-2A7FEAC5E70A}"/>
    <hyperlink ref="K9" r:id="rId5" display="https://us3.assetplanner.com/service_request?ID=111327" xr:uid="{03F48DB6-56FF-4C1E-83E9-5ACB27CF5DF9}"/>
    <hyperlink ref="M9" r:id="rId6" display="https://us3.assetplanner.com/service_request?ID=105817" xr:uid="{7B81A4E2-E5D7-450F-9F04-FE67D396F99D}"/>
    <hyperlink ref="K10" r:id="rId7" display="https://us3.assetplanner.com/service_request?ID=111213" xr:uid="{E0F7C2F0-6A90-409B-9589-CF3AB3063F30}"/>
    <hyperlink ref="M10" r:id="rId8" display="https://us3.assetplanner.com/service_request?ID=102438" xr:uid="{E931684B-4F0C-448A-82EE-B93DCD361B13}"/>
  </hyperlinks>
  <pageMargins left="0.4" right="0.7" top="0.25" bottom="0.25" header="0.3" footer="0.3"/>
  <pageSetup fitToHeight="99" orientation="landscape" r:id="rId9"/>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G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4" t="str" cm="1">
        <f t="array" ref="A1">portfolio</f>
        <v>Agilitas Energy</v>
      </c>
      <c r="B1" s="94"/>
      <c r="C1" s="94"/>
      <c r="D1" s="95" t="s">
        <v>225</v>
      </c>
      <c r="E1" s="95"/>
      <c r="F1" s="95"/>
      <c r="G1" s="93" t="s">
        <v>226</v>
      </c>
      <c r="H1" s="93"/>
      <c r="I1" s="93"/>
      <c r="J1" s="4"/>
      <c r="K1" s="4"/>
    </row>
    <row r="2" spans="1:11" ht="19.5" customHeight="1">
      <c r="A2" s="96" t="s">
        <v>2</v>
      </c>
      <c r="B2" s="96"/>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56"/>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B8" sqref="B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227</v>
      </c>
      <c r="B1" t="s">
        <v>228</v>
      </c>
    </row>
    <row r="3" spans="1:12" ht="13.15">
      <c r="A3" t="s">
        <v>229</v>
      </c>
      <c r="B3" t="s">
        <v>3</v>
      </c>
      <c r="C3" t="s">
        <v>4</v>
      </c>
      <c r="D3" t="s">
        <v>230</v>
      </c>
      <c r="E3" s="2" t="s">
        <v>231</v>
      </c>
    </row>
    <row r="4" spans="1:12" ht="14.45">
      <c r="A4" s="48" t="s">
        <v>232</v>
      </c>
      <c r="B4" t="s">
        <v>233</v>
      </c>
      <c r="C4" s="45" t="s">
        <v>234</v>
      </c>
      <c r="D4" s="44" t="s">
        <v>235</v>
      </c>
      <c r="E4" t="s">
        <v>236</v>
      </c>
      <c r="G4" s="3"/>
    </row>
    <row r="5" spans="1:12" ht="14.45">
      <c r="A5" s="48" t="s">
        <v>237</v>
      </c>
      <c r="B5" t="s">
        <v>238</v>
      </c>
      <c r="C5" s="45" t="s">
        <v>234</v>
      </c>
      <c r="D5" s="44" t="s">
        <v>235</v>
      </c>
      <c r="E5" t="s">
        <v>236</v>
      </c>
      <c r="G5" s="3"/>
    </row>
    <row r="6" spans="1:12" ht="14.45">
      <c r="A6" s="48" t="s">
        <v>239</v>
      </c>
      <c r="B6" t="s">
        <v>240</v>
      </c>
      <c r="C6" s="45" t="s">
        <v>234</v>
      </c>
      <c r="D6" s="44" t="s">
        <v>235</v>
      </c>
      <c r="E6" t="s">
        <v>236</v>
      </c>
      <c r="G6" s="3"/>
    </row>
    <row r="7" spans="1:12" ht="12.75" customHeight="1">
      <c r="A7" s="48" t="s">
        <v>241</v>
      </c>
      <c r="B7" t="s">
        <v>242</v>
      </c>
      <c r="C7" s="45" t="s">
        <v>243</v>
      </c>
      <c r="D7" s="44"/>
      <c r="E7" t="s">
        <v>244</v>
      </c>
    </row>
    <row r="8" spans="1:12" ht="12.75" customHeight="1">
      <c r="A8" s="48" t="s">
        <v>245</v>
      </c>
      <c r="B8" t="s">
        <v>246</v>
      </c>
      <c r="C8" s="45" t="s">
        <v>243</v>
      </c>
      <c r="D8" s="44"/>
      <c r="E8" t="s">
        <v>244</v>
      </c>
    </row>
    <row r="9" spans="1:12" ht="12.75" customHeight="1">
      <c r="A9" s="54" t="s">
        <v>247</v>
      </c>
      <c r="B9" s="55" t="s">
        <v>248</v>
      </c>
      <c r="C9" s="45" t="s">
        <v>234</v>
      </c>
      <c r="D9" t="s">
        <v>235</v>
      </c>
      <c r="E9" t="s">
        <v>236</v>
      </c>
      <c r="K9" s="42"/>
      <c r="L9" s="42"/>
    </row>
    <row r="10" spans="1:12" ht="12.75" customHeight="1">
      <c r="A10" s="54" t="s">
        <v>249</v>
      </c>
      <c r="B10" s="55" t="s">
        <v>250</v>
      </c>
      <c r="C10" s="45" t="s">
        <v>234</v>
      </c>
      <c r="D10" t="s">
        <v>235</v>
      </c>
      <c r="E10" t="s">
        <v>236</v>
      </c>
      <c r="K10" s="42"/>
      <c r="L10" s="42"/>
    </row>
    <row r="11" spans="1:12" ht="12.75" customHeight="1">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9.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BC74AAC-D69B-4AF1-9649-B21EF3C1C463}"/>
</file>

<file path=customXml/itemProps2.xml><?xml version="1.0" encoding="utf-8"?>
<ds:datastoreItem xmlns:ds="http://schemas.openxmlformats.org/officeDocument/2006/customXml" ds:itemID="{98A113BB-8B7A-453C-8BD4-8EFC67FC2D3F}"/>
</file>

<file path=customXml/itemProps3.xml><?xml version="1.0" encoding="utf-8"?>
<ds:datastoreItem xmlns:ds="http://schemas.openxmlformats.org/officeDocument/2006/customXml" ds:itemID="{078388C9-06F9-42F4-B857-EF76B5CAF1FD}"/>
</file>

<file path=customXml/itemProps4.xml><?xml version="1.0" encoding="utf-8"?>
<ds:datastoreItem xmlns:ds="http://schemas.openxmlformats.org/officeDocument/2006/customXml" ds:itemID="{14966E4F-347B-477B-B74C-9DAC05405806}"/>
</file>

<file path=customXml/itemProps5.xml><?xml version="1.0" encoding="utf-8"?>
<ds:datastoreItem xmlns:ds="http://schemas.openxmlformats.org/officeDocument/2006/customXml" ds:itemID="{1954BBA4-0359-438C-B0EC-A756015F7C02}"/>
</file>

<file path=customXml/itemProps6.xml><?xml version="1.0" encoding="utf-8"?>
<ds:datastoreItem xmlns:ds="http://schemas.openxmlformats.org/officeDocument/2006/customXml" ds:itemID="{7946C510-7D04-49D8-9B25-EEC04582A1CA}"/>
</file>

<file path=customXml/itemProps7.xml><?xml version="1.0" encoding="utf-8"?>
<ds:datastoreItem xmlns:ds="http://schemas.openxmlformats.org/officeDocument/2006/customXml" ds:itemID="{0389C43E-394D-44C0-87DC-4780FCFCFB40}"/>
</file>

<file path=customXml/itemProps8.xml><?xml version="1.0" encoding="utf-8"?>
<ds:datastoreItem xmlns:ds="http://schemas.openxmlformats.org/officeDocument/2006/customXml" ds:itemID="{8D732231-4216-4543-A665-18A2886B0EB7}"/>
</file>

<file path=customXml/itemProps9.xml><?xml version="1.0" encoding="utf-8"?>
<ds:datastoreItem xmlns:ds="http://schemas.openxmlformats.org/officeDocument/2006/customXml" ds:itemID="{56F0663E-5806-44FC-A3C5-2ED2166F4640}"/>
</file>

<file path=customXml/itemProps10.xml><?xml version="1.0" encoding="utf-8"?>
<ds:datastoreItem xmlns:ds="http://schemas.openxmlformats.org/officeDocument/2006/customXml" ds:itemID="{E20E8303-6A67-485C-B6F4-303542CC295C}"/>
</file>

<file path=customXml/itemProps11.xml><?xml version="1.0" encoding="utf-8"?>
<ds:datastoreItem xmlns:ds="http://schemas.openxmlformats.org/officeDocument/2006/customXml" ds:itemID="{CB52044A-5C0B-44A2-99D0-C1C315EC302D}"/>
</file>

<file path=customXml/itemProps12.xml><?xml version="1.0" encoding="utf-8"?>
<ds:datastoreItem xmlns:ds="http://schemas.openxmlformats.org/officeDocument/2006/customXml" ds:itemID="{E3716282-BFD2-4ED2-BA47-BFA1123827F0}"/>
</file>

<file path=customXml/itemProps13.xml><?xml version="1.0" encoding="utf-8"?>
<ds:datastoreItem xmlns:ds="http://schemas.openxmlformats.org/officeDocument/2006/customXml" ds:itemID="{F12EFA50-0068-4A8C-85A0-F1B26389EBC3}"/>
</file>

<file path=customXml/itemProps14.xml><?xml version="1.0" encoding="utf-8"?>
<ds:datastoreItem xmlns:ds="http://schemas.openxmlformats.org/officeDocument/2006/customXml" ds:itemID="{3AEAA9D8-2182-46BA-A58E-96C72DDA1C54}"/>
</file>

<file path=customXml/itemProps15.xml><?xml version="1.0" encoding="utf-8"?>
<ds:datastoreItem xmlns:ds="http://schemas.openxmlformats.org/officeDocument/2006/customXml" ds:itemID="{D3A7101F-9A85-4235-8B03-415370C100B2}"/>
</file>

<file path=customXml/itemProps16.xml><?xml version="1.0" encoding="utf-8"?>
<ds:datastoreItem xmlns:ds="http://schemas.openxmlformats.org/officeDocument/2006/customXml" ds:itemID="{89CF5C07-45EB-4100-9AFB-2C6AF77FA787}"/>
</file>

<file path=customXml/itemProps17.xml><?xml version="1.0" encoding="utf-8"?>
<ds:datastoreItem xmlns:ds="http://schemas.openxmlformats.org/officeDocument/2006/customXml" ds:itemID="{BF5C6359-7763-4C37-8EAF-2BC4698CB285}"/>
</file>

<file path=customXml/itemProps18.xml><?xml version="1.0" encoding="utf-8"?>
<ds:datastoreItem xmlns:ds="http://schemas.openxmlformats.org/officeDocument/2006/customXml" ds:itemID="{BE26B669-A686-459C-A5E9-FEC3409C4C81}"/>
</file>

<file path=customXml/itemProps19.xml><?xml version="1.0" encoding="utf-8"?>
<ds:datastoreItem xmlns:ds="http://schemas.openxmlformats.org/officeDocument/2006/customXml" ds:itemID="{66B09F59-6532-46F8-924A-9A02417E070D}"/>
</file>

<file path=customXml/itemProps20.xml><?xml version="1.0" encoding="utf-8"?>
<ds:datastoreItem xmlns:ds="http://schemas.openxmlformats.org/officeDocument/2006/customXml" ds:itemID="{F6B2B1A1-1C4B-4AC9-9A7D-7A102DD1C9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2025-12-13T22:25:58Z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