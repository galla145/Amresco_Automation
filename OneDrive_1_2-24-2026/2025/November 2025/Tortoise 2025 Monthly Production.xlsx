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3"/>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D1920D50-62EF-4165-8E5E-D31F303302D6}" xr6:coauthVersionLast="47" xr6:coauthVersionMax="47" xr10:uidLastSave="{00000000-0000-0000-0000-000000000000}"/>
  <bookViews>
    <workbookView xWindow="28680" yWindow="-120" windowWidth="29040" windowHeight="15720"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1" l="1"/>
  <c r="H5" i="28"/>
  <c r="H6" i="28"/>
  <c r="E6" i="28"/>
  <c r="E7" i="28"/>
  <c r="E8" i="28"/>
  <c r="E9" i="28"/>
  <c r="E10" i="28"/>
  <c r="E11" i="28"/>
  <c r="E12" i="28"/>
  <c r="E13" i="28"/>
  <c r="E6" i="27"/>
  <c r="H4" i="19"/>
  <c r="I4" i="19" s="1"/>
  <c r="H5" i="19"/>
  <c r="I5" i="19" s="1"/>
  <c r="E4" i="19"/>
  <c r="F4" i="19" s="1"/>
  <c r="E5" i="19"/>
  <c r="E6" i="19"/>
  <c r="E7" i="19"/>
  <c r="F7" i="19" s="1"/>
  <c r="E8" i="19"/>
  <c r="E4" i="20"/>
  <c r="E7" i="21"/>
  <c r="E13" i="2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H7" i="19"/>
  <c r="I7" i="19" s="1"/>
  <c r="H6" i="19"/>
  <c r="I6" i="19" s="1"/>
  <c r="F6"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E15" i="32"/>
  <c r="F15" i="32" s="1"/>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I6" i="3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F13" i="28"/>
  <c r="H12" i="28"/>
  <c r="I12" i="28" s="1"/>
  <c r="F12" i="28"/>
  <c r="H11" i="28"/>
  <c r="I11" i="28" s="1"/>
  <c r="F11" i="28"/>
  <c r="H10" i="28"/>
  <c r="I10" i="28" s="1"/>
  <c r="F10" i="28"/>
  <c r="H9" i="28"/>
  <c r="I9" i="28" s="1"/>
  <c r="F9" i="28"/>
  <c r="H8" i="28"/>
  <c r="I8" i="28" s="1"/>
  <c r="F8" i="28"/>
  <c r="H7" i="28"/>
  <c r="I7" i="28" s="1"/>
  <c r="F7" i="28"/>
  <c r="I6" i="28"/>
  <c r="F6" i="28"/>
  <c r="I5" i="28"/>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F6" i="27"/>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F5" i="19"/>
  <c r="G2" i="19"/>
  <c r="D2" i="19"/>
  <c r="C2" i="19"/>
  <c r="J2" i="19" s="1"/>
  <c r="A1" i="19" a="1"/>
  <c r="A1" i="19" s="1"/>
  <c r="H4" i="20"/>
  <c r="I4" i="20" s="1"/>
  <c r="F4" i="20"/>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<sst xmlns="http://schemas.openxmlformats.org/spreadsheetml/2006/main" count="446" uniqueCount="212">
  <si>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</si>
  <si>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</si>
  <si>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</si>
  <si>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</si>
  <si>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</si>
  <si>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</si>
  <si>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</si>
  <si>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</si>
  <si>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</si>
  <si>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</si>
  <si>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</si>
  <si>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</si>
  <si>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</si>
  <si>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</si>
  <si>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</si>
  <si>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</si>
  <si>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</si>
  <si>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</si>
  <si>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</si>
  <si>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</si>
  <si>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</si>
  <si>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</si>
  <si>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</si>
  <si>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</si>
  <si>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</si>
  <si>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</si>
  <si>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</si>
  <si>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</si>
  <si>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</si>
  <si>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</si>
  <si>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</si>
  <si>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</si>
  <si>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</si>
  <si>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</si>
  <si>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</si>
  <si>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</si>
  <si>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</si>
  <si>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</si>
  <si>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</si>
  <si>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</si>
  <si>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</si>
  <si>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</si>
  <si>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</si>
  <si>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</si>
  <si>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</si>
  <si>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</si>
  <si>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</si>
  <si>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</si>
  <si>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</si>
  <si>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</si>
  <si>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</si>
  <si>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</si>
  <si>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</si>
  <si>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</si>
  <si>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</si>
  <si>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</si>
  <si>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</si>
  <si>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</si>
  <si>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</si>
  <si>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</si>
  <si>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</si>
  <si>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</si>
  <si>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</si>
  <si>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</si>
  <si>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</si>
  <si>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</si>
  <si>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</si>
  <si>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</si>
  <si>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</si>
  <si>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</si>
  <si>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</si>
  <si>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</si>
  <si>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</si>
  <si>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</si>
  <si>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</si>
  <si>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</si>
  <si>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</si>
  <si>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</si>
  <si>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</si>
  <si>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</si>
  <si>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</si>
  <si>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</si>
  <si>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</si>
  <si>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</si>
  <si>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</si>
  <si>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</si>
  <si>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</si>
  <si>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</si>
  <si>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</si>
  <si>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</si>
  <si>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</si>
  <si>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</si>
  <si>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</si>
  <si>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</si>
  <si>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</si>
  <si>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</si>
  <si>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</si>
  <si>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</si>
  <si>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</si>
  <si>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</si>
  <si>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</si>
  <si>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</si>
  <si>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</si>
  <si>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</si>
  <si>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</si>
  <si>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</si>
  <si>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</si>
  <si>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</si>
  <si>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</si>
  <si>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</si>
  <si>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</si>
  <si>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</si>
  <si>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</si>
  <si>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 xml:space="preserve">1.Inverter 1 was offline due to damage to internal components caused by a thermal event. On 05/13, a Bold Renewables technician inspected both inverters and site was remained offline from 05/13 to End of the month due to exposed wires and safety concerns and the inverters need further troubleshooting due to faulty parts.
</t>
  </si>
  <si>
    <t xml:space="preserve">1.SR101579, SR099790, SR101399
</t>
  </si>
  <si>
    <t>SR099790</t>
  </si>
  <si>
    <t>SR101399</t>
  </si>
  <si>
    <t>1. The site was taken offline at 12:35 on 05/27 while a technician was on-site performing a DAS retrofit to the power track, and it was brought back online at 14:21 on 05/28.</t>
  </si>
  <si>
    <t>1. SR093280</t>
  </si>
  <si>
    <t>1. As per the meter 1 inverter was offline for whole month and also there were struck trackers. Additionally, meter was down about another 146KW and likely 1 inveter offline and another inverter at half production.Working with NREL for dispatch.</t>
  </si>
  <si>
    <t xml:space="preserve">1. Inverter B tripped offline on 04/06 at 18:00 due to a GFDI fault. The inverter requires new DC contactors and possibly capacitors. A technician visited the site on 05/15, installed a new LS filter, and de-energized the inverter; it came back online at 12:00 the same day.Later, on 05/21 at 07:00, Inverter B tripped offline again, reporting an F45 insulation fault. It was remotely reset and came back online at 14:00. Additionally, on 05/22, Inverter B was offline again from 08:45 to 10:30 due to Pratt being on site to replace the SEL-651R reclosing relay on the inverter.
2. Inverter A was derated by 1000KW down on 05/15 at 09:15 technician took the inverter offline to replace capacitors and exhaust fan. later inverter was re-energized at EOD. Additionally, Inverter A was offline from 15:30 to 17:15 on 05/17 while a technician was on site and performing preventive maintenance inspection. Inverter A was intermittently tripping on and off throughout the day on 05/30.
</t>
  </si>
  <si>
    <t>1. SR099478 
SR101785, SR101822
2. SR099994, SR099185, SR102003, SR102210
PM8642</t>
  </si>
  <si>
    <t>SR101785</t>
  </si>
  <si>
    <t>SR101822</t>
  </si>
  <si>
    <t>SR099994</t>
  </si>
  <si>
    <t>SR102003</t>
  </si>
  <si>
    <t>SR102210</t>
  </si>
  <si>
    <t>1. These sites are moved to true green portifolio</t>
  </si>
  <si>
    <t>June Actual v. Expected</t>
  </si>
  <si>
    <t>June Actual v. Forecasted</t>
  </si>
  <si>
    <t>1. Inverter 1 was offline from 06/01 to 17:30 on 06/04
2.  Inverter 2 was offline from 06/01 to 17:30 on 06/04</t>
  </si>
  <si>
    <t>1. SR099790, SR101579
2. SR101399, PM9684</t>
  </si>
  <si>
    <t>SR101579</t>
  </si>
  <si>
    <t>1. Site production was low on 06/03, 06/17 due to low irradiance.</t>
  </si>
  <si>
    <t>1. As per meter 1 inverter was offline for whole month.</t>
  </si>
  <si>
    <t>1. These sites are moved to Altus portifolio</t>
  </si>
  <si>
    <t>July Actual v. Expected</t>
  </si>
  <si>
    <t>July Actual v. Forecasted</t>
  </si>
  <si>
    <t>1. Inverter 2 was underproducing for whole month.</t>
  </si>
  <si>
    <t>1. SR102730</t>
  </si>
  <si>
    <t xml:space="preserve">1. Site was taken offline from 14:00 to 15:45 on 07/24 due to transformer work.
</t>
  </si>
  <si>
    <t>1. SR103430, PM13367</t>
  </si>
  <si>
    <t>1. Site production was low on 07/14, 07/29</t>
  </si>
  <si>
    <t>1.  Inverter 3 was offline from 07/01 to 07/29 and inverter 2 was offline for whole month. About 30 strings were down and needed connector replacements across the entire site.</t>
  </si>
  <si>
    <t>August Actual v. Expected</t>
  </si>
  <si>
    <t>August Actual v. Forecasted</t>
  </si>
  <si>
    <t>1. Inverter 2 was underproducing by 20 kW since 06/09.</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</si>
  <si>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</si>
  <si>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for whole month. About 30 strings were down and needed connector replacements across the entire site.</t>
  </si>
  <si>
    <t>September Actual v. Expected</t>
  </si>
  <si>
    <t>September Actual v. Forecasted</t>
  </si>
  <si>
    <t>1. Inverter 2 was underperforming by 20kW for whole month.</t>
  </si>
  <si>
    <t>1. Few modules need to be replaced.</t>
  </si>
  <si>
    <t>1. SR106365</t>
  </si>
  <si>
    <t>1. Inverter 3 was offline from 09/01 to 09/26.
2. Inverter 2 was offline for whole month.</t>
  </si>
  <si>
    <t>1. SR107074
2. SR107072</t>
  </si>
  <si>
    <t>SR107072</t>
  </si>
  <si>
    <t>October Actual v. Expected</t>
  </si>
  <si>
    <t>October Actual v. Forecasted</t>
  </si>
  <si>
    <t>Status</t>
  </si>
  <si>
    <t>1. Inverter 1 was offline from 09:35 on 10/12 to 10/16.</t>
  </si>
  <si>
    <t>1. SR109398</t>
  </si>
  <si>
    <t>1. Closed</t>
  </si>
  <si>
    <t>1. Site was not communicated from 09/30 to 13:00 on 10/09 due to that expected value is showing low.</t>
  </si>
  <si>
    <t>1. SR108885</t>
  </si>
  <si>
    <t xml:space="preserve">1. Inverter 1 was offline for whole month.
2. Inverter 3 was offline on 10/16, 10/20, 10/21, 10/22, 10/26, 10/28, 10/30, 10/31 based on meter power </t>
  </si>
  <si>
    <t>1. SR107072
2. SR109606</t>
  </si>
  <si>
    <t>1. Work in progress
2. New</t>
  </si>
  <si>
    <t>SR109606</t>
  </si>
  <si>
    <t>November Actual v. Expected</t>
  </si>
  <si>
    <t>November Actual v. Forecasted</t>
  </si>
  <si>
    <t>SR Status</t>
  </si>
  <si>
    <t>1. Site was offline from 10:30 to 15:15 on 11/27.</t>
  </si>
  <si>
    <t>1. Site was offline from 12:00 on 11/22 to 07:45 on 11/23 
2. Site was offline from 10:00 on 11/27 to 06:00 on 11/28.</t>
  </si>
  <si>
    <t>1. SR111488
2.SR111803</t>
  </si>
  <si>
    <t>1. Closed
2.Closed</t>
  </si>
  <si>
    <t>SR111803</t>
  </si>
  <si>
    <t>1. Inverter has morning shading.</t>
  </si>
  <si>
    <t>1. Inverter 3 was offline for whole month.
2. Inverter 2 was offline for whole month.</t>
  </si>
  <si>
    <t>1. SR109606
2. SR107072</t>
  </si>
  <si>
    <t>1. Pending
2. Closed</t>
  </si>
  <si>
    <t>December Actual v. Expected</t>
  </si>
  <si>
    <t>December Actual v. Forecasted</t>
  </si>
  <si>
    <t>Portfolio:</t>
  </si>
  <si>
    <t>Tortoise</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</si>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</sst>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8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39" fillId="0" borderId="0" xfId="45" applyAlignment="1">
      <alignment vertical="top"/>
    </xf>
    <xf numFmtId="3" fontId="31" fillId="0" borderId="0" xfId="1" applyNumberFormat="1" applyFont="1" applyFill="1" applyBorder="1" applyAlignment="1">
      <alignment horizontal="right"/>
    </xf>
    <xf numFmtId="0" fontId="33" fillId="0" borderId="0" xfId="0" applyFont="1" applyAlignment="1">
      <alignment horizontal="left" vertical="top"/>
    </xf>
    <xf numFmtId="49" fontId="39" fillId="0" borderId="0" xfId="45" applyNumberFormat="1" applyAlignment="1">
      <alignment vertical="center" wrapText="1"/>
    </xf>
    <xf numFmtId="49" fontId="39" fillId="0" borderId="0" xfId="45" applyNumberFormat="1" applyAlignment="1">
      <alignment vertical="top" wrapText="1"/>
    </xf>
    <xf numFmtId="0" fontId="39" fillId="0" borderId="0" xfId="45"/>
    <xf numFmtId="0" fontId="0" fillId="0" borderId="0" xfId="0" applyAlignment="1">
      <alignmen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822" TargetMode="External"/><Relationship Id="rId3" Type="http://schemas.openxmlformats.org/officeDocument/2006/relationships/hyperlink" Target="https://us3.assetplanner.com/service_request?ID=101399" TargetMode="External"/><Relationship Id="rId7" Type="http://schemas.openxmlformats.org/officeDocument/2006/relationships/hyperlink" Target="https://us3.assetplanner.com/service_request?ID=101785" TargetMode="External"/><Relationship Id="rId12" Type="http://schemas.openxmlformats.org/officeDocument/2006/relationships/hyperlink" Target="https://us3.assetplanner.com/service_request?ID=102210" TargetMode="External"/><Relationship Id="rId2" Type="http://schemas.openxmlformats.org/officeDocument/2006/relationships/hyperlink" Target="https://us3.assetplanner.com/service_request?ID=099790" TargetMode="External"/><Relationship Id="rId1" Type="http://schemas.openxmlformats.org/officeDocument/2006/relationships/hyperlink" Target="https://us3.assetplanner.com/service_request?ID=101579" TargetMode="External"/><Relationship Id="rId6" Type="http://schemas.openxmlformats.org/officeDocument/2006/relationships/hyperlink" Target="https://us3.assetplanner.com/service_request?ID=099478" TargetMode="External"/><Relationship Id="rId11" Type="http://schemas.openxmlformats.org/officeDocument/2006/relationships/hyperlink" Target="https://us3.assetplanner.com/service_request?ID=102003" TargetMode="External"/><Relationship Id="rId5" Type="http://schemas.openxmlformats.org/officeDocument/2006/relationships/hyperlink" Target="https://us3.assetplanner.com/service_request?ID=096263" TargetMode="External"/><Relationship Id="rId10" Type="http://schemas.openxmlformats.org/officeDocument/2006/relationships/hyperlink" Target="https://us3.assetplanner.com/service_request?ID=099185" TargetMode="External"/><Relationship Id="rId4" Type="http://schemas.openxmlformats.org/officeDocument/2006/relationships/hyperlink" Target="https://us3.assetplanner.com/service_request?ID=093280" TargetMode="External"/><Relationship Id="rId9" Type="http://schemas.openxmlformats.org/officeDocument/2006/relationships/hyperlink" Target="https://us3.assetplanner.com/service_request?ID=09999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99" TargetMode="External"/><Relationship Id="rId2" Type="http://schemas.openxmlformats.org/officeDocument/2006/relationships/hyperlink" Target="https://us3.assetplanner.com/service_request?ID=101579" TargetMode="External"/><Relationship Id="rId1" Type="http://schemas.openxmlformats.org/officeDocument/2006/relationships/hyperlink" Target="https://us3.assetplanner.com/service_request?ID=099790" TargetMode="External"/><Relationship Id="rId4" Type="http://schemas.openxmlformats.org/officeDocument/2006/relationships/hyperlink" Target="https://us3.assetplanner.com/service_request?ID=09626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6263" TargetMode="External"/><Relationship Id="rId2" Type="http://schemas.openxmlformats.org/officeDocument/2006/relationships/hyperlink" Target="https://us3.assetplanner.com/service_request?ID=103430" TargetMode="External"/><Relationship Id="rId1" Type="http://schemas.openxmlformats.org/officeDocument/2006/relationships/hyperlink" Target="https://us3.assetplanner.com/service_request?ID=102730"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us3.assetplanner.com/service_request?ID=096263" TargetMode="External"/><Relationship Id="rId1" Type="http://schemas.openxmlformats.org/officeDocument/2006/relationships/hyperlink" Target="https://us3.assetplanner.com/service_request?ID=102730"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7074" TargetMode="External"/><Relationship Id="rId2" Type="http://schemas.openxmlformats.org/officeDocument/2006/relationships/hyperlink" Target="https://us3.assetplanner.com/service_request?ID=106365" TargetMode="External"/><Relationship Id="rId1" Type="http://schemas.openxmlformats.org/officeDocument/2006/relationships/hyperlink" Target="https://us3.assetplanner.com/service_request?ID=102730" TargetMode="External"/><Relationship Id="rId4" Type="http://schemas.openxmlformats.org/officeDocument/2006/relationships/hyperlink" Target="https://us3.assetplanner.com/service_request?ID=107072"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6365" TargetMode="External"/><Relationship Id="rId2" Type="http://schemas.openxmlformats.org/officeDocument/2006/relationships/hyperlink" Target="https://us3.assetplanner.com/service_request?ID=108885" TargetMode="External"/><Relationship Id="rId1" Type="http://schemas.openxmlformats.org/officeDocument/2006/relationships/hyperlink" Target="https://us3.assetplanner.com/service_request?ID=109398" TargetMode="External"/><Relationship Id="rId5" Type="http://schemas.openxmlformats.org/officeDocument/2006/relationships/hyperlink" Target="https://us3.assetplanner.com/service_request?ID=109606" TargetMode="External"/><Relationship Id="rId4" Type="http://schemas.openxmlformats.org/officeDocument/2006/relationships/hyperlink" Target="https://us3.assetplanner.com/service_request?ID=107072"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us3.assetplanner.com/service_request?ID=109606" TargetMode="External"/><Relationship Id="rId2" Type="http://schemas.openxmlformats.org/officeDocument/2006/relationships/hyperlink" Target="https://us3.assetplanner.com/service_request?ID=111803" TargetMode="External"/><Relationship Id="rId1" Type="http://schemas.openxmlformats.org/officeDocument/2006/relationships/hyperlink" Target="https://us3.assetplanner.com/service_request?ID=111488" TargetMode="External"/><Relationship Id="rId5" Type="http://schemas.openxmlformats.org/officeDocument/2006/relationships/printerSettings" Target="../printerSettings/printerSettings4.bin"/><Relationship Id="rId4" Type="http://schemas.openxmlformats.org/officeDocument/2006/relationships/hyperlink" Target="https://us3.assetplanner.com/service_request?ID=107072"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G23" sqref="G23"/>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Tortoise</v>
      </c>
      <c r="B1" s="78"/>
      <c r="C1" s="78"/>
      <c r="D1" s="79" t="s">
        <v>0</v>
      </c>
      <c r="E1" s="79"/>
      <c r="F1" s="79"/>
      <c r="G1" s="77" t="s">
        <v>1</v>
      </c>
      <c r="H1" s="77"/>
      <c r="I1" s="77"/>
    </row>
    <row r="2" spans="1:9" ht="19.5" customHeight="1">
      <c r="A2" s="80" t="s">
        <v>2</v>
      </c>
      <c r="B2" s="80"/>
      <c r="C2" s="6">
        <f>SUM(C4:C91)</f>
        <v>11785677.327886416</v>
      </c>
      <c r="D2" s="6">
        <f>SUM(D4:D91)</f>
        <v>15246861.541365819</v>
      </c>
      <c r="E2" s="6">
        <f>C2-D2</f>
        <v>-3461184.2134794034</v>
      </c>
      <c r="F2" s="7">
        <f>IFERROR(E2/D2, 0)</f>
        <v>-0.227009617952453</v>
      </c>
      <c r="G2" s="6">
        <f>SUM(G4:G91)</f>
        <v>13827681.172899999</v>
      </c>
      <c r="H2" s="8">
        <f>C2-G2</f>
        <v>-2042003.8450135831</v>
      </c>
      <c r="I2" s="7">
        <f>IFERROR(H2/G2, 0)</f>
        <v>-0.14767507432956856</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907332.86801399221</v>
      </c>
      <c r="D4" s="14">
        <f>SUM('1st Qtr'!D4, '2nd Qtr'!D4, '3rd Qtr'!D4, '4th Qtr'!D4)</f>
        <v>1144647.3611253398</v>
      </c>
      <c r="E4" s="14">
        <f>IF(AND(ISNUMBER(C4),ISNUMBER(D4)), C4-D4, "")</f>
        <v>-237314.49311134755</v>
      </c>
      <c r="F4" s="15">
        <f>IFERROR(E4/D4, "")</f>
        <v>-0.20732541843982064</v>
      </c>
      <c r="G4" s="16">
        <f>SUM('1st Qtr'!G4, '2nd Qtr'!G4, '3rd Qtr'!G4, '4th Qtr'!G4)</f>
        <v>1115715.8459000001</v>
      </c>
      <c r="H4" s="16">
        <f>SUM('1st Qtr'!H4, '2nd Qtr'!H4, '3rd Qtr'!H4, '4th Qtr'!H4)</f>
        <v>-208382.97788600775</v>
      </c>
      <c r="I4" s="56">
        <f>IFERROR(H4/G4, "")</f>
        <v>-0.18677065370342047</v>
      </c>
    </row>
    <row r="5" spans="1:9" ht="15.6">
      <c r="A5" s="18" t="str">
        <v>San Luis Valley</v>
      </c>
      <c r="B5" s="11" t="str">
        <v>CO</v>
      </c>
      <c r="C5" s="19">
        <f>SUM('1st Qtr'!C5, '2nd Qtr'!C5, '3rd Qtr'!C5, '4th Qtr'!C5)</f>
        <v>2319842.0130000003</v>
      </c>
      <c r="D5" s="19">
        <f>SUM('1st Qtr'!D5, '2nd Qtr'!D5, '3rd Qtr'!D5, '4th Qtr'!D5)</f>
        <v>2144843.64</v>
      </c>
      <c r="E5" s="19">
        <f t="shared" ref="E5:E6" si="0">IF(AND(ISNUMBER(C5),ISNUMBER(D5)), C5-D5, "")</f>
        <v>174998.37300000014</v>
      </c>
      <c r="F5" s="20">
        <f>IFERROR(E5/D5, "")</f>
        <v>8.1590270608257548E-2</v>
      </c>
      <c r="G5" s="21">
        <f>SUM('1st Qtr'!G5, '2nd Qtr'!G5, '3rd Qtr'!G5, '4th Qtr'!G5)</f>
        <v>1165962.8560000001</v>
      </c>
      <c r="H5" s="57">
        <f>SUM('1st Qtr'!H5, '2nd Qtr'!H5, '3rd Qtr'!H5, '4th Qtr'!H5)</f>
        <v>1153879.1570000001</v>
      </c>
      <c r="I5" s="20">
        <f>IFERROR(H5/G5, "")</f>
        <v>0.98963629163843614</v>
      </c>
    </row>
    <row r="6" spans="1:9" ht="15.6">
      <c r="A6" s="13" t="str">
        <v>Golden NREL 2</v>
      </c>
      <c r="B6" s="10" t="str">
        <v>CO</v>
      </c>
      <c r="C6" s="25">
        <f>SUM('1st Qtr'!C6, '2nd Qtr'!C6, '3rd Qtr'!C6, '4th Qtr'!C6)</f>
        <v>113464.45500000002</v>
      </c>
      <c r="D6" s="14">
        <f>SUM('1st Qtr'!D6, '2nd Qtr'!D6, '3rd Qtr'!D6, '4th Qtr'!D6)</f>
        <v>114665.068240479</v>
      </c>
      <c r="E6" s="14">
        <f t="shared" si="0"/>
        <v>-1200.6132404789823</v>
      </c>
      <c r="F6" s="15">
        <f t="shared" ref="F6:F13" si="1">IFERROR(E6/D6, "")</f>
        <v>-1.0470610264331073E-2</v>
      </c>
      <c r="G6" s="16">
        <f>SUM('1st Qtr'!G6, '2nd Qtr'!G6, '3rd Qtr'!G6, '4th Qtr'!G6)</f>
        <v>132425.99100000001</v>
      </c>
      <c r="H6" s="16">
        <f>SUM('1st Qtr'!H6, '2nd Qtr'!H6, '3rd Qtr'!H6, '4th Qtr'!H6)</f>
        <v>-18961.536000000004</v>
      </c>
      <c r="I6" s="17">
        <f t="shared" ref="I6:I13" si="2">IFERROR(H6/G6, "")</f>
        <v>-0.14318590978110937</v>
      </c>
    </row>
    <row r="7" spans="1:9" ht="15.6">
      <c r="A7" s="18" t="str">
        <v>Golden NREL Wind 3</v>
      </c>
      <c r="B7" s="11" t="str">
        <v>CO</v>
      </c>
      <c r="C7" s="19">
        <f>SUM('1st Qtr'!C7, '2nd Qtr'!C7, '3rd Qtr'!C7, '4th Qtr'!C7)</f>
        <v>655043.08864124992</v>
      </c>
      <c r="D7" s="19">
        <f>SUM('1st Qtr'!D7, '2nd Qtr'!D7, '3rd Qtr'!D7, '4th Qtr'!D7)</f>
        <v>1291621.9339999999</v>
      </c>
      <c r="E7" s="19">
        <f t="shared" ref="E7:E13" si="3">IF(AND(ISNUMBER(C7),ISNUMBER(D7)), C7-D7, "")</f>
        <v>-636578.84535874997</v>
      </c>
      <c r="F7" s="20">
        <f t="shared" si="1"/>
        <v>-0.49285230345023701</v>
      </c>
      <c r="G7" s="21">
        <f>SUM('1st Qtr'!G7, '2nd Qtr'!G7, '3rd Qtr'!G7, '4th Qtr'!G7)</f>
        <v>715357.6</v>
      </c>
      <c r="H7" s="21">
        <f>SUM('1st Qtr'!H7, '2nd Qtr'!H7, '3rd Qtr'!H7, '4th Qtr'!H7)</f>
        <v>-60314.511358750082</v>
      </c>
      <c r="I7" s="20">
        <f t="shared" si="2"/>
        <v>-8.43137912545419E-2</v>
      </c>
    </row>
    <row r="8" spans="1:9" ht="15.6" hidden="1">
      <c r="A8" s="13" t="str">
        <v>Pratt Solar Farm</v>
      </c>
      <c r="B8" s="10" t="str">
        <v>KS</v>
      </c>
      <c r="C8" s="25">
        <f>SUM('1st Qtr'!C8, '2nd Qtr'!C8, '3rd Qtr'!C8, '4th Qtr'!C8)</f>
        <v>2589150</v>
      </c>
      <c r="D8" s="14">
        <f>SUM('1st Qtr'!D8, '2nd Qtr'!D8, '3rd Qtr'!D8, '4th Qtr'!D8)</f>
        <v>5187681.909</v>
      </c>
      <c r="E8" s="14">
        <f t="shared" si="3"/>
        <v>-2598531.909</v>
      </c>
      <c r="F8" s="15">
        <f t="shared" si="1"/>
        <v>-0.50090424867643901</v>
      </c>
      <c r="G8" s="16">
        <f>SUM('1st Qtr'!G8, '2nd Qtr'!G8, '3rd Qtr'!G8, '4th Qtr'!G8)</f>
        <v>4981086.93</v>
      </c>
      <c r="H8" s="16">
        <f>SUM('1st Qtr'!H8, '2nd Qtr'!H8, '3rd Qtr'!H8, '4th Qtr'!H8)</f>
        <v>-2391936.9300000002</v>
      </c>
      <c r="I8" s="17">
        <f t="shared" si="2"/>
        <v>-0.48020381166084175</v>
      </c>
    </row>
    <row r="9" spans="1:9" ht="12.75" hidden="1" customHeight="1">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hidden="1">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hidden="1">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hidden="1">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hidden="1">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G2" sqref="G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Tortoise</v>
      </c>
      <c r="B1" s="78"/>
      <c r="C1" s="78"/>
      <c r="D1" s="79" t="s">
        <v>10</v>
      </c>
      <c r="E1" s="79"/>
      <c r="F1" s="79"/>
      <c r="G1" s="77" t="s">
        <v>11</v>
      </c>
      <c r="H1" s="77"/>
      <c r="I1" s="77"/>
    </row>
    <row r="2" spans="1:9" ht="19.5" customHeight="1">
      <c r="A2" s="80" t="s">
        <v>2</v>
      </c>
      <c r="B2" s="80"/>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hidden="1">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hidden="1" customHeight="1">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hidden="1">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hidden="1">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hidden="1">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hidden="1">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A9" sqref="A9"/>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Tortoise</v>
      </c>
      <c r="B1" s="78"/>
      <c r="C1" s="78"/>
      <c r="D1" s="79" t="s">
        <v>12</v>
      </c>
      <c r="E1" s="79"/>
      <c r="F1" s="79"/>
      <c r="G1" s="77" t="s">
        <v>13</v>
      </c>
      <c r="H1" s="77"/>
      <c r="I1" s="77"/>
    </row>
    <row r="2" spans="1:9" ht="19.5" customHeight="1">
      <c r="A2" s="80" t="s">
        <v>2</v>
      </c>
      <c r="B2" s="80"/>
      <c r="C2" s="6">
        <f>SUM(C4:C91)</f>
        <v>2153023.2556077414</v>
      </c>
      <c r="D2" s="6">
        <f>SUM(D4:D91)</f>
        <v>3627509.5827217912</v>
      </c>
      <c r="E2" s="6">
        <f>C2-D2</f>
        <v>-1474486.3271140498</v>
      </c>
      <c r="F2" s="7">
        <f>IFERROR(E2/D2, 0)</f>
        <v>-0.40647344782690109</v>
      </c>
      <c r="G2" s="6">
        <f>SUM(G4:G91)</f>
        <v>2716685.0119999996</v>
      </c>
      <c r="H2" s="8">
        <f>C2-G2</f>
        <v>-563661.75639225822</v>
      </c>
      <c r="I2" s="7">
        <f>IFERROR(H2/G2, 0)</f>
        <v>-0.20748145401564069</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210907.06801399146</v>
      </c>
      <c r="D4" s="14">
        <f>SUM(Apr!D4, May!D4, Jun!D4)</f>
        <v>366678.82261231216</v>
      </c>
      <c r="E4" s="14">
        <f>IF(AND(ISNUMBER(C4),ISNUMBER(D4)), C4-D4, "")</f>
        <v>-155771.75459832069</v>
      </c>
      <c r="F4" s="15">
        <f>IFERROR(E4/D4, "")</f>
        <v>-0.42481797418395623</v>
      </c>
      <c r="G4" s="16">
        <f>SUM(Apr!G4+May!G4+Jun!G4)</f>
        <v>410180.8499999998</v>
      </c>
      <c r="H4" s="16">
        <f>SUM(Apr!H4, May!H4, Jun!H4)</f>
        <v>-199273.78198600834</v>
      </c>
      <c r="I4" s="17">
        <f>IFERROR(H4/G4, "")</f>
        <v>-0.48581932088250446</v>
      </c>
    </row>
    <row r="5" spans="1:9" ht="15.6">
      <c r="A5" s="18" t="str">
        <v>San Luis Valley</v>
      </c>
      <c r="B5" s="11" t="str">
        <v>CO</v>
      </c>
      <c r="C5" s="12">
        <f>SUM(Apr!C5, May!C5, Jun!C5)</f>
        <v>712510.75</v>
      </c>
      <c r="D5" s="19">
        <f>SUM(Apr!D5, May!D5, Jun!D5)</f>
        <v>681959.40299999993</v>
      </c>
      <c r="E5" s="19">
        <f t="shared" ref="E5:E6" si="0">IF(AND(ISNUMBER(C5),ISNUMBER(D5)), C5-D5, "")</f>
        <v>30551.347000000067</v>
      </c>
      <c r="F5" s="20">
        <f>IFERROR(E5/D5, "")</f>
        <v>4.4799363225438316E-2</v>
      </c>
      <c r="G5" s="21">
        <f>SUM(Apr!G5+May!G5+Jun!G5)</f>
        <v>0</v>
      </c>
      <c r="H5" s="21">
        <f>SUM(Apr!H5, May!H5, Jun!H5)</f>
        <v>712510.75</v>
      </c>
      <c r="I5" s="20" t="str">
        <f>IFERROR(H5/G5, "")</f>
        <v/>
      </c>
    </row>
    <row r="6" spans="1:9" ht="15.6">
      <c r="A6" s="13" t="str">
        <v>Golden NREL 2</v>
      </c>
      <c r="B6" s="10" t="str">
        <v>CO</v>
      </c>
      <c r="C6" s="25">
        <f>SUM(Apr!C6, May!C6, Jun!C6)</f>
        <v>37323.751000000004</v>
      </c>
      <c r="D6" s="14">
        <f>SUM(Apr!D6, May!D6, Jun!D6)</f>
        <v>36197.906109479001</v>
      </c>
      <c r="E6" s="14">
        <f t="shared" si="0"/>
        <v>1125.8448905210025</v>
      </c>
      <c r="F6" s="15">
        <f t="shared" ref="F6:F13" si="1">IFERROR(E6/D6, "")</f>
        <v>3.1102486622180115E-2</v>
      </c>
      <c r="G6" s="16">
        <f>SUM(Apr!G6+May!G6+Jun!G6)</f>
        <v>41511.161999999997</v>
      </c>
      <c r="H6" s="16">
        <f>SUM(Apr!H6, May!H6, Jun!H6)</f>
        <v>-4187.4110000000019</v>
      </c>
      <c r="I6" s="17">
        <f t="shared" ref="I6:I13" si="2">IFERROR(H6/G6, "")</f>
        <v>-0.10087433832856817</v>
      </c>
    </row>
    <row r="7" spans="1:9" ht="15.6">
      <c r="A7" s="18" t="str">
        <v>Golden NREL Wind 3</v>
      </c>
      <c r="B7" s="11" t="str">
        <v>CO</v>
      </c>
      <c r="C7" s="12">
        <f>SUM(Apr!C7, May!C7, Jun!C7)</f>
        <v>258061.68659375</v>
      </c>
      <c r="D7" s="19">
        <f>SUM(Apr!D7, May!D7, Jun!D7)</f>
        <v>452051.451</v>
      </c>
      <c r="E7" s="19">
        <f t="shared" ref="E7:E13" si="3">IF(AND(ISNUMBER(C7),ISNUMBER(D7)), C7-D7, "")</f>
        <v>-193989.76440625</v>
      </c>
      <c r="F7" s="20">
        <f t="shared" si="1"/>
        <v>-0.42913204675511596</v>
      </c>
      <c r="G7" s="21">
        <f>SUM(Apr!G7+May!G7+Jun!G7)</f>
        <v>0</v>
      </c>
      <c r="H7" s="21">
        <f>SUM(Apr!H7, May!H7, Jun!H7)</f>
        <v>258061.68659375</v>
      </c>
      <c r="I7" s="20" t="str">
        <f t="shared" si="2"/>
        <v/>
      </c>
    </row>
    <row r="8" spans="1:9" ht="15.6">
      <c r="A8" s="13" t="str">
        <v>Pratt Solar Farm</v>
      </c>
      <c r="B8" s="10" t="str">
        <v>KS</v>
      </c>
      <c r="C8" s="25">
        <f>SUM(Apr!C8, May!C8, Jun!C8)</f>
        <v>934220</v>
      </c>
      <c r="D8" s="14">
        <f>SUM(Apr!D8, May!D8, Jun!D8)</f>
        <v>2090622</v>
      </c>
      <c r="E8" s="14">
        <f t="shared" si="3"/>
        <v>-1156402</v>
      </c>
      <c r="F8" s="15">
        <f t="shared" si="1"/>
        <v>-0.5531377743083159</v>
      </c>
      <c r="G8" s="16">
        <f>SUM(Apr!G8+May!G8+Jun!G8)</f>
        <v>2264993</v>
      </c>
      <c r="H8" s="16">
        <f>SUM(Apr!H8, May!H8, Jun!H8)</f>
        <v>-1330773</v>
      </c>
      <c r="I8" s="17">
        <f t="shared" si="2"/>
        <v>-0.58753956413993336</v>
      </c>
    </row>
    <row r="9" spans="1:9" ht="12.75" hidden="1"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hidden="1">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hidden="1">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hidden="1">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hidden="1">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A8" sqref="A8"/>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Tortoise</v>
      </c>
      <c r="B1" s="78"/>
      <c r="C1" s="78"/>
      <c r="D1" s="79" t="s">
        <v>14</v>
      </c>
      <c r="E1" s="79"/>
      <c r="F1" s="79"/>
      <c r="G1" s="77" t="s">
        <v>15</v>
      </c>
      <c r="H1" s="77"/>
      <c r="I1" s="77"/>
    </row>
    <row r="2" spans="1:9" ht="19.5" customHeight="1">
      <c r="A2" s="80" t="s">
        <v>2</v>
      </c>
      <c r="B2" s="80"/>
      <c r="C2" s="6">
        <f>SUM(C4:C91)</f>
        <v>1194242.564</v>
      </c>
      <c r="D2" s="6">
        <f>SUM(D4:D91)</f>
        <v>1373129.753317046</v>
      </c>
      <c r="E2" s="6">
        <f>C2-D2</f>
        <v>-178887.18931704597</v>
      </c>
      <c r="F2" s="7">
        <f>IFERROR(E2/D2, 0)</f>
        <v>-0.13027697410598763</v>
      </c>
      <c r="G2" s="6">
        <f>SUM(G4:G91)</f>
        <v>1649012.8819000002</v>
      </c>
      <c r="H2" s="8">
        <f>C2-G2</f>
        <v>-454770.31790000014</v>
      </c>
      <c r="I2" s="7">
        <f>IFERROR(H2/G2, 0)</f>
        <v>-0.2757833628176462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319437</v>
      </c>
      <c r="D4" s="14">
        <f>SUM(Jul!D4, Aug!D4, Sep!D4)</f>
        <v>328424.588317046</v>
      </c>
      <c r="E4" s="14">
        <f>IF(AND(ISNUMBER(C4),ISNUMBER(D4)), C4-D4, "")</f>
        <v>-8987.5883170460002</v>
      </c>
      <c r="F4" s="15">
        <f>IFERROR(E4/D4, "")</f>
        <v>-2.736575955868991E-2</v>
      </c>
      <c r="G4" s="16">
        <f>SUM(Jul!G4,Aug!G4,Sep!G4)</f>
        <v>368930.92590000003</v>
      </c>
      <c r="H4" s="16">
        <f>SUM(Jul!H4, Aug!H4, Sep!H4)</f>
        <v>-49493.925900000017</v>
      </c>
      <c r="I4" s="17">
        <f>IFERROR(H4/G4, "")</f>
        <v>-0.1341549933209327</v>
      </c>
    </row>
    <row r="5" spans="1:9" ht="15.6">
      <c r="A5" s="18" t="str">
        <v>San Luis Valley</v>
      </c>
      <c r="B5" s="11" t="str">
        <v>CO</v>
      </c>
      <c r="C5" s="12">
        <f>SUM(Jul!C5, Aug!C5, Sep!C5)</f>
        <v>693812.75</v>
      </c>
      <c r="D5" s="19">
        <f>SUM(Jul!D5, Aug!D5, Sep!D5)</f>
        <v>610051.39300000004</v>
      </c>
      <c r="E5" s="19">
        <f t="shared" ref="E5:E6" si="0">IF(AND(ISNUMBER(C5),ISNUMBER(D5)), C5-D5, "")</f>
        <v>83761.35699999996</v>
      </c>
      <c r="F5" s="20">
        <f>IFERROR(E5/D5, "")</f>
        <v>0.13730213218282078</v>
      </c>
      <c r="G5" s="57">
        <f>SUM(Jul!G5,Aug!G5,Sep!G5)</f>
        <v>762465</v>
      </c>
      <c r="H5" s="21">
        <f>SUM(Jul!H5, Aug!H5, Sep!H5)</f>
        <v>-68652.25</v>
      </c>
      <c r="I5" s="20">
        <f>IFERROR(H5/G5, "")</f>
        <v>-9.0039870682588716E-2</v>
      </c>
    </row>
    <row r="6" spans="1:9" ht="15.6">
      <c r="A6" s="13" t="str">
        <v>Golden NREL 2</v>
      </c>
      <c r="B6" s="10" t="str">
        <v>CO</v>
      </c>
      <c r="C6" s="25">
        <f>SUM(Jul!C6, Aug!C6, Sep!C6)</f>
        <v>35422.000999999997</v>
      </c>
      <c r="D6" s="14">
        <f>SUM(Jul!D6, Aug!D6, Sep!D6)</f>
        <v>37606.173999999999</v>
      </c>
      <c r="E6" s="14">
        <f t="shared" si="0"/>
        <v>-2184.1730000000025</v>
      </c>
      <c r="F6" s="15">
        <f t="shared" ref="F6:F13" si="1">IFERROR(E6/D6, "")</f>
        <v>-5.8080170559227921E-2</v>
      </c>
      <c r="G6" s="16">
        <f>SUM(Jul!G6,Aug!G6,Sep!G6)</f>
        <v>41957.955999999998</v>
      </c>
      <c r="H6" s="16">
        <f>SUM(Jul!H6, Aug!H6, Sep!H6)</f>
        <v>-6535.9550000000017</v>
      </c>
      <c r="I6" s="17">
        <f t="shared" ref="I6:I13" si="2">IFERROR(H6/G6, "")</f>
        <v>-0.15577391329549042</v>
      </c>
    </row>
    <row r="7" spans="1:9" ht="15.6">
      <c r="A7" s="18" t="str">
        <v>Golden NREL Wind 3</v>
      </c>
      <c r="B7" s="11" t="str">
        <v>CO</v>
      </c>
      <c r="C7" s="12">
        <f>SUM(Jul!C7, Aug!C7, Sep!C7)</f>
        <v>145570.81299999999</v>
      </c>
      <c r="D7" s="19">
        <f>SUM(Jul!D7, Aug!D7, Sep!D7)</f>
        <v>397047.598</v>
      </c>
      <c r="E7" s="19">
        <f t="shared" ref="E7:E13" si="3">IF(AND(ISNUMBER(C7),ISNUMBER(D7)), C7-D7, "")</f>
        <v>-251476.785</v>
      </c>
      <c r="F7" s="20">
        <f t="shared" si="1"/>
        <v>-0.63336684635981599</v>
      </c>
      <c r="G7" s="57">
        <f>SUM(Jul!G7,Aug!G7,Sep!G7)</f>
        <v>475659</v>
      </c>
      <c r="H7" s="21">
        <f>SUM(Jul!H7, Aug!H7, Sep!H7)</f>
        <v>-330088.18700000003</v>
      </c>
      <c r="I7" s="20">
        <f t="shared" si="2"/>
        <v>-0.69395972114476978</v>
      </c>
    </row>
    <row r="8" spans="1:9" ht="15.6" hidden="1">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hidden="1"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hidden="1">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hidden="1">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hidden="1">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hidden="1">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A8" sqref="A8"/>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Tortoise</v>
      </c>
      <c r="B1" s="78"/>
      <c r="C1" s="78"/>
      <c r="D1" s="79" t="s">
        <v>16</v>
      </c>
      <c r="E1" s="79"/>
      <c r="F1" s="79"/>
      <c r="G1" s="77" t="s">
        <v>17</v>
      </c>
      <c r="H1" s="77"/>
      <c r="I1" s="77"/>
    </row>
    <row r="2" spans="1:9" ht="19.5" customHeight="1">
      <c r="A2" s="80" t="s">
        <v>2</v>
      </c>
      <c r="B2" s="80"/>
      <c r="C2" s="6">
        <f>SUM(C4:C91)</f>
        <v>610000.51100000076</v>
      </c>
      <c r="D2" s="6">
        <f>SUM(D4:D91)</f>
        <v>664700.1148959815</v>
      </c>
      <c r="E2" s="6">
        <f>C2-D2</f>
        <v>-54699.603895980748</v>
      </c>
      <c r="F2" s="7">
        <f>IFERROR(E2/D2, 0)</f>
        <v>-8.2292153514281638E-2</v>
      </c>
      <c r="G2" s="6">
        <f>SUM(G4:G91)</f>
        <v>777627.19900000014</v>
      </c>
      <c r="H2" s="8">
        <f>C2-G2</f>
        <v>-167626.68799999938</v>
      </c>
      <c r="I2" s="7">
        <f>IFERROR(H2/G2, 0)</f>
        <v>-0.21556176046254699</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169051.80000000075</v>
      </c>
      <c r="D4" s="14">
        <f>SUM(Oct!D4, Nov!D4, Dec!D4)</f>
        <v>175509.37489598143</v>
      </c>
      <c r="E4" s="14">
        <f>IF(AND(ISNUMBER(C4),ISNUMBER(D4)), C4-D4, "")</f>
        <v>-6457.5748959806806</v>
      </c>
      <c r="F4" s="15">
        <f>IFERROR(E4/D4, "")</f>
        <v>-3.6793333118574835E-2</v>
      </c>
      <c r="G4" s="16">
        <f>SUM(Oct!G4,Nov!G4,Dec!G4)</f>
        <v>114062.17000000016</v>
      </c>
      <c r="H4" s="16">
        <f>SUM(Oct!H4, Nov!H4, Dec!H4)</f>
        <v>54989.630000000572</v>
      </c>
      <c r="I4" s="17">
        <f>IFERROR(H4/G4, "")</f>
        <v>0.48210226054791433</v>
      </c>
    </row>
    <row r="5" spans="1:9" ht="15.6">
      <c r="A5" s="18" t="str">
        <v>San Luis Valley</v>
      </c>
      <c r="B5" s="11" t="str">
        <v>CO</v>
      </c>
      <c r="C5" s="12">
        <f>SUM(Oct!C5, Nov!C5, Dec!C5)</f>
        <v>366032.13800000004</v>
      </c>
      <c r="D5" s="19">
        <f>SUM(Oct!D5, Nov!D5, Dec!D5)</f>
        <v>298863.34400000004</v>
      </c>
      <c r="E5" s="19">
        <f t="shared" ref="E5:E6" si="0">IF(AND(ISNUMBER(C5),ISNUMBER(D5)), C5-D5, "")</f>
        <v>67168.793999999994</v>
      </c>
      <c r="F5" s="20">
        <f>IFERROR(E5/D5, "")</f>
        <v>0.22474751537277848</v>
      </c>
      <c r="G5" s="21">
        <f>SUM(Oct!G5,Nov!G5,Dec!G5)</f>
        <v>403497.85600000003</v>
      </c>
      <c r="H5" s="21">
        <f>SUM(Oct!H5, Nov!H5, Dec!H5)</f>
        <v>-37465.717999999993</v>
      </c>
      <c r="I5" s="20">
        <f>IFERROR(H5/G5, "")</f>
        <v>-9.2852334759369798E-2</v>
      </c>
    </row>
    <row r="6" spans="1:9" ht="15.6">
      <c r="A6" s="13" t="str">
        <v>Golden NREL 2</v>
      </c>
      <c r="B6" s="10" t="str">
        <v>CO</v>
      </c>
      <c r="C6" s="25">
        <f>SUM(Oct!C6, Nov!C6, Dec!C6)</f>
        <v>16540.703000000001</v>
      </c>
      <c r="D6" s="14">
        <f>SUM(Oct!D6, Nov!D6, Dec!D6)</f>
        <v>18526.126</v>
      </c>
      <c r="E6" s="14">
        <f t="shared" si="0"/>
        <v>-1985.4229999999989</v>
      </c>
      <c r="F6" s="15">
        <f t="shared" ref="F6:F13" si="1">IFERROR(E6/D6, "")</f>
        <v>-0.10716881662145658</v>
      </c>
      <c r="G6" s="16">
        <f>SUM(Oct!G6,Nov!G6,Dec!G6)</f>
        <v>20368.573</v>
      </c>
      <c r="H6" s="16">
        <f>SUM(Oct!H6, Nov!H6, Dec!H6)</f>
        <v>-3827.8700000000008</v>
      </c>
      <c r="I6" s="17">
        <f t="shared" ref="I6:I13" si="2">IFERROR(H6/G6, "")</f>
        <v>-0.18793020011760278</v>
      </c>
    </row>
    <row r="7" spans="1:9" ht="15.6">
      <c r="A7" s="18" t="str">
        <v>Golden NREL Wind 3</v>
      </c>
      <c r="B7" s="11" t="str">
        <v>CO</v>
      </c>
      <c r="C7" s="12">
        <f>SUM(Oct!C7, Nov!C7, Dec!C7)</f>
        <v>58375.869999999995</v>
      </c>
      <c r="D7" s="19">
        <f>SUM(Oct!D7, Nov!D7, Dec!D7)</f>
        <v>171801.27000000002</v>
      </c>
      <c r="E7" s="19">
        <f t="shared" ref="E7:E13" si="3">IF(AND(ISNUMBER(C7),ISNUMBER(D7)), C7-D7, "")</f>
        <v>-113425.40000000002</v>
      </c>
      <c r="F7" s="20">
        <f t="shared" si="1"/>
        <v>-0.66021281449200009</v>
      </c>
      <c r="G7" s="21">
        <f>SUM(Oct!G7,Nov!G7,Dec!G7)</f>
        <v>239698.6</v>
      </c>
      <c r="H7" s="21">
        <f>SUM(Oct!H7, Nov!H7, Dec!H7)</f>
        <v>-181322.73</v>
      </c>
      <c r="I7" s="20">
        <f t="shared" si="2"/>
        <v>-0.75646136439678835</v>
      </c>
    </row>
    <row r="8" spans="1:9" ht="15.6" hidden="1">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hidden="1"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hidden="1">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hidden="1">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hidden="1">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hidden="1">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bottomRight" activeCell="I21" sqref="I21"/>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8" t="str" cm="1">
        <f t="array" ref="A1">portfolio</f>
        <v>Tortoise</v>
      </c>
      <c r="B1" s="78"/>
      <c r="C1" s="78"/>
      <c r="D1" s="79" t="s">
        <v>18</v>
      </c>
      <c r="E1" s="79"/>
      <c r="F1" s="79"/>
      <c r="G1" s="77" t="s">
        <v>19</v>
      </c>
      <c r="H1" s="77"/>
      <c r="I1" s="77"/>
      <c r="J1" s="5"/>
      <c r="K1" s="5"/>
    </row>
    <row r="2" spans="1:13" ht="19.5" customHeight="1">
      <c r="A2" s="80" t="s">
        <v>2</v>
      </c>
      <c r="B2" s="80"/>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bottomRight" activeCell="N21" sqref="N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78" t="str" cm="1">
        <f t="array" ref="A1">portfolio</f>
        <v>Tortoise</v>
      </c>
      <c r="B1" s="78"/>
      <c r="C1" s="78"/>
      <c r="D1" s="79" t="s">
        <v>45</v>
      </c>
      <c r="E1" s="79"/>
      <c r="F1" s="79"/>
      <c r="G1" s="77" t="s">
        <v>46</v>
      </c>
      <c r="H1" s="77"/>
      <c r="I1" s="77"/>
      <c r="J1" s="5"/>
      <c r="K1" s="5"/>
    </row>
    <row r="2" spans="1:21" ht="19.5" customHeight="1">
      <c r="A2" s="80" t="s">
        <v>2</v>
      </c>
      <c r="B2" s="80"/>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c r="A3" s="9" t="s">
        <v>3</v>
      </c>
      <c r="B3" s="9" t="s">
        <v>4</v>
      </c>
      <c r="C3" s="24" t="s">
        <v>5</v>
      </c>
      <c r="D3" s="35" t="s">
        <v>6</v>
      </c>
      <c r="E3" s="35" t="s">
        <v>7</v>
      </c>
      <c r="F3" s="36" t="s">
        <v>8</v>
      </c>
      <c r="G3" s="37" t="s">
        <v>9</v>
      </c>
      <c r="H3" s="38" t="s">
        <v>7</v>
      </c>
      <c r="I3" s="39" t="s">
        <v>8</v>
      </c>
      <c r="J3" s="26" t="s">
        <v>20</v>
      </c>
      <c r="K3" s="26" t="s">
        <v>21</v>
      </c>
    </row>
    <row r="4" spans="1:21"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9">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5">
      <c r="A14" s="22"/>
      <c r="B14" s="33"/>
      <c r="C14" s="22"/>
      <c r="D14" s="22"/>
      <c r="E14" s="22"/>
      <c r="F14" s="22"/>
      <c r="G14" s="22"/>
      <c r="H14" s="22"/>
      <c r="I14" s="22"/>
      <c r="J14" s="22"/>
      <c r="K14" s="22"/>
    </row>
    <row r="15" spans="1:21" ht="14.45">
      <c r="A15" s="22"/>
      <c r="B15" s="33"/>
      <c r="C15" s="22"/>
      <c r="D15" s="22"/>
      <c r="E15" s="22"/>
      <c r="F15" s="22"/>
      <c r="G15" s="22"/>
      <c r="H15" s="22"/>
      <c r="I15" s="22"/>
      <c r="J15" s="22"/>
      <c r="K15" s="22"/>
    </row>
    <row r="16" spans="1:2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bottomRight" activeCell="J8" sqref="J8"/>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8" t="str" cm="1">
        <f t="array" ref="A1">portfolio</f>
        <v>Tortoise</v>
      </c>
      <c r="B1" s="78"/>
      <c r="C1" s="78"/>
      <c r="D1" s="79" t="s">
        <v>73</v>
      </c>
      <c r="E1" s="79"/>
      <c r="F1" s="79"/>
      <c r="G1" s="77" t="s">
        <v>74</v>
      </c>
      <c r="H1" s="77"/>
      <c r="I1" s="77"/>
      <c r="J1" s="5"/>
      <c r="K1" s="5"/>
    </row>
    <row r="2" spans="1:16" ht="19.5" customHeight="1">
      <c r="A2" s="80" t="s">
        <v>2</v>
      </c>
      <c r="B2" s="80"/>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4" t="s">
        <v>5</v>
      </c>
      <c r="D3" s="35" t="s">
        <v>6</v>
      </c>
      <c r="E3" s="35" t="s">
        <v>7</v>
      </c>
      <c r="F3" s="36" t="s">
        <v>8</v>
      </c>
      <c r="G3" s="37" t="s">
        <v>9</v>
      </c>
      <c r="H3" s="38" t="s">
        <v>7</v>
      </c>
      <c r="I3" s="39" t="s">
        <v>8</v>
      </c>
      <c r="J3" s="26" t="s">
        <v>20</v>
      </c>
      <c r="K3" s="26" t="s">
        <v>21</v>
      </c>
    </row>
    <row r="4" spans="1:16" ht="43.15">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9">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4999999999999">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1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5">
      <c r="A14" s="22"/>
      <c r="B14" s="33"/>
      <c r="C14" s="22"/>
      <c r="D14" s="22"/>
      <c r="E14" s="22"/>
      <c r="F14" s="22"/>
      <c r="G14" s="22"/>
      <c r="H14" s="22"/>
      <c r="I14" s="22"/>
      <c r="J14" s="22"/>
      <c r="K14" s="22"/>
    </row>
    <row r="15" spans="1:16" ht="14.45">
      <c r="A15" s="22"/>
      <c r="B15" s="33"/>
      <c r="C15" s="22"/>
      <c r="D15" s="22"/>
      <c r="E15" s="22"/>
      <c r="F15" s="22"/>
      <c r="G15" s="22"/>
      <c r="H15" s="22"/>
      <c r="I15" s="22"/>
      <c r="J15" s="22"/>
      <c r="K15" s="22"/>
    </row>
    <row r="16" spans="1:16"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zoomScale="80" zoomScaleNormal="80" workbookViewId="0">
      <pane xSplit="2" ySplit="3" topLeftCell="C4" activePane="bottomRight" state="frozen"/>
      <selection pane="bottomRight" activeCell="E15" sqref="E15"/>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3" ht="19.5" customHeight="1">
      <c r="A1" s="78" t="str" cm="1">
        <f t="array" ref="A1">portfolio</f>
        <v>Tortoise</v>
      </c>
      <c r="B1" s="78"/>
      <c r="C1" s="78"/>
      <c r="D1" s="79" t="s">
        <v>99</v>
      </c>
      <c r="E1" s="79"/>
      <c r="F1" s="79"/>
      <c r="G1" s="77" t="s">
        <v>100</v>
      </c>
      <c r="H1" s="77"/>
      <c r="I1" s="77"/>
      <c r="J1" s="5"/>
      <c r="K1" s="5"/>
    </row>
    <row r="2" spans="1:13" ht="19.5" customHeight="1">
      <c r="A2" s="80" t="s">
        <v>2</v>
      </c>
      <c r="B2" s="80"/>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86.25" customHeight="1">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9">
      <c r="A5" s="30" t="str">
        <v>San Luis Valley</v>
      </c>
      <c r="B5" s="31" t="str">
        <v>CO</v>
      </c>
      <c r="C5" s="12">
        <v>224573.25</v>
      </c>
      <c r="D5" s="19">
        <v>232450.6</v>
      </c>
      <c r="E5" s="19">
        <f t="shared" ref="E5:E13" si="0">IF(AND(ISNUMBER(C5),ISNUMBER(D5)), C5-D5, "")</f>
        <v>-7877.3500000000058</v>
      </c>
      <c r="F5" s="20">
        <f>IFERROR(E5/D5, "")</f>
        <v>-3.3888275616410564E-2</v>
      </c>
      <c r="G5" s="69">
        <v>0</v>
      </c>
      <c r="H5" s="21">
        <f t="shared" ref="H5:H8" si="1">IF(AND(ISNUMBER(C5),ISNUMBER(G5)), C5-G5, "")</f>
        <v>224573.25</v>
      </c>
      <c r="I5" s="20" t="str">
        <f t="shared" ref="I5:I8" si="2">IFERROR(H5/G5, "")</f>
        <v/>
      </c>
      <c r="J5" s="48" t="s">
        <v>103</v>
      </c>
      <c r="K5" s="60" t="s">
        <v>104</v>
      </c>
    </row>
    <row r="6" spans="1:13" ht="15.6">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105</v>
      </c>
      <c r="K6" s="50"/>
    </row>
    <row r="7" spans="1:13" ht="69" customHeight="1">
      <c r="A7" s="30" t="str">
        <v>Golden NREL Wind 3</v>
      </c>
      <c r="B7" s="31" t="str">
        <v>CO</v>
      </c>
      <c r="C7" s="12">
        <v>79519.311093750002</v>
      </c>
      <c r="D7" s="19">
        <v>141658.20000000001</v>
      </c>
      <c r="E7" s="19">
        <f>IF(AND(ISNUMBER(C7),ISNUMBER(D7)), C7-D7, "")</f>
        <v>-62138.888906250009</v>
      </c>
      <c r="F7" s="20">
        <v>0</v>
      </c>
      <c r="G7" s="69">
        <v>0</v>
      </c>
      <c r="H7" s="21">
        <f t="shared" si="1"/>
        <v>79519.311093750002</v>
      </c>
      <c r="I7" s="20" t="str">
        <f t="shared" si="2"/>
        <v/>
      </c>
      <c r="J7" s="48" t="s">
        <v>106</v>
      </c>
      <c r="K7" s="60" t="s">
        <v>79</v>
      </c>
    </row>
    <row r="8" spans="1:13" ht="57.6">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107</v>
      </c>
      <c r="K8" s="59" t="s">
        <v>108</v>
      </c>
      <c r="L8" s="61" t="s">
        <v>82</v>
      </c>
      <c r="M8" s="61" t="s">
        <v>109</v>
      </c>
    </row>
    <row r="9" spans="1:13" ht="38.65" customHeight="1">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110</v>
      </c>
      <c r="K9" s="48"/>
    </row>
    <row r="10" spans="1:13" ht="15.6">
      <c r="A10" s="32" t="str">
        <v>Warsaw - 2201 Richmond</v>
      </c>
      <c r="B10" s="29" t="str">
        <v>VA</v>
      </c>
      <c r="C10" s="25">
        <v>0</v>
      </c>
      <c r="D10" s="14">
        <v>0</v>
      </c>
      <c r="E10" s="14">
        <f t="shared" si="0"/>
        <v>0</v>
      </c>
      <c r="F10" s="15" t="str">
        <f t="shared" si="3"/>
        <v/>
      </c>
      <c r="G10" s="16">
        <v>0</v>
      </c>
      <c r="H10" s="16">
        <f t="shared" si="4"/>
        <v>0</v>
      </c>
      <c r="I10" s="17" t="str">
        <f t="shared" si="5"/>
        <v/>
      </c>
      <c r="J10" s="50" t="s">
        <v>110</v>
      </c>
      <c r="K10" s="50"/>
    </row>
    <row r="11" spans="1:13" ht="15.6">
      <c r="A11" s="30" t="str">
        <v>Mount Jackson - Randolf</v>
      </c>
      <c r="B11" s="31" t="str">
        <v>VA</v>
      </c>
      <c r="C11" s="12">
        <v>0</v>
      </c>
      <c r="D11" s="19">
        <v>0</v>
      </c>
      <c r="E11" s="19">
        <f t="shared" si="0"/>
        <v>0</v>
      </c>
      <c r="F11" s="20" t="str">
        <f t="shared" si="3"/>
        <v/>
      </c>
      <c r="G11" s="21">
        <v>0</v>
      </c>
      <c r="H11" s="21">
        <f t="shared" si="4"/>
        <v>0</v>
      </c>
      <c r="I11" s="20" t="str">
        <f t="shared" si="5"/>
        <v/>
      </c>
      <c r="J11" s="48" t="s">
        <v>110</v>
      </c>
      <c r="K11" s="48"/>
    </row>
    <row r="12" spans="1:13" ht="15.6">
      <c r="A12" s="32" t="str">
        <v>Callands Gretna - Monroe</v>
      </c>
      <c r="B12" s="29" t="str">
        <v>VA</v>
      </c>
      <c r="C12" s="25">
        <v>0</v>
      </c>
      <c r="D12" s="14"/>
      <c r="E12" s="14" t="str">
        <f t="shared" si="0"/>
        <v/>
      </c>
      <c r="F12" s="15" t="str">
        <f t="shared" si="3"/>
        <v/>
      </c>
      <c r="G12" s="16">
        <v>0</v>
      </c>
      <c r="H12" s="16">
        <f t="shared" si="4"/>
        <v>0</v>
      </c>
      <c r="I12" s="17" t="str">
        <f t="shared" si="5"/>
        <v/>
      </c>
      <c r="J12" s="50" t="s">
        <v>110</v>
      </c>
      <c r="K12" s="50"/>
    </row>
    <row r="13" spans="1:13" ht="15.6">
      <c r="A13" s="30" t="str">
        <v>Rockbridge Baths - Small Mouth Bass</v>
      </c>
      <c r="B13" s="31" t="str">
        <v>VA</v>
      </c>
      <c r="C13" s="12">
        <v>0</v>
      </c>
      <c r="D13" s="19">
        <v>0</v>
      </c>
      <c r="E13" s="19">
        <f t="shared" si="0"/>
        <v>0</v>
      </c>
      <c r="F13" s="20" t="str">
        <f t="shared" si="3"/>
        <v/>
      </c>
      <c r="G13" s="21">
        <v>0</v>
      </c>
      <c r="H13" s="21"/>
      <c r="I13" s="20"/>
      <c r="J13" s="42"/>
      <c r="K13" s="42"/>
    </row>
    <row r="14" spans="1:13" ht="14.45">
      <c r="A14" s="22"/>
      <c r="B14" s="33"/>
      <c r="C14" s="22"/>
      <c r="D14" s="22"/>
      <c r="E14" s="22"/>
      <c r="F14" s="22"/>
      <c r="G14" s="22"/>
      <c r="H14" s="22"/>
      <c r="I14" s="22"/>
      <c r="J14" s="22"/>
      <c r="K14" s="22"/>
    </row>
    <row r="15" spans="1:13" ht="14.45">
      <c r="A15" s="22"/>
      <c r="B15" s="33"/>
      <c r="C15" s="22"/>
      <c r="D15" s="22"/>
      <c r="E15" s="22"/>
      <c r="F15" s="22"/>
      <c r="G15" s="22"/>
      <c r="H15" s="22"/>
      <c r="I15" s="22"/>
      <c r="J15" s="22"/>
      <c r="K15" s="22"/>
    </row>
    <row r="16" spans="1:13"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zoomScale="80" zoomScaleNormal="80" workbookViewId="0">
      <pane xSplit="2" ySplit="3" topLeftCell="C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8" t="str" cm="1">
        <f t="array" ref="A1">portfolio</f>
        <v>Tortoise</v>
      </c>
      <c r="B1" s="78"/>
      <c r="C1" s="78"/>
      <c r="D1" s="79" t="s">
        <v>111</v>
      </c>
      <c r="E1" s="79"/>
      <c r="F1" s="79"/>
      <c r="G1" s="77" t="s">
        <v>112</v>
      </c>
      <c r="H1" s="77"/>
      <c r="I1" s="77"/>
      <c r="J1" s="5"/>
      <c r="K1" s="5"/>
    </row>
    <row r="2" spans="1:17" ht="19.5" customHeight="1">
      <c r="A2" s="80" t="s">
        <v>2</v>
      </c>
      <c r="B2" s="80"/>
      <c r="C2" s="6">
        <f>SUM(C4:C90)</f>
        <v>984300.28249999997</v>
      </c>
      <c r="D2" s="6">
        <f>SUM(D4:D90)</f>
        <v>1591676.7004549839</v>
      </c>
      <c r="E2" s="6">
        <f>C2-D2</f>
        <v>-607376.41795498389</v>
      </c>
      <c r="F2" s="7">
        <f>IFERROR(E2/D2, 0)</f>
        <v>-0.3815953439422492</v>
      </c>
      <c r="G2" s="6">
        <f>SUM(G4:G90)</f>
        <v>1329590.57</v>
      </c>
      <c r="H2" s="8">
        <f>C2-G2</f>
        <v>-345290.28750000009</v>
      </c>
      <c r="I2" s="7">
        <f>IFERROR(H2/G2, 0)</f>
        <v>-0.25969670309860882</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4" t="s">
        <v>5</v>
      </c>
      <c r="D3" s="35" t="s">
        <v>6</v>
      </c>
      <c r="E3" s="35" t="s">
        <v>7</v>
      </c>
      <c r="F3" s="36" t="s">
        <v>8</v>
      </c>
      <c r="G3" s="37" t="s">
        <v>9</v>
      </c>
      <c r="H3" s="38" t="s">
        <v>7</v>
      </c>
      <c r="I3" s="39" t="s">
        <v>8</v>
      </c>
      <c r="J3" s="26" t="s">
        <v>20</v>
      </c>
      <c r="K3" s="26" t="s">
        <v>21</v>
      </c>
    </row>
    <row r="4" spans="1:17" ht="71.25" customHeight="1">
      <c r="A4" s="32" t="str" cm="1">
        <f t="array" ref="A4:A13">Sites[Site]</f>
        <v>Alamosa School District</v>
      </c>
      <c r="B4" s="29" t="str" cm="1">
        <f t="array" ref="B4:B13">Sites[State]</f>
        <v>CO</v>
      </c>
      <c r="C4" s="25">
        <v>21782</v>
      </c>
      <c r="D4" s="14">
        <v>123116.851365505</v>
      </c>
      <c r="E4" s="14">
        <f>IF(AND(ISNUMBER(C4),ISNUMBER(D4)), C4-D4, "")</f>
        <v>-101334.851365505</v>
      </c>
      <c r="F4" s="15">
        <f>IFERROR(E4/D4, "")</f>
        <v>-0.82307864635577499</v>
      </c>
      <c r="G4" s="16">
        <v>143312.46</v>
      </c>
      <c r="H4" s="16">
        <f>IF(AND(ISNUMBER(C4),ISNUMBER(G4)), C4-G4, "")</f>
        <v>-121530.45999999999</v>
      </c>
      <c r="I4" s="17">
        <f>IFERROR(H4/G4, "")</f>
        <v>-0.84801042421573114</v>
      </c>
      <c r="J4" s="50" t="s">
        <v>113</v>
      </c>
      <c r="K4" s="59" t="s">
        <v>114</v>
      </c>
      <c r="L4" s="70" t="s">
        <v>115</v>
      </c>
      <c r="M4" s="70" t="s">
        <v>116</v>
      </c>
    </row>
    <row r="5" spans="1:17" ht="15.6">
      <c r="A5" s="30" t="str">
        <v>San Luis Valley</v>
      </c>
      <c r="B5" s="31" t="str">
        <v>CO</v>
      </c>
      <c r="C5" s="12">
        <v>243865.25</v>
      </c>
      <c r="D5" s="19">
        <v>227071.9</v>
      </c>
      <c r="E5" s="19">
        <f t="shared" ref="E5:E10" si="0">IF(AND(ISNUMBER(C5),ISNUMBER(D5)), C5-D5, "")</f>
        <v>16793.350000000006</v>
      </c>
      <c r="F5" s="20">
        <f t="shared" ref="F5:F10" si="1">IFERROR(E5/D5, "")</f>
        <v>7.3956090559862339E-2</v>
      </c>
      <c r="G5" s="71">
        <v>0</v>
      </c>
      <c r="H5" s="21">
        <f t="shared" ref="H5:H10" si="2">IF(AND(ISNUMBER(C5),ISNUMBER(G5)), C5-G5, "")</f>
        <v>243865.25</v>
      </c>
      <c r="I5" s="20" t="str">
        <f t="shared" ref="I5:I10" si="3">IFERROR(H5/G5, "")</f>
        <v/>
      </c>
      <c r="J5" s="48"/>
      <c r="K5" s="48"/>
    </row>
    <row r="6" spans="1:17" ht="43.15">
      <c r="A6" s="32" t="str">
        <v>Golden NREL 2</v>
      </c>
      <c r="B6" s="29" t="str">
        <v>CO</v>
      </c>
      <c r="C6" s="25">
        <v>13138.97</v>
      </c>
      <c r="D6" s="14">
        <v>12195.749089479001</v>
      </c>
      <c r="E6" s="14">
        <f t="shared" si="0"/>
        <v>943.22091052099859</v>
      </c>
      <c r="F6" s="15">
        <f t="shared" si="1"/>
        <v>7.7340137420069927E-2</v>
      </c>
      <c r="G6" s="16">
        <v>13598.11</v>
      </c>
      <c r="H6" s="16">
        <f t="shared" si="2"/>
        <v>-459.14000000000124</v>
      </c>
      <c r="I6" s="17">
        <f t="shared" si="3"/>
        <v>-3.3764986457676928E-2</v>
      </c>
      <c r="J6" s="50" t="s">
        <v>117</v>
      </c>
      <c r="K6" s="59" t="s">
        <v>118</v>
      </c>
    </row>
    <row r="7" spans="1:17" ht="57.6">
      <c r="A7" s="30" t="str">
        <v>Golden NREL Wind 3</v>
      </c>
      <c r="B7" s="31" t="str">
        <v>CO</v>
      </c>
      <c r="C7" s="12">
        <v>94924.0625</v>
      </c>
      <c r="D7" s="19">
        <v>158782.20000000001</v>
      </c>
      <c r="E7" s="19">
        <f t="shared" si="0"/>
        <v>-63858.137500000012</v>
      </c>
      <c r="F7" s="20">
        <f t="shared" si="1"/>
        <v>-0.40217440934815119</v>
      </c>
      <c r="G7" s="69">
        <v>0</v>
      </c>
      <c r="H7" s="21">
        <f t="shared" si="2"/>
        <v>94924.0625</v>
      </c>
      <c r="I7" s="20" t="str">
        <f t="shared" si="3"/>
        <v/>
      </c>
      <c r="J7" s="48" t="s">
        <v>119</v>
      </c>
      <c r="K7" s="60" t="s">
        <v>29</v>
      </c>
    </row>
    <row r="8" spans="1:17" ht="187.15">
      <c r="A8" s="32" t="str">
        <v>Pratt Solar Farm</v>
      </c>
      <c r="B8" s="29" t="str">
        <v>KS</v>
      </c>
      <c r="C8" s="25">
        <v>610590</v>
      </c>
      <c r="D8" s="14">
        <v>1070510</v>
      </c>
      <c r="E8" s="14">
        <f t="shared" si="0"/>
        <v>-459920</v>
      </c>
      <c r="F8" s="15">
        <f t="shared" si="1"/>
        <v>-0.42962700021485084</v>
      </c>
      <c r="G8" s="16">
        <v>1172680</v>
      </c>
      <c r="H8" s="16">
        <f t="shared" si="2"/>
        <v>-562090</v>
      </c>
      <c r="I8" s="17">
        <f t="shared" si="3"/>
        <v>-0.47932087184909777</v>
      </c>
      <c r="J8" s="50" t="s">
        <v>120</v>
      </c>
      <c r="K8" s="59" t="s">
        <v>121</v>
      </c>
      <c r="L8" s="70" t="s">
        <v>122</v>
      </c>
      <c r="M8" s="70" t="s">
        <v>123</v>
      </c>
      <c r="N8" s="70" t="s">
        <v>124</v>
      </c>
      <c r="O8" s="70" t="s">
        <v>82</v>
      </c>
      <c r="P8" s="70" t="s">
        <v>125</v>
      </c>
      <c r="Q8" s="70" t="s">
        <v>126</v>
      </c>
    </row>
    <row r="9" spans="1:17" ht="22.5" customHeight="1">
      <c r="A9" s="30" t="str">
        <v>Rochester - 5516 Valleyhigh NW</v>
      </c>
      <c r="B9" s="31" t="str">
        <v>MN</v>
      </c>
      <c r="C9" s="12"/>
      <c r="D9" s="19"/>
      <c r="E9" s="19" t="str">
        <f t="shared" si="0"/>
        <v/>
      </c>
      <c r="F9" s="20" t="str">
        <f t="shared" si="1"/>
        <v/>
      </c>
      <c r="G9" s="21"/>
      <c r="H9" s="21" t="str">
        <f t="shared" si="2"/>
        <v/>
      </c>
      <c r="I9" s="20" t="str">
        <f t="shared" si="3"/>
        <v/>
      </c>
      <c r="J9" s="48" t="s">
        <v>127</v>
      </c>
      <c r="K9" s="48"/>
    </row>
    <row r="10" spans="1:17" ht="15.6">
      <c r="A10" s="32" t="str">
        <v>Warsaw - 2201 Richmond</v>
      </c>
      <c r="B10" s="29" t="str">
        <v>VA</v>
      </c>
      <c r="C10" s="25"/>
      <c r="D10" s="14"/>
      <c r="E10" s="14" t="str">
        <f t="shared" si="0"/>
        <v/>
      </c>
      <c r="F10" s="15" t="str">
        <f t="shared" si="1"/>
        <v/>
      </c>
      <c r="G10" s="16"/>
      <c r="H10" s="16" t="str">
        <f t="shared" si="2"/>
        <v/>
      </c>
      <c r="I10" s="17" t="str">
        <f t="shared" si="3"/>
        <v/>
      </c>
      <c r="J10" s="50" t="s">
        <v>127</v>
      </c>
      <c r="K10" s="50"/>
    </row>
    <row r="11" spans="1:17" ht="15.6">
      <c r="A11" s="30" t="str">
        <v>Mount Jackson - Randolf</v>
      </c>
      <c r="B11" s="31" t="str">
        <v>VA</v>
      </c>
      <c r="C11" s="12"/>
      <c r="D11" s="19"/>
      <c r="E11" s="19"/>
      <c r="F11" s="20"/>
      <c r="G11" s="21"/>
      <c r="H11" s="21"/>
      <c r="I11" s="20"/>
      <c r="J11" s="48" t="s">
        <v>127</v>
      </c>
      <c r="K11" s="48"/>
    </row>
    <row r="12" spans="1:17" ht="15.6">
      <c r="A12" s="32" t="str">
        <v>Callands Gretna - Monroe</v>
      </c>
      <c r="B12" s="29" t="str">
        <v>VA</v>
      </c>
      <c r="C12" s="25"/>
      <c r="D12" s="14"/>
      <c r="E12" s="14"/>
      <c r="F12" s="15"/>
      <c r="G12" s="16"/>
      <c r="H12" s="16"/>
      <c r="I12" s="17"/>
      <c r="J12" s="50" t="s">
        <v>127</v>
      </c>
      <c r="K12" s="50"/>
    </row>
    <row r="13" spans="1:17" ht="15.6">
      <c r="A13" s="30" t="str">
        <v>Rockbridge Baths - Small Mouth Bass</v>
      </c>
      <c r="B13" s="31" t="str">
        <v>VA</v>
      </c>
      <c r="C13" s="12"/>
      <c r="D13" s="19"/>
      <c r="E13" s="19"/>
      <c r="F13" s="20"/>
      <c r="G13" s="21"/>
      <c r="H13" s="21"/>
      <c r="I13" s="20"/>
      <c r="J13" s="42" t="s">
        <v>127</v>
      </c>
      <c r="K13" s="42"/>
    </row>
    <row r="14" spans="1:17" ht="14.45">
      <c r="A14" s="22"/>
      <c r="B14" s="33"/>
      <c r="C14" s="22"/>
      <c r="D14" s="22"/>
      <c r="E14" s="22"/>
      <c r="F14" s="22"/>
      <c r="G14" s="22"/>
      <c r="H14" s="22"/>
      <c r="I14" s="22"/>
      <c r="J14" s="22"/>
      <c r="K14" s="22"/>
    </row>
    <row r="15" spans="1:17" ht="14.45">
      <c r="A15" s="22"/>
      <c r="B15" s="33"/>
      <c r="C15" s="22"/>
      <c r="D15" s="22"/>
      <c r="E15" s="22"/>
      <c r="F15" s="22"/>
      <c r="G15" s="22"/>
      <c r="H15" s="22"/>
      <c r="I15" s="22"/>
      <c r="J15" s="22"/>
      <c r="K15" s="22"/>
    </row>
    <row r="16" spans="1:17"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101579" xr:uid="{DC3FE0C2-9F55-474E-B346-E2772ADF4EFA}"/>
    <hyperlink ref="L4" r:id="rId2" display="https://us3.assetplanner.com/service_request?ID=099790" xr:uid="{7F403563-9D35-4644-8364-29662EDAEE40}"/>
    <hyperlink ref="M4" r:id="rId3" display="https://us3.assetplanner.com/service_request?ID=101399" xr:uid="{F0391505-7D61-4D69-8A27-BBFD20BE0C12}"/>
    <hyperlink ref="K6" r:id="rId4" display="https://us3.assetplanner.com/service_request?ID=093280" xr:uid="{1CC58750-DE9B-4FCA-9A05-667C1924C6F2}"/>
    <hyperlink ref="K7" r:id="rId5" display="https://us3.assetplanner.com/service_request?ID=096263" xr:uid="{64BE2DB5-D545-4F5F-A6CE-7FFDC988FB63}"/>
    <hyperlink ref="K8" r:id="rId6" display="https://us3.assetplanner.com/service_request?ID=099478" xr:uid="{A7C7E960-D4C6-49ED-8ADE-C036ED9242AB}"/>
    <hyperlink ref="L8" r:id="rId7" display="https://us3.assetplanner.com/service_request?ID=101785" xr:uid="{2983056D-405A-430C-AFEC-ACD9C510075C}"/>
    <hyperlink ref="M8" r:id="rId8" display="https://us3.assetplanner.com/service_request?ID=101822" xr:uid="{8E464F1E-4AAA-4713-8DB7-1F1C99E5B6A6}"/>
    <hyperlink ref="N8" r:id="rId9" display="https://us3.assetplanner.com/service_request?ID=099994" xr:uid="{D73D9B20-CD52-4B70-88EE-1D7284034846}"/>
    <hyperlink ref="O8" r:id="rId10" display="https://us3.assetplanner.com/service_request?ID=099185" xr:uid="{BF10B79A-99BB-46B0-A63F-D2625CCF80EB}"/>
    <hyperlink ref="P8" r:id="rId11" display="https://us3.assetplanner.com/service_request?ID=102003" xr:uid="{07A21B8A-59C4-414A-915C-54CD160429BD}"/>
    <hyperlink ref="Q8" r:id="rId12" display="https://us3.assetplanner.com/service_request?ID=102210" xr:uid="{169FC6C9-4F08-443C-9F22-09973F2B789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 min="12" max="14" width="8.85546875" style="62"/>
  </cols>
  <sheetData>
    <row r="1" spans="1:14" ht="19.5" customHeight="1">
      <c r="A1" s="78" t="str" cm="1">
        <f t="array" ref="A1">portfolio</f>
        <v>Tortoise</v>
      </c>
      <c r="B1" s="78"/>
      <c r="C1" s="78"/>
      <c r="D1" s="79" t="s">
        <v>128</v>
      </c>
      <c r="E1" s="79"/>
      <c r="F1" s="79"/>
      <c r="G1" s="77" t="s">
        <v>129</v>
      </c>
      <c r="H1" s="77"/>
      <c r="I1" s="77"/>
      <c r="J1" s="5"/>
      <c r="K1" s="5"/>
    </row>
    <row r="2" spans="1:14" ht="19.5" customHeight="1">
      <c r="A2" s="80" t="s">
        <v>2</v>
      </c>
      <c r="B2" s="80"/>
      <c r="C2" s="6">
        <f>SUM(C4:C100)</f>
        <v>445975.4120139915</v>
      </c>
      <c r="D2" s="6">
        <f>SUM(D4:D100)</f>
        <v>514002.2664509716</v>
      </c>
      <c r="E2" s="6">
        <f>C2-D2</f>
        <v>-68026.854436980095</v>
      </c>
      <c r="F2" s="7">
        <f>IFERROR(E2/D2, 0)</f>
        <v>-0.13234738225316536</v>
      </c>
      <c r="G2" s="6">
        <f>SUM(G4:G100)</f>
        <v>152992.94199999975</v>
      </c>
      <c r="H2" s="8">
        <f>C2-G2</f>
        <v>292982.47001399175</v>
      </c>
      <c r="I2" s="7">
        <f>IFERROR(H2/G2, 0)</f>
        <v>1.9150064452907392</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8.9">
      <c r="A4" s="51" t="str" cm="1">
        <f t="array" ref="A4:A13">Sites[Site]</f>
        <v>Alamosa School District</v>
      </c>
      <c r="B4" s="29" t="str" cm="1">
        <f t="array" ref="B4:B13">Sites[State]</f>
        <v>CO</v>
      </c>
      <c r="C4" s="25">
        <v>105255.06801399145</v>
      </c>
      <c r="D4" s="14">
        <v>126264.55945097162</v>
      </c>
      <c r="E4" s="14">
        <f t="shared" ref="E4:E17" si="0">IF(AND(ISNUMBER(C4),ISNUMBER(D4)), C4-D4, "")</f>
        <v>-21009.49143698017</v>
      </c>
      <c r="F4" s="15">
        <f>IFERROR(E4/D4, "")</f>
        <v>-0.16639262456808501</v>
      </c>
      <c r="G4" s="16">
        <v>137914.66999999975</v>
      </c>
      <c r="H4" s="16">
        <f t="shared" ref="H4:H17" si="1">IF(AND(ISNUMBER(C4),ISNUMBER(G4)), C4-G4, "")</f>
        <v>-32659.601986008303</v>
      </c>
      <c r="I4" s="17">
        <f t="shared" ref="I4:I17" si="2">IFERROR(H4/G4, "")</f>
        <v>-0.23681021015391882</v>
      </c>
      <c r="J4" s="50" t="s">
        <v>130</v>
      </c>
      <c r="K4" s="59" t="s">
        <v>131</v>
      </c>
      <c r="L4" s="61" t="s">
        <v>132</v>
      </c>
      <c r="M4" s="61" t="s">
        <v>116</v>
      </c>
    </row>
    <row r="5" spans="1:14" ht="15.6">
      <c r="A5" s="30" t="str">
        <v>San Luis Valley</v>
      </c>
      <c r="B5" s="31" t="str">
        <v>CO</v>
      </c>
      <c r="C5" s="12">
        <v>244072.25</v>
      </c>
      <c r="D5" s="19">
        <v>222436.90299999999</v>
      </c>
      <c r="E5" s="19">
        <f t="shared" si="0"/>
        <v>21635.347000000009</v>
      </c>
      <c r="F5" s="20">
        <f>IFERROR(E5/D5, "")</f>
        <v>9.7265097239732784E-2</v>
      </c>
      <c r="G5" s="21">
        <v>0</v>
      </c>
      <c r="H5" s="21">
        <f t="shared" si="1"/>
        <v>244072.25</v>
      </c>
      <c r="I5" s="20" t="str">
        <f t="shared" si="2"/>
        <v/>
      </c>
      <c r="J5" s="48"/>
      <c r="K5" s="48"/>
    </row>
    <row r="6" spans="1:14" ht="15.6">
      <c r="A6" s="51" t="str">
        <v>Golden NREL 2</v>
      </c>
      <c r="B6" s="29" t="str">
        <v>CO</v>
      </c>
      <c r="C6" s="25">
        <v>13029.781000000001</v>
      </c>
      <c r="D6" s="14">
        <v>13689.753000000001</v>
      </c>
      <c r="E6" s="14">
        <f t="shared" si="0"/>
        <v>-659.97199999999975</v>
      </c>
      <c r="F6" s="15">
        <f t="shared" ref="F6:F17" si="3">IFERROR(E6/D6, "")</f>
        <v>-4.8209197054176194E-2</v>
      </c>
      <c r="G6" s="16">
        <v>15078.272000000001</v>
      </c>
      <c r="H6" s="16">
        <f t="shared" si="1"/>
        <v>-2048.491</v>
      </c>
      <c r="I6" s="17">
        <f t="shared" si="2"/>
        <v>-0.13585714596473653</v>
      </c>
      <c r="J6" s="50" t="s">
        <v>133</v>
      </c>
      <c r="K6" s="50"/>
    </row>
    <row r="7" spans="1:14" ht="15.6">
      <c r="A7" s="30" t="str">
        <v>Golden NREL Wind 3</v>
      </c>
      <c r="B7" s="31" t="str">
        <v>CO</v>
      </c>
      <c r="C7" s="12">
        <v>83618.312999999995</v>
      </c>
      <c r="D7" s="19">
        <v>151611.05100000001</v>
      </c>
      <c r="E7" s="19">
        <f t="shared" si="0"/>
        <v>-67992.738000000012</v>
      </c>
      <c r="F7" s="20">
        <f t="shared" si="3"/>
        <v>-0.44846821885035287</v>
      </c>
      <c r="G7" s="21">
        <v>0</v>
      </c>
      <c r="H7" s="21">
        <f t="shared" si="1"/>
        <v>83618.312999999995</v>
      </c>
      <c r="I7" s="20" t="str">
        <f t="shared" si="2"/>
        <v/>
      </c>
      <c r="J7" s="48" t="s">
        <v>134</v>
      </c>
      <c r="K7" s="60" t="s">
        <v>29</v>
      </c>
    </row>
    <row r="8" spans="1:14" ht="16.5" customHeight="1">
      <c r="A8" s="22" t="str">
        <v>Pratt Solar Farm</v>
      </c>
      <c r="B8" s="22" t="str">
        <v>KS</v>
      </c>
      <c r="C8" s="22"/>
      <c r="D8" s="22"/>
      <c r="E8" s="22" t="str">
        <f t="shared" si="0"/>
        <v/>
      </c>
      <c r="F8" s="22" t="str">
        <f t="shared" si="3"/>
        <v/>
      </c>
      <c r="G8" s="22"/>
      <c r="H8" s="22" t="str">
        <f t="shared" si="1"/>
        <v/>
      </c>
      <c r="I8" s="22" t="str">
        <f t="shared" si="2"/>
        <v/>
      </c>
      <c r="J8" s="22" t="s">
        <v>135</v>
      </c>
      <c r="K8" s="22"/>
      <c r="L8" s="72"/>
      <c r="M8" s="72"/>
      <c r="N8" s="72"/>
    </row>
    <row r="9" spans="1:14" ht="22.9" customHeight="1">
      <c r="A9" s="22" t="str">
        <v>Rochester - 5516 Valleyhigh NW</v>
      </c>
      <c r="B9" s="22" t="str">
        <v>MN</v>
      </c>
      <c r="C9" s="22"/>
      <c r="D9" s="22"/>
      <c r="E9" s="22" t="str">
        <f t="shared" si="0"/>
        <v/>
      </c>
      <c r="F9" s="22" t="str">
        <f t="shared" si="3"/>
        <v/>
      </c>
      <c r="G9" s="22"/>
      <c r="H9" s="22" t="str">
        <f t="shared" si="1"/>
        <v/>
      </c>
      <c r="I9" s="22" t="str">
        <f t="shared" si="2"/>
        <v/>
      </c>
      <c r="J9" s="22" t="s">
        <v>127</v>
      </c>
      <c r="K9" s="22"/>
      <c r="L9" s="72"/>
      <c r="M9" s="72"/>
      <c r="N9" s="72"/>
    </row>
    <row r="10" spans="1:14" ht="18.600000000000001" customHeight="1">
      <c r="A10" s="22" t="str">
        <v>Warsaw - 2201 Richmond</v>
      </c>
      <c r="B10" s="22" t="str">
        <v>VA</v>
      </c>
      <c r="C10" s="22"/>
      <c r="D10" s="22"/>
      <c r="E10" s="22" t="str">
        <f t="shared" si="0"/>
        <v/>
      </c>
      <c r="F10" s="22" t="str">
        <f t="shared" si="3"/>
        <v/>
      </c>
      <c r="G10" s="22"/>
      <c r="H10" s="22" t="str">
        <f t="shared" si="1"/>
        <v/>
      </c>
      <c r="I10" s="22" t="str">
        <f t="shared" si="2"/>
        <v/>
      </c>
      <c r="J10" s="22" t="s">
        <v>127</v>
      </c>
      <c r="K10" s="22"/>
      <c r="L10" s="72"/>
      <c r="M10" s="72"/>
      <c r="N10" s="72"/>
    </row>
    <row r="11" spans="1:14" ht="19.899999999999999" customHeight="1">
      <c r="A11" s="22" t="str">
        <v>Mount Jackson - Randolf</v>
      </c>
      <c r="B11" s="22" t="str">
        <v>VA</v>
      </c>
      <c r="C11" s="22"/>
      <c r="D11" s="22"/>
      <c r="E11" s="22" t="str">
        <f t="shared" si="0"/>
        <v/>
      </c>
      <c r="F11" s="22" t="str">
        <f t="shared" si="3"/>
        <v/>
      </c>
      <c r="G11" s="22"/>
      <c r="H11" s="22" t="str">
        <f t="shared" si="1"/>
        <v/>
      </c>
      <c r="I11" s="22" t="str">
        <f t="shared" si="2"/>
        <v/>
      </c>
      <c r="J11" s="22" t="s">
        <v>127</v>
      </c>
      <c r="K11" s="22"/>
      <c r="L11" s="72"/>
      <c r="M11" s="72"/>
      <c r="N11" s="72"/>
    </row>
    <row r="12" spans="1:14" ht="18.75" customHeight="1">
      <c r="A12" s="22" t="str">
        <v>Callands Gretna - Monroe</v>
      </c>
      <c r="B12" s="22" t="str">
        <v>VA</v>
      </c>
      <c r="C12" s="22"/>
      <c r="D12" s="22"/>
      <c r="E12" s="22" t="str">
        <f t="shared" si="0"/>
        <v/>
      </c>
      <c r="F12" s="22" t="str">
        <f t="shared" si="3"/>
        <v/>
      </c>
      <c r="G12" s="22"/>
      <c r="H12" s="22" t="str">
        <f t="shared" si="1"/>
        <v/>
      </c>
      <c r="I12" s="22" t="str">
        <f t="shared" si="2"/>
        <v/>
      </c>
      <c r="J12" s="22" t="s">
        <v>127</v>
      </c>
      <c r="K12" s="22"/>
      <c r="L12" s="72"/>
      <c r="M12" s="72"/>
      <c r="N12" s="72"/>
    </row>
    <row r="13" spans="1:14" ht="21.75" customHeight="1">
      <c r="A13" s="22" t="str">
        <v>Rockbridge Baths - Small Mouth Bass</v>
      </c>
      <c r="B13" s="22" t="str">
        <v>VA</v>
      </c>
      <c r="C13" s="22"/>
      <c r="D13" s="22"/>
      <c r="E13" s="22" t="str">
        <f t="shared" si="0"/>
        <v/>
      </c>
      <c r="F13" s="22" t="str">
        <f t="shared" si="3"/>
        <v/>
      </c>
      <c r="G13" s="22"/>
      <c r="H13" s="22" t="str">
        <f t="shared" si="1"/>
        <v/>
      </c>
      <c r="I13" s="22" t="str">
        <f t="shared" si="2"/>
        <v/>
      </c>
      <c r="J13" s="22" t="s">
        <v>127</v>
      </c>
      <c r="K13" s="22"/>
      <c r="L13" s="72"/>
      <c r="M13" s="72"/>
      <c r="N13" s="72"/>
    </row>
    <row r="14" spans="1:14">
      <c r="A14" s="22"/>
      <c r="B14" s="22"/>
      <c r="C14" s="22"/>
      <c r="D14" s="22"/>
      <c r="E14" s="22" t="str">
        <f t="shared" si="0"/>
        <v/>
      </c>
      <c r="F14" s="22" t="str">
        <f t="shared" si="3"/>
        <v/>
      </c>
      <c r="G14" s="22"/>
      <c r="H14" s="22" t="str">
        <f t="shared" si="1"/>
        <v/>
      </c>
      <c r="I14" s="22" t="str">
        <f t="shared" si="2"/>
        <v/>
      </c>
      <c r="J14" s="22"/>
      <c r="K14" s="22"/>
      <c r="L14" s="72"/>
      <c r="M14" s="72"/>
      <c r="N14" s="72"/>
    </row>
    <row r="15" spans="1:14">
      <c r="A15" s="22"/>
      <c r="B15" s="22"/>
      <c r="C15" s="22"/>
      <c r="D15" s="22"/>
      <c r="E15" s="22" t="str">
        <f t="shared" si="0"/>
        <v/>
      </c>
      <c r="F15" s="22" t="str">
        <f t="shared" si="3"/>
        <v/>
      </c>
      <c r="G15" s="22"/>
      <c r="H15" s="22" t="str">
        <f t="shared" si="1"/>
        <v/>
      </c>
      <c r="I15" s="22" t="str">
        <f t="shared" si="2"/>
        <v/>
      </c>
      <c r="J15" s="22"/>
      <c r="K15" s="22"/>
      <c r="L15" s="72"/>
      <c r="M15" s="72"/>
      <c r="N15" s="72"/>
    </row>
    <row r="16" spans="1:14">
      <c r="A16" s="22"/>
      <c r="B16" s="22"/>
      <c r="C16" s="22"/>
      <c r="D16" s="22"/>
      <c r="E16" s="22" t="str">
        <f t="shared" si="0"/>
        <v/>
      </c>
      <c r="F16" s="22" t="str">
        <f t="shared" si="3"/>
        <v/>
      </c>
      <c r="G16" s="22"/>
      <c r="H16" s="22" t="str">
        <f t="shared" si="1"/>
        <v/>
      </c>
      <c r="I16" s="22" t="str">
        <f t="shared" si="2"/>
        <v/>
      </c>
      <c r="J16" s="22"/>
      <c r="K16" s="22"/>
      <c r="L16" s="72"/>
      <c r="M16" s="72"/>
      <c r="N16" s="72"/>
    </row>
    <row r="17" spans="1:14">
      <c r="A17" s="22"/>
      <c r="B17" s="22"/>
      <c r="C17" s="22"/>
      <c r="D17" s="22"/>
      <c r="E17" s="22" t="str">
        <f t="shared" si="0"/>
        <v/>
      </c>
      <c r="F17" s="22" t="str">
        <f t="shared" si="3"/>
        <v/>
      </c>
      <c r="G17" s="22"/>
      <c r="H17" s="22" t="str">
        <f t="shared" si="1"/>
        <v/>
      </c>
      <c r="I17" s="22" t="str">
        <f t="shared" si="2"/>
        <v/>
      </c>
      <c r="J17" s="22"/>
      <c r="K17" s="22"/>
      <c r="L17" s="72"/>
      <c r="M17" s="72"/>
      <c r="N17" s="7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7 I4:I7 F18:F100 I18:I100">
    <cfRule type="cellIs" dxfId="28" priority="1" stopIfTrue="1" operator="lessThanOrEqual">
      <formula>-0.1</formula>
    </cfRule>
    <cfRule type="expression" dxfId="27" priority="2">
      <formula>AND(ISNUMBER(F4), F4&gt;=0.1)</formula>
    </cfRule>
  </conditionalFormatting>
  <hyperlinks>
    <hyperlink ref="K4" r:id="rId1" display="https://us3.assetplanner.com/service_request?ID=099790" xr:uid="{F5775E3D-5495-4E27-81AF-747D0ACF3313}"/>
    <hyperlink ref="L4" r:id="rId2" display="https://us3.assetplanner.com/service_request?ID=101579" xr:uid="{EFCC085F-863A-4E0B-95D3-EBA50EFBB36E}"/>
    <hyperlink ref="M4" r:id="rId3" display="https://us3.assetplanner.com/service_request?ID=101399" xr:uid="{52FE1DBB-A60C-4FB8-9E55-1C8883112C4C}"/>
    <hyperlink ref="K7" r:id="rId4" display="https://us3.assetplanner.com/service_request?ID=096263" xr:uid="{4E4E80C8-7A21-4723-8CF2-F108BE9C5CD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F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8" t="str" cm="1">
        <f t="array" ref="A1">portfolio</f>
        <v>Tortoise</v>
      </c>
      <c r="B1" s="78"/>
      <c r="C1" s="78"/>
      <c r="D1" s="79" t="s">
        <v>136</v>
      </c>
      <c r="E1" s="79"/>
      <c r="F1" s="79"/>
      <c r="G1" s="77" t="s">
        <v>137</v>
      </c>
      <c r="H1" s="77"/>
      <c r="I1" s="77"/>
      <c r="J1" s="5"/>
      <c r="K1" s="5"/>
    </row>
    <row r="2" spans="1:15" ht="19.5" customHeight="1">
      <c r="A2" s="80" t="s">
        <v>2</v>
      </c>
      <c r="B2" s="80"/>
      <c r="C2" s="6">
        <f>SUM(C4:C100)</f>
        <v>408649.72000000003</v>
      </c>
      <c r="D2" s="6">
        <f>SUM(D4:D100)</f>
        <v>487259.32651704602</v>
      </c>
      <c r="E2" s="6">
        <f>C2-D2</f>
        <v>-78609.606517045991</v>
      </c>
      <c r="F2" s="7">
        <f>IFERROR(E2/D2, 0)</f>
        <v>-0.16133012184487341</v>
      </c>
      <c r="G2" s="6">
        <f>SUM(G4:G100)</f>
        <v>585527.51</v>
      </c>
      <c r="H2" s="8">
        <f>C2-G2</f>
        <v>-176877.78999999998</v>
      </c>
      <c r="I2" s="7">
        <f>IFERROR(H2/G2, 0)</f>
        <v>-0.30208280051606795</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v>111918</v>
      </c>
      <c r="D4" s="14">
        <v>114821.173517046</v>
      </c>
      <c r="E4" s="14">
        <f>IF(AND(ISNUMBER(C4),ISNUMBER(D4)), C4-D4, "")</f>
        <v>-2903.1735170460015</v>
      </c>
      <c r="F4" s="15">
        <f>IFERROR(E4/D4, "")</f>
        <v>-2.5284304524330656E-2</v>
      </c>
      <c r="G4" s="16">
        <v>134380.51</v>
      </c>
      <c r="H4" s="16">
        <f>IF(AND(ISNUMBER(C4),ISNUMBER(G4)), C4-G4, "")</f>
        <v>-22462.510000000009</v>
      </c>
      <c r="I4" s="17">
        <f>IFERROR(H4/G4, "")</f>
        <v>-0.16715601094236068</v>
      </c>
      <c r="J4" s="41" t="s">
        <v>138</v>
      </c>
      <c r="K4" s="68" t="s">
        <v>139</v>
      </c>
    </row>
    <row r="5" spans="1:15" ht="28.9">
      <c r="A5" s="30" t="str">
        <v>San Luis Valley</v>
      </c>
      <c r="B5" s="31" t="str">
        <v>CO</v>
      </c>
      <c r="C5" s="12">
        <v>241428.75</v>
      </c>
      <c r="D5" s="19">
        <v>210534.98499999999</v>
      </c>
      <c r="E5" s="19">
        <f t="shared" ref="E5:E17" si="0">IF(AND(ISNUMBER(C5),ISNUMBER(D5)), C5-D5, "")</f>
        <v>30893.765000000014</v>
      </c>
      <c r="F5" s="20">
        <f>IFERROR(E5/D5, "")</f>
        <v>0.14673934120735332</v>
      </c>
      <c r="G5" s="21">
        <v>268540</v>
      </c>
      <c r="H5" s="21">
        <f t="shared" ref="H5:H17" si="1">IF(AND(ISNUMBER(C5),ISNUMBER(G5)), C5-G5, "")</f>
        <v>-27111.25</v>
      </c>
      <c r="I5" s="20">
        <f t="shared" ref="I5:I17" si="2">IFERROR(H5/G5, "")</f>
        <v>-0.10095795784613093</v>
      </c>
      <c r="J5" s="42" t="s">
        <v>140</v>
      </c>
      <c r="K5" s="73" t="s">
        <v>141</v>
      </c>
    </row>
    <row r="6" spans="1:15" ht="15.6">
      <c r="A6" s="32" t="str">
        <v>Golden NREL 2</v>
      </c>
      <c r="B6" s="29" t="str">
        <v>CO</v>
      </c>
      <c r="C6" s="25">
        <v>12760.89</v>
      </c>
      <c r="D6" s="14">
        <v>13409.368</v>
      </c>
      <c r="E6" s="14">
        <f t="shared" si="0"/>
        <v>-648.47800000000097</v>
      </c>
      <c r="F6" s="15">
        <f t="shared" ref="F6:F17" si="3">IFERROR(E6/D6, "")</f>
        <v>-4.8360071854244062E-2</v>
      </c>
      <c r="G6" s="16">
        <v>15123</v>
      </c>
      <c r="H6" s="16">
        <f t="shared" si="1"/>
        <v>-2362.1100000000006</v>
      </c>
      <c r="I6" s="17">
        <f t="shared" si="2"/>
        <v>-0.15619321563181912</v>
      </c>
      <c r="J6" s="41" t="s">
        <v>142</v>
      </c>
      <c r="K6" s="41"/>
    </row>
    <row r="7" spans="1:15" ht="43.15">
      <c r="A7" s="30" t="str">
        <v>Golden NREL Wind 3</v>
      </c>
      <c r="B7" s="31" t="str">
        <v>CO</v>
      </c>
      <c r="C7" s="12">
        <v>42542.080000000002</v>
      </c>
      <c r="D7" s="19">
        <v>148493.79999999999</v>
      </c>
      <c r="E7" s="19">
        <f t="shared" si="0"/>
        <v>-105951.71999999999</v>
      </c>
      <c r="F7" s="20">
        <f t="shared" si="3"/>
        <v>-0.71350938557704091</v>
      </c>
      <c r="G7" s="21">
        <v>167484</v>
      </c>
      <c r="H7" s="21">
        <f t="shared" si="1"/>
        <v>-124941.92</v>
      </c>
      <c r="I7" s="20">
        <f t="shared" si="2"/>
        <v>-0.74599316949678773</v>
      </c>
      <c r="J7" s="48" t="s">
        <v>143</v>
      </c>
      <c r="K7" s="60" t="s">
        <v>29</v>
      </c>
    </row>
    <row r="8" spans="1:15" hidden="1">
      <c r="A8" s="22" t="str">
        <v>Pratt Solar Farm</v>
      </c>
      <c r="B8" s="22" t="str">
        <v>KS</v>
      </c>
      <c r="C8" s="22"/>
      <c r="D8" s="22"/>
      <c r="E8" s="22" t="str">
        <f t="shared" si="0"/>
        <v/>
      </c>
      <c r="F8" s="22" t="str">
        <f t="shared" si="3"/>
        <v/>
      </c>
      <c r="G8" s="22"/>
      <c r="H8" s="22" t="str">
        <f t="shared" si="1"/>
        <v/>
      </c>
      <c r="I8" s="22" t="str">
        <f t="shared" si="2"/>
        <v/>
      </c>
      <c r="J8" s="22"/>
      <c r="K8" s="22"/>
      <c r="L8" s="22"/>
      <c r="M8" s="22"/>
      <c r="N8" s="22"/>
      <c r="O8" s="22"/>
    </row>
    <row r="9" spans="1:15" ht="18" hidden="1" customHeight="1">
      <c r="A9" s="22" t="str">
        <v>Rochester - 5516 Valleyhigh NW</v>
      </c>
      <c r="B9" s="22" t="str">
        <v>MN</v>
      </c>
      <c r="C9" s="22"/>
      <c r="D9" s="22"/>
      <c r="E9" s="22" t="str">
        <f t="shared" si="0"/>
        <v/>
      </c>
      <c r="F9" s="22" t="str">
        <f t="shared" si="3"/>
        <v/>
      </c>
      <c r="G9" s="22"/>
      <c r="H9" s="22" t="str">
        <f t="shared" si="1"/>
        <v/>
      </c>
      <c r="I9" s="22" t="str">
        <f t="shared" si="2"/>
        <v/>
      </c>
      <c r="J9" s="22"/>
      <c r="K9" s="22"/>
      <c r="L9" s="22"/>
      <c r="M9" s="22"/>
      <c r="N9" s="22"/>
      <c r="O9" s="22"/>
    </row>
    <row r="10" spans="1:15" hidden="1">
      <c r="A10" s="22" t="str">
        <v>Warsaw - 2201 Richmond</v>
      </c>
      <c r="B10" s="22" t="str">
        <v>VA</v>
      </c>
      <c r="C10" s="22"/>
      <c r="D10" s="22"/>
      <c r="E10" s="22" t="str">
        <f t="shared" si="0"/>
        <v/>
      </c>
      <c r="F10" s="22" t="str">
        <f t="shared" si="3"/>
        <v/>
      </c>
      <c r="G10" s="22"/>
      <c r="H10" s="22" t="str">
        <f t="shared" si="1"/>
        <v/>
      </c>
      <c r="I10" s="22" t="str">
        <f t="shared" si="2"/>
        <v/>
      </c>
      <c r="J10" s="22"/>
      <c r="K10" s="22"/>
      <c r="L10" s="22"/>
      <c r="M10" s="22"/>
      <c r="N10" s="22"/>
      <c r="O10" s="22"/>
    </row>
    <row r="11" spans="1:15" hidden="1">
      <c r="A11" s="22" t="str">
        <v>Mount Jackson - Randolf</v>
      </c>
      <c r="B11" s="22" t="str">
        <v>VA</v>
      </c>
      <c r="C11" s="22"/>
      <c r="D11" s="22"/>
      <c r="E11" s="22" t="str">
        <f t="shared" si="0"/>
        <v/>
      </c>
      <c r="F11" s="22" t="str">
        <f t="shared" si="3"/>
        <v/>
      </c>
      <c r="G11" s="22"/>
      <c r="H11" s="22" t="str">
        <f t="shared" si="1"/>
        <v/>
      </c>
      <c r="I11" s="22" t="str">
        <f t="shared" si="2"/>
        <v/>
      </c>
      <c r="J11" s="22"/>
      <c r="K11" s="22"/>
      <c r="L11" s="22"/>
      <c r="M11" s="22"/>
      <c r="N11" s="22"/>
      <c r="O11" s="22"/>
    </row>
    <row r="12" spans="1:15" hidden="1">
      <c r="A12" s="22" t="str">
        <v>Callands Gretna - Monroe</v>
      </c>
      <c r="B12" s="22" t="str">
        <v>VA</v>
      </c>
      <c r="C12" s="22"/>
      <c r="D12" s="22"/>
      <c r="E12" s="22" t="str">
        <f t="shared" si="0"/>
        <v/>
      </c>
      <c r="F12" s="22" t="str">
        <f t="shared" si="3"/>
        <v/>
      </c>
      <c r="G12" s="22"/>
      <c r="H12" s="22" t="str">
        <f t="shared" si="1"/>
        <v/>
      </c>
      <c r="I12" s="22" t="str">
        <f t="shared" si="2"/>
        <v/>
      </c>
      <c r="J12" s="22"/>
      <c r="K12" s="22"/>
      <c r="L12" s="22"/>
      <c r="M12" s="22"/>
      <c r="N12" s="22"/>
      <c r="O12" s="22"/>
    </row>
    <row r="13" spans="1:15" hidden="1">
      <c r="A13" s="22" t="str">
        <v>Rockbridge Baths - Small Mouth Bass</v>
      </c>
      <c r="B13" s="22" t="str">
        <v>VA</v>
      </c>
      <c r="C13" s="22"/>
      <c r="D13" s="22"/>
      <c r="E13" s="22" t="str">
        <f t="shared" si="0"/>
        <v/>
      </c>
      <c r="F13" s="22" t="str">
        <f t="shared" si="3"/>
        <v/>
      </c>
      <c r="G13" s="22"/>
      <c r="H13" s="22" t="str">
        <f t="shared" si="1"/>
        <v/>
      </c>
      <c r="I13" s="22" t="str">
        <f t="shared" si="2"/>
        <v/>
      </c>
      <c r="J13" s="22"/>
      <c r="K13" s="2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7 I4:I7 A8:K19 F20:F100 I20:I100">
    <cfRule type="cellIs" dxfId="24" priority="1" stopIfTrue="1" operator="lessThanOrEqual">
      <formula>-0.1</formula>
    </cfRule>
    <cfRule type="expression" dxfId="23" priority="2">
      <formula>AND(ISNUMBER(A4), A4&gt;=0.1)</formula>
    </cfRule>
  </conditionalFormatting>
  <hyperlinks>
    <hyperlink ref="K4" r:id="rId1" display="https://us3.assetplanner.com/service_request?ID=102730" xr:uid="{817151CE-FC08-488C-92B8-EF11A8FD9BEE}"/>
    <hyperlink ref="K5" r:id="rId2" display="https://us3.assetplanner.com/service_request?ID=103430" xr:uid="{4E238238-B8E1-4FB0-B369-BE30690B6AA6}"/>
    <hyperlink ref="K7" r:id="rId3" display="https://us3.assetplanner.com/service_request?ID=096263" xr:uid="{A454E993-3BA7-4543-91D6-5B8634116D65}"/>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J4" activePane="bottomRight" state="frozen"/>
      <selection pane="bottomRight" activeCell="J20" sqref="J20"/>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8" t="str" cm="1">
        <f t="array" ref="A1">portfolio</f>
        <v>Tortoise</v>
      </c>
      <c r="B1" s="78"/>
      <c r="C1" s="78"/>
      <c r="D1" s="79" t="s">
        <v>144</v>
      </c>
      <c r="E1" s="79"/>
      <c r="F1" s="79"/>
      <c r="G1" s="77" t="s">
        <v>145</v>
      </c>
      <c r="H1" s="77"/>
      <c r="I1" s="77"/>
      <c r="J1" s="5"/>
      <c r="K1" s="5"/>
    </row>
    <row r="2" spans="1:12" ht="19.5" customHeight="1">
      <c r="A2" s="80" t="s">
        <v>2</v>
      </c>
      <c r="B2" s="80"/>
      <c r="C2" s="6">
        <f>SUM(C4:C100)</f>
        <v>426349.53499999997</v>
      </c>
      <c r="D2" s="6">
        <f>SUM(D4:D100)</f>
        <v>467620.47699999996</v>
      </c>
      <c r="E2" s="6">
        <f>C2-D2</f>
        <v>-41270.941999999981</v>
      </c>
      <c r="F2" s="7">
        <f>IFERROR(E2/D2, 0)</f>
        <v>-8.8257345496869644E-2</v>
      </c>
      <c r="G2" s="6">
        <f>SUM(G4:G100)</f>
        <v>545877.45589999994</v>
      </c>
      <c r="H2" s="8">
        <f>C2-G2</f>
        <v>-119527.92089999997</v>
      </c>
      <c r="I2" s="7">
        <f>IFERROR(H2/G2, 0)</f>
        <v>-0.21896475043639915</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v>109827</v>
      </c>
      <c r="D4" s="14">
        <v>112493.967</v>
      </c>
      <c r="E4" s="14">
        <f>IF(AND(ISNUMBER(C4),ISNUMBER(D4)), C4-D4, "")</f>
        <v>-2666.9670000000042</v>
      </c>
      <c r="F4" s="15">
        <f>IFERROR(E4/D4, "")</f>
        <v>-2.3707644695292896E-2</v>
      </c>
      <c r="G4" s="16">
        <v>112409.4559</v>
      </c>
      <c r="H4" s="16">
        <f>IF(AND(ISNUMBER(C4),ISNUMBER(G4)), C4-G4, "")</f>
        <v>-2582.4559000000008</v>
      </c>
      <c r="I4" s="17">
        <f t="shared" ref="I4:I13" si="0">IFERROR(H4/G4, "")</f>
        <v>-2.2973653589226213E-2</v>
      </c>
      <c r="J4" s="41" t="s">
        <v>146</v>
      </c>
      <c r="K4" s="68" t="s">
        <v>139</v>
      </c>
    </row>
    <row r="5" spans="1:12" ht="15.6">
      <c r="A5" s="30" t="str">
        <v>San Luis Valley</v>
      </c>
      <c r="B5" s="31" t="str">
        <v>CO</v>
      </c>
      <c r="C5" s="12">
        <v>239326.5</v>
      </c>
      <c r="D5" s="19">
        <v>209732.226</v>
      </c>
      <c r="E5" s="19">
        <f>IF(AND(ISNUMBER(C5),ISNUMBER(D5)), C5-D5, "")</f>
        <v>29594.274000000005</v>
      </c>
      <c r="F5" s="20">
        <f>IFERROR(E5/D5, "")</f>
        <v>0.1411050393371594</v>
      </c>
      <c r="G5" s="21">
        <v>258456</v>
      </c>
      <c r="H5" s="21">
        <f t="shared" ref="H5:H17" si="1">IF(AND(ISNUMBER(C5),ISNUMBER(G5)), C5-G5, "")</f>
        <v>-19129.5</v>
      </c>
      <c r="I5" s="53">
        <f t="shared" si="0"/>
        <v>-7.4014532454266882E-2</v>
      </c>
      <c r="J5" s="42"/>
      <c r="K5" s="42"/>
    </row>
    <row r="6" spans="1:12" ht="72">
      <c r="A6" s="32" t="str">
        <v>Golden NREL 2</v>
      </c>
      <c r="B6" s="29" t="str">
        <v>CO</v>
      </c>
      <c r="C6" s="25">
        <v>11968.99</v>
      </c>
      <c r="D6" s="14">
        <v>12742.894</v>
      </c>
      <c r="E6" s="14">
        <f t="shared" ref="E6:E17" si="2">IF(AND(ISNUMBER(C6),ISNUMBER(D6)), C6-D6, "")</f>
        <v>-773.90400000000045</v>
      </c>
      <c r="F6" s="15">
        <f t="shared" ref="F6:F17" si="3">IFERROR(E6/D6, "")</f>
        <v>-6.073220102121233E-2</v>
      </c>
      <c r="G6" s="16">
        <v>13987</v>
      </c>
      <c r="H6" s="16">
        <f t="shared" si="1"/>
        <v>-2018.0100000000002</v>
      </c>
      <c r="I6" s="17">
        <f t="shared" si="0"/>
        <v>-0.14427754343318797</v>
      </c>
      <c r="J6" s="41" t="s">
        <v>147</v>
      </c>
      <c r="K6" s="41"/>
    </row>
    <row r="7" spans="1:12" ht="28.9">
      <c r="A7" s="30" t="str">
        <v>Golden NREL Wind 3</v>
      </c>
      <c r="B7" s="31" t="str">
        <v>CO</v>
      </c>
      <c r="C7" s="12">
        <v>65227.044999999998</v>
      </c>
      <c r="D7" s="19">
        <v>132651.39000000001</v>
      </c>
      <c r="E7" s="19">
        <f t="shared" si="2"/>
        <v>-67424.345000000016</v>
      </c>
      <c r="F7" s="20">
        <f t="shared" si="3"/>
        <v>-0.50828223511265136</v>
      </c>
      <c r="G7" s="21">
        <v>161025</v>
      </c>
      <c r="H7" s="21">
        <f t="shared" si="1"/>
        <v>-95797.955000000002</v>
      </c>
      <c r="I7" s="53">
        <f t="shared" si="0"/>
        <v>-0.5949259742276044</v>
      </c>
      <c r="J7" s="48" t="s">
        <v>148</v>
      </c>
      <c r="K7" s="60" t="s">
        <v>29</v>
      </c>
    </row>
    <row r="8" spans="1:12" ht="15.6" hidden="1">
      <c r="A8" s="32" t="str">
        <v>Pratt Solar Farm</v>
      </c>
      <c r="B8" s="29" t="str">
        <v>KS</v>
      </c>
      <c r="C8" s="46"/>
      <c r="D8" s="14"/>
      <c r="E8" s="14" t="str">
        <f t="shared" si="2"/>
        <v/>
      </c>
      <c r="F8" s="15" t="str">
        <f t="shared" si="3"/>
        <v/>
      </c>
      <c r="G8" s="16"/>
      <c r="H8" s="16" t="str">
        <f t="shared" si="1"/>
        <v/>
      </c>
      <c r="I8" s="17" t="str">
        <f t="shared" si="0"/>
        <v/>
      </c>
      <c r="J8" s="41"/>
      <c r="K8" s="41"/>
    </row>
    <row r="9" spans="1:12" ht="15.6" hidden="1">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hidden="1">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hidden="1">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hidden="1">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hidden="1">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730" xr:uid="{DCA78FB1-E379-4850-9AA5-64B1622BE11F}"/>
    <hyperlink ref="K7" r:id="rId2" display="https://us3.assetplanner.com/service_request?ID=096263" xr:uid="{75C7C7E1-3B05-4BCB-913C-E516CBFBDF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L1" sqref="L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2"/>
  </cols>
  <sheetData>
    <row r="1" spans="1:13" ht="19.5" customHeight="1">
      <c r="A1" s="78" t="str" cm="1">
        <f t="array" ref="A1">portfolio</f>
        <v>Tortoise</v>
      </c>
      <c r="B1" s="78"/>
      <c r="C1" s="78"/>
      <c r="D1" s="79" t="s">
        <v>149</v>
      </c>
      <c r="E1" s="79"/>
      <c r="F1" s="79"/>
      <c r="G1" s="77" t="s">
        <v>150</v>
      </c>
      <c r="H1" s="77"/>
      <c r="I1" s="77"/>
      <c r="J1" s="5"/>
      <c r="K1" s="5"/>
    </row>
    <row r="2" spans="1:13" ht="19.5" customHeight="1">
      <c r="A2" s="80" t="s">
        <v>2</v>
      </c>
      <c r="B2" s="80"/>
      <c r="C2" s="6">
        <f>SUM(C4:C100)</f>
        <v>359243.30900000001</v>
      </c>
      <c r="D2" s="6">
        <f>SUM(D4:D100)</f>
        <v>418249.9498</v>
      </c>
      <c r="E2" s="6">
        <f>C2-D2</f>
        <v>-59006.640799999994</v>
      </c>
      <c r="F2" s="7">
        <f>IFERROR(E2/D2, 0)</f>
        <v>-0.14107985148167015</v>
      </c>
      <c r="G2" s="6">
        <f>SUM(G4:G100)</f>
        <v>517607.91600000003</v>
      </c>
      <c r="H2" s="8">
        <f>C2-G2</f>
        <v>-158364.60700000002</v>
      </c>
      <c r="I2" s="7">
        <f>IFERROR(H2/G2, 0)</f>
        <v>-0.30595476248473757</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v>97692</v>
      </c>
      <c r="D4" s="14">
        <v>101109.44779999999</v>
      </c>
      <c r="E4" s="14">
        <f>IF(AND(ISNUMBER(C4),ISNUMBER(D4)), C4-D4, "")</f>
        <v>-3417.4477999999945</v>
      </c>
      <c r="F4" s="15">
        <f>IFERROR(E4/D4, "")</f>
        <v>-3.3799490298472332E-2</v>
      </c>
      <c r="G4" s="16">
        <v>122140.96</v>
      </c>
      <c r="H4" s="16">
        <f>IF(AND(ISNUMBER(C4),ISNUMBER(G4)), C4-G4, "")</f>
        <v>-24448.960000000006</v>
      </c>
      <c r="I4" s="17">
        <f>IFERROR(H4/G4, "")</f>
        <v>-0.20017003305033795</v>
      </c>
      <c r="J4" s="41" t="s">
        <v>151</v>
      </c>
      <c r="K4" s="68" t="s">
        <v>139</v>
      </c>
    </row>
    <row r="5" spans="1:13" ht="47.25" customHeight="1">
      <c r="A5" s="30" t="str">
        <v>San Luis Valley</v>
      </c>
      <c r="B5" s="31" t="str">
        <v>CO</v>
      </c>
      <c r="C5" s="12">
        <v>213057.5</v>
      </c>
      <c r="D5" s="19">
        <v>189784.182</v>
      </c>
      <c r="E5" s="19">
        <f t="shared" ref="E5:E17" si="0">IF(AND(ISNUMBER(C5),ISNUMBER(D5)), C5-D5, "")</f>
        <v>23273.317999999999</v>
      </c>
      <c r="F5" s="20">
        <f>IFERROR(E5/D5, "")</f>
        <v>0.12263044135048093</v>
      </c>
      <c r="G5" s="21">
        <v>235469</v>
      </c>
      <c r="H5" s="21">
        <f t="shared" ref="H5:H17" si="1">IF(AND(ISNUMBER(C5),ISNUMBER(G5)), C5-G5, "")</f>
        <v>-22411.5</v>
      </c>
      <c r="I5" s="20">
        <f t="shared" ref="I5:I17" si="2">IFERROR(H5/G5, "")</f>
        <v>-9.5178133852014485E-2</v>
      </c>
      <c r="J5" s="55"/>
      <c r="K5" s="55"/>
    </row>
    <row r="6" spans="1:13" ht="15.6">
      <c r="A6" s="32" t="str">
        <v>Golden NREL 2</v>
      </c>
      <c r="B6" s="29" t="str">
        <v>CO</v>
      </c>
      <c r="C6" s="25">
        <v>10692.120999999999</v>
      </c>
      <c r="D6" s="14">
        <v>11453.912</v>
      </c>
      <c r="E6" s="14">
        <f t="shared" si="0"/>
        <v>-761.79100000000108</v>
      </c>
      <c r="F6" s="15">
        <f t="shared" ref="F6:F17" si="3">IFERROR(E6/D6, "")</f>
        <v>-6.6509241558692006E-2</v>
      </c>
      <c r="G6" s="16">
        <v>12847.956</v>
      </c>
      <c r="H6" s="16">
        <f t="shared" si="1"/>
        <v>-2155.8350000000009</v>
      </c>
      <c r="I6" s="17">
        <f t="shared" si="2"/>
        <v>-0.16779595135599787</v>
      </c>
      <c r="J6" s="41" t="s">
        <v>152</v>
      </c>
      <c r="K6" s="68" t="s">
        <v>153</v>
      </c>
    </row>
    <row r="7" spans="1:13" ht="28.9">
      <c r="A7" s="30" t="str">
        <v>Golden NREL Wind 3</v>
      </c>
      <c r="B7" s="31" t="str">
        <v>CO</v>
      </c>
      <c r="C7" s="12">
        <v>37801.688000000002</v>
      </c>
      <c r="D7" s="19">
        <v>115902.408</v>
      </c>
      <c r="E7" s="19">
        <f t="shared" si="0"/>
        <v>-78100.72</v>
      </c>
      <c r="F7" s="20">
        <f t="shared" si="3"/>
        <v>-0.673848985087523</v>
      </c>
      <c r="G7" s="21">
        <v>147150</v>
      </c>
      <c r="H7" s="21">
        <f t="shared" si="1"/>
        <v>-109348.31200000001</v>
      </c>
      <c r="I7" s="20">
        <f t="shared" si="2"/>
        <v>-0.74310779476724431</v>
      </c>
      <c r="J7" s="48" t="s">
        <v>154</v>
      </c>
      <c r="K7" s="60" t="s">
        <v>155</v>
      </c>
      <c r="L7" s="61" t="s">
        <v>156</v>
      </c>
    </row>
    <row r="8" spans="1:13" ht="15.6" hidden="1">
      <c r="A8" s="32" t="str">
        <v>Pratt Solar Farm</v>
      </c>
      <c r="B8" s="29" t="str">
        <v>KS</v>
      </c>
      <c r="C8" s="25"/>
      <c r="D8" s="14"/>
      <c r="E8" s="14" t="str">
        <f t="shared" si="0"/>
        <v/>
      </c>
      <c r="F8" s="15" t="str">
        <f t="shared" si="3"/>
        <v/>
      </c>
      <c r="G8" s="16"/>
      <c r="H8" s="16" t="str">
        <f t="shared" si="1"/>
        <v/>
      </c>
      <c r="I8" s="17" t="str">
        <f t="shared" si="2"/>
        <v/>
      </c>
      <c r="J8" s="41"/>
      <c r="K8" s="41"/>
    </row>
    <row r="9" spans="1:13" ht="96.75" hidden="1" customHeight="1">
      <c r="A9" s="30" t="str">
        <v>Rochester - 5516 Valleyhigh NW</v>
      </c>
      <c r="B9" s="31" t="str">
        <v>MN</v>
      </c>
      <c r="C9" s="12"/>
      <c r="D9" s="19"/>
      <c r="E9" s="19" t="str">
        <f t="shared" si="0"/>
        <v/>
      </c>
      <c r="F9" s="20" t="str">
        <f t="shared" si="3"/>
        <v/>
      </c>
      <c r="G9" s="54"/>
      <c r="H9" s="21" t="str">
        <f t="shared" si="1"/>
        <v/>
      </c>
      <c r="I9" s="20" t="str">
        <f t="shared" si="2"/>
        <v/>
      </c>
      <c r="J9" s="55"/>
      <c r="K9" s="55"/>
      <c r="L9" s="72"/>
      <c r="M9" s="22"/>
    </row>
    <row r="10" spans="1:13" ht="15.6" hidden="1">
      <c r="A10" s="32" t="str">
        <v>Warsaw - 2201 Richmond</v>
      </c>
      <c r="B10" s="29" t="str">
        <v>VA</v>
      </c>
      <c r="C10" s="25"/>
      <c r="D10" s="14"/>
      <c r="E10" s="14" t="str">
        <f t="shared" si="0"/>
        <v/>
      </c>
      <c r="F10" s="15" t="str">
        <f t="shared" si="3"/>
        <v/>
      </c>
      <c r="G10" s="16"/>
      <c r="H10" s="16" t="str">
        <f t="shared" si="1"/>
        <v/>
      </c>
      <c r="I10" s="17" t="str">
        <f t="shared" si="2"/>
        <v/>
      </c>
      <c r="J10" s="41"/>
      <c r="K10" s="41"/>
      <c r="L10" s="72"/>
      <c r="M10" s="22"/>
    </row>
    <row r="11" spans="1:13" ht="15.6" hidden="1">
      <c r="A11" s="30" t="str">
        <v>Mount Jackson - Randolf</v>
      </c>
      <c r="B11" s="31" t="str">
        <v>VA</v>
      </c>
      <c r="C11" s="12"/>
      <c r="D11" s="19"/>
      <c r="E11" s="19" t="str">
        <f t="shared" si="0"/>
        <v/>
      </c>
      <c r="F11" s="20" t="str">
        <f t="shared" si="3"/>
        <v/>
      </c>
      <c r="G11" s="21"/>
      <c r="H11" s="21" t="str">
        <f t="shared" si="1"/>
        <v/>
      </c>
      <c r="I11" s="20" t="str">
        <f t="shared" si="2"/>
        <v/>
      </c>
      <c r="J11" s="42"/>
      <c r="K11" s="42"/>
      <c r="L11" s="72"/>
      <c r="M11" s="22"/>
    </row>
    <row r="12" spans="1:13" ht="15.6" hidden="1">
      <c r="A12" s="32" t="str">
        <v>Callands Gretna - Monroe</v>
      </c>
      <c r="B12" s="29" t="str">
        <v>VA</v>
      </c>
      <c r="C12" s="25"/>
      <c r="D12" s="14"/>
      <c r="E12" s="14" t="str">
        <f t="shared" si="0"/>
        <v/>
      </c>
      <c r="F12" s="15" t="str">
        <f t="shared" si="3"/>
        <v/>
      </c>
      <c r="G12" s="16"/>
      <c r="H12" s="16" t="str">
        <f t="shared" si="1"/>
        <v/>
      </c>
      <c r="I12" s="17" t="str">
        <f t="shared" si="2"/>
        <v/>
      </c>
      <c r="J12" s="41"/>
      <c r="K12" s="41"/>
      <c r="L12" s="72"/>
      <c r="M12" s="22"/>
    </row>
    <row r="13" spans="1:13" ht="15.6" hidden="1">
      <c r="A13" s="30" t="str">
        <v>Rockbridge Baths - Small Mouth Bass</v>
      </c>
      <c r="B13" s="31" t="str">
        <v>VA</v>
      </c>
      <c r="C13" s="12"/>
      <c r="D13" s="19"/>
      <c r="E13" s="19" t="str">
        <f t="shared" si="0"/>
        <v/>
      </c>
      <c r="F13" s="20" t="str">
        <f t="shared" si="3"/>
        <v/>
      </c>
      <c r="G13" s="21"/>
      <c r="H13" s="21" t="str">
        <f t="shared" si="1"/>
        <v/>
      </c>
      <c r="I13" s="20" t="str">
        <f t="shared" si="2"/>
        <v/>
      </c>
      <c r="J13" s="42"/>
      <c r="K13" s="55"/>
      <c r="L13" s="72"/>
      <c r="M13" s="22"/>
    </row>
    <row r="14" spans="1:13">
      <c r="A14" s="22"/>
      <c r="B14" s="22"/>
      <c r="C14" s="22"/>
      <c r="D14" s="22"/>
      <c r="E14" s="22" t="str">
        <f t="shared" si="0"/>
        <v/>
      </c>
      <c r="F14" s="22" t="str">
        <f t="shared" si="3"/>
        <v/>
      </c>
      <c r="G14" s="22"/>
      <c r="H14" s="22" t="str">
        <f t="shared" si="1"/>
        <v/>
      </c>
      <c r="I14" s="22" t="str">
        <f t="shared" si="2"/>
        <v/>
      </c>
      <c r="J14" s="22"/>
      <c r="K14" s="22"/>
      <c r="L14" s="72"/>
      <c r="M14" s="22"/>
    </row>
    <row r="15" spans="1:13">
      <c r="A15" s="22"/>
      <c r="B15" s="22"/>
      <c r="C15" s="22"/>
      <c r="D15" s="22"/>
      <c r="E15" s="22" t="str">
        <f t="shared" si="0"/>
        <v/>
      </c>
      <c r="F15" s="22" t="str">
        <f t="shared" si="3"/>
        <v/>
      </c>
      <c r="G15" s="22"/>
      <c r="H15" s="22" t="str">
        <f t="shared" si="1"/>
        <v/>
      </c>
      <c r="I15" s="22" t="str">
        <f t="shared" si="2"/>
        <v/>
      </c>
      <c r="J15" s="22"/>
      <c r="K15" s="22"/>
      <c r="L15" s="72"/>
      <c r="M15" s="22"/>
    </row>
    <row r="16" spans="1:13">
      <c r="A16" s="22"/>
      <c r="B16" s="22"/>
      <c r="C16" s="22"/>
      <c r="D16" s="22"/>
      <c r="E16" s="22" t="str">
        <f t="shared" si="0"/>
        <v/>
      </c>
      <c r="F16" s="22" t="str">
        <f t="shared" si="3"/>
        <v/>
      </c>
      <c r="G16" s="22"/>
      <c r="H16" s="22" t="str">
        <f t="shared" si="1"/>
        <v/>
      </c>
      <c r="I16" s="22" t="str">
        <f t="shared" si="2"/>
        <v/>
      </c>
      <c r="J16" s="22"/>
      <c r="K16" s="22"/>
      <c r="L16" s="72"/>
      <c r="M16" s="22"/>
    </row>
    <row r="17" spans="1:13">
      <c r="A17" s="22"/>
      <c r="B17" s="22"/>
      <c r="C17" s="22"/>
      <c r="D17" s="22"/>
      <c r="E17" s="22" t="str">
        <f t="shared" si="0"/>
        <v/>
      </c>
      <c r="F17" s="22" t="str">
        <f t="shared" si="3"/>
        <v/>
      </c>
      <c r="G17" s="22"/>
      <c r="H17" s="22" t="str">
        <f t="shared" si="1"/>
        <v/>
      </c>
      <c r="I17" s="22" t="str">
        <f t="shared" si="2"/>
        <v/>
      </c>
      <c r="J17" s="22"/>
      <c r="K17" s="22"/>
      <c r="L17" s="7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hyperlinks>
    <hyperlink ref="K4" r:id="rId1" display="https://us3.assetplanner.com/service_request?ID=102730" xr:uid="{209836DB-5DF9-4B40-8927-B932FE29D1D9}"/>
    <hyperlink ref="K6" r:id="rId2" display="https://us3.assetplanner.com/service_request?ID=106365" xr:uid="{3139D0E4-49F0-4665-A08B-59A6BE13DAE0}"/>
    <hyperlink ref="K7" r:id="rId3" display="https://us3.assetplanner.com/service_request?ID=107074" xr:uid="{B4CDB689-3321-4CE2-98FF-1C7C936A7913}"/>
    <hyperlink ref="L7" r:id="rId4" display="https://us3.assetplanner.com/service_request?ID=107072" xr:uid="{DA8878D3-2837-43B8-BAFC-9AAC03D96CB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96" zoomScaleNormal="96" workbookViewId="0">
      <pane xSplit="2" ySplit="3" topLeftCell="C4" activePane="bottomRight" state="frozen"/>
      <selection pane="bottomRight" activeCell="L21" sqref="L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3" ht="19.5" customHeight="1">
      <c r="A1" s="78" t="str" cm="1">
        <f t="array" ref="A1">portfolio</f>
        <v>Tortoise</v>
      </c>
      <c r="B1" s="78"/>
      <c r="C1" s="78"/>
      <c r="D1" s="79" t="s">
        <v>157</v>
      </c>
      <c r="E1" s="79"/>
      <c r="F1" s="79"/>
      <c r="G1" s="77" t="s">
        <v>158</v>
      </c>
      <c r="H1" s="77"/>
      <c r="I1" s="77"/>
      <c r="J1" s="5"/>
      <c r="K1" s="5"/>
    </row>
    <row r="2" spans="1:13" ht="19.5" customHeight="1">
      <c r="A2" s="80" t="s">
        <v>2</v>
      </c>
      <c r="B2" s="80"/>
      <c r="C2" s="6">
        <f>SUM(C4:C100)</f>
        <v>336582.12600000075</v>
      </c>
      <c r="D2" s="6">
        <f>SUM(D4:D100)</f>
        <v>346016.94489598146</v>
      </c>
      <c r="E2" s="6">
        <f>C2-D2</f>
        <v>-9434.8188959807158</v>
      </c>
      <c r="F2" s="7">
        <f>IFERROR(E2/D2, 0)</f>
        <v>-2.72669273431594E-2</v>
      </c>
      <c r="G2" s="6">
        <f>SUM(G4:G100)</f>
        <v>474957.19900000014</v>
      </c>
      <c r="H2" s="8">
        <f>C2-G2</f>
        <v>-138375.07299999939</v>
      </c>
      <c r="I2" s="7">
        <f>IFERROR(H2/G2, 0)</f>
        <v>-0.29134219523641613</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c r="L3" s="26" t="s">
        <v>159</v>
      </c>
    </row>
    <row r="4" spans="1:13" ht="15.6">
      <c r="A4" s="32" t="str" cm="1">
        <f t="array" ref="A4:A13">Sites[Site]</f>
        <v>Alamosa School District</v>
      </c>
      <c r="B4" s="29" t="str" cm="1">
        <f t="array" ref="B4:B13">Sites[State]</f>
        <v>CO</v>
      </c>
      <c r="C4" s="25">
        <v>85038.000000000728</v>
      </c>
      <c r="D4" s="14">
        <v>98864.174895981429</v>
      </c>
      <c r="E4" s="14">
        <f>IF(AND(ISNUMBER(C4),ISNUMBER(D4)), C4-D4, "")</f>
        <v>-13826.174895980701</v>
      </c>
      <c r="F4" s="15">
        <f>IFERROR(E4/D4, "")</f>
        <v>-0.1398502026697509</v>
      </c>
      <c r="G4" s="16">
        <v>114062.17000000016</v>
      </c>
      <c r="H4" s="16">
        <f>IF(AND(ISNUMBER(C4),ISNUMBER(G4)), C4-G4, "")</f>
        <v>-29024.169999999431</v>
      </c>
      <c r="I4" s="17">
        <f>IFERROR(H4/G4, "")</f>
        <v>-0.25445921290116952</v>
      </c>
      <c r="J4" s="41" t="s">
        <v>160</v>
      </c>
      <c r="K4" s="68" t="s">
        <v>161</v>
      </c>
      <c r="L4" s="41" t="s">
        <v>162</v>
      </c>
    </row>
    <row r="5" spans="1:13" ht="28.9">
      <c r="A5" s="30" t="str">
        <v>San Luis Valley</v>
      </c>
      <c r="B5" s="31" t="str">
        <v>CO</v>
      </c>
      <c r="C5" s="12">
        <v>206910.13800000001</v>
      </c>
      <c r="D5" s="19">
        <v>136830.24400000001</v>
      </c>
      <c r="E5" s="19">
        <f t="shared" ref="E5:E17" si="0">IF(AND(ISNUMBER(C5),ISNUMBER(D5)), C5-D5, "")</f>
        <v>70079.894</v>
      </c>
      <c r="F5" s="20">
        <f>IFERROR(E5/D5, "")</f>
        <v>0.51216669612896393</v>
      </c>
      <c r="G5" s="21">
        <v>217657.856</v>
      </c>
      <c r="H5" s="21">
        <f t="shared" ref="H5:H16" si="1">IF(AND(ISNUMBER(C5),ISNUMBER(G5)), C5-G5, "")</f>
        <v>-10747.717999999993</v>
      </c>
      <c r="I5" s="20">
        <f t="shared" ref="I5:I16" si="2">IFERROR(H5/G5, "")</f>
        <v>-4.9378957403678522E-2</v>
      </c>
      <c r="J5" s="55" t="s">
        <v>163</v>
      </c>
      <c r="K5" s="74" t="s">
        <v>164</v>
      </c>
      <c r="L5" s="55" t="s">
        <v>162</v>
      </c>
    </row>
    <row r="6" spans="1:13" ht="15.6">
      <c r="A6" s="32" t="str">
        <v>Golden NREL 2</v>
      </c>
      <c r="B6" s="29" t="str">
        <v>CO</v>
      </c>
      <c r="C6" s="25">
        <v>9698.4879999999994</v>
      </c>
      <c r="D6" s="14">
        <v>10573.856</v>
      </c>
      <c r="E6" s="14">
        <f t="shared" si="0"/>
        <v>-875.36800000000039</v>
      </c>
      <c r="F6" s="15">
        <f t="shared" ref="F6:F17" si="3">IFERROR(E6/D6, "")</f>
        <v>-8.2786071609070561E-2</v>
      </c>
      <c r="G6" s="16">
        <v>11259.573</v>
      </c>
      <c r="H6" s="16">
        <f>IF(AND(ISNUMBER(C6),ISNUMBER(G6)), C6-G6, "")</f>
        <v>-1561.0850000000009</v>
      </c>
      <c r="I6" s="17">
        <f t="shared" si="2"/>
        <v>-0.13864513334564293</v>
      </c>
      <c r="J6" s="41" t="s">
        <v>152</v>
      </c>
      <c r="K6" s="68" t="s">
        <v>153</v>
      </c>
      <c r="L6" s="41" t="s">
        <v>162</v>
      </c>
    </row>
    <row r="7" spans="1:13" ht="57.6">
      <c r="A7" s="30" t="str">
        <v>Golden NREL Wind 3</v>
      </c>
      <c r="B7" s="31" t="str">
        <v>CO</v>
      </c>
      <c r="C7" s="12">
        <v>34935.5</v>
      </c>
      <c r="D7" s="19">
        <v>99748.67</v>
      </c>
      <c r="E7" s="19">
        <f t="shared" si="0"/>
        <v>-64813.17</v>
      </c>
      <c r="F7" s="20">
        <f t="shared" si="3"/>
        <v>-0.64976475375561393</v>
      </c>
      <c r="G7" s="21">
        <v>131977.60000000001</v>
      </c>
      <c r="H7" s="21">
        <f t="shared" si="1"/>
        <v>-97042.1</v>
      </c>
      <c r="I7" s="20">
        <f t="shared" si="2"/>
        <v>-0.73529220110079285</v>
      </c>
      <c r="J7" s="55" t="s">
        <v>165</v>
      </c>
      <c r="K7" s="74" t="s">
        <v>166</v>
      </c>
      <c r="L7" s="55" t="s">
        <v>167</v>
      </c>
      <c r="M7" s="75" t="s">
        <v>168</v>
      </c>
    </row>
    <row r="8" spans="1:13" ht="15.6" hidden="1">
      <c r="A8" s="32" t="str">
        <v>Pratt Solar Farm</v>
      </c>
      <c r="B8" s="29" t="str">
        <v>KS</v>
      </c>
      <c r="C8" s="25"/>
      <c r="D8" s="14"/>
      <c r="E8" s="14" t="str">
        <f t="shared" si="0"/>
        <v/>
      </c>
      <c r="F8" s="15" t="str">
        <f t="shared" si="3"/>
        <v/>
      </c>
      <c r="G8" s="16"/>
      <c r="H8" s="16" t="str">
        <f t="shared" si="1"/>
        <v/>
      </c>
      <c r="I8" s="17" t="str">
        <f t="shared" si="2"/>
        <v/>
      </c>
      <c r="J8" s="50"/>
      <c r="K8" s="50"/>
    </row>
    <row r="9" spans="1:13" ht="100.5" hidden="1"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3" ht="15.6" hidden="1">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3" ht="15.6" hidden="1">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3" ht="15.6" hidden="1">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3" ht="15.6" hidden="1">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3" hidden="1">
      <c r="A14" s="22"/>
      <c r="B14" s="22"/>
      <c r="C14" s="22"/>
      <c r="D14" s="22"/>
      <c r="E14" s="22" t="str">
        <f t="shared" si="0"/>
        <v/>
      </c>
      <c r="F14" s="22" t="str">
        <f t="shared" si="3"/>
        <v/>
      </c>
      <c r="G14" s="22"/>
      <c r="H14" s="22" t="str">
        <f t="shared" si="1"/>
        <v/>
      </c>
      <c r="I14" s="22" t="str">
        <f t="shared" si="2"/>
        <v/>
      </c>
      <c r="J14" s="22"/>
      <c r="K14" s="22"/>
      <c r="L14" s="22"/>
    </row>
    <row r="15" spans="1:13">
      <c r="A15" s="22"/>
      <c r="B15" s="22"/>
      <c r="C15" s="22"/>
      <c r="D15" s="22"/>
      <c r="E15" s="22" t="str">
        <f t="shared" si="0"/>
        <v/>
      </c>
      <c r="F15" s="22" t="str">
        <f t="shared" si="3"/>
        <v/>
      </c>
      <c r="G15" s="22"/>
      <c r="H15" s="22" t="str">
        <f t="shared" si="1"/>
        <v/>
      </c>
      <c r="I15" s="22" t="str">
        <f t="shared" si="2"/>
        <v/>
      </c>
      <c r="J15" s="22"/>
      <c r="K15" s="22"/>
      <c r="L15" s="22"/>
    </row>
    <row r="16" spans="1:13">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hyperlinks>
    <hyperlink ref="K4" r:id="rId1" display="https://us3.assetplanner.com/service_request?ID=109398" xr:uid="{3566BB95-F85F-4497-958F-8D5B71CB0C74}"/>
    <hyperlink ref="K5" r:id="rId2" display="https://us3.assetplanner.com/service_request?ID=108885" xr:uid="{C1A65D98-98C7-44D8-B411-136C7AC9FCD0}"/>
    <hyperlink ref="K6" r:id="rId3" display="https://us3.assetplanner.com/service_request?ID=106365" xr:uid="{18DC96D8-0FA1-4DCD-8BF0-1EADC8F56B2B}"/>
    <hyperlink ref="K7" r:id="rId4" display="https://us3.assetplanner.com/service_request?ID=107072" xr:uid="{F772887E-EAE5-444D-B6A4-1ABE1297C618}"/>
    <hyperlink ref="M7" r:id="rId5" display="https://us3.assetplanner.com/service_request?ID=109606" xr:uid="{AF904C21-E29F-4BEC-95E1-1ADF8DC2365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tabSelected="1" zoomScale="80" zoomScaleNormal="80" workbookViewId="0">
      <pane xSplit="2" ySplit="3" topLeftCell="C4" activePane="bottomRight" state="frozen"/>
      <selection pane="bottomRight" activeCell="H21" sqref="H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5.42578125" customWidth="1"/>
    <col min="13" max="13" width="8.85546875" style="76"/>
  </cols>
  <sheetData>
    <row r="1" spans="1:13" ht="19.5" customHeight="1">
      <c r="A1" s="78" t="str" cm="1">
        <f t="array" ref="A1">portfolio</f>
        <v>Tortoise</v>
      </c>
      <c r="B1" s="78"/>
      <c r="C1" s="78"/>
      <c r="D1" s="79" t="s">
        <v>169</v>
      </c>
      <c r="E1" s="79"/>
      <c r="F1" s="79"/>
      <c r="G1" s="77" t="s">
        <v>170</v>
      </c>
      <c r="H1" s="77"/>
      <c r="I1" s="77"/>
      <c r="J1" s="5"/>
      <c r="K1" s="5"/>
    </row>
    <row r="2" spans="1:13" ht="19.5" customHeight="1">
      <c r="A2" s="80" t="s">
        <v>2</v>
      </c>
      <c r="B2" s="80"/>
      <c r="C2" s="6">
        <f>SUM(C4:C100)</f>
        <v>273418.38500000001</v>
      </c>
      <c r="D2" s="6">
        <f>SUM(D4:D100)</f>
        <v>318683.17</v>
      </c>
      <c r="E2" s="6">
        <f>C2-D2</f>
        <v>-45264.784999999974</v>
      </c>
      <c r="F2" s="7">
        <f>IFERROR(E2/D2, 0)</f>
        <v>-0.14203694848397541</v>
      </c>
      <c r="G2" s="6">
        <f>SUM(G4:G100)</f>
        <v>302670</v>
      </c>
      <c r="H2" s="8">
        <f>C2-G2</f>
        <v>-29251.614999999991</v>
      </c>
      <c r="I2" s="7">
        <f>IFERROR(H2/G2, 0)</f>
        <v>-9.6645240691181786E-2</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c r="L3" s="26" t="s">
        <v>171</v>
      </c>
    </row>
    <row r="4" spans="1:13" ht="20.45" customHeight="1">
      <c r="A4" s="51" t="str" cm="1">
        <f t="array" ref="A4:A13">Sites[Site]</f>
        <v>Alamosa School District</v>
      </c>
      <c r="B4" s="29" t="str" cm="1">
        <f t="array" ref="B4:B13">Sites[State]</f>
        <v>CO</v>
      </c>
      <c r="C4" s="25">
        <v>84013.8</v>
      </c>
      <c r="D4" s="14">
        <v>76645.2</v>
      </c>
      <c r="E4" s="14">
        <f>IF(AND(ISNUMBER(C4),ISNUMBER(D4)), C4-D4, "")</f>
        <v>7368.6000000000058</v>
      </c>
      <c r="F4" s="15">
        <f>IFERROR(E4/D4, "")</f>
        <v>9.6139092859044095E-2</v>
      </c>
      <c r="G4" s="16">
        <v>0</v>
      </c>
      <c r="H4" s="16">
        <f>IF(AND(ISNUMBER(C4),ISNUMBER(G4)), C4-G4, "")</f>
        <v>84013.8</v>
      </c>
      <c r="I4" s="17" t="str">
        <f>IFERROR(H4/G4, "")</f>
        <v/>
      </c>
      <c r="J4" s="50" t="s">
        <v>172</v>
      </c>
      <c r="K4" s="50"/>
      <c r="L4" s="50"/>
    </row>
    <row r="5" spans="1:13" ht="40.5" customHeight="1">
      <c r="A5" s="30" t="str">
        <v>San Luis Valley</v>
      </c>
      <c r="B5" s="31" t="str">
        <v>CO</v>
      </c>
      <c r="C5" s="12">
        <v>159122</v>
      </c>
      <c r="D5" s="19">
        <v>162033.1</v>
      </c>
      <c r="E5" s="19">
        <f t="shared" ref="E5:E17" si="0">IF(AND(ISNUMBER(C5),ISNUMBER(D5)), C5-D5, "")</f>
        <v>-2911.1000000000058</v>
      </c>
      <c r="F5" s="20">
        <f>IFERROR(E5/D5, "")</f>
        <v>-1.7966082238752488E-2</v>
      </c>
      <c r="G5" s="21">
        <v>185840</v>
      </c>
      <c r="H5" s="21">
        <f t="shared" ref="H5:H17" si="1">IF(AND(ISNUMBER(C5),ISNUMBER(G5)), C5-G5, "")</f>
        <v>-26718</v>
      </c>
      <c r="I5" s="20">
        <f t="shared" ref="I5:I17" si="2">IFERROR(H5/G5, "")</f>
        <v>-0.14376883340507965</v>
      </c>
      <c r="J5" s="48" t="s">
        <v>173</v>
      </c>
      <c r="K5" s="60" t="s">
        <v>174</v>
      </c>
      <c r="L5" s="48" t="s">
        <v>175</v>
      </c>
      <c r="M5" s="70" t="s">
        <v>176</v>
      </c>
    </row>
    <row r="6" spans="1:13" ht="15.6">
      <c r="A6" s="32" t="str">
        <v>Golden NREL 2</v>
      </c>
      <c r="B6" s="29" t="str">
        <v>CO</v>
      </c>
      <c r="C6" s="25">
        <v>6842.2150000000001</v>
      </c>
      <c r="D6" s="14">
        <v>7952.27</v>
      </c>
      <c r="E6" s="14">
        <f t="shared" si="0"/>
        <v>-1110.0550000000003</v>
      </c>
      <c r="F6" s="15">
        <f t="shared" ref="F6:F13" si="3">IFERROR(E6/D6, "")</f>
        <v>-0.139589702059915</v>
      </c>
      <c r="G6" s="16">
        <v>9109</v>
      </c>
      <c r="H6" s="16">
        <f t="shared" si="1"/>
        <v>-2266.7849999999999</v>
      </c>
      <c r="I6" s="17">
        <f t="shared" si="2"/>
        <v>-0.24885113623888461</v>
      </c>
      <c r="J6" s="50" t="s">
        <v>177</v>
      </c>
      <c r="K6" s="50"/>
      <c r="L6" s="50"/>
    </row>
    <row r="7" spans="1:13" ht="46.5" customHeight="1">
      <c r="A7" s="30" t="str">
        <v>Golden NREL Wind 3</v>
      </c>
      <c r="B7" s="31" t="str">
        <v>CO</v>
      </c>
      <c r="C7" s="12">
        <v>23440.37</v>
      </c>
      <c r="D7" s="19">
        <v>72052.600000000006</v>
      </c>
      <c r="E7" s="19">
        <f t="shared" ref="E7:E13" si="4">IF(AND(ISNUMBER(C7),ISNUMBER(D7)), C7-D7, "")</f>
        <v>-48612.23000000001</v>
      </c>
      <c r="F7" s="20">
        <f t="shared" si="3"/>
        <v>-0.67467697210093747</v>
      </c>
      <c r="G7" s="21">
        <v>107721</v>
      </c>
      <c r="H7" s="21">
        <f t="shared" ref="H7:H13" si="5">IF(AND(ISNUMBER(C7),ISNUMBER(G7)), C7-G7, "")</f>
        <v>-84280.63</v>
      </c>
      <c r="I7" s="20">
        <f t="shared" ref="I7:I13" si="6">IFERROR(H7/G7, "")</f>
        <v>-0.78239739697923338</v>
      </c>
      <c r="J7" s="48" t="s">
        <v>178</v>
      </c>
      <c r="K7" s="60" t="s">
        <v>179</v>
      </c>
      <c r="L7" s="48" t="s">
        <v>180</v>
      </c>
      <c r="M7" s="70" t="s">
        <v>156</v>
      </c>
    </row>
    <row r="8" spans="1:13" ht="50.25" hidden="1" customHeight="1">
      <c r="A8" s="51" t="str">
        <v>Pratt Solar Farm</v>
      </c>
      <c r="B8" s="29" t="str">
        <v>KS</v>
      </c>
      <c r="C8" s="25"/>
      <c r="D8" s="14"/>
      <c r="E8" s="14" t="str">
        <f t="shared" si="4"/>
        <v/>
      </c>
      <c r="F8" s="15" t="str">
        <f t="shared" si="3"/>
        <v/>
      </c>
      <c r="G8" s="16"/>
      <c r="H8" s="16" t="str">
        <f t="shared" si="5"/>
        <v/>
      </c>
      <c r="I8" s="17" t="str">
        <f t="shared" si="6"/>
        <v/>
      </c>
      <c r="J8" s="50"/>
      <c r="K8" s="50"/>
    </row>
    <row r="9" spans="1:13" ht="22.5" hidden="1"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3" ht="15.6" hidden="1">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3" ht="15.6" hidden="1">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3" ht="15.6" hidden="1">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3" ht="15.6" hidden="1">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3" ht="15.6">
      <c r="A14" s="30"/>
      <c r="B14" s="30"/>
      <c r="C14" s="30"/>
      <c r="D14" s="30"/>
      <c r="E14" s="30" t="str">
        <f t="shared" si="0"/>
        <v/>
      </c>
      <c r="F14" s="30" t="str">
        <f t="shared" ref="F14:F17" si="7">IFERROR(E14/D14, "")</f>
        <v/>
      </c>
      <c r="G14" s="30"/>
      <c r="H14" s="30" t="str">
        <f t="shared" si="1"/>
        <v/>
      </c>
      <c r="I14" s="30" t="str">
        <f t="shared" si="2"/>
        <v/>
      </c>
      <c r="J14" s="30"/>
      <c r="K14" s="30"/>
      <c r="L14" s="30"/>
    </row>
    <row r="15" spans="1:13" ht="15.6">
      <c r="A15" s="30"/>
      <c r="B15" s="30"/>
      <c r="C15" s="30"/>
      <c r="D15" s="30"/>
      <c r="E15" s="30" t="str">
        <f t="shared" si="0"/>
        <v/>
      </c>
      <c r="F15" s="30" t="str">
        <f t="shared" si="7"/>
        <v/>
      </c>
      <c r="G15" s="30"/>
      <c r="H15" s="30" t="str">
        <f t="shared" si="1"/>
        <v/>
      </c>
      <c r="I15" s="30" t="str">
        <f t="shared" si="2"/>
        <v/>
      </c>
      <c r="J15" s="30"/>
      <c r="K15" s="30"/>
      <c r="L15" s="30"/>
    </row>
    <row r="16" spans="1:13"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hyperlinks>
    <hyperlink ref="K5" r:id="rId1" display="https://us3.assetplanner.com/service_request?ID=111488" xr:uid="{F1CD6A1A-DF77-4D7F-92B4-29961BFC1907}"/>
    <hyperlink ref="M5" r:id="rId2" display="https://us3.assetplanner.com/service_request?ID=111803" xr:uid="{E696DFA3-C79A-4E44-B85A-F376458FEA04}"/>
    <hyperlink ref="K7" r:id="rId3" display="https://us3.assetplanner.com/service_request?ID=109606" xr:uid="{8639099D-FA4D-4553-AEFF-8D990A623BFD}"/>
    <hyperlink ref="M7" r:id="rId4" display="https://us3.assetplanner.com/service_request?ID=107072" xr:uid="{FB37535F-3C65-4EE0-B726-4E94BC29FF94}"/>
  </hyperlinks>
  <pageMargins left="0.4" right="0.7" top="0.25" bottom="0.25" header="0.3" footer="0.3"/>
  <pageSetup fitToHeight="99" orientation="landscape"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8" t="str" cm="1">
        <f t="array" ref="A1">portfolio</f>
        <v>Tortoise</v>
      </c>
      <c r="B1" s="78"/>
      <c r="C1" s="78"/>
      <c r="D1" s="79" t="s">
        <v>181</v>
      </c>
      <c r="E1" s="79"/>
      <c r="F1" s="79"/>
      <c r="G1" s="77" t="s">
        <v>182</v>
      </c>
      <c r="H1" s="77"/>
      <c r="I1" s="77"/>
      <c r="J1" s="5"/>
      <c r="K1" s="5"/>
    </row>
    <row r="2" spans="1:14" ht="19.5" customHeight="1">
      <c r="A2" s="80" t="s">
        <v>2</v>
      </c>
      <c r="B2" s="80"/>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4.75" customHeight="1">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c r="A8" s="32" t="str">
        <v>Pratt Solar Farm</v>
      </c>
      <c r="B8" s="29" t="str">
        <v>KS</v>
      </c>
      <c r="C8" s="25"/>
      <c r="D8" s="14"/>
      <c r="E8" s="14" t="str">
        <f t="shared" si="4"/>
        <v/>
      </c>
      <c r="F8" s="15" t="str">
        <f t="shared" si="3"/>
        <v/>
      </c>
      <c r="G8" s="16"/>
      <c r="H8" s="16" t="str">
        <f t="shared" si="5"/>
        <v/>
      </c>
      <c r="I8" s="17" t="str">
        <f t="shared" si="6"/>
        <v/>
      </c>
      <c r="J8" s="50"/>
      <c r="K8" s="50"/>
    </row>
    <row r="9" spans="1:14" ht="15.6">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B23" sqref="B2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183</v>
      </c>
      <c r="B1" s="43" t="s">
        <v>184</v>
      </c>
    </row>
    <row r="3" spans="1:7" ht="13.15">
      <c r="A3" t="s">
        <v>185</v>
      </c>
      <c r="B3" t="s">
        <v>3</v>
      </c>
      <c r="C3" t="s">
        <v>4</v>
      </c>
      <c r="D3" t="s">
        <v>186</v>
      </c>
      <c r="E3" s="2" t="s">
        <v>187</v>
      </c>
    </row>
    <row r="4" spans="1:7" ht="14.45">
      <c r="A4" s="3" t="s">
        <v>188</v>
      </c>
      <c r="B4" t="s">
        <v>189</v>
      </c>
      <c r="C4" s="4" t="s">
        <v>190</v>
      </c>
      <c r="G4" s="3"/>
    </row>
    <row r="5" spans="1:7" ht="14.45">
      <c r="A5" s="3" t="s">
        <v>191</v>
      </c>
      <c r="B5" t="s">
        <v>192</v>
      </c>
      <c r="C5" s="4" t="s">
        <v>190</v>
      </c>
      <c r="G5" s="3"/>
    </row>
    <row r="6" spans="1:7" ht="14.45">
      <c r="A6" s="43" t="s">
        <v>193</v>
      </c>
      <c r="B6" t="s">
        <v>194</v>
      </c>
      <c r="C6" t="s">
        <v>190</v>
      </c>
      <c r="G6" s="3"/>
    </row>
    <row r="7" spans="1:7" ht="12.75" customHeight="1">
      <c r="A7" s="43" t="s">
        <v>195</v>
      </c>
      <c r="B7" t="s">
        <v>196</v>
      </c>
      <c r="C7" t="s">
        <v>190</v>
      </c>
    </row>
    <row r="8" spans="1:7" ht="12.75" customHeight="1">
      <c r="A8" s="4" t="s">
        <v>197</v>
      </c>
      <c r="B8" s="4" t="s">
        <v>198</v>
      </c>
      <c r="C8" s="4" t="s">
        <v>199</v>
      </c>
    </row>
    <row r="9" spans="1:7" ht="12.75" customHeight="1">
      <c r="A9" s="43" t="s">
        <v>200</v>
      </c>
      <c r="B9" t="s">
        <v>201</v>
      </c>
      <c r="C9" t="s">
        <v>202</v>
      </c>
    </row>
    <row r="10" spans="1:7" ht="12.75" customHeight="1">
      <c r="A10" s="4" t="s">
        <v>203</v>
      </c>
      <c r="B10" s="4" t="s">
        <v>204</v>
      </c>
      <c r="C10" s="4" t="s">
        <v>205</v>
      </c>
    </row>
    <row r="11" spans="1:7" ht="12.75" customHeight="1">
      <c r="A11" s="4" t="s">
        <v>206</v>
      </c>
      <c r="B11" s="4" t="s">
        <v>207</v>
      </c>
      <c r="C11" s="4" t="s">
        <v>205</v>
      </c>
    </row>
    <row r="12" spans="1:7" ht="12.75" customHeight="1">
      <c r="A12" s="4" t="s">
        <v>208</v>
      </c>
      <c r="B12" s="4" t="s">
        <v>209</v>
      </c>
      <c r="C12" s="4" t="s">
        <v>205</v>
      </c>
    </row>
    <row r="13" spans="1:7" ht="12.75" customHeight="1">
      <c r="A13" s="4" t="s">
        <v>210</v>
      </c>
      <c r="B13" s="4" t="s">
        <v>211</v>
      </c>
      <c r="C13" s="4" t="s">
        <v>205</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12EFA50-0068-4A8C-85A0-F1B26389EBC3}"/>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98A113BB-8B7A-453C-8BD4-8EFC67FC2D3F}"/>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A4E4C163-742C-4860-A6F4-3BC027CE50B3}"/>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Gilbert, Mariesa</cp:lastModifiedBy>
  <cp:revision/>
  <dcterms:created xsi:type="dcterms:W3CDTF">2021-01-01T16:39:53Z</dcterms:created>
  <dcterms:modified xsi:type="dcterms:W3CDTF">2025-12-29T20:40:22Z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