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33" documentId="13_ncr:1_{52120B3E-811B-4687-895A-476C04C97C12}" xr6:coauthVersionLast="47" xr6:coauthVersionMax="47" xr10:uidLastSave="{09E34A97-5A13-42A6-9ABF-E8596D00B02C}"/>
  <bookViews>
    <workbookView xWindow="-98" yWindow="-98" windowWidth="21795" windowHeight="12975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<sst xmlns="http://schemas.openxmlformats.org/spreadsheetml/2006/main" count="268" uniqueCount="54">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</sst>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231956.69999999998</v>
      </c>
      <c r="D2" s="5">
        <f>SUM(D4:D79)</f>
        <v>0</v>
      </c>
      <c r="E2" s="5">
        <f>C2-D2</f>
        <v>231956.69999999998</v>
      </c>
      <c r="F2" s="6">
        <f>IFERROR(E2/D2, 0)</f>
        <v>0</v>
      </c>
      <c r="G2" s="5">
        <f>SUM(G4:G79)</f>
        <v>0</v>
      </c>
      <c r="H2" s="7">
        <f>C2-G2</f>
        <v>231956.69999999998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231956.69999999998</v>
      </c>
      <c r="D4" s="12">
        <f>SUM('1st Qtr'!D4, '2nd Qtr'!D4, '3rd Qtr'!D4, '4th Qtr'!D4)</f>
        <v>0</v>
      </c>
      <c r="E4" s="12">
        <f>IF(AND(ISNUMBER(C4),ISNUMBER(D4)), C4-D4, "")</f>
        <v>231956.69999999998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82638.149999999994</v>
      </c>
      <c r="D2" s="5">
        <f>SUM(D4:D79)</f>
        <v>0</v>
      </c>
      <c r="E2" s="5">
        <f>C2-D2</f>
        <v>82638.149999999994</v>
      </c>
      <c r="F2" s="6">
        <f>IFERROR(E2/D2, 0)</f>
        <v>0</v>
      </c>
      <c r="G2" s="5">
        <f>SUM(G4:G79)</f>
        <v>0</v>
      </c>
      <c r="H2" s="7">
        <f>C2-G2</f>
        <v>82638.149999999994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82638.149999999994</v>
      </c>
      <c r="D4" s="12">
        <f>SUM(Apr!D4, May!D4, Jun!D4)</f>
        <v>0</v>
      </c>
      <c r="E4" s="12">
        <f>IF(AND(ISNUMBER(C4),ISNUMBER(D4)), C4-D4, "")</f>
        <v>82638.149999999994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89565.760000000009</v>
      </c>
      <c r="D2" s="5">
        <f>SUM(D4:D79)</f>
        <v>0</v>
      </c>
      <c r="E2" s="5">
        <f>C2-D2</f>
        <v>89565.760000000009</v>
      </c>
      <c r="F2" s="6">
        <f>IFERROR(E2/D2, 0)</f>
        <v>0</v>
      </c>
      <c r="G2" s="5">
        <f>SUM(G4:G79)</f>
        <v>0</v>
      </c>
      <c r="H2" s="7">
        <f>C2-G2</f>
        <v>89565.760000000009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89565.760000000009</v>
      </c>
      <c r="D4" s="12">
        <f>SUM(Jul!D4, Aug!D4, Sep!D4)</f>
        <v>0</v>
      </c>
      <c r="E4" s="12">
        <f>IF(AND(ISNUMBER(C4),ISNUMBER(D4)), C4-D4, "")</f>
        <v>89565.760000000009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29485.27</v>
      </c>
      <c r="D2" s="5">
        <f>SUM(D4:D79)</f>
        <v>0</v>
      </c>
      <c r="E2" s="5">
        <f>C2-D2</f>
        <v>29485.27</v>
      </c>
      <c r="F2" s="6">
        <f>IFERROR(E2/D2, 0)</f>
        <v>0</v>
      </c>
      <c r="G2" s="5">
        <f>SUM(G4:G79)</f>
        <v>0</v>
      </c>
      <c r="H2" s="7">
        <f>C2-G2</f>
        <v>29485.27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29485.27</v>
      </c>
      <c r="D4" s="12">
        <f>SUM(Oct!D4, Nov!D4, Dec!D4)</f>
        <v>0</v>
      </c>
      <c r="E4" s="12">
        <f>IF(AND(ISNUMBER(C4),ISNUMBER(D4)), C4-D4, "")</f>
        <v>29485.27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29371.68</v>
      </c>
      <c r="D2" s="5">
        <f>SUM(D4:D79)</f>
        <v>0</v>
      </c>
      <c r="E2" s="5">
        <f>C2-D2</f>
        <v>29371.68</v>
      </c>
      <c r="F2" s="6">
        <f>IFERROR(E2/D2, 0)</f>
        <v>0</v>
      </c>
      <c r="G2" s="5">
        <f>SUM(G4:G79)</f>
        <v>0</v>
      </c>
      <c r="H2" s="7">
        <f>C2-G2</f>
        <v>29371.68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29371.68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32030.639999999999</v>
      </c>
      <c r="D2" s="5">
        <f>SUM(D4:D79)</f>
        <v>0</v>
      </c>
      <c r="E2" s="5">
        <f>C2-D2</f>
        <v>32030.639999999999</v>
      </c>
      <c r="F2" s="6">
        <f>IFERROR(E2/D2, 0)</f>
        <v>0</v>
      </c>
      <c r="G2" s="5">
        <f>SUM(G4:G79)</f>
        <v>0</v>
      </c>
      <c r="H2" s="7">
        <f>C2-G2</f>
        <v>32030.639999999999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32030.639999999999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32394.41</v>
      </c>
      <c r="D2" s="5">
        <f>SUM(D4:D79)</f>
        <v>0</v>
      </c>
      <c r="E2" s="5">
        <f>C2-D2</f>
        <v>32394.41</v>
      </c>
      <c r="F2" s="6">
        <f>IFERROR(E2/D2, 0)</f>
        <v>0</v>
      </c>
      <c r="G2" s="5">
        <f>SUM(G4:G79)</f>
        <v>0</v>
      </c>
      <c r="H2" s="7">
        <f>C2-G2</f>
        <v>32394.41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32394.41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25140.71</v>
      </c>
      <c r="D2" s="5">
        <f>SUM(D4:D79)</f>
        <v>0</v>
      </c>
      <c r="E2" s="5">
        <f>C2-D2</f>
        <v>25140.71</v>
      </c>
      <c r="F2" s="6">
        <f>IFERROR(E2/D2, 0)</f>
        <v>0</v>
      </c>
      <c r="G2" s="5">
        <f>SUM(G4:G79)</f>
        <v>0</v>
      </c>
      <c r="H2" s="7">
        <f>C2-G2</f>
        <v>25140.71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25140.71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18189.98</v>
      </c>
      <c r="D2" s="5">
        <f>SUM(D4:D79)</f>
        <v>0</v>
      </c>
      <c r="E2" s="5">
        <f>C2-D2</f>
        <v>18189.98</v>
      </c>
      <c r="F2" s="6">
        <f>IFERROR(E2/D2, 0)</f>
        <v>0</v>
      </c>
      <c r="G2" s="5">
        <f>SUM(G4:G79)</f>
        <v>0</v>
      </c>
      <c r="H2" s="7">
        <f>C2-G2</f>
        <v>18189.98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18189.98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13" sqref="J13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11295.29</v>
      </c>
      <c r="D2" s="5">
        <f>SUM(D4:D79)</f>
        <v>0</v>
      </c>
      <c r="E2" s="5">
        <f>C2-D2</f>
        <v>11295.29</v>
      </c>
      <c r="F2" s="6">
        <f>IFERROR(E2/D2, 0)</f>
        <v>0</v>
      </c>
      <c r="G2" s="5">
        <f>SUM(G4:G79)</f>
        <v>0</v>
      </c>
      <c r="H2" s="7">
        <f>C2-G2</f>
        <v>11295.29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11295.29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2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394E2C54-2E7E-4DE0-B494-A22A89948593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[AGS]</cp:lastModifiedBy>
  <cp:revision/>
  <dcterms:created xsi:type="dcterms:W3CDTF">2021-01-01T16:39:53Z</dcterms:created>
  <dcterms:modified xsi:type="dcterms:W3CDTF">2025-12-11T23:25:23Z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