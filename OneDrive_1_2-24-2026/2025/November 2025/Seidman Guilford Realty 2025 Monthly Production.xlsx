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FC7932C3-FB08-4497-B5EF-B7331A3E22AC}" xr6:coauthVersionLast="47" xr6:coauthVersionMax="47" xr10:uidLastSave="{93A3EAD3-0558-48DA-9728-4E337BAF35B2}"/>
  <bookViews>
    <workbookView xWindow="-108" yWindow="-108" windowWidth="23256" windowHeight="12456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7" l="1"/>
  <c r="G4" i="29" s="1"/>
  <c r="B4" i="26" a="1"/>
  <c r="B4" i="26" s="1"/>
  <c r="H4" i="21"/>
  <c r="I4" i="21" s="1"/>
  <c r="H4" i="4"/>
  <c r="C4" i="1"/>
  <c r="C2" i="1" s="1"/>
  <c r="G4" i="30"/>
  <c r="G4" i="18"/>
  <c r="G2" i="18" s="1"/>
  <c r="I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/>
  <c r="A4" i="4" a="1"/>
  <c r="A4" i="4" s="1"/>
  <c r="B4" i="3" a="1"/>
  <c r="B4" i="3"/>
  <c r="A4" i="3" a="1"/>
  <c r="A4" i="3" s="1"/>
  <c r="B4" i="27" a="1"/>
  <c r="B4" i="27" s="1"/>
  <c r="A4" i="27" a="1"/>
  <c r="A4" i="27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2" i="1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C2" i="29" s="1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/>
  <c r="A1" i="18" a="1"/>
  <c r="A1" i="18" s="1"/>
  <c r="D4" i="1"/>
  <c r="D2" i="1" s="1"/>
  <c r="B4" i="1" a="1"/>
  <c r="B4" i="1" s="1"/>
  <c r="A4" i="1" a="1"/>
  <c r="A4" i="1" s="1"/>
  <c r="A1" i="1" a="1"/>
  <c r="A1" i="1" s="1"/>
  <c r="H4" i="33"/>
  <c r="I4" i="33"/>
  <c r="E4" i="33"/>
  <c r="F4" i="33" s="1"/>
  <c r="G2" i="33"/>
  <c r="D2" i="33"/>
  <c r="C2" i="33"/>
  <c r="H2" i="33" s="1"/>
  <c r="I2" i="33" s="1"/>
  <c r="A1" i="33" a="1"/>
  <c r="A1" i="33" s="1"/>
  <c r="H4" i="32"/>
  <c r="I4" i="32"/>
  <c r="E4" i="32"/>
  <c r="F4" i="32" s="1"/>
  <c r="G2" i="32"/>
  <c r="D2" i="32"/>
  <c r="C2" i="32"/>
  <c r="E2" i="32" s="1"/>
  <c r="F2" i="32" s="1"/>
  <c r="A1" i="32" a="1"/>
  <c r="A1" i="32" s="1"/>
  <c r="G2" i="31"/>
  <c r="D2" i="31"/>
  <c r="C2" i="31"/>
  <c r="J2" i="31" s="1"/>
  <c r="A1" i="31" a="1"/>
  <c r="A1" i="31" s="1"/>
  <c r="H4" i="28"/>
  <c r="I4" i="28" s="1"/>
  <c r="E4" i="28"/>
  <c r="F4" i="28"/>
  <c r="B4" i="28" a="1"/>
  <c r="B4" i="28" s="1"/>
  <c r="A4" i="28" a="1"/>
  <c r="A4" i="28"/>
  <c r="G2" i="28"/>
  <c r="D2" i="28"/>
  <c r="C2" i="28"/>
  <c r="E2" i="28" s="1"/>
  <c r="F2" i="28" s="1"/>
  <c r="A1" i="28" a="1"/>
  <c r="A1" i="28" s="1"/>
  <c r="E4" i="27"/>
  <c r="F4" i="27" s="1"/>
  <c r="G2" i="27"/>
  <c r="D2" i="27"/>
  <c r="C2" i="27"/>
  <c r="J2" i="27" s="1"/>
  <c r="A1" i="27" a="1"/>
  <c r="A1" i="27"/>
  <c r="H4" i="26"/>
  <c r="H4" i="29" s="1"/>
  <c r="E4" i="26"/>
  <c r="F4" i="26" s="1"/>
  <c r="G2" i="26"/>
  <c r="D2" i="26"/>
  <c r="C2" i="26"/>
  <c r="J2" i="26" s="1"/>
  <c r="A1" i="26" a="1"/>
  <c r="A1" i="26" s="1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 s="1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 s="1"/>
  <c r="G2" i="3"/>
  <c r="D2" i="3"/>
  <c r="C2" i="3"/>
  <c r="J2" i="3"/>
  <c r="A1" i="3" a="1"/>
  <c r="A1" i="3" s="1"/>
  <c r="H4" i="72"/>
  <c r="I4" i="72"/>
  <c r="G2" i="72"/>
  <c r="D2" i="72"/>
  <c r="C2" i="72"/>
  <c r="J2" i="72"/>
  <c r="A1" i="72" a="1"/>
  <c r="A1" i="72" s="1"/>
  <c r="D2" i="30"/>
  <c r="I4" i="26" l="1"/>
  <c r="I4" i="27"/>
  <c r="E2" i="3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<sst xmlns="http://schemas.openxmlformats.org/spreadsheetml/2006/main" count="252" uniqueCount="58">
  <si>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</si>
  <si>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</si>
  <si>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</si>
  <si>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</si>
  <si>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</si>
  <si>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</si>
  <si>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</si>
  <si>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</si>
  <si>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</si>
  <si>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</si>
  <si>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</si>
  <si>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</si>
  <si>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</si>
  <si>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</si>
  <si>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</si>
  <si>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</si>
  <si>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</si>
  <si>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</si>
  <si>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</si>
  <si>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</si>
  <si>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</si>
  <si>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</si>
  <si>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</si>
  <si>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</si>
  <si>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</si>
  <si>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</si>
  <si>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</si>
  <si>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</si>
  <si>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</si>
  <si>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</si>
  <si>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</si>
  <si>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</si>
  <si>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</si>
  <si>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</si>
  <si>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Site was not communicated for whole month.</t>
  </si>
  <si>
    <t>1. SR104767</t>
  </si>
  <si>
    <t>August Actual v. Expected</t>
  </si>
  <si>
    <t>August Actual v. Forecasted</t>
  </si>
  <si>
    <t>September Actual v. Expected</t>
  </si>
  <si>
    <t>September Actual v. Forecasted</t>
  </si>
  <si>
    <t>N/A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</si>
  <si>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</si>
  <si>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October Actual v. Expected</t>
  </si>
  <si>
    <t>October Actual v. Forecasted</t>
  </si>
  <si>
    <t/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</si>
  <si>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</si>
  <si>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</si>
  <si>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</si>
  <si>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</si>
  <si>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</si>
  <si>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Seidman Guilford Realty</t>
  </si>
  <si>
    <t>Site DAS Name</t>
  </si>
  <si>
    <t>Update</t>
  </si>
  <si>
    <t>DAS</t>
  </si>
  <si>
    <t>CT: Guilford - Seidman Guilford Realty</t>
  </si>
  <si>
    <t>CT</t>
  </si>
  <si>
    <t>AF</t>
  </si>
  <si>
    <t>PoweTrack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</si>
</sst>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476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84086.932000000001</v>
      </c>
      <c r="D2" s="5">
        <f>SUM(D4:D79)</f>
        <v>0</v>
      </c>
      <c r="E2" s="5">
        <f>C2-D2</f>
        <v>84086.932000000001</v>
      </c>
      <c r="F2" s="6">
        <f>IFERROR(E2/D2, 0)</f>
        <v>0</v>
      </c>
      <c r="G2" s="5">
        <f>SUM(G4:G79)</f>
        <v>64149.165999999997</v>
      </c>
      <c r="H2" s="7">
        <f>C2-G2</f>
        <v>19937.766000000003</v>
      </c>
      <c r="I2" s="6">
        <f>IFERROR(H2/G2, 0)</f>
        <v>0.31080319890674812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SUM('1st Qtr'!C4, '2nd Qtr'!C4, '3rd Qtr'!C4, '4th Qtr'!C4)</f>
        <v>84086.932000000001</v>
      </c>
      <c r="D4" s="12">
        <f>SUM('1st Qtr'!D4, '2nd Qtr'!D4, '3rd Qtr'!D4, '4th Qtr'!D4)</f>
        <v>0</v>
      </c>
      <c r="E4" s="12">
        <f>IF(AND(ISNUMBER(C4),ISNUMBER(D4)), C4-D4, "")</f>
        <v>84086.932000000001</v>
      </c>
      <c r="F4" s="13" t="str">
        <f>IFERROR(E4/D4, "")</f>
        <v/>
      </c>
      <c r="G4" s="14">
        <f>SUM('1st Qtr'!G4, '2nd Qtr'!G4, '3rd Qtr'!G4, '4th Qtr'!G4)</f>
        <v>64149.165999999997</v>
      </c>
      <c r="H4" s="14">
        <f>SUM('1st Qtr'!H4, '2nd Qtr'!H4, '3rd Qtr'!H4, '4th Qtr'!H4)</f>
        <v>19937.766000000003</v>
      </c>
      <c r="I4" s="15">
        <f>IFERROR(H4/G4, "")</f>
        <v>0.31080319890674812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O39" sqref="O3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O11" sqref="O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D5" sqref="D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SUM(Jul!C4, Aug!C4, Sep!C4)</f>
        <v>35800.932000000001</v>
      </c>
      <c r="D4" s="12">
        <f>SUM(Jul!D4, Aug!D4, Sep!D4)</f>
        <v>0</v>
      </c>
      <c r="E4" s="12">
        <f>IF(AND(ISNUMBER(C4),ISNUMBER(D4)), C4-D4, "")</f>
        <v>35800.932000000001</v>
      </c>
      <c r="F4" s="13" t="str">
        <f>IFERROR(E4/D4, "")</f>
        <v/>
      </c>
      <c r="G4" s="14">
        <f>SUM(Jul!G4,Aug!H4,Sep!G4)</f>
        <v>28613.159</v>
      </c>
      <c r="H4" s="14">
        <f>SUM(Jul!H4, Aug!H4, Sep!H4)</f>
        <v>7187.773000000001</v>
      </c>
      <c r="I4" s="15">
        <f>IFERROR(H4/G4, "")</f>
        <v>0.25120515354491274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Seidman Guilford Realty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48286</v>
      </c>
      <c r="D2" s="5">
        <f>SUM(D4:D79)</f>
        <v>0</v>
      </c>
      <c r="E2" s="5">
        <f>C2-D2</f>
        <v>48286</v>
      </c>
      <c r="F2" s="6">
        <f>IFERROR(E2/D2, 0)</f>
        <v>0</v>
      </c>
      <c r="G2" s="5">
        <f>SUM(G4:G79)</f>
        <v>35536.006999999998</v>
      </c>
      <c r="H2" s="7">
        <f>C2-G2</f>
        <v>12749.993000000002</v>
      </c>
      <c r="I2" s="6">
        <f>IFERROR(H2/G2, 0)</f>
        <v>0.35879081743764862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CT: Guilford - Seidman Guilford Realty</v>
      </c>
      <c r="B4" s="9" t="str" cm="1">
        <f t="array" ref="B4">Sites[State]</f>
        <v>CT</v>
      </c>
      <c r="C4" s="23">
        <f>SUM(Oct!C4, Nov!C4, Dec!C4)</f>
        <v>48286</v>
      </c>
      <c r="D4" s="12">
        <f>SUM(Oct!D4, Nov!D4, Dec!D4)</f>
        <v>0</v>
      </c>
      <c r="E4" s="12">
        <f>IF(AND(ISNUMBER(C4),ISNUMBER(D4)), C4-D4, "")</f>
        <v>48286</v>
      </c>
      <c r="F4" s="13" t="str">
        <f>IFERROR(E4/D4, "")</f>
        <v/>
      </c>
      <c r="G4" s="14">
        <f>SUM(Oct!G4,Nov!G4,Dec!G5)</f>
        <v>35536.006999999998</v>
      </c>
      <c r="H4" s="14">
        <f>SUM(Oct!H4, Nov!H4, Dec!H4)</f>
        <v>12749.993</v>
      </c>
      <c r="I4" s="15">
        <f>IFERROR(H4/G4, "")</f>
        <v>0.35879081743764857</v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CT: Guilford - Seidman Guilford Realty</v>
      </c>
      <c r="B4" s="9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0" t="str" cm="1">
        <f t="array" ref="A1">portfolio</f>
        <v>Seidman Guilford Realty</v>
      </c>
      <c r="B1" s="60"/>
      <c r="C1" s="60"/>
      <c r="D1" s="61" t="s">
        <v>22</v>
      </c>
      <c r="E1" s="61"/>
      <c r="F1" s="61"/>
      <c r="G1" s="59" t="s">
        <v>23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0" t="str" cm="1">
        <f t="array" ref="A1">portfolio</f>
        <v>Seidman Guilford Realty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5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6"/>
      <c r="M3" s="56"/>
      <c r="N3" s="56"/>
      <c r="O3" s="56"/>
    </row>
    <row r="4" spans="1:15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5"/>
      <c r="L4" s="54"/>
      <c r="M4" s="54"/>
      <c r="N4" s="54"/>
      <c r="O4" s="56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6"/>
      <c r="M5" s="56"/>
      <c r="N5" s="56"/>
      <c r="O5" s="56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6"/>
      <c r="M6" s="56"/>
      <c r="N6" s="56"/>
      <c r="O6" s="56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6"/>
      <c r="M7" s="56"/>
      <c r="N7" s="56"/>
      <c r="O7" s="56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6"/>
      <c r="M8" s="56"/>
      <c r="N8" s="56"/>
      <c r="O8" s="56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6"/>
      <c r="M9" s="56"/>
      <c r="N9" s="56"/>
      <c r="O9" s="56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6"/>
      <c r="M10" s="56"/>
      <c r="N10" s="56"/>
      <c r="O10" s="56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6"/>
      <c r="M11" s="56"/>
      <c r="N11" s="56"/>
      <c r="O11" s="56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0" t="str" cm="1">
        <f t="array" ref="A1">portfolio</f>
        <v>Seidman Guilford Realty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4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7"/>
      <c r="L4" s="58"/>
      <c r="M4" s="58"/>
      <c r="N4" s="58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0" t="str" cm="1">
        <f t="array" ref="A1">portfolio</f>
        <v>Seidman Guilford Realty</v>
      </c>
      <c r="B1" s="60"/>
      <c r="C1" s="60"/>
      <c r="D1" s="61" t="s">
        <v>28</v>
      </c>
      <c r="E1" s="61"/>
      <c r="F1" s="61"/>
      <c r="G1" s="59" t="s">
        <v>29</v>
      </c>
      <c r="H1" s="59"/>
      <c r="I1" s="59"/>
      <c r="J1" s="4"/>
      <c r="K1" s="4"/>
    </row>
    <row r="2" spans="1:13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8"/>
      <c r="M4" s="58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C4" activePane="bottomRight" state="frozen"/>
      <selection pane="bottomRight" activeCell="I19" sqref="I19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6"/>
  </cols>
  <sheetData>
    <row r="1" spans="1:16" ht="19.5" customHeight="1">
      <c r="A1" s="60" t="str" cm="1">
        <f t="array" ref="A1">portfolio</f>
        <v>Seidman Guilford Realty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6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3"/>
      <c r="L4" s="54"/>
      <c r="M4" s="54"/>
      <c r="N4" s="54"/>
      <c r="O4" s="54"/>
      <c r="P4" s="54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E4" activePane="bottomRight" state="frozen"/>
      <selection pane="bottomRight" activeCell="J16" sqref="J16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0" t="str" cm="1">
        <f t="array" ref="A1">portfolio</f>
        <v>Seidman Guilford Realty</v>
      </c>
      <c r="B1" s="60"/>
      <c r="C1" s="60"/>
      <c r="D1" s="61" t="s">
        <v>32</v>
      </c>
      <c r="E1" s="61"/>
      <c r="F1" s="61"/>
      <c r="G1" s="59" t="s">
        <v>33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6.25" customHeight="1">
      <c r="A4" s="51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36" t="s">
        <v>35</v>
      </c>
      <c r="L4" s="54"/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K8" sqref="K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SUM(G5:G79)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0</v>
      </c>
      <c r="D4" s="12">
        <v>0</v>
      </c>
      <c r="E4" s="12">
        <f>IF(AND(ISNUMBER(C4),ISNUMBER(D4)), C4-D4, "")</f>
        <v>0</v>
      </c>
      <c r="F4" s="13" t="str">
        <f>IFERROR(E4/D4, "")</f>
        <v/>
      </c>
      <c r="G4" s="14">
        <v>0</v>
      </c>
      <c r="H4" s="14">
        <f>IF(AND(ISNUMBER(C4),ISNUMBER(G4)), C4-G4, "")</f>
        <v>0</v>
      </c>
      <c r="I4" s="15" t="str">
        <f>IFERROR(H4/G4, "")</f>
        <v/>
      </c>
      <c r="J4" s="36" t="s">
        <v>34</v>
      </c>
      <c r="K4" s="53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hyperlinks>
    <hyperlink ref="K4" r:id="rId1" display="https://us3.assetplanner.com/service_request?ID=104767" xr:uid="{FE0D7DA8-5762-41D3-B6CD-1949880EAE5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I18" sqref="I1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35800.932000000001</v>
      </c>
      <c r="D2" s="5">
        <f>SUM(D4:D79)</f>
        <v>0</v>
      </c>
      <c r="E2" s="5">
        <f>C2-D2</f>
        <v>35800.932000000001</v>
      </c>
      <c r="F2" s="6">
        <f>IFERROR(E2/D2, 0)</f>
        <v>0</v>
      </c>
      <c r="G2" s="5">
        <f>SUM(G4:G79)</f>
        <v>28613.159</v>
      </c>
      <c r="H2" s="7">
        <f>C2-G2</f>
        <v>7187.773000000001</v>
      </c>
      <c r="I2" s="6">
        <f>IFERROR(H2/G2, 0)</f>
        <v>0.25120515354491274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35800.932000000001</v>
      </c>
      <c r="D4" s="12" t="s">
        <v>40</v>
      </c>
      <c r="E4" s="12" t="str">
        <f>IF(AND(ISNUMBER(C4),ISNUMBER(D4)), C4-D4, "")</f>
        <v/>
      </c>
      <c r="F4" s="13" t="str">
        <f>IFERROR(E4/D4, "")</f>
        <v/>
      </c>
      <c r="G4" s="14">
        <v>28613.159</v>
      </c>
      <c r="H4" s="14">
        <f>IF(AND(ISNUMBER(C4),ISNUMBER(G4)), C4-G4, "")</f>
        <v>7187.773000000001</v>
      </c>
      <c r="I4" s="15">
        <f>IFERROR(H4/G4, "")</f>
        <v>0.25120515354491274</v>
      </c>
      <c r="J4" s="36" t="s">
        <v>41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29450</v>
      </c>
      <c r="D2" s="5">
        <f>SUM(D4:D79)</f>
        <v>0</v>
      </c>
      <c r="E2" s="5">
        <f>C2-D2</f>
        <v>29450</v>
      </c>
      <c r="F2" s="6">
        <f>IFERROR(E2/D2, 0)</f>
        <v>0</v>
      </c>
      <c r="G2" s="5">
        <f>SUM(G4:G79)</f>
        <v>21931</v>
      </c>
      <c r="H2" s="7">
        <f>C2-G2</f>
        <v>7519</v>
      </c>
      <c r="I2" s="6">
        <f>IFERROR(H2/G2, 0)</f>
        <v>0.34284802334594866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6.5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29450</v>
      </c>
      <c r="D4" s="12" t="s">
        <v>40</v>
      </c>
      <c r="E4" s="12" t="s">
        <v>44</v>
      </c>
      <c r="F4" s="13" t="s">
        <v>44</v>
      </c>
      <c r="G4" s="14">
        <v>21931</v>
      </c>
      <c r="H4" s="14">
        <v>7519</v>
      </c>
      <c r="I4" s="15">
        <v>0.34284802334594866</v>
      </c>
      <c r="J4" s="36" t="s">
        <v>41</v>
      </c>
      <c r="K4" s="52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tabSelected="1" zoomScale="80" zoomScaleNormal="80" workbookViewId="0">
      <pane xSplit="2" ySplit="3" topLeftCell="C4" activePane="bottomRight" state="frozen"/>
      <selection pane="bottomRight" activeCell="J11" sqref="A11:J11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45</v>
      </c>
      <c r="E1" s="61"/>
      <c r="F1" s="61"/>
      <c r="G1" s="59" t="s">
        <v>46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18836</v>
      </c>
      <c r="D2" s="5">
        <f>SUM(D4:D79)</f>
        <v>0</v>
      </c>
      <c r="E2" s="5">
        <f>C2-D2</f>
        <v>18836</v>
      </c>
      <c r="F2" s="6">
        <f>IFERROR(E2/D2, 0)</f>
        <v>0</v>
      </c>
      <c r="G2" s="5">
        <f>SUM(G4:G79)</f>
        <v>13605.007</v>
      </c>
      <c r="H2" s="7">
        <f>C2-G2</f>
        <v>5230.9930000000004</v>
      </c>
      <c r="I2" s="6">
        <f>IFERROR(H2/G2, 0)</f>
        <v>0.38449028361396659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6.5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>
        <v>18836</v>
      </c>
      <c r="D4" s="12" t="s">
        <v>40</v>
      </c>
      <c r="E4" s="12" t="str">
        <f>IF(AND(ISNUMBER(C4),ISNUMBER(D4)), C4-D4, "")</f>
        <v/>
      </c>
      <c r="F4" s="13" t="str">
        <f>IFERROR(E4/D4, "")</f>
        <v/>
      </c>
      <c r="G4" s="14">
        <v>13605.007</v>
      </c>
      <c r="H4" s="14">
        <f>IF(AND(ISNUMBER(C4),ISNUMBER(G4)), C4-G4, "")</f>
        <v>5230.9930000000004</v>
      </c>
      <c r="I4" s="15">
        <f>IFERROR(H4/G4, "")</f>
        <v>0.38449028361396659</v>
      </c>
      <c r="J4" s="36" t="s">
        <v>41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Seidman Guilford Realty</v>
      </c>
      <c r="B1" s="60"/>
      <c r="C1" s="60"/>
      <c r="D1" s="61" t="s">
        <v>47</v>
      </c>
      <c r="E1" s="61"/>
      <c r="F1" s="61"/>
      <c r="G1" s="59" t="s">
        <v>48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Seidman Guilford Realty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3" sqref="B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4" t="s">
        <v>50</v>
      </c>
      <c r="B4" t="s">
        <v>54</v>
      </c>
      <c r="C4" s="42" t="s">
        <v>55</v>
      </c>
      <c r="D4" s="41" t="s">
        <v>56</v>
      </c>
      <c r="E4" t="s">
        <v>57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0389C43E-394D-44C0-87DC-4780FCFCFB40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23827E52-E291-4023-AEAC-B292928CF299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2026-01-31T23:06:56Z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