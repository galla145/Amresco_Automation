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" documentId="13_ncr:1_{994CB6EA-4B95-40C8-8736-1F70A482CA78}" xr6:coauthVersionLast="47" xr6:coauthVersionMax="47" xr10:uidLastSave="{A936FE89-C84B-4514-9900-3F752F1A6EA9}"/>
  <bookViews>
    <workbookView xWindow="-108" yWindow="-108" windowWidth="23256" windowHeight="12456" tabRatio="713" firstSheet="1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8" l="1"/>
  <c r="J13" i="18"/>
  <c r="J10" i="18"/>
  <c r="J7" i="18"/>
  <c r="J14" i="36"/>
  <c r="J13" i="36"/>
  <c r="J10" i="36"/>
  <c r="J7" i="36"/>
  <c r="J14" i="12"/>
  <c r="J13" i="12"/>
  <c r="J10" i="12"/>
  <c r="J7" i="12"/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K109" i="33"/>
  <c r="J109" i="33"/>
  <c r="L109" i="33" s="1"/>
  <c r="H109" i="33"/>
  <c r="G109" i="33"/>
  <c r="E109" i="33"/>
  <c r="N109" i="33" s="1"/>
  <c r="D109" i="33"/>
  <c r="M109" i="33" s="1"/>
  <c r="N97" i="33"/>
  <c r="M97" i="33"/>
  <c r="L97" i="33"/>
  <c r="I97" i="33"/>
  <c r="F97" i="33"/>
  <c r="K50" i="32"/>
  <c r="J50" i="32"/>
  <c r="I50" i="32"/>
  <c r="L90" i="33"/>
  <c r="J90" i="33"/>
  <c r="I89" i="33"/>
  <c r="L89" i="33"/>
  <c r="F89" i="33"/>
  <c r="I88" i="33"/>
  <c r="J8" i="18"/>
  <c r="J6" i="18"/>
  <c r="G90" i="33" s="1"/>
  <c r="I90" i="33" s="1"/>
  <c r="L88" i="33"/>
  <c r="J8" i="36"/>
  <c r="J6" i="36"/>
  <c r="F88" i="33"/>
  <c r="J8" i="12"/>
  <c r="J6" i="12"/>
  <c r="D90" i="33" s="1"/>
  <c r="F90" i="33" s="1"/>
  <c r="I87" i="33"/>
  <c r="O109" i="33" l="1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F50" i="32" l="1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<sst xmlns="http://schemas.openxmlformats.org/spreadsheetml/2006/main" count="553" uniqueCount="94">
  <si>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</si>
  <si>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</si>
  <si>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</si>
  <si>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</si>
  <si>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</si>
  <si>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</si>
  <si>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</si>
  <si>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</si>
  <si>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</si>
  <si>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</si>
  <si>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</si>
  <si>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</si>
  <si>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</si>
  <si>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</si>
  <si>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</si>
  <si>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</si>
  <si>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</si>
  <si>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</si>
  <si>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</si>
  <si>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</si>
  <si>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</si>
  <si>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</si>
  <si>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</si>
  <si>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</si>
  <si>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January'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</si>
  <si>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</si>
  <si>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</si>
  <si>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</si>
  <si>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</si>
  <si>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</si>
  <si>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</si>
  <si>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</si>
  <si>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</si>
  <si>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erroneous values overnight throughout the entire month. We reached out to AlsoEnergy( #529959 )and manually corrected the data by considering 6:00 AM to 7:00 PM as the production hours.</t>
  </si>
  <si>
    <t>O&amp;M Activity</t>
  </si>
  <si>
    <t>Performance Notes</t>
  </si>
  <si>
    <t>Smithfield</t>
  </si>
  <si>
    <t>Westlake</t>
  </si>
  <si>
    <t>January 2025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</si>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</sst>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1148.5</c:v>
                </c:pt>
                <c:pt idx="1">
                  <c:v>8620.75</c:v>
                </c:pt>
                <c:pt idx="2">
                  <c:v>6548.25</c:v>
                </c:pt>
                <c:pt idx="3">
                  <c:v>5612.75</c:v>
                </c:pt>
                <c:pt idx="4">
                  <c:v>2076.75</c:v>
                </c:pt>
                <c:pt idx="5">
                  <c:v>3395.25</c:v>
                </c:pt>
                <c:pt idx="6">
                  <c:v>5153.5</c:v>
                </c:pt>
                <c:pt idx="7">
                  <c:v>9125</c:v>
                </c:pt>
                <c:pt idx="8">
                  <c:v>3173</c:v>
                </c:pt>
                <c:pt idx="9">
                  <c:v>9343.2000000000007</c:v>
                </c:pt>
                <c:pt idx="10">
                  <c:v>49.25</c:v>
                </c:pt>
                <c:pt idx="11">
                  <c:v>777.25</c:v>
                </c:pt>
                <c:pt idx="12">
                  <c:v>1928.75</c:v>
                </c:pt>
                <c:pt idx="13">
                  <c:v>8065.25</c:v>
                </c:pt>
                <c:pt idx="14">
                  <c:v>9016.5</c:v>
                </c:pt>
                <c:pt idx="15">
                  <c:v>5377.5</c:v>
                </c:pt>
                <c:pt idx="16">
                  <c:v>9035.25</c:v>
                </c:pt>
                <c:pt idx="17">
                  <c:v>2682.5</c:v>
                </c:pt>
                <c:pt idx="18">
                  <c:v>7001.25</c:v>
                </c:pt>
                <c:pt idx="19">
                  <c:v>190.75</c:v>
                </c:pt>
                <c:pt idx="20">
                  <c:v>191</c:v>
                </c:pt>
                <c:pt idx="21">
                  <c:v>336.25</c:v>
                </c:pt>
                <c:pt idx="22">
                  <c:v>352.25</c:v>
                </c:pt>
                <c:pt idx="23">
                  <c:v>1766.75</c:v>
                </c:pt>
                <c:pt idx="24">
                  <c:v>6881</c:v>
                </c:pt>
                <c:pt idx="25">
                  <c:v>7420.75</c:v>
                </c:pt>
                <c:pt idx="26">
                  <c:v>11335.25</c:v>
                </c:pt>
                <c:pt idx="27">
                  <c:v>10567.75</c:v>
                </c:pt>
                <c:pt idx="28">
                  <c:v>2034.5</c:v>
                </c:pt>
                <c:pt idx="29">
                  <c:v>12145</c:v>
                </c:pt>
                <c:pt idx="30">
                  <c:v>1368.75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536.79049999999995</c:v>
                </c:pt>
                <c:pt idx="1">
                  <c:v>4214.3280000000004</c:v>
                </c:pt>
                <c:pt idx="2">
                  <c:v>3248.5940000000001</c:v>
                </c:pt>
                <c:pt idx="3">
                  <c:v>2576.221</c:v>
                </c:pt>
                <c:pt idx="4">
                  <c:v>845.02120000000002</c:v>
                </c:pt>
                <c:pt idx="5">
                  <c:v>1415.655</c:v>
                </c:pt>
                <c:pt idx="6">
                  <c:v>2320.3139999999999</c:v>
                </c:pt>
                <c:pt idx="7">
                  <c:v>4387.7950000000001</c:v>
                </c:pt>
                <c:pt idx="8">
                  <c:v>1255.107</c:v>
                </c:pt>
                <c:pt idx="9">
                  <c:v>4684.723</c:v>
                </c:pt>
                <c:pt idx="10">
                  <c:v>235.30760000000001</c:v>
                </c:pt>
                <c:pt idx="11">
                  <c:v>4356.9740000000002</c:v>
                </c:pt>
                <c:pt idx="12">
                  <c:v>1499.5229999999999</c:v>
                </c:pt>
                <c:pt idx="13">
                  <c:v>4383.5339999999997</c:v>
                </c:pt>
                <c:pt idx="14">
                  <c:v>4019.9789999999998</c:v>
                </c:pt>
                <c:pt idx="15">
                  <c:v>2369.4780000000001</c:v>
                </c:pt>
                <c:pt idx="16">
                  <c:v>4257.05</c:v>
                </c:pt>
                <c:pt idx="17">
                  <c:v>1198.1659999999999</c:v>
                </c:pt>
                <c:pt idx="18">
                  <c:v>3181.5479999999998</c:v>
                </c:pt>
                <c:pt idx="19">
                  <c:v>2124.8000000000002</c:v>
                </c:pt>
                <c:pt idx="20">
                  <c:v>2599.36</c:v>
                </c:pt>
                <c:pt idx="21">
                  <c:v>5031.1099999999997</c:v>
                </c:pt>
                <c:pt idx="22">
                  <c:v>3846.66</c:v>
                </c:pt>
                <c:pt idx="23">
                  <c:v>4770.8270000000002</c:v>
                </c:pt>
                <c:pt idx="24">
                  <c:v>4808.5320000000002</c:v>
                </c:pt>
                <c:pt idx="25">
                  <c:v>3749.7579999999998</c:v>
                </c:pt>
                <c:pt idx="26">
                  <c:v>5223.1719999999996</c:v>
                </c:pt>
                <c:pt idx="27">
                  <c:v>4797.6279999999997</c:v>
                </c:pt>
                <c:pt idx="28">
                  <c:v>2503.3609999999999</c:v>
                </c:pt>
                <c:pt idx="29">
                  <c:v>5499.3959999999997</c:v>
                </c:pt>
                <c:pt idx="30">
                  <c:v>560.07680000000005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2514.25</c:v>
                </c:pt>
                <c:pt idx="1">
                  <c:v>9092.5</c:v>
                </c:pt>
                <c:pt idx="2">
                  <c:v>9882</c:v>
                </c:pt>
                <c:pt idx="3">
                  <c:v>10160.5</c:v>
                </c:pt>
                <c:pt idx="4">
                  <c:v>5411</c:v>
                </c:pt>
                <c:pt idx="5">
                  <c:v>2540</c:v>
                </c:pt>
                <c:pt idx="6">
                  <c:v>7278.5</c:v>
                </c:pt>
                <c:pt idx="7">
                  <c:v>11170.5</c:v>
                </c:pt>
                <c:pt idx="8">
                  <c:v>5653.75</c:v>
                </c:pt>
                <c:pt idx="9">
                  <c:v>11093.75</c:v>
                </c:pt>
                <c:pt idx="10">
                  <c:v>584.25</c:v>
                </c:pt>
                <c:pt idx="11">
                  <c:v>5252.75</c:v>
                </c:pt>
                <c:pt idx="12">
                  <c:v>6383.75</c:v>
                </c:pt>
                <c:pt idx="13">
                  <c:v>11378.75</c:v>
                </c:pt>
                <c:pt idx="14">
                  <c:v>11813</c:v>
                </c:pt>
                <c:pt idx="15">
                  <c:v>8891.5</c:v>
                </c:pt>
                <c:pt idx="16">
                  <c:v>11388.5</c:v>
                </c:pt>
                <c:pt idx="17">
                  <c:v>2636.75</c:v>
                </c:pt>
                <c:pt idx="18">
                  <c:v>6130.5</c:v>
                </c:pt>
                <c:pt idx="19">
                  <c:v>340.5</c:v>
                </c:pt>
                <c:pt idx="20">
                  <c:v>277.5</c:v>
                </c:pt>
                <c:pt idx="21">
                  <c:v>421.5</c:v>
                </c:pt>
                <c:pt idx="22">
                  <c:v>405</c:v>
                </c:pt>
                <c:pt idx="23">
                  <c:v>607.75</c:v>
                </c:pt>
                <c:pt idx="24">
                  <c:v>999.25</c:v>
                </c:pt>
                <c:pt idx="25">
                  <c:v>3556.25</c:v>
                </c:pt>
                <c:pt idx="26">
                  <c:v>12435</c:v>
                </c:pt>
                <c:pt idx="27">
                  <c:v>10706</c:v>
                </c:pt>
                <c:pt idx="28">
                  <c:v>10534.25</c:v>
                </c:pt>
                <c:pt idx="29">
                  <c:v>13574.75</c:v>
                </c:pt>
                <c:pt idx="30">
                  <c:v>1185.5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807.42229999999995</c:v>
                </c:pt>
                <c:pt idx="1">
                  <c:v>2918.0520000000001</c:v>
                </c:pt>
                <c:pt idx="2">
                  <c:v>3193.19</c:v>
                </c:pt>
                <c:pt idx="3">
                  <c:v>3219.9580000000001</c:v>
                </c:pt>
                <c:pt idx="4">
                  <c:v>1582.9390000000001</c:v>
                </c:pt>
                <c:pt idx="5">
                  <c:v>713.30849999999998</c:v>
                </c:pt>
                <c:pt idx="6">
                  <c:v>2353.6210000000001</c:v>
                </c:pt>
                <c:pt idx="7">
                  <c:v>3540.0169999999998</c:v>
                </c:pt>
                <c:pt idx="8">
                  <c:v>2065.1950000000002</c:v>
                </c:pt>
                <c:pt idx="9">
                  <c:v>3570.058</c:v>
                </c:pt>
                <c:pt idx="10">
                  <c:v>504.3279</c:v>
                </c:pt>
                <c:pt idx="11">
                  <c:v>3603.3440000000001</c:v>
                </c:pt>
                <c:pt idx="12">
                  <c:v>1975.9570000000001</c:v>
                </c:pt>
                <c:pt idx="13">
                  <c:v>3554.886</c:v>
                </c:pt>
                <c:pt idx="14">
                  <c:v>3627.3209999999999</c:v>
                </c:pt>
                <c:pt idx="15">
                  <c:v>2673.962</c:v>
                </c:pt>
                <c:pt idx="16">
                  <c:v>3652.819</c:v>
                </c:pt>
                <c:pt idx="17">
                  <c:v>769.36180000000002</c:v>
                </c:pt>
                <c:pt idx="18">
                  <c:v>1813.348</c:v>
                </c:pt>
                <c:pt idx="19">
                  <c:v>3221.9520000000002</c:v>
                </c:pt>
                <c:pt idx="20">
                  <c:v>2136.9639999999999</c:v>
                </c:pt>
                <c:pt idx="21">
                  <c:v>3864.71</c:v>
                </c:pt>
                <c:pt idx="22">
                  <c:v>3263.3679999999999</c:v>
                </c:pt>
                <c:pt idx="23">
                  <c:v>3890.7530000000002</c:v>
                </c:pt>
                <c:pt idx="24">
                  <c:v>3868.4580000000001</c:v>
                </c:pt>
                <c:pt idx="25">
                  <c:v>2960.0720000000001</c:v>
                </c:pt>
                <c:pt idx="26">
                  <c:v>4173.991</c:v>
                </c:pt>
                <c:pt idx="27">
                  <c:v>3314.384</c:v>
                </c:pt>
                <c:pt idx="28">
                  <c:v>3120.7060000000001</c:v>
                </c:pt>
                <c:pt idx="29">
                  <c:v>4146.7929999999997</c:v>
                </c:pt>
                <c:pt idx="30">
                  <c:v>340.70170000000002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12755</c:v>
                </c:pt>
                <c:pt idx="1">
                  <c:v>12209</c:v>
                </c:pt>
                <c:pt idx="2">
                  <c:v>12754</c:v>
                </c:pt>
                <c:pt idx="3">
                  <c:v>3252</c:v>
                </c:pt>
                <c:pt idx="4">
                  <c:v>13968</c:v>
                </c:pt>
                <c:pt idx="5">
                  <c:v>15114</c:v>
                </c:pt>
                <c:pt idx="6">
                  <c:v>12421</c:v>
                </c:pt>
                <c:pt idx="7">
                  <c:v>10363</c:v>
                </c:pt>
                <c:pt idx="8">
                  <c:v>254</c:v>
                </c:pt>
                <c:pt idx="9">
                  <c:v>5165</c:v>
                </c:pt>
                <c:pt idx="10">
                  <c:v>15948</c:v>
                </c:pt>
                <c:pt idx="11">
                  <c:v>15278</c:v>
                </c:pt>
                <c:pt idx="12">
                  <c:v>15525</c:v>
                </c:pt>
                <c:pt idx="13">
                  <c:v>13007</c:v>
                </c:pt>
                <c:pt idx="14">
                  <c:v>12369</c:v>
                </c:pt>
                <c:pt idx="15">
                  <c:v>14223</c:v>
                </c:pt>
                <c:pt idx="16">
                  <c:v>7047</c:v>
                </c:pt>
                <c:pt idx="17">
                  <c:v>16211</c:v>
                </c:pt>
                <c:pt idx="18">
                  <c:v>16728</c:v>
                </c:pt>
                <c:pt idx="19">
                  <c:v>6718</c:v>
                </c:pt>
                <c:pt idx="20">
                  <c:v>17298</c:v>
                </c:pt>
                <c:pt idx="21">
                  <c:v>16801</c:v>
                </c:pt>
                <c:pt idx="22">
                  <c:v>13030</c:v>
                </c:pt>
                <c:pt idx="23">
                  <c:v>17134</c:v>
                </c:pt>
                <c:pt idx="24">
                  <c:v>14689</c:v>
                </c:pt>
                <c:pt idx="25">
                  <c:v>1106</c:v>
                </c:pt>
                <c:pt idx="26">
                  <c:v>13750</c:v>
                </c:pt>
                <c:pt idx="27">
                  <c:v>3949</c:v>
                </c:pt>
                <c:pt idx="28">
                  <c:v>1512</c:v>
                </c:pt>
                <c:pt idx="29">
                  <c:v>12306</c:v>
                </c:pt>
                <c:pt idx="30">
                  <c:v>16674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4754.4780000000001</c:v>
                </c:pt>
                <c:pt idx="1">
                  <c:v>4259.4679999999998</c:v>
                </c:pt>
                <c:pt idx="2">
                  <c:v>4186.6959999999999</c:v>
                </c:pt>
                <c:pt idx="3">
                  <c:v>728.66210000000001</c:v>
                </c:pt>
                <c:pt idx="4">
                  <c:v>4855.0079999999998</c:v>
                </c:pt>
                <c:pt idx="5">
                  <c:v>5104.3100000000004</c:v>
                </c:pt>
                <c:pt idx="6">
                  <c:v>4090.6689999999999</c:v>
                </c:pt>
                <c:pt idx="7">
                  <c:v>3393.326</c:v>
                </c:pt>
                <c:pt idx="8">
                  <c:v>-5.1894210000000003</c:v>
                </c:pt>
                <c:pt idx="9">
                  <c:v>1905.492</c:v>
                </c:pt>
                <c:pt idx="10">
                  <c:v>5293.6319999999996</c:v>
                </c:pt>
                <c:pt idx="11">
                  <c:v>5024.4489999999996</c:v>
                </c:pt>
                <c:pt idx="12">
                  <c:v>5110.9319999999998</c:v>
                </c:pt>
                <c:pt idx="13">
                  <c:v>4506.3329999999996</c:v>
                </c:pt>
                <c:pt idx="14">
                  <c:v>4103.5550000000003</c:v>
                </c:pt>
                <c:pt idx="15">
                  <c:v>4867.0569999999998</c:v>
                </c:pt>
                <c:pt idx="16">
                  <c:v>2091.9119999999998</c:v>
                </c:pt>
                <c:pt idx="17">
                  <c:v>5329.5919999999996</c:v>
                </c:pt>
                <c:pt idx="18">
                  <c:v>5535.7219999999998</c:v>
                </c:pt>
                <c:pt idx="19">
                  <c:v>1825.528</c:v>
                </c:pt>
                <c:pt idx="20">
                  <c:v>5726.7640000000001</c:v>
                </c:pt>
                <c:pt idx="21">
                  <c:v>5459.9160000000002</c:v>
                </c:pt>
                <c:pt idx="22">
                  <c:v>5430.2380000000003</c:v>
                </c:pt>
                <c:pt idx="23">
                  <c:v>5729.5460000000003</c:v>
                </c:pt>
                <c:pt idx="24">
                  <c:v>4794.3029999999999</c:v>
                </c:pt>
                <c:pt idx="25">
                  <c:v>-47.791930000000001</c:v>
                </c:pt>
                <c:pt idx="26">
                  <c:v>4374.2669999999998</c:v>
                </c:pt>
                <c:pt idx="27">
                  <c:v>774.76840000000004</c:v>
                </c:pt>
                <c:pt idx="28">
                  <c:v>-14.408160000000001</c:v>
                </c:pt>
                <c:pt idx="29">
                  <c:v>3899.03</c:v>
                </c:pt>
                <c:pt idx="30">
                  <c:v>5841.1980000000003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tabSelected="1"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topLeftCell="A16" zoomScale="90" zoomScaleNormal="90" workbookViewId="0">
      <selection activeCell="D47" sqref="D47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77" t="s">
        <v>22</v>
      </c>
      <c r="F1" s="177"/>
      <c r="G1" s="177"/>
      <c r="H1" s="177"/>
      <c r="I1" s="177"/>
      <c r="J1" s="177"/>
    </row>
    <row r="2" spans="3:13">
      <c r="E2" s="178" t="s">
        <v>23</v>
      </c>
      <c r="F2" s="178"/>
      <c r="G2" s="178"/>
      <c r="H2" s="178"/>
      <c r="I2" s="178"/>
      <c r="J2" s="178"/>
    </row>
    <row r="3" spans="3:13">
      <c r="E3" s="179" t="s">
        <v>24</v>
      </c>
      <c r="F3" s="180"/>
      <c r="G3" s="180"/>
      <c r="H3" s="180"/>
      <c r="I3" s="180"/>
      <c r="J3" s="180"/>
    </row>
    <row r="5" spans="3:13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</row>
    <row r="6" spans="3:13">
      <c r="C6" s="20"/>
      <c r="D6" s="21"/>
      <c r="E6" s="172" t="s">
        <v>2</v>
      </c>
      <c r="F6" s="172"/>
      <c r="G6" s="172"/>
      <c r="H6" s="172"/>
      <c r="I6" s="172"/>
      <c r="J6" s="22">
        <f>SUM(G32:G62)</f>
        <v>152720.45000000001</v>
      </c>
      <c r="K6" s="21" t="s">
        <v>26</v>
      </c>
      <c r="L6" s="23"/>
    </row>
    <row r="7" spans="3:13">
      <c r="C7" s="3"/>
      <c r="D7" s="2"/>
      <c r="E7" s="176" t="s">
        <v>4</v>
      </c>
      <c r="F7" s="176"/>
      <c r="G7" s="176"/>
      <c r="H7" s="176"/>
      <c r="I7" s="176"/>
      <c r="J7" s="8">
        <f>'Predicted Data'!D17</f>
        <v>148923.29999999999</v>
      </c>
      <c r="K7" s="69"/>
      <c r="L7" s="4"/>
    </row>
    <row r="8" spans="3:13" ht="16.149999999999999">
      <c r="C8" s="3"/>
      <c r="D8" s="2"/>
      <c r="E8" s="176" t="s">
        <v>6</v>
      </c>
      <c r="F8" s="176"/>
      <c r="G8" s="176"/>
      <c r="H8" s="176"/>
      <c r="I8" s="176"/>
      <c r="J8" s="8">
        <f>SUM(H32:H62)</f>
        <v>96500.789100000024</v>
      </c>
      <c r="K8" s="2" t="s">
        <v>26</v>
      </c>
      <c r="L8" s="4"/>
    </row>
    <row r="9" spans="3:13" ht="16.149999999999999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</row>
    <row r="10" spans="3:13">
      <c r="C10" s="3"/>
      <c r="D10" s="2"/>
      <c r="E10" s="176" t="s">
        <v>10</v>
      </c>
      <c r="F10" s="176"/>
      <c r="G10" s="176"/>
      <c r="H10" s="176"/>
      <c r="I10" s="176"/>
      <c r="J10" s="85">
        <f>'Plant Health'!H97</f>
        <v>225291.31930000006</v>
      </c>
      <c r="K10" s="2" t="s">
        <v>26</v>
      </c>
      <c r="L10" s="4"/>
    </row>
    <row r="11" spans="3:13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0.67787986893820795</v>
      </c>
      <c r="K11" s="2"/>
      <c r="L11" s="4"/>
      <c r="M11" s="61"/>
    </row>
    <row r="12" spans="3:13">
      <c r="C12" s="3"/>
      <c r="D12" s="2"/>
      <c r="E12" s="176" t="s">
        <v>16</v>
      </c>
      <c r="F12" s="176"/>
      <c r="G12" s="176"/>
      <c r="H12" s="176"/>
      <c r="I12" s="176"/>
      <c r="J12" s="31">
        <f>J6/J7</f>
        <v>1.0254973533355762</v>
      </c>
      <c r="K12" s="2"/>
      <c r="L12" s="4"/>
    </row>
    <row r="13" spans="3:13">
      <c r="C13" s="3"/>
      <c r="D13" s="2"/>
      <c r="E13" s="176" t="s">
        <v>18</v>
      </c>
      <c r="F13" s="176"/>
      <c r="G13" s="176"/>
      <c r="H13" s="176"/>
      <c r="I13" s="176"/>
      <c r="J13" s="31">
        <f>Availability!J38</f>
        <v>0.99180000000000001</v>
      </c>
      <c r="K13" s="2"/>
      <c r="L13" s="4"/>
    </row>
    <row r="14" spans="3:13">
      <c r="C14" s="5"/>
      <c r="D14" s="6"/>
      <c r="E14" s="185" t="s">
        <v>20</v>
      </c>
      <c r="F14" s="185"/>
      <c r="G14" s="185"/>
      <c r="H14" s="185"/>
      <c r="I14" s="185"/>
      <c r="J14" s="9">
        <f>Availability!J50</f>
        <v>0.99180000000000001</v>
      </c>
      <c r="K14" s="6"/>
      <c r="L14" s="7"/>
    </row>
    <row r="16" spans="3:13">
      <c r="C16" s="184" t="s">
        <v>27</v>
      </c>
      <c r="D16" s="184"/>
      <c r="E16" s="184"/>
      <c r="F16" s="184"/>
      <c r="G16" s="184"/>
      <c r="H16" s="184"/>
      <c r="I16" s="184"/>
      <c r="J16" s="184"/>
      <c r="K16" s="184"/>
      <c r="L16" s="184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4" t="s">
        <v>28</v>
      </c>
      <c r="G30" s="184"/>
      <c r="H30" s="184"/>
      <c r="I30" s="184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63.6" customHeight="1">
      <c r="E32" s="2"/>
      <c r="F32" s="160">
        <v>45658</v>
      </c>
      <c r="G32" s="161">
        <v>1148.5</v>
      </c>
      <c r="H32" s="162">
        <v>536.79049999999995</v>
      </c>
      <c r="I32" s="162">
        <v>40.020020000000002</v>
      </c>
      <c r="J32" s="2"/>
      <c r="K32" s="151" t="s">
        <v>33</v>
      </c>
    </row>
    <row r="33" spans="5:15">
      <c r="E33" s="2"/>
      <c r="F33" s="160">
        <v>45659</v>
      </c>
      <c r="G33" s="161">
        <v>8620.75</v>
      </c>
      <c r="H33" s="162">
        <v>4214.3280000000004</v>
      </c>
      <c r="I33" s="162">
        <v>36.908810000000003</v>
      </c>
      <c r="J33" s="2"/>
      <c r="K33" s="14"/>
    </row>
    <row r="34" spans="5:15">
      <c r="E34" s="2"/>
      <c r="F34" s="160">
        <v>45660</v>
      </c>
      <c r="G34" s="161">
        <v>6548.25</v>
      </c>
      <c r="H34" s="162">
        <v>3248.5940000000001</v>
      </c>
      <c r="I34" s="162">
        <v>32.011200000000002</v>
      </c>
      <c r="J34" s="2"/>
      <c r="K34" s="14"/>
    </row>
    <row r="35" spans="5:15">
      <c r="E35" s="2"/>
      <c r="F35" s="160">
        <v>45661</v>
      </c>
      <c r="G35" s="161">
        <v>5612.75</v>
      </c>
      <c r="H35" s="162">
        <v>2576.221</v>
      </c>
      <c r="I35" s="162">
        <v>24.58606</v>
      </c>
      <c r="J35" s="2"/>
      <c r="K35" s="14"/>
    </row>
    <row r="36" spans="5:15">
      <c r="E36" s="2"/>
      <c r="F36" s="160">
        <v>45662</v>
      </c>
      <c r="G36" s="161">
        <v>2076.75</v>
      </c>
      <c r="H36" s="162">
        <v>845.02120000000002</v>
      </c>
      <c r="I36" s="162">
        <v>24.500540000000001</v>
      </c>
      <c r="J36" s="2"/>
      <c r="K36" s="14"/>
    </row>
    <row r="37" spans="5:15">
      <c r="E37" s="2"/>
      <c r="F37" s="160">
        <v>45663</v>
      </c>
      <c r="G37" s="161">
        <v>3395.25</v>
      </c>
      <c r="H37" s="162">
        <v>1415.655</v>
      </c>
      <c r="I37" s="162">
        <v>18.516089999999998</v>
      </c>
      <c r="J37" s="2"/>
      <c r="K37" s="14"/>
    </row>
    <row r="38" spans="5:15">
      <c r="E38" s="2"/>
      <c r="F38" s="160">
        <v>45664</v>
      </c>
      <c r="G38" s="161">
        <v>5153.5</v>
      </c>
      <c r="H38" s="162">
        <v>2320.3139999999999</v>
      </c>
      <c r="I38" s="162">
        <v>19.609680000000001</v>
      </c>
      <c r="J38" s="2"/>
      <c r="K38" s="14"/>
    </row>
    <row r="39" spans="5:15">
      <c r="E39" s="2"/>
      <c r="F39" s="160">
        <v>45665</v>
      </c>
      <c r="G39" s="161">
        <v>9125</v>
      </c>
      <c r="H39" s="162">
        <v>4387.7950000000001</v>
      </c>
      <c r="I39" s="162">
        <v>21.315989999999999</v>
      </c>
      <c r="J39" s="2"/>
      <c r="K39" s="14"/>
    </row>
    <row r="40" spans="5:15">
      <c r="E40" s="2"/>
      <c r="F40" s="160">
        <v>45666</v>
      </c>
      <c r="G40" s="161">
        <v>3173</v>
      </c>
      <c r="H40" s="162">
        <v>1255.107</v>
      </c>
      <c r="I40" s="162">
        <v>20.888629999999999</v>
      </c>
      <c r="J40" s="2"/>
      <c r="K40" s="14"/>
    </row>
    <row r="41" spans="5:15">
      <c r="E41" s="2"/>
      <c r="F41" s="160">
        <v>45667</v>
      </c>
      <c r="G41" s="161">
        <v>9343.2000000000007</v>
      </c>
      <c r="H41" s="162">
        <v>4684.723</v>
      </c>
      <c r="I41" s="162">
        <v>28.337810000000001</v>
      </c>
      <c r="J41" s="2"/>
      <c r="K41" s="14"/>
    </row>
    <row r="42" spans="5:15">
      <c r="E42" s="2"/>
      <c r="F42" s="160">
        <v>45668</v>
      </c>
      <c r="G42" s="161">
        <v>49.25</v>
      </c>
      <c r="H42" s="162">
        <v>235.30760000000001</v>
      </c>
      <c r="I42" s="162">
        <v>27.041699999999999</v>
      </c>
      <c r="J42" s="2"/>
      <c r="K42" s="14"/>
    </row>
    <row r="43" spans="5:15">
      <c r="E43" s="2"/>
      <c r="F43" s="160">
        <v>45669</v>
      </c>
      <c r="G43" s="161">
        <v>777.25</v>
      </c>
      <c r="H43" s="162">
        <v>4356.9740000000002</v>
      </c>
      <c r="I43" s="162">
        <v>25.066079999999999</v>
      </c>
      <c r="J43" s="2"/>
      <c r="K43" s="14"/>
    </row>
    <row r="44" spans="5:15">
      <c r="E44" s="2"/>
      <c r="F44" s="160">
        <v>45670</v>
      </c>
      <c r="G44" s="161">
        <v>1928.75</v>
      </c>
      <c r="H44" s="162">
        <v>1499.5229999999999</v>
      </c>
      <c r="I44" s="162">
        <v>27.402280000000001</v>
      </c>
      <c r="J44" s="2"/>
      <c r="K44" s="14"/>
    </row>
    <row r="45" spans="5:15">
      <c r="E45" s="2"/>
      <c r="F45" s="160">
        <v>45671</v>
      </c>
      <c r="G45" s="161">
        <v>8065.25</v>
      </c>
      <c r="H45" s="162">
        <v>4383.5339999999997</v>
      </c>
      <c r="I45" s="162">
        <v>27.13663</v>
      </c>
      <c r="J45" s="2"/>
      <c r="K45" s="14"/>
    </row>
    <row r="46" spans="5:15">
      <c r="E46" s="2"/>
      <c r="F46" s="160">
        <v>45672</v>
      </c>
      <c r="G46" s="161">
        <v>9016.5</v>
      </c>
      <c r="H46" s="162">
        <v>4019.9789999999998</v>
      </c>
      <c r="I46" s="162">
        <v>20.328309999999998</v>
      </c>
      <c r="J46" s="2"/>
      <c r="K46" s="14"/>
    </row>
    <row r="47" spans="5:15">
      <c r="E47" s="2"/>
      <c r="F47" s="160">
        <v>45673</v>
      </c>
      <c r="G47" s="161">
        <v>5377.5</v>
      </c>
      <c r="H47" s="162">
        <v>2369.4780000000001</v>
      </c>
      <c r="I47" s="162">
        <v>17.104710000000001</v>
      </c>
      <c r="J47" s="2"/>
      <c r="K47" s="14"/>
    </row>
    <row r="48" spans="5:15">
      <c r="E48" s="2"/>
      <c r="F48" s="160">
        <v>45674</v>
      </c>
      <c r="G48" s="161">
        <v>9035.25</v>
      </c>
      <c r="H48" s="162">
        <v>4257.05</v>
      </c>
      <c r="I48" s="162">
        <v>21.339320000000001</v>
      </c>
      <c r="J48" s="2"/>
      <c r="K48" s="14"/>
      <c r="M48" s="2"/>
      <c r="N48" s="2"/>
      <c r="O48" s="2"/>
    </row>
    <row r="49" spans="5:15">
      <c r="E49" s="2"/>
      <c r="F49" s="160">
        <v>45675</v>
      </c>
      <c r="G49" s="161">
        <v>2682.5</v>
      </c>
      <c r="H49" s="162">
        <v>1198.1659999999999</v>
      </c>
      <c r="I49" s="162">
        <v>33.901670000000003</v>
      </c>
      <c r="J49" s="2"/>
      <c r="K49" s="14"/>
      <c r="M49" s="2"/>
      <c r="N49" s="2"/>
      <c r="O49" s="2"/>
    </row>
    <row r="50" spans="5:15">
      <c r="E50" s="2"/>
      <c r="F50" s="160">
        <v>45676</v>
      </c>
      <c r="G50" s="161">
        <v>7001.25</v>
      </c>
      <c r="H50" s="162">
        <v>3181.5479999999998</v>
      </c>
      <c r="I50" s="162">
        <v>32.84966</v>
      </c>
      <c r="J50" s="2"/>
      <c r="K50" s="14"/>
    </row>
    <row r="51" spans="5:15">
      <c r="E51" s="2"/>
      <c r="F51" s="160">
        <v>45677</v>
      </c>
      <c r="G51" s="161">
        <v>190.75</v>
      </c>
      <c r="H51" s="162">
        <v>2124.8000000000002</v>
      </c>
      <c r="I51" s="162">
        <v>16.101559999999999</v>
      </c>
      <c r="J51" s="2"/>
      <c r="K51" s="14"/>
    </row>
    <row r="52" spans="5:15">
      <c r="E52" s="2"/>
      <c r="F52" s="160">
        <v>45678</v>
      </c>
      <c r="G52" s="161">
        <v>191</v>
      </c>
      <c r="H52" s="162">
        <v>2599.36</v>
      </c>
      <c r="I52" s="162">
        <v>5.726324</v>
      </c>
      <c r="J52" s="2"/>
      <c r="K52" s="14"/>
    </row>
    <row r="53" spans="5:15">
      <c r="E53" s="2"/>
      <c r="F53" s="160">
        <v>45679</v>
      </c>
      <c r="G53" s="161">
        <v>336.25</v>
      </c>
      <c r="H53" s="162">
        <v>5031.1099999999997</v>
      </c>
      <c r="I53" s="162">
        <v>4.5978250000000003</v>
      </c>
      <c r="J53" s="2"/>
      <c r="K53" s="14"/>
    </row>
    <row r="54" spans="5:15">
      <c r="E54" s="2"/>
      <c r="F54" s="160">
        <v>45680</v>
      </c>
      <c r="G54" s="161">
        <v>352.25</v>
      </c>
      <c r="H54" s="162">
        <v>3846.66</v>
      </c>
      <c r="I54" s="162">
        <v>16.3431</v>
      </c>
      <c r="J54" s="2"/>
      <c r="K54" s="14"/>
    </row>
    <row r="55" spans="5:15">
      <c r="E55" s="2"/>
      <c r="F55" s="160">
        <v>45681</v>
      </c>
      <c r="G55" s="161">
        <v>1766.75</v>
      </c>
      <c r="H55" s="162">
        <v>4770.8270000000002</v>
      </c>
      <c r="I55" s="162">
        <v>15.111039999999999</v>
      </c>
      <c r="J55" s="2"/>
      <c r="K55" s="14"/>
    </row>
    <row r="56" spans="5:15">
      <c r="E56" s="2"/>
      <c r="F56" s="160">
        <v>45682</v>
      </c>
      <c r="G56" s="161">
        <v>6881</v>
      </c>
      <c r="H56" s="162">
        <v>4808.5320000000002</v>
      </c>
      <c r="I56" s="162">
        <v>14.24255</v>
      </c>
      <c r="J56" s="2"/>
      <c r="K56" s="14"/>
    </row>
    <row r="57" spans="5:15">
      <c r="E57" s="2"/>
      <c r="F57" s="160">
        <v>45683</v>
      </c>
      <c r="G57" s="161">
        <v>7420.75</v>
      </c>
      <c r="H57" s="162">
        <v>3749.7579999999998</v>
      </c>
      <c r="I57" s="162">
        <v>24.466380000000001</v>
      </c>
      <c r="J57" s="2"/>
      <c r="K57" s="14"/>
    </row>
    <row r="58" spans="5:15">
      <c r="E58" s="2"/>
      <c r="F58" s="160">
        <v>45684</v>
      </c>
      <c r="G58" s="161">
        <v>11335.25</v>
      </c>
      <c r="H58" s="162">
        <v>5223.1719999999996</v>
      </c>
      <c r="I58" s="162">
        <v>27.62921</v>
      </c>
      <c r="J58" s="2"/>
      <c r="K58" s="14"/>
    </row>
    <row r="59" spans="5:15">
      <c r="E59" s="2"/>
      <c r="F59" s="160">
        <v>45685</v>
      </c>
      <c r="G59" s="161">
        <v>10567.75</v>
      </c>
      <c r="H59" s="162">
        <v>4797.6279999999997</v>
      </c>
      <c r="I59" s="162">
        <v>29.849150000000002</v>
      </c>
      <c r="J59" s="2"/>
      <c r="K59" s="14"/>
    </row>
    <row r="60" spans="5:15">
      <c r="E60" s="2"/>
      <c r="F60" s="160">
        <v>45686</v>
      </c>
      <c r="G60" s="161">
        <v>2034.5</v>
      </c>
      <c r="H60" s="162">
        <v>2503.3609999999999</v>
      </c>
      <c r="I60" s="162">
        <v>28.896889999999999</v>
      </c>
      <c r="J60" s="2"/>
      <c r="K60" s="14"/>
    </row>
    <row r="61" spans="5:15">
      <c r="E61" s="2"/>
      <c r="F61" s="160">
        <v>45687</v>
      </c>
      <c r="G61" s="161">
        <v>12145</v>
      </c>
      <c r="H61" s="162">
        <v>5499.3959999999997</v>
      </c>
      <c r="I61" s="162">
        <v>19.736190000000001</v>
      </c>
      <c r="J61" s="2"/>
      <c r="K61" s="14"/>
    </row>
    <row r="62" spans="5:15" s="2" customFormat="1">
      <c r="F62" s="160">
        <v>45688</v>
      </c>
      <c r="G62" s="161">
        <v>1368.75</v>
      </c>
      <c r="H62" s="162">
        <v>560.07680000000005</v>
      </c>
      <c r="I62" s="162">
        <v>31.094239999999999</v>
      </c>
      <c r="K62" s="14"/>
    </row>
    <row r="63" spans="5:15" s="2" customFormat="1">
      <c r="F63" s="157"/>
      <c r="G63" s="155"/>
      <c r="H63" s="155"/>
      <c r="I63" s="156"/>
      <c r="K63" s="14"/>
    </row>
    <row r="64" spans="5:15">
      <c r="F64" s="143"/>
      <c r="G64" s="137"/>
      <c r="H64" s="2"/>
      <c r="I64" s="2"/>
    </row>
    <row r="65" spans="3:12">
      <c r="C65" s="181" t="s">
        <v>34</v>
      </c>
      <c r="D65" s="182"/>
      <c r="E65" s="182"/>
      <c r="F65" s="182"/>
      <c r="G65" s="182"/>
      <c r="H65" s="182"/>
      <c r="I65" s="182"/>
      <c r="J65" s="182"/>
      <c r="K65" s="182"/>
      <c r="L65" s="183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70" spans="3:12">
      <c r="C70" s="186" t="s">
        <v>35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>
      <c r="C72" s="192"/>
      <c r="D72" s="193"/>
      <c r="E72" s="193"/>
      <c r="F72" s="193"/>
      <c r="G72" s="193"/>
      <c r="H72" s="193"/>
      <c r="I72" s="193"/>
      <c r="J72" s="193"/>
      <c r="K72" s="193"/>
      <c r="L72" s="194"/>
    </row>
    <row r="73" spans="3:12">
      <c r="C73" s="195"/>
      <c r="D73" s="196"/>
      <c r="E73" s="196"/>
      <c r="F73" s="196"/>
      <c r="G73" s="196"/>
      <c r="H73" s="196"/>
      <c r="I73" s="196"/>
      <c r="J73" s="196"/>
      <c r="K73" s="196"/>
      <c r="L73" s="197"/>
    </row>
  </sheetData>
  <mergeCells count="19">
    <mergeCell ref="C70:L70"/>
    <mergeCell ref="C65:L65"/>
    <mergeCell ref="E13:I13"/>
    <mergeCell ref="F30:I30"/>
    <mergeCell ref="C71:L73"/>
    <mergeCell ref="C66:L68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topLeftCell="A22" zoomScale="85" zoomScaleNormal="85" workbookViewId="0">
      <selection activeCell="N48" sqref="N48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77" t="s">
        <v>36</v>
      </c>
      <c r="F1" s="177"/>
      <c r="G1" s="177"/>
      <c r="H1" s="177"/>
      <c r="I1" s="177"/>
      <c r="J1" s="177"/>
    </row>
    <row r="2" spans="3:18">
      <c r="E2" s="178" t="s">
        <v>23</v>
      </c>
      <c r="F2" s="178"/>
      <c r="G2" s="178"/>
      <c r="H2" s="178"/>
      <c r="I2" s="178"/>
      <c r="J2" s="178"/>
    </row>
    <row r="3" spans="3:18" ht="14.25" customHeight="1">
      <c r="E3" s="179" t="s">
        <v>24</v>
      </c>
      <c r="F3" s="180"/>
      <c r="G3" s="180"/>
      <c r="H3" s="180"/>
      <c r="I3" s="180"/>
      <c r="J3" s="180"/>
    </row>
    <row r="5" spans="3:18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  <c r="R5" s="26"/>
    </row>
    <row r="6" spans="3:18">
      <c r="C6" s="20"/>
      <c r="D6" s="21"/>
      <c r="E6" s="172" t="s">
        <v>2</v>
      </c>
      <c r="F6" s="172"/>
      <c r="G6" s="172"/>
      <c r="H6" s="172"/>
      <c r="I6" s="172"/>
      <c r="J6" s="22">
        <f>SUM(G32:G62)</f>
        <v>194299.75</v>
      </c>
      <c r="K6" s="2"/>
      <c r="L6" s="23"/>
      <c r="R6" s="26"/>
    </row>
    <row r="7" spans="3:18">
      <c r="C7" s="3"/>
      <c r="D7" s="2"/>
      <c r="E7" s="176" t="s">
        <v>4</v>
      </c>
      <c r="F7" s="176"/>
      <c r="G7" s="176"/>
      <c r="H7" s="176"/>
      <c r="I7" s="176"/>
      <c r="J7" s="8">
        <f>'Predicted Data'!D5</f>
        <v>173872.6</v>
      </c>
      <c r="K7" s="69"/>
      <c r="L7" s="4"/>
      <c r="R7" s="26"/>
    </row>
    <row r="8" spans="3:18" ht="16.149999999999999">
      <c r="C8" s="3"/>
      <c r="D8" s="2"/>
      <c r="E8" s="176" t="s">
        <v>6</v>
      </c>
      <c r="F8" s="176"/>
      <c r="G8" s="176"/>
      <c r="H8" s="176"/>
      <c r="I8" s="176"/>
      <c r="J8" s="8">
        <f>SUM(H32:H62)</f>
        <v>84441.940200000012</v>
      </c>
      <c r="K8" s="2"/>
      <c r="L8" s="4"/>
      <c r="R8" s="26"/>
    </row>
    <row r="9" spans="3:18" ht="16.149999999999999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  <c r="R9" s="44"/>
    </row>
    <row r="10" spans="3:18">
      <c r="C10" s="3"/>
      <c r="D10" s="2"/>
      <c r="E10" s="176" t="s">
        <v>10</v>
      </c>
      <c r="F10" s="176"/>
      <c r="G10" s="176"/>
      <c r="H10" s="176"/>
      <c r="I10" s="176"/>
      <c r="J10" s="84">
        <f>'Plant Health'!E97</f>
        <v>261206.57600000006</v>
      </c>
      <c r="K10" s="2"/>
      <c r="L10" s="4"/>
      <c r="R10" s="26"/>
    </row>
    <row r="11" spans="3:18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0.74385474123744866</v>
      </c>
      <c r="K11" s="2"/>
      <c r="L11" s="4"/>
      <c r="R11" s="26"/>
    </row>
    <row r="12" spans="3:18">
      <c r="C12" s="3"/>
      <c r="D12" s="2"/>
      <c r="E12" s="176" t="s">
        <v>16</v>
      </c>
      <c r="F12" s="176"/>
      <c r="G12" s="176"/>
      <c r="H12" s="176"/>
      <c r="I12" s="176"/>
      <c r="J12" s="31">
        <f>J6/J7</f>
        <v>1.1174834332724075</v>
      </c>
      <c r="K12" s="2"/>
      <c r="L12" s="4"/>
      <c r="R12" s="26"/>
    </row>
    <row r="13" spans="3:18">
      <c r="C13" s="3"/>
      <c r="D13" s="2"/>
      <c r="E13" s="176" t="s">
        <v>18</v>
      </c>
      <c r="F13" s="176"/>
      <c r="G13" s="176"/>
      <c r="H13" s="176"/>
      <c r="I13" s="176"/>
      <c r="J13" s="31">
        <f>Availability!I38</f>
        <v>0.99419999999999997</v>
      </c>
      <c r="K13" s="2"/>
      <c r="L13" s="4"/>
      <c r="R13" s="26"/>
    </row>
    <row r="14" spans="3:18">
      <c r="C14" s="5"/>
      <c r="D14" s="6"/>
      <c r="E14" s="185" t="s">
        <v>20</v>
      </c>
      <c r="F14" s="185"/>
      <c r="G14" s="185"/>
      <c r="H14" s="185"/>
      <c r="I14" s="185"/>
      <c r="J14" s="9">
        <f>Availability!I50</f>
        <v>0.99419999999999997</v>
      </c>
      <c r="K14" s="6"/>
      <c r="L14" s="7"/>
      <c r="R14" s="26"/>
    </row>
    <row r="15" spans="3:18">
      <c r="R15" s="26"/>
    </row>
    <row r="16" spans="3:18">
      <c r="C16" s="181" t="s">
        <v>27</v>
      </c>
      <c r="D16" s="182"/>
      <c r="E16" s="182"/>
      <c r="F16" s="182"/>
      <c r="G16" s="182"/>
      <c r="H16" s="182"/>
      <c r="I16" s="182"/>
      <c r="J16" s="182"/>
      <c r="K16" s="182"/>
      <c r="L16" s="183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3" t="s">
        <v>30</v>
      </c>
      <c r="H31" s="164" t="s">
        <v>31</v>
      </c>
      <c r="I31" s="163" t="s">
        <v>32</v>
      </c>
      <c r="J31" s="12"/>
      <c r="K31" s="13"/>
      <c r="R31" s="45"/>
      <c r="X31"/>
    </row>
    <row r="32" spans="5:24">
      <c r="E32" s="2"/>
      <c r="F32" s="154">
        <v>45658</v>
      </c>
      <c r="G32" s="162">
        <v>2514.25</v>
      </c>
      <c r="H32" s="162">
        <v>807.42229999999995</v>
      </c>
      <c r="I32" s="162">
        <v>42.948860000000003</v>
      </c>
      <c r="J32" s="14"/>
      <c r="K32" s="14"/>
      <c r="R32" s="26"/>
    </row>
    <row r="33" spans="5:18">
      <c r="E33" s="2"/>
      <c r="F33" s="154">
        <v>45659</v>
      </c>
      <c r="G33" s="162">
        <v>9092.5</v>
      </c>
      <c r="H33" s="162">
        <v>2918.0520000000001</v>
      </c>
      <c r="I33" s="162">
        <v>35.241520000000001</v>
      </c>
      <c r="J33" s="14"/>
      <c r="K33" s="14"/>
      <c r="R33" s="26"/>
    </row>
    <row r="34" spans="5:18">
      <c r="E34" s="2"/>
      <c r="F34" s="154">
        <v>45660</v>
      </c>
      <c r="G34" s="162">
        <v>9882</v>
      </c>
      <c r="H34" s="162">
        <v>3193.19</v>
      </c>
      <c r="I34" s="162">
        <v>29.802440000000001</v>
      </c>
      <c r="J34" s="14"/>
      <c r="K34" s="14"/>
      <c r="R34" s="26"/>
    </row>
    <row r="35" spans="5:18">
      <c r="E35" s="2"/>
      <c r="F35" s="154">
        <v>45661</v>
      </c>
      <c r="G35" s="162">
        <v>10160.5</v>
      </c>
      <c r="H35" s="162">
        <v>3219.9580000000001</v>
      </c>
      <c r="I35" s="162">
        <v>25.104600000000001</v>
      </c>
      <c r="J35" s="14"/>
      <c r="K35" s="14"/>
      <c r="R35" s="26"/>
    </row>
    <row r="36" spans="5:18">
      <c r="E36" s="2"/>
      <c r="F36" s="154">
        <v>45662</v>
      </c>
      <c r="G36" s="162">
        <v>5411</v>
      </c>
      <c r="H36" s="162">
        <v>1582.9390000000001</v>
      </c>
      <c r="I36" s="162">
        <v>27.592459999999999</v>
      </c>
      <c r="J36" s="14"/>
      <c r="K36" s="14"/>
      <c r="R36" s="26"/>
    </row>
    <row r="37" spans="5:18">
      <c r="E37" s="2"/>
      <c r="F37" s="154">
        <v>45663</v>
      </c>
      <c r="G37" s="162">
        <v>2540</v>
      </c>
      <c r="H37" s="162">
        <v>713.30849999999998</v>
      </c>
      <c r="I37" s="162">
        <v>21.34703</v>
      </c>
      <c r="J37" s="14"/>
      <c r="K37" s="14"/>
      <c r="R37" s="26"/>
    </row>
    <row r="38" spans="5:18">
      <c r="E38" s="2"/>
      <c r="F38" s="154">
        <v>45664</v>
      </c>
      <c r="G38" s="162">
        <v>7278.5</v>
      </c>
      <c r="H38" s="162">
        <v>2353.6210000000001</v>
      </c>
      <c r="I38" s="162">
        <v>18.770569999999999</v>
      </c>
      <c r="J38" s="14"/>
      <c r="K38" s="14"/>
    </row>
    <row r="39" spans="5:18">
      <c r="E39" s="2"/>
      <c r="F39" s="154">
        <v>45665</v>
      </c>
      <c r="G39" s="162">
        <v>11170.5</v>
      </c>
      <c r="H39" s="162">
        <v>3540.0169999999998</v>
      </c>
      <c r="I39" s="162">
        <v>20.436509999999998</v>
      </c>
      <c r="J39" s="14"/>
      <c r="K39" s="14"/>
    </row>
    <row r="40" spans="5:18">
      <c r="E40" s="2"/>
      <c r="F40" s="154">
        <v>45666</v>
      </c>
      <c r="G40" s="162">
        <v>5653.75</v>
      </c>
      <c r="H40" s="162">
        <v>2065.1950000000002</v>
      </c>
      <c r="I40" s="162">
        <v>21.096509999999999</v>
      </c>
      <c r="J40" s="14"/>
      <c r="K40" s="14"/>
    </row>
    <row r="41" spans="5:18">
      <c r="E41" s="2"/>
      <c r="F41" s="154">
        <v>45667</v>
      </c>
      <c r="G41" s="162">
        <v>11093.75</v>
      </c>
      <c r="H41" s="162">
        <v>3570.058</v>
      </c>
      <c r="I41" s="162">
        <v>28.719860000000001</v>
      </c>
      <c r="J41" s="14"/>
      <c r="K41" s="14"/>
    </row>
    <row r="42" spans="5:18">
      <c r="E42" s="2"/>
      <c r="F42" s="154">
        <v>45668</v>
      </c>
      <c r="G42" s="162">
        <v>584.25</v>
      </c>
      <c r="H42" s="162">
        <v>504.3279</v>
      </c>
      <c r="I42" s="162">
        <v>27.89724</v>
      </c>
      <c r="J42" s="14"/>
      <c r="K42" s="14"/>
    </row>
    <row r="43" spans="5:18">
      <c r="E43" s="2"/>
      <c r="F43" s="154">
        <v>45669</v>
      </c>
      <c r="G43" s="162">
        <v>5252.75</v>
      </c>
      <c r="H43" s="162">
        <v>3603.3440000000001</v>
      </c>
      <c r="I43" s="162">
        <v>26.45476</v>
      </c>
      <c r="J43" s="14"/>
      <c r="K43" s="14"/>
    </row>
    <row r="44" spans="5:18">
      <c r="E44" s="2"/>
      <c r="F44" s="154">
        <v>45670</v>
      </c>
      <c r="G44" s="162">
        <v>6383.75</v>
      </c>
      <c r="H44" s="162">
        <v>1975.9570000000001</v>
      </c>
      <c r="I44" s="162">
        <v>31.612120000000001</v>
      </c>
      <c r="J44" s="14"/>
      <c r="K44" s="14"/>
    </row>
    <row r="45" spans="5:18">
      <c r="E45" s="2"/>
      <c r="F45" s="154">
        <v>45671</v>
      </c>
      <c r="G45" s="162">
        <v>11378.75</v>
      </c>
      <c r="H45" s="162">
        <v>3554.886</v>
      </c>
      <c r="I45" s="162">
        <v>24.99006</v>
      </c>
      <c r="J45" s="14"/>
      <c r="K45" s="14"/>
    </row>
    <row r="46" spans="5:18">
      <c r="E46" s="2"/>
      <c r="F46" s="154">
        <v>45672</v>
      </c>
      <c r="G46" s="162">
        <v>11813</v>
      </c>
      <c r="H46" s="162">
        <v>3627.3209999999999</v>
      </c>
      <c r="I46" s="162">
        <v>20.736609999999999</v>
      </c>
      <c r="J46" s="14"/>
      <c r="K46" s="14"/>
    </row>
    <row r="47" spans="5:18">
      <c r="E47" s="2"/>
      <c r="F47" s="154">
        <v>45673</v>
      </c>
      <c r="G47" s="162">
        <v>8891.5</v>
      </c>
      <c r="H47" s="162">
        <v>2673.962</v>
      </c>
      <c r="I47" s="162">
        <v>21.228860000000001</v>
      </c>
      <c r="J47" s="14"/>
      <c r="K47" s="14"/>
    </row>
    <row r="48" spans="5:18">
      <c r="E48" s="2"/>
      <c r="F48" s="154">
        <v>45674</v>
      </c>
      <c r="G48" s="162">
        <v>11388.5</v>
      </c>
      <c r="H48" s="162">
        <v>3652.819</v>
      </c>
      <c r="I48" s="162">
        <v>23.707820000000002</v>
      </c>
      <c r="J48" s="14"/>
      <c r="K48" s="14"/>
    </row>
    <row r="49" spans="5:11">
      <c r="E49" s="2"/>
      <c r="F49" s="154">
        <v>45675</v>
      </c>
      <c r="G49" s="162">
        <v>2636.75</v>
      </c>
      <c r="H49" s="162">
        <v>769.36180000000002</v>
      </c>
      <c r="I49" s="162">
        <v>33.545780000000001</v>
      </c>
      <c r="J49" s="14"/>
      <c r="K49" s="14"/>
    </row>
    <row r="50" spans="5:11">
      <c r="E50" s="2"/>
      <c r="F50" s="154">
        <v>45676</v>
      </c>
      <c r="G50" s="162">
        <v>6130.5</v>
      </c>
      <c r="H50" s="162">
        <v>1813.348</v>
      </c>
      <c r="I50" s="162">
        <v>35.764119999999998</v>
      </c>
      <c r="J50" s="14"/>
      <c r="K50" s="14"/>
    </row>
    <row r="51" spans="5:11">
      <c r="E51" s="2"/>
      <c r="F51" s="154">
        <v>45677</v>
      </c>
      <c r="G51" s="162">
        <v>340.5</v>
      </c>
      <c r="H51" s="162">
        <v>3221.9520000000002</v>
      </c>
      <c r="I51" s="162">
        <v>16.488309999999998</v>
      </c>
      <c r="J51" s="14"/>
      <c r="K51" s="14"/>
    </row>
    <row r="52" spans="5:11">
      <c r="E52" s="2"/>
      <c r="F52" s="154">
        <v>45678</v>
      </c>
      <c r="G52" s="162">
        <v>277.5</v>
      </c>
      <c r="H52" s="162">
        <v>2136.9639999999999</v>
      </c>
      <c r="I52" s="162">
        <v>9.7821189999999998</v>
      </c>
      <c r="J52" s="14"/>
      <c r="K52" s="14"/>
    </row>
    <row r="53" spans="5:11">
      <c r="E53" s="2"/>
      <c r="F53" s="154">
        <v>45679</v>
      </c>
      <c r="G53" s="162">
        <v>421.5</v>
      </c>
      <c r="H53" s="162">
        <v>3864.71</v>
      </c>
      <c r="I53" s="162">
        <v>8.3025990000000007</v>
      </c>
      <c r="J53" s="14"/>
      <c r="K53" s="14"/>
    </row>
    <row r="54" spans="5:11">
      <c r="E54" s="2"/>
      <c r="F54" s="154">
        <v>45680</v>
      </c>
      <c r="G54" s="162">
        <v>405</v>
      </c>
      <c r="H54" s="162">
        <v>3263.3679999999999</v>
      </c>
      <c r="I54" s="162">
        <v>15.649520000000001</v>
      </c>
      <c r="J54" s="14"/>
      <c r="K54" s="14"/>
    </row>
    <row r="55" spans="5:11">
      <c r="E55" s="2"/>
      <c r="F55" s="154">
        <v>45681</v>
      </c>
      <c r="G55" s="162">
        <v>607.75</v>
      </c>
      <c r="H55" s="162">
        <v>3890.7530000000002</v>
      </c>
      <c r="I55" s="162">
        <v>18.657540000000001</v>
      </c>
      <c r="J55" s="14"/>
      <c r="K55" s="14"/>
    </row>
    <row r="56" spans="5:11">
      <c r="E56" s="2"/>
      <c r="F56" s="154">
        <v>45682</v>
      </c>
      <c r="G56" s="162">
        <v>999.25</v>
      </c>
      <c r="H56" s="162">
        <v>3868.4580000000001</v>
      </c>
      <c r="I56" s="162">
        <v>19.270050000000001</v>
      </c>
      <c r="J56" s="14"/>
      <c r="K56" s="14"/>
    </row>
    <row r="57" spans="5:11">
      <c r="E57" s="2"/>
      <c r="F57" s="154">
        <v>45683</v>
      </c>
      <c r="G57" s="162">
        <v>3556.25</v>
      </c>
      <c r="H57" s="162">
        <v>2960.0720000000001</v>
      </c>
      <c r="I57" s="162">
        <v>28.162949999999999</v>
      </c>
      <c r="J57" s="14"/>
      <c r="K57" s="14"/>
    </row>
    <row r="58" spans="5:11">
      <c r="E58" s="2"/>
      <c r="F58" s="154">
        <v>45684</v>
      </c>
      <c r="G58" s="162">
        <v>12435</v>
      </c>
      <c r="H58" s="162">
        <v>4173.991</v>
      </c>
      <c r="I58" s="162">
        <v>26.874680000000001</v>
      </c>
      <c r="J58" s="14"/>
      <c r="K58" s="14"/>
    </row>
    <row r="59" spans="5:11">
      <c r="E59" s="2"/>
      <c r="F59" s="154">
        <v>45685</v>
      </c>
      <c r="G59" s="162">
        <v>10706</v>
      </c>
      <c r="H59" s="162">
        <v>3314.384</v>
      </c>
      <c r="I59" s="162">
        <v>29.850470000000001</v>
      </c>
      <c r="J59" s="14"/>
      <c r="K59" s="14"/>
    </row>
    <row r="60" spans="5:11">
      <c r="E60" s="2"/>
      <c r="F60" s="154">
        <v>45686</v>
      </c>
      <c r="G60" s="162">
        <v>10534.25</v>
      </c>
      <c r="H60" s="162">
        <v>3120.7060000000001</v>
      </c>
      <c r="I60" s="162">
        <v>33.317070000000001</v>
      </c>
      <c r="J60" s="14"/>
      <c r="K60" s="14"/>
    </row>
    <row r="61" spans="5:11">
      <c r="E61" s="2"/>
      <c r="F61" s="154">
        <v>45687</v>
      </c>
      <c r="G61" s="162">
        <v>13574.75</v>
      </c>
      <c r="H61" s="162">
        <v>4146.7929999999997</v>
      </c>
      <c r="I61" s="162">
        <v>21.27816</v>
      </c>
      <c r="J61" s="14"/>
      <c r="K61" s="14"/>
    </row>
    <row r="62" spans="5:11">
      <c r="E62" s="2"/>
      <c r="F62" s="154">
        <v>45688</v>
      </c>
      <c r="G62" s="162">
        <v>1185.5</v>
      </c>
      <c r="H62" s="162">
        <v>340.70170000000002</v>
      </c>
      <c r="I62" s="162">
        <v>34.249040000000001</v>
      </c>
      <c r="J62" s="14"/>
      <c r="K62" s="14"/>
    </row>
    <row r="63" spans="5:11">
      <c r="F63" s="152"/>
      <c r="G63" s="2"/>
      <c r="H63" s="2"/>
      <c r="I63" s="2"/>
    </row>
    <row r="64" spans="5:11">
      <c r="F64" s="139"/>
      <c r="G64" s="2"/>
      <c r="H64" s="2"/>
      <c r="I64" s="2"/>
    </row>
    <row r="65" spans="3:12">
      <c r="C65" s="186" t="s">
        <v>34</v>
      </c>
      <c r="D65" s="187"/>
      <c r="E65" s="187"/>
      <c r="F65" s="187"/>
      <c r="G65" s="187"/>
      <c r="H65" s="187"/>
      <c r="I65" s="187"/>
      <c r="J65" s="187"/>
      <c r="K65" s="187"/>
      <c r="L65" s="188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69" spans="3:12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>
      <c r="C70" s="186" t="s">
        <v>35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>
      <c r="C72" s="192"/>
      <c r="D72" s="193"/>
      <c r="E72" s="193"/>
      <c r="F72" s="193"/>
      <c r="G72" s="193"/>
      <c r="H72" s="193"/>
      <c r="I72" s="193"/>
      <c r="J72" s="193"/>
      <c r="K72" s="193"/>
      <c r="L72" s="194"/>
    </row>
    <row r="73" spans="3:12">
      <c r="C73" s="195"/>
      <c r="D73" s="196"/>
      <c r="E73" s="196"/>
      <c r="F73" s="196"/>
      <c r="G73" s="196"/>
      <c r="H73" s="196"/>
      <c r="I73" s="196"/>
      <c r="J73" s="196"/>
      <c r="K73" s="196"/>
      <c r="L73" s="197"/>
    </row>
    <row r="74" spans="3:12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topLeftCell="A31" zoomScale="80" zoomScaleNormal="80" workbookViewId="0">
      <selection activeCell="F32" sqref="F32:F62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01" t="s">
        <v>37</v>
      </c>
      <c r="F1" s="201"/>
      <c r="G1" s="201"/>
      <c r="H1" s="201"/>
      <c r="I1" s="201"/>
      <c r="J1" s="201"/>
    </row>
    <row r="2" spans="3:13">
      <c r="E2" s="202" t="s">
        <v>23</v>
      </c>
      <c r="F2" s="202"/>
      <c r="G2" s="202"/>
      <c r="H2" s="202"/>
      <c r="I2" s="202"/>
      <c r="J2" s="202"/>
    </row>
    <row r="3" spans="3:13" ht="14.25" customHeight="1">
      <c r="E3" s="179" t="s">
        <v>38</v>
      </c>
      <c r="F3" s="180"/>
      <c r="G3" s="180"/>
      <c r="H3" s="180"/>
      <c r="I3" s="180"/>
      <c r="J3" s="180"/>
    </row>
    <row r="5" spans="3:13">
      <c r="C5" s="203" t="s">
        <v>25</v>
      </c>
      <c r="D5" s="204"/>
      <c r="E5" s="204"/>
      <c r="F5" s="204"/>
      <c r="G5" s="204"/>
      <c r="H5" s="204"/>
      <c r="I5" s="204"/>
      <c r="J5" s="204"/>
      <c r="K5" s="204"/>
      <c r="L5" s="205"/>
    </row>
    <row r="6" spans="3:13">
      <c r="C6" s="107"/>
      <c r="D6" s="108"/>
      <c r="E6" s="206" t="s">
        <v>2</v>
      </c>
      <c r="F6" s="206"/>
      <c r="G6" s="206"/>
      <c r="H6" s="206"/>
      <c r="I6" s="206"/>
      <c r="J6" s="109">
        <f>SUM(G32:G62)</f>
        <v>359558</v>
      </c>
      <c r="K6" s="108"/>
      <c r="L6" s="110"/>
    </row>
    <row r="7" spans="3:13">
      <c r="C7" s="111"/>
      <c r="E7" s="200" t="s">
        <v>4</v>
      </c>
      <c r="F7" s="200"/>
      <c r="G7" s="200"/>
      <c r="H7" s="200"/>
      <c r="I7" s="200"/>
      <c r="J7" s="112">
        <f>'Predicted Data'!D29</f>
        <v>359065</v>
      </c>
      <c r="K7" s="113"/>
      <c r="L7" s="114"/>
    </row>
    <row r="8" spans="3:13" ht="16.149999999999999">
      <c r="C8" s="111"/>
      <c r="E8" s="200" t="s">
        <v>6</v>
      </c>
      <c r="F8" s="200"/>
      <c r="G8" s="200"/>
      <c r="H8" s="200"/>
      <c r="I8" s="200"/>
      <c r="J8" s="112">
        <f>SUM(H32:H62)</f>
        <v>118929.46198899999</v>
      </c>
      <c r="L8" s="114"/>
    </row>
    <row r="9" spans="3:13" ht="16.149999999999999">
      <c r="C9" s="111"/>
      <c r="E9" s="200" t="s">
        <v>8</v>
      </c>
      <c r="F9" s="200"/>
      <c r="G9" s="200"/>
      <c r="H9" s="200"/>
      <c r="I9" s="200"/>
      <c r="J9" s="115"/>
      <c r="K9" s="113"/>
      <c r="L9" s="114"/>
    </row>
    <row r="10" spans="3:13">
      <c r="C10" s="111"/>
      <c r="E10" s="200" t="s">
        <v>10</v>
      </c>
      <c r="F10" s="200"/>
      <c r="G10" s="200"/>
      <c r="H10" s="200"/>
      <c r="I10" s="200"/>
      <c r="J10" s="116">
        <f>'Plant Health'!K97</f>
        <v>330650.56599999988</v>
      </c>
      <c r="L10" s="114"/>
    </row>
    <row r="11" spans="3:13">
      <c r="C11" s="111"/>
      <c r="E11" s="200" t="s">
        <v>12</v>
      </c>
      <c r="F11" s="200"/>
      <c r="G11" s="200"/>
      <c r="H11" s="200"/>
      <c r="I11" s="200"/>
      <c r="J11" s="117">
        <f>J6/J10</f>
        <v>1.0874259323058293</v>
      </c>
      <c r="L11" s="114"/>
      <c r="M11" s="118"/>
    </row>
    <row r="12" spans="3:13">
      <c r="C12" s="111"/>
      <c r="E12" s="200" t="s">
        <v>16</v>
      </c>
      <c r="F12" s="200"/>
      <c r="G12" s="200"/>
      <c r="H12" s="200"/>
      <c r="I12" s="200"/>
      <c r="J12" s="117">
        <f>J6/J7</f>
        <v>1.0013730104577165</v>
      </c>
      <c r="L12" s="114"/>
    </row>
    <row r="13" spans="3:13">
      <c r="C13" s="111"/>
      <c r="E13" s="200" t="s">
        <v>18</v>
      </c>
      <c r="F13" s="200"/>
      <c r="G13" s="200"/>
      <c r="H13" s="200"/>
      <c r="I13" s="200"/>
      <c r="J13" s="117">
        <f>Availability!K38</f>
        <v>0.99429999999999996</v>
      </c>
      <c r="L13" s="114"/>
    </row>
    <row r="14" spans="3:13">
      <c r="C14" s="119"/>
      <c r="D14" s="120"/>
      <c r="E14" s="216" t="s">
        <v>20</v>
      </c>
      <c r="F14" s="216"/>
      <c r="G14" s="216"/>
      <c r="H14" s="216"/>
      <c r="I14" s="216"/>
      <c r="J14" s="121">
        <f>Availability!K50</f>
        <v>0.99429999999999996</v>
      </c>
      <c r="K14" s="120"/>
      <c r="L14" s="122"/>
    </row>
    <row r="16" spans="3:13">
      <c r="C16" s="203" t="s">
        <v>27</v>
      </c>
      <c r="D16" s="204"/>
      <c r="E16" s="204"/>
      <c r="F16" s="204"/>
      <c r="G16" s="204"/>
      <c r="H16" s="204"/>
      <c r="I16" s="204"/>
      <c r="J16" s="204"/>
      <c r="K16" s="204"/>
      <c r="L16" s="205"/>
    </row>
    <row r="30" spans="5:12">
      <c r="E30" s="123"/>
      <c r="F30" s="217" t="s">
        <v>28</v>
      </c>
      <c r="G30" s="217"/>
      <c r="H30" s="217"/>
      <c r="I30" s="217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45658</v>
      </c>
      <c r="G32" s="162">
        <v>12755</v>
      </c>
      <c r="H32" s="162">
        <v>4754.4780000000001</v>
      </c>
      <c r="I32" s="162">
        <v>39.762979999999999</v>
      </c>
      <c r="K32" s="127"/>
    </row>
    <row r="33" spans="6:11">
      <c r="F33" s="140">
        <v>45659</v>
      </c>
      <c r="G33" s="162">
        <v>12209</v>
      </c>
      <c r="H33" s="162">
        <v>4259.4679999999998</v>
      </c>
      <c r="I33" s="162">
        <v>44.949869999999997</v>
      </c>
      <c r="K33" s="127"/>
    </row>
    <row r="34" spans="6:11">
      <c r="F34" s="140">
        <v>45660</v>
      </c>
      <c r="G34" s="162">
        <v>12754</v>
      </c>
      <c r="H34" s="162">
        <v>4186.6959999999999</v>
      </c>
      <c r="I34" s="162">
        <v>49.940080000000002</v>
      </c>
      <c r="K34" s="127"/>
    </row>
    <row r="35" spans="6:11">
      <c r="F35" s="140">
        <v>45661</v>
      </c>
      <c r="G35" s="162">
        <v>3252</v>
      </c>
      <c r="H35" s="162">
        <v>728.66210000000001</v>
      </c>
      <c r="I35" s="162">
        <v>60.154769999999999</v>
      </c>
      <c r="K35" s="127"/>
    </row>
    <row r="36" spans="6:11">
      <c r="F36" s="140">
        <v>45662</v>
      </c>
      <c r="G36" s="162">
        <v>13968</v>
      </c>
      <c r="H36" s="162">
        <v>4855.0079999999998</v>
      </c>
      <c r="I36" s="162">
        <v>44.463039999999999</v>
      </c>
      <c r="K36" s="127"/>
    </row>
    <row r="37" spans="6:11">
      <c r="F37" s="140">
        <v>45663</v>
      </c>
      <c r="G37" s="162">
        <v>15114</v>
      </c>
      <c r="H37" s="162">
        <v>5104.3100000000004</v>
      </c>
      <c r="I37" s="162">
        <v>28.41995</v>
      </c>
      <c r="K37" s="127"/>
    </row>
    <row r="38" spans="6:11">
      <c r="F38" s="140">
        <v>45664</v>
      </c>
      <c r="G38" s="162">
        <v>12421</v>
      </c>
      <c r="H38" s="162">
        <v>4090.6689999999999</v>
      </c>
      <c r="I38" s="162">
        <v>30.09037</v>
      </c>
      <c r="K38" s="127"/>
    </row>
    <row r="39" spans="6:11">
      <c r="F39" s="140">
        <v>45665</v>
      </c>
      <c r="G39" s="162">
        <v>10363</v>
      </c>
      <c r="H39" s="162">
        <v>3393.326</v>
      </c>
      <c r="I39" s="162">
        <v>30.88317</v>
      </c>
      <c r="K39" s="127"/>
    </row>
    <row r="40" spans="6:11">
      <c r="F40" s="140">
        <v>45666</v>
      </c>
      <c r="G40" s="162">
        <v>254</v>
      </c>
      <c r="H40" s="162">
        <v>-5.1894210000000003</v>
      </c>
      <c r="I40" s="162">
        <v>33.465069999999997</v>
      </c>
      <c r="K40" s="127"/>
    </row>
    <row r="41" spans="6:11">
      <c r="F41" s="140">
        <v>45667</v>
      </c>
      <c r="G41" s="162">
        <v>5165</v>
      </c>
      <c r="H41" s="162">
        <v>1905.492</v>
      </c>
      <c r="I41" s="162">
        <v>32.203040000000001</v>
      </c>
      <c r="K41" s="127"/>
    </row>
    <row r="42" spans="6:11">
      <c r="F42" s="140">
        <v>45668</v>
      </c>
      <c r="G42" s="162">
        <v>15948</v>
      </c>
      <c r="H42" s="162">
        <v>5293.6319999999996</v>
      </c>
      <c r="I42" s="162">
        <v>38.975960000000001</v>
      </c>
      <c r="K42" s="127"/>
    </row>
    <row r="43" spans="6:11">
      <c r="F43" s="140">
        <v>45669</v>
      </c>
      <c r="G43" s="162">
        <v>15278</v>
      </c>
      <c r="H43" s="162">
        <v>5024.4489999999996</v>
      </c>
      <c r="I43" s="162">
        <v>41.820070000000001</v>
      </c>
      <c r="K43" s="127"/>
    </row>
    <row r="44" spans="6:11">
      <c r="F44" s="140">
        <v>45670</v>
      </c>
      <c r="G44" s="162">
        <v>15525</v>
      </c>
      <c r="H44" s="162">
        <v>5110.9319999999998</v>
      </c>
      <c r="I44" s="162">
        <v>35.973080000000003</v>
      </c>
      <c r="K44" s="127"/>
    </row>
    <row r="45" spans="6:11">
      <c r="F45" s="140">
        <v>45671</v>
      </c>
      <c r="G45" s="162">
        <v>13007</v>
      </c>
      <c r="H45" s="162">
        <v>4506.3329999999996</v>
      </c>
      <c r="I45" s="162">
        <v>38.645530000000001</v>
      </c>
      <c r="K45" s="127"/>
    </row>
    <row r="46" spans="6:11">
      <c r="F46" s="140">
        <v>45672</v>
      </c>
      <c r="G46" s="162">
        <v>12369</v>
      </c>
      <c r="H46" s="162">
        <v>4103.5550000000003</v>
      </c>
      <c r="I46" s="162">
        <v>40.575650000000003</v>
      </c>
      <c r="K46" s="127"/>
    </row>
    <row r="47" spans="6:11">
      <c r="F47" s="140">
        <v>45673</v>
      </c>
      <c r="G47" s="162">
        <v>14223</v>
      </c>
      <c r="H47" s="162">
        <v>4867.0569999999998</v>
      </c>
      <c r="I47" s="162">
        <v>44.958570000000002</v>
      </c>
      <c r="K47" s="127"/>
    </row>
    <row r="48" spans="6:11">
      <c r="F48" s="140">
        <v>45674</v>
      </c>
      <c r="G48" s="162">
        <v>7047</v>
      </c>
      <c r="H48" s="162">
        <v>2091.9119999999998</v>
      </c>
      <c r="I48" s="162">
        <v>53.574979999999996</v>
      </c>
      <c r="K48" s="127"/>
    </row>
    <row r="49" spans="6:20">
      <c r="F49" s="140">
        <v>45675</v>
      </c>
      <c r="G49" s="162">
        <v>16211</v>
      </c>
      <c r="H49" s="162">
        <v>5329.5919999999996</v>
      </c>
      <c r="I49" s="162">
        <v>40.189340000000001</v>
      </c>
      <c r="K49" s="127"/>
    </row>
    <row r="50" spans="6:20">
      <c r="F50" s="140">
        <v>45676</v>
      </c>
      <c r="G50" s="162">
        <v>16728</v>
      </c>
      <c r="H50" s="162">
        <v>5535.7219999999998</v>
      </c>
      <c r="I50" s="162">
        <v>25.6204</v>
      </c>
      <c r="K50" s="127"/>
    </row>
    <row r="51" spans="6:20">
      <c r="F51" s="140">
        <v>45677</v>
      </c>
      <c r="G51" s="162">
        <v>6718</v>
      </c>
      <c r="H51" s="162">
        <v>1825.528</v>
      </c>
      <c r="I51" s="162">
        <v>28.79261</v>
      </c>
      <c r="K51" s="127"/>
    </row>
    <row r="52" spans="6:20">
      <c r="F52" s="140">
        <v>45678</v>
      </c>
      <c r="G52" s="162">
        <v>17298</v>
      </c>
      <c r="H52" s="162">
        <v>5726.7640000000001</v>
      </c>
      <c r="I52" s="162">
        <v>26.6876</v>
      </c>
      <c r="K52" s="127"/>
    </row>
    <row r="53" spans="6:20">
      <c r="F53" s="140">
        <v>45679</v>
      </c>
      <c r="G53" s="162">
        <v>16801</v>
      </c>
      <c r="H53" s="162">
        <v>5459.9160000000002</v>
      </c>
      <c r="I53" s="162">
        <v>33.558610000000002</v>
      </c>
      <c r="K53" s="127"/>
    </row>
    <row r="54" spans="6:20">
      <c r="F54" s="140">
        <v>45680</v>
      </c>
      <c r="G54" s="162">
        <v>13030</v>
      </c>
      <c r="H54" s="162">
        <v>5430.2380000000003</v>
      </c>
      <c r="I54" s="162">
        <v>34.976689999999998</v>
      </c>
      <c r="K54" s="127"/>
    </row>
    <row r="55" spans="6:20">
      <c r="F55" s="140">
        <v>45681</v>
      </c>
      <c r="G55" s="162">
        <v>17134</v>
      </c>
      <c r="H55" s="162">
        <v>5729.5460000000003</v>
      </c>
      <c r="I55" s="162">
        <v>41.247590000000002</v>
      </c>
      <c r="K55" s="127"/>
    </row>
    <row r="56" spans="6:20">
      <c r="F56" s="140">
        <v>45682</v>
      </c>
      <c r="G56" s="162">
        <v>14689</v>
      </c>
      <c r="H56" s="162">
        <v>4794.3029999999999</v>
      </c>
      <c r="I56" s="162">
        <v>48.67306</v>
      </c>
      <c r="K56" s="127"/>
    </row>
    <row r="57" spans="6:20">
      <c r="F57" s="140">
        <v>45683</v>
      </c>
      <c r="G57" s="162">
        <v>1106</v>
      </c>
      <c r="H57" s="162">
        <v>-47.791930000000001</v>
      </c>
      <c r="I57" s="162">
        <v>45.108530000000002</v>
      </c>
      <c r="K57" s="127"/>
    </row>
    <row r="58" spans="6:20">
      <c r="F58" s="140">
        <v>45684</v>
      </c>
      <c r="G58" s="162">
        <v>13750</v>
      </c>
      <c r="H58" s="162">
        <v>4374.2669999999998</v>
      </c>
      <c r="I58" s="162">
        <v>41.525649999999999</v>
      </c>
      <c r="K58" s="127"/>
      <c r="R58" s="112"/>
      <c r="S58" s="112"/>
      <c r="T58" s="112"/>
    </row>
    <row r="59" spans="6:20">
      <c r="F59" s="140">
        <v>45685</v>
      </c>
      <c r="G59" s="162">
        <v>3949</v>
      </c>
      <c r="H59" s="162">
        <v>774.76840000000004</v>
      </c>
      <c r="I59" s="162">
        <v>53.940240000000003</v>
      </c>
      <c r="K59" s="127"/>
    </row>
    <row r="60" spans="6:20">
      <c r="F60" s="140">
        <v>45686</v>
      </c>
      <c r="G60" s="162">
        <v>1512</v>
      </c>
      <c r="H60" s="162">
        <v>-14.408160000000001</v>
      </c>
      <c r="I60" s="162">
        <v>56.506250000000001</v>
      </c>
      <c r="K60" s="127"/>
      <c r="R60" s="112"/>
      <c r="S60" s="112"/>
      <c r="T60" s="112"/>
    </row>
    <row r="61" spans="6:20">
      <c r="F61" s="140">
        <v>45687</v>
      </c>
      <c r="G61" s="162">
        <v>12306</v>
      </c>
      <c r="H61" s="162">
        <v>3899.03</v>
      </c>
      <c r="I61" s="162">
        <v>59.332270000000001</v>
      </c>
      <c r="K61" s="127"/>
    </row>
    <row r="62" spans="6:20">
      <c r="F62" s="140">
        <v>45688</v>
      </c>
      <c r="G62" s="162">
        <v>16674</v>
      </c>
      <c r="H62" s="162">
        <v>5841.1980000000003</v>
      </c>
      <c r="I62" s="162">
        <v>52.664960000000001</v>
      </c>
      <c r="K62" s="127"/>
    </row>
    <row r="63" spans="6:20">
      <c r="F63" s="152"/>
      <c r="G63" s="150"/>
      <c r="H63" s="150"/>
      <c r="I63" s="150"/>
    </row>
    <row r="64" spans="6:20">
      <c r="F64" s="153"/>
      <c r="G64" s="128"/>
    </row>
    <row r="65" spans="3:12">
      <c r="C65" s="203" t="s">
        <v>34</v>
      </c>
      <c r="D65" s="204"/>
      <c r="E65" s="204"/>
      <c r="F65" s="204"/>
      <c r="G65" s="204"/>
      <c r="H65" s="204"/>
      <c r="I65" s="204"/>
      <c r="J65" s="204"/>
      <c r="K65" s="204"/>
      <c r="L65" s="205"/>
    </row>
    <row r="66" spans="3:12" ht="15" customHeight="1">
      <c r="C66" s="207"/>
      <c r="D66" s="208"/>
      <c r="E66" s="208"/>
      <c r="F66" s="208"/>
      <c r="G66" s="208"/>
      <c r="H66" s="208"/>
      <c r="I66" s="208"/>
      <c r="J66" s="208"/>
      <c r="K66" s="208"/>
      <c r="L66" s="209"/>
    </row>
    <row r="67" spans="3:12">
      <c r="C67" s="210"/>
      <c r="D67" s="211"/>
      <c r="E67" s="211"/>
      <c r="F67" s="211"/>
      <c r="G67" s="211"/>
      <c r="H67" s="211"/>
      <c r="I67" s="211"/>
      <c r="J67" s="211"/>
      <c r="K67" s="211"/>
      <c r="L67" s="212"/>
    </row>
    <row r="68" spans="3:12">
      <c r="C68" s="213"/>
      <c r="D68" s="214"/>
      <c r="E68" s="214"/>
      <c r="F68" s="214"/>
      <c r="G68" s="214"/>
      <c r="H68" s="214"/>
      <c r="I68" s="214"/>
      <c r="J68" s="214"/>
      <c r="K68" s="214"/>
      <c r="L68" s="215"/>
    </row>
    <row r="70" spans="3:12">
      <c r="C70" s="218" t="s">
        <v>35</v>
      </c>
      <c r="D70" s="219"/>
      <c r="E70" s="219"/>
      <c r="F70" s="219"/>
      <c r="G70" s="219"/>
      <c r="H70" s="219"/>
      <c r="I70" s="219"/>
      <c r="J70" s="219"/>
      <c r="K70" s="219"/>
      <c r="L70" s="220"/>
    </row>
    <row r="71" spans="3:12" ht="14.85" customHeight="1">
      <c r="C71" s="207"/>
      <c r="D71" s="208"/>
      <c r="E71" s="208"/>
      <c r="F71" s="208"/>
      <c r="G71" s="208"/>
      <c r="H71" s="208"/>
      <c r="I71" s="208"/>
      <c r="J71" s="208"/>
      <c r="K71" s="208"/>
      <c r="L71" s="209"/>
    </row>
    <row r="72" spans="3:12">
      <c r="C72" s="210"/>
      <c r="D72" s="211"/>
      <c r="E72" s="211"/>
      <c r="F72" s="211"/>
      <c r="G72" s="211"/>
      <c r="H72" s="211"/>
      <c r="I72" s="211"/>
      <c r="J72" s="211"/>
      <c r="K72" s="211"/>
      <c r="L72" s="212"/>
    </row>
    <row r="73" spans="3:12">
      <c r="C73" s="213"/>
      <c r="D73" s="214"/>
      <c r="E73" s="214"/>
      <c r="F73" s="214"/>
      <c r="G73" s="214"/>
      <c r="H73" s="214"/>
      <c r="I73" s="214"/>
      <c r="J73" s="214"/>
      <c r="K73" s="214"/>
      <c r="L73" s="215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zoomScaleNormal="100" workbookViewId="0">
      <selection activeCell="G59" sqref="G59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4" t="s">
        <v>39</v>
      </c>
      <c r="D4" s="225"/>
      <c r="E4" s="226"/>
      <c r="G4" s="224" t="s">
        <v>40</v>
      </c>
      <c r="H4" s="225"/>
      <c r="I4" s="226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4" t="s">
        <v>54</v>
      </c>
      <c r="D20" s="225"/>
      <c r="E20" s="226"/>
      <c r="G20" s="221" t="s">
        <v>55</v>
      </c>
      <c r="H20" s="227"/>
      <c r="I20" s="222"/>
      <c r="K20" s="221" t="s">
        <v>55</v>
      </c>
      <c r="L20" s="222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37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6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6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2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23" t="s">
        <v>57</v>
      </c>
      <c r="D36" s="223"/>
      <c r="E36" s="223"/>
      <c r="F36" s="223"/>
      <c r="H36" s="223" t="s">
        <v>58</v>
      </c>
      <c r="I36" s="223"/>
      <c r="J36" s="223"/>
      <c r="K36" s="223"/>
    </row>
    <row r="37" spans="3:12">
      <c r="C37" s="1"/>
      <c r="D37" s="42" t="s">
        <v>36</v>
      </c>
      <c r="E37" s="42" t="s">
        <v>22</v>
      </c>
      <c r="F37" s="42" t="s">
        <v>37</v>
      </c>
      <c r="H37" s="1"/>
      <c r="I37" s="42" t="s">
        <v>36</v>
      </c>
      <c r="J37" s="42" t="s">
        <v>22</v>
      </c>
      <c r="K37" s="42" t="s">
        <v>37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  <c r="H38" s="43" t="s">
        <v>41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  <c r="H39" s="43" t="s">
        <v>42</v>
      </c>
      <c r="I39" s="62"/>
      <c r="J39" s="62"/>
      <c r="K39" s="62"/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  <c r="H40" s="43" t="s">
        <v>43</v>
      </c>
      <c r="I40" s="62"/>
      <c r="J40" s="62"/>
      <c r="K40" s="62"/>
    </row>
    <row r="41" spans="3:12">
      <c r="C41" s="43" t="s">
        <v>44</v>
      </c>
      <c r="D41" s="62">
        <v>1</v>
      </c>
      <c r="E41" s="62">
        <v>1</v>
      </c>
      <c r="F41" s="62">
        <v>1</v>
      </c>
      <c r="H41" s="43" t="s">
        <v>44</v>
      </c>
      <c r="I41" s="62"/>
      <c r="J41" s="62"/>
      <c r="K41" s="62"/>
    </row>
    <row r="42" spans="3:12">
      <c r="C42" s="43" t="s">
        <v>45</v>
      </c>
      <c r="D42" s="62">
        <v>1</v>
      </c>
      <c r="E42" s="62">
        <v>1</v>
      </c>
      <c r="F42" s="62">
        <v>1</v>
      </c>
      <c r="H42" s="43" t="s">
        <v>45</v>
      </c>
      <c r="I42" s="62"/>
      <c r="J42" s="62"/>
      <c r="K42" s="62"/>
    </row>
    <row r="43" spans="3:12">
      <c r="C43" s="43" t="s">
        <v>46</v>
      </c>
      <c r="D43" s="62">
        <v>1</v>
      </c>
      <c r="E43" s="62">
        <v>1</v>
      </c>
      <c r="F43" s="62">
        <v>1</v>
      </c>
      <c r="H43" s="43" t="s">
        <v>46</v>
      </c>
      <c r="I43" s="62"/>
      <c r="J43" s="62"/>
      <c r="K43" s="62"/>
    </row>
    <row r="44" spans="3:12">
      <c r="C44" s="43" t="s">
        <v>47</v>
      </c>
      <c r="D44" s="62">
        <v>1</v>
      </c>
      <c r="E44" s="149">
        <v>1</v>
      </c>
      <c r="F44" s="62">
        <v>1</v>
      </c>
      <c r="H44" s="43" t="s">
        <v>47</v>
      </c>
      <c r="I44" s="62"/>
      <c r="J44" s="149"/>
      <c r="K44" s="62"/>
    </row>
    <row r="45" spans="3:12">
      <c r="C45" s="43" t="s">
        <v>48</v>
      </c>
      <c r="D45" s="62">
        <v>0.98780000000000001</v>
      </c>
      <c r="E45" s="149">
        <v>1</v>
      </c>
      <c r="F45" s="62">
        <v>1</v>
      </c>
      <c r="H45" s="43" t="s">
        <v>48</v>
      </c>
      <c r="I45" s="62"/>
      <c r="J45" s="149"/>
      <c r="K45" s="62"/>
    </row>
    <row r="46" spans="3:12">
      <c r="C46" s="43" t="s">
        <v>49</v>
      </c>
      <c r="D46" s="62">
        <v>1</v>
      </c>
      <c r="E46" s="149">
        <v>1</v>
      </c>
      <c r="F46" s="62">
        <v>1</v>
      </c>
      <c r="H46" s="43" t="s">
        <v>49</v>
      </c>
      <c r="I46" s="62"/>
      <c r="J46" s="149"/>
      <c r="K46" s="62"/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  <c r="H47" s="43" t="s">
        <v>50</v>
      </c>
      <c r="I47" s="62"/>
      <c r="J47" s="62"/>
      <c r="K47" s="62"/>
    </row>
    <row r="48" spans="3:12">
      <c r="C48" s="43" t="s">
        <v>51</v>
      </c>
      <c r="D48" s="62">
        <v>1</v>
      </c>
      <c r="E48" s="46">
        <v>1</v>
      </c>
      <c r="F48" s="62">
        <v>0.99109999999999998</v>
      </c>
      <c r="H48" s="43" t="s">
        <v>51</v>
      </c>
      <c r="I48" s="62"/>
      <c r="J48" s="46"/>
      <c r="K48" s="62"/>
    </row>
    <row r="49" spans="3:11">
      <c r="C49" s="43" t="s">
        <v>52</v>
      </c>
      <c r="D49" s="46">
        <v>0.99750000000000005</v>
      </c>
      <c r="E49" s="46">
        <v>1</v>
      </c>
      <c r="F49" s="46">
        <v>1</v>
      </c>
      <c r="H49" s="43" t="s">
        <v>52</v>
      </c>
      <c r="I49" s="46"/>
      <c r="J49" s="46"/>
      <c r="K49" s="46"/>
    </row>
    <row r="50" spans="3:11">
      <c r="C50" s="56" t="s">
        <v>53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53</v>
      </c>
      <c r="I50" s="52">
        <f>AVERAGE(I38:I49)</f>
        <v>0.99419999999999997</v>
      </c>
      <c r="J50" s="52">
        <f>AVERAGE(J38:J49)</f>
        <v>0.99180000000000001</v>
      </c>
      <c r="K50" s="52">
        <f>AVERAGE(K38:K49)</f>
        <v>0.99429999999999996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71" zoomScaleNormal="100" workbookViewId="0">
      <selection activeCell="Q60" sqref="Q60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8" t="s">
        <v>59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6">
      <c r="C5" s="42"/>
      <c r="D5" s="234" t="s">
        <v>36</v>
      </c>
      <c r="E5" s="235"/>
      <c r="F5" s="236"/>
      <c r="G5" s="234" t="s">
        <v>22</v>
      </c>
      <c r="H5" s="235"/>
      <c r="I5" s="236"/>
      <c r="J5" s="231" t="s">
        <v>60</v>
      </c>
      <c r="K5" s="232"/>
      <c r="L5" s="233"/>
    </row>
    <row r="6" spans="3:12">
      <c r="C6" s="42"/>
      <c r="D6" s="42" t="s">
        <v>61</v>
      </c>
      <c r="E6" s="42" t="s">
        <v>62</v>
      </c>
      <c r="F6" s="42" t="s">
        <v>63</v>
      </c>
      <c r="G6" s="42" t="s">
        <v>61</v>
      </c>
      <c r="H6" s="42" t="s">
        <v>62</v>
      </c>
      <c r="I6" s="42" t="s">
        <v>63</v>
      </c>
      <c r="J6" s="49" t="s">
        <v>61</v>
      </c>
      <c r="K6" s="49" t="s">
        <v>62</v>
      </c>
      <c r="L6" s="49" t="s">
        <v>63</v>
      </c>
    </row>
    <row r="7" spans="3:12">
      <c r="C7" s="47" t="s">
        <v>41</v>
      </c>
      <c r="D7" s="86" t="s">
        <v>64</v>
      </c>
      <c r="E7" s="86" t="s">
        <v>64</v>
      </c>
      <c r="F7" s="86" t="s">
        <v>64</v>
      </c>
      <c r="G7" s="86" t="s">
        <v>64</v>
      </c>
      <c r="H7" s="86" t="s">
        <v>64</v>
      </c>
      <c r="I7" s="86" t="s">
        <v>64</v>
      </c>
      <c r="J7" s="86" t="s">
        <v>64</v>
      </c>
      <c r="K7" s="86" t="s">
        <v>64</v>
      </c>
      <c r="L7" s="86" t="s">
        <v>64</v>
      </c>
    </row>
    <row r="8" spans="3:12">
      <c r="C8" s="47" t="s">
        <v>42</v>
      </c>
      <c r="D8" s="86" t="s">
        <v>64</v>
      </c>
      <c r="E8" s="86" t="s">
        <v>64</v>
      </c>
      <c r="F8" s="86" t="s">
        <v>64</v>
      </c>
      <c r="G8" s="86" t="s">
        <v>64</v>
      </c>
      <c r="H8" s="86" t="s">
        <v>64</v>
      </c>
      <c r="I8" s="86" t="s">
        <v>64</v>
      </c>
      <c r="J8" s="86" t="s">
        <v>64</v>
      </c>
      <c r="K8" s="86" t="s">
        <v>64</v>
      </c>
      <c r="L8" s="86" t="s">
        <v>64</v>
      </c>
    </row>
    <row r="9" spans="3:12">
      <c r="C9" s="47" t="s">
        <v>43</v>
      </c>
      <c r="D9" s="86" t="s">
        <v>64</v>
      </c>
      <c r="E9" s="86" t="s">
        <v>64</v>
      </c>
      <c r="F9" s="86" t="s">
        <v>64</v>
      </c>
      <c r="G9" s="86" t="s">
        <v>64</v>
      </c>
      <c r="H9" s="86" t="s">
        <v>64</v>
      </c>
      <c r="I9" s="86" t="s">
        <v>64</v>
      </c>
      <c r="J9" s="86" t="s">
        <v>64</v>
      </c>
      <c r="K9" s="86" t="s">
        <v>64</v>
      </c>
      <c r="L9" s="86" t="s">
        <v>64</v>
      </c>
    </row>
    <row r="10" spans="3:12">
      <c r="C10" s="47" t="s">
        <v>44</v>
      </c>
      <c r="D10" s="86" t="s">
        <v>64</v>
      </c>
      <c r="E10" s="86" t="s">
        <v>64</v>
      </c>
      <c r="F10" s="86" t="s">
        <v>64</v>
      </c>
      <c r="G10" s="86" t="s">
        <v>64</v>
      </c>
      <c r="H10" s="86" t="s">
        <v>64</v>
      </c>
      <c r="I10" s="86" t="s">
        <v>64</v>
      </c>
      <c r="J10" s="86" t="s">
        <v>64</v>
      </c>
      <c r="K10" s="86" t="s">
        <v>64</v>
      </c>
      <c r="L10" s="86" t="s">
        <v>64</v>
      </c>
    </row>
    <row r="11" spans="3:12">
      <c r="C11" s="47" t="s">
        <v>45</v>
      </c>
      <c r="D11" s="86" t="s">
        <v>64</v>
      </c>
      <c r="E11" s="86" t="s">
        <v>64</v>
      </c>
      <c r="F11" s="86" t="s">
        <v>64</v>
      </c>
      <c r="G11" s="86" t="s">
        <v>64</v>
      </c>
      <c r="H11" s="86" t="s">
        <v>64</v>
      </c>
      <c r="I11" s="86" t="s">
        <v>64</v>
      </c>
      <c r="J11" s="86" t="s">
        <v>64</v>
      </c>
      <c r="K11" s="86" t="s">
        <v>64</v>
      </c>
      <c r="L11" s="86" t="s">
        <v>64</v>
      </c>
    </row>
    <row r="12" spans="3:12">
      <c r="C12" s="47" t="s">
        <v>46</v>
      </c>
      <c r="D12" s="86" t="s">
        <v>64</v>
      </c>
      <c r="E12" s="86" t="s">
        <v>64</v>
      </c>
      <c r="F12" s="86" t="s">
        <v>64</v>
      </c>
      <c r="G12" s="86" t="s">
        <v>64</v>
      </c>
      <c r="H12" s="86" t="s">
        <v>64</v>
      </c>
      <c r="I12" s="86" t="s">
        <v>64</v>
      </c>
      <c r="J12" s="86" t="s">
        <v>64</v>
      </c>
      <c r="K12" s="86" t="s">
        <v>64</v>
      </c>
      <c r="L12" s="86" t="s">
        <v>64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64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64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65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8" t="s">
        <v>66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6">
      <c r="C23" s="42"/>
      <c r="D23" s="234" t="s">
        <v>36</v>
      </c>
      <c r="E23" s="235"/>
      <c r="F23" s="236"/>
      <c r="G23" s="234" t="s">
        <v>22</v>
      </c>
      <c r="H23" s="235"/>
      <c r="I23" s="236"/>
      <c r="J23" s="231" t="s">
        <v>60</v>
      </c>
      <c r="K23" s="232"/>
      <c r="L23" s="233"/>
    </row>
    <row r="24" spans="3:12">
      <c r="C24" s="42"/>
      <c r="D24" s="42" t="s">
        <v>61</v>
      </c>
      <c r="E24" s="42" t="s">
        <v>62</v>
      </c>
      <c r="F24" s="42" t="s">
        <v>63</v>
      </c>
      <c r="G24" s="42" t="s">
        <v>61</v>
      </c>
      <c r="H24" s="42" t="s">
        <v>62</v>
      </c>
      <c r="I24" s="42" t="s">
        <v>63</v>
      </c>
      <c r="J24" s="49" t="s">
        <v>61</v>
      </c>
      <c r="K24" s="49" t="s">
        <v>62</v>
      </c>
      <c r="L24" s="49" t="s">
        <v>63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65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8" t="s">
        <v>67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6">
      <c r="C41" s="42"/>
      <c r="D41" s="234" t="s">
        <v>36</v>
      </c>
      <c r="E41" s="235"/>
      <c r="F41" s="236"/>
      <c r="G41" s="234" t="s">
        <v>22</v>
      </c>
      <c r="H41" s="235"/>
      <c r="I41" s="236"/>
      <c r="J41" s="231" t="s">
        <v>60</v>
      </c>
      <c r="K41" s="232"/>
      <c r="L41" s="233"/>
    </row>
    <row r="42" spans="3:43">
      <c r="C42" s="42"/>
      <c r="D42" s="42" t="s">
        <v>61</v>
      </c>
      <c r="E42" s="42" t="s">
        <v>62</v>
      </c>
      <c r="F42" s="42" t="s">
        <v>63</v>
      </c>
      <c r="G42" s="42" t="s">
        <v>61</v>
      </c>
      <c r="H42" s="42" t="s">
        <v>62</v>
      </c>
      <c r="I42" s="42" t="s">
        <v>63</v>
      </c>
      <c r="J42" s="49" t="s">
        <v>61</v>
      </c>
      <c r="K42" s="49" t="s">
        <v>62</v>
      </c>
      <c r="L42" s="49" t="s">
        <v>63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7"/>
      <c r="AO49" s="237"/>
      <c r="AP49" s="237"/>
      <c r="AQ49" s="237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8"/>
      <c r="AP50" s="238"/>
      <c r="AQ50" s="238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65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8" t="s">
        <v>68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31" t="s">
        <v>36</v>
      </c>
      <c r="E59" s="232"/>
      <c r="F59" s="233"/>
      <c r="G59" s="231" t="s">
        <v>22</v>
      </c>
      <c r="H59" s="232"/>
      <c r="I59" s="233"/>
      <c r="J59" s="231" t="s">
        <v>37</v>
      </c>
      <c r="K59" s="232"/>
      <c r="L59" s="233"/>
      <c r="M59" s="231" t="s">
        <v>60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61</v>
      </c>
      <c r="E60" s="42" t="s">
        <v>62</v>
      </c>
      <c r="F60" s="42" t="s">
        <v>63</v>
      </c>
      <c r="G60" s="42" t="s">
        <v>61</v>
      </c>
      <c r="H60" s="42" t="s">
        <v>62</v>
      </c>
      <c r="I60" s="42" t="s">
        <v>63</v>
      </c>
      <c r="J60" s="42" t="s">
        <v>61</v>
      </c>
      <c r="K60" s="42" t="s">
        <v>62</v>
      </c>
      <c r="L60" s="42" t="s">
        <v>63</v>
      </c>
      <c r="M60" s="49" t="s">
        <v>61</v>
      </c>
      <c r="N60" s="49" t="s">
        <v>62</v>
      </c>
      <c r="O60" s="49" t="s">
        <v>63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65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8" t="s">
        <v>69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6">
      <c r="C77" s="42"/>
      <c r="D77" s="231" t="s">
        <v>36</v>
      </c>
      <c r="E77" s="232"/>
      <c r="F77" s="233"/>
      <c r="G77" s="231" t="s">
        <v>22</v>
      </c>
      <c r="H77" s="232"/>
      <c r="I77" s="233"/>
      <c r="J77" s="231" t="s">
        <v>37</v>
      </c>
      <c r="K77" s="232"/>
      <c r="L77" s="233"/>
      <c r="M77" s="231" t="s">
        <v>60</v>
      </c>
      <c r="N77" s="232"/>
      <c r="O77" s="233"/>
    </row>
    <row r="78" spans="3:43">
      <c r="C78" s="42"/>
      <c r="D78" s="42" t="s">
        <v>61</v>
      </c>
      <c r="E78" s="42" t="s">
        <v>62</v>
      </c>
      <c r="F78" s="42" t="s">
        <v>63</v>
      </c>
      <c r="G78" s="42" t="s">
        <v>61</v>
      </c>
      <c r="H78" s="42" t="s">
        <v>62</v>
      </c>
      <c r="I78" s="42" t="s">
        <v>63</v>
      </c>
      <c r="J78" s="42" t="s">
        <v>61</v>
      </c>
      <c r="K78" s="42" t="s">
        <v>62</v>
      </c>
      <c r="L78" s="42" t="s">
        <v>63</v>
      </c>
      <c r="M78" s="49" t="s">
        <v>61</v>
      </c>
      <c r="N78" s="49" t="s">
        <v>62</v>
      </c>
      <c r="O78" s="49" t="s">
        <v>63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70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52</v>
      </c>
      <c r="D90" s="86">
        <f>Smithfield!J6</f>
        <v>194299.75</v>
      </c>
      <c r="E90" s="86">
        <v>200509</v>
      </c>
      <c r="F90" s="46">
        <f t="shared" si="29"/>
        <v>0.96903256212938071</v>
      </c>
      <c r="G90" s="86">
        <f>Merrimack!J6</f>
        <v>152720.45000000001</v>
      </c>
      <c r="H90" s="86">
        <v>186514</v>
      </c>
      <c r="I90" s="46">
        <f>G90/H90</f>
        <v>0.81881494150573153</v>
      </c>
      <c r="J90" s="86">
        <f>Westlake!J6</f>
        <v>359558</v>
      </c>
      <c r="K90" s="86">
        <v>250803</v>
      </c>
      <c r="L90" s="46">
        <f t="shared" si="31"/>
        <v>1.4336271894674306</v>
      </c>
      <c r="M90" s="50">
        <f t="shared" si="35"/>
        <v>706578.2</v>
      </c>
      <c r="N90" s="50">
        <f t="shared" si="34"/>
        <v>637826</v>
      </c>
      <c r="O90" s="51">
        <f t="shared" si="32"/>
        <v>1.1077914666382367</v>
      </c>
    </row>
    <row r="91" spans="3:16">
      <c r="C91" s="49" t="s">
        <v>65</v>
      </c>
      <c r="D91" s="53">
        <f>SUM(D79:D90)</f>
        <v>4458475.45</v>
      </c>
      <c r="E91" s="53">
        <f>SUM(E79:E90)</f>
        <v>4199996.8692999994</v>
      </c>
      <c r="F91" s="55">
        <f>D91/E91</f>
        <v>1.0615425650884069</v>
      </c>
      <c r="G91" s="53">
        <f>SUM(G79:G90)</f>
        <v>3512252.7949999999</v>
      </c>
      <c r="H91" s="53">
        <f>SUM(H79:H90)</f>
        <v>3528167.0586000006</v>
      </c>
      <c r="I91" s="55">
        <f t="shared" ref="I91" si="36">G91/H91</f>
        <v>0.99548936789679243</v>
      </c>
      <c r="J91" s="53">
        <f>SUM(J79:J90)</f>
        <v>5498696.0000000009</v>
      </c>
      <c r="K91" s="53">
        <f>SUM(K79:K90)</f>
        <v>5141104.1964999996</v>
      </c>
      <c r="L91" s="55">
        <f>J91/K91</f>
        <v>1.0695554475910924</v>
      </c>
      <c r="M91" s="54">
        <f t="shared" si="35"/>
        <v>13469424.245000001</v>
      </c>
      <c r="N91" s="54">
        <f t="shared" si="34"/>
        <v>12869268.124399999</v>
      </c>
      <c r="O91" s="55">
        <f t="shared" ref="O91" si="37">M91/N91</f>
        <v>1.0466348291758809</v>
      </c>
    </row>
    <row r="94" spans="3:16">
      <c r="C94" s="228" t="s">
        <v>69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6">
      <c r="C95" s="42"/>
      <c r="D95" s="231" t="s">
        <v>36</v>
      </c>
      <c r="E95" s="232"/>
      <c r="F95" s="233"/>
      <c r="G95" s="231" t="s">
        <v>22</v>
      </c>
      <c r="H95" s="232"/>
      <c r="I95" s="233"/>
      <c r="J95" s="231" t="s">
        <v>37</v>
      </c>
      <c r="K95" s="232"/>
      <c r="L95" s="233"/>
      <c r="M95" s="231" t="s">
        <v>60</v>
      </c>
      <c r="N95" s="232"/>
      <c r="O95" s="233"/>
    </row>
    <row r="96" spans="3:16">
      <c r="C96" s="42"/>
      <c r="D96" s="42" t="s">
        <v>61</v>
      </c>
      <c r="E96" s="42" t="s">
        <v>62</v>
      </c>
      <c r="F96" s="42" t="s">
        <v>63</v>
      </c>
      <c r="G96" s="42" t="s">
        <v>61</v>
      </c>
      <c r="H96" s="42" t="s">
        <v>62</v>
      </c>
      <c r="I96" s="42" t="s">
        <v>63</v>
      </c>
      <c r="J96" s="42" t="s">
        <v>61</v>
      </c>
      <c r="K96" s="42" t="s">
        <v>62</v>
      </c>
      <c r="L96" s="42" t="s">
        <v>63</v>
      </c>
      <c r="M96" s="49" t="s">
        <v>61</v>
      </c>
      <c r="N96" s="49" t="s">
        <v>62</v>
      </c>
      <c r="O96" s="49" t="s">
        <v>63</v>
      </c>
    </row>
    <row r="97" spans="3:15">
      <c r="C97" s="47" t="s">
        <v>41</v>
      </c>
      <c r="D97" s="48">
        <v>194299.75</v>
      </c>
      <c r="E97" s="48">
        <v>261206.57600000006</v>
      </c>
      <c r="F97" s="46">
        <f t="shared" ref="F97:F108" si="38">D97/E97</f>
        <v>0.74385474123744866</v>
      </c>
      <c r="G97" s="48">
        <v>152720.45000000001</v>
      </c>
      <c r="H97" s="48">
        <v>225291.31930000006</v>
      </c>
      <c r="I97" s="46">
        <f t="shared" ref="I97:I105" si="39">G97/H97</f>
        <v>0.67787986893820795</v>
      </c>
      <c r="J97" s="48">
        <v>359558</v>
      </c>
      <c r="K97" s="48">
        <v>330650.56599999988</v>
      </c>
      <c r="L97" s="46">
        <f t="shared" ref="L97:L108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>
      <c r="C98" s="47" t="s">
        <v>42</v>
      </c>
      <c r="D98" s="48"/>
      <c r="E98" s="48"/>
      <c r="F98" s="46"/>
      <c r="G98" s="48"/>
      <c r="H98" s="48"/>
      <c r="I98" s="46"/>
      <c r="J98" s="48"/>
      <c r="K98" s="48"/>
      <c r="L98" s="46"/>
      <c r="M98" s="50"/>
      <c r="N98" s="50"/>
      <c r="O98" s="51"/>
    </row>
    <row r="99" spans="3:15">
      <c r="C99" s="93" t="s">
        <v>43</v>
      </c>
      <c r="D99" s="92"/>
      <c r="E99" s="94"/>
      <c r="F99" s="46"/>
      <c r="G99" s="48"/>
      <c r="H99" s="48"/>
      <c r="I99" s="46"/>
      <c r="J99" s="48"/>
      <c r="K99" s="48"/>
      <c r="L99" s="46"/>
      <c r="M99" s="50"/>
      <c r="N99" s="50"/>
      <c r="O99" s="51"/>
    </row>
    <row r="100" spans="3:15">
      <c r="C100" s="47" t="s">
        <v>44</v>
      </c>
      <c r="D100" s="92"/>
      <c r="E100" s="48"/>
      <c r="F100" s="46"/>
      <c r="G100" s="103"/>
      <c r="H100" s="48"/>
      <c r="I100" s="46"/>
      <c r="J100" s="86"/>
      <c r="K100" s="48"/>
      <c r="L100" s="46"/>
      <c r="M100" s="50"/>
      <c r="N100" s="50"/>
      <c r="O100" s="51"/>
    </row>
    <row r="101" spans="3:15">
      <c r="C101" s="47" t="s">
        <v>45</v>
      </c>
      <c r="D101" s="105"/>
      <c r="E101" s="48"/>
      <c r="F101" s="46"/>
      <c r="G101" s="105"/>
      <c r="H101" s="48"/>
      <c r="I101" s="46"/>
      <c r="J101" s="48"/>
      <c r="K101" s="48"/>
      <c r="L101" s="46"/>
      <c r="M101" s="50"/>
      <c r="N101" s="50"/>
      <c r="O101" s="51"/>
    </row>
    <row r="102" spans="3:15">
      <c r="C102" s="47" t="s">
        <v>46</v>
      </c>
      <c r="D102" s="48"/>
      <c r="E102" s="48"/>
      <c r="F102" s="46"/>
      <c r="G102" s="48"/>
      <c r="H102" s="48"/>
      <c r="I102" s="46"/>
      <c r="J102" s="48"/>
      <c r="K102" s="48"/>
      <c r="L102" s="46"/>
      <c r="M102" s="50"/>
      <c r="N102" s="50"/>
      <c r="O102" s="51"/>
    </row>
    <row r="103" spans="3:15">
      <c r="C103" s="47" t="s">
        <v>47</v>
      </c>
      <c r="D103" s="48"/>
      <c r="E103" s="48"/>
      <c r="F103" s="46"/>
      <c r="G103" s="48"/>
      <c r="H103" s="48"/>
      <c r="I103" s="46"/>
      <c r="J103" s="48"/>
      <c r="K103" s="48"/>
      <c r="L103" s="46"/>
      <c r="M103" s="50"/>
      <c r="N103" s="50"/>
      <c r="O103" s="51"/>
    </row>
    <row r="104" spans="3:15">
      <c r="C104" s="47" t="s">
        <v>48</v>
      </c>
      <c r="D104" s="86"/>
      <c r="E104" s="86"/>
      <c r="F104" s="46"/>
      <c r="G104" s="86"/>
      <c r="H104" s="86"/>
      <c r="I104" s="46"/>
      <c r="J104" s="86"/>
      <c r="K104" s="86"/>
      <c r="L104" s="46"/>
      <c r="M104" s="50"/>
      <c r="N104" s="50"/>
      <c r="O104" s="51"/>
    </row>
    <row r="105" spans="3:15">
      <c r="C105" s="47" t="s">
        <v>49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>
      <c r="C106" s="47" t="s">
        <v>50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>
      <c r="C107" s="47" t="s">
        <v>51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>
      <c r="C108" s="47" t="s">
        <v>52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65</v>
      </c>
      <c r="D109" s="53">
        <f>SUM(D97:D108)</f>
        <v>194299.75</v>
      </c>
      <c r="E109" s="53">
        <f>SUM(E97:E108)</f>
        <v>261206.57600000006</v>
      </c>
      <c r="F109" s="55">
        <f>D109/E109</f>
        <v>0.74385474123744866</v>
      </c>
      <c r="G109" s="53">
        <f>SUM(G97:G108)</f>
        <v>152720.45000000001</v>
      </c>
      <c r="H109" s="53">
        <f>SUM(H97:H108)</f>
        <v>225291.31930000006</v>
      </c>
      <c r="I109" s="55">
        <f t="shared" ref="I109" si="42">G109/H109</f>
        <v>0.67787986893820795</v>
      </c>
      <c r="J109" s="53">
        <f>SUM(J97:J108)</f>
        <v>359558</v>
      </c>
      <c r="K109" s="53">
        <f>SUM(K97:K108)</f>
        <v>330650.56599999988</v>
      </c>
      <c r="L109" s="55">
        <f>J109/K109</f>
        <v>1.0874259323058293</v>
      </c>
      <c r="M109" s="54">
        <f t="shared" ref="M105:M109" si="43">SUM(D109,G109,J109)</f>
        <v>706578.2</v>
      </c>
      <c r="N109" s="54">
        <f t="shared" ref="N98:N109" si="44">SUM(E109,H109,K109)</f>
        <v>817148.46129999997</v>
      </c>
      <c r="O109" s="55">
        <f t="shared" si="41"/>
        <v>0.86468767116798584</v>
      </c>
    </row>
  </sheetData>
  <mergeCells count="29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C94:O94"/>
    <mergeCell ref="D95:F95"/>
    <mergeCell ref="G95:I95"/>
    <mergeCell ref="J95:L95"/>
    <mergeCell ref="M95:O9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workbookViewId="0">
      <selection activeCell="B17" sqref="B17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71</v>
      </c>
      <c r="B4" s="71" t="s">
        <v>72</v>
      </c>
      <c r="C4" s="71" t="s">
        <v>73</v>
      </c>
      <c r="D4" s="72" t="s">
        <v>4</v>
      </c>
      <c r="E4" s="73" t="s">
        <v>74</v>
      </c>
      <c r="F4" s="60"/>
      <c r="G4" s="60"/>
      <c r="H4" s="60"/>
    </row>
    <row r="5" spans="1:8">
      <c r="A5" s="1" t="s">
        <v>36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37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37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37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37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37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37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37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37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37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37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37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37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75</v>
      </c>
      <c r="B1" s="17" t="s">
        <v>76</v>
      </c>
      <c r="C1" s="17" t="s">
        <v>77</v>
      </c>
      <c r="D1" s="32"/>
      <c r="H1" s="178" t="s">
        <v>78</v>
      </c>
      <c r="I1" s="178"/>
      <c r="J1" s="178"/>
      <c r="K1" s="178"/>
      <c r="L1" s="178"/>
      <c r="M1" s="178"/>
      <c r="N1" s="178"/>
      <c r="O1" s="178"/>
      <c r="Q1" s="32" t="s">
        <v>79</v>
      </c>
    </row>
    <row r="2" spans="1:17">
      <c r="A2" s="33" t="s">
        <v>80</v>
      </c>
      <c r="B2" s="34" t="s">
        <v>81</v>
      </c>
      <c r="C2" s="34" t="s">
        <v>82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83</v>
      </c>
      <c r="F5" s="19"/>
      <c r="G5" t="s">
        <v>84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t="s">
        <v>85</v>
      </c>
      <c r="P1" t="s">
        <v>86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84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87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75</v>
      </c>
      <c r="B1" s="17" t="s">
        <v>76</v>
      </c>
      <c r="C1" s="17" t="s">
        <v>77</v>
      </c>
      <c r="G1" s="178" t="s">
        <v>88</v>
      </c>
      <c r="H1" s="178"/>
      <c r="I1" s="178"/>
      <c r="J1" s="178"/>
      <c r="K1" s="178"/>
      <c r="L1" s="178"/>
      <c r="M1" s="178"/>
      <c r="N1" s="178"/>
      <c r="P1" s="32" t="s">
        <v>89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84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90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s="178" t="s">
        <v>91</v>
      </c>
      <c r="H1" s="178"/>
      <c r="I1" s="178"/>
      <c r="J1" s="178"/>
      <c r="K1" s="178"/>
      <c r="L1" s="178"/>
      <c r="M1" s="178"/>
      <c r="N1" s="178"/>
      <c r="P1" s="32" t="s">
        <v>92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84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93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FB608-2C95-4CB3-B789-2A06D4831A94}"/>
</file>

<file path=customXml/itemProps2.xml><?xml version="1.0" encoding="utf-8"?>
<ds:datastoreItem xmlns:ds="http://schemas.openxmlformats.org/officeDocument/2006/customXml" ds:itemID="{457C4860-6CD1-4A9E-BBE8-79BAFE1C7776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Srinivasa Krishnan [Libsys]</cp:lastModifiedBy>
  <cp:revision/>
  <dcterms:created xsi:type="dcterms:W3CDTF">2013-05-02T09:51:31Z</dcterms:created>
  <dcterms:modified xsi:type="dcterms:W3CDTF">2025-02-14T22:33:09Z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