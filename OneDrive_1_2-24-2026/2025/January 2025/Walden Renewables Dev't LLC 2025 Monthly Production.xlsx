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3" documentId="13_ncr:1_{B5948FA1-745A-4C03-85F6-03608577CDAE}" xr6:coauthVersionLast="47" xr6:coauthVersionMax="47" xr10:uidLastSave="{F7A29030-F134-4130-90D3-140C52A98A90}"/>
  <bookViews>
    <workbookView xWindow="28680" yWindow="-12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F4" i="20"/>
  <c r="H4" i="20"/>
  <c r="I4" i="20"/>
  <c r="E4" i="72"/>
  <c r="F4" i="72"/>
  <c r="H4" i="72"/>
  <c r="I4" i="72"/>
  <c r="G4" i="30"/>
  <c r="G2" i="30" s="1"/>
  <c r="G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G4" i="34" l="1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<sst xmlns="http://schemas.openxmlformats.org/spreadsheetml/2006/main" count="241" uniqueCount="55">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</sst>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D4" sqref="D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306430</v>
      </c>
      <c r="D2" s="6">
        <f>SUM(D4:D60)</f>
        <v>560571.1</v>
      </c>
      <c r="E2" s="6">
        <f>C2-D2</f>
        <v>-254141.09999999998</v>
      </c>
      <c r="F2" s="7">
        <f>IFERROR(E2/D2, 0)</f>
        <v>-0.45336104554801343</v>
      </c>
      <c r="G2" s="6">
        <f>SUM(G4:G60)</f>
        <v>342243.7</v>
      </c>
      <c r="H2" s="8">
        <f>C2-G2</f>
        <v>-35813.700000000012</v>
      </c>
      <c r="I2" s="7">
        <f>IFERROR(H2/G2, 0)</f>
        <v>-0.10464385465678407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306430</v>
      </c>
      <c r="D4" s="14">
        <f>SUM('1st Qtr'!D4, '2nd Qtr'!D4, '3rd Qtr'!D4, '4th Qtr'!D4)</f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f>SUM('1st Qtr'!G4,'2nd Qtr'!G4,'3rd Qtr'!G4,'4th Qtr'!G4)</f>
        <v>342243.7</v>
      </c>
      <c r="H4" s="16">
        <f>SUM('1st Qtr'!H4, '2nd Qtr'!H4, '3rd Qtr'!H4, '4th Qtr'!H4)</f>
        <v>-35813.700000000012</v>
      </c>
      <c r="I4" s="17">
        <f>IFERROR(H4/G4, "")</f>
        <v>-0.10464385465678407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4" sqref="C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306430</v>
      </c>
      <c r="D2" s="6">
        <f>SUM(D4:D68)</f>
        <v>560571.1</v>
      </c>
      <c r="E2" s="6">
        <f>C2-D2</f>
        <v>-254141.09999999998</v>
      </c>
      <c r="F2" s="7">
        <f>IFERROR(E2/D2, 0)</f>
        <v>-0.45336104554801343</v>
      </c>
      <c r="G2" s="6">
        <f>SUM(G4:G68)</f>
        <v>342243.7</v>
      </c>
      <c r="H2" s="8">
        <f>C2-G2</f>
        <v>-35813.700000000012</v>
      </c>
      <c r="I2" s="7">
        <f>IFERROR(H2/G2, 0)</f>
        <v>-0.10464385465678407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306430</v>
      </c>
      <c r="D4" s="14">
        <f>SUM(Jan!D4, Feb!D4, Mar!D4)</f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f>SUM(Jan!G4, Feb!G4, Mar!G4)</f>
        <v>342243.7</v>
      </c>
      <c r="H4" s="16">
        <f>SUM(Jan!H4, Feb!H4, Mar!H4)</f>
        <v>-35813.700000000012</v>
      </c>
      <c r="I4" s="17">
        <f>IFERROR(H4/G4, "")</f>
        <v>-0.10464385465678407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A4" activePane="bottomLeft" state="frozen"/>
      <selection pane="bottomLeft" activeCell="G17" sqref="G17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E1"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27</v>
      </c>
      <c r="E1" s="45"/>
      <c r="F1" s="45"/>
      <c r="G1" s="43" t="s">
        <v>28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10" sqref="F10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31</v>
      </c>
      <c r="E1" s="45"/>
      <c r="F1" s="45"/>
      <c r="G1" s="43" t="s">
        <v>32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35</v>
      </c>
      <c r="E1" s="45"/>
      <c r="F1" s="45"/>
      <c r="G1" s="43" t="s">
        <v>36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J4" activeCellId="3" sqref="B25 C4:D4 G4 J4:K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t="s">
        <v>46</v>
      </c>
    </row>
    <row r="3" spans="1:7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45">
      <c r="A4" t="s">
        <v>50</v>
      </c>
      <c r="B4" t="s">
        <v>51</v>
      </c>
      <c r="C4" s="4" t="s">
        <v>52</v>
      </c>
      <c r="D4" t="s">
        <v>53</v>
      </c>
      <c r="E4" t="s">
        <v>54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2025-02-11T07:38:45Z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