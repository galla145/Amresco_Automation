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ervice request file\"/>
    </mc:Choice>
  </mc:AlternateContent>
  <xr:revisionPtr revIDLastSave="0" documentId="13_ncr:1_{26220ECD-DCCB-410F-990C-C168201679F3}" xr6:coauthVersionLast="47" xr6:coauthVersionMax="47" xr10:uidLastSave="{00000000-0000-0000-0000-000000000000}"/>
  <bookViews>
    <workbookView xWindow="-98" yWindow="-98" windowWidth="21795" windowHeight="12975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<sst xmlns="http://schemas.openxmlformats.org/spreadsheetml/2006/main" count="245" uniqueCount="58">
  <si>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</si>
  <si>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</si>
  <si>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</si>
  <si>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</si>
  <si>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</si>
  <si>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</si>
  <si>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</si>
  <si>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</si>
  <si>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</si>
  <si>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</si>
  <si>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</si>
  <si>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</si>
  <si>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</si>
  <si>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</si>
  <si>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</si>
  <si>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</si>
  <si>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</si>
  <si>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</si>
  <si>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</si>
  <si>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</si>
  <si>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</si>
  <si>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</si>
  <si>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1.The POA irradiance sensor has intermittent communication issues and has been showing bad data since 11/03.
</t>
  </si>
  <si>
    <t xml:space="preserve">1.SR094280
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</si>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</sst>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5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49" fontId="36" fillId="0" borderId="0" xfId="45" applyNumberForma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J13" sqref="J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Northbridge Companies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6">
        <f>SUM(C4:C90)</f>
        <v>32240.375</v>
      </c>
      <c r="D2" s="6">
        <f>SUM(D4:D90)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SUM(G4:G90)</f>
        <v>13578.087</v>
      </c>
      <c r="H2" s="8">
        <f>C2-G2</f>
        <v>18662.288</v>
      </c>
      <c r="I2" s="7">
        <f>IFERROR(H2/G2, 0)</f>
        <v>1.3744416278964777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17790</v>
      </c>
      <c r="D4" s="14">
        <f>SUM('1st Qtr'!D4, '2nd Qtr'!D4, '3rd Qtr'!D4, '4th Qtr'!D4)</f>
        <v>0</v>
      </c>
      <c r="E4" s="14">
        <f>IF(AND(ISNUMBER(C4),ISNUMBER(D4)), C4-D4, "")</f>
        <v>17790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17790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20">
        <f>SUM('1st Qtr'!C5, '2nd Qtr'!C5, '3rd Qtr'!C5, '4th Qtr'!C5)</f>
        <v>14450.375</v>
      </c>
      <c r="D5" s="20">
        <f>SUM('1st Qtr'!D5, '2nd Qtr'!D5, '3rd Qtr'!D5, '4th Qtr'!D5)</f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f>SUM('1st Qtr'!G5,'2nd Qtr'!G5,'3rd Qtr'!G5,'4th Qtr'!G5)</f>
        <v>13578.087</v>
      </c>
      <c r="H5" s="22">
        <f>SUM('1st Qtr'!H5, '2nd Qtr'!H5, '3rd Qtr'!H5, '4th Qtr'!H5)</f>
        <v>872.28800000000047</v>
      </c>
      <c r="I5" s="21">
        <f>IFERROR(H5/G5, "")</f>
        <v>6.4242333990053274E-2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I13" sqref="I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Northbridge Companies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6">
        <f>SUM(C4:C90)</f>
        <v>32240.375</v>
      </c>
      <c r="D2" s="6">
        <f>SUM(D4:D90)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SUM(G4:G90)</f>
        <v>13578.087</v>
      </c>
      <c r="H2" s="8">
        <f>C2-G2</f>
        <v>18662.288</v>
      </c>
      <c r="I2" s="7">
        <f>IFERROR(H2/G2, 0)</f>
        <v>1.3744416278964777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17790</v>
      </c>
      <c r="D4" s="14">
        <f>SUM(Jan!D4, Feb!D4, Mar!D4)</f>
        <v>0</v>
      </c>
      <c r="E4" s="14">
        <f>IF(AND(ISNUMBER(C4),ISNUMBER(D4)), C4-D4, "")</f>
        <v>17790</v>
      </c>
      <c r="F4" s="15" t="str">
        <f>IFERROR(E4/D4, "")</f>
        <v/>
      </c>
      <c r="G4" s="16">
        <f>SUM(Jan!G4, Feb!G4, Mar!G4)</f>
        <v>0</v>
      </c>
      <c r="H4" s="16">
        <f>SUM(Jan!H4, Feb!H4, Mar!H4)</f>
        <v>17790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14450.375</v>
      </c>
      <c r="D5" s="20">
        <f>SUM(Jan!D5, Feb!D5, Mar!D5)</f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f>SUM(Jan!G5, Feb!G5, Mar!G5)</f>
        <v>13578.087</v>
      </c>
      <c r="H5" s="22">
        <f>SUM(Jan!H5, Feb!H5, Mar!H5)</f>
        <v>872.28800000000047</v>
      </c>
      <c r="I5" s="21">
        <f>IFERROR(H5/G5, "")</f>
        <v>6.4242333990053274E-2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2.7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Northbridge Companies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SUM(Apr!C5, May!C5, Jun!C5)</f>
        <v>0</v>
      </c>
      <c r="D5" s="20">
        <f>SUM(Apr!D5, May!D5, Jun!D5)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12">
        <f>SUM(Apr!G5, May!G5, Jun!G5)</f>
        <v>0</v>
      </c>
      <c r="H5" s="22">
        <f>SUM(Apr!H5, May!H5, Jun!H5)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Northbridge Companies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SUM(Jul!G5, Aug!G5, Sep!G5)</f>
        <v>0</v>
      </c>
      <c r="H5" s="22">
        <f>SUM(Jul!H5, Aug!H5, Sep!H5)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G5" sqref="G5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Northbridge Companies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zoomScale="70" zoomScaleNormal="70" workbookViewId="0">
      <pane ySplit="3" topLeftCell="A4" activePane="bottomLeft" state="frozen"/>
      <selection pane="bottomLeft" activeCell="J22" sqref="J22"/>
      <selection activeCell="F18" sqref="F18"/>
    </sheetView>
  </sheetViews>
  <sheetFormatPr defaultRowHeight="13.5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>
        <v>0</v>
      </c>
      <c r="E4" s="14">
        <f>IF(AND(ISNUMBER(C4),ISNUMBER(D4)), C4-D4, "")</f>
        <v>17790</v>
      </c>
      <c r="F4" s="15" t="str">
        <f>IFERROR(E4/D4, "")</f>
        <v/>
      </c>
      <c r="G4" s="16">
        <v>0</v>
      </c>
      <c r="H4" s="16">
        <f>IF(AND(ISNUMBER(C4),ISNUMBER(G4)), C4-G4, "")</f>
        <v>17790</v>
      </c>
      <c r="I4" s="17" t="str">
        <f>IFERROR(H4/G4, "")</f>
        <v/>
      </c>
      <c r="J4" s="18"/>
      <c r="K4" s="18"/>
    </row>
    <row r="5" spans="1:11" ht="42.75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3" t="s">
        <v>22</v>
      </c>
      <c r="K5" s="51" t="s">
        <v>23</v>
      </c>
    </row>
    <row r="6" spans="1:11" ht="14.2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24</v>
      </c>
      <c r="E1" s="54"/>
      <c r="F1" s="54"/>
      <c r="G1" s="52" t="s">
        <v>25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3"/>
      <c r="K5" s="4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26</v>
      </c>
      <c r="E1" s="54"/>
      <c r="F1" s="54"/>
      <c r="G1" s="52" t="s">
        <v>27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4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28</v>
      </c>
      <c r="E1" s="54"/>
      <c r="F1" s="54"/>
      <c r="G1" s="52" t="s">
        <v>29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2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zoomScale="80" zoomScaleNormal="8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30</v>
      </c>
      <c r="E1" s="54"/>
      <c r="F1" s="54"/>
      <c r="G1" s="52" t="s">
        <v>31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4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32</v>
      </c>
      <c r="E1" s="54"/>
      <c r="F1" s="54"/>
      <c r="G1" s="52" t="s">
        <v>33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2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34</v>
      </c>
      <c r="E1" s="54"/>
      <c r="F1" s="54"/>
      <c r="G1" s="52" t="s">
        <v>35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5"/>
      <c r="K5" s="46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5" zoomScaleNormal="85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5"/>
      <c r="K5" s="46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42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40</v>
      </c>
      <c r="E1" s="54"/>
      <c r="F1" s="54"/>
      <c r="G1" s="52" t="s">
        <v>41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31.15" customHeight="1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8"/>
      <c r="K5" s="47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opLeftCell="B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41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8"/>
      <c r="K5" s="4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H15" sqref="H15"/>
      <selection activeCell="J16" sqref="J16"/>
    </sheetView>
  </sheetViews>
  <sheetFormatPr defaultRowHeight="13.5"/>
  <cols>
    <col min="1" max="1" width="40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85546875" customWidth="1"/>
    <col min="11" max="11" width="20.5703125" bestFit="1" customWidth="1"/>
  </cols>
  <sheetData>
    <row r="1" spans="1:11" ht="19.5" customHeight="1">
      <c r="A1" s="53" t="str" cm="1">
        <f t="array" ref="A1">portfolio</f>
        <v>Northbridge Companies</v>
      </c>
      <c r="B1" s="53"/>
      <c r="C1" s="53"/>
      <c r="D1" s="54" t="s">
        <v>44</v>
      </c>
      <c r="E1" s="54"/>
      <c r="F1" s="54"/>
      <c r="G1" s="52" t="s">
        <v>45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>
        <v>0</v>
      </c>
      <c r="E4" s="14"/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3"/>
      <c r="K5" s="50"/>
    </row>
    <row r="6" spans="1:11" ht="15.7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5" sqref="B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t="s">
        <v>51</v>
      </c>
      <c r="B4" t="s">
        <v>52</v>
      </c>
      <c r="C4" s="4" t="s">
        <v>53</v>
      </c>
      <c r="E4" t="s">
        <v>54</v>
      </c>
      <c r="G4" s="3"/>
    </row>
    <row r="5" spans="1:7" ht="14.25">
      <c r="A5" t="s">
        <v>55</v>
      </c>
      <c r="B5" t="s">
        <v>56</v>
      </c>
      <c r="C5" s="4" t="s">
        <v>53</v>
      </c>
      <c r="E5" t="s">
        <v>57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2025-02-13T06:33:48Z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