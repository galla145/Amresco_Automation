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onthly macros\"/>
    </mc:Choice>
  </mc:AlternateContent>
  <xr:revisionPtr revIDLastSave="0" documentId="13_ncr:1_{A4551F1F-9C0A-491A-9B82-44DEA3B27CD2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2" l="1"/>
  <c r="H11" i="72"/>
  <c r="H11" i="1" s="1"/>
  <c r="F11" i="72"/>
  <c r="E11" i="72"/>
  <c r="I7" i="72"/>
  <c r="H7" i="72"/>
  <c r="H8" i="72"/>
  <c r="H8" i="1" s="1"/>
  <c r="H9" i="72"/>
  <c r="I9" i="72" s="1"/>
  <c r="H10" i="72"/>
  <c r="I10" i="72" s="1"/>
  <c r="F7" i="72"/>
  <c r="F10" i="72"/>
  <c r="E7" i="72"/>
  <c r="E8" i="72"/>
  <c r="F8" i="72" s="1"/>
  <c r="E9" i="72"/>
  <c r="F9" i="72" s="1"/>
  <c r="E10" i="72"/>
  <c r="H6" i="33"/>
  <c r="I6" i="33" s="1"/>
  <c r="H7" i="33"/>
  <c r="I7" i="33" s="1"/>
  <c r="H8" i="33"/>
  <c r="I8" i="33" s="1"/>
  <c r="H9" i="33"/>
  <c r="I9" i="33" s="1"/>
  <c r="H10" i="33"/>
  <c r="I10" i="33" s="1"/>
  <c r="H11" i="33"/>
  <c r="I11" i="33" s="1"/>
  <c r="E6" i="33"/>
  <c r="F6" i="33" s="1"/>
  <c r="E7" i="33"/>
  <c r="F7" i="33" s="1"/>
  <c r="E8" i="33"/>
  <c r="F8" i="33" s="1"/>
  <c r="E9" i="33"/>
  <c r="F9" i="33" s="1"/>
  <c r="E10" i="33"/>
  <c r="F10" i="33" s="1"/>
  <c r="E11" i="33"/>
  <c r="F11" i="33" s="1"/>
  <c r="H8" i="28"/>
  <c r="I8" i="28" s="1"/>
  <c r="H9" i="28"/>
  <c r="I9" i="28" s="1"/>
  <c r="H10" i="28"/>
  <c r="I10" i="28" s="1"/>
  <c r="H11" i="28"/>
  <c r="I11" i="28" s="1"/>
  <c r="E8" i="28"/>
  <c r="F8" i="28" s="1"/>
  <c r="E9" i="28"/>
  <c r="F9" i="28" s="1"/>
  <c r="E10" i="28"/>
  <c r="F10" i="28" s="1"/>
  <c r="E11" i="28"/>
  <c r="F11" i="28" s="1"/>
  <c r="I5" i="27"/>
  <c r="I6" i="27"/>
  <c r="I7" i="27"/>
  <c r="H5" i="27"/>
  <c r="H6" i="27"/>
  <c r="H7" i="27"/>
  <c r="H8" i="27"/>
  <c r="I8" i="27" s="1"/>
  <c r="H9" i="27"/>
  <c r="I9" i="27" s="1"/>
  <c r="H10" i="27"/>
  <c r="I10" i="27" s="1"/>
  <c r="H11" i="27"/>
  <c r="I11" i="27" s="1"/>
  <c r="F7" i="27"/>
  <c r="E5" i="27"/>
  <c r="F5" i="27" s="1"/>
  <c r="E6" i="27"/>
  <c r="F6" i="27" s="1"/>
  <c r="E7" i="27"/>
  <c r="E8" i="27"/>
  <c r="F8" i="27" s="1"/>
  <c r="E9" i="27"/>
  <c r="F9" i="27" s="1"/>
  <c r="E10" i="27"/>
  <c r="F10" i="27" s="1"/>
  <c r="E11" i="27"/>
  <c r="F11" i="27" s="1"/>
  <c r="E8" i="26"/>
  <c r="F8" i="26" s="1"/>
  <c r="I6" i="26"/>
  <c r="I7" i="26"/>
  <c r="I10" i="26"/>
  <c r="I11" i="26"/>
  <c r="H5" i="26"/>
  <c r="I5" i="26" s="1"/>
  <c r="H6" i="26"/>
  <c r="H7" i="26"/>
  <c r="H8" i="26"/>
  <c r="H9" i="26"/>
  <c r="I9" i="26" s="1"/>
  <c r="H10" i="26"/>
  <c r="H11" i="26"/>
  <c r="H11" i="29" s="1"/>
  <c r="I11" i="29" s="1"/>
  <c r="F7" i="26"/>
  <c r="F9" i="26"/>
  <c r="E5" i="26"/>
  <c r="F5" i="26" s="1"/>
  <c r="E6" i="26"/>
  <c r="F6" i="26" s="1"/>
  <c r="E7" i="26"/>
  <c r="E9" i="26"/>
  <c r="E10" i="26"/>
  <c r="F10" i="26" s="1"/>
  <c r="E11" i="26"/>
  <c r="F11" i="26" s="1"/>
  <c r="E5" i="19"/>
  <c r="I6" i="19"/>
  <c r="I7" i="19"/>
  <c r="I8" i="19"/>
  <c r="I10" i="19"/>
  <c r="F5" i="19"/>
  <c r="F6" i="19"/>
  <c r="H5" i="19"/>
  <c r="I5" i="19" s="1"/>
  <c r="H6" i="19"/>
  <c r="H7" i="19"/>
  <c r="H8" i="19"/>
  <c r="H8" i="18" s="1"/>
  <c r="H9" i="19"/>
  <c r="H9" i="18" s="1"/>
  <c r="I9" i="18" s="1"/>
  <c r="H10" i="19"/>
  <c r="H11" i="19"/>
  <c r="H11" i="18" s="1"/>
  <c r="I11" i="18" s="1"/>
  <c r="E6" i="19"/>
  <c r="E7" i="19"/>
  <c r="F7" i="19" s="1"/>
  <c r="E8" i="19"/>
  <c r="F8" i="19" s="1"/>
  <c r="E9" i="19"/>
  <c r="F9" i="19" s="1"/>
  <c r="E10" i="19"/>
  <c r="F10" i="19" s="1"/>
  <c r="E11" i="19"/>
  <c r="F11" i="19" s="1"/>
  <c r="H11" i="31"/>
  <c r="I11" i="31" s="1"/>
  <c r="H8" i="31"/>
  <c r="I8" i="31" s="1"/>
  <c r="H9" i="31"/>
  <c r="H10" i="31"/>
  <c r="I10" i="31" s="1"/>
  <c r="E8" i="31"/>
  <c r="F8" i="31" s="1"/>
  <c r="E9" i="31"/>
  <c r="F9" i="31" s="1"/>
  <c r="E10" i="31"/>
  <c r="F10" i="31" s="1"/>
  <c r="E11" i="31"/>
  <c r="F11" i="31" s="1"/>
  <c r="G8" i="30"/>
  <c r="G9" i="30"/>
  <c r="G10" i="30"/>
  <c r="G11" i="30"/>
  <c r="D8" i="30"/>
  <c r="D9" i="30"/>
  <c r="D10" i="30"/>
  <c r="D11" i="30"/>
  <c r="C8" i="30"/>
  <c r="C9" i="30"/>
  <c r="E9" i="30" s="1"/>
  <c r="F9" i="30" s="1"/>
  <c r="C10" i="30"/>
  <c r="C11" i="30"/>
  <c r="G8" i="1"/>
  <c r="G9" i="1"/>
  <c r="G10" i="1"/>
  <c r="G11" i="1"/>
  <c r="D8" i="1"/>
  <c r="D9" i="1"/>
  <c r="D10" i="1"/>
  <c r="D11" i="1"/>
  <c r="C8" i="1"/>
  <c r="C9" i="1"/>
  <c r="C10" i="1"/>
  <c r="C11" i="1"/>
  <c r="H10" i="18"/>
  <c r="I10" i="18" s="1"/>
  <c r="G8" i="18"/>
  <c r="G9" i="18"/>
  <c r="G10" i="18"/>
  <c r="G11" i="18"/>
  <c r="D8" i="18"/>
  <c r="D9" i="18"/>
  <c r="D10" i="18"/>
  <c r="D11" i="18"/>
  <c r="C8" i="18"/>
  <c r="C9" i="18"/>
  <c r="C10" i="18"/>
  <c r="C11" i="18"/>
  <c r="G8" i="29"/>
  <c r="G9" i="29"/>
  <c r="G10" i="29"/>
  <c r="G11" i="29"/>
  <c r="D8" i="29"/>
  <c r="D9" i="29"/>
  <c r="D10" i="29"/>
  <c r="D11" i="29"/>
  <c r="C8" i="29"/>
  <c r="C9" i="29"/>
  <c r="C10" i="29"/>
  <c r="C11" i="29"/>
  <c r="H10" i="1" l="1"/>
  <c r="I10" i="1" s="1"/>
  <c r="H9" i="1"/>
  <c r="I9" i="1" s="1"/>
  <c r="I8" i="72"/>
  <c r="E11" i="30"/>
  <c r="F11" i="30" s="1"/>
  <c r="I11" i="19"/>
  <c r="E11" i="18"/>
  <c r="F11" i="18" s="1"/>
  <c r="H10" i="29"/>
  <c r="I10" i="29" s="1"/>
  <c r="H9" i="29"/>
  <c r="I9" i="29" s="1"/>
  <c r="I9" i="19"/>
  <c r="H8" i="29"/>
  <c r="I8" i="29" s="1"/>
  <c r="I8" i="26"/>
  <c r="I8" i="18"/>
  <c r="E9" i="1"/>
  <c r="F9" i="1" s="1"/>
  <c r="I11" i="1"/>
  <c r="E11" i="1"/>
  <c r="F11" i="1" s="1"/>
  <c r="E10" i="1"/>
  <c r="F10" i="1" s="1"/>
  <c r="E8" i="1"/>
  <c r="F8" i="1" s="1"/>
  <c r="I8" i="1"/>
  <c r="E10" i="18"/>
  <c r="F10" i="18" s="1"/>
  <c r="E9" i="18"/>
  <c r="F9" i="18" s="1"/>
  <c r="E8" i="18"/>
  <c r="F8" i="18" s="1"/>
  <c r="D8" i="34"/>
  <c r="C10" i="34"/>
  <c r="E11" i="29"/>
  <c r="F11" i="29" s="1"/>
  <c r="E10" i="29"/>
  <c r="F10" i="29" s="1"/>
  <c r="E9" i="29"/>
  <c r="F9" i="29" s="1"/>
  <c r="E8" i="29"/>
  <c r="F8" i="29" s="1"/>
  <c r="D9" i="34"/>
  <c r="C11" i="34"/>
  <c r="G11" i="34"/>
  <c r="G10" i="34"/>
  <c r="C8" i="34"/>
  <c r="G9" i="34"/>
  <c r="D11" i="34"/>
  <c r="G8" i="34"/>
  <c r="D10" i="34"/>
  <c r="E10" i="30"/>
  <c r="F10" i="30" s="1"/>
  <c r="C9" i="34"/>
  <c r="I9" i="31"/>
  <c r="E8" i="30"/>
  <c r="F8" i="30" s="1"/>
  <c r="E10" i="34" l="1"/>
  <c r="F10" i="34" s="1"/>
  <c r="E9" i="34"/>
  <c r="F9" i="34" s="1"/>
  <c r="E8" i="34"/>
  <c r="F8" i="34" s="1"/>
  <c r="E11" i="34"/>
  <c r="F11" i="34" s="1"/>
  <c r="H8" i="32"/>
  <c r="H8" i="30" s="1"/>
  <c r="I8" i="30" s="1"/>
  <c r="H9" i="32"/>
  <c r="H10" i="32"/>
  <c r="H11" i="32"/>
  <c r="E8" i="32"/>
  <c r="F8" i="32" s="1"/>
  <c r="E9" i="32"/>
  <c r="F9" i="32" s="1"/>
  <c r="E10" i="32"/>
  <c r="F10" i="32" s="1"/>
  <c r="E11" i="32"/>
  <c r="F11" i="32" s="1"/>
  <c r="G5" i="30"/>
  <c r="G6" i="30"/>
  <c r="G7" i="30"/>
  <c r="G4" i="30"/>
  <c r="D5" i="30"/>
  <c r="D6" i="30"/>
  <c r="D7" i="30"/>
  <c r="C5" i="30"/>
  <c r="C6" i="30"/>
  <c r="E6" i="30" s="1"/>
  <c r="F6" i="30" s="1"/>
  <c r="C7" i="30"/>
  <c r="E7" i="30" s="1"/>
  <c r="F7" i="30" s="1"/>
  <c r="H6" i="18"/>
  <c r="H7" i="18"/>
  <c r="G5" i="18"/>
  <c r="G6" i="18"/>
  <c r="G7" i="18"/>
  <c r="D5" i="18"/>
  <c r="D6" i="18"/>
  <c r="D7" i="18"/>
  <c r="C5" i="18"/>
  <c r="E5" i="18" s="1"/>
  <c r="F5" i="18" s="1"/>
  <c r="C6" i="18"/>
  <c r="E6" i="18" s="1"/>
  <c r="F6" i="18" s="1"/>
  <c r="C7" i="18"/>
  <c r="E7" i="18" s="1"/>
  <c r="F7" i="18" s="1"/>
  <c r="H7" i="1"/>
  <c r="G6" i="1"/>
  <c r="G7" i="1"/>
  <c r="G5" i="1"/>
  <c r="D6" i="1"/>
  <c r="D7" i="1"/>
  <c r="D5" i="1"/>
  <c r="C5" i="1"/>
  <c r="E5" i="1" s="1"/>
  <c r="F5" i="1" s="1"/>
  <c r="C6" i="1"/>
  <c r="C7" i="1"/>
  <c r="H6" i="32"/>
  <c r="I6" i="32" s="1"/>
  <c r="H7" i="32"/>
  <c r="I7" i="32" s="1"/>
  <c r="H4" i="32"/>
  <c r="I4" i="32"/>
  <c r="E6" i="32"/>
  <c r="F6" i="32" s="1"/>
  <c r="E7" i="32"/>
  <c r="F7" i="32" s="1"/>
  <c r="A4" i="31" a="1"/>
  <c r="A4" i="31" s="1"/>
  <c r="H6" i="31"/>
  <c r="I6" i="31" s="1"/>
  <c r="H7" i="31"/>
  <c r="I7" i="31" s="1"/>
  <c r="E6" i="31"/>
  <c r="F6" i="31" s="1"/>
  <c r="E7" i="31"/>
  <c r="F7" i="31" s="1"/>
  <c r="H5" i="29"/>
  <c r="I5" i="29" s="1"/>
  <c r="H7" i="29"/>
  <c r="I7" i="29" s="1"/>
  <c r="D5" i="29"/>
  <c r="D6" i="29"/>
  <c r="D7" i="29"/>
  <c r="C5" i="29"/>
  <c r="E5" i="29" s="1"/>
  <c r="F5" i="29" s="1"/>
  <c r="C6" i="29"/>
  <c r="E6" i="29" s="1"/>
  <c r="F6" i="29" s="1"/>
  <c r="C7" i="29"/>
  <c r="E7" i="29" s="1"/>
  <c r="F7" i="29" s="1"/>
  <c r="G5" i="29"/>
  <c r="G6" i="29"/>
  <c r="G7" i="29"/>
  <c r="G4" i="29"/>
  <c r="G2" i="29" s="1"/>
  <c r="H6" i="28"/>
  <c r="I6" i="28" s="1"/>
  <c r="H7" i="28"/>
  <c r="I7" i="28" s="1"/>
  <c r="F6" i="28"/>
  <c r="E6" i="28"/>
  <c r="E7" i="28"/>
  <c r="F7" i="28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C4" i="30"/>
  <c r="D4" i="29"/>
  <c r="C4" i="29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5" i="34" l="1"/>
  <c r="H6" i="29"/>
  <c r="I6" i="29" s="1"/>
  <c r="I7" i="18"/>
  <c r="I6" i="18"/>
  <c r="D2" i="18"/>
  <c r="H8" i="34"/>
  <c r="I8" i="34" s="1"/>
  <c r="H6" i="30"/>
  <c r="I6" i="30" s="1"/>
  <c r="H7" i="30"/>
  <c r="I7" i="30" s="1"/>
  <c r="I9" i="32"/>
  <c r="H9" i="30"/>
  <c r="I8" i="32"/>
  <c r="E5" i="30"/>
  <c r="F5" i="30" s="1"/>
  <c r="I11" i="32"/>
  <c r="H11" i="30"/>
  <c r="I10" i="32"/>
  <c r="H10" i="30"/>
  <c r="H2" i="33"/>
  <c r="I2" i="33" s="1"/>
  <c r="H5" i="30"/>
  <c r="I5" i="30" s="1"/>
  <c r="G2" i="30"/>
  <c r="D2" i="30"/>
  <c r="D5" i="34"/>
  <c r="H5" i="18"/>
  <c r="I5" i="18" s="1"/>
  <c r="C5" i="34"/>
  <c r="E5" i="34" s="1"/>
  <c r="F5" i="34" s="1"/>
  <c r="I7" i="1"/>
  <c r="H5" i="1"/>
  <c r="D6" i="34"/>
  <c r="G7" i="34"/>
  <c r="E7" i="1"/>
  <c r="F7" i="1" s="1"/>
  <c r="G6" i="34"/>
  <c r="E6" i="1"/>
  <c r="F6" i="1" s="1"/>
  <c r="H6" i="1"/>
  <c r="I6" i="1" s="1"/>
  <c r="D7" i="34"/>
  <c r="C7" i="34"/>
  <c r="E7" i="34" s="1"/>
  <c r="F7" i="34" s="1"/>
  <c r="C6" i="34"/>
  <c r="H2" i="32"/>
  <c r="I2" i="32" s="1"/>
  <c r="H2" i="31"/>
  <c r="I2" i="31" s="1"/>
  <c r="H2" i="28"/>
  <c r="I2" i="28" s="1"/>
  <c r="E2" i="20"/>
  <c r="F2" i="20" s="1"/>
  <c r="G4" i="34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H2" i="27"/>
  <c r="I2" i="27" s="1"/>
  <c r="J2" i="27"/>
  <c r="H2" i="3"/>
  <c r="I2" i="3" s="1"/>
  <c r="G2" i="1"/>
  <c r="H4" i="30"/>
  <c r="I4" i="30" s="1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7" i="34" l="1"/>
  <c r="I7" i="34" s="1"/>
  <c r="I9" i="30"/>
  <c r="H9" i="34"/>
  <c r="I9" i="34" s="1"/>
  <c r="I10" i="30"/>
  <c r="H10" i="34"/>
  <c r="I10" i="34" s="1"/>
  <c r="H11" i="34"/>
  <c r="I11" i="34" s="1"/>
  <c r="I11" i="30"/>
  <c r="D2" i="34"/>
  <c r="E2" i="29"/>
  <c r="F2" i="29" s="1"/>
  <c r="H6" i="34"/>
  <c r="I6" i="34" s="1"/>
  <c r="G2" i="34"/>
  <c r="E6" i="34"/>
  <c r="F6" i="34" s="1"/>
  <c r="H5" i="34"/>
  <c r="I5" i="34" s="1"/>
  <c r="I5" i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<sst xmlns="http://schemas.openxmlformats.org/spreadsheetml/2006/main" count="293" uniqueCount="93">
  <si>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</si>
  <si>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</si>
  <si>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</si>
  <si>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</si>
  <si>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</si>
  <si>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</si>
  <si>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</si>
  <si>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</si>
  <si>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</si>
  <si>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</si>
  <si>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</si>
  <si>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</si>
  <si>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</si>
  <si>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</si>
  <si>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</si>
  <si>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</si>
  <si>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</si>
  <si>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</si>
  <si>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</si>
  <si>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</si>
  <si>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</si>
  <si>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</si>
  <si>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1.The weather station stopped communicating from 12:30 AM on 01/16/25 due to the SCADA server and Watchdog not running on the server end,later back online at 10:00 AM on 01/27/25.
2. Inverter 1.2 has been derating by 80 kW at 13:30 on 01/28/25 and has self resolved at 6:30am on 01/29/25 due to Internal fan fault</t>
  </si>
  <si>
    <t>1. SR095612
2. SR096082</t>
  </si>
  <si>
    <t>SR096082</t>
  </si>
  <si>
    <t>1. The site experienced frequent outages throughout the month due to PG&amp;E curtailments.
2. Tracker controller 3, tracker set position 2 reporting erroneous value and tracker position motor 2 was stuck at 50.76 Degrees. Tracker need New encoder.
3. Site was offline from 13:00 to 14:30 on 01/16
4.Combiner boxes 1.19, 1.21, 1.23, 1.25, 1.27, 3.20, 3.22, 3.24, 3.26, 3.28, are underperforming from 12/23/24. Will Investigate  during PM inspection
5. Inverter 3 is started late and reporting reversed branch overcurrent on 01/02, 01/03 , 01/17</t>
  </si>
  <si>
    <t>1.SR095240
2. 	SR094675
3.SR095640
4.	SR095229
5.	SR094991</t>
  </si>
  <si>
    <t>SR094675</t>
  </si>
  <si>
    <t>SR095640</t>
  </si>
  <si>
    <t>SR095229</t>
  </si>
  <si>
    <t>SR094991</t>
  </si>
  <si>
    <t>1. Inverter 6 is being RMA'd due to internal board failure.
2. Site was tripped offline on 12/31/24 at 14:00 and came back online on 01/02/25 at 12:00 after the technician re-energized the site and corrected the incorrect Grid Connect rule for Inverter 1.
3. Inverter 1 is started late for production at 8:30AM on 01/17 due to an momentary Isolation Error.</t>
  </si>
  <si>
    <t>1.SR095174, SR095112
2. SR095204
3. SR095076</t>
  </si>
  <si>
    <t>SR095112</t>
  </si>
  <si>
    <t>SR095204</t>
  </si>
  <si>
    <t>SR095076</t>
  </si>
  <si>
    <t>1. Site was brought back online at 1:15PM on 01/08/25 after the SMA technician repalced the  AC control board.
2. Inverter tripped offline at 14:25 on 01/30 later remotely closed at 16:00 on 01/30</t>
  </si>
  <si>
    <t>1.SR093625
2.SR096136</t>
  </si>
  <si>
    <t>SR096136</t>
  </si>
  <si>
    <t>1. Site was tripped offline at 10:30AM on 01/02/2025. It was brought back online at 2:35PM on same day after technician closing the SEL relay.</t>
  </si>
  <si>
    <t>1. SR095236</t>
  </si>
  <si>
    <t>1. Site was offline at 8:40 AM on 01/15/25. It was brought back online, and communication was restored at 7:05 AM on 01/16/25 after the technician power-cycled the Dell Data Processor on 01/18/25.
2. Inverters have been offline since 01/23/25 and PE brought all DC converters online by replacing the softcharge contactors on 01/24/25.
3. Inverter 2 tripped offline at 15:50 on 01/29 due to loose fiber optic cable causing a false F25 fault which opens the AC breaker and was brought back online on 01/30/25 after the technician charged the main AC breaker.</t>
  </si>
  <si>
    <t>1. SR095594
2. SR095883
3. SR096095</t>
  </si>
  <si>
    <t>SR095883</t>
  </si>
  <si>
    <t>SR096095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</si>
  <si>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</si>
  <si>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</si>
  <si>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</si>
  <si>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</si>
  <si>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</si>
  <si>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</si>
  <si>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</si>
  <si>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</si>
  <si>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</si>
  <si>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</si>
  <si>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</si>
  <si>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</si>
  <si>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</si>
  <si>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</si>
  <si>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</si>
  <si>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</si>
  <si>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</si>
  <si>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</si>
  <si>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</si>
  <si>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</si>
  <si>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</si>
  <si>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</si>
  <si>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</si>
  <si>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AB CarVal</t>
  </si>
  <si>
    <t>Site DAS Name</t>
  </si>
  <si>
    <t>Update</t>
  </si>
  <si>
    <t>DAS</t>
  </si>
  <si>
    <t>001 - Fairhaven</t>
  </si>
  <si>
    <t>MA: Fairhaven - 279 Mill Rd</t>
  </si>
  <si>
    <t>MA</t>
  </si>
  <si>
    <t>PowerFactors</t>
  </si>
  <si>
    <t>AFTW Solar - Wheeler</t>
  </si>
  <si>
    <t>Bakersfield - 100 Basic School Rd</t>
  </si>
  <si>
    <t>CA</t>
  </si>
  <si>
    <t>AEF</t>
  </si>
  <si>
    <t>Also Energy API</t>
  </si>
  <si>
    <t>Fresno 14MW Solar - CAISO - AB Carval</t>
  </si>
  <si>
    <t>Fresno - 2685 Cornelia Ave</t>
  </si>
  <si>
    <t>JID - Crystal Farms Local Solar</t>
  </si>
  <si>
    <t>San Juaquin - S. Placer &amp; W. Adams</t>
  </si>
  <si>
    <t>002 - Charlemont</t>
  </si>
  <si>
    <t xml:space="preserve">Charlemont - 0 Tea St </t>
  </si>
  <si>
    <t>003 - Town of Amherst</t>
  </si>
  <si>
    <t xml:space="preserve">Amherst - 740 Belchertown Rd </t>
  </si>
  <si>
    <t>004 - Huxley</t>
  </si>
  <si>
    <t xml:space="preserve"> Ludlow - Huxley 1 &amp; 2 - 504 Fuller St </t>
  </si>
  <si>
    <t>005 - Beacon</t>
  </si>
  <si>
    <t>Easthampton - Beacon 1 &amp; 2 - 540 Florence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</si>
</sst>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</font>
    <font>
      <sz val="12"/>
      <name val="Arial"/>
      <family val="2"/>
    </font>
    <font>
      <sz val="14"/>
      <name val="Calibri"/>
      <family val="2"/>
    </font>
    <font>
      <sz val="11"/>
      <name val="Arial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8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Alignment="1">
      <alignment horizontal="left" vertical="top" wrapText="1"/>
    </xf>
    <xf numFmtId="9" fontId="30" fillId="37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" borderId="0" xfId="2" applyFont="1" applyFill="1" applyAlignment="1">
      <alignment horizontal="center" vertical="center"/>
    </xf>
    <xf numFmtId="164" fontId="28" fillId="44" borderId="0" xfId="1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horizontal="left" vertical="top"/>
    </xf>
    <xf numFmtId="0" fontId="34" fillId="40" borderId="0" xfId="0" applyFont="1" applyFill="1" applyAlignment="1">
      <alignment horizontal="center" vertical="center"/>
    </xf>
    <xf numFmtId="0" fontId="35" fillId="0" borderId="0" xfId="0" applyFont="1"/>
    <xf numFmtId="0" fontId="26" fillId="2" borderId="1" xfId="0" applyFont="1" applyFill="1" applyBorder="1" applyAlignment="1">
      <alignment horizontal="center" vertical="center" wrapText="1"/>
    </xf>
    <xf numFmtId="3" fontId="36" fillId="36" borderId="1" xfId="0" applyNumberFormat="1" applyFont="1" applyFill="1" applyBorder="1" applyAlignment="1">
      <alignment horizontal="center" vertical="center"/>
    </xf>
    <xf numFmtId="9" fontId="36" fillId="36" borderId="1" xfId="0" applyNumberFormat="1" applyFont="1" applyFill="1" applyBorder="1" applyAlignment="1">
      <alignment horizontal="center" vertical="center"/>
    </xf>
    <xf numFmtId="3" fontId="36" fillId="36" borderId="1" xfId="1" applyNumberFormat="1" applyFont="1" applyFill="1" applyBorder="1" applyAlignment="1">
      <alignment horizontal="center" vertical="center"/>
    </xf>
    <xf numFmtId="0" fontId="26" fillId="43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9" fontId="5" fillId="41" borderId="1" xfId="2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/>
    </xf>
    <xf numFmtId="0" fontId="5" fillId="42" borderId="1" xfId="0" applyFont="1" applyFill="1" applyBorder="1" applyAlignment="1">
      <alignment horizontal="center" vertical="center" wrapText="1"/>
    </xf>
    <xf numFmtId="9" fontId="5" fillId="42" borderId="1" xfId="2" applyFont="1" applyFill="1" applyBorder="1" applyAlignment="1">
      <alignment horizontal="center" vertical="center" wrapText="1"/>
    </xf>
    <xf numFmtId="0" fontId="37" fillId="0" borderId="0" xfId="0" applyFont="1"/>
    <xf numFmtId="9" fontId="30" fillId="46" borderId="0" xfId="2" applyFont="1" applyFill="1" applyBorder="1" applyAlignment="1">
      <alignment horizontal="center" vertical="center"/>
    </xf>
    <xf numFmtId="9" fontId="30" fillId="4" borderId="0" xfId="2" applyFont="1" applyFill="1" applyBorder="1" applyAlignment="1">
      <alignment horizontal="center" vertical="center"/>
    </xf>
    <xf numFmtId="0" fontId="23" fillId="40" borderId="0" xfId="0" applyFont="1" applyFill="1" applyAlignment="1">
      <alignment horizontal="center" vertical="center"/>
    </xf>
    <xf numFmtId="0" fontId="38" fillId="0" borderId="0" xfId="0" applyFont="1"/>
    <xf numFmtId="49" fontId="23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vertical="center" wrapText="1"/>
    </xf>
    <xf numFmtId="49" fontId="39" fillId="0" borderId="0" xfId="45" applyNumberFormat="1" applyAlignment="1">
      <alignment horizontal="left" vertical="top" wrapText="1"/>
    </xf>
    <xf numFmtId="49" fontId="39" fillId="38" borderId="0" xfId="45" applyNumberFormat="1" applyFill="1" applyBorder="1" applyAlignment="1">
      <alignment horizontal="left" vertical="top" wrapText="1"/>
    </xf>
    <xf numFmtId="0" fontId="39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1" totalsRowShown="0">
  <autoFilter ref="A3:E11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174" TargetMode="External"/><Relationship Id="rId13" Type="http://schemas.openxmlformats.org/officeDocument/2006/relationships/hyperlink" Target="https://us3.assetplanner.com/service_request?ID=096136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https://us3.assetplanner.com/service_request?ID=095240" TargetMode="External"/><Relationship Id="rId7" Type="http://schemas.openxmlformats.org/officeDocument/2006/relationships/hyperlink" Target="https://us3.assetplanner.com/service_request?ID=094991" TargetMode="External"/><Relationship Id="rId12" Type="http://schemas.openxmlformats.org/officeDocument/2006/relationships/hyperlink" Target="https://us3.assetplanner.com/service_request?ID=093625" TargetMode="External"/><Relationship Id="rId17" Type="http://schemas.openxmlformats.org/officeDocument/2006/relationships/hyperlink" Target="https://us3.assetplanner.com/service_request?ID=096095" TargetMode="External"/><Relationship Id="rId2" Type="http://schemas.openxmlformats.org/officeDocument/2006/relationships/hyperlink" Target="https://us3.assetplanner.com/service_request?ID=096082" TargetMode="External"/><Relationship Id="rId16" Type="http://schemas.openxmlformats.org/officeDocument/2006/relationships/hyperlink" Target="https://us3.assetplanner.com/service_request?ID=095883" TargetMode="External"/><Relationship Id="rId1" Type="http://schemas.openxmlformats.org/officeDocument/2006/relationships/hyperlink" Target="https://us3.assetplanner.com/service_request?ID=095612" TargetMode="External"/><Relationship Id="rId6" Type="http://schemas.openxmlformats.org/officeDocument/2006/relationships/hyperlink" Target="https://us3.assetplanner.com/service_request?ID=095229" TargetMode="External"/><Relationship Id="rId11" Type="http://schemas.openxmlformats.org/officeDocument/2006/relationships/hyperlink" Target="https://us3.assetplanner.com/service_request?ID=095076" TargetMode="External"/><Relationship Id="rId5" Type="http://schemas.openxmlformats.org/officeDocument/2006/relationships/hyperlink" Target="https://us3.assetplanner.com/service_request?ID=095640" TargetMode="External"/><Relationship Id="rId15" Type="http://schemas.openxmlformats.org/officeDocument/2006/relationships/hyperlink" Target="https://us3.assetplanner.com/service_request?ID=095594" TargetMode="External"/><Relationship Id="rId10" Type="http://schemas.openxmlformats.org/officeDocument/2006/relationships/hyperlink" Target="https://us3.assetplanner.com/service_request?ID=095204" TargetMode="External"/><Relationship Id="rId4" Type="http://schemas.openxmlformats.org/officeDocument/2006/relationships/hyperlink" Target="https://us3.assetplanner.com/service_request?ID=094675" TargetMode="External"/><Relationship Id="rId9" Type="http://schemas.openxmlformats.org/officeDocument/2006/relationships/hyperlink" Target="https://us3.assetplanner.com/service_request?ID=095112" TargetMode="External"/><Relationship Id="rId14" Type="http://schemas.openxmlformats.org/officeDocument/2006/relationships/hyperlink" Target="https://us3.assetplanner.com/service_request?ID=09523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02"/>
  <sheetViews>
    <sheetView workbookViewId="0">
      <pane ySplit="2" topLeftCell="A3" activePane="bottomLeft" state="frozen"/>
      <selection pane="bottomLeft" activeCell="G8" sqref="G8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0</v>
      </c>
      <c r="E1" s="79"/>
      <c r="F1" s="79"/>
      <c r="G1" s="77" t="s">
        <v>1</v>
      </c>
      <c r="H1" s="77"/>
      <c r="I1" s="77"/>
    </row>
    <row r="2" spans="1:11" ht="19.5" customHeight="1">
      <c r="A2" s="80" t="s">
        <v>2</v>
      </c>
      <c r="B2" s="80"/>
      <c r="C2" s="6">
        <f>SUM(C4:C60)</f>
        <v>3950905.238610202</v>
      </c>
      <c r="D2" s="6">
        <f>SUM(D4:D60)</f>
        <v>4602075.2571258591</v>
      </c>
      <c r="E2" s="6">
        <f>C2-D2</f>
        <v>-651170.01851565717</v>
      </c>
      <c r="F2" s="7">
        <f>IFERROR(E2/D2, 0)</f>
        <v>-0.14149486528004615</v>
      </c>
      <c r="G2" s="6">
        <f>SUM(G4:G60)</f>
        <v>3574033.6</v>
      </c>
      <c r="H2" s="8">
        <f>C2-G2</f>
        <v>376871.63861020189</v>
      </c>
      <c r="I2" s="7">
        <f>IFERROR(H2/G2, 0)</f>
        <v>0.10544714481984777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6">
      <c r="A4" s="13" t="str" cm="1">
        <f t="array" ref="A4:A11">Sites[Site]</f>
        <v>MA: Fairhaven - 279 Mill Rd</v>
      </c>
      <c r="B4" s="10" t="str" cm="1">
        <f t="array" ref="B4:B11">Sites[State]</f>
        <v>MA</v>
      </c>
      <c r="C4" s="26">
        <f>SUM('1st Qtr'!C4, '2nd Qtr'!C4, '3rd Qtr'!C4, '4th Qtr'!C4)</f>
        <v>212302</v>
      </c>
      <c r="D4" s="14">
        <f>SUM('1st Qtr'!D4, '2nd Qtr'!D4, '3rd Qtr'!D4, '4th Qtr'!D4)</f>
        <v>243217.7891500929</v>
      </c>
      <c r="E4" s="14">
        <f t="shared" ref="E4:E11" si="0">IF(AND(ISNUMBER(C4),ISNUMBER(D4)), C4-D4, "")</f>
        <v>-30915.789150092896</v>
      </c>
      <c r="F4" s="15">
        <f t="shared" ref="F4:F11" si="1">IFERROR(E4/D4, "")</f>
        <v>-0.12711154582124071</v>
      </c>
      <c r="G4" s="16">
        <f>SUM('1st Qtr'!G4,'2nd Qtr'!G4,'3rd Qtr'!G4,'4th Qtr'!G4)</f>
        <v>174518.59999999995</v>
      </c>
      <c r="H4" s="16">
        <f>SUM('1st Qtr'!H4, '2nd Qtr'!H4, '3rd Qtr'!H4, '4th Qtr'!H4)</f>
        <v>37783.400000000052</v>
      </c>
      <c r="I4" s="17">
        <f t="shared" ref="I4:I11" si="2">IFERROR(H4/G4, "")</f>
        <v>0.21650070536894098</v>
      </c>
    </row>
    <row r="5" spans="1:11" ht="15.6">
      <c r="A5" s="31" t="str">
        <v>Bakersfield - 100 Basic School Rd</v>
      </c>
      <c r="B5" s="32" t="str">
        <v>CA</v>
      </c>
      <c r="C5" s="12">
        <f>SUM('1st Qtr'!C5, '2nd Qtr'!C5, '3rd Qtr'!C5, '4th Qtr'!C5)</f>
        <v>876708.03027687001</v>
      </c>
      <c r="D5" s="12">
        <f>SUM('1st Qtr'!D5, '2nd Qtr'!D5, '3rd Qtr'!D5, '4th Qtr'!D5)</f>
        <v>547801</v>
      </c>
      <c r="E5" s="20">
        <f t="shared" si="0"/>
        <v>328907.03027687001</v>
      </c>
      <c r="F5" s="21">
        <f t="shared" si="1"/>
        <v>0.60041334403710478</v>
      </c>
      <c r="G5" s="12">
        <f>SUM('1st Qtr'!G5,'2nd Qtr'!G5,'3rd Qtr'!G5,'4th Qtr'!G5)</f>
        <v>621297.80000000005</v>
      </c>
      <c r="H5" s="20">
        <f>SUM('1st Qtr'!H5, '2nd Qtr'!H5, '3rd Qtr'!H5, '4th Qtr'!H5)</f>
        <v>255410.23027686996</v>
      </c>
      <c r="I5" s="21">
        <f t="shared" si="2"/>
        <v>0.41109147702900273</v>
      </c>
      <c r="J5" s="11"/>
      <c r="K5" s="19"/>
    </row>
    <row r="6" spans="1:11" ht="15.6">
      <c r="A6" s="13" t="str">
        <v>Fresno - 2685 Cornelia Ave</v>
      </c>
      <c r="B6" s="10" t="str">
        <v>CA</v>
      </c>
      <c r="C6" s="26">
        <f>SUM('1st Qtr'!C6, '2nd Qtr'!C6, '3rd Qtr'!C6, '4th Qtr'!C6)</f>
        <v>1178944</v>
      </c>
      <c r="D6" s="14">
        <f>SUM('1st Qtr'!D6, '2nd Qtr'!D6, '3rd Qtr'!D6, '4th Qtr'!D6)</f>
        <v>1571662</v>
      </c>
      <c r="E6" s="14">
        <f t="shared" si="0"/>
        <v>-392718</v>
      </c>
      <c r="F6" s="15">
        <f t="shared" si="1"/>
        <v>-0.24987433684850813</v>
      </c>
      <c r="G6" s="16">
        <f>SUM('1st Qtr'!G6,'2nd Qtr'!G6,'3rd Qtr'!G6,'4th Qtr'!G6)</f>
        <v>1030154</v>
      </c>
      <c r="H6" s="16">
        <f>SUM('1st Qtr'!H6, '2nd Qtr'!H6, '3rd Qtr'!H6, '4th Qtr'!H6)</f>
        <v>148790</v>
      </c>
      <c r="I6" s="17">
        <f t="shared" si="2"/>
        <v>0.14443471558621332</v>
      </c>
    </row>
    <row r="7" spans="1:11" ht="15.6">
      <c r="A7" s="31" t="str">
        <v>San Juaquin - S. Placer &amp; W. Adams</v>
      </c>
      <c r="B7" s="32" t="str">
        <v>CA</v>
      </c>
      <c r="C7" s="12">
        <f>SUM('1st Qtr'!C7, '2nd Qtr'!C7, '3rd Qtr'!C7, '4th Qtr'!C7)</f>
        <v>522765.20833333198</v>
      </c>
      <c r="D7" s="12">
        <f>SUM('1st Qtr'!D7, '2nd Qtr'!D7, '3rd Qtr'!D7, '4th Qtr'!D7)</f>
        <v>599049.6</v>
      </c>
      <c r="E7" s="20">
        <f t="shared" si="0"/>
        <v>-76284.391666668002</v>
      </c>
      <c r="F7" s="21">
        <f t="shared" si="1"/>
        <v>-0.12734236308090016</v>
      </c>
      <c r="G7" s="12">
        <f>SUM('1st Qtr'!G7,'2nd Qtr'!G7,'3rd Qtr'!G7,'4th Qtr'!G7)</f>
        <v>380972.2</v>
      </c>
      <c r="H7" s="20">
        <f>SUM('1st Qtr'!H7, '2nd Qtr'!H7, '3rd Qtr'!H7, '4th Qtr'!H7)</f>
        <v>141793.00833333196</v>
      </c>
      <c r="I7" s="21">
        <f t="shared" si="2"/>
        <v>0.37218728383155508</v>
      </c>
      <c r="J7" s="11"/>
      <c r="K7" s="19"/>
    </row>
    <row r="8" spans="1:11" ht="15.6">
      <c r="A8" s="13" t="str">
        <v xml:space="preserve">Charlemont - 0 Tea St </v>
      </c>
      <c r="B8" s="10" t="str">
        <v>MA</v>
      </c>
      <c r="C8" s="49">
        <f>SUM('1st Qtr'!C8, '2nd Qtr'!C8, '3rd Qtr'!C8, '4th Qtr'!C8)</f>
        <v>99864</v>
      </c>
      <c r="D8" s="14">
        <f>SUM('1st Qtr'!D8, '2nd Qtr'!D8, '3rd Qtr'!D8, '4th Qtr'!D8)</f>
        <v>266325.20172622107</v>
      </c>
      <c r="E8" s="14">
        <f t="shared" si="0"/>
        <v>-166461.20172622107</v>
      </c>
      <c r="F8" s="48">
        <f t="shared" si="1"/>
        <v>-0.62502985315426918</v>
      </c>
      <c r="G8" s="47">
        <f>SUM('1st Qtr'!G8,'2nd Qtr'!G8,'3rd Qtr'!G8,'4th Qtr'!G8)</f>
        <v>193054.00000000003</v>
      </c>
      <c r="H8" s="47">
        <f>SUM('1st Qtr'!H8, '2nd Qtr'!H8, '3rd Qtr'!H8, '4th Qtr'!H8)</f>
        <v>-93190.000000000029</v>
      </c>
      <c r="I8" s="46">
        <f t="shared" si="2"/>
        <v>-0.48271468086649338</v>
      </c>
    </row>
    <row r="9" spans="1:11" ht="15.6">
      <c r="A9" s="31" t="str">
        <v xml:space="preserve">Amherst - 740 Belchertown Rd </v>
      </c>
      <c r="B9" s="32" t="str">
        <v>MA</v>
      </c>
      <c r="C9" s="42">
        <f>SUM('1st Qtr'!C9, '2nd Qtr'!C9, '3rd Qtr'!C9, '4th Qtr'!C9)</f>
        <v>189777</v>
      </c>
      <c r="D9" s="42">
        <f>SUM('1st Qtr'!D9, '2nd Qtr'!D9, '3rd Qtr'!D9, '4th Qtr'!D9)</f>
        <v>290332.72465638258</v>
      </c>
      <c r="E9" s="20">
        <f t="shared" si="0"/>
        <v>-100555.72465638258</v>
      </c>
      <c r="F9" s="43">
        <f t="shared" si="1"/>
        <v>-0.34634650563553687</v>
      </c>
      <c r="G9" s="42">
        <f>SUM('1st Qtr'!G9,'2nd Qtr'!G9,'3rd Qtr'!G9,'4th Qtr'!G9)</f>
        <v>205706</v>
      </c>
      <c r="H9" s="20">
        <f>SUM('1st Qtr'!H9, '2nd Qtr'!H9, '3rd Qtr'!H9, '4th Qtr'!H9)</f>
        <v>-15929</v>
      </c>
      <c r="I9" s="43">
        <f t="shared" si="2"/>
        <v>-7.7435757829134783E-2</v>
      </c>
      <c r="J9" s="11"/>
      <c r="K9" s="19"/>
    </row>
    <row r="10" spans="1:11" ht="15.6">
      <c r="A10" s="13" t="str">
        <v xml:space="preserve"> Ludlow - Huxley 1 &amp; 2 - 504 Fuller St </v>
      </c>
      <c r="B10" s="10" t="str">
        <v>MA</v>
      </c>
      <c r="C10" s="49">
        <f>SUM('1st Qtr'!C10, '2nd Qtr'!C10, '3rd Qtr'!C10, '4th Qtr'!C10)</f>
        <v>582212</v>
      </c>
      <c r="D10" s="14">
        <f>SUM('1st Qtr'!D10, '2nd Qtr'!D10, '3rd Qtr'!D10, '4th Qtr'!D10)</f>
        <v>571527.02792272239</v>
      </c>
      <c r="E10" s="14">
        <f t="shared" si="0"/>
        <v>10684.972077277605</v>
      </c>
      <c r="F10" s="48">
        <f t="shared" si="1"/>
        <v>1.8695479925268464E-2</v>
      </c>
      <c r="G10" s="47">
        <f>SUM('1st Qtr'!G10,'2nd Qtr'!G10,'3rd Qtr'!G10,'4th Qtr'!G10)</f>
        <v>539970</v>
      </c>
      <c r="H10" s="47">
        <f>SUM('1st Qtr'!H10, '2nd Qtr'!H10, '3rd Qtr'!H10, '4th Qtr'!H10)</f>
        <v>42242</v>
      </c>
      <c r="I10" s="46">
        <f t="shared" si="2"/>
        <v>7.8230272052151051E-2</v>
      </c>
    </row>
    <row r="11" spans="1:11" ht="15.6">
      <c r="A11" s="31" t="str">
        <v>Easthampton - Beacon 1 &amp; 2 - 540 Florence Rd</v>
      </c>
      <c r="B11" s="32" t="str">
        <v>MA</v>
      </c>
      <c r="C11" s="42">
        <f>SUM('1st Qtr'!C11, '2nd Qtr'!C11, '3rd Qtr'!C11, '4th Qtr'!C11)</f>
        <v>288332.99999999994</v>
      </c>
      <c r="D11" s="42">
        <f>SUM('1st Qtr'!D11, '2nd Qtr'!D11, '3rd Qtr'!D11, '4th Qtr'!D11)</f>
        <v>512159.91367044003</v>
      </c>
      <c r="E11" s="20">
        <f t="shared" si="0"/>
        <v>-223826.91367044009</v>
      </c>
      <c r="F11" s="43">
        <f t="shared" si="1"/>
        <v>-0.43702544399924703</v>
      </c>
      <c r="G11" s="42">
        <f>SUM('1st Qtr'!G11,'2nd Qtr'!G11,'3rd Qtr'!G11,'4th Qtr'!G11)</f>
        <v>428361</v>
      </c>
      <c r="H11" s="20">
        <f>SUM('1st Qtr'!H11, '2nd Qtr'!H11, '3rd Qtr'!H11, '4th Qtr'!H11)</f>
        <v>-140028.00000000006</v>
      </c>
      <c r="I11" s="43">
        <f t="shared" si="2"/>
        <v>-0.32689250421957194</v>
      </c>
      <c r="J11" s="11"/>
      <c r="K11" s="19"/>
    </row>
    <row r="12" spans="1:11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11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11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11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11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58" priority="9" stopIfTrue="1" operator="lessThanOrEqual">
      <formula>-0.1</formula>
    </cfRule>
    <cfRule type="expression" dxfId="57" priority="10">
      <formula>AND(ISNUMBER(F2), F2&gt;=0.1)</formula>
    </cfRule>
  </conditionalFormatting>
  <conditionalFormatting sqref="F4:F60">
    <cfRule type="cellIs" dxfId="56" priority="3" stopIfTrue="1" operator="lessThanOrEqual">
      <formula>-0.1</formula>
    </cfRule>
    <cfRule type="expression" dxfId="55" priority="4">
      <formula>AND(ISNUMBER(F4), F4&gt;=0.1)</formula>
    </cfRule>
  </conditionalFormatting>
  <conditionalFormatting sqref="I4:I60">
    <cfRule type="cellIs" dxfId="54" priority="1" stopIfTrue="1" operator="lessThanOrEqual">
      <formula>-0.1</formula>
    </cfRule>
    <cfRule type="expression" dxfId="53" priority="2">
      <formula>AND(ISNUMBER(I4), I4&gt;=0.1)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10"/>
  <sheetViews>
    <sheetView workbookViewId="0">
      <pane ySplit="2" topLeftCell="A3" activePane="bottomLeft" state="frozen"/>
      <selection pane="bottomLeft" activeCell="E20" sqref="E20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10</v>
      </c>
      <c r="E1" s="79"/>
      <c r="F1" s="79"/>
      <c r="G1" s="77" t="s">
        <v>11</v>
      </c>
      <c r="H1" s="77"/>
      <c r="I1" s="77"/>
    </row>
    <row r="2" spans="1:11" ht="19.5" customHeight="1">
      <c r="A2" s="80" t="s">
        <v>2</v>
      </c>
      <c r="B2" s="80"/>
      <c r="C2" s="6">
        <f>SUM(C4:C68)</f>
        <v>3950905.238610202</v>
      </c>
      <c r="D2" s="6">
        <f>SUM(D4:D68)</f>
        <v>4602075.2571258591</v>
      </c>
      <c r="E2" s="6">
        <f>C2-D2</f>
        <v>-651170.01851565717</v>
      </c>
      <c r="F2" s="7">
        <f>IFERROR(E2/D2, 0)</f>
        <v>-0.14149486528004615</v>
      </c>
      <c r="G2" s="6">
        <f>SUM(G4:G68)</f>
        <v>3574033.6</v>
      </c>
      <c r="H2" s="8">
        <f>C2-G2</f>
        <v>376871.63861020189</v>
      </c>
      <c r="I2" s="7">
        <f>IFERROR(H2/G2, 0)</f>
        <v>0.10544714481984777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6">
      <c r="A4" s="13" t="str" cm="1">
        <f t="array" ref="A4:A11">Sites[Site]</f>
        <v>MA: Fairhaven - 279 Mill Rd</v>
      </c>
      <c r="B4" s="10" t="str" cm="1">
        <f t="array" ref="B4:B11">Sites[State]</f>
        <v>MA</v>
      </c>
      <c r="C4" s="26">
        <f>SUM(Jan!C4, Feb!C4, Mar!C4)</f>
        <v>212302</v>
      </c>
      <c r="D4" s="14">
        <f>SUM(Jan!D4, Feb!D4, Mar!D4)</f>
        <v>243217.7891500929</v>
      </c>
      <c r="E4" s="14">
        <f>IF(AND(ISNUMBER(C4),ISNUMBER(D4)), C4-D4, "")</f>
        <v>-30915.789150092896</v>
      </c>
      <c r="F4" s="15">
        <f t="shared" ref="F4:F11" si="0">IFERROR(E4/D4, "")</f>
        <v>-0.12711154582124071</v>
      </c>
      <c r="G4" s="16">
        <f>SUM(Jan!G4, Feb!G4, Mar!G4)</f>
        <v>174518.59999999995</v>
      </c>
      <c r="H4" s="16">
        <f>SUM(Jan!H4, Feb!H4, Mar!H4)</f>
        <v>37783.400000000052</v>
      </c>
      <c r="I4" s="17">
        <f t="shared" ref="I4:I11" si="1">IFERROR(H4/G4, "")</f>
        <v>0.21650070536894098</v>
      </c>
    </row>
    <row r="5" spans="1:11" ht="15.6">
      <c r="A5" s="31" t="str">
        <v>Bakersfield - 100 Basic School Rd</v>
      </c>
      <c r="B5" s="32" t="str">
        <v>CA</v>
      </c>
      <c r="C5" s="12">
        <f>SUM(Jan!C5, Feb!C5, Mar!C5)</f>
        <v>876708.03027687001</v>
      </c>
      <c r="D5" s="12">
        <f>SUM(Jan!D5, Feb!D5, Mar!D5)</f>
        <v>547801</v>
      </c>
      <c r="E5" s="20">
        <f t="shared" ref="E5:E7" si="2">IF(AND(ISNUMBER(C5),ISNUMBER(D5)), C5-D5, "")</f>
        <v>328907.03027687001</v>
      </c>
      <c r="F5" s="21">
        <f t="shared" si="0"/>
        <v>0.60041334403710478</v>
      </c>
      <c r="G5" s="12">
        <f>SUM(Jan!G5, Feb!G5, Mar!G5)</f>
        <v>621297.80000000005</v>
      </c>
      <c r="H5" s="20">
        <f>SUM(Jan!H5, Feb!H5, Mar!H5)</f>
        <v>255410.23027686996</v>
      </c>
      <c r="I5" s="21">
        <f t="shared" si="1"/>
        <v>0.41109147702900273</v>
      </c>
      <c r="J5" s="11"/>
      <c r="K5" s="19"/>
    </row>
    <row r="6" spans="1:11" ht="15.6">
      <c r="A6" s="13" t="str">
        <v>Fresno - 2685 Cornelia Ave</v>
      </c>
      <c r="B6" s="10" t="str">
        <v>CA</v>
      </c>
      <c r="C6" s="26">
        <f>SUM(Jan!C6, Feb!C6, Mar!C6)</f>
        <v>1178944</v>
      </c>
      <c r="D6" s="14">
        <f>SUM(Jan!D6, Feb!D6, Mar!D6)</f>
        <v>1571662</v>
      </c>
      <c r="E6" s="14">
        <f>IF(AND(ISNUMBER(C6),ISNUMBER(D6)), C6-D6, "")</f>
        <v>-392718</v>
      </c>
      <c r="F6" s="15">
        <f t="shared" si="0"/>
        <v>-0.24987433684850813</v>
      </c>
      <c r="G6" s="16">
        <f>SUM(Jan!G6, Feb!G6, Mar!G6)</f>
        <v>1030154</v>
      </c>
      <c r="H6" s="16">
        <f>SUM(Jan!H6, Feb!H6, Mar!H6)</f>
        <v>148790</v>
      </c>
      <c r="I6" s="17">
        <f t="shared" si="1"/>
        <v>0.14443471558621332</v>
      </c>
    </row>
    <row r="7" spans="1:11" ht="15.6">
      <c r="A7" s="31" t="str">
        <v>San Juaquin - S. Placer &amp; W. Adams</v>
      </c>
      <c r="B7" s="32" t="str">
        <v>CA</v>
      </c>
      <c r="C7" s="12">
        <f>SUM(Jan!C7, Feb!C7, Mar!C7)</f>
        <v>522765.20833333198</v>
      </c>
      <c r="D7" s="12">
        <f>SUM(Jan!D7, Feb!D7, Mar!D7)</f>
        <v>599049.6</v>
      </c>
      <c r="E7" s="20">
        <f t="shared" si="2"/>
        <v>-76284.391666668002</v>
      </c>
      <c r="F7" s="21">
        <f t="shared" si="0"/>
        <v>-0.12734236308090016</v>
      </c>
      <c r="G7" s="12">
        <f>SUM(Jan!G7, Feb!G7, Mar!G7)</f>
        <v>380972.2</v>
      </c>
      <c r="H7" s="20">
        <f>SUM(Jan!H7, Feb!H7, Mar!H7)</f>
        <v>141793.00833333196</v>
      </c>
      <c r="I7" s="21">
        <f t="shared" si="1"/>
        <v>0.37218728383155508</v>
      </c>
      <c r="J7" s="11"/>
      <c r="K7" s="19"/>
    </row>
    <row r="8" spans="1:11" ht="15.6">
      <c r="A8" s="13" t="str">
        <v xml:space="preserve">Charlemont - 0 Tea St </v>
      </c>
      <c r="B8" s="10" t="str">
        <v>MA</v>
      </c>
      <c r="C8" s="49">
        <f>SUM(Jan!C8, Feb!C8, Mar!C8)</f>
        <v>99864</v>
      </c>
      <c r="D8" s="14">
        <f>SUM(Jan!D8, Feb!D8, Mar!D8)</f>
        <v>266325.20172622107</v>
      </c>
      <c r="E8" s="14">
        <f>IF(AND(ISNUMBER(C8),ISNUMBER(D8)), C8-D8, "")</f>
        <v>-166461.20172622107</v>
      </c>
      <c r="F8" s="48">
        <f t="shared" si="0"/>
        <v>-0.62502985315426918</v>
      </c>
      <c r="G8" s="47">
        <f>SUM(Jan!G8, Feb!G8, Mar!G8)</f>
        <v>193054.00000000003</v>
      </c>
      <c r="H8" s="47">
        <f>SUM(Jan!H8, Feb!H8, Mar!H8)</f>
        <v>-93190.000000000029</v>
      </c>
      <c r="I8" s="46">
        <f t="shared" si="1"/>
        <v>-0.48271468086649338</v>
      </c>
    </row>
    <row r="9" spans="1:11" ht="15.6">
      <c r="A9" s="31" t="str">
        <v xml:space="preserve">Amherst - 740 Belchertown Rd </v>
      </c>
      <c r="B9" s="32" t="str">
        <v>MA</v>
      </c>
      <c r="C9" s="42">
        <f>SUM(Jan!C9, Feb!C9, Mar!C9)</f>
        <v>189777</v>
      </c>
      <c r="D9" s="42">
        <f>SUM(Jan!D9, Feb!D9, Mar!D9)</f>
        <v>290332.72465638258</v>
      </c>
      <c r="E9" s="20">
        <f>IF(AND(ISNUMBER(C9),ISNUMBER(D9)), C9-D9, "")</f>
        <v>-100555.72465638258</v>
      </c>
      <c r="F9" s="43">
        <f t="shared" si="0"/>
        <v>-0.34634650563553687</v>
      </c>
      <c r="G9" s="42">
        <f>SUM(Jan!G9, Feb!G9, Mar!G9)</f>
        <v>205706</v>
      </c>
      <c r="H9" s="20">
        <f>SUM(Jan!H9, Feb!H9, Mar!H9)</f>
        <v>-15929</v>
      </c>
      <c r="I9" s="43">
        <f t="shared" si="1"/>
        <v>-7.7435757829134783E-2</v>
      </c>
      <c r="J9" s="11"/>
      <c r="K9" s="19"/>
    </row>
    <row r="10" spans="1:11" ht="15.6">
      <c r="A10" s="13" t="str">
        <v xml:space="preserve"> Ludlow - Huxley 1 &amp; 2 - 504 Fuller St </v>
      </c>
      <c r="B10" s="10" t="str">
        <v>MA</v>
      </c>
      <c r="C10" s="49">
        <f>SUM(Jan!C10, Feb!C10, Mar!C10)</f>
        <v>582212</v>
      </c>
      <c r="D10" s="14">
        <f>SUM(Jan!D10, Feb!D10, Mar!D10)</f>
        <v>571527.02792272239</v>
      </c>
      <c r="E10" s="14">
        <f>IF(AND(ISNUMBER(C10),ISNUMBER(D10)), C10-D10, "")</f>
        <v>10684.972077277605</v>
      </c>
      <c r="F10" s="48">
        <f t="shared" si="0"/>
        <v>1.8695479925268464E-2</v>
      </c>
      <c r="G10" s="47">
        <f>SUM(Jan!G10, Feb!G10, Mar!G10)</f>
        <v>539970</v>
      </c>
      <c r="H10" s="47">
        <f>SUM(Jan!H10, Feb!H10, Mar!H10)</f>
        <v>42242</v>
      </c>
      <c r="I10" s="46">
        <f t="shared" si="1"/>
        <v>7.8230272052151051E-2</v>
      </c>
    </row>
    <row r="11" spans="1:11" ht="15.6">
      <c r="A11" s="31" t="str">
        <v>Easthampton - Beacon 1 &amp; 2 - 540 Florence Rd</v>
      </c>
      <c r="B11" s="32" t="str">
        <v>MA</v>
      </c>
      <c r="C11" s="42">
        <f>SUM(Jan!C11, Feb!C11, Mar!C11)</f>
        <v>288332.99999999994</v>
      </c>
      <c r="D11" s="42">
        <f>SUM(Jan!D11, Feb!D11, Mar!D11)</f>
        <v>512159.91367044003</v>
      </c>
      <c r="E11" s="20">
        <f>IF(AND(ISNUMBER(C11),ISNUMBER(D11)), C11-D11, "")</f>
        <v>-223826.91367044009</v>
      </c>
      <c r="F11" s="43">
        <f t="shared" si="0"/>
        <v>-0.43702544399924703</v>
      </c>
      <c r="G11" s="42">
        <f>SUM(Jan!G11, Feb!G11, Mar!G11)</f>
        <v>428361</v>
      </c>
      <c r="H11" s="20">
        <f>SUM(Jan!H11, Feb!H11, Mar!H11)</f>
        <v>-140028.00000000006</v>
      </c>
      <c r="I11" s="43">
        <f t="shared" si="1"/>
        <v>-0.32689250421957194</v>
      </c>
      <c r="J11" s="11"/>
      <c r="K11" s="19"/>
    </row>
    <row r="12" spans="1:11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11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11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11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11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52" priority="17" stopIfTrue="1" operator="lessThanOrEqual">
      <formula>-0.1</formula>
    </cfRule>
    <cfRule type="expression" dxfId="51" priority="18">
      <formula>AND(ISNUMBER(F2), F2&gt;=0.1)</formula>
    </cfRule>
  </conditionalFormatting>
  <conditionalFormatting sqref="F4:F68">
    <cfRule type="cellIs" dxfId="50" priority="3" stopIfTrue="1" operator="lessThanOrEqual">
      <formula>-0.1</formula>
    </cfRule>
    <cfRule type="expression" dxfId="49" priority="4">
      <formula>AND(ISNUMBER(F4), F4&gt;=0.1)</formula>
    </cfRule>
  </conditionalFormatting>
  <conditionalFormatting sqref="I4:I68">
    <cfRule type="cellIs" dxfId="48" priority="1" stopIfTrue="1" operator="lessThanOrEqual">
      <formula>-0.1</formula>
    </cfRule>
    <cfRule type="expression" dxfId="47" priority="2">
      <formula>AND(ISNUMBER(I4), I4&gt;=0.1)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332"/>
  <sheetViews>
    <sheetView workbookViewId="0">
      <pane ySplit="2" topLeftCell="A3" activePane="bottomLeft" state="frozen"/>
      <selection pane="bottomLeft" activeCell="E10" sqref="E10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12</v>
      </c>
      <c r="E1" s="79"/>
      <c r="F1" s="79"/>
      <c r="G1" s="77" t="s">
        <v>13</v>
      </c>
      <c r="H1" s="77"/>
      <c r="I1" s="77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6">
      <c r="A4" s="13" t="str" cm="1">
        <f t="array" ref="A4:A11">Sites[Site]</f>
        <v>MA: Fairhaven - 279 Mill Rd</v>
      </c>
      <c r="B4" s="10" t="str" cm="1">
        <f t="array" ref="B4:B11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11" ht="15.6">
      <c r="A5" s="31" t="str">
        <v>Bakersfield - 100 Basic School Rd</v>
      </c>
      <c r="B5" s="32" t="str">
        <v>CA</v>
      </c>
      <c r="C5" s="12">
        <f>SUM(Apr!C5, May!C5, Jun!C5)</f>
        <v>0</v>
      </c>
      <c r="D5" s="12">
        <f>SUM(Apr!D5, May!D5, Jun!D5)</f>
        <v>0</v>
      </c>
      <c r="E5" s="20">
        <f t="shared" ref="E5:E7" si="0">IF(AND(ISNUMBER(C5),ISNUMBER(D5)), C5-D5, "")</f>
        <v>0</v>
      </c>
      <c r="F5" s="21" t="str">
        <f t="shared" ref="F5" si="1">IFERROR(E5/D5, "")</f>
        <v/>
      </c>
      <c r="G5" s="12">
        <f>SUM(Apr!G5+May!G5+Jun!G5)</f>
        <v>0</v>
      </c>
      <c r="H5" s="20">
        <f>SUM(Apr!H5, May!H5, Jun!H5)</f>
        <v>0</v>
      </c>
      <c r="I5" s="21" t="str">
        <f t="shared" ref="I5" si="2">IFERROR(H5/G5, "")</f>
        <v/>
      </c>
      <c r="J5" s="11"/>
      <c r="K5" s="19"/>
    </row>
    <row r="6" spans="1:11" ht="15.6">
      <c r="A6" s="13" t="str">
        <v>Fresno - 2685 Cornelia Ave</v>
      </c>
      <c r="B6" s="10" t="str">
        <v>CA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1" si="3">IFERROR(E6/D6, "")</f>
        <v/>
      </c>
      <c r="G6" s="16">
        <f>SUM(Apr!G6+May!G6+Jun!G6)</f>
        <v>0</v>
      </c>
      <c r="H6" s="16">
        <f>SUM(Apr!H6, May!H6, Jun!H6)</f>
        <v>0</v>
      </c>
      <c r="I6" s="17" t="str">
        <f t="shared" ref="I6:I11" si="4">IFERROR(H6/G6, "")</f>
        <v/>
      </c>
    </row>
    <row r="7" spans="1:11" ht="15.6">
      <c r="A7" s="31" t="str">
        <v>San Juaquin - S. Placer &amp; W. Adams</v>
      </c>
      <c r="B7" s="32" t="str">
        <v>CA</v>
      </c>
      <c r="C7" s="12">
        <f>SUM(Apr!C7, May!C7, Jun!C7)</f>
        <v>0</v>
      </c>
      <c r="D7" s="12">
        <f>SUM(Apr!D7, May!D7, Jun!D7)</f>
        <v>0</v>
      </c>
      <c r="E7" s="20">
        <f t="shared" si="0"/>
        <v>0</v>
      </c>
      <c r="F7" s="21" t="str">
        <f t="shared" si="3"/>
        <v/>
      </c>
      <c r="G7" s="12">
        <f>SUM(Apr!G7+May!G7+Jun!G7)</f>
        <v>0</v>
      </c>
      <c r="H7" s="20">
        <f>SUM(Apr!H7, May!H7, Jun!H7)</f>
        <v>0</v>
      </c>
      <c r="I7" s="21" t="str">
        <f t="shared" si="4"/>
        <v/>
      </c>
      <c r="J7" s="11"/>
      <c r="K7" s="19"/>
    </row>
    <row r="8" spans="1:11" ht="12.75" customHeight="1">
      <c r="A8" s="13" t="str">
        <v xml:space="preserve">Charlemont - 0 Tea St </v>
      </c>
      <c r="B8" s="10" t="str">
        <v>MA</v>
      </c>
      <c r="C8" s="49">
        <f>SUM(Apr!C8, May!C8, Jun!C8)</f>
        <v>0</v>
      </c>
      <c r="D8" s="14">
        <f>SUM(Apr!D8, May!D8, Jun!D8)</f>
        <v>0</v>
      </c>
      <c r="E8" s="14">
        <f>IF(AND(ISNUMBER(C8),ISNUMBER(D8)), C8-D8, "")</f>
        <v>0</v>
      </c>
      <c r="F8" s="48" t="str">
        <f t="shared" si="3"/>
        <v/>
      </c>
      <c r="G8" s="47">
        <f>SUM(Apr!G8+May!G8+Jun!G8)</f>
        <v>0</v>
      </c>
      <c r="H8" s="47">
        <f>SUM(Apr!H8, May!H8, Jun!H8)</f>
        <v>0</v>
      </c>
      <c r="I8" s="46" t="str">
        <f t="shared" si="4"/>
        <v/>
      </c>
    </row>
    <row r="9" spans="1:11" ht="15.6">
      <c r="A9" s="31" t="str">
        <v xml:space="preserve">Amherst - 740 Belchertown Rd </v>
      </c>
      <c r="B9" s="32" t="str">
        <v>MA</v>
      </c>
      <c r="C9" s="42">
        <f>SUM(Apr!C9, May!C9, Jun!C9)</f>
        <v>0</v>
      </c>
      <c r="D9" s="42">
        <f>SUM(Apr!D9, May!D9, Jun!D9)</f>
        <v>0</v>
      </c>
      <c r="E9" s="20">
        <f>IF(AND(ISNUMBER(C9),ISNUMBER(D9)), C9-D9, "")</f>
        <v>0</v>
      </c>
      <c r="F9" s="43" t="str">
        <f t="shared" si="3"/>
        <v/>
      </c>
      <c r="G9" s="42">
        <f>SUM(Apr!G9+May!G9+Jun!G9)</f>
        <v>0</v>
      </c>
      <c r="H9" s="20">
        <f>SUM(Apr!H9, May!H9, Jun!H9)</f>
        <v>0</v>
      </c>
      <c r="I9" s="43" t="str">
        <f t="shared" si="4"/>
        <v/>
      </c>
      <c r="J9" s="11"/>
      <c r="K9" s="19"/>
    </row>
    <row r="10" spans="1:11" ht="15.6">
      <c r="A10" s="13" t="str">
        <v xml:space="preserve"> Ludlow - Huxley 1 &amp; 2 - 504 Fuller St </v>
      </c>
      <c r="B10" s="10" t="str">
        <v>MA</v>
      </c>
      <c r="C10" s="49">
        <f>SUM(Apr!C10, May!C10, Jun!C10)</f>
        <v>0</v>
      </c>
      <c r="D10" s="14">
        <f>SUM(Apr!D10, May!D10, Jun!D10)</f>
        <v>0</v>
      </c>
      <c r="E10" s="14">
        <f>IF(AND(ISNUMBER(C10),ISNUMBER(D10)), C10-D10, "")</f>
        <v>0</v>
      </c>
      <c r="F10" s="48" t="str">
        <f t="shared" si="3"/>
        <v/>
      </c>
      <c r="G10" s="47">
        <f>SUM(Apr!G10+May!G10+Jun!G10)</f>
        <v>0</v>
      </c>
      <c r="H10" s="47">
        <f>SUM(Apr!H10, May!H10, Jun!H10)</f>
        <v>0</v>
      </c>
      <c r="I10" s="46" t="str">
        <f t="shared" si="4"/>
        <v/>
      </c>
    </row>
    <row r="11" spans="1:11" ht="15.6">
      <c r="A11" s="31" t="str">
        <v>Easthampton - Beacon 1 &amp; 2 - 540 Florence Rd</v>
      </c>
      <c r="B11" s="32" t="str">
        <v>MA</v>
      </c>
      <c r="C11" s="42">
        <f>SUM(Apr!C11, May!C11, Jun!C11)</f>
        <v>0</v>
      </c>
      <c r="D11" s="42">
        <f>SUM(Apr!D11, May!D11, Jun!D11)</f>
        <v>0</v>
      </c>
      <c r="E11" s="20">
        <f>IF(AND(ISNUMBER(C11),ISNUMBER(D11)), C11-D11, "")</f>
        <v>0</v>
      </c>
      <c r="F11" s="43" t="str">
        <f t="shared" si="3"/>
        <v/>
      </c>
      <c r="G11" s="42">
        <f>SUM(Apr!G11+May!G11+Jun!G11)</f>
        <v>0</v>
      </c>
      <c r="H11" s="20">
        <f>SUM(Apr!H11, May!H11, Jun!H11)</f>
        <v>0</v>
      </c>
      <c r="I11" s="43" t="str">
        <f t="shared" si="4"/>
        <v/>
      </c>
      <c r="J11" s="11"/>
      <c r="K11" s="19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46" priority="13" stopIfTrue="1" operator="lessThanOrEqual">
      <formula>-0.1</formula>
    </cfRule>
    <cfRule type="expression" dxfId="45" priority="14">
      <formula>AND(ISNUMBER(F2), F2&gt;=0.1)</formula>
    </cfRule>
  </conditionalFormatting>
  <conditionalFormatting sqref="F4:F90">
    <cfRule type="cellIs" dxfId="44" priority="3" stopIfTrue="1" operator="lessThanOrEqual">
      <formula>-0.1</formula>
    </cfRule>
    <cfRule type="expression" dxfId="43" priority="4">
      <formula>AND(ISNUMBER(F4), F4&gt;=0.1)</formula>
    </cfRule>
  </conditionalFormatting>
  <conditionalFormatting sqref="I4:I90">
    <cfRule type="cellIs" dxfId="42" priority="1" stopIfTrue="1" operator="lessThanOrEqual">
      <formula>-0.1</formula>
    </cfRule>
    <cfRule type="expression" dxfId="41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31"/>
  <sheetViews>
    <sheetView workbookViewId="0">
      <pane ySplit="2" topLeftCell="A3" activePane="bottomLeft" state="frozen"/>
      <selection pane="bottomLeft" activeCell="E18" sqref="E18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14</v>
      </c>
      <c r="E1" s="79"/>
      <c r="F1" s="79"/>
      <c r="G1" s="77" t="s">
        <v>15</v>
      </c>
      <c r="H1" s="77"/>
      <c r="I1" s="77"/>
    </row>
    <row r="2" spans="1:11" ht="19.5" customHeight="1">
      <c r="A2" s="80" t="s">
        <v>2</v>
      </c>
      <c r="B2" s="8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6">
      <c r="A4" s="13" t="str" cm="1">
        <f t="array" ref="A4:A11">Sites[Site]</f>
        <v>MA: Fairhaven - 279 Mill Rd</v>
      </c>
      <c r="B4" s="10" t="str" cm="1">
        <f t="array" ref="B4:B11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11" ht="15.6">
      <c r="A5" s="31" t="str">
        <v>Bakersfield - 100 Basic School Rd</v>
      </c>
      <c r="B5" s="32" t="str">
        <v>CA</v>
      </c>
      <c r="C5" s="12">
        <f>SUM(Jul!C5, Aug!C5, Sep!C5)</f>
        <v>0</v>
      </c>
      <c r="D5" s="20">
        <f>SUM(Jul!D5, Aug!D5, Sep!D5)</f>
        <v>0</v>
      </c>
      <c r="E5" s="20">
        <f t="shared" ref="E5:E7" si="0">IF(AND(ISNUMBER(C5),ISNUMBER(D5)), C5-D5, "")</f>
        <v>0</v>
      </c>
      <c r="F5" s="21" t="str">
        <f t="shared" ref="F5:F7" si="1">IFERROR(E5/D5, "")</f>
        <v/>
      </c>
      <c r="G5" s="22">
        <f>SUM(Jul!G5, Aug!G5, Sep!G5)</f>
        <v>0</v>
      </c>
      <c r="H5" s="22">
        <f>SUM(Jul!H5, Aug!H5, Sep!H5)</f>
        <v>0</v>
      </c>
      <c r="I5" s="21" t="str">
        <f t="shared" ref="I5:I7" si="2">IFERROR(H5/G5, "")</f>
        <v/>
      </c>
      <c r="J5" s="11"/>
      <c r="K5" s="19"/>
    </row>
    <row r="6" spans="1:11" ht="15.6">
      <c r="A6" s="13" t="str">
        <v>Fresno - 2685 Cornelia Ave</v>
      </c>
      <c r="B6" s="10" t="str">
        <v>CA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si="1"/>
        <v/>
      </c>
      <c r="G6" s="16">
        <f>SUM(Jul!G6, Aug!G6, Sep!G6)</f>
        <v>0</v>
      </c>
      <c r="H6" s="16">
        <f>SUM(Jul!H6, Aug!H6, Sep!H6)</f>
        <v>0</v>
      </c>
      <c r="I6" s="17" t="str">
        <f t="shared" si="2"/>
        <v/>
      </c>
    </row>
    <row r="7" spans="1:11" ht="12.75" customHeight="1">
      <c r="A7" s="31" t="str">
        <v>San Juaquin - S. Placer &amp; W. Adams</v>
      </c>
      <c r="B7" s="32" t="str">
        <v>CA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>
        <f>SUM(Jul!G7, Aug!G7, Sep!G7)</f>
        <v>0</v>
      </c>
      <c r="H7" s="22">
        <f>SUM(Jul!H7, Aug!H7, Sep!H7)</f>
        <v>0</v>
      </c>
      <c r="I7" s="21" t="str">
        <f t="shared" si="2"/>
        <v/>
      </c>
      <c r="J7" s="11"/>
      <c r="K7" s="19"/>
    </row>
    <row r="8" spans="1:11" ht="15.6">
      <c r="A8" s="13" t="str">
        <v xml:space="preserve">Charlemont - 0 Tea St </v>
      </c>
      <c r="B8" s="10" t="str">
        <v>MA</v>
      </c>
      <c r="C8" s="49">
        <f>SUM(Jul!C8, Aug!C8, Sep!C8)</f>
        <v>0</v>
      </c>
      <c r="D8" s="14">
        <f>SUM(Jul!D8, Aug!D8, Sep!D8)</f>
        <v>0</v>
      </c>
      <c r="E8" s="14">
        <f>IF(AND(ISNUMBER(C8),ISNUMBER(D8)), C8-D8, "")</f>
        <v>0</v>
      </c>
      <c r="F8" s="48" t="str">
        <f>IFERROR(E8/D8, "")</f>
        <v/>
      </c>
      <c r="G8" s="47">
        <f>SUM(Jul!G8, Aug!G8, Sep!G8)</f>
        <v>0</v>
      </c>
      <c r="H8" s="47">
        <f>SUM(Jul!H8, Aug!H8, Sep!H8)</f>
        <v>0</v>
      </c>
      <c r="I8" s="46" t="str">
        <f>IFERROR(H8/G8, "")</f>
        <v/>
      </c>
    </row>
    <row r="9" spans="1:11" ht="15.6">
      <c r="A9" s="31" t="str">
        <v xml:space="preserve">Amherst - 740 Belchertown Rd </v>
      </c>
      <c r="B9" s="32" t="str">
        <v>MA</v>
      </c>
      <c r="C9" s="42">
        <f>SUM(Jul!C9, Aug!C9, Sep!C9)</f>
        <v>0</v>
      </c>
      <c r="D9" s="20">
        <f>SUM(Jul!D9, Aug!D9, Sep!D9)</f>
        <v>0</v>
      </c>
      <c r="E9" s="20">
        <f>IF(AND(ISNUMBER(C9),ISNUMBER(D9)), C9-D9, "")</f>
        <v>0</v>
      </c>
      <c r="F9" s="43" t="str">
        <f>IFERROR(E9/D9, "")</f>
        <v/>
      </c>
      <c r="G9" s="44">
        <f>SUM(Jul!G9, Aug!G9, Sep!G9)</f>
        <v>0</v>
      </c>
      <c r="H9" s="44">
        <f>SUM(Jul!H9, Aug!H9, Sep!H9)</f>
        <v>0</v>
      </c>
      <c r="I9" s="43" t="str">
        <f>IFERROR(H9/G9, "")</f>
        <v/>
      </c>
      <c r="J9" s="11"/>
      <c r="K9" s="19"/>
    </row>
    <row r="10" spans="1:11" ht="15.6">
      <c r="A10" s="13" t="str">
        <v xml:space="preserve"> Ludlow - Huxley 1 &amp; 2 - 504 Fuller St </v>
      </c>
      <c r="B10" s="10" t="str">
        <v>MA</v>
      </c>
      <c r="C10" s="49">
        <f>SUM(Jul!C10, Aug!C10, Sep!C10)</f>
        <v>0</v>
      </c>
      <c r="D10" s="14">
        <f>SUM(Jul!D10, Aug!D10, Sep!D10)</f>
        <v>0</v>
      </c>
      <c r="E10" s="14">
        <f>IF(AND(ISNUMBER(C10),ISNUMBER(D10)), C10-D10, "")</f>
        <v>0</v>
      </c>
      <c r="F10" s="48" t="str">
        <f>IFERROR(E10/D10, "")</f>
        <v/>
      </c>
      <c r="G10" s="47">
        <f>SUM(Jul!G10, Aug!G10, Sep!G10)</f>
        <v>0</v>
      </c>
      <c r="H10" s="47">
        <f>SUM(Jul!H10, Aug!H10, Sep!H10)</f>
        <v>0</v>
      </c>
      <c r="I10" s="46" t="str">
        <f>IFERROR(H10/G10, "")</f>
        <v/>
      </c>
    </row>
    <row r="11" spans="1:11" ht="15.6">
      <c r="A11" s="31" t="str">
        <v>Easthampton - Beacon 1 &amp; 2 - 540 Florence Rd</v>
      </c>
      <c r="B11" s="32" t="str">
        <v>MA</v>
      </c>
      <c r="C11" s="42">
        <f>SUM(Jul!C11, Aug!C11, Sep!C11)</f>
        <v>0</v>
      </c>
      <c r="D11" s="20">
        <f>SUM(Jul!D11, Aug!D11, Sep!D11)</f>
        <v>0</v>
      </c>
      <c r="E11" s="20">
        <f>IF(AND(ISNUMBER(C11),ISNUMBER(D11)), C11-D11, "")</f>
        <v>0</v>
      </c>
      <c r="F11" s="43" t="str">
        <f>IFERROR(E11/D11, "")</f>
        <v/>
      </c>
      <c r="G11" s="44">
        <f>SUM(Jul!G11, Aug!G11, Sep!G11)</f>
        <v>0</v>
      </c>
      <c r="H11" s="44">
        <f>SUM(Jul!H11, Aug!H11, Sep!H11)</f>
        <v>0</v>
      </c>
      <c r="I11" s="43" t="str">
        <f>IFERROR(H11/G11, "")</f>
        <v/>
      </c>
      <c r="J11" s="11"/>
      <c r="K11" s="19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">
    <cfRule type="cellIs" dxfId="40" priority="5" stopIfTrue="1" operator="lessThanOrEqual">
      <formula>-0.1</formula>
    </cfRule>
    <cfRule type="expression" dxfId="39" priority="6">
      <formula>AND(ISNUMBER(F2), F2&gt;=0.1)</formula>
    </cfRule>
  </conditionalFormatting>
  <conditionalFormatting sqref="F4:F89 I4:I89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331"/>
  <sheetViews>
    <sheetView workbookViewId="0">
      <pane ySplit="2" topLeftCell="A3" activePane="bottomLeft" state="frozen"/>
      <selection pane="bottomLeft" activeCell="D11" sqref="D11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16</v>
      </c>
      <c r="E1" s="79"/>
      <c r="F1" s="79"/>
      <c r="G1" s="77" t="s">
        <v>17</v>
      </c>
      <c r="H1" s="77"/>
      <c r="I1" s="77"/>
    </row>
    <row r="2" spans="1:11" ht="19.5" customHeight="1">
      <c r="A2" s="80" t="s">
        <v>2</v>
      </c>
      <c r="B2" s="80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6">
      <c r="A4" s="13" t="str" cm="1">
        <f t="array" ref="A4:A11">Sites[Site]</f>
        <v>MA: Fairhaven - 279 Mill Rd</v>
      </c>
      <c r="B4" s="10" t="str" cm="1">
        <f t="array" ref="B4:B11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11" ht="15.6">
      <c r="A5" s="31" t="str">
        <v>Bakersfield - 100 Basic School Rd</v>
      </c>
      <c r="B5" s="32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 t="shared" ref="F5:F7" si="1">IFERROR(E5/D5, "")</f>
        <v/>
      </c>
      <c r="G5" s="22">
        <f>SUM(Oct!G5,Nov!G5,Dec!G5)</f>
        <v>0</v>
      </c>
      <c r="H5" s="22">
        <f>SUM(Oct!H5, Nov!H5, Dec!H5)</f>
        <v>0</v>
      </c>
      <c r="I5" s="21" t="str">
        <f t="shared" ref="I5:I7" si="2">IFERROR(H5/G5, "")</f>
        <v/>
      </c>
      <c r="J5" s="11"/>
      <c r="K5" s="19"/>
    </row>
    <row r="6" spans="1:11" ht="15.6">
      <c r="A6" s="13" t="str">
        <v>Fresno - 2685 Cornelia Ave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si="1"/>
        <v/>
      </c>
      <c r="G6" s="16">
        <f>SUM(Oct!G6,Nov!G6,Dec!G6)</f>
        <v>0</v>
      </c>
      <c r="H6" s="16">
        <f>SUM(Oct!H6, Nov!H6, Dec!H6)</f>
        <v>0</v>
      </c>
      <c r="I6" s="17" t="str">
        <f t="shared" si="2"/>
        <v/>
      </c>
    </row>
    <row r="7" spans="1:11" ht="12.75" customHeight="1">
      <c r="A7" s="31" t="str">
        <v>San Juaquin - S. Placer &amp; W. Adams</v>
      </c>
      <c r="B7" s="32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  <c r="J7" s="11"/>
      <c r="K7" s="19"/>
    </row>
    <row r="8" spans="1:11" ht="15.6">
      <c r="A8" s="13" t="str">
        <v xml:space="preserve">Charlemont - 0 Tea St </v>
      </c>
      <c r="B8" s="10" t="str">
        <v>MA</v>
      </c>
      <c r="C8" s="49">
        <f>SUM(Oct!C8, Nov!C8, Dec!C8)</f>
        <v>0</v>
      </c>
      <c r="D8" s="14">
        <f>SUM(Oct!D8, Nov!D8, Dec!D8)</f>
        <v>0</v>
      </c>
      <c r="E8" s="14">
        <f>IF(AND(ISNUMBER(C8),ISNUMBER(D8)), C8-D8, "")</f>
        <v>0</v>
      </c>
      <c r="F8" s="48" t="str">
        <f>IFERROR(E8/D8, "")</f>
        <v/>
      </c>
      <c r="G8" s="47">
        <f>SUM(Oct!G8,Nov!G8,Dec!G8)</f>
        <v>0</v>
      </c>
      <c r="H8" s="47">
        <f>SUM(Oct!H8, Nov!H8, Dec!H8)</f>
        <v>0</v>
      </c>
      <c r="I8" s="46" t="str">
        <f>IFERROR(H8/G8, "")</f>
        <v/>
      </c>
    </row>
    <row r="9" spans="1:11" ht="15.6">
      <c r="A9" s="31" t="str">
        <v xml:space="preserve">Amherst - 740 Belchertown Rd </v>
      </c>
      <c r="B9" s="32" t="str">
        <v>MA</v>
      </c>
      <c r="C9" s="42">
        <f>SUM(Oct!C9, Nov!C9, Dec!C9)</f>
        <v>0</v>
      </c>
      <c r="D9" s="20">
        <f>SUM(Oct!D9, Nov!D9, Dec!D9)</f>
        <v>0</v>
      </c>
      <c r="E9" s="20">
        <f>IF(AND(ISNUMBER(C9),ISNUMBER(D9)), C9-D9, "")</f>
        <v>0</v>
      </c>
      <c r="F9" s="43" t="str">
        <f>IFERROR(E9/D9, "")</f>
        <v/>
      </c>
      <c r="G9" s="44">
        <f>SUM(Oct!G9,Nov!G9,Dec!G9)</f>
        <v>0</v>
      </c>
      <c r="H9" s="44">
        <f>SUM(Oct!H9, Nov!H9, Dec!H9)</f>
        <v>0</v>
      </c>
      <c r="I9" s="43" t="str">
        <f>IFERROR(H9/G9, "")</f>
        <v/>
      </c>
      <c r="J9" s="11"/>
      <c r="K9" s="19"/>
    </row>
    <row r="10" spans="1:11" ht="15.6">
      <c r="A10" s="13" t="str">
        <v xml:space="preserve"> Ludlow - Huxley 1 &amp; 2 - 504 Fuller St </v>
      </c>
      <c r="B10" s="10" t="str">
        <v>MA</v>
      </c>
      <c r="C10" s="49">
        <f>SUM(Oct!C10, Nov!C10, Dec!C10)</f>
        <v>0</v>
      </c>
      <c r="D10" s="14">
        <f>SUM(Oct!D10, Nov!D10, Dec!D10)</f>
        <v>0</v>
      </c>
      <c r="E10" s="14">
        <f>IF(AND(ISNUMBER(C10),ISNUMBER(D10)), C10-D10, "")</f>
        <v>0</v>
      </c>
      <c r="F10" s="48" t="str">
        <f>IFERROR(E10/D10, "")</f>
        <v/>
      </c>
      <c r="G10" s="47">
        <f>SUM(Oct!G10,Nov!G10,Dec!G10)</f>
        <v>0</v>
      </c>
      <c r="H10" s="47">
        <f>SUM(Oct!H10, Nov!H10, Dec!H10)</f>
        <v>0</v>
      </c>
      <c r="I10" s="46" t="str">
        <f>IFERROR(H10/G10, "")</f>
        <v/>
      </c>
    </row>
    <row r="11" spans="1:11" ht="15.6">
      <c r="A11" s="31" t="str">
        <v>Easthampton - Beacon 1 &amp; 2 - 540 Florence Rd</v>
      </c>
      <c r="B11" s="32" t="str">
        <v>MA</v>
      </c>
      <c r="C11" s="42">
        <f>SUM(Oct!C11, Nov!C11, Dec!C11)</f>
        <v>0</v>
      </c>
      <c r="D11" s="20">
        <f>SUM(Oct!D11, Nov!D11, Dec!D11)</f>
        <v>0</v>
      </c>
      <c r="E11" s="20">
        <f>IF(AND(ISNUMBER(C11),ISNUMBER(D11)), C11-D11, "")</f>
        <v>0</v>
      </c>
      <c r="F11" s="43" t="str">
        <f>IFERROR(E11/D11, "")</f>
        <v/>
      </c>
      <c r="G11" s="44">
        <f>SUM(Oct!G11,Nov!G11,Dec!G11)</f>
        <v>0</v>
      </c>
      <c r="H11" s="44">
        <f>SUM(Oct!H11, Nov!H11, Dec!H11)</f>
        <v>0</v>
      </c>
      <c r="I11" s="43" t="str">
        <f>IFERROR(H11/G11, "")</f>
        <v/>
      </c>
      <c r="J11" s="11"/>
      <c r="K11" s="19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">
    <cfRule type="cellIs" dxfId="36" priority="9" stopIfTrue="1" operator="lessThanOrEqual">
      <formula>-0.1</formula>
    </cfRule>
    <cfRule type="expression" dxfId="35" priority="10">
      <formula>AND(ISNUMBER(F2), F2&gt;=0.1)</formula>
    </cfRule>
  </conditionalFormatting>
  <conditionalFormatting sqref="F4:F89 I4:I89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O330"/>
  <sheetViews>
    <sheetView tabSelected="1" zoomScale="70" zoomScaleNormal="70" workbookViewId="0">
      <pane ySplit="3" topLeftCell="A4" activePane="bottomLeft" state="frozen"/>
      <selection pane="bottomLeft" activeCell="R8" sqref="R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2.5703125" customWidth="1"/>
    <col min="11" max="11" width="20.5703125" bestFit="1" customWidth="1"/>
  </cols>
  <sheetData>
    <row r="1" spans="1:15" ht="19.5" customHeight="1">
      <c r="A1" s="78" t="str" cm="1">
        <f t="array" ref="A1">portfolio</f>
        <v>AB CarVal</v>
      </c>
      <c r="B1" s="78"/>
      <c r="C1" s="78"/>
      <c r="D1" s="79" t="s">
        <v>18</v>
      </c>
      <c r="E1" s="79"/>
      <c r="F1" s="79"/>
      <c r="G1" s="77" t="s">
        <v>19</v>
      </c>
      <c r="H1" s="77"/>
      <c r="I1" s="77"/>
      <c r="J1" s="5"/>
      <c r="K1" s="5"/>
    </row>
    <row r="2" spans="1:15" ht="19.5" customHeight="1">
      <c r="A2" s="80" t="s">
        <v>2</v>
      </c>
      <c r="B2" s="80"/>
      <c r="C2" s="6">
        <f>SUM(C4:C88)</f>
        <v>3950905.238610202</v>
      </c>
      <c r="D2" s="6">
        <f>SUM(D4:D88)</f>
        <v>4602075.2571258591</v>
      </c>
      <c r="E2" s="6">
        <f>C2-D2</f>
        <v>-651170.01851565717</v>
      </c>
      <c r="F2" s="7">
        <f>IFERROR(E2/D2, 0)</f>
        <v>-0.14149486528004615</v>
      </c>
      <c r="G2" s="6">
        <f>SUM(G4:G88)</f>
        <v>3574033.6</v>
      </c>
      <c r="H2" s="8">
        <f>C2-G2</f>
        <v>376871.63861020189</v>
      </c>
      <c r="I2" s="7">
        <f>IFERROR(H2/G2, 0)</f>
        <v>0.10544714481984777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5" ht="15.6">
      <c r="A4" s="33" t="str" cm="1">
        <f t="array" ref="A4:A11">Sites[Site]</f>
        <v>MA: Fairhaven - 279 Mill Rd</v>
      </c>
      <c r="B4" s="30" t="str" cm="1">
        <f t="array" ref="B4:B11">Sites[State]</f>
        <v>MA</v>
      </c>
      <c r="C4" s="26">
        <v>212302</v>
      </c>
      <c r="D4" s="14">
        <v>243217.7891500929</v>
      </c>
      <c r="E4" s="14">
        <f>IF(AND(ISNUMBER(C4),ISNUMBER(D4)), C4-D4, "")</f>
        <v>-30915.789150092896</v>
      </c>
      <c r="F4" s="15">
        <f>IFERROR(E4/D4, "")</f>
        <v>-0.12711154582124071</v>
      </c>
      <c r="G4" s="16">
        <v>174518.59999999995</v>
      </c>
      <c r="H4" s="16">
        <f>IF(AND(ISNUMBER(C4),ISNUMBER(G4)), C4-G4, "")</f>
        <v>37783.400000000052</v>
      </c>
      <c r="I4" s="17">
        <f>IFERROR(H4/G4, "")</f>
        <v>0.21650070536894098</v>
      </c>
      <c r="J4" s="18"/>
      <c r="K4" s="18"/>
    </row>
    <row r="5" spans="1:15" ht="57.6">
      <c r="A5" s="31" t="str">
        <v>Bakersfield - 100 Basic School Rd</v>
      </c>
      <c r="B5" s="32" t="str">
        <v>CA</v>
      </c>
      <c r="C5" s="12">
        <v>876708.03027687001</v>
      </c>
      <c r="D5" s="20">
        <v>547801</v>
      </c>
      <c r="E5" s="20">
        <f t="shared" ref="E5:E11" si="0">IF(AND(ISNUMBER(C5),ISNUMBER(D5)), C5-D5, "")</f>
        <v>328907.03027687001</v>
      </c>
      <c r="F5" s="21">
        <f t="shared" ref="F5:F11" si="1">IFERROR(E5/D5, "")</f>
        <v>0.60041334403710478</v>
      </c>
      <c r="G5" s="22">
        <v>621297.80000000005</v>
      </c>
      <c r="H5" s="22">
        <f t="shared" ref="H5:H11" si="2">IF(AND(ISNUMBER(C5),ISNUMBER(G5)), C5-G5, "")</f>
        <v>255410.23027686996</v>
      </c>
      <c r="I5" s="21">
        <f t="shared" ref="I5:I11" si="3">IFERROR(H5/G5, "")</f>
        <v>0.41109147702900273</v>
      </c>
      <c r="J5" s="71" t="s">
        <v>22</v>
      </c>
      <c r="K5" s="73" t="s">
        <v>23</v>
      </c>
      <c r="L5" s="75" t="s">
        <v>24</v>
      </c>
    </row>
    <row r="6" spans="1:15" ht="117" customHeight="1">
      <c r="A6" s="33" t="str">
        <v>Fresno - 2685 Cornelia Ave</v>
      </c>
      <c r="B6" s="30" t="str">
        <v>CA</v>
      </c>
      <c r="C6" s="26">
        <v>1178944</v>
      </c>
      <c r="D6" s="14">
        <v>1571662</v>
      </c>
      <c r="E6" s="14">
        <f t="shared" ref="E6:E10" si="4">IF(AND(ISNUMBER(C6),ISNUMBER(D6)), C6-D6, "")</f>
        <v>-392718</v>
      </c>
      <c r="F6" s="15">
        <f t="shared" ref="F6:F10" si="5">IFERROR(E6/D6, "")</f>
        <v>-0.24987433684850813</v>
      </c>
      <c r="G6" s="16">
        <v>1030154</v>
      </c>
      <c r="H6" s="16">
        <f t="shared" ref="H6:H10" si="6">IF(AND(ISNUMBER(C6),ISNUMBER(G6)), C6-G6, "")</f>
        <v>148790</v>
      </c>
      <c r="I6" s="17">
        <f t="shared" ref="I6:I10" si="7">IFERROR(H6/G6, "")</f>
        <v>0.14443471558621332</v>
      </c>
      <c r="J6" s="18" t="s">
        <v>25</v>
      </c>
      <c r="K6" s="74" t="s">
        <v>26</v>
      </c>
      <c r="L6" s="75" t="s">
        <v>27</v>
      </c>
      <c r="M6" s="75" t="s">
        <v>28</v>
      </c>
      <c r="N6" s="75" t="s">
        <v>29</v>
      </c>
      <c r="O6" s="75" t="s">
        <v>30</v>
      </c>
    </row>
    <row r="7" spans="1:15" ht="72">
      <c r="A7" s="31" t="str">
        <v>San Juaquin - S. Placer &amp; W. Adams</v>
      </c>
      <c r="B7" s="32" t="str">
        <v>CA</v>
      </c>
      <c r="C7" s="12">
        <v>522765.20833333198</v>
      </c>
      <c r="D7" s="20">
        <v>599049.6</v>
      </c>
      <c r="E7" s="20">
        <f t="shared" si="0"/>
        <v>-76284.391666668002</v>
      </c>
      <c r="F7" s="21">
        <f t="shared" si="1"/>
        <v>-0.12734236308090016</v>
      </c>
      <c r="G7" s="22">
        <v>380972.2</v>
      </c>
      <c r="H7" s="22">
        <f t="shared" si="2"/>
        <v>141793.00833333196</v>
      </c>
      <c r="I7" s="21">
        <f t="shared" si="3"/>
        <v>0.37218728383155508</v>
      </c>
      <c r="J7" s="50" t="s">
        <v>31</v>
      </c>
      <c r="K7" s="73" t="s">
        <v>32</v>
      </c>
      <c r="L7" s="75" t="s">
        <v>33</v>
      </c>
      <c r="M7" s="75" t="s">
        <v>34</v>
      </c>
      <c r="N7" s="75" t="s">
        <v>35</v>
      </c>
      <c r="O7" s="76"/>
    </row>
    <row r="8" spans="1:15" ht="43.15">
      <c r="A8" s="33" t="str">
        <v xml:space="preserve">Charlemont - 0 Tea St </v>
      </c>
      <c r="B8" s="30" t="str">
        <v>MA</v>
      </c>
      <c r="C8" s="26">
        <v>99864</v>
      </c>
      <c r="D8" s="14">
        <v>266325.20172622107</v>
      </c>
      <c r="E8" s="14">
        <f t="shared" si="4"/>
        <v>-166461.20172622107</v>
      </c>
      <c r="F8" s="15">
        <f t="shared" si="5"/>
        <v>-0.62502985315426918</v>
      </c>
      <c r="G8" s="16">
        <v>193054.00000000003</v>
      </c>
      <c r="H8" s="16">
        <f t="shared" si="6"/>
        <v>-93190.000000000029</v>
      </c>
      <c r="I8" s="17">
        <f t="shared" si="7"/>
        <v>-0.48271468086649338</v>
      </c>
      <c r="J8" s="18" t="s">
        <v>36</v>
      </c>
      <c r="K8" s="74" t="s">
        <v>37</v>
      </c>
      <c r="L8" s="75" t="s">
        <v>38</v>
      </c>
      <c r="M8" s="76"/>
      <c r="N8" s="76"/>
      <c r="O8" s="76"/>
    </row>
    <row r="9" spans="1:15" ht="15.6">
      <c r="A9" s="31" t="str">
        <v xml:space="preserve">Amherst - 740 Belchertown Rd </v>
      </c>
      <c r="B9" s="32" t="str">
        <v>MA</v>
      </c>
      <c r="C9" s="12">
        <v>189777</v>
      </c>
      <c r="D9" s="20">
        <v>290332.72465638258</v>
      </c>
      <c r="E9" s="20">
        <f t="shared" si="0"/>
        <v>-100555.72465638258</v>
      </c>
      <c r="F9" s="21">
        <f t="shared" si="1"/>
        <v>-0.34634650563553687</v>
      </c>
      <c r="G9" s="22">
        <v>205706</v>
      </c>
      <c r="H9" s="22">
        <f t="shared" si="2"/>
        <v>-15929</v>
      </c>
      <c r="I9" s="21">
        <f t="shared" si="3"/>
        <v>-7.7435757829134783E-2</v>
      </c>
      <c r="J9" s="11"/>
      <c r="K9" s="19"/>
      <c r="L9" s="76"/>
      <c r="M9" s="76"/>
      <c r="N9" s="76"/>
      <c r="O9" s="76"/>
    </row>
    <row r="10" spans="1:15" ht="28.9">
      <c r="A10" s="33" t="str">
        <v xml:space="preserve"> Ludlow - Huxley 1 &amp; 2 - 504 Fuller St </v>
      </c>
      <c r="B10" s="30" t="str">
        <v>MA</v>
      </c>
      <c r="C10" s="26">
        <v>582212</v>
      </c>
      <c r="D10" s="14">
        <v>571527.02792272239</v>
      </c>
      <c r="E10" s="14">
        <f t="shared" si="4"/>
        <v>10684.972077277605</v>
      </c>
      <c r="F10" s="15">
        <f t="shared" si="5"/>
        <v>1.8695479925268464E-2</v>
      </c>
      <c r="G10" s="16">
        <v>539970</v>
      </c>
      <c r="H10" s="16">
        <f t="shared" si="6"/>
        <v>42242</v>
      </c>
      <c r="I10" s="17">
        <f t="shared" si="7"/>
        <v>7.8230272052151051E-2</v>
      </c>
      <c r="J10" s="18" t="s">
        <v>39</v>
      </c>
      <c r="K10" s="74" t="s">
        <v>40</v>
      </c>
      <c r="L10" s="76"/>
      <c r="M10" s="76"/>
      <c r="N10" s="76"/>
      <c r="O10" s="76"/>
    </row>
    <row r="11" spans="1:15" ht="115.15">
      <c r="A11" s="31" t="str">
        <v>Easthampton - Beacon 1 &amp; 2 - 540 Florence Rd</v>
      </c>
      <c r="B11" s="32" t="str">
        <v>MA</v>
      </c>
      <c r="C11" s="12">
        <v>288332.99999999994</v>
      </c>
      <c r="D11" s="20">
        <v>512159.91367044003</v>
      </c>
      <c r="E11" s="20">
        <f t="shared" si="0"/>
        <v>-223826.91367044009</v>
      </c>
      <c r="F11" s="21">
        <f t="shared" si="1"/>
        <v>-0.43702544399924703</v>
      </c>
      <c r="G11" s="22">
        <v>428361</v>
      </c>
      <c r="H11" s="22">
        <f t="shared" si="2"/>
        <v>-140028.00000000006</v>
      </c>
      <c r="I11" s="21">
        <f t="shared" si="3"/>
        <v>-0.32689250421957194</v>
      </c>
      <c r="J11" s="50" t="s">
        <v>41</v>
      </c>
      <c r="K11" s="73" t="s">
        <v>42</v>
      </c>
      <c r="L11" s="75" t="s">
        <v>43</v>
      </c>
      <c r="M11" s="75" t="s">
        <v>44</v>
      </c>
      <c r="N11" s="76"/>
      <c r="O11" s="76"/>
    </row>
    <row r="12" spans="1:15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D1:F1"/>
    <mergeCell ref="A1:C1"/>
    <mergeCell ref="G1:I1"/>
    <mergeCell ref="A2:B2"/>
  </mergeCells>
  <conditionalFormatting sqref="F2 I2 F4:F88 I4:I88">
    <cfRule type="cellIs" dxfId="32" priority="2" stopIfTrue="1" operator="lessThanOrEqual">
      <formula>-0.1</formula>
    </cfRule>
    <cfRule type="expression" dxfId="31" priority="3">
      <formula>AND(ISNUMBER(F2), F2&gt;=0.1)</formula>
    </cfRule>
  </conditionalFormatting>
  <hyperlinks>
    <hyperlink ref="K5" r:id="rId1" display="https://us3.assetplanner.com/service_request?ID=095612" xr:uid="{B03A4168-A330-4698-B598-B6916A016F13}"/>
    <hyperlink ref="L5" r:id="rId2" display="https://us3.assetplanner.com/service_request?ID=096082" xr:uid="{F825A155-E490-458D-A18D-CDDA1EFEF86A}"/>
    <hyperlink ref="K6" r:id="rId3" display="https://us3.assetplanner.com/service_request?ID=095240" xr:uid="{0ED10E4E-EB37-4891-AAC5-FBD63A5718BE}"/>
    <hyperlink ref="L6" r:id="rId4" display="https://us3.assetplanner.com/service_request?ID=094675" xr:uid="{2C29EC93-85F8-4B0D-A37F-9E330E2F3DB0}"/>
    <hyperlink ref="M6" r:id="rId5" display="https://us3.assetplanner.com/service_request?ID=095640" xr:uid="{C0B612B2-C652-40E3-8427-B1F923D50811}"/>
    <hyperlink ref="N6" r:id="rId6" display="https://us3.assetplanner.com/service_request?ID=095229" xr:uid="{BF241C77-CF3D-4EA3-9D8E-A0FBB5339093}"/>
    <hyperlink ref="O6" r:id="rId7" display="https://us3.assetplanner.com/service_request?ID=094991" xr:uid="{ED556D68-FE72-4427-8012-9A283E44962D}"/>
    <hyperlink ref="K7" r:id="rId8" display="https://us3.assetplanner.com/service_request?ID=095174" xr:uid="{9C92CBC9-8652-499E-B29A-38AF307AA1CD}"/>
    <hyperlink ref="L7" r:id="rId9" display="https://us3.assetplanner.com/service_request?ID=095112" xr:uid="{F3CDE607-AC17-45BA-849F-A42BE982AAD9}"/>
    <hyperlink ref="M7" r:id="rId10" display="https://us3.assetplanner.com/service_request?ID=095204" xr:uid="{C2807BAA-F43F-440A-9CC4-09E631682FAF}"/>
    <hyperlink ref="N7" r:id="rId11" display="https://us3.assetplanner.com/service_request?ID=095076" xr:uid="{8787FAFD-D9BF-426B-BDAE-65E8E0198A95}"/>
    <hyperlink ref="K8" r:id="rId12" display="https://us3.assetplanner.com/service_request?ID=093625" xr:uid="{5E78489B-8CFF-4A99-A357-1EB6958B859A}"/>
    <hyperlink ref="L8" r:id="rId13" display="https://us3.assetplanner.com/service_request?ID=096136" xr:uid="{49D17FCE-2DF6-43F9-B956-D4F3327A8D72}"/>
    <hyperlink ref="K10" r:id="rId14" display="https://us3.assetplanner.com/service_request?ID=095236" xr:uid="{C9C90646-5D44-48EA-9E3B-D73870EDC61E}"/>
    <hyperlink ref="K11" r:id="rId15" display="https://us3.assetplanner.com/service_request?ID=095594" xr:uid="{F08AB614-4AEE-438A-9F82-DEF12FDB7532}"/>
    <hyperlink ref="L11" r:id="rId16" display="https://us3.assetplanner.com/service_request?ID=095883" xr:uid="{52F688CB-96A0-434E-BD96-C72FDF4DAC29}"/>
    <hyperlink ref="M11" r:id="rId17" display="https://us3.assetplanner.com/service_request?ID=096095" xr:uid="{6A29C5F2-B56B-4FFA-B9DA-398460A3B0E2}"/>
  </hyperlinks>
  <pageMargins left="0.4" right="0.7" top="0.25" bottom="0.25" header="0.3" footer="0.3"/>
  <pageSetup fitToHeight="99" orientation="landscape" r:id="rId1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A8" sqref="A8:XFD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45</v>
      </c>
      <c r="E1" s="79"/>
      <c r="F1" s="79"/>
      <c r="G1" s="77" t="s">
        <v>46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/>
      <c r="F5" s="21"/>
      <c r="G5" s="22"/>
      <c r="H5" s="22"/>
      <c r="I5" s="21"/>
      <c r="J5" s="11"/>
      <c r="K5" s="19"/>
    </row>
    <row r="6" spans="1:11" ht="15.6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5.6">
      <c r="A8" s="33" t="str">
        <v xml:space="preserve">Charlemont - 0 Tea St </v>
      </c>
      <c r="B8" s="30" t="str">
        <v>MA</v>
      </c>
      <c r="C8" s="26"/>
      <c r="D8" s="14"/>
      <c r="E8" s="14"/>
      <c r="F8" s="15"/>
      <c r="G8" s="16"/>
      <c r="H8" s="16"/>
      <c r="I8" s="17"/>
      <c r="J8" s="18"/>
      <c r="K8" s="18"/>
    </row>
    <row r="9" spans="1:11" ht="15.6">
      <c r="A9" s="31" t="str">
        <v xml:space="preserve">Amherst - 740 Belchertown Rd </v>
      </c>
      <c r="B9" s="32" t="str">
        <v>MA</v>
      </c>
      <c r="C9" s="12"/>
      <c r="D9" s="20"/>
      <c r="E9" s="20"/>
      <c r="F9" s="21"/>
      <c r="G9" s="22"/>
      <c r="H9" s="22"/>
      <c r="I9" s="21"/>
      <c r="J9" s="11"/>
      <c r="K9" s="19"/>
    </row>
    <row r="10" spans="1:11" ht="15.6">
      <c r="A10" s="33" t="str">
        <v xml:space="preserve"> Ludlow - Huxley 1 &amp; 2 - 504 Fuller St </v>
      </c>
      <c r="B10" s="30" t="str">
        <v>MA</v>
      </c>
      <c r="C10" s="26"/>
      <c r="D10" s="14"/>
      <c r="E10" s="14"/>
      <c r="F10" s="15"/>
      <c r="G10" s="16"/>
      <c r="H10" s="16"/>
      <c r="I10" s="17"/>
      <c r="J10" s="18"/>
      <c r="K10" s="18"/>
    </row>
    <row r="11" spans="1:11" ht="15.6">
      <c r="A11" s="31" t="str">
        <v>Easthampton - Beacon 1 &amp; 2 - 540 Florence Rd</v>
      </c>
      <c r="B11" s="32" t="str">
        <v>MA</v>
      </c>
      <c r="C11" s="12"/>
      <c r="D11" s="20"/>
      <c r="E11" s="20"/>
      <c r="F11" s="21"/>
      <c r="G11" s="22"/>
      <c r="H11" s="22"/>
      <c r="I11" s="21"/>
      <c r="J11" s="11"/>
      <c r="K11" s="19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85 I4:I85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A8" sqref="A8:XFD11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47</v>
      </c>
      <c r="E1" s="79"/>
      <c r="F1" s="79"/>
      <c r="G1" s="77" t="s">
        <v>48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6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5.6">
      <c r="A8" s="33" t="str">
        <v xml:space="preserve">Charlemont - 0 Tea St </v>
      </c>
      <c r="B8" s="30" t="str">
        <v>MA</v>
      </c>
      <c r="C8" s="26"/>
      <c r="D8" s="14"/>
      <c r="E8" s="14"/>
      <c r="F8" s="15"/>
      <c r="G8" s="16"/>
      <c r="H8" s="16"/>
      <c r="I8" s="17"/>
      <c r="J8" s="18"/>
      <c r="K8" s="18"/>
    </row>
    <row r="9" spans="1:11" ht="15.6">
      <c r="A9" s="31" t="str">
        <v xml:space="preserve">Amherst - 740 Belchertown Rd </v>
      </c>
      <c r="B9" s="32" t="str">
        <v>MA</v>
      </c>
      <c r="C9" s="12"/>
      <c r="D9" s="20"/>
      <c r="E9" s="20"/>
      <c r="F9" s="21"/>
      <c r="G9" s="22"/>
      <c r="H9" s="22"/>
      <c r="I9" s="21"/>
      <c r="J9" s="11"/>
      <c r="K9" s="19"/>
    </row>
    <row r="10" spans="1:11" ht="15.6">
      <c r="A10" s="33" t="str">
        <v xml:space="preserve"> Ludlow - Huxley 1 &amp; 2 - 504 Fuller St </v>
      </c>
      <c r="B10" s="30" t="str">
        <v>MA</v>
      </c>
      <c r="C10" s="26"/>
      <c r="D10" s="14"/>
      <c r="E10" s="14"/>
      <c r="F10" s="15"/>
      <c r="G10" s="16"/>
      <c r="H10" s="16"/>
      <c r="I10" s="17"/>
      <c r="J10" s="18"/>
      <c r="K10" s="18"/>
    </row>
    <row r="11" spans="1:11" ht="15.6">
      <c r="A11" s="31" t="str">
        <v>Easthampton - Beacon 1 &amp; 2 - 540 Florence Rd</v>
      </c>
      <c r="B11" s="32" t="str">
        <v>MA</v>
      </c>
      <c r="C11" s="12"/>
      <c r="D11" s="20"/>
      <c r="E11" s="20"/>
      <c r="F11" s="21"/>
      <c r="G11" s="22"/>
      <c r="H11" s="22"/>
      <c r="I11" s="21"/>
      <c r="J11" s="11"/>
      <c r="K11" s="19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35" sqref="E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49</v>
      </c>
      <c r="E1" s="79"/>
      <c r="F1" s="79"/>
      <c r="G1" s="77" t="s">
        <v>50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6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5.6">
      <c r="A8" s="33" t="str">
        <v xml:space="preserve">Charlemont - 0 Tea St </v>
      </c>
      <c r="B8" s="30" t="str">
        <v>MA</v>
      </c>
      <c r="C8" s="26"/>
      <c r="D8" s="14"/>
      <c r="E8" s="14"/>
      <c r="F8" s="15"/>
      <c r="G8" s="16"/>
      <c r="H8" s="16"/>
      <c r="I8" s="17"/>
      <c r="J8" s="18"/>
      <c r="K8" s="18"/>
    </row>
    <row r="9" spans="1:11" ht="15.6">
      <c r="A9" s="31" t="str">
        <v xml:space="preserve">Amherst - 740 Belchertown Rd </v>
      </c>
      <c r="B9" s="32" t="str">
        <v>MA</v>
      </c>
      <c r="C9" s="12"/>
      <c r="D9" s="20"/>
      <c r="E9" s="20"/>
      <c r="F9" s="21"/>
      <c r="G9" s="22"/>
      <c r="H9" s="22"/>
      <c r="I9" s="21"/>
      <c r="J9" s="11"/>
      <c r="K9" s="19"/>
    </row>
    <row r="10" spans="1:11" ht="15.6">
      <c r="A10" s="33" t="str">
        <v xml:space="preserve"> Ludlow - Huxley 1 &amp; 2 - 504 Fuller St </v>
      </c>
      <c r="B10" s="30" t="str">
        <v>MA</v>
      </c>
      <c r="C10" s="26"/>
      <c r="D10" s="14"/>
      <c r="E10" s="14"/>
      <c r="F10" s="15"/>
      <c r="G10" s="16"/>
      <c r="H10" s="16"/>
      <c r="I10" s="17"/>
      <c r="J10" s="18"/>
      <c r="K10" s="18"/>
    </row>
    <row r="11" spans="1:11" ht="15.6">
      <c r="A11" s="31" t="str">
        <v>Easthampton - Beacon 1 &amp; 2 - 540 Florence Rd</v>
      </c>
      <c r="B11" s="32" t="str">
        <v>MA</v>
      </c>
      <c r="C11" s="12"/>
      <c r="D11" s="20"/>
      <c r="E11" s="20"/>
      <c r="F11" s="21"/>
      <c r="G11" s="22"/>
      <c r="H11" s="22"/>
      <c r="I11" s="21"/>
      <c r="J11" s="11"/>
      <c r="K11" s="19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D16" sqref="D16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51</v>
      </c>
      <c r="E1" s="79"/>
      <c r="F1" s="79"/>
      <c r="G1" s="77" t="s">
        <v>52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6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5.6">
      <c r="A8" s="33" t="str">
        <v xml:space="preserve">Charlemont - 0 Tea St </v>
      </c>
      <c r="B8" s="30" t="str">
        <v>MA</v>
      </c>
      <c r="C8" s="26"/>
      <c r="D8" s="14"/>
      <c r="E8" s="14"/>
      <c r="F8" s="15"/>
      <c r="G8" s="16"/>
      <c r="H8" s="16"/>
      <c r="I8" s="17"/>
      <c r="J8" s="18"/>
      <c r="K8" s="18"/>
    </row>
    <row r="9" spans="1:11" ht="15.6">
      <c r="A9" s="31" t="str">
        <v xml:space="preserve">Amherst - 740 Belchertown Rd </v>
      </c>
      <c r="B9" s="32" t="str">
        <v>MA</v>
      </c>
      <c r="C9" s="12"/>
      <c r="D9" s="20"/>
      <c r="E9" s="20"/>
      <c r="F9" s="21"/>
      <c r="G9" s="22"/>
      <c r="H9" s="22"/>
      <c r="I9" s="21"/>
      <c r="J9" s="11"/>
      <c r="K9" s="19"/>
    </row>
    <row r="10" spans="1:11" ht="15.6">
      <c r="A10" s="33" t="str">
        <v xml:space="preserve"> Ludlow - Huxley 1 &amp; 2 - 504 Fuller St </v>
      </c>
      <c r="B10" s="30" t="str">
        <v>MA</v>
      </c>
      <c r="C10" s="26"/>
      <c r="D10" s="14"/>
      <c r="E10" s="14"/>
      <c r="F10" s="15"/>
      <c r="G10" s="16"/>
      <c r="H10" s="16"/>
      <c r="I10" s="17"/>
      <c r="J10" s="18"/>
      <c r="K10" s="18"/>
    </row>
    <row r="11" spans="1:11" ht="15.6">
      <c r="A11" s="31" t="str">
        <v>Easthampton - Beacon 1 &amp; 2 - 540 Florence Rd</v>
      </c>
      <c r="B11" s="32" t="str">
        <v>MA</v>
      </c>
      <c r="C11" s="12"/>
      <c r="D11" s="20"/>
      <c r="E11" s="20"/>
      <c r="F11" s="21"/>
      <c r="G11" s="22"/>
      <c r="H11" s="22"/>
      <c r="I11" s="21"/>
      <c r="J11" s="11"/>
      <c r="K11" s="19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90 I4:I9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3" activePane="bottomLeft" state="frozen"/>
      <selection pane="bottomLeft" activeCell="H15" sqref="H1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53</v>
      </c>
      <c r="E1" s="79"/>
      <c r="F1" s="79"/>
      <c r="G1" s="77" t="s">
        <v>54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:E11" si="0">IF(AND(ISNUMBER(C5),ISNUMBER(D5)), C5-D5, "")</f>
        <v/>
      </c>
      <c r="F5" s="65" t="str">
        <f t="shared" ref="F5:F11" si="1">IFERROR(E5/D5, "")</f>
        <v/>
      </c>
      <c r="G5" s="22"/>
      <c r="H5" s="22" t="str">
        <f t="shared" ref="H5:H11" si="2">IF(AND(ISNUMBER(C5),ISNUMBER(G5)), C5-G5, "")</f>
        <v/>
      </c>
      <c r="I5" s="65" t="str">
        <f t="shared" ref="I5:I11" si="3">IFERROR(H5/G5, "")</f>
        <v/>
      </c>
      <c r="J5" s="11"/>
      <c r="K5" s="19"/>
    </row>
    <row r="6" spans="1:11" ht="15.6">
      <c r="A6" s="33" t="str">
        <v>Fresno - 2685 Cornelia Ave</v>
      </c>
      <c r="B6" s="30" t="str">
        <v>CA</v>
      </c>
      <c r="C6" s="26"/>
      <c r="D6" s="14"/>
      <c r="E6" s="14" t="str">
        <f t="shared" si="0"/>
        <v/>
      </c>
      <c r="F6" s="15" t="str">
        <f t="shared" si="1"/>
        <v/>
      </c>
      <c r="G6" s="16"/>
      <c r="H6" s="16" t="str">
        <f t="shared" si="2"/>
        <v/>
      </c>
      <c r="I6" s="17" t="str">
        <f t="shared" si="3"/>
        <v/>
      </c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 t="str">
        <f t="shared" si="0"/>
        <v/>
      </c>
      <c r="F7" s="65" t="str">
        <f t="shared" si="1"/>
        <v/>
      </c>
      <c r="G7" s="22"/>
      <c r="H7" s="22" t="str">
        <f t="shared" si="2"/>
        <v/>
      </c>
      <c r="I7" s="65" t="str">
        <f t="shared" si="3"/>
        <v/>
      </c>
      <c r="J7" s="11"/>
      <c r="K7" s="19"/>
    </row>
    <row r="8" spans="1:11" ht="45.75" customHeight="1">
      <c r="A8" s="33" t="str">
        <v xml:space="preserve">Charlemont - 0 Tea St </v>
      </c>
      <c r="B8" s="30" t="str">
        <v>MA</v>
      </c>
      <c r="C8" s="49"/>
      <c r="D8" s="14"/>
      <c r="E8" s="14" t="str">
        <f t="shared" si="0"/>
        <v/>
      </c>
      <c r="F8" s="15" t="str">
        <f t="shared" si="1"/>
        <v/>
      </c>
      <c r="G8" s="47"/>
      <c r="H8" s="47" t="str">
        <f t="shared" si="2"/>
        <v/>
      </c>
      <c r="I8" s="17" t="str">
        <f t="shared" si="3"/>
        <v/>
      </c>
      <c r="J8" s="45"/>
      <c r="K8" s="45"/>
    </row>
    <row r="9" spans="1:11" ht="15.6">
      <c r="A9" s="31" t="str">
        <v xml:space="preserve">Amherst - 740 Belchertown Rd </v>
      </c>
      <c r="B9" s="32" t="str">
        <v>MA</v>
      </c>
      <c r="C9" s="42"/>
      <c r="D9" s="20"/>
      <c r="E9" s="20" t="str">
        <f t="shared" si="0"/>
        <v/>
      </c>
      <c r="F9" s="65" t="str">
        <f t="shared" si="1"/>
        <v/>
      </c>
      <c r="G9" s="44"/>
      <c r="H9" s="44" t="str">
        <f t="shared" si="2"/>
        <v/>
      </c>
      <c r="I9" s="65" t="str">
        <f t="shared" si="3"/>
        <v/>
      </c>
      <c r="J9" s="11"/>
      <c r="K9" s="19"/>
    </row>
    <row r="10" spans="1:11" ht="15.6">
      <c r="A10" s="33" t="str">
        <v xml:space="preserve"> Ludlow - Huxley 1 &amp; 2 - 504 Fuller St </v>
      </c>
      <c r="B10" s="30" t="str">
        <v>MA</v>
      </c>
      <c r="C10" s="49"/>
      <c r="D10" s="14"/>
      <c r="E10" s="14" t="str">
        <f t="shared" si="0"/>
        <v/>
      </c>
      <c r="F10" s="15" t="str">
        <f t="shared" si="1"/>
        <v/>
      </c>
      <c r="G10" s="47"/>
      <c r="H10" s="47" t="str">
        <f t="shared" si="2"/>
        <v/>
      </c>
      <c r="I10" s="17" t="str">
        <f t="shared" si="3"/>
        <v/>
      </c>
      <c r="J10" s="45"/>
      <c r="K10" s="45"/>
    </row>
    <row r="11" spans="1:11" ht="15.6">
      <c r="A11" s="31" t="str">
        <v>Easthampton - Beacon 1 &amp; 2 - 540 Florence Rd</v>
      </c>
      <c r="B11" s="32" t="str">
        <v>MA</v>
      </c>
      <c r="C11" s="42"/>
      <c r="D11" s="20"/>
      <c r="E11" s="20" t="str">
        <f t="shared" si="0"/>
        <v/>
      </c>
      <c r="F11" s="65" t="str">
        <f t="shared" si="1"/>
        <v/>
      </c>
      <c r="G11" s="44"/>
      <c r="H11" s="44" t="str">
        <f t="shared" si="2"/>
        <v/>
      </c>
      <c r="I11" s="65" t="str">
        <f t="shared" si="3"/>
        <v/>
      </c>
      <c r="J11" s="11"/>
      <c r="K11" s="19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15" sqref="H15"/>
      <selection activeCell="H15" sqref="H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55</v>
      </c>
      <c r="E1" s="79"/>
      <c r="F1" s="79"/>
      <c r="G1" s="77" t="s">
        <v>56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:E11" si="0">IF(AND(ISNUMBER(C5),ISNUMBER(D5)), C5-D5, "")</f>
        <v/>
      </c>
      <c r="F5" s="65" t="str">
        <f t="shared" ref="F5:F11" si="1">IFERROR(E5/D5, "")</f>
        <v/>
      </c>
      <c r="G5" s="22"/>
      <c r="H5" s="22" t="str">
        <f t="shared" ref="H5:H11" si="2">IF(AND(ISNUMBER(C5),ISNUMBER(G5)), C5-G5, "")</f>
        <v/>
      </c>
      <c r="I5" s="65" t="str">
        <f t="shared" ref="I5:I11" si="3">IFERROR(H5/G5, "")</f>
        <v/>
      </c>
      <c r="J5" s="11"/>
      <c r="K5" s="19"/>
    </row>
    <row r="6" spans="1:11" ht="15.6">
      <c r="A6" s="33" t="str">
        <v>Fresno - 2685 Cornelia Ave</v>
      </c>
      <c r="B6" s="30" t="str">
        <v>CA</v>
      </c>
      <c r="C6" s="26"/>
      <c r="D6" s="14"/>
      <c r="E6" s="14" t="str">
        <f t="shared" si="0"/>
        <v/>
      </c>
      <c r="F6" s="15" t="str">
        <f t="shared" si="1"/>
        <v/>
      </c>
      <c r="G6" s="16"/>
      <c r="H6" s="16" t="str">
        <f t="shared" si="2"/>
        <v/>
      </c>
      <c r="I6" s="17" t="str">
        <f t="shared" si="3"/>
        <v/>
      </c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 t="str">
        <f t="shared" si="0"/>
        <v/>
      </c>
      <c r="F7" s="65" t="str">
        <f t="shared" si="1"/>
        <v/>
      </c>
      <c r="G7" s="22"/>
      <c r="H7" s="22" t="str">
        <f t="shared" si="2"/>
        <v/>
      </c>
      <c r="I7" s="65" t="str">
        <f t="shared" si="3"/>
        <v/>
      </c>
      <c r="J7" s="11"/>
      <c r="K7" s="19"/>
    </row>
    <row r="8" spans="1:11" ht="15.6">
      <c r="A8" s="52" t="str">
        <v xml:space="preserve">Charlemont - 0 Tea St </v>
      </c>
      <c r="B8" s="30" t="str">
        <v>MA</v>
      </c>
      <c r="C8" s="26"/>
      <c r="D8" s="14"/>
      <c r="E8" s="14" t="str">
        <f>IF(AND(ISNUMBER(C8),ISNUMBER(D8)), C8-D8, "")</f>
        <v/>
      </c>
      <c r="F8" s="15" t="str">
        <f t="shared" si="1"/>
        <v/>
      </c>
      <c r="G8" s="16"/>
      <c r="H8" s="16" t="str">
        <f t="shared" si="2"/>
        <v/>
      </c>
      <c r="I8" s="17" t="str">
        <f t="shared" si="3"/>
        <v/>
      </c>
      <c r="J8" s="18"/>
      <c r="K8" s="18"/>
    </row>
    <row r="9" spans="1:11" ht="15.6">
      <c r="A9" s="31" t="str">
        <v xml:space="preserve">Amherst - 740 Belchertown Rd </v>
      </c>
      <c r="B9" s="32" t="str">
        <v>MA</v>
      </c>
      <c r="C9" s="12"/>
      <c r="D9" s="20"/>
      <c r="E9" s="20" t="str">
        <f t="shared" si="0"/>
        <v/>
      </c>
      <c r="F9" s="65" t="str">
        <f t="shared" si="1"/>
        <v/>
      </c>
      <c r="G9" s="22"/>
      <c r="H9" s="22" t="str">
        <f t="shared" si="2"/>
        <v/>
      </c>
      <c r="I9" s="65" t="str">
        <f t="shared" si="3"/>
        <v/>
      </c>
      <c r="J9" s="11"/>
      <c r="K9" s="19"/>
    </row>
    <row r="10" spans="1:11" ht="15.6">
      <c r="A10" s="33" t="str">
        <v xml:space="preserve"> Ludlow - Huxley 1 &amp; 2 - 504 Fuller St </v>
      </c>
      <c r="B10" s="30" t="str">
        <v>MA</v>
      </c>
      <c r="C10" s="26"/>
      <c r="D10" s="14"/>
      <c r="E10" s="14" t="str">
        <f t="shared" si="0"/>
        <v/>
      </c>
      <c r="F10" s="15" t="str">
        <f t="shared" si="1"/>
        <v/>
      </c>
      <c r="G10" s="16"/>
      <c r="H10" s="16" t="str">
        <f t="shared" si="2"/>
        <v/>
      </c>
      <c r="I10" s="17" t="str">
        <f t="shared" si="3"/>
        <v/>
      </c>
      <c r="J10" s="18"/>
      <c r="K10" s="18"/>
    </row>
    <row r="11" spans="1:11" ht="15.6">
      <c r="A11" s="31" t="str">
        <v>Easthampton - Beacon 1 &amp; 2 - 540 Florence Rd</v>
      </c>
      <c r="B11" s="32" t="str">
        <v>MA</v>
      </c>
      <c r="C11" s="12"/>
      <c r="D11" s="20"/>
      <c r="E11" s="20" t="str">
        <f t="shared" si="0"/>
        <v/>
      </c>
      <c r="F11" s="65" t="str">
        <f t="shared" si="1"/>
        <v/>
      </c>
      <c r="G11" s="22"/>
      <c r="H11" s="22" t="str">
        <f t="shared" si="2"/>
        <v/>
      </c>
      <c r="I11" s="65" t="str">
        <f t="shared" si="3"/>
        <v/>
      </c>
      <c r="J11" s="11"/>
      <c r="K11" s="19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H15" sqref="H15"/>
      <selection activeCell="H15" sqref="H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57</v>
      </c>
      <c r="E1" s="79"/>
      <c r="F1" s="79"/>
      <c r="G1" s="77" t="s">
        <v>58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52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:E11" si="0">IF(AND(ISNUMBER(C5),ISNUMBER(D5)), C5-D5, "")</f>
        <v/>
      </c>
      <c r="F5" s="65" t="str">
        <f t="shared" ref="F5:F11" si="1">IFERROR(E5/D5, "")</f>
        <v/>
      </c>
      <c r="G5" s="22"/>
      <c r="H5" s="22" t="str">
        <f t="shared" ref="H5:H11" si="2">IF(AND(ISNUMBER(C5),ISNUMBER(G5)), C5-G5, "")</f>
        <v/>
      </c>
      <c r="I5" s="65" t="str">
        <f t="shared" ref="I5:I11" si="3">IFERROR(H5/G5, "")</f>
        <v/>
      </c>
      <c r="J5" s="11"/>
      <c r="K5" s="19"/>
    </row>
    <row r="6" spans="1:11" ht="15.6">
      <c r="A6" s="33" t="str">
        <v>Fresno - 2685 Cornelia Ave</v>
      </c>
      <c r="B6" s="30" t="str">
        <v>CA</v>
      </c>
      <c r="C6" s="26"/>
      <c r="D6" s="14"/>
      <c r="E6" s="14" t="str">
        <f t="shared" si="0"/>
        <v/>
      </c>
      <c r="F6" s="15" t="str">
        <f t="shared" si="1"/>
        <v/>
      </c>
      <c r="G6" s="16"/>
      <c r="H6" s="16" t="str">
        <f t="shared" si="2"/>
        <v/>
      </c>
      <c r="I6" s="17" t="str">
        <f t="shared" si="3"/>
        <v/>
      </c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 t="str">
        <f t="shared" si="0"/>
        <v/>
      </c>
      <c r="F7" s="65" t="str">
        <f t="shared" si="1"/>
        <v/>
      </c>
      <c r="G7" s="22"/>
      <c r="H7" s="22" t="str">
        <f t="shared" si="2"/>
        <v/>
      </c>
      <c r="I7" s="65" t="str">
        <f t="shared" si="3"/>
        <v/>
      </c>
      <c r="J7" s="11"/>
      <c r="K7" s="19"/>
    </row>
    <row r="8" spans="1:11" ht="15.6">
      <c r="A8" s="33" t="str">
        <v xml:space="preserve">Charlemont - 0 Tea St </v>
      </c>
      <c r="B8" s="30" t="str">
        <v>MA</v>
      </c>
      <c r="C8" s="26"/>
      <c r="D8" s="14"/>
      <c r="E8" s="14" t="str">
        <f t="shared" si="0"/>
        <v/>
      </c>
      <c r="F8" s="15" t="str">
        <f t="shared" si="1"/>
        <v/>
      </c>
      <c r="G8" s="16"/>
      <c r="H8" s="16" t="str">
        <f t="shared" si="2"/>
        <v/>
      </c>
      <c r="I8" s="17" t="str">
        <f t="shared" si="3"/>
        <v/>
      </c>
      <c r="J8" s="18"/>
      <c r="K8" s="18"/>
    </row>
    <row r="9" spans="1:11" ht="15.6">
      <c r="A9" s="31" t="str">
        <v xml:space="preserve">Amherst - 740 Belchertown Rd </v>
      </c>
      <c r="B9" s="32" t="str">
        <v>MA</v>
      </c>
      <c r="C9" s="12"/>
      <c r="D9" s="20"/>
      <c r="E9" s="20" t="str">
        <f t="shared" si="0"/>
        <v/>
      </c>
      <c r="F9" s="65" t="str">
        <f t="shared" si="1"/>
        <v/>
      </c>
      <c r="G9" s="22"/>
      <c r="H9" s="22" t="str">
        <f t="shared" si="2"/>
        <v/>
      </c>
      <c r="I9" s="65" t="str">
        <f t="shared" si="3"/>
        <v/>
      </c>
      <c r="J9" s="50"/>
      <c r="K9" s="50"/>
    </row>
    <row r="10" spans="1:11" ht="15.6">
      <c r="A10" s="33" t="str">
        <v xml:space="preserve"> Ludlow - Huxley 1 &amp; 2 - 504 Fuller St </v>
      </c>
      <c r="B10" s="30" t="str">
        <v>MA</v>
      </c>
      <c r="C10" s="26"/>
      <c r="D10" s="14"/>
      <c r="E10" s="14" t="str">
        <f t="shared" si="0"/>
        <v/>
      </c>
      <c r="F10" s="15" t="str">
        <f t="shared" si="1"/>
        <v/>
      </c>
      <c r="G10" s="16"/>
      <c r="H10" s="16" t="str">
        <f t="shared" si="2"/>
        <v/>
      </c>
      <c r="I10" s="17" t="str">
        <f t="shared" si="3"/>
        <v/>
      </c>
      <c r="J10" s="18"/>
      <c r="K10" s="18"/>
    </row>
    <row r="11" spans="1:11" ht="15.6">
      <c r="A11" s="31" t="str">
        <v>Easthampton - Beacon 1 &amp; 2 - 540 Florence Rd</v>
      </c>
      <c r="B11" s="32" t="str">
        <v>MA</v>
      </c>
      <c r="C11" s="12"/>
      <c r="D11" s="20"/>
      <c r="E11" s="20" t="str">
        <f t="shared" si="0"/>
        <v/>
      </c>
      <c r="F11" s="65" t="str">
        <f t="shared" si="1"/>
        <v/>
      </c>
      <c r="G11" s="22"/>
      <c r="H11" s="22" t="str">
        <f t="shared" si="2"/>
        <v/>
      </c>
      <c r="I11" s="65" t="str">
        <f t="shared" si="3"/>
        <v/>
      </c>
      <c r="J11" s="11"/>
      <c r="K11" s="19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conditionalFormatting sqref="F4:F30 I4:I3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H15" sqref="H15"/>
      <selection activeCell="H15" sqref="H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59</v>
      </c>
      <c r="E1" s="79"/>
      <c r="F1" s="79"/>
      <c r="G1" s="77" t="s">
        <v>60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56.25" customHeight="1">
      <c r="A4" s="52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:E11" si="0">IF(AND(ISNUMBER(C5),ISNUMBER(D5)), C5-D5, "")</f>
        <v/>
      </c>
      <c r="F5" s="21" t="str">
        <f t="shared" ref="F5:F11" si="1">IFERROR(E5/D5, "")</f>
        <v/>
      </c>
      <c r="G5" s="22"/>
      <c r="H5" s="22" t="str">
        <f t="shared" ref="H5:H11" si="2">IF(AND(ISNUMBER(C5),ISNUMBER(G5)), C5-G5, "")</f>
        <v/>
      </c>
      <c r="I5" s="21" t="str">
        <f t="shared" ref="I5:I11" si="3">IFERROR(H5/G5, "")</f>
        <v/>
      </c>
      <c r="J5" s="11"/>
      <c r="K5" s="19"/>
    </row>
    <row r="6" spans="1:11" ht="15.6">
      <c r="A6" s="33" t="str">
        <v>Fresno - 2685 Cornelia Ave</v>
      </c>
      <c r="B6" s="30" t="str">
        <v>CA</v>
      </c>
      <c r="C6" s="26"/>
      <c r="D6" s="14"/>
      <c r="E6" s="14" t="str">
        <f t="shared" si="0"/>
        <v/>
      </c>
      <c r="F6" s="15" t="str">
        <f t="shared" si="1"/>
        <v/>
      </c>
      <c r="G6" s="16"/>
      <c r="H6" s="16" t="str">
        <f t="shared" si="2"/>
        <v/>
      </c>
      <c r="I6" s="17" t="str">
        <f t="shared" si="3"/>
        <v/>
      </c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 t="str">
        <f t="shared" si="0"/>
        <v/>
      </c>
      <c r="F7" s="21" t="str">
        <f t="shared" si="1"/>
        <v/>
      </c>
      <c r="G7" s="22"/>
      <c r="H7" s="22" t="str">
        <f t="shared" si="2"/>
        <v/>
      </c>
      <c r="I7" s="21" t="str">
        <f t="shared" si="3"/>
        <v/>
      </c>
      <c r="J7" s="11"/>
      <c r="K7" s="19"/>
    </row>
    <row r="8" spans="1:11" ht="15.6">
      <c r="A8" s="33" t="str">
        <v xml:space="preserve">Charlemont - 0 Tea St </v>
      </c>
      <c r="B8" s="30" t="str">
        <v>MA</v>
      </c>
      <c r="C8" s="26"/>
      <c r="D8" s="14"/>
      <c r="E8" s="14" t="str">
        <f t="shared" si="0"/>
        <v/>
      </c>
      <c r="F8" s="15" t="str">
        <f t="shared" si="1"/>
        <v/>
      </c>
      <c r="G8" s="16"/>
      <c r="H8" s="16" t="str">
        <f t="shared" si="2"/>
        <v/>
      </c>
      <c r="I8" s="66" t="str">
        <f t="shared" si="3"/>
        <v/>
      </c>
      <c r="J8" s="18"/>
      <c r="K8" s="18"/>
    </row>
    <row r="9" spans="1:11" ht="15.6">
      <c r="A9" s="31" t="str">
        <v xml:space="preserve">Amherst - 740 Belchertown Rd </v>
      </c>
      <c r="B9" s="32" t="str">
        <v>MA</v>
      </c>
      <c r="C9" s="12"/>
      <c r="D9" s="20"/>
      <c r="E9" s="20" t="str">
        <f t="shared" si="0"/>
        <v/>
      </c>
      <c r="F9" s="21" t="str">
        <f t="shared" si="1"/>
        <v/>
      </c>
      <c r="G9" s="22"/>
      <c r="H9" s="22" t="str">
        <f t="shared" si="2"/>
        <v/>
      </c>
      <c r="I9" s="21" t="str">
        <f t="shared" si="3"/>
        <v/>
      </c>
      <c r="J9" s="71"/>
      <c r="K9" s="50"/>
    </row>
    <row r="10" spans="1:11" ht="15.6">
      <c r="A10" s="33" t="str">
        <v xml:space="preserve"> Ludlow - Huxley 1 &amp; 2 - 504 Fuller St </v>
      </c>
      <c r="B10" s="30" t="str">
        <v>MA</v>
      </c>
      <c r="C10" s="26"/>
      <c r="D10" s="14"/>
      <c r="E10" s="14" t="str">
        <f t="shared" si="0"/>
        <v/>
      </c>
      <c r="F10" s="15" t="str">
        <f t="shared" si="1"/>
        <v/>
      </c>
      <c r="G10" s="16"/>
      <c r="H10" s="16" t="str">
        <f t="shared" si="2"/>
        <v/>
      </c>
      <c r="I10" s="66" t="str">
        <f t="shared" si="3"/>
        <v/>
      </c>
      <c r="J10" s="18"/>
      <c r="K10" s="18"/>
    </row>
    <row r="11" spans="1:11" ht="15.6">
      <c r="A11" s="31" t="str">
        <v>Easthampton - Beacon 1 &amp; 2 - 540 Florence Rd</v>
      </c>
      <c r="B11" s="32" t="str">
        <v>MA</v>
      </c>
      <c r="C11" s="12"/>
      <c r="D11" s="20"/>
      <c r="E11" s="20" t="str">
        <f t="shared" si="0"/>
        <v/>
      </c>
      <c r="F11" s="21" t="str">
        <f t="shared" si="1"/>
        <v/>
      </c>
      <c r="G11" s="22"/>
      <c r="H11" s="22" t="str">
        <f t="shared" si="2"/>
        <v/>
      </c>
      <c r="I11" s="21" t="str">
        <f t="shared" si="3"/>
        <v/>
      </c>
      <c r="J11" s="11"/>
      <c r="K11" s="19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H15" sqref="H15"/>
      <selection activeCell="H15" sqref="H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61</v>
      </c>
      <c r="E1" s="79"/>
      <c r="F1" s="79"/>
      <c r="G1" s="77" t="s">
        <v>62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80.25" customHeight="1">
      <c r="A4" s="52" t="str" cm="1">
        <f t="array" ref="A4:A11">Sites[Site]</f>
        <v>MA: Fairhaven - 279 Mill Rd</v>
      </c>
      <c r="B4" s="30" t="str" cm="1">
        <f t="array" ref="B4:B11">Sites[State]</f>
        <v>MA</v>
      </c>
      <c r="C4" s="49"/>
      <c r="D4" s="14"/>
      <c r="E4" s="14" t="str">
        <f>IF(AND(ISNUMBER(C4),ISNUMBER(D4)), C4-D4, "")</f>
        <v/>
      </c>
      <c r="F4" s="4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45"/>
      <c r="K4" s="45"/>
    </row>
    <row r="5" spans="1:11" ht="60" customHeight="1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50"/>
      <c r="K5" s="50"/>
    </row>
    <row r="6" spans="1:11" ht="15.6">
      <c r="A6" s="52" t="str">
        <v>Fresno - 2685 Cornelia Ave</v>
      </c>
      <c r="B6" s="30" t="str">
        <v>CA</v>
      </c>
      <c r="C6" s="49"/>
      <c r="D6" s="14"/>
      <c r="E6" s="14" t="str">
        <f t="shared" ref="E6:E11" si="4">IF(AND(ISNUMBER(C6),ISNUMBER(D6)), C6-D6, "")</f>
        <v/>
      </c>
      <c r="F6" s="48" t="str">
        <f t="shared" ref="F6:F11" si="5">IFERROR(E6/D6, "")</f>
        <v/>
      </c>
      <c r="G6" s="47"/>
      <c r="H6" s="47" t="str">
        <f t="shared" ref="H6:H11" si="6">IF(AND(ISNUMBER(C6),ISNUMBER(G6)), C6-G6, "")</f>
        <v/>
      </c>
      <c r="I6" s="46" t="str">
        <f t="shared" ref="I6:I11" si="7">IFERROR(H6/G6, "")</f>
        <v/>
      </c>
      <c r="J6" s="45"/>
      <c r="K6" s="45"/>
    </row>
    <row r="7" spans="1:11" ht="52.5" customHeight="1">
      <c r="A7" s="31" t="str">
        <v>San Juaquin - S. Placer &amp; W. Adams</v>
      </c>
      <c r="B7" s="32" t="str">
        <v>CA</v>
      </c>
      <c r="C7" s="42"/>
      <c r="D7" s="20"/>
      <c r="E7" s="20" t="str">
        <f t="shared" si="4"/>
        <v/>
      </c>
      <c r="F7" s="43" t="str">
        <f t="shared" si="5"/>
        <v/>
      </c>
      <c r="G7" s="44"/>
      <c r="H7" s="44" t="str">
        <f t="shared" si="6"/>
        <v/>
      </c>
      <c r="I7" s="43" t="str">
        <f t="shared" si="7"/>
        <v/>
      </c>
      <c r="J7" s="50"/>
      <c r="K7" s="51"/>
    </row>
    <row r="8" spans="1:11" ht="12.75" customHeight="1">
      <c r="A8" s="52" t="str">
        <v xml:space="preserve">Charlemont - 0 Tea St </v>
      </c>
      <c r="B8" s="30" t="str">
        <v>MA</v>
      </c>
      <c r="C8" s="49"/>
      <c r="D8" s="14"/>
      <c r="E8" s="14" t="str">
        <f t="shared" si="4"/>
        <v/>
      </c>
      <c r="F8" s="48" t="str">
        <f t="shared" si="5"/>
        <v/>
      </c>
      <c r="G8" s="47"/>
      <c r="H8" s="47" t="str">
        <f t="shared" si="6"/>
        <v/>
      </c>
      <c r="I8" s="46" t="str">
        <f t="shared" si="7"/>
        <v/>
      </c>
      <c r="J8" s="45"/>
      <c r="K8" s="45"/>
    </row>
    <row r="9" spans="1:11" ht="15.6">
      <c r="A9" s="31" t="str">
        <v xml:space="preserve">Amherst - 740 Belchertown Rd </v>
      </c>
      <c r="B9" s="32" t="str">
        <v>MA</v>
      </c>
      <c r="C9" s="42"/>
      <c r="D9" s="20"/>
      <c r="E9" s="20" t="str">
        <f t="shared" si="4"/>
        <v/>
      </c>
      <c r="F9" s="43" t="str">
        <f t="shared" si="5"/>
        <v/>
      </c>
      <c r="G9" s="53"/>
      <c r="H9" s="44" t="str">
        <f t="shared" si="6"/>
        <v/>
      </c>
      <c r="I9" s="43" t="str">
        <f t="shared" si="7"/>
        <v/>
      </c>
      <c r="J9" s="50"/>
      <c r="K9" s="51"/>
    </row>
    <row r="10" spans="1:11" ht="15.6">
      <c r="A10" s="52" t="str">
        <v xml:space="preserve"> Ludlow - Huxley 1 &amp; 2 - 504 Fuller St </v>
      </c>
      <c r="B10" s="30" t="str">
        <v>MA</v>
      </c>
      <c r="C10" s="49"/>
      <c r="D10" s="14"/>
      <c r="E10" s="14" t="str">
        <f t="shared" si="4"/>
        <v/>
      </c>
      <c r="F10" s="48" t="str">
        <f t="shared" si="5"/>
        <v/>
      </c>
      <c r="G10" s="47"/>
      <c r="H10" s="47" t="str">
        <f t="shared" si="6"/>
        <v/>
      </c>
      <c r="I10" s="46" t="str">
        <f t="shared" si="7"/>
        <v/>
      </c>
      <c r="J10" s="45"/>
      <c r="K10" s="45"/>
    </row>
    <row r="11" spans="1:11" ht="15.6">
      <c r="A11" s="31" t="str">
        <v>Easthampton - Beacon 1 &amp; 2 - 540 Florence Rd</v>
      </c>
      <c r="B11" s="32" t="str">
        <v>MA</v>
      </c>
      <c r="C11" s="42"/>
      <c r="D11" s="20"/>
      <c r="E11" s="20" t="str">
        <f t="shared" si="4"/>
        <v/>
      </c>
      <c r="F11" s="43" t="str">
        <f t="shared" si="5"/>
        <v/>
      </c>
      <c r="G11" s="44"/>
      <c r="H11" s="44" t="str">
        <f t="shared" si="6"/>
        <v/>
      </c>
      <c r="I11" s="43" t="str">
        <f t="shared" si="7"/>
        <v/>
      </c>
      <c r="J11" s="50"/>
      <c r="K11" s="51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ySplit="2" topLeftCell="A5" activePane="bottomLeft" state="frozen"/>
      <selection pane="bottomLeft" activeCell="H15" sqref="H15"/>
      <selection activeCell="H15" sqref="H15"/>
    </sheetView>
  </sheetViews>
  <sheetFormatPr defaultRowHeight="13.9"/>
  <cols>
    <col min="1" max="1" width="45.85546875" customWidth="1"/>
    <col min="2" max="2" width="8.42578125" style="35" customWidth="1"/>
    <col min="3" max="3" width="17.570312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140625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82" t="s">
        <v>63</v>
      </c>
      <c r="E1" s="82"/>
      <c r="F1" s="82"/>
      <c r="G1" s="81" t="s">
        <v>64</v>
      </c>
      <c r="H1" s="81"/>
      <c r="I1" s="81"/>
      <c r="J1" s="5"/>
      <c r="K1" s="5"/>
    </row>
    <row r="2" spans="1:11" ht="19.5" customHeight="1">
      <c r="A2" s="83" t="s">
        <v>2</v>
      </c>
      <c r="B2" s="83"/>
      <c r="C2" s="55">
        <f>SUM(C4:C90)</f>
        <v>0</v>
      </c>
      <c r="D2" s="55">
        <f>SUM(D4:D90)</f>
        <v>0</v>
      </c>
      <c r="E2" s="55">
        <f>C2-D2</f>
        <v>0</v>
      </c>
      <c r="F2" s="56">
        <f>IFERROR(E2/D2, 0)</f>
        <v>0</v>
      </c>
      <c r="G2" s="55">
        <f>SUM(G4:G90)</f>
        <v>0</v>
      </c>
      <c r="H2" s="57">
        <f>C2-G2</f>
        <v>0</v>
      </c>
      <c r="I2" s="56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5.6">
      <c r="A3" s="54" t="s">
        <v>3</v>
      </c>
      <c r="B3" s="54" t="s">
        <v>4</v>
      </c>
      <c r="C3" s="58" t="s">
        <v>5</v>
      </c>
      <c r="D3" s="59" t="s">
        <v>6</v>
      </c>
      <c r="E3" s="59" t="s">
        <v>7</v>
      </c>
      <c r="F3" s="60" t="s">
        <v>8</v>
      </c>
      <c r="G3" s="61" t="s">
        <v>9</v>
      </c>
      <c r="H3" s="62" t="s">
        <v>7</v>
      </c>
      <c r="I3" s="63" t="s">
        <v>8</v>
      </c>
      <c r="J3" s="27" t="s">
        <v>20</v>
      </c>
      <c r="K3" s="27" t="s">
        <v>21</v>
      </c>
    </row>
    <row r="4" spans="1:11" s="68" customFormat="1" ht="14.45">
      <c r="A4" s="67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s="68" customFormat="1" ht="14.45">
      <c r="A5" s="32" t="str">
        <v>Bakersfield - 100 Basic School Rd</v>
      </c>
      <c r="B5" s="32" t="str">
        <v>CA</v>
      </c>
      <c r="C5" s="12"/>
      <c r="D5" s="20"/>
      <c r="E5" s="20" t="str">
        <f t="shared" ref="E5:E7" si="0">IF(AND(ISNUMBER(C5),ISNUMBER(D5)), C5-D5, "")</f>
        <v/>
      </c>
      <c r="F5" s="21" t="str">
        <f t="shared" ref="F5:F7" si="1">IFERROR(E5/D5, "")</f>
        <v/>
      </c>
      <c r="G5" s="22"/>
      <c r="H5" s="22" t="str">
        <f t="shared" ref="H5:H7" si="2">IF(AND(ISNUMBER(C5),ISNUMBER(G5)), C5-G5, "")</f>
        <v/>
      </c>
      <c r="I5" s="21" t="str">
        <f t="shared" ref="I5:I7" si="3">IFERROR(H5/G5, "")</f>
        <v/>
      </c>
      <c r="J5" s="50"/>
      <c r="K5" s="69"/>
    </row>
    <row r="6" spans="1:11" s="68" customFormat="1" ht="56.25" customHeight="1">
      <c r="A6" s="67" t="str">
        <v>Fresno - 2685 Cornelia Ave</v>
      </c>
      <c r="B6" s="30" t="str">
        <v>CA</v>
      </c>
      <c r="C6" s="26"/>
      <c r="D6" s="14"/>
      <c r="E6" s="14" t="str">
        <f>IF(AND(ISNUMBER(C6),ISNUMBER(D6)), C6-D6, "")</f>
        <v/>
      </c>
      <c r="F6" s="15" t="str">
        <f>IFERROR(E6/D6, "")</f>
        <v/>
      </c>
      <c r="G6" s="16"/>
      <c r="H6" s="16" t="str">
        <f>IF(AND(ISNUMBER(C6),ISNUMBER(G6)), C6-G6, "")</f>
        <v/>
      </c>
      <c r="I6" s="17" t="str">
        <f>IFERROR(H6/G6, "")</f>
        <v/>
      </c>
      <c r="J6" s="18"/>
      <c r="K6" s="18"/>
    </row>
    <row r="7" spans="1:11" s="68" customFormat="1" ht="14.45">
      <c r="A7" s="32" t="str">
        <v>San Juaquin - S. Placer &amp; W. Adams</v>
      </c>
      <c r="B7" s="32" t="str">
        <v>CA</v>
      </c>
      <c r="C7" s="12"/>
      <c r="D7" s="20"/>
      <c r="E7" s="20" t="str">
        <f t="shared" si="0"/>
        <v/>
      </c>
      <c r="F7" s="21" t="str">
        <f t="shared" si="1"/>
        <v/>
      </c>
      <c r="G7" s="22"/>
      <c r="H7" s="22" t="str">
        <f t="shared" si="2"/>
        <v/>
      </c>
      <c r="I7" s="21" t="str">
        <f t="shared" si="3"/>
        <v/>
      </c>
      <c r="J7" s="50"/>
      <c r="K7" s="70"/>
    </row>
    <row r="8" spans="1:11" s="68" customFormat="1" ht="35.25" customHeight="1">
      <c r="A8" s="67" t="str">
        <v xml:space="preserve">Charlemont - 0 Tea St </v>
      </c>
      <c r="B8" s="30" t="str">
        <v>MA</v>
      </c>
      <c r="C8" s="26"/>
      <c r="D8" s="14"/>
      <c r="E8" s="14" t="str">
        <f>IF(AND(ISNUMBER(C8),ISNUMBER(D8)), C8-D8, "")</f>
        <v/>
      </c>
      <c r="F8" s="15" t="str">
        <f>IFERROR(E8/D8, "")</f>
        <v/>
      </c>
      <c r="G8" s="16"/>
      <c r="H8" s="16" t="str">
        <f>IF(AND(ISNUMBER(C8),ISNUMBER(G8)), C8-G8, "")</f>
        <v/>
      </c>
      <c r="I8" s="17" t="str">
        <f>IFERROR(H8/G8, "")</f>
        <v/>
      </c>
      <c r="J8" s="18"/>
      <c r="K8" s="18"/>
    </row>
    <row r="9" spans="1:11" s="68" customFormat="1" ht="14.45">
      <c r="A9" s="32" t="str">
        <v xml:space="preserve">Amherst - 740 Belchertown Rd </v>
      </c>
      <c r="B9" s="32" t="str">
        <v>MA</v>
      </c>
      <c r="C9" s="12"/>
      <c r="D9" s="20"/>
      <c r="E9" s="20" t="str">
        <f>IF(AND(ISNUMBER(C9),ISNUMBER(D9)), C9-D9, "")</f>
        <v/>
      </c>
      <c r="F9" s="21" t="str">
        <f>IFERROR(E9/D9, "")</f>
        <v/>
      </c>
      <c r="G9" s="22"/>
      <c r="H9" s="22" t="str">
        <f>IF(AND(ISNUMBER(C9),ISNUMBER(G9)), C9-G9, "")</f>
        <v/>
      </c>
      <c r="I9" s="21" t="str">
        <f>IFERROR(H9/G9, "")</f>
        <v/>
      </c>
      <c r="J9" s="50"/>
      <c r="K9" s="70"/>
    </row>
    <row r="10" spans="1:11" s="68" customFormat="1" ht="14.45">
      <c r="A10" s="67" t="str">
        <v xml:space="preserve"> Ludlow - Huxley 1 &amp; 2 - 504 Fuller St </v>
      </c>
      <c r="B10" s="30" t="str">
        <v>MA</v>
      </c>
      <c r="C10" s="26"/>
      <c r="D10" s="14"/>
      <c r="E10" s="14" t="str">
        <f>IF(AND(ISNUMBER(C10),ISNUMBER(D10)), C10-D10, "")</f>
        <v/>
      </c>
      <c r="F10" s="15" t="str">
        <f>IFERROR(E10/D10, "")</f>
        <v/>
      </c>
      <c r="G10" s="16"/>
      <c r="H10" s="16" t="str">
        <f>IF(AND(ISNUMBER(C10),ISNUMBER(G10)), C10-G10, "")</f>
        <v/>
      </c>
      <c r="I10" s="17" t="str">
        <f>IFERROR(H10/G10, "")</f>
        <v/>
      </c>
      <c r="J10" s="18"/>
      <c r="K10" s="18"/>
    </row>
    <row r="11" spans="1:11" s="68" customFormat="1" ht="14.45">
      <c r="A11" s="32" t="str">
        <v>Easthampton - Beacon 1 &amp; 2 - 540 Florence Rd</v>
      </c>
      <c r="B11" s="32" t="str">
        <v>MA</v>
      </c>
      <c r="C11" s="12"/>
      <c r="D11" s="20"/>
      <c r="E11" s="20" t="str">
        <f>IF(AND(ISNUMBER(C11),ISNUMBER(D11)), C11-D11, "")</f>
        <v/>
      </c>
      <c r="F11" s="21" t="str">
        <f>IFERROR(E11/D11, "")</f>
        <v/>
      </c>
      <c r="G11" s="22"/>
      <c r="H11" s="22" t="str">
        <f>IF(AND(ISNUMBER(C11),ISNUMBER(G11)), C11-G11, "")</f>
        <v/>
      </c>
      <c r="I11" s="21" t="str">
        <f>IFERROR(H11/G11, "")</f>
        <v/>
      </c>
      <c r="J11" s="50"/>
      <c r="K11" s="70"/>
    </row>
    <row r="12" spans="1:11" ht="18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H15" sqref="H15"/>
      <selection activeCell="H15" sqref="H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AB CarVal</v>
      </c>
      <c r="B1" s="78"/>
      <c r="C1" s="78"/>
      <c r="D1" s="79" t="s">
        <v>65</v>
      </c>
      <c r="E1" s="79"/>
      <c r="F1" s="79"/>
      <c r="G1" s="77" t="s">
        <v>66</v>
      </c>
      <c r="H1" s="77"/>
      <c r="I1" s="77"/>
      <c r="J1" s="5"/>
      <c r="K1" s="5"/>
    </row>
    <row r="2" spans="1:11" ht="19.5" customHeight="1">
      <c r="A2" s="80" t="s">
        <v>2</v>
      </c>
      <c r="B2" s="8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11">Sites[Site]</f>
        <v>MA: Fairhaven - 279 Mill Rd</v>
      </c>
      <c r="B4" s="30" t="str" cm="1">
        <f t="array" ref="B4:B11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:E11" si="0">IF(AND(ISNUMBER(C5),ISNUMBER(D5)), C5-D5, "")</f>
        <v/>
      </c>
      <c r="F5" s="21" t="str">
        <f t="shared" ref="F5:F11" si="1">IFERROR(E5/D5, "")</f>
        <v/>
      </c>
      <c r="G5" s="22"/>
      <c r="H5" s="22" t="str">
        <f t="shared" ref="H5:H11" si="2">IF(AND(ISNUMBER(C5),ISNUMBER(G5)), C5-G5, "")</f>
        <v/>
      </c>
      <c r="I5" s="21" t="str">
        <f t="shared" ref="I5:I11" si="3">IFERROR(H5/G5, "")</f>
        <v/>
      </c>
      <c r="J5" s="11"/>
      <c r="K5" s="19"/>
    </row>
    <row r="6" spans="1:11" ht="69" customHeight="1">
      <c r="A6" s="33" t="str">
        <v>Fresno - 2685 Cornelia Ave</v>
      </c>
      <c r="B6" s="30" t="str">
        <v>CA</v>
      </c>
      <c r="C6" s="26"/>
      <c r="D6" s="14"/>
      <c r="E6" s="14" t="str">
        <f t="shared" si="0"/>
        <v/>
      </c>
      <c r="F6" s="15" t="str">
        <f t="shared" si="1"/>
        <v/>
      </c>
      <c r="G6" s="16"/>
      <c r="H6" s="16" t="str">
        <f t="shared" si="2"/>
        <v/>
      </c>
      <c r="I6" s="17" t="str">
        <f t="shared" si="3"/>
        <v/>
      </c>
      <c r="J6" s="18"/>
      <c r="K6" s="18"/>
    </row>
    <row r="7" spans="1:11" ht="67.5" customHeight="1">
      <c r="A7" s="31" t="str">
        <v>San Juaquin - S. Placer &amp; W. Adams</v>
      </c>
      <c r="B7" s="32" t="str">
        <v>CA</v>
      </c>
      <c r="C7" s="12"/>
      <c r="D7" s="20"/>
      <c r="E7" s="20" t="str">
        <f t="shared" si="0"/>
        <v/>
      </c>
      <c r="F7" s="21" t="str">
        <f t="shared" si="1"/>
        <v/>
      </c>
      <c r="G7" s="22"/>
      <c r="H7" s="22" t="str">
        <f t="shared" si="2"/>
        <v/>
      </c>
      <c r="I7" s="21" t="str">
        <f t="shared" si="3"/>
        <v/>
      </c>
      <c r="J7" s="71"/>
      <c r="K7" s="50"/>
    </row>
    <row r="8" spans="1:11" ht="15.6">
      <c r="A8" s="33" t="str">
        <v xml:space="preserve">Charlemont - 0 Tea St </v>
      </c>
      <c r="B8" s="30" t="str">
        <v>MA</v>
      </c>
      <c r="C8" s="26"/>
      <c r="D8" s="14"/>
      <c r="E8" s="14" t="str">
        <f t="shared" si="0"/>
        <v/>
      </c>
      <c r="F8" s="15" t="str">
        <f t="shared" si="1"/>
        <v/>
      </c>
      <c r="G8" s="16"/>
      <c r="H8" s="16" t="str">
        <f t="shared" si="2"/>
        <v/>
      </c>
      <c r="I8" s="17" t="str">
        <f t="shared" si="3"/>
        <v/>
      </c>
      <c r="J8" s="18"/>
      <c r="K8" s="18"/>
    </row>
    <row r="9" spans="1:11" ht="15.6">
      <c r="A9" s="31" t="str">
        <v xml:space="preserve">Amherst - 740 Belchertown Rd </v>
      </c>
      <c r="B9" s="32" t="str">
        <v>MA</v>
      </c>
      <c r="C9" s="12"/>
      <c r="D9" s="20"/>
      <c r="E9" s="20" t="str">
        <f t="shared" si="0"/>
        <v/>
      </c>
      <c r="F9" s="21" t="str">
        <f t="shared" si="1"/>
        <v/>
      </c>
      <c r="G9" s="22"/>
      <c r="H9" s="22" t="str">
        <f t="shared" si="2"/>
        <v/>
      </c>
      <c r="I9" s="21" t="str">
        <f t="shared" si="3"/>
        <v/>
      </c>
      <c r="J9" s="72"/>
      <c r="K9" s="72"/>
    </row>
    <row r="10" spans="1:11" ht="15.6">
      <c r="A10" s="33" t="str">
        <v xml:space="preserve"> Ludlow - Huxley 1 &amp; 2 - 504 Fuller St </v>
      </c>
      <c r="B10" s="30" t="str">
        <v>MA</v>
      </c>
      <c r="C10" s="26"/>
      <c r="D10" s="14"/>
      <c r="E10" s="14" t="str">
        <f t="shared" si="0"/>
        <v/>
      </c>
      <c r="F10" s="15" t="str">
        <f t="shared" si="1"/>
        <v/>
      </c>
      <c r="G10" s="16"/>
      <c r="H10" s="16" t="str">
        <f t="shared" si="2"/>
        <v/>
      </c>
      <c r="I10" s="17" t="str">
        <f t="shared" si="3"/>
        <v/>
      </c>
      <c r="J10" s="18"/>
      <c r="K10" s="18"/>
    </row>
    <row r="11" spans="1:11" ht="15.6">
      <c r="A11" s="31" t="str">
        <v>Easthampton - Beacon 1 &amp; 2 - 540 Florence Rd</v>
      </c>
      <c r="B11" s="32" t="str">
        <v>MA</v>
      </c>
      <c r="C11" s="12"/>
      <c r="D11" s="20"/>
      <c r="E11" s="20" t="str">
        <f t="shared" si="0"/>
        <v/>
      </c>
      <c r="F11" s="21" t="str">
        <f t="shared" si="1"/>
        <v/>
      </c>
      <c r="G11" s="22"/>
      <c r="H11" s="22" t="str">
        <f t="shared" si="2"/>
        <v/>
      </c>
      <c r="I11" s="21" t="str">
        <f t="shared" si="3"/>
        <v/>
      </c>
      <c r="J11" s="11"/>
      <c r="K11" s="19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1"/>
  <sheetViews>
    <sheetView workbookViewId="0">
      <pane ySplit="3" topLeftCell="A4" activePane="bottomLeft" state="frozen"/>
      <selection pane="bottomLeft" activeCell="A24" sqref="A2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67</v>
      </c>
      <c r="B1" t="s">
        <v>68</v>
      </c>
    </row>
    <row r="3" spans="1:7" ht="13.15">
      <c r="A3" t="s">
        <v>69</v>
      </c>
      <c r="B3" t="s">
        <v>3</v>
      </c>
      <c r="C3" t="s">
        <v>4</v>
      </c>
      <c r="D3" t="s">
        <v>70</v>
      </c>
      <c r="E3" s="2" t="s">
        <v>71</v>
      </c>
    </row>
    <row r="4" spans="1:7" ht="14.45">
      <c r="A4" t="s">
        <v>72</v>
      </c>
      <c r="B4" t="s">
        <v>73</v>
      </c>
      <c r="C4" s="4" t="s">
        <v>74</v>
      </c>
      <c r="E4" t="s">
        <v>75</v>
      </c>
      <c r="G4" s="3"/>
    </row>
    <row r="5" spans="1:7" ht="12.75" customHeight="1">
      <c r="A5" s="4" t="s">
        <v>76</v>
      </c>
      <c r="B5" s="4" t="s">
        <v>77</v>
      </c>
      <c r="C5" s="4" t="s">
        <v>78</v>
      </c>
      <c r="D5" t="s">
        <v>79</v>
      </c>
      <c r="E5" t="s">
        <v>80</v>
      </c>
    </row>
    <row r="6" spans="1:7" ht="12.75" customHeight="1">
      <c r="A6" s="4" t="s">
        <v>81</v>
      </c>
      <c r="B6" s="4" t="s">
        <v>82</v>
      </c>
      <c r="C6" s="4" t="s">
        <v>78</v>
      </c>
      <c r="D6" t="s">
        <v>79</v>
      </c>
      <c r="E6" t="s">
        <v>80</v>
      </c>
    </row>
    <row r="7" spans="1:7" ht="12.75" customHeight="1">
      <c r="A7" s="4" t="s">
        <v>83</v>
      </c>
      <c r="B7" s="4" t="s">
        <v>84</v>
      </c>
      <c r="C7" s="4" t="s">
        <v>78</v>
      </c>
      <c r="D7" t="s">
        <v>79</v>
      </c>
      <c r="E7" t="s">
        <v>80</v>
      </c>
    </row>
    <row r="8" spans="1:7" ht="12.75" customHeight="1">
      <c r="A8" s="4" t="s">
        <v>85</v>
      </c>
      <c r="B8" s="4" t="s">
        <v>86</v>
      </c>
      <c r="C8" s="4" t="s">
        <v>74</v>
      </c>
      <c r="E8" t="s">
        <v>75</v>
      </c>
    </row>
    <row r="9" spans="1:7" ht="12.75" customHeight="1">
      <c r="A9" s="4" t="s">
        <v>87</v>
      </c>
      <c r="B9" s="4" t="s">
        <v>88</v>
      </c>
      <c r="C9" s="4" t="s">
        <v>74</v>
      </c>
      <c r="E9" t="s">
        <v>75</v>
      </c>
    </row>
    <row r="10" spans="1:7" ht="12.75" customHeight="1">
      <c r="A10" s="4" t="s">
        <v>89</v>
      </c>
      <c r="B10" s="4" t="s">
        <v>90</v>
      </c>
      <c r="C10" s="4" t="s">
        <v>74</v>
      </c>
      <c r="E10" t="s">
        <v>75</v>
      </c>
    </row>
    <row r="11" spans="1:7" ht="12.75" customHeight="1">
      <c r="A11" s="4" t="s">
        <v>91</v>
      </c>
      <c r="B11" s="4" t="s">
        <v>92</v>
      </c>
      <c r="C11" s="4" t="s">
        <v>74</v>
      </c>
      <c r="E11" t="s">
        <v>75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2025-03-19T19:40:44Z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2024-09-09T14:52:17Z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be06981d-8400-4fea-a654-3857d71c3441</vt:lpwstr>
  </property>
  <property fmtid="{D5CDD505-2E9C-101B-9397-08002B2CF9AE}" pid="9" name="MSIP_Label_9d817c99-0b37-4a07-8277-96aa1f96b74b_ContentBits">
    <vt:lpwstr>0</vt:lpwstr>
  </property>
</Properties>
</file>