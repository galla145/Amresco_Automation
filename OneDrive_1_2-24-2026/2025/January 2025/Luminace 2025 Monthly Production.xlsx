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8" documentId="13_ncr:1_{12F78D59-D44A-4B02-87C6-4D2E5271ACAC}" xr6:coauthVersionLast="47" xr6:coauthVersionMax="47" xr10:uidLastSave="{23230ECE-471D-4276-8CCD-A4AC85FB59DC}"/>
  <bookViews>
    <workbookView xWindow="28680" yWindow="-12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3" l="1"/>
  <c r="I5" i="33" s="1"/>
  <c r="H6" i="33"/>
  <c r="I6" i="33" s="1"/>
  <c r="H7" i="33"/>
  <c r="I7" i="33" s="1"/>
  <c r="H8" i="33"/>
  <c r="I8" i="33" s="1"/>
  <c r="E5" i="33"/>
  <c r="F5" i="33" s="1"/>
  <c r="E6" i="33"/>
  <c r="F6" i="33" s="1"/>
  <c r="E7" i="33"/>
  <c r="F7" i="33" s="1"/>
  <c r="E8" i="33"/>
  <c r="F8" i="33" s="1"/>
  <c r="G6" i="30" l="1"/>
  <c r="G7" i="30"/>
  <c r="G8" i="30"/>
  <c r="G5" i="30"/>
  <c r="G4" i="30"/>
  <c r="E5" i="28"/>
  <c r="F5" i="28" s="1"/>
  <c r="E5" i="27"/>
  <c r="G5" i="29"/>
  <c r="G6" i="29"/>
  <c r="G7" i="29"/>
  <c r="G8" i="29"/>
  <c r="G4" i="29"/>
  <c r="E5" i="20"/>
  <c r="G5" i="18"/>
  <c r="G6" i="18"/>
  <c r="G7" i="18"/>
  <c r="G8" i="18"/>
  <c r="G4" i="18"/>
  <c r="E4" i="4"/>
  <c r="F4" i="4"/>
  <c r="H4" i="4"/>
  <c r="I4" i="4"/>
  <c r="E5" i="4"/>
  <c r="F5" i="4" s="1"/>
  <c r="H5" i="4"/>
  <c r="I5" i="4"/>
  <c r="E6" i="4"/>
  <c r="F6" i="4"/>
  <c r="H6" i="4"/>
  <c r="I6" i="4"/>
  <c r="E7" i="4"/>
  <c r="F7" i="4"/>
  <c r="H7" i="4"/>
  <c r="I7" i="4"/>
  <c r="E8" i="4"/>
  <c r="F8" i="4" s="1"/>
  <c r="H8" i="4"/>
  <c r="I8" i="4"/>
  <c r="E8" i="72" l="1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D5" i="34"/>
  <c r="C6" i="34"/>
  <c r="D6" i="34"/>
  <c r="C7" i="34"/>
  <c r="D7" i="34"/>
  <c r="D8" i="34"/>
  <c r="C8" i="34"/>
  <c r="H6" i="29"/>
  <c r="I6" i="29" s="1"/>
  <c r="E7" i="18"/>
  <c r="F7" i="18" s="1"/>
  <c r="D4" i="34"/>
  <c r="D2" i="18"/>
  <c r="E8" i="30"/>
  <c r="F8" i="30" s="1"/>
  <c r="H6" i="30"/>
  <c r="H7" i="29"/>
  <c r="I7" i="29" s="1"/>
  <c r="E4" i="18"/>
  <c r="F4" i="18" s="1"/>
  <c r="E8" i="18"/>
  <c r="F8" i="18" s="1"/>
  <c r="E8" i="29"/>
  <c r="F8" i="29" s="1"/>
  <c r="E4" i="30"/>
  <c r="F4" i="30" s="1"/>
  <c r="D2" i="29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G2" i="1"/>
  <c r="E8" i="1"/>
  <c r="F8" i="1" s="1"/>
  <c r="E5" i="1"/>
  <c r="F5" i="1" s="1"/>
  <c r="E6" i="1"/>
  <c r="F6" i="1" s="1"/>
  <c r="H4" i="30"/>
  <c r="I4" i="30" s="1"/>
  <c r="E7" i="30"/>
  <c r="F7" i="30" s="1"/>
  <c r="H7" i="30"/>
  <c r="H5" i="30"/>
  <c r="H8" i="30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E8" i="34"/>
  <c r="F8" i="34" s="1"/>
  <c r="I5" i="30"/>
  <c r="H5" i="34"/>
  <c r="I5" i="34" s="1"/>
  <c r="I8" i="30"/>
  <c r="H8" i="34"/>
  <c r="I8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tc={7BB2A71C-CBAD-4408-9EE1-62BBFD951367}</author>
  </authors>
  <commentList>
    <comment ref="C4" authorId="0" shapeId="0" xr:uid="{7BB2A71C-CBAD-4408-9EE1-62BBFD95136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<sst xmlns="http://schemas.openxmlformats.org/spreadsheetml/2006/main" count="266" uniqueCount="71">
  <si>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</si>
  <si>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</si>
  <si>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</si>
  <si>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</si>
  <si>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</si>
  <si>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</si>
  <si>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</si>
  <si>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</si>
  <si>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</si>
  <si>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</si>
  <si>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</si>
  <si>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</si>
  <si>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</si>
  <si>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</si>
  <si>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</si>
  <si>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</si>
  <si>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</si>
  <si>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</si>
  <si>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</si>
  <si>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</si>
  <si>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</si>
  <si>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</si>
  <si>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CSS resolved the DAS issues on 01/03, and M0 started reporting the production on 01/03. However, M1 is reporting negative values. As per the drawings, the site capacity is 365 kW, but meter M0 is reporting 295 kW, and M1 is reporting -295 kW. We have consider M0 production as total site production. Reached out to AE #557940</t>
  </si>
  <si>
    <t>1.SR094989, SR096863</t>
  </si>
  <si>
    <t>SR096863</t>
  </si>
  <si>
    <t>1. Site is dealing with utility-related issue throughout the month, and the EPC team is currently addressing the issue.</t>
  </si>
  <si>
    <t>1. SR093414</t>
  </si>
  <si>
    <t>1.Utility company has shut down site since 06/11/24.</t>
  </si>
  <si>
    <t>1.SR086098</t>
  </si>
  <si>
    <t>1.Site tripped offline at 2:30AM on 01/21 due to Phase A voltage missing Fault and back online at 10AM on 01/30.</t>
  </si>
  <si>
    <t>1.SR095756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</si>
  <si>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</si>
  <si>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</si>
  <si>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</si>
  <si>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</si>
  <si>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</si>
  <si>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</si>
  <si>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</si>
  <si>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</si>
  <si>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</si>
  <si>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</si>
  <si>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</si>
  <si>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</si>
  <si>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</si>
  <si>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</si>
  <si>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</si>
  <si>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</si>
  <si>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</si>
  <si>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</si>
  <si>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</si>
  <si>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</si>
  <si>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</si>
  <si>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</si>
  <si>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</si>
  <si>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Luminance</t>
  </si>
  <si>
    <t>Site DAS Name</t>
  </si>
  <si>
    <t>Update</t>
  </si>
  <si>
    <t>DAS</t>
  </si>
  <si>
    <t>DC-23-0001 - Raymond Elementary Redev</t>
  </si>
  <si>
    <t xml:space="preserve">Raymond Ed Re-Development - DC-23-0001 </t>
  </si>
  <si>
    <t>DC</t>
  </si>
  <si>
    <t>PowerTrack</t>
  </si>
  <si>
    <t>NJ-22-C893 - CS Energy - Berkeley I</t>
  </si>
  <si>
    <t>Berkeley - NJ-22-C893 Berkeley I</t>
  </si>
  <si>
    <t>NJ</t>
  </si>
  <si>
    <t>NJ-22-C894 - CS Energy - Berkeley II</t>
  </si>
  <si>
    <t>Berkeley - NJ-22-C894 Berkeley II</t>
  </si>
  <si>
    <t>Southampton - BEMS East NJ-22-C897</t>
  </si>
  <si>
    <t xml:space="preserve"> BEMS Landfill East</t>
  </si>
  <si>
    <t>NJ-22-C898 - BEMS Landfill West</t>
  </si>
  <si>
    <t>Southampton - BEMS West NJ-22-C898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</si>
</sst>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7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0" fontId="38" fillId="0" borderId="0" xfId="0" applyFont="1"/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vertical="center" wrapText="1"/>
    </xf>
    <xf numFmtId="0" fontId="39" fillId="0" borderId="0" xfId="45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1FAD546F-6650-49CB-A3F7-5B2091D330FB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2-14T04:58:58.71" personId="{1FAD546F-6650-49CB-A3F7-5B2091D330FB}" id="{7BB2A71C-CBAD-4408-9EE1-62BBFD951367}">
    <text>Since meter M1 is reporting negative values from 01/03  we have consider M0 production as total site production.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341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6863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5756" TargetMode="External"/><Relationship Id="rId5" Type="http://schemas.openxmlformats.org/officeDocument/2006/relationships/hyperlink" Target="https://us3.assetplanner.com/service_request?ID=086098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3414" TargetMode="External"/><Relationship Id="rId9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F19" sqref="F1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Luminance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>
      <c r="A2" s="78" t="s">
        <v>2</v>
      </c>
      <c r="B2" s="78"/>
      <c r="C2" s="5">
        <f>SUM(C4:C80)</f>
        <v>391768.89745754597</v>
      </c>
      <c r="D2" s="5">
        <f>SUM(D4:D80)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SUM(G4:G80)</f>
        <v>1616542</v>
      </c>
      <c r="H2" s="7">
        <f>C2-G2</f>
        <v>-1224773.1025424539</v>
      </c>
      <c r="I2" s="6">
        <f>IFERROR(H2/G2, 0)</f>
        <v>-0.75765003479182969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2" t="str" cm="1">
        <f t="array" ref="A4:A8">Sites[Site]</f>
        <v xml:space="preserve">Raymond Ed Re-Development - DC-23-0001 </v>
      </c>
      <c r="B4" s="33" t="str" cm="1">
        <f t="array" ref="B4:B8">Sites[State]</f>
        <v>DC</v>
      </c>
      <c r="C4" s="34">
        <f>SUM('1st Qtr'!C4, '2nd Qtr'!C4, '3rd Qtr'!C4, '4th Qtr'!C4)</f>
        <v>14808.791999999999</v>
      </c>
      <c r="D4" s="35">
        <f>SUM('1st Qtr'!D4, '2nd Qtr'!D4, '3rd Qtr'!D4, '4th Qtr'!D4)</f>
        <v>0</v>
      </c>
      <c r="E4" s="35">
        <f>IF(AND(ISNUMBER(C4),ISNUMBER(D4)), C4-D4, "")</f>
        <v>14808.791999999999</v>
      </c>
      <c r="F4" s="36" t="str">
        <f>IFERROR(E4/D4, "")</f>
        <v/>
      </c>
      <c r="G4" s="37">
        <f>SUM('1st Qtr'!G4, '2nd Qtr'!G4, '3rd Qtr'!G4, '4th Qtr'!G4)</f>
        <v>0</v>
      </c>
      <c r="H4" s="37">
        <f>SUM('1st Qtr'!H4, '2nd Qtr'!H4, '3rd Qtr'!H4, '4th Qtr'!H4)</f>
        <v>14808.791999999999</v>
      </c>
      <c r="I4" s="38" t="str">
        <f>IFERROR(H4/G4, "")</f>
        <v/>
      </c>
    </row>
    <row r="5" spans="1:9" ht="15.6">
      <c r="A5" s="39" t="str">
        <v>Berkeley - NJ-22-C893 Berkeley I</v>
      </c>
      <c r="B5" s="40" t="str">
        <v>NJ</v>
      </c>
      <c r="C5" s="41">
        <f>SUM('1st Qtr'!C5, '2nd Qtr'!C5, '3rd Qtr'!C5, '4th Qtr'!C5)</f>
        <v>0</v>
      </c>
      <c r="D5" s="41">
        <f>SUM('1st Qtr'!D5, '2nd Qtr'!D5, '3rd Qtr'!D5, '4th Qtr'!D5)</f>
        <v>31205.78</v>
      </c>
      <c r="E5" s="42">
        <f t="shared" ref="E5:E8" si="0">IF(AND(ISNUMBER(C5),ISNUMBER(D5)), C5-D5, "")</f>
        <v>-31205.78</v>
      </c>
      <c r="F5" s="43">
        <f>IFERROR(E5/D5, "")</f>
        <v>-1</v>
      </c>
      <c r="G5" s="44">
        <f>SUM('1st Qtr'!G5, '2nd Qtr'!G5, '3rd Qtr'!G5, '4th Qtr'!G5)</f>
        <v>412354</v>
      </c>
      <c r="H5" s="44">
        <f>SUM('1st Qtr'!H5, '2nd Qtr'!H5, '3rd Qtr'!H5, '4th Qtr'!H5)</f>
        <v>-412354</v>
      </c>
      <c r="I5" s="43">
        <f>IFERROR(H5/G5, "")</f>
        <v>-1</v>
      </c>
    </row>
    <row r="6" spans="1:9" ht="15.6">
      <c r="A6" s="32" t="str">
        <v>Berkeley - NJ-22-C894 Berkeley II</v>
      </c>
      <c r="B6" s="33" t="str">
        <v>NJ</v>
      </c>
      <c r="C6" s="34">
        <f>SUM('1st Qtr'!C6, '2nd Qtr'!C6, '3rd Qtr'!C6, '4th Qtr'!C6)</f>
        <v>109808.105457546</v>
      </c>
      <c r="D6" s="35">
        <f>SUM('1st Qtr'!D6, '2nd Qtr'!D6, '3rd Qtr'!D6, '4th Qtr'!D6)</f>
        <v>271422.90000000002</v>
      </c>
      <c r="E6" s="35">
        <f t="shared" si="0"/>
        <v>-161614.79454245401</v>
      </c>
      <c r="F6" s="36">
        <f t="shared" ref="F6:F8" si="1">IFERROR(E6/D6, "")</f>
        <v>-0.59543536872700864</v>
      </c>
      <c r="G6" s="37">
        <f>SUM('1st Qtr'!G6, '2nd Qtr'!G6, '3rd Qtr'!G6, '4th Qtr'!G6)</f>
        <v>406892</v>
      </c>
      <c r="H6" s="37">
        <f>SUM('1st Qtr'!H6, '2nd Qtr'!H6, '3rd Qtr'!H6, '4th Qtr'!H6)</f>
        <v>-297083.89454245399</v>
      </c>
      <c r="I6" s="38">
        <f t="shared" ref="I6:I8" si="2">IFERROR(H6/G6, "")</f>
        <v>-0.73012960329142373</v>
      </c>
    </row>
    <row r="7" spans="1:9" ht="15.6">
      <c r="A7" s="39" t="str">
        <v xml:space="preserve"> BEMS Landfill East</v>
      </c>
      <c r="B7" s="40" t="str">
        <v>NJ</v>
      </c>
      <c r="C7" s="41">
        <f>SUM('1st Qtr'!C7, '2nd Qtr'!C7, '3rd Qtr'!C7, '4th Qtr'!C7)</f>
        <v>0</v>
      </c>
      <c r="D7" s="41">
        <f>SUM('1st Qtr'!D7, '2nd Qtr'!D7, '3rd Qtr'!D7, '4th Qtr'!D7)</f>
        <v>0</v>
      </c>
      <c r="E7" s="42">
        <f t="shared" si="0"/>
        <v>0</v>
      </c>
      <c r="F7" s="43" t="str">
        <f t="shared" si="1"/>
        <v/>
      </c>
      <c r="G7" s="44">
        <f>SUM('1st Qtr'!G7, '2nd Qtr'!G7, '3rd Qtr'!G7, '4th Qtr'!G7)</f>
        <v>435058</v>
      </c>
      <c r="H7" s="44">
        <f>SUM('1st Qtr'!H7, '2nd Qtr'!H7, '3rd Qtr'!H7, '4th Qtr'!H7)</f>
        <v>-435058</v>
      </c>
      <c r="I7" s="43">
        <f t="shared" si="2"/>
        <v>-1</v>
      </c>
    </row>
    <row r="8" spans="1:9" ht="16.5" customHeight="1">
      <c r="A8" s="32" t="str">
        <v>Southampton - BEMS West NJ-22-C898</v>
      </c>
      <c r="B8" s="33" t="str">
        <v>NJ</v>
      </c>
      <c r="C8" s="34">
        <f>SUM('1st Qtr'!C8, '2nd Qtr'!C8, '3rd Qtr'!C8, '4th Qtr'!C8)</f>
        <v>267152</v>
      </c>
      <c r="D8" s="35">
        <f>SUM('1st Qtr'!D8, '2nd Qtr'!D8, '3rd Qtr'!D8, '4th Qtr'!D8)</f>
        <v>357614.2</v>
      </c>
      <c r="E8" s="35">
        <f t="shared" si="0"/>
        <v>-90462.200000000012</v>
      </c>
      <c r="F8" s="36">
        <f t="shared" si="1"/>
        <v>-0.25296031309718686</v>
      </c>
      <c r="G8" s="37">
        <f>SUM('1st Qtr'!G8, '2nd Qtr'!G8, '3rd Qtr'!G8, '4th Qtr'!G8)</f>
        <v>362238</v>
      </c>
      <c r="H8" s="37">
        <f>SUM('1st Qtr'!H8, '2nd Qtr'!H8, '3rd Qtr'!H8, '4th Qtr'!H8)</f>
        <v>-95086</v>
      </c>
      <c r="I8" s="38">
        <f t="shared" si="2"/>
        <v>-0.26249592809147576</v>
      </c>
    </row>
    <row r="9" spans="1:9" ht="13.9">
      <c r="A9" s="13"/>
      <c r="B9" s="13"/>
      <c r="C9" s="13"/>
      <c r="D9" s="13"/>
      <c r="E9" s="13"/>
      <c r="F9" s="13"/>
      <c r="G9" s="13"/>
      <c r="H9" s="13"/>
      <c r="I9" s="13"/>
    </row>
    <row r="10" spans="1:9" ht="13.9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75"/>
    <row r="324" spans="1:9" ht="12.75"/>
    <row r="325" spans="1:9" ht="12.75"/>
    <row r="326" spans="1:9" ht="12.75"/>
    <row r="327" spans="1:9" ht="12.75"/>
    <row r="328" spans="1:9" ht="12.75"/>
    <row r="329" spans="1:9" ht="12.75"/>
    <row r="330" spans="1:9" ht="12.75"/>
    <row r="331" spans="1:9" ht="12.75"/>
    <row r="332" spans="1:9" ht="12.75"/>
    <row r="333" spans="1:9" ht="12.75"/>
    <row r="334" spans="1:9" ht="12.75"/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E17" sqref="E17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Luminance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SUM(C4:C80)</f>
        <v>391768.89745754597</v>
      </c>
      <c r="D2" s="5">
        <f>SUM(D4:D80)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SUM(G4:G80)</f>
        <v>1616542</v>
      </c>
      <c r="H2" s="7">
        <f>C2-G2</f>
        <v>-1224773.1025424539</v>
      </c>
      <c r="I2" s="6">
        <f>IFERROR(H2/G2, 0)</f>
        <v>-0.75765003479182969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8">Sites[Site]</f>
        <v xml:space="preserve">Raymond Ed Re-Development - DC-23-0001 </v>
      </c>
      <c r="B4" s="33" t="str" cm="1">
        <f t="array" ref="B4:B8">Sites[State]</f>
        <v>DC</v>
      </c>
      <c r="C4" s="34">
        <f>SUM(Jan!C4, Feb!C4, Mar!C4)</f>
        <v>14808.791999999999</v>
      </c>
      <c r="D4" s="35">
        <f>SUM(Jan!D4, Feb!D4, Mar!D4)</f>
        <v>0</v>
      </c>
      <c r="E4" s="35">
        <f>IF(AND(ISNUMBER(C4),ISNUMBER(D4)), C4-D4, "")</f>
        <v>14808.791999999999</v>
      </c>
      <c r="F4" s="36" t="str">
        <f>IFERROR(E4/D4, "")</f>
        <v/>
      </c>
      <c r="G4" s="37">
        <f>SUM(Jan!G4, Feb!G4, Mar!G4)</f>
        <v>0</v>
      </c>
      <c r="H4" s="37">
        <f>SUM(Jan!H4, Feb!H4, Mar!H4)</f>
        <v>14808.791999999999</v>
      </c>
      <c r="I4" s="38" t="str">
        <f>IFERROR(H4/G4, "")</f>
        <v/>
      </c>
    </row>
    <row r="5" spans="1:9" ht="15.6">
      <c r="A5" s="54" t="str">
        <v>Berkeley - NJ-22-C893 Berkeley I</v>
      </c>
      <c r="B5" s="40" t="str">
        <v>NJ</v>
      </c>
      <c r="C5" s="41">
        <f>SUM(Jan!C5, Feb!C5, Mar!C5)</f>
        <v>0</v>
      </c>
      <c r="D5" s="42">
        <f>SUM(Jan!D5, Feb!D5, Mar!D5)</f>
        <v>31205.78</v>
      </c>
      <c r="E5" s="42">
        <f t="shared" ref="E5:E8" si="0">IF(AND(ISNUMBER(C5),ISNUMBER(D5)), C5-D5, "")</f>
        <v>-31205.78</v>
      </c>
      <c r="F5" s="43">
        <f>IFERROR(E5/D5, "")</f>
        <v>-1</v>
      </c>
      <c r="G5" s="44">
        <f>SUM(Jan!G5, Feb!G5, Mar!G5)</f>
        <v>412354</v>
      </c>
      <c r="H5" s="44">
        <f>SUM(Jan!H5, Feb!H5, Mar!H5)</f>
        <v>-412354</v>
      </c>
      <c r="I5" s="43">
        <f>IFERROR(H5/G5, "")</f>
        <v>-1</v>
      </c>
    </row>
    <row r="6" spans="1:9" ht="15.6">
      <c r="A6" s="53" t="str">
        <v>Berkeley - NJ-22-C894 Berkeley II</v>
      </c>
      <c r="B6" s="33" t="str">
        <v>NJ</v>
      </c>
      <c r="C6" s="34">
        <f>SUM(Jan!C6, Feb!C6, Mar!C6)</f>
        <v>109808.105457546</v>
      </c>
      <c r="D6" s="35">
        <f>SUM(Jan!D6, Feb!D6, Mar!D6)</f>
        <v>271422.90000000002</v>
      </c>
      <c r="E6" s="35">
        <f t="shared" si="0"/>
        <v>-161614.79454245401</v>
      </c>
      <c r="F6" s="36">
        <f t="shared" ref="F6:F8" si="1">IFERROR(E6/D6, "")</f>
        <v>-0.59543536872700864</v>
      </c>
      <c r="G6" s="37">
        <f>SUM(Jan!G6, Feb!G6, Mar!G6)</f>
        <v>406892</v>
      </c>
      <c r="H6" s="37">
        <f>SUM(Jan!H6, Feb!H6, Mar!H6)</f>
        <v>-297083.89454245399</v>
      </c>
      <c r="I6" s="38">
        <f t="shared" ref="I6:I8" si="2">IFERROR(H6/G6, "")</f>
        <v>-0.73012960329142373</v>
      </c>
    </row>
    <row r="7" spans="1:9" ht="15.6">
      <c r="A7" s="54" t="str">
        <v xml:space="preserve"> BEMS Landfill East</v>
      </c>
      <c r="B7" s="40" t="str">
        <v>NJ</v>
      </c>
      <c r="C7" s="41">
        <f>SUM(Jan!C7, Feb!C7, Mar!C7)</f>
        <v>0</v>
      </c>
      <c r="D7" s="42">
        <f>SUM(Jan!D7, Feb!D7, Mar!D7)</f>
        <v>0</v>
      </c>
      <c r="E7" s="42">
        <f t="shared" si="0"/>
        <v>0</v>
      </c>
      <c r="F7" s="43" t="str">
        <f t="shared" si="1"/>
        <v/>
      </c>
      <c r="G7" s="44">
        <f>SUM(Jan!G7, Feb!G7, Mar!G7)</f>
        <v>435058</v>
      </c>
      <c r="H7" s="44">
        <f>SUM(Jan!H7, Feb!H7, Mar!H7)</f>
        <v>-435058</v>
      </c>
      <c r="I7" s="43">
        <f t="shared" si="2"/>
        <v>-1</v>
      </c>
    </row>
    <row r="8" spans="1:9" ht="15.6">
      <c r="A8" s="53" t="str">
        <v>Southampton - BEMS West NJ-22-C898</v>
      </c>
      <c r="B8" s="33" t="str">
        <v>NJ</v>
      </c>
      <c r="C8" s="34">
        <f>SUM(Jan!C8, Feb!C8, Mar!C8)</f>
        <v>267152</v>
      </c>
      <c r="D8" s="35">
        <f>SUM(Jan!D8, Feb!D8, Mar!D8)</f>
        <v>357614.2</v>
      </c>
      <c r="E8" s="35">
        <f t="shared" si="0"/>
        <v>-90462.200000000012</v>
      </c>
      <c r="F8" s="36">
        <f t="shared" si="1"/>
        <v>-0.25296031309718686</v>
      </c>
      <c r="G8" s="37">
        <f>SUM(Jan!G8, Feb!G8, Mar!G8)</f>
        <v>362238</v>
      </c>
      <c r="H8" s="37">
        <f>SUM(Jan!H8, Feb!H8, Mar!H8)</f>
        <v>-95086</v>
      </c>
      <c r="I8" s="38">
        <f t="shared" si="2"/>
        <v>-0.26249592809147576</v>
      </c>
    </row>
    <row r="9" spans="1:9" ht="13.9">
      <c r="A9" s="13"/>
      <c r="B9" s="13"/>
      <c r="C9" s="13"/>
      <c r="D9" s="13"/>
      <c r="E9" s="13"/>
      <c r="F9" s="13"/>
      <c r="G9" s="13"/>
      <c r="H9" s="13"/>
      <c r="I9" s="13"/>
    </row>
    <row r="10" spans="1:9" ht="13.9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A9" sqref="A9:XFD2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Luminance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8">Sites[Site]</f>
        <v xml:space="preserve">Raymond Ed Re-Development - DC-23-0001 </v>
      </c>
      <c r="B4" s="33" t="str" cm="1">
        <f t="array" ref="B4:B8">Sites[State]</f>
        <v>DC</v>
      </c>
      <c r="C4" s="34">
        <f>SUM(Apr!C4, May!C4, Jun!C4)</f>
        <v>0</v>
      </c>
      <c r="D4" s="35">
        <f>SUM(Apr!D4, May!D4, Jun!D4)</f>
        <v>0</v>
      </c>
      <c r="E4" s="35">
        <f>IF(AND(ISNUMBER(C4),ISNUMBER(D4)), C4-D4, "")</f>
        <v>0</v>
      </c>
      <c r="F4" s="36" t="str">
        <f>IFERROR(E4/D4, "")</f>
        <v/>
      </c>
      <c r="G4" s="37">
        <f>SUM(Apr!G4+May!G4+Jun!G4)</f>
        <v>0</v>
      </c>
      <c r="H4" s="37">
        <f>SUM(Apr!H4, May!H4, Jun!H4)</f>
        <v>0</v>
      </c>
      <c r="I4" s="38" t="str">
        <f>IFERROR(H4/G4, "")</f>
        <v/>
      </c>
    </row>
    <row r="5" spans="1:9" ht="15.6">
      <c r="A5" s="54" t="str">
        <v>Berkeley - NJ-22-C893 Berkeley I</v>
      </c>
      <c r="B5" s="40" t="str">
        <v>NJ</v>
      </c>
      <c r="C5" s="41">
        <f>SUM(Apr!C5, May!C5, Jun!C5)</f>
        <v>0</v>
      </c>
      <c r="D5" s="42">
        <f>SUM(Apr!D5, May!D5, Jun!D5)</f>
        <v>0</v>
      </c>
      <c r="E5" s="42">
        <f t="shared" ref="E5:E8" si="0">IF(AND(ISNUMBER(C5),ISNUMBER(D5)), C5-D5, "")</f>
        <v>0</v>
      </c>
      <c r="F5" s="43" t="str">
        <f>IFERROR(E5/D5, "")</f>
        <v/>
      </c>
      <c r="G5" s="44">
        <f>SUM(Apr!G5+May!G5+Jun!G5)</f>
        <v>0</v>
      </c>
      <c r="H5" s="44">
        <f>SUM(Apr!H5, May!H5, Jun!H5)</f>
        <v>0</v>
      </c>
      <c r="I5" s="43" t="str">
        <f>IFERROR(H5/G5, "")</f>
        <v/>
      </c>
    </row>
    <row r="6" spans="1:9" ht="15.6">
      <c r="A6" s="53" t="str">
        <v>Berkeley - NJ-22-C894 Berkeley II</v>
      </c>
      <c r="B6" s="33" t="str">
        <v>NJ</v>
      </c>
      <c r="C6" s="34">
        <f>SUM(Apr!C6, May!C6, Jun!C6)</f>
        <v>0</v>
      </c>
      <c r="D6" s="35">
        <f>SUM(Apr!D6, May!D6, Jun!D6)</f>
        <v>0</v>
      </c>
      <c r="E6" s="35">
        <f t="shared" si="0"/>
        <v>0</v>
      </c>
      <c r="F6" s="36" t="str">
        <f t="shared" ref="F6:F8" si="1">IFERROR(E6/D6, "")</f>
        <v/>
      </c>
      <c r="G6" s="37">
        <f>SUM(Apr!G6+May!G6+Jun!G6)</f>
        <v>0</v>
      </c>
      <c r="H6" s="37">
        <f>SUM(Apr!H6, May!H6, Jun!H6)</f>
        <v>0</v>
      </c>
      <c r="I6" s="38" t="str">
        <f t="shared" ref="I6:I8" si="2">IFERROR(H6/G6, "")</f>
        <v/>
      </c>
    </row>
    <row r="7" spans="1:9" ht="15.6">
      <c r="A7" s="54" t="str">
        <v xml:space="preserve"> BEMS Landfill East</v>
      </c>
      <c r="B7" s="40" t="str">
        <v>NJ</v>
      </c>
      <c r="C7" s="41">
        <f>SUM(Apr!C7, May!C7, Jun!C7)</f>
        <v>0</v>
      </c>
      <c r="D7" s="42">
        <f>SUM(Apr!D7, May!D7, Jun!D7)</f>
        <v>0</v>
      </c>
      <c r="E7" s="42">
        <f t="shared" si="0"/>
        <v>0</v>
      </c>
      <c r="F7" s="43" t="str">
        <f t="shared" si="1"/>
        <v/>
      </c>
      <c r="G7" s="44">
        <f>SUM(Apr!G7+May!G7+Jun!G7)</f>
        <v>0</v>
      </c>
      <c r="H7" s="44">
        <f>SUM(Apr!H7, May!H7, Jun!H7)</f>
        <v>0</v>
      </c>
      <c r="I7" s="43" t="str">
        <f t="shared" si="2"/>
        <v/>
      </c>
    </row>
    <row r="8" spans="1:9" ht="15.6">
      <c r="A8" s="53" t="str">
        <v>Southampton - BEMS West NJ-22-C898</v>
      </c>
      <c r="B8" s="33" t="str">
        <v>NJ</v>
      </c>
      <c r="C8" s="34">
        <f>SUM(Apr!C8, May!C8, Jun!C8)</f>
        <v>0</v>
      </c>
      <c r="D8" s="35">
        <f>SUM(Apr!D8, May!D8, Jun!D8)</f>
        <v>0</v>
      </c>
      <c r="E8" s="35">
        <f t="shared" si="0"/>
        <v>0</v>
      </c>
      <c r="F8" s="36" t="str">
        <f t="shared" si="1"/>
        <v/>
      </c>
      <c r="G8" s="37">
        <f>SUM(Apr!G8+May!G8+Jun!G8)</f>
        <v>0</v>
      </c>
      <c r="H8" s="37">
        <f>SUM(Apr!H8, May!H8, Jun!H8)</f>
        <v>0</v>
      </c>
      <c r="I8" s="38" t="str">
        <f t="shared" si="2"/>
        <v/>
      </c>
    </row>
    <row r="9" spans="1:9" ht="13.9">
      <c r="A9" s="13"/>
      <c r="B9" s="13"/>
      <c r="C9" s="13"/>
      <c r="D9" s="13"/>
      <c r="E9" s="13"/>
      <c r="F9" s="13"/>
      <c r="G9" s="13"/>
      <c r="H9" s="13"/>
      <c r="I9" s="13"/>
    </row>
    <row r="10" spans="1:9" ht="13.9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A9" sqref="A9:XFD2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Luminance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8">Sites[Site]</f>
        <v xml:space="preserve">Raymond Ed Re-Development - DC-23-0001 </v>
      </c>
      <c r="B4" s="33" t="str" cm="1">
        <f t="array" ref="B4:B8">Sites[State]</f>
        <v>DC</v>
      </c>
      <c r="C4" s="34">
        <f>SUM(Jul!C4, Aug!C4, Sep!C4)</f>
        <v>0</v>
      </c>
      <c r="D4" s="35">
        <f>SUM(Jul!D4, Aug!D4, Sep!D4)</f>
        <v>0</v>
      </c>
      <c r="E4" s="35">
        <f>IF(AND(ISNUMBER(C4),ISNUMBER(D4)), C4-D4, "")</f>
        <v>0</v>
      </c>
      <c r="F4" s="36" t="str">
        <f>IFERROR(E4/D4, "")</f>
        <v/>
      </c>
      <c r="G4" s="37">
        <f>SUM(Jul!G4,Aug!G4,Sep!G4)</f>
        <v>0</v>
      </c>
      <c r="H4" s="37">
        <f>SUM(Jul!H4, Aug!H4, Sep!H4)</f>
        <v>0</v>
      </c>
      <c r="I4" s="38" t="str">
        <f>IFERROR(H4/G4, "")</f>
        <v/>
      </c>
    </row>
    <row r="5" spans="1:9" ht="15.6">
      <c r="A5" s="54" t="str">
        <v>Berkeley - NJ-22-C893 Berkeley I</v>
      </c>
      <c r="B5" s="40" t="str">
        <v>NJ</v>
      </c>
      <c r="C5" s="41">
        <f>SUM(Jul!C5, Aug!C5, Sep!C5)</f>
        <v>0</v>
      </c>
      <c r="D5" s="42">
        <f>SUM(Jul!D5, Aug!D5, Sep!D5)</f>
        <v>0</v>
      </c>
      <c r="E5" s="42">
        <f t="shared" ref="E5:E8" si="0">IF(AND(ISNUMBER(C5),ISNUMBER(D5)), C5-D5, "")</f>
        <v>0</v>
      </c>
      <c r="F5" s="43" t="str">
        <f>IFERROR(E5/D5, "")</f>
        <v/>
      </c>
      <c r="G5" s="44">
        <f>SUM(Jul!G5,Aug!G5,Sep!G5)</f>
        <v>0</v>
      </c>
      <c r="H5" s="44">
        <f>SUM(Jul!H5, Aug!H5, Sep!H5)</f>
        <v>0</v>
      </c>
      <c r="I5" s="43" t="str">
        <f>IFERROR(H5/G5, "")</f>
        <v/>
      </c>
    </row>
    <row r="6" spans="1:9" ht="15.6">
      <c r="A6" s="53" t="str">
        <v>Berkeley - NJ-22-C894 Berkeley II</v>
      </c>
      <c r="B6" s="33" t="str">
        <v>NJ</v>
      </c>
      <c r="C6" s="34">
        <f>SUM(Jul!C6, Aug!C6, Sep!C6)</f>
        <v>0</v>
      </c>
      <c r="D6" s="35">
        <f>SUM(Jul!D6, Aug!D6, Sep!D6)</f>
        <v>0</v>
      </c>
      <c r="E6" s="35">
        <f t="shared" si="0"/>
        <v>0</v>
      </c>
      <c r="F6" s="36" t="str">
        <f t="shared" ref="F6:F8" si="1">IFERROR(E6/D6, "")</f>
        <v/>
      </c>
      <c r="G6" s="37">
        <f>SUM(Jul!G6,Aug!G6,Sep!G6)</f>
        <v>0</v>
      </c>
      <c r="H6" s="37">
        <f>SUM(Jul!H6, Aug!H6, Sep!H6)</f>
        <v>0</v>
      </c>
      <c r="I6" s="38" t="str">
        <f t="shared" ref="I6:I8" si="2">IFERROR(H6/G6, "")</f>
        <v/>
      </c>
    </row>
    <row r="7" spans="1:9" ht="15.6">
      <c r="A7" s="54" t="str">
        <v xml:space="preserve"> BEMS Landfill East</v>
      </c>
      <c r="B7" s="40" t="str">
        <v>NJ</v>
      </c>
      <c r="C7" s="41">
        <f>SUM(Jul!C7, Aug!C7, Sep!C7)</f>
        <v>0</v>
      </c>
      <c r="D7" s="42">
        <f>SUM(Jul!D7, Aug!D7, Sep!D7)</f>
        <v>0</v>
      </c>
      <c r="E7" s="42">
        <f t="shared" si="0"/>
        <v>0</v>
      </c>
      <c r="F7" s="43" t="str">
        <f t="shared" si="1"/>
        <v/>
      </c>
      <c r="G7" s="44">
        <f>SUM(Jul!G7,Aug!G7,Sep!G7)</f>
        <v>0</v>
      </c>
      <c r="H7" s="44">
        <f>SUM(Jul!H7, Aug!H7, Sep!H7)</f>
        <v>0</v>
      </c>
      <c r="I7" s="43" t="str">
        <f t="shared" si="2"/>
        <v/>
      </c>
    </row>
    <row r="8" spans="1:9" ht="15.6">
      <c r="A8" s="53" t="str">
        <v>Southampton - BEMS West NJ-22-C898</v>
      </c>
      <c r="B8" s="33" t="str">
        <v>NJ</v>
      </c>
      <c r="C8" s="34">
        <f>SUM(Jul!C8, Aug!C8, Sep!C8)</f>
        <v>0</v>
      </c>
      <c r="D8" s="35">
        <f>SUM(Jul!D8, Aug!D8, Sep!D8)</f>
        <v>0</v>
      </c>
      <c r="E8" s="35">
        <f t="shared" si="0"/>
        <v>0</v>
      </c>
      <c r="F8" s="36" t="str">
        <f t="shared" si="1"/>
        <v/>
      </c>
      <c r="G8" s="37">
        <f>SUM(Jul!G8,Aug!G8,Sep!G8)</f>
        <v>0</v>
      </c>
      <c r="H8" s="37">
        <f>SUM(Jul!H8, Aug!H8, Sep!H8)</f>
        <v>0</v>
      </c>
      <c r="I8" s="38" t="str">
        <f t="shared" si="2"/>
        <v/>
      </c>
    </row>
    <row r="9" spans="1:9" ht="15.6">
      <c r="A9" s="9"/>
      <c r="B9" s="13"/>
      <c r="C9" s="13"/>
      <c r="D9" s="13"/>
      <c r="E9" s="13"/>
      <c r="F9" s="13"/>
      <c r="G9" s="13"/>
      <c r="H9" s="13"/>
      <c r="I9" s="13"/>
    </row>
    <row r="10" spans="1:9" ht="15.6">
      <c r="A10" s="9"/>
      <c r="B10" s="13"/>
      <c r="C10" s="13"/>
      <c r="D10" s="13"/>
      <c r="E10" s="13"/>
      <c r="F10" s="13"/>
      <c r="G10" s="13"/>
      <c r="H10" s="13"/>
      <c r="I10" s="13"/>
    </row>
    <row r="11" spans="1:9" ht="15.6">
      <c r="A11" s="9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A9" sqref="A9:XFD2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Luminance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8">Sites[Site]</f>
        <v xml:space="preserve">Raymond Ed Re-Development - DC-23-0001 </v>
      </c>
      <c r="B4" s="33" t="str" cm="1">
        <f t="array" ref="B4:B8">Sites[State]</f>
        <v>DC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>
        <f>SUM(Oct!G4,Nov!G4,Dec!G4)</f>
        <v>0</v>
      </c>
      <c r="H4" s="37">
        <f>SUM(Oct!H4, Nov!H4, Dec!H4)</f>
        <v>0</v>
      </c>
      <c r="I4" s="38" t="str">
        <f>IFERROR(H4/G4, "")</f>
        <v/>
      </c>
    </row>
    <row r="5" spans="1:9" ht="15.6">
      <c r="A5" s="54" t="str">
        <v>Berkeley - NJ-22-C893 Berkeley I</v>
      </c>
      <c r="B5" s="40" t="str">
        <v>NJ</v>
      </c>
      <c r="C5" s="41">
        <f>SUM(Oct!C5, Nov!C5, Dec!C5)</f>
        <v>0</v>
      </c>
      <c r="D5" s="42">
        <f>SUM(Oct!D5, Nov!D5, Dec!D5)</f>
        <v>0</v>
      </c>
      <c r="E5" s="42">
        <f t="shared" ref="E5:E8" si="0">IF(AND(ISNUMBER(C5),ISNUMBER(D5)), C5-D5, "")</f>
        <v>0</v>
      </c>
      <c r="F5" s="43" t="str">
        <f>IFERROR(E5/D5, "")</f>
        <v/>
      </c>
      <c r="G5" s="42">
        <f>SUM(Oct!G5,Nov!G5,Dec!G5)</f>
        <v>0</v>
      </c>
      <c r="H5" s="44">
        <f>SUM(Oct!H5, Nov!H5, Dec!H5)</f>
        <v>0</v>
      </c>
      <c r="I5" s="43" t="str">
        <f>IFERROR(H5/G5, "")</f>
        <v/>
      </c>
    </row>
    <row r="6" spans="1:9" ht="15.6">
      <c r="A6" s="53" t="str">
        <v>Berkeley - NJ-22-C894 Berkeley II</v>
      </c>
      <c r="B6" s="33" t="str">
        <v>NJ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:F8" si="1">IFERROR(E6/D6, "")</f>
        <v/>
      </c>
      <c r="G6" s="37">
        <f>SUM(Oct!G6,Nov!G6,Dec!G6)</f>
        <v>0</v>
      </c>
      <c r="H6" s="37">
        <f>SUM(Oct!H6, Nov!H6, Dec!H6)</f>
        <v>0</v>
      </c>
      <c r="I6" s="38" t="str">
        <f t="shared" ref="I6:I8" si="2">IFERROR(H6/G6, "")</f>
        <v/>
      </c>
    </row>
    <row r="7" spans="1:9" ht="15.6">
      <c r="A7" s="54" t="str">
        <v xml:space="preserve"> BEMS Landfill East</v>
      </c>
      <c r="B7" s="40" t="str">
        <v>NJ</v>
      </c>
      <c r="C7" s="41">
        <f>SUM(Oct!C7, Nov!C7, Dec!C7)</f>
        <v>0</v>
      </c>
      <c r="D7" s="42">
        <f>SUM(Oct!D7, Nov!D7, Dec!D7)</f>
        <v>0</v>
      </c>
      <c r="E7" s="42">
        <f t="shared" si="0"/>
        <v>0</v>
      </c>
      <c r="F7" s="43" t="str">
        <f t="shared" si="1"/>
        <v/>
      </c>
      <c r="G7" s="42">
        <f>SUM(Oct!G7,Nov!G7,Dec!G7)</f>
        <v>0</v>
      </c>
      <c r="H7" s="44">
        <f>SUM(Oct!H7, Nov!H7, Dec!H7)</f>
        <v>0</v>
      </c>
      <c r="I7" s="43" t="str">
        <f t="shared" si="2"/>
        <v/>
      </c>
    </row>
    <row r="8" spans="1:9" ht="15.6">
      <c r="A8" s="53" t="str">
        <v>Southampton - BEMS West NJ-22-C898</v>
      </c>
      <c r="B8" s="33" t="str">
        <v>NJ</v>
      </c>
      <c r="C8" s="34">
        <f>SUM(Oct!C8, Nov!C8, Dec!C8)</f>
        <v>0</v>
      </c>
      <c r="D8" s="35">
        <f>SUM(Oct!D8, Nov!D8, Dec!D8)</f>
        <v>0</v>
      </c>
      <c r="E8" s="35">
        <f t="shared" si="0"/>
        <v>0</v>
      </c>
      <c r="F8" s="36" t="str">
        <f t="shared" si="1"/>
        <v/>
      </c>
      <c r="G8" s="37">
        <f>SUM(Oct!G8,Nov!G8,Dec!G8)</f>
        <v>0</v>
      </c>
      <c r="H8" s="37">
        <f>SUM(Oct!H8, Nov!H8, Dec!H8)</f>
        <v>0</v>
      </c>
      <c r="I8" s="38" t="str">
        <f t="shared" si="2"/>
        <v/>
      </c>
    </row>
    <row r="9" spans="1:9" ht="14.45">
      <c r="A9" s="13"/>
      <c r="B9" s="8"/>
      <c r="C9" s="21"/>
      <c r="D9" s="10"/>
      <c r="E9" s="10"/>
      <c r="F9" s="11"/>
      <c r="G9" s="12"/>
      <c r="H9" s="12"/>
      <c r="I9" s="11"/>
    </row>
    <row r="10" spans="1:9" ht="14.45">
      <c r="A10" s="13"/>
      <c r="B10" s="8"/>
      <c r="C10" s="21"/>
      <c r="D10" s="10"/>
      <c r="E10" s="10"/>
      <c r="F10" s="11"/>
      <c r="G10" s="12"/>
      <c r="H10" s="12"/>
      <c r="I10" s="11"/>
    </row>
    <row r="11" spans="1:9" ht="13.9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1"/>
  <sheetViews>
    <sheetView tabSelected="1" workbookViewId="0">
      <pane xSplit="2" ySplit="3" topLeftCell="C4" activePane="bottomRight" state="frozen"/>
      <selection pane="bottomRight" activeCell="B22" sqref="B22"/>
      <selection pane="bottomLeft" activeCell="C19" sqref="C19"/>
      <selection pane="topRight" activeCell="C19" sqref="C19"/>
    </sheetView>
  </sheetViews>
  <sheetFormatPr defaultRowHeight="13.9"/>
  <cols>
    <col min="1" max="1" width="34.1406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109.42578125" customWidth="1"/>
    <col min="11" max="11" width="25.85546875" customWidth="1"/>
  </cols>
  <sheetData>
    <row r="1" spans="1:12" ht="15.6">
      <c r="A1" s="76" t="str" cm="1">
        <f t="array" ref="A1">portfolio</f>
        <v>Luminance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2" ht="15.6">
      <c r="A2" s="78" t="s">
        <v>2</v>
      </c>
      <c r="B2" s="78"/>
      <c r="C2" s="5">
        <f>SUM(C4:C79)</f>
        <v>391768.89745754597</v>
      </c>
      <c r="D2" s="5">
        <f>SUM(D4:D79)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SUM(G4:G79)</f>
        <v>1616542</v>
      </c>
      <c r="H2" s="7">
        <f>C2-G2</f>
        <v>-1224773.1025424539</v>
      </c>
      <c r="I2" s="6">
        <f>IFERROR(H2/G2, 0)</f>
        <v>-0.75765003479182969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5.6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2" ht="55.5" customHeight="1">
      <c r="A4" s="50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5">
        <v>14808.791999999999</v>
      </c>
      <c r="D4" s="35">
        <v>0</v>
      </c>
      <c r="E4" s="35">
        <f>IF(AND(ISNUMBER(C4),ISNUMBER(D4)), C4-D4, "")</f>
        <v>14808.791999999999</v>
      </c>
      <c r="F4" s="38" t="str">
        <f>IFERROR(E4/D4, "")</f>
        <v/>
      </c>
      <c r="G4" s="37">
        <v>0</v>
      </c>
      <c r="H4" s="37">
        <f>IF(AND(ISNUMBER(C4),ISNUMBER(G4)), C4-G4, "")</f>
        <v>14808.791999999999</v>
      </c>
      <c r="I4" s="38" t="str">
        <f>IFERROR(H4/G4, "")</f>
        <v/>
      </c>
      <c r="J4" s="55" t="s">
        <v>22</v>
      </c>
      <c r="K4" s="72" t="s">
        <v>23</v>
      </c>
      <c r="L4" s="74" t="s">
        <v>24</v>
      </c>
    </row>
    <row r="5" spans="1:12" ht="15.6">
      <c r="A5" s="51" t="str">
        <v>Berkeley - NJ-22-C893 Berkeley I</v>
      </c>
      <c r="B5" s="48" t="str">
        <v>NJ</v>
      </c>
      <c r="C5" s="42">
        <v>0</v>
      </c>
      <c r="D5" s="42">
        <v>31205.78</v>
      </c>
      <c r="E5" s="42">
        <f t="shared" ref="E5:E8" si="0">IF(AND(ISNUMBER(C5),ISNUMBER(D5)), C5-D5, "")</f>
        <v>-31205.78</v>
      </c>
      <c r="F5" s="43">
        <f t="shared" ref="F5:F8" si="1">IFERROR(E5/D5, "")</f>
        <v>-1</v>
      </c>
      <c r="G5" s="44">
        <v>412354</v>
      </c>
      <c r="H5" s="44">
        <f t="shared" ref="H5:H6" si="2">IF(AND(ISNUMBER(C5),ISNUMBER(G5)), C5-G5, "")</f>
        <v>-412354</v>
      </c>
      <c r="I5" s="43">
        <f t="shared" ref="I5:I6" si="3">IFERROR(H5/G5, "")</f>
        <v>-1</v>
      </c>
      <c r="J5" s="71" t="s">
        <v>25</v>
      </c>
      <c r="K5" s="73" t="s">
        <v>26</v>
      </c>
    </row>
    <row r="6" spans="1:12" ht="15.6">
      <c r="A6" s="52" t="str">
        <v>Berkeley - NJ-22-C894 Berkeley II</v>
      </c>
      <c r="B6" s="46" t="str">
        <v>NJ</v>
      </c>
      <c r="C6" s="35">
        <v>109808.105457546</v>
      </c>
      <c r="D6" s="35">
        <v>271422.90000000002</v>
      </c>
      <c r="E6" s="35">
        <f t="shared" si="0"/>
        <v>-161614.79454245401</v>
      </c>
      <c r="F6" s="38">
        <f t="shared" si="1"/>
        <v>-0.59543536872700864</v>
      </c>
      <c r="G6" s="37">
        <v>406892</v>
      </c>
      <c r="H6" s="37">
        <f t="shared" si="2"/>
        <v>-297083.89454245399</v>
      </c>
      <c r="I6" s="38">
        <f t="shared" si="3"/>
        <v>-0.73012960329142373</v>
      </c>
      <c r="J6" s="55" t="s">
        <v>25</v>
      </c>
      <c r="K6" s="72" t="s">
        <v>26</v>
      </c>
    </row>
    <row r="7" spans="1:12" ht="15.6">
      <c r="A7" s="51" t="str">
        <v xml:space="preserve"> BEMS Landfill East</v>
      </c>
      <c r="B7" s="48" t="str">
        <v>NJ</v>
      </c>
      <c r="C7" s="42">
        <v>0</v>
      </c>
      <c r="D7" s="42">
        <v>0</v>
      </c>
      <c r="E7" s="42">
        <f t="shared" si="0"/>
        <v>0</v>
      </c>
      <c r="F7" s="43" t="str">
        <f t="shared" si="1"/>
        <v/>
      </c>
      <c r="G7" s="44">
        <v>435058</v>
      </c>
      <c r="H7" s="44">
        <f t="shared" ref="H7:H8" si="4">IF(AND(ISNUMBER(C7),ISNUMBER(G7)), C7-G7, "")</f>
        <v>-435058</v>
      </c>
      <c r="I7" s="43">
        <f t="shared" ref="I7:I8" si="5">IFERROR(H7/G7, "")</f>
        <v>-1</v>
      </c>
      <c r="J7" s="56" t="s">
        <v>27</v>
      </c>
      <c r="K7" s="73" t="s">
        <v>28</v>
      </c>
    </row>
    <row r="8" spans="1:12" ht="15.6">
      <c r="A8" s="52" t="str">
        <v>Southampton - BEMS West NJ-22-C898</v>
      </c>
      <c r="B8" s="46" t="str">
        <v>NJ</v>
      </c>
      <c r="C8" s="35">
        <v>267152</v>
      </c>
      <c r="D8" s="35">
        <v>357614.2</v>
      </c>
      <c r="E8" s="35">
        <f t="shared" si="0"/>
        <v>-90462.200000000012</v>
      </c>
      <c r="F8" s="38">
        <f t="shared" si="1"/>
        <v>-0.25296031309718686</v>
      </c>
      <c r="G8" s="37">
        <v>362238</v>
      </c>
      <c r="H8" s="37">
        <f t="shared" si="4"/>
        <v>-95086</v>
      </c>
      <c r="I8" s="38">
        <f t="shared" si="5"/>
        <v>-0.26249592809147576</v>
      </c>
      <c r="J8" s="55" t="s">
        <v>29</v>
      </c>
      <c r="K8" s="72" t="s">
        <v>30</v>
      </c>
    </row>
    <row r="9" spans="1:12" ht="14.4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2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2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2" ht="14.45">
      <c r="A12" s="13"/>
      <c r="B12" s="18"/>
      <c r="C12" s="13"/>
      <c r="D12" s="13"/>
      <c r="E12" s="13"/>
      <c r="F12" s="14"/>
      <c r="G12" s="13"/>
      <c r="H12" s="13"/>
      <c r="I12" s="14"/>
      <c r="J12" s="13"/>
      <c r="K12" s="13"/>
    </row>
    <row r="13" spans="1:12" ht="14.45">
      <c r="A13" s="13"/>
      <c r="B13" s="18"/>
      <c r="C13" s="13"/>
      <c r="D13" s="13"/>
      <c r="E13" s="13"/>
      <c r="F13" s="14"/>
      <c r="G13" s="13"/>
      <c r="H13" s="13"/>
      <c r="I13" s="14"/>
      <c r="J13" s="13"/>
      <c r="K13" s="13"/>
    </row>
    <row r="14" spans="1:12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2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2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4989" xr:uid="{0B1114EA-9087-498B-8803-69F810C21EBA}"/>
    <hyperlink ref="L4" r:id="rId2" display="https://us3.assetplanner.com/service_request?ID=096863" xr:uid="{46F6D2EB-8108-4F4B-88AD-11CD1BDF06D7}"/>
    <hyperlink ref="K5" r:id="rId3" display="https://us3.assetplanner.com/service_request?ID=093414" xr:uid="{E8C08D12-2A0E-4025-915E-889A1136BF9B}"/>
    <hyperlink ref="K6" r:id="rId4" display="https://us3.assetplanner.com/service_request?ID=093414" xr:uid="{00A80DE2-68A2-426F-A897-56E72D76A846}"/>
    <hyperlink ref="K7" r:id="rId5" display="https://us3.assetplanner.com/service_request?ID=086098" xr:uid="{32ABDA85-D761-48C6-8E99-297AE2C45FCF}"/>
    <hyperlink ref="K8" r:id="rId6" display="https://us3.assetplanner.com/service_request?ID=095756" xr:uid="{7A7E4D9F-6983-4983-853E-3F94373C9E84}"/>
  </hyperlinks>
  <pageMargins left="0.4" right="0.7" top="0.25" bottom="0.25" header="0.3" footer="0.3"/>
  <pageSetup fitToHeight="99" orientation="landscape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E12" sqref="E1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76" t="str" cm="1">
        <f t="array" ref="A1">portfolio</f>
        <v>Luminance</v>
      </c>
      <c r="B1" s="76"/>
      <c r="C1" s="76"/>
      <c r="D1" s="77" t="s">
        <v>31</v>
      </c>
      <c r="E1" s="77"/>
      <c r="F1" s="77"/>
      <c r="G1" s="75" t="s">
        <v>32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50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51" t="str">
        <v>Berkeley - NJ-22-C893 Berkeley I</v>
      </c>
      <c r="B5" s="48" t="str">
        <v>NJ</v>
      </c>
      <c r="C5" s="41"/>
      <c r="D5" s="42"/>
      <c r="E5" s="42" t="str">
        <f t="shared" ref="E5:E8" si="0">IF(AND(ISNUMBER(C5),ISNUMBER(D5)), C5-D5, "")</f>
        <v/>
      </c>
      <c r="F5" s="43" t="str">
        <f>IFERROR(E5/D5, "")</f>
        <v/>
      </c>
      <c r="G5" s="44"/>
      <c r="H5" s="44" t="str">
        <f t="shared" ref="H5:H8" si="1">IF(AND(ISNUMBER(C5),ISNUMBER(G5)), C5-G5, "")</f>
        <v/>
      </c>
      <c r="I5" s="43" t="str">
        <f t="shared" ref="I5:I8" si="2">IFERROR(H5/G5, "")</f>
        <v/>
      </c>
      <c r="J5" s="56"/>
      <c r="K5" s="56"/>
    </row>
    <row r="6" spans="1:11" ht="15.6">
      <c r="A6" s="52" t="str">
        <v>Berkeley - NJ-22-C894 Berkeley II</v>
      </c>
      <c r="B6" s="46" t="str">
        <v>NJ</v>
      </c>
      <c r="C6" s="34"/>
      <c r="D6" s="42"/>
      <c r="E6" s="35" t="str">
        <f t="shared" si="0"/>
        <v/>
      </c>
      <c r="F6" s="36" t="str">
        <f t="shared" ref="F6:F8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75" customHeight="1">
      <c r="A7" s="51" t="str">
        <v xml:space="preserve"> BEMS Landfill East</v>
      </c>
      <c r="B7" s="48" t="str">
        <v>NJ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6"/>
    </row>
    <row r="8" spans="1:11" ht="15.6">
      <c r="A8" s="52" t="str">
        <v>Southampton - BEMS West NJ-22-C898</v>
      </c>
      <c r="B8" s="46" t="str">
        <v>NJ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4.4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42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mergeCells count="4">
    <mergeCell ref="G1:I1"/>
    <mergeCell ref="A1:C1"/>
    <mergeCell ref="D1:F1"/>
    <mergeCell ref="A2:B2"/>
  </mergeCells>
  <conditionalFormatting sqref="F2 I2 F13:F81 F4:F11 I4:I81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30"/>
  <sheetViews>
    <sheetView workbookViewId="0">
      <pane xSplit="2" ySplit="3" topLeftCell="C4" activePane="bottomRight" state="frozen"/>
      <selection pane="bottomRight" activeCell="F23" sqref="F23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76" t="str" cm="1">
        <f t="array" ref="A1">portfolio</f>
        <v>Luminance</v>
      </c>
      <c r="B1" s="76"/>
      <c r="C1" s="76"/>
      <c r="D1" s="77" t="s">
        <v>33</v>
      </c>
      <c r="E1" s="77"/>
      <c r="F1" s="77"/>
      <c r="G1" s="75" t="s">
        <v>34</v>
      </c>
      <c r="H1" s="75"/>
      <c r="I1" s="75"/>
      <c r="J1" s="4"/>
      <c r="K1" s="4"/>
    </row>
    <row r="2" spans="1:13" ht="19.5" customHeight="1">
      <c r="A2" s="78" t="s">
        <v>2</v>
      </c>
      <c r="B2" s="78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3" ht="15.6">
      <c r="A4" s="50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9"/>
      <c r="K4" s="59"/>
      <c r="M4" s="58"/>
    </row>
    <row r="5" spans="1:13" ht="15.6">
      <c r="A5" s="51" t="str">
        <v>Berkeley - NJ-22-C893 Berkeley I</v>
      </c>
      <c r="B5" s="48" t="str">
        <v>NJ</v>
      </c>
      <c r="C5" s="41"/>
      <c r="D5" s="42"/>
      <c r="E5" s="42" t="str">
        <f t="shared" ref="E5:E8" si="0">IF(AND(ISNUMBER(C5),ISNUMBER(D5)), C5-D5, "")</f>
        <v/>
      </c>
      <c r="F5" s="43" t="str">
        <f>IFERROR(E5/D5, "")</f>
        <v/>
      </c>
      <c r="G5" s="44"/>
      <c r="H5" s="44" t="str">
        <f t="shared" ref="H5:H8" si="1">IF(AND(ISNUMBER(C5),ISNUMBER(G5)), C5-G5, "")</f>
        <v/>
      </c>
      <c r="I5" s="43" t="str">
        <f t="shared" ref="I5:I8" si="2">IFERROR(H5/G5, "")</f>
        <v/>
      </c>
      <c r="J5" s="60"/>
      <c r="K5" s="60"/>
      <c r="M5" s="58"/>
    </row>
    <row r="6" spans="1:13" ht="15.6">
      <c r="A6" s="52" t="str">
        <v>Berkeley - NJ-22-C894 Berkeley II</v>
      </c>
      <c r="B6" s="46" t="str">
        <v>NJ</v>
      </c>
      <c r="C6" s="34"/>
      <c r="D6" s="35"/>
      <c r="E6" s="35" t="str">
        <f t="shared" si="0"/>
        <v/>
      </c>
      <c r="F6" s="36" t="str">
        <f t="shared" ref="F6:F8" si="3">IFERROR(E6/D6, "")</f>
        <v/>
      </c>
      <c r="G6" s="37"/>
      <c r="H6" s="37" t="str">
        <f t="shared" si="1"/>
        <v/>
      </c>
      <c r="I6" s="38" t="str">
        <f t="shared" si="2"/>
        <v/>
      </c>
      <c r="J6" s="59"/>
      <c r="K6" s="59"/>
      <c r="M6" s="58"/>
    </row>
    <row r="7" spans="1:13" ht="15.6">
      <c r="A7" s="51" t="str">
        <v xml:space="preserve"> BEMS Landfill East</v>
      </c>
      <c r="B7" s="48" t="str">
        <v>NJ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0"/>
      <c r="K7" s="61"/>
      <c r="M7" s="58"/>
    </row>
    <row r="8" spans="1:13" ht="15.6">
      <c r="A8" s="52" t="str">
        <v>Southampton - BEMS West NJ-22-C898</v>
      </c>
      <c r="B8" s="46" t="str">
        <v>NJ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9"/>
      <c r="K8" s="59"/>
      <c r="M8" s="58"/>
    </row>
    <row r="9" spans="1:13" ht="14.4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  <c r="M9" s="58"/>
    </row>
    <row r="10" spans="1:13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  <c r="M10" s="58"/>
    </row>
    <row r="11" spans="1:13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  <c r="M11" s="58"/>
    </row>
    <row r="12" spans="1:13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  <c r="M12" s="58"/>
    </row>
    <row r="13" spans="1:13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  <c r="M13" s="58"/>
    </row>
    <row r="14" spans="1:13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  <c r="M14" s="58"/>
    </row>
    <row r="15" spans="1:13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  <c r="M15" s="58"/>
    </row>
    <row r="16" spans="1:13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  <c r="M16" s="58"/>
    </row>
    <row r="17" spans="1:13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  <c r="M17" s="58"/>
    </row>
    <row r="18" spans="1:13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  <c r="M18" s="58"/>
    </row>
    <row r="19" spans="1:13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  <c r="M19" s="58"/>
    </row>
    <row r="20" spans="1:13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  <c r="M20" s="58"/>
    </row>
    <row r="21" spans="1:13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  <c r="M21" s="58"/>
    </row>
    <row r="22" spans="1:13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  <c r="M22" s="58"/>
    </row>
    <row r="23" spans="1:13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  <c r="M23" s="58"/>
    </row>
    <row r="24" spans="1:13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  <c r="M24" s="58"/>
    </row>
    <row r="25" spans="1:13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58"/>
    </row>
    <row r="26" spans="1:13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58"/>
    </row>
    <row r="27" spans="1:13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58"/>
    </row>
    <row r="28" spans="1:13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58"/>
    </row>
    <row r="29" spans="1:13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58"/>
    </row>
    <row r="30" spans="1:13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58"/>
    </row>
    <row r="31" spans="1:13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3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mergeCells count="4">
    <mergeCell ref="G1:I1"/>
    <mergeCell ref="A1:C1"/>
    <mergeCell ref="D1:F1"/>
    <mergeCell ref="A2:B2"/>
  </mergeCells>
  <conditionalFormatting sqref="F2 I2 F4:F81 I4:I81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E22" sqref="E2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Luminance</v>
      </c>
      <c r="B1" s="76"/>
      <c r="C1" s="76"/>
      <c r="D1" s="77" t="s">
        <v>35</v>
      </c>
      <c r="E1" s="77"/>
      <c r="F1" s="77"/>
      <c r="G1" s="75" t="s">
        <v>36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Berkeley - NJ-22-C893 Berkeley I</v>
      </c>
      <c r="B5" s="48" t="str">
        <v>NJ</v>
      </c>
      <c r="C5" s="41"/>
      <c r="D5" s="42"/>
      <c r="E5" s="42" t="str">
        <f t="shared" ref="E5:E8" si="0">IF(AND(ISNUMBER(C5),ISNUMBER(D5)), C5-D5, "")</f>
        <v/>
      </c>
      <c r="F5" s="43" t="str">
        <f>IFERROR(E5/D5, "")</f>
        <v/>
      </c>
      <c r="G5" s="62"/>
      <c r="H5" s="44" t="str">
        <f t="shared" ref="H5:H8" si="1">IF(AND(ISNUMBER(C5),ISNUMBER(G5)), C5-G5, "")</f>
        <v/>
      </c>
      <c r="I5" s="43" t="str">
        <f t="shared" ref="I5:I8" si="2">IFERROR(H5/G5, "")</f>
        <v/>
      </c>
      <c r="J5" s="56"/>
      <c r="K5" s="56"/>
    </row>
    <row r="6" spans="1:11" ht="30" customHeight="1">
      <c r="A6" s="49" t="str">
        <v>Berkeley - NJ-22-C894 Berkeley II</v>
      </c>
      <c r="B6" s="46" t="str">
        <v>NJ</v>
      </c>
      <c r="C6" s="34"/>
      <c r="D6" s="35"/>
      <c r="E6" s="35" t="str">
        <f t="shared" si="0"/>
        <v/>
      </c>
      <c r="F6" s="36" t="str">
        <f t="shared" ref="F6:F8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27.75" customHeight="1">
      <c r="A7" s="47" t="str">
        <v xml:space="preserve"> BEMS Landfill East</v>
      </c>
      <c r="B7" s="48" t="str">
        <v>NJ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 t="str">
        <v>Southampton - BEMS West NJ-22-C898</v>
      </c>
      <c r="B8" s="46" t="str">
        <v>NJ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4.4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mergeCells count="4">
    <mergeCell ref="G1:I1"/>
    <mergeCell ref="A1:C1"/>
    <mergeCell ref="D1:F1"/>
    <mergeCell ref="A2:B2"/>
  </mergeCells>
  <conditionalFormatting sqref="F2 I2 F4:F81 I4:I81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E18" sqref="E18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Luminance</v>
      </c>
      <c r="B1" s="76"/>
      <c r="C1" s="76"/>
      <c r="D1" s="77" t="s">
        <v>37</v>
      </c>
      <c r="E1" s="77"/>
      <c r="F1" s="77"/>
      <c r="G1" s="75" t="s">
        <v>38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Berkeley - NJ-22-C893 Berkeley I</v>
      </c>
      <c r="B5" s="48" t="str">
        <v>NJ</v>
      </c>
      <c r="C5" s="41"/>
      <c r="D5" s="42"/>
      <c r="E5" s="42" t="str">
        <f>IF(AND(ISNUMBER(C5),ISNUMBER(D5)), C5-D5, "")</f>
        <v/>
      </c>
      <c r="F5" s="43" t="str">
        <f>IFERROR(E5/D5, "")</f>
        <v/>
      </c>
      <c r="G5" s="44"/>
      <c r="H5" s="44" t="str">
        <f t="shared" ref="H5:H8" si="0">IF(AND(ISNUMBER(C5),ISNUMBER(G5)), C5-G5, "")</f>
        <v/>
      </c>
      <c r="I5" s="43" t="str">
        <f t="shared" ref="I5:I8" si="1">IFERROR(H5/G5, "")</f>
        <v/>
      </c>
      <c r="J5" s="56"/>
      <c r="K5" s="56"/>
    </row>
    <row r="6" spans="1:11" ht="15.6">
      <c r="A6" s="49" t="str">
        <v>Berkeley - NJ-22-C894 Berkeley II</v>
      </c>
      <c r="B6" s="46" t="str">
        <v>NJ</v>
      </c>
      <c r="C6" s="34"/>
      <c r="D6" s="35"/>
      <c r="E6" s="35" t="str">
        <f t="shared" ref="E6:E8" si="2">IF(AND(ISNUMBER(C6),ISNUMBER(D6)), C6-D6, "")</f>
        <v/>
      </c>
      <c r="F6" s="36" t="str">
        <f t="shared" ref="F6:F8" si="3">IFERROR(E6/D6, "")</f>
        <v/>
      </c>
      <c r="G6" s="37"/>
      <c r="H6" s="37" t="str">
        <f t="shared" si="0"/>
        <v/>
      </c>
      <c r="I6" s="38" t="str">
        <f t="shared" si="1"/>
        <v/>
      </c>
      <c r="J6" s="55"/>
      <c r="K6" s="55"/>
    </row>
    <row r="7" spans="1:11" ht="15.6">
      <c r="A7" s="47" t="str">
        <v xml:space="preserve"> BEMS Landfill East</v>
      </c>
      <c r="B7" s="48" t="str">
        <v>NJ</v>
      </c>
      <c r="C7" s="41"/>
      <c r="D7" s="42"/>
      <c r="E7" s="42" t="str">
        <f t="shared" si="2"/>
        <v/>
      </c>
      <c r="F7" s="43" t="str">
        <f t="shared" si="3"/>
        <v/>
      </c>
      <c r="G7" s="44"/>
      <c r="H7" s="44" t="str">
        <f t="shared" si="0"/>
        <v/>
      </c>
      <c r="I7" s="43" t="str">
        <f t="shared" si="1"/>
        <v/>
      </c>
      <c r="J7" s="56"/>
      <c r="K7" s="57"/>
    </row>
    <row r="8" spans="1:11" ht="15.6">
      <c r="A8" s="49" t="str">
        <v>Southampton - BEMS West NJ-22-C898</v>
      </c>
      <c r="B8" s="46" t="str">
        <v>NJ</v>
      </c>
      <c r="C8" s="34"/>
      <c r="D8" s="35"/>
      <c r="E8" s="35" t="str">
        <f t="shared" si="2"/>
        <v/>
      </c>
      <c r="F8" s="36" t="str">
        <f t="shared" si="3"/>
        <v/>
      </c>
      <c r="G8" s="37"/>
      <c r="H8" s="37" t="str">
        <f t="shared" si="0"/>
        <v/>
      </c>
      <c r="I8" s="38" t="str">
        <f t="shared" si="1"/>
        <v/>
      </c>
      <c r="J8" s="55"/>
      <c r="K8" s="55"/>
    </row>
    <row r="9" spans="1:11" ht="14.4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mergeCells count="4">
    <mergeCell ref="G1:I1"/>
    <mergeCell ref="A1:C1"/>
    <mergeCell ref="D1:F1"/>
    <mergeCell ref="A2:B2"/>
  </mergeCells>
  <conditionalFormatting sqref="F2 I2 F4:F81 I4:I81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zoomScale="80" zoomScaleNormal="80" workbookViewId="0">
      <pane xSplit="2" ySplit="3" topLeftCell="C4" activePane="bottomRight" state="frozen"/>
      <selection pane="bottomRight" activeCell="H22" sqref="H2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Luminance</v>
      </c>
      <c r="B1" s="76"/>
      <c r="C1" s="76"/>
      <c r="D1" s="77" t="s">
        <v>39</v>
      </c>
      <c r="E1" s="77"/>
      <c r="F1" s="77"/>
      <c r="G1" s="75" t="s">
        <v>40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3"/>
      <c r="K4" s="63"/>
    </row>
    <row r="5" spans="1:11" ht="15.6">
      <c r="A5" s="47" t="str">
        <v>Berkeley - NJ-22-C893 Berkeley I</v>
      </c>
      <c r="B5" s="48" t="str">
        <v>NJ</v>
      </c>
      <c r="C5" s="41"/>
      <c r="D5" s="64"/>
      <c r="E5" s="42" t="str">
        <f t="shared" ref="E5:E8" si="0">IF(AND(ISNUMBER(C5),ISNUMBER(D5)), C5-D5, "")</f>
        <v/>
      </c>
      <c r="F5" s="43" t="str">
        <f>IFERROR(E5/D5, "")</f>
        <v/>
      </c>
      <c r="G5" s="64"/>
      <c r="H5" s="44" t="str">
        <f t="shared" ref="H5:H8" si="1">IF(AND(ISNUMBER(C5),ISNUMBER(G5)), C5-G5, "")</f>
        <v/>
      </c>
      <c r="I5" s="43" t="str">
        <f t="shared" ref="I5:I8" si="2">IFERROR(H5/G5, "")</f>
        <v/>
      </c>
      <c r="J5" s="69"/>
      <c r="K5" s="70"/>
    </row>
    <row r="6" spans="1:11" ht="15.6">
      <c r="A6" s="49" t="str">
        <v>Berkeley - NJ-22-C894 Berkeley II</v>
      </c>
      <c r="B6" s="46" t="str">
        <v>NJ</v>
      </c>
      <c r="C6" s="34"/>
      <c r="D6" s="35"/>
      <c r="E6" s="35" t="str">
        <f t="shared" si="0"/>
        <v/>
      </c>
      <c r="F6" s="36" t="str">
        <f t="shared" ref="F6:F8" si="3">IFERROR(E6/D6, "")</f>
        <v/>
      </c>
      <c r="G6" s="37"/>
      <c r="H6" s="37" t="str">
        <f t="shared" si="1"/>
        <v/>
      </c>
      <c r="I6" s="38" t="str">
        <f t="shared" si="2"/>
        <v/>
      </c>
      <c r="J6" s="63"/>
      <c r="K6" s="63"/>
    </row>
    <row r="7" spans="1:11" ht="15.6">
      <c r="A7" s="47" t="str">
        <v xml:space="preserve"> BEMS Landfill East</v>
      </c>
      <c r="B7" s="48" t="str">
        <v>NJ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9"/>
      <c r="K7" s="69"/>
    </row>
    <row r="8" spans="1:11" ht="15.6">
      <c r="A8" s="49" t="str">
        <v>Southampton - BEMS West NJ-22-C898</v>
      </c>
      <c r="B8" s="46" t="str">
        <v>NJ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3"/>
      <c r="K8" s="63"/>
    </row>
    <row r="9" spans="1:11" ht="14.4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mergeCells count="4">
    <mergeCell ref="G1:I1"/>
    <mergeCell ref="A1:C1"/>
    <mergeCell ref="D1:F1"/>
    <mergeCell ref="A2:B2"/>
  </mergeCells>
  <conditionalFormatting sqref="F2 I2 F4:F81 I4:I81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zoomScale="70" zoomScaleNormal="70" workbookViewId="0">
      <pane xSplit="2" ySplit="3" topLeftCell="C4" activePane="bottomRight" state="frozen"/>
      <selection pane="bottomRight" activeCell="C19" sqref="C19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Luminance</v>
      </c>
      <c r="B1" s="76"/>
      <c r="C1" s="76"/>
      <c r="D1" s="77" t="s">
        <v>41</v>
      </c>
      <c r="E1" s="77"/>
      <c r="F1" s="77"/>
      <c r="G1" s="75" t="s">
        <v>42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78" customHeight="1">
      <c r="A4" s="45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42.75" customHeight="1">
      <c r="A5" s="47" t="str">
        <v>Berkeley - NJ-22-C893 Berkeley I</v>
      </c>
      <c r="B5" s="48" t="str">
        <v>NJ</v>
      </c>
      <c r="C5" s="41"/>
      <c r="D5" s="42"/>
      <c r="E5" s="42" t="str">
        <f t="shared" ref="E5:E8" si="0">IF(AND(ISNUMBER(C5),ISNUMBER(D5)), C5-D5, "")</f>
        <v/>
      </c>
      <c r="F5" s="43" t="str">
        <f>IFERROR(E5/D5, "")</f>
        <v/>
      </c>
      <c r="G5" s="44"/>
      <c r="H5" s="44" t="str">
        <f t="shared" ref="H5:H8" si="1">IF(AND(ISNUMBER(C5),ISNUMBER(G5)), C5-G5, "")</f>
        <v/>
      </c>
      <c r="I5" s="43" t="str">
        <f t="shared" ref="I5:I8" si="2">IFERROR(H5/G5, "")</f>
        <v/>
      </c>
      <c r="J5" s="66"/>
      <c r="K5" s="56"/>
    </row>
    <row r="6" spans="1:11" ht="15.6">
      <c r="A6" s="49" t="str">
        <v>Berkeley - NJ-22-C894 Berkeley II</v>
      </c>
      <c r="B6" s="46" t="str">
        <v>NJ</v>
      </c>
      <c r="C6" s="34"/>
      <c r="D6" s="35"/>
      <c r="E6" s="35" t="str">
        <f t="shared" si="0"/>
        <v/>
      </c>
      <c r="F6" s="36" t="str">
        <f t="shared" ref="F6:F8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 xml:space="preserve"> BEMS Landfill East</v>
      </c>
      <c r="B7" s="48" t="str">
        <v>NJ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 t="str">
        <v>Southampton - BEMS West NJ-22-C898</v>
      </c>
      <c r="B8" s="46" t="str">
        <v>NJ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1 I4:I81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Luminance</v>
      </c>
      <c r="B1" s="76"/>
      <c r="C1" s="76"/>
      <c r="D1" s="77" t="s">
        <v>43</v>
      </c>
      <c r="E1" s="77"/>
      <c r="F1" s="77"/>
      <c r="G1" s="75" t="s">
        <v>44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Berkeley - NJ-22-C893 Berkeley I</v>
      </c>
      <c r="B5" s="48" t="str">
        <v>NJ</v>
      </c>
      <c r="C5" s="41"/>
      <c r="D5" s="42"/>
      <c r="E5" s="42" t="str">
        <f t="shared" ref="E5:E8" si="0">IF(AND(ISNUMBER(C5),ISNUMBER(D5)), C5-D5, "")</f>
        <v/>
      </c>
      <c r="F5" s="43" t="str">
        <f>IFERROR(E5/D5, "")</f>
        <v/>
      </c>
      <c r="G5" s="44"/>
      <c r="H5" s="44" t="str">
        <f t="shared" ref="H5:H8" si="1">IF(AND(ISNUMBER(C5),ISNUMBER(G5)), C5-G5, "")</f>
        <v/>
      </c>
      <c r="I5" s="43" t="str">
        <f t="shared" ref="I5:I8" si="2">IFERROR(H5/G5, "")</f>
        <v/>
      </c>
      <c r="J5" s="56"/>
      <c r="K5" s="66"/>
    </row>
    <row r="6" spans="1:11" ht="15.6">
      <c r="A6" s="49" t="str">
        <v>Berkeley - NJ-22-C894 Berkeley II</v>
      </c>
      <c r="B6" s="46" t="str">
        <v>NJ</v>
      </c>
      <c r="C6" s="34"/>
      <c r="D6" s="35"/>
      <c r="E6" s="35" t="str">
        <f t="shared" si="0"/>
        <v/>
      </c>
      <c r="F6" s="36" t="str">
        <f t="shared" ref="F6:F8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 xml:space="preserve"> BEMS Landfill East</v>
      </c>
      <c r="B7" s="48" t="str">
        <v>NJ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6"/>
    </row>
    <row r="8" spans="1:11" ht="15.6">
      <c r="A8" s="49" t="str">
        <v>Southampton - BEMS West NJ-22-C898</v>
      </c>
      <c r="B8" s="46" t="str">
        <v>NJ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mergeCells count="4">
    <mergeCell ref="G1:I1"/>
    <mergeCell ref="A1:C1"/>
    <mergeCell ref="D1:F1"/>
    <mergeCell ref="A2:B2"/>
  </mergeCells>
  <conditionalFormatting sqref="F2 I2 F4:F81 I4:I81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0"/>
  <sheetViews>
    <sheetView zoomScale="70" zoomScaleNormal="70" workbookViewId="0">
      <pane xSplit="2" ySplit="3" topLeftCell="C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Luminance</v>
      </c>
      <c r="B1" s="76"/>
      <c r="C1" s="76"/>
      <c r="D1" s="77" t="s">
        <v>45</v>
      </c>
      <c r="E1" s="77"/>
      <c r="F1" s="77"/>
      <c r="G1" s="75" t="s">
        <v>46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Berkeley - NJ-22-C893 Berkeley I</v>
      </c>
      <c r="B5" s="48" t="str">
        <v>NJ</v>
      </c>
      <c r="C5" s="67"/>
      <c r="D5" s="42"/>
      <c r="E5" s="42" t="str">
        <f t="shared" ref="E5:E8" si="0">IF(AND(ISNUMBER(C5),ISNUMBER(D5)), C5-D5, "")</f>
        <v/>
      </c>
      <c r="F5" s="43" t="str">
        <f>IFERROR(E5/D5, "")</f>
        <v/>
      </c>
      <c r="G5" s="44"/>
      <c r="H5" s="44" t="str">
        <f t="shared" ref="H5:H8" si="1">IF(AND(ISNUMBER(C5),ISNUMBER(G5)), C5-G5, "")</f>
        <v/>
      </c>
      <c r="I5" s="43" t="str">
        <f t="shared" ref="I5:I8" si="2">IFERROR(H5/G5, "")</f>
        <v/>
      </c>
      <c r="J5" s="56"/>
      <c r="K5" s="66"/>
    </row>
    <row r="6" spans="1:11" ht="15.6">
      <c r="A6" s="49" t="str">
        <v>Berkeley - NJ-22-C894 Berkeley II</v>
      </c>
      <c r="B6" s="46" t="str">
        <v>NJ</v>
      </c>
      <c r="C6" s="34"/>
      <c r="D6" s="35"/>
      <c r="E6" s="35" t="str">
        <f t="shared" si="0"/>
        <v/>
      </c>
      <c r="F6" s="36" t="str">
        <f t="shared" ref="F6:F8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 xml:space="preserve"> BEMS Landfill East</v>
      </c>
      <c r="B7" s="48" t="str">
        <v>NJ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 t="str">
        <v>Southampton - BEMS West NJ-22-C898</v>
      </c>
      <c r="B8" s="46" t="str">
        <v>NJ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4"/>
      <c r="G13" s="13"/>
      <c r="H13" s="13"/>
      <c r="I13" s="14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/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zoomScale="80" zoomScaleNormal="80" workbookViewId="0">
      <pane xSplit="2" ySplit="3" topLeftCell="C6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76" t="str" cm="1">
        <f t="array" ref="A1">portfolio</f>
        <v>Luminance</v>
      </c>
      <c r="B1" s="76"/>
      <c r="C1" s="76"/>
      <c r="D1" s="77" t="s">
        <v>47</v>
      </c>
      <c r="E1" s="77"/>
      <c r="F1" s="77"/>
      <c r="G1" s="75" t="s">
        <v>48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8"/>
      <c r="K4" s="68"/>
    </row>
    <row r="5" spans="1:11" ht="84" customHeight="1">
      <c r="A5" s="47" t="str">
        <v>Berkeley - NJ-22-C893 Berkeley I</v>
      </c>
      <c r="B5" s="48" t="str">
        <v>NJ</v>
      </c>
      <c r="C5" s="41"/>
      <c r="D5" s="42"/>
      <c r="E5" s="42" t="str">
        <f t="shared" ref="E5:E8" si="0">IF(AND(ISNUMBER(C5),ISNUMBER(D5)), C5-D5, "")</f>
        <v/>
      </c>
      <c r="F5" s="43" t="str">
        <f>IFERROR(E5/D5, "")</f>
        <v/>
      </c>
      <c r="G5" s="44"/>
      <c r="H5" s="44" t="str">
        <f t="shared" ref="H5:H8" si="1">IF(AND(ISNUMBER(C5),ISNUMBER(G5)), C5-G5, "")</f>
        <v/>
      </c>
      <c r="I5" s="43" t="str">
        <f t="shared" ref="I5:I8" si="2">IFERROR(H5/G5, "")</f>
        <v/>
      </c>
      <c r="J5" s="66"/>
      <c r="K5" s="66"/>
    </row>
    <row r="6" spans="1:11" ht="15.6">
      <c r="A6" s="49" t="str">
        <v>Berkeley - NJ-22-C894 Berkeley II</v>
      </c>
      <c r="B6" s="46" t="str">
        <v>NJ</v>
      </c>
      <c r="C6" s="34"/>
      <c r="D6" s="35"/>
      <c r="E6" s="35" t="str">
        <f t="shared" si="0"/>
        <v/>
      </c>
      <c r="F6" s="36" t="str">
        <f t="shared" ref="F6:F8" si="3">IFERROR(E6/D6, "")</f>
        <v/>
      </c>
      <c r="G6" s="37"/>
      <c r="H6" s="37" t="str">
        <f t="shared" si="1"/>
        <v/>
      </c>
      <c r="I6" s="38" t="str">
        <f t="shared" si="2"/>
        <v/>
      </c>
      <c r="J6" s="68"/>
      <c r="K6" s="68"/>
    </row>
    <row r="7" spans="1:11" ht="15.6">
      <c r="A7" s="47" t="str">
        <v xml:space="preserve"> BEMS Landfill East</v>
      </c>
      <c r="B7" s="48" t="str">
        <v>NJ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6"/>
      <c r="K7" s="65"/>
    </row>
    <row r="8" spans="1:11" ht="15.6">
      <c r="A8" s="49" t="str">
        <v>Southampton - BEMS West NJ-22-C898</v>
      </c>
      <c r="B8" s="46" t="str">
        <v>NJ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8"/>
      <c r="K8" s="68"/>
    </row>
    <row r="9" spans="1:11" ht="1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4"/>
      <c r="G13" s="13"/>
      <c r="H13" s="13"/>
      <c r="I13" s="14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/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F1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Luminance</v>
      </c>
      <c r="B1" s="76"/>
      <c r="C1" s="76"/>
      <c r="D1" s="77" t="s">
        <v>49</v>
      </c>
      <c r="E1" s="77"/>
      <c r="F1" s="77"/>
      <c r="G1" s="75" t="s">
        <v>50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8"/>
      <c r="K4" s="68"/>
    </row>
    <row r="5" spans="1:11" ht="15.6">
      <c r="A5" s="47" t="str">
        <v>Berkeley - NJ-22-C893 Berkeley I</v>
      </c>
      <c r="B5" s="48" t="str">
        <v>NJ</v>
      </c>
      <c r="C5" s="41"/>
      <c r="D5" s="42"/>
      <c r="E5" s="42" t="str">
        <f t="shared" ref="E5:E8" si="0">IF(AND(ISNUMBER(C5),ISNUMBER(D5)), C5-D5, "")</f>
        <v/>
      </c>
      <c r="F5" s="43" t="str">
        <f>IFERROR(E5/D5, "")</f>
        <v/>
      </c>
      <c r="G5" s="44"/>
      <c r="H5" s="44" t="str">
        <f t="shared" ref="H5:H8" si="1">IF(AND(ISNUMBER(C5),ISNUMBER(G5)), C5-G5, "")</f>
        <v/>
      </c>
      <c r="I5" s="43" t="str">
        <f t="shared" ref="I5:I8" si="2">IFERROR(H5/G5, "")</f>
        <v/>
      </c>
      <c r="J5" s="66"/>
      <c r="K5" s="66"/>
    </row>
    <row r="6" spans="1:11" ht="49.5" customHeight="1">
      <c r="A6" s="49" t="str">
        <v>Berkeley - NJ-22-C894 Berkeley II</v>
      </c>
      <c r="B6" s="46" t="str">
        <v>NJ</v>
      </c>
      <c r="C6" s="34"/>
      <c r="D6" s="35"/>
      <c r="E6" s="35" t="str">
        <f t="shared" si="0"/>
        <v/>
      </c>
      <c r="F6" s="36" t="str">
        <f t="shared" ref="F6:F8" si="3">IFERROR(E6/D6, "")</f>
        <v/>
      </c>
      <c r="G6" s="37"/>
      <c r="H6" s="37" t="str">
        <f t="shared" si="1"/>
        <v/>
      </c>
      <c r="I6" s="38" t="str">
        <f t="shared" si="2"/>
        <v/>
      </c>
      <c r="J6" s="68"/>
      <c r="K6" s="68"/>
    </row>
    <row r="7" spans="1:11" ht="15.6">
      <c r="A7" s="47" t="str">
        <v xml:space="preserve"> BEMS Landfill East</v>
      </c>
      <c r="B7" s="48" t="str">
        <v>NJ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6"/>
      <c r="K7" s="65"/>
    </row>
    <row r="8" spans="1:11" ht="15.6">
      <c r="A8" s="49" t="str">
        <v>Southampton - BEMS West NJ-22-C898</v>
      </c>
      <c r="B8" s="46" t="str">
        <v>NJ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8"/>
      <c r="K8" s="68"/>
    </row>
    <row r="9" spans="1:11" ht="1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4"/>
      <c r="G13" s="13"/>
      <c r="H13" s="13"/>
      <c r="I13" s="14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/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xSplit="2" ySplit="3" topLeftCell="C12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Luminance</v>
      </c>
      <c r="B1" s="76"/>
      <c r="C1" s="76"/>
      <c r="D1" s="77" t="s">
        <v>51</v>
      </c>
      <c r="E1" s="77"/>
      <c r="F1" s="77"/>
      <c r="G1" s="75" t="s">
        <v>52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8">Sites[Site]</f>
        <v xml:space="preserve">Raymond Ed Re-Development - DC-23-0001 </v>
      </c>
      <c r="B4" s="46" t="str" cm="1">
        <f t="array" ref="B4:B8">Sites[State]</f>
        <v>DC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Berkeley - NJ-22-C893 Berkeley I</v>
      </c>
      <c r="B5" s="48" t="str">
        <v>NJ</v>
      </c>
      <c r="C5" s="41"/>
      <c r="D5" s="42"/>
      <c r="E5" s="42" t="str">
        <f t="shared" ref="E5:E8" si="0">IF(AND(ISNUMBER(C5),ISNUMBER(D5)), C5-D5, "")</f>
        <v/>
      </c>
      <c r="F5" s="43" t="str">
        <f t="shared" ref="F5:F8" si="1">IFERROR(E5/D5, "")</f>
        <v/>
      </c>
      <c r="G5" s="44"/>
      <c r="H5" s="44" t="str">
        <f t="shared" ref="H5:H8" si="2">IF(AND(ISNUMBER(C5),ISNUMBER(G5)), C5-G5, "")</f>
        <v/>
      </c>
      <c r="I5" s="43" t="str">
        <f t="shared" ref="I5:I8" si="3">IFERROR(H5/G5, "")</f>
        <v/>
      </c>
      <c r="J5" s="66"/>
      <c r="K5" s="66"/>
    </row>
    <row r="6" spans="1:11" ht="15.6">
      <c r="A6" s="49" t="str">
        <v>Berkeley - NJ-22-C894 Berkeley II</v>
      </c>
      <c r="B6" s="46" t="str">
        <v>NJ</v>
      </c>
      <c r="C6" s="34"/>
      <c r="D6" s="35"/>
      <c r="E6" s="35" t="str">
        <f t="shared" si="0"/>
        <v/>
      </c>
      <c r="F6" s="36" t="str">
        <f t="shared" si="1"/>
        <v/>
      </c>
      <c r="G6" s="37"/>
      <c r="H6" s="37" t="str">
        <f t="shared" si="2"/>
        <v/>
      </c>
      <c r="I6" s="38" t="str">
        <f t="shared" si="3"/>
        <v/>
      </c>
      <c r="J6" s="55"/>
      <c r="K6" s="55"/>
    </row>
    <row r="7" spans="1:11" ht="15.6">
      <c r="A7" s="47" t="str">
        <v xml:space="preserve"> BEMS Landfill East</v>
      </c>
      <c r="B7" s="48" t="str">
        <v>NJ</v>
      </c>
      <c r="C7" s="41"/>
      <c r="D7" s="42"/>
      <c r="E7" s="42" t="str">
        <f t="shared" si="0"/>
        <v/>
      </c>
      <c r="F7" s="43" t="str">
        <f t="shared" si="1"/>
        <v/>
      </c>
      <c r="G7" s="44"/>
      <c r="H7" s="44" t="str">
        <f t="shared" si="2"/>
        <v/>
      </c>
      <c r="I7" s="43" t="str">
        <f t="shared" si="3"/>
        <v/>
      </c>
      <c r="J7" s="66"/>
      <c r="K7" s="66"/>
    </row>
    <row r="8" spans="1:11" ht="15.6">
      <c r="A8" s="49" t="str">
        <v>Southampton - BEMS West NJ-22-C898</v>
      </c>
      <c r="B8" s="46" t="str">
        <v>NJ</v>
      </c>
      <c r="C8" s="34"/>
      <c r="D8" s="35"/>
      <c r="E8" s="35" t="str">
        <f t="shared" si="0"/>
        <v/>
      </c>
      <c r="F8" s="36" t="str">
        <f t="shared" si="1"/>
        <v/>
      </c>
      <c r="G8" s="37"/>
      <c r="H8" s="37" t="str">
        <f t="shared" si="2"/>
        <v/>
      </c>
      <c r="I8" s="38" t="str">
        <f t="shared" si="3"/>
        <v/>
      </c>
      <c r="J8" s="55"/>
      <c r="K8" s="55"/>
    </row>
    <row r="9" spans="1:11" ht="1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4"/>
      <c r="G13" s="13"/>
      <c r="H13" s="13"/>
      <c r="I13" s="14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/>
    <row r="324" spans="1:11" ht="14.25"/>
    <row r="325" spans="1:11" ht="14.25"/>
    <row r="326" spans="1:11" ht="14.25"/>
    <row r="327" spans="1:11" ht="14.25"/>
    <row r="328" spans="1:11" ht="14.25"/>
    <row r="329" spans="1:11" ht="14.25"/>
    <row r="330" spans="1:11" ht="14.25"/>
  </sheetData>
  <mergeCells count="4">
    <mergeCell ref="G1:I1"/>
    <mergeCell ref="A1:C1"/>
    <mergeCell ref="D1:F1"/>
    <mergeCell ref="A2:B2"/>
  </mergeCells>
  <conditionalFormatting sqref="F2 I2 F4:F80 I4:I80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1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53</v>
      </c>
      <c r="B1" t="s">
        <v>54</v>
      </c>
    </row>
    <row r="3" spans="1:12" ht="13.1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45">
      <c r="A4" s="24" t="s">
        <v>58</v>
      </c>
      <c r="B4" t="s">
        <v>59</v>
      </c>
      <c r="C4" s="23" t="s">
        <v>60</v>
      </c>
      <c r="D4" s="22"/>
      <c r="E4" t="s">
        <v>61</v>
      </c>
      <c r="G4" s="3"/>
    </row>
    <row r="5" spans="1:12" ht="14.45">
      <c r="A5" s="24" t="s">
        <v>62</v>
      </c>
      <c r="B5" t="s">
        <v>63</v>
      </c>
      <c r="C5" s="23" t="s">
        <v>64</v>
      </c>
      <c r="D5" s="22"/>
      <c r="E5" t="s">
        <v>61</v>
      </c>
      <c r="G5" s="3"/>
    </row>
    <row r="6" spans="1:12" ht="14.45">
      <c r="A6" s="24" t="s">
        <v>65</v>
      </c>
      <c r="B6" t="s">
        <v>66</v>
      </c>
      <c r="C6" s="23" t="s">
        <v>64</v>
      </c>
      <c r="D6" s="22"/>
      <c r="E6" t="s">
        <v>61</v>
      </c>
      <c r="G6" s="3"/>
    </row>
    <row r="7" spans="1:12" ht="12.75" customHeight="1">
      <c r="A7" s="24" t="s">
        <v>67</v>
      </c>
      <c r="B7" t="s">
        <v>68</v>
      </c>
      <c r="C7" s="23" t="s">
        <v>64</v>
      </c>
      <c r="D7" s="22"/>
      <c r="E7" t="s">
        <v>61</v>
      </c>
    </row>
    <row r="8" spans="1:12" ht="12.75" customHeight="1">
      <c r="A8" s="24" t="s">
        <v>69</v>
      </c>
      <c r="B8" t="s">
        <v>70</v>
      </c>
      <c r="C8" s="23" t="s">
        <v>64</v>
      </c>
      <c r="D8" s="22"/>
      <c r="E8" t="s">
        <v>61</v>
      </c>
    </row>
    <row r="9" spans="1:12" ht="12.75" customHeight="1">
      <c r="K9" s="20"/>
      <c r="L9" s="20"/>
    </row>
    <row r="10" spans="1:12" ht="12.75" customHeight="1">
      <c r="K10" s="20"/>
      <c r="L10" s="20"/>
    </row>
    <row r="11" spans="1:12" ht="12.75" customHeight="1">
      <c r="K11" s="20"/>
      <c r="L11" s="2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2025-03-10T22:16:38Z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2025-02-14T20:27:20Z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eeb87d05-063e-4a3d-838a-8833717c204f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