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76960CC8-0460-4872-AADA-203663C96D2B}" xr6:coauthVersionLast="47" xr6:coauthVersionMax="47" xr10:uidLastSave="{4881F469-2733-4C9D-BA93-6076D0206685}"/>
  <bookViews>
    <workbookView xWindow="-98" yWindow="-98" windowWidth="21795" windowHeight="12975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72" l="1"/>
  <c r="I19" i="72"/>
  <c r="I20" i="72"/>
  <c r="H18" i="72"/>
  <c r="H19" i="72"/>
  <c r="H20" i="72"/>
  <c r="F18" i="72"/>
  <c r="F19" i="72"/>
  <c r="E18" i="72"/>
  <c r="E19" i="72"/>
  <c r="E20" i="72"/>
  <c r="F20" i="72" s="1"/>
  <c r="H5" i="33"/>
  <c r="I5" i="33" s="1"/>
  <c r="H6" i="33"/>
  <c r="I6" i="33" s="1"/>
  <c r="H7" i="33"/>
  <c r="I7" i="33" s="1"/>
  <c r="H8" i="33"/>
  <c r="I8" i="33" s="1"/>
  <c r="H9" i="33"/>
  <c r="I9" i="33" s="1"/>
  <c r="H10" i="33"/>
  <c r="I10" i="33" s="1"/>
  <c r="H11" i="33"/>
  <c r="I11" i="33" s="1"/>
  <c r="H12" i="33"/>
  <c r="I12" i="33" s="1"/>
  <c r="H13" i="33"/>
  <c r="I13" i="33" s="1"/>
  <c r="H14" i="33"/>
  <c r="I14" i="33" s="1"/>
  <c r="H15" i="33"/>
  <c r="I15" i="33" s="1"/>
  <c r="H16" i="33"/>
  <c r="I16" i="33" s="1"/>
  <c r="H17" i="33"/>
  <c r="I17" i="33" s="1"/>
  <c r="H18" i="33"/>
  <c r="I18" i="33" s="1"/>
  <c r="H19" i="33"/>
  <c r="I19" i="33" s="1"/>
  <c r="H20" i="33"/>
  <c r="I20" i="33" s="1"/>
  <c r="E5" i="33"/>
  <c r="F5" i="33" s="1"/>
  <c r="E6" i="33"/>
  <c r="F6" i="33" s="1"/>
  <c r="E7" i="33"/>
  <c r="F7" i="33" s="1"/>
  <c r="E8" i="33"/>
  <c r="F8" i="33" s="1"/>
  <c r="E9" i="33"/>
  <c r="F9" i="33" s="1"/>
  <c r="E10" i="33"/>
  <c r="F10" i="33" s="1"/>
  <c r="E11" i="33"/>
  <c r="F11" i="33" s="1"/>
  <c r="E12" i="33"/>
  <c r="F12" i="33" s="1"/>
  <c r="E13" i="33"/>
  <c r="F13" i="33" s="1"/>
  <c r="E14" i="33"/>
  <c r="F14" i="33" s="1"/>
  <c r="E15" i="33"/>
  <c r="F15" i="33" s="1"/>
  <c r="E16" i="33"/>
  <c r="F16" i="33" s="1"/>
  <c r="E17" i="33"/>
  <c r="F17" i="33" s="1"/>
  <c r="E18" i="33"/>
  <c r="F18" i="33" s="1"/>
  <c r="E19" i="33"/>
  <c r="F19" i="33" s="1"/>
  <c r="E20" i="33"/>
  <c r="F20" i="33" s="1"/>
  <c r="H20" i="29" l="1"/>
  <c r="G20" i="29"/>
  <c r="I20" i="29" s="1"/>
  <c r="D20" i="29"/>
  <c r="C20" i="29"/>
  <c r="E20" i="29" s="1"/>
  <c r="F20" i="29" s="1"/>
  <c r="G20" i="30"/>
  <c r="D20" i="30"/>
  <c r="C20" i="30"/>
  <c r="H18" i="1"/>
  <c r="H19" i="1"/>
  <c r="H20" i="1"/>
  <c r="G18" i="1"/>
  <c r="I18" i="1" s="1"/>
  <c r="G19" i="1"/>
  <c r="I19" i="1" s="1"/>
  <c r="G20" i="1"/>
  <c r="D20" i="1"/>
  <c r="C20" i="1"/>
  <c r="I18" i="18"/>
  <c r="I19" i="18"/>
  <c r="H18" i="18"/>
  <c r="H19" i="18"/>
  <c r="H20" i="18"/>
  <c r="G18" i="18"/>
  <c r="G19" i="18"/>
  <c r="G20" i="18"/>
  <c r="I20" i="18" s="1"/>
  <c r="E18" i="18"/>
  <c r="F18" i="18" s="1"/>
  <c r="D18" i="18"/>
  <c r="D19" i="18"/>
  <c r="D20" i="18"/>
  <c r="C18" i="18"/>
  <c r="C19" i="18"/>
  <c r="E19" i="18" s="1"/>
  <c r="F19" i="18" s="1"/>
  <c r="C20" i="18"/>
  <c r="E20" i="18" s="1"/>
  <c r="F20" i="18" s="1"/>
  <c r="H18" i="32"/>
  <c r="I18" i="32" s="1"/>
  <c r="H19" i="32"/>
  <c r="I19" i="32" s="1"/>
  <c r="H20" i="32"/>
  <c r="I20" i="32" s="1"/>
  <c r="H16" i="32"/>
  <c r="E18" i="32"/>
  <c r="F18" i="32" s="1"/>
  <c r="E19" i="32"/>
  <c r="F19" i="32" s="1"/>
  <c r="E20" i="32"/>
  <c r="F20" i="32" s="1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5" i="30"/>
  <c r="G4" i="30"/>
  <c r="H18" i="31"/>
  <c r="I18" i="31" s="1"/>
  <c r="H19" i="31"/>
  <c r="I19" i="31" s="1"/>
  <c r="F18" i="31"/>
  <c r="E18" i="31"/>
  <c r="E19" i="31"/>
  <c r="F19" i="31" s="1"/>
  <c r="E5" i="28"/>
  <c r="F5" i="28" s="1"/>
  <c r="E5" i="27"/>
  <c r="D18" i="30"/>
  <c r="D19" i="30"/>
  <c r="C18" i="30"/>
  <c r="C19" i="30"/>
  <c r="D18" i="1"/>
  <c r="D19" i="1"/>
  <c r="C18" i="1"/>
  <c r="C19" i="1"/>
  <c r="H19" i="29"/>
  <c r="I19" i="29" s="1"/>
  <c r="G18" i="29"/>
  <c r="G19" i="29"/>
  <c r="D18" i="29"/>
  <c r="E18" i="29" s="1"/>
  <c r="D19" i="29"/>
  <c r="E19" i="29" s="1"/>
  <c r="F19" i="29" s="1"/>
  <c r="C18" i="29"/>
  <c r="C19" i="29"/>
  <c r="H19" i="28"/>
  <c r="I19" i="28" s="1"/>
  <c r="E19" i="28"/>
  <c r="F19" i="28" s="1"/>
  <c r="H18" i="28"/>
  <c r="E18" i="28"/>
  <c r="F18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4" i="29"/>
  <c r="H15" i="26"/>
  <c r="E15" i="26"/>
  <c r="H14" i="26"/>
  <c r="E14" i="26"/>
  <c r="E12" i="19"/>
  <c r="E13" i="19"/>
  <c r="E14" i="19"/>
  <c r="E15" i="19"/>
  <c r="E5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4" i="18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/>
  <c r="H9" i="4"/>
  <c r="I9" i="4"/>
  <c r="E10" i="4"/>
  <c r="F10" i="4"/>
  <c r="H10" i="4"/>
  <c r="I10" i="4"/>
  <c r="E11" i="4"/>
  <c r="F11" i="4"/>
  <c r="H11" i="4"/>
  <c r="I11" i="4"/>
  <c r="E12" i="4"/>
  <c r="F12" i="4"/>
  <c r="H12" i="4"/>
  <c r="I12" i="4"/>
  <c r="E13" i="4"/>
  <c r="F13" i="4"/>
  <c r="H13" i="4"/>
  <c r="I13" i="4"/>
  <c r="E14" i="4"/>
  <c r="F14" i="4"/>
  <c r="H14" i="4"/>
  <c r="I14" i="4"/>
  <c r="E15" i="4"/>
  <c r="F15" i="4"/>
  <c r="H15" i="4"/>
  <c r="I15" i="4"/>
  <c r="E16" i="4"/>
  <c r="F16" i="4"/>
  <c r="H16" i="4"/>
  <c r="I16" i="4"/>
  <c r="E17" i="4"/>
  <c r="F17" i="4"/>
  <c r="H17" i="4"/>
  <c r="I17" i="4"/>
  <c r="C17" i="18"/>
  <c r="D17" i="18"/>
  <c r="I20" i="1" l="1"/>
  <c r="E18" i="1"/>
  <c r="F18" i="1" s="1"/>
  <c r="G20" i="34"/>
  <c r="D20" i="34"/>
  <c r="E20" i="1"/>
  <c r="F20" i="1" s="1"/>
  <c r="E19" i="1"/>
  <c r="F19" i="1" s="1"/>
  <c r="D18" i="34"/>
  <c r="H19" i="30"/>
  <c r="H19" i="34" s="1"/>
  <c r="H20" i="30"/>
  <c r="H20" i="34" s="1"/>
  <c r="H18" i="30"/>
  <c r="F18" i="29"/>
  <c r="C18" i="34"/>
  <c r="E18" i="34" s="1"/>
  <c r="F18" i="34" s="1"/>
  <c r="C20" i="34"/>
  <c r="G19" i="34"/>
  <c r="D19" i="34"/>
  <c r="I19" i="30"/>
  <c r="E19" i="30"/>
  <c r="F19" i="30" s="1"/>
  <c r="C19" i="34"/>
  <c r="I20" i="30"/>
  <c r="E20" i="30"/>
  <c r="F20" i="30" s="1"/>
  <c r="G18" i="34"/>
  <c r="E18" i="30"/>
  <c r="F18" i="30" s="1"/>
  <c r="I18" i="28"/>
  <c r="H18" i="29"/>
  <c r="I18" i="29" s="1"/>
  <c r="E17" i="18"/>
  <c r="F17" i="18" s="1"/>
  <c r="C16" i="30"/>
  <c r="D16" i="30"/>
  <c r="C17" i="30"/>
  <c r="D17" i="30"/>
  <c r="C16" i="29"/>
  <c r="D16" i="29"/>
  <c r="C17" i="29"/>
  <c r="D17" i="29"/>
  <c r="E17" i="29" s="1"/>
  <c r="F17" i="29" s="1"/>
  <c r="C16" i="18"/>
  <c r="D16" i="18"/>
  <c r="C16" i="1"/>
  <c r="D16" i="1"/>
  <c r="G16" i="1"/>
  <c r="G16" i="34" s="1"/>
  <c r="C17" i="1"/>
  <c r="D17" i="1"/>
  <c r="G17" i="1"/>
  <c r="G17" i="34" s="1"/>
  <c r="H17" i="32"/>
  <c r="I17" i="32" s="1"/>
  <c r="E17" i="32"/>
  <c r="F17" i="32" s="1"/>
  <c r="I16" i="32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E16" i="3"/>
  <c r="F16" i="3" s="1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3" i="29"/>
  <c r="F13" i="29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F15" i="26"/>
  <c r="I14" i="26"/>
  <c r="F14" i="26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F15" i="19"/>
  <c r="H14" i="19"/>
  <c r="I14" i="19" s="1"/>
  <c r="F14" i="19"/>
  <c r="H13" i="19"/>
  <c r="I13" i="19" s="1"/>
  <c r="F13" i="19"/>
  <c r="H12" i="19"/>
  <c r="I12" i="19" s="1"/>
  <c r="F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0" i="34" l="1"/>
  <c r="F20" i="34" s="1"/>
  <c r="I19" i="34"/>
  <c r="I20" i="34"/>
  <c r="C16" i="34"/>
  <c r="E19" i="34"/>
  <c r="F19" i="34" s="1"/>
  <c r="D15" i="34"/>
  <c r="E15" i="34" s="1"/>
  <c r="F15" i="34" s="1"/>
  <c r="C5" i="34"/>
  <c r="D5" i="34"/>
  <c r="C6" i="34"/>
  <c r="D13" i="34"/>
  <c r="D14" i="34"/>
  <c r="C17" i="34"/>
  <c r="I18" i="34"/>
  <c r="D6" i="34"/>
  <c r="C7" i="34"/>
  <c r="E7" i="34" s="1"/>
  <c r="F7" i="34" s="1"/>
  <c r="C13" i="34"/>
  <c r="E13" i="34" s="1"/>
  <c r="F13" i="34" s="1"/>
  <c r="D7" i="34"/>
  <c r="H18" i="34"/>
  <c r="C14" i="34"/>
  <c r="E15" i="18"/>
  <c r="F15" i="18" s="1"/>
  <c r="C15" i="34"/>
  <c r="D16" i="34"/>
  <c r="E16" i="34" s="1"/>
  <c r="F16" i="34" s="1"/>
  <c r="I18" i="30"/>
  <c r="D17" i="34"/>
  <c r="D11" i="34"/>
  <c r="C11" i="34"/>
  <c r="E11" i="34" s="1"/>
  <c r="F11" i="34" s="1"/>
  <c r="D10" i="34"/>
  <c r="C10" i="34"/>
  <c r="E10" i="34" s="1"/>
  <c r="F10" i="34" s="1"/>
  <c r="D12" i="34"/>
  <c r="C12" i="34"/>
  <c r="D9" i="34"/>
  <c r="C9" i="34"/>
  <c r="D8" i="34"/>
  <c r="C8" i="34"/>
  <c r="E13" i="30"/>
  <c r="F13" i="30" s="1"/>
  <c r="E11" i="30"/>
  <c r="F11" i="30" s="1"/>
  <c r="E17" i="30"/>
  <c r="F17" i="30" s="1"/>
  <c r="E16" i="30"/>
  <c r="F16" i="30" s="1"/>
  <c r="H13" i="29"/>
  <c r="I13" i="29" s="1"/>
  <c r="H6" i="29"/>
  <c r="I6" i="29" s="1"/>
  <c r="E11" i="29"/>
  <c r="F11" i="29" s="1"/>
  <c r="E7" i="18"/>
  <c r="F7" i="18" s="1"/>
  <c r="E11" i="18"/>
  <c r="F11" i="18" s="1"/>
  <c r="E9" i="18"/>
  <c r="F9" i="18" s="1"/>
  <c r="D4" i="34"/>
  <c r="D2" i="18"/>
  <c r="E15" i="30"/>
  <c r="F15" i="30" s="1"/>
  <c r="H16" i="18"/>
  <c r="I16" i="18" s="1"/>
  <c r="E16" i="29"/>
  <c r="F16" i="29" s="1"/>
  <c r="E16" i="18"/>
  <c r="F16" i="18" s="1"/>
  <c r="E8" i="30"/>
  <c r="F8" i="30" s="1"/>
  <c r="E12" i="30"/>
  <c r="F12" i="30" s="1"/>
  <c r="H16" i="30"/>
  <c r="E10" i="30"/>
  <c r="F10" i="30" s="1"/>
  <c r="E14" i="30"/>
  <c r="F14" i="30" s="1"/>
  <c r="H16" i="1"/>
  <c r="I16" i="1" s="1"/>
  <c r="H6" i="30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D2" i="30"/>
  <c r="E17" i="1"/>
  <c r="F17" i="1" s="1"/>
  <c r="E16" i="1"/>
  <c r="F16" i="1" s="1"/>
  <c r="I17" i="72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H9" i="30"/>
  <c r="H4" i="30"/>
  <c r="I4" i="30" s="1"/>
  <c r="E7" i="30"/>
  <c r="F7" i="30" s="1"/>
  <c r="H12" i="30"/>
  <c r="H7" i="30"/>
  <c r="H15" i="30"/>
  <c r="H10" i="30"/>
  <c r="H5" i="30"/>
  <c r="H13" i="30"/>
  <c r="H8" i="30"/>
  <c r="H11" i="30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12" i="34" l="1"/>
  <c r="F12" i="34" s="1"/>
  <c r="E17" i="34"/>
  <c r="F17" i="34" s="1"/>
  <c r="E14" i="34"/>
  <c r="F14" i="34" s="1"/>
  <c r="E6" i="34"/>
  <c r="F6" i="34" s="1"/>
  <c r="D2" i="34"/>
  <c r="E8" i="34"/>
  <c r="F8" i="34" s="1"/>
  <c r="E9" i="34"/>
  <c r="F9" i="34" s="1"/>
  <c r="I5" i="30"/>
  <c r="H5" i="34"/>
  <c r="I5" i="34" s="1"/>
  <c r="I15" i="30"/>
  <c r="H15" i="34"/>
  <c r="I15" i="34" s="1"/>
  <c r="I14" i="30"/>
  <c r="H14" i="34"/>
  <c r="I14" i="34" s="1"/>
  <c r="I13" i="30"/>
  <c r="H13" i="34"/>
  <c r="I13" i="34" s="1"/>
  <c r="I17" i="30"/>
  <c r="H17" i="34"/>
  <c r="I17" i="34" s="1"/>
  <c r="I16" i="30"/>
  <c r="H16" i="34"/>
  <c r="I16" i="34" s="1"/>
  <c r="I11" i="30"/>
  <c r="H11" i="34"/>
  <c r="I11" i="34" s="1"/>
  <c r="I10" i="30"/>
  <c r="H10" i="34"/>
  <c r="I10" i="34" s="1"/>
  <c r="I9" i="30"/>
  <c r="H9" i="34"/>
  <c r="I9" i="34" s="1"/>
  <c r="I8" i="30"/>
  <c r="H8" i="34"/>
  <c r="I8" i="34" s="1"/>
  <c r="I7" i="30"/>
  <c r="H7" i="34"/>
  <c r="I7" i="34" s="1"/>
  <c r="I12" i="30"/>
  <c r="H12" i="34"/>
  <c r="I12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<sst xmlns="http://schemas.openxmlformats.org/spreadsheetml/2006/main" count="347" uniqueCount="120">
  <si>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</si>
  <si>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</si>
  <si>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</si>
  <si>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</si>
  <si>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</si>
  <si>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</si>
  <si>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</si>
  <si>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</si>
  <si>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</si>
  <si>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</si>
  <si>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</si>
  <si>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</si>
  <si>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</si>
  <si>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</si>
  <si>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</si>
  <si>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</si>
  <si>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</si>
  <si>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</si>
  <si>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</si>
  <si>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</si>
  <si>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</si>
  <si>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</si>
  <si>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1.Inverter 5 has experienced tripping events on alternate days throughout the month due to water intrusion in the connectors. According to the technician's notes, further troubleshooting is required</t>
  </si>
  <si>
    <t>1. SR094993</t>
  </si>
  <si>
    <t>1. The weather station stopped communicating on 01/08. A technician onsite for inverter and weather station issues contacted SMA and updated five inverters. Communication was restored on 01/21 but again lost on 01/27. On 01/28, the technician contacted Aderis and re-established communication, but it dropped again at 15:00. It was restored at 10:00 on 01/29 while the technician was updating inverter firmware.
2. Inverter 7 was offline from 01/23. The technician investigated the issue and replaced the L2 fuse, bringing the inverter back online on 01/28.
3. The site was offline on 01/28 at 08:00am and later remotely closed by catalyze at 09:00am.</t>
  </si>
  <si>
    <t>1. SR092431, SR095414
2. SR096016
3. SR096049</t>
  </si>
  <si>
    <t>SR095414</t>
  </si>
  <si>
    <t>SR096016</t>
  </si>
  <si>
    <t>SR096049</t>
  </si>
  <si>
    <t>1.Inverter 1 tripped offline at 12:45 PM on 01/15. According to the received information, SMA was on-site working on the inverter on the same day, and Inverter 1 was back online at 02:30 PM on 01/15.
2.Inverter 1 is constantly producing 193kW even during non-production hours on 01/16. Issue got self resolved at 10:00 PM on 01/16.
3.Inverter 1 failed to start on 01/21. SMA technicians suspected a communication board issue. After further troubleshooting on 01/22, the inverter 1 was back online at 10:30 AM on 01/22.
4.The site experienced reduced production from 01/20 to 01/24 due to snow cover. On 01/25/25, production dropped to 62kW at 08:30 due to snow buildup. The technician reset the Indie control box, restoring PV production on 01/25.
5. The site tripped offline due to a utility outage at 12:45 PM on 01/28. After the technician reset the recloser, the site was back online at 1:45 PM on 01/29.</t>
  </si>
  <si>
    <t>1.SR095598
2.SR095641
3.SR095796
4.SR095973
5.SR096060,              SR096061</t>
  </si>
  <si>
    <t>SR095641</t>
  </si>
  <si>
    <t>SR095796</t>
  </si>
  <si>
    <t>SR095973</t>
  </si>
  <si>
    <t>SR096060</t>
  </si>
  <si>
    <t>SR096061</t>
  </si>
  <si>
    <t>1. Irradiance sensor has been replaced on 01/22.</t>
  </si>
  <si>
    <t>1. SR086960, SR095896</t>
  </si>
  <si>
    <t>SR095896</t>
  </si>
  <si>
    <t>1.The site tripped offline at 01:15 AM on 01/22. On 01/23, after the utility closed their recloser, the technician reset the recloser, bringing the site back online and into production at 5:00 PM on 01/23.</t>
  </si>
  <si>
    <t>1.SR095842</t>
  </si>
  <si>
    <t>1. Inverters 3.5 to 3.7 and 3.9 tripped offline at 15:45 and self-resolved at 16:15 on 01/09. A technician was dispatched and found inverter voltages out of range. Terminations were re-tightened.
2. Inverters 3.1 to 3.10 experienced multiple tripping events throughout the month, self-resolving on alternate days.</t>
  </si>
  <si>
    <t>1. SR095454
2. SR095996, SR096058, SR096170</t>
  </si>
  <si>
    <t>SR095996</t>
  </si>
  <si>
    <t>SR096058</t>
  </si>
  <si>
    <t>SR096170</t>
  </si>
  <si>
    <t>1. Inverter 6 has been experiencing multiple tripping events throughout the month. The issue, caused by VARS (Volt-Ampere Reactive power) from the utility, scheduled to be addressed in Q3 2025.</t>
  </si>
  <si>
    <t>1.SR093503</t>
  </si>
  <si>
    <t>1. Inverter 9 is underproducing compared to its peers due to four faulty optimizers affecting two strings</t>
  </si>
  <si>
    <t xml:space="preserve">1.SR096047	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</si>
  <si>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</si>
  <si>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</si>
  <si>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</si>
  <si>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</si>
  <si>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</si>
  <si>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</si>
  <si>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</si>
  <si>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</si>
  <si>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</si>
  <si>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</si>
  <si>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</si>
  <si>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</si>
  <si>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</si>
  <si>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</si>
  <si>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</si>
  <si>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</si>
  <si>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</si>
  <si>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</si>
  <si>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</si>
  <si>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</si>
  <si>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</si>
  <si>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</si>
  <si>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</si>
  <si>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</si>
  <si>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</si>
  <si>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Update</t>
  </si>
  <si>
    <t>DAS</t>
  </si>
  <si>
    <t>CA Fresno - 3150 Shaw Ave - 19600 [T0275]</t>
  </si>
  <si>
    <t>Fresno - 3150 Shaw Ave</t>
  </si>
  <si>
    <t>CA</t>
  </si>
  <si>
    <t>AEF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</si>
  <si>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</si>
  <si>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</si>
  <si>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</si>
  <si>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</si>
  <si>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</si>
  <si>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</si>
  <si>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</si>
  <si>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</si>
  <si>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</si>
  <si>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</si>
  <si>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</si>
  <si>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</si>
  <si>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</si>
  <si>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</si>
  <si>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</si>
  <si>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</si>
  <si>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</si>
  <si>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</si>
  <si>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NY AMHERST 595 SCHOELLES RD - 18208</t>
  </si>
  <si>
    <t>Amherst - 595 Scholles Road</t>
  </si>
  <si>
    <t>NY LANCASTER GUNNVILLE RD - SHISLER RD Site 1 - 18237</t>
  </si>
  <si>
    <t>Lancaster 1 - Gunnville Road</t>
  </si>
  <si>
    <t>NY LANCASTER GUNNVILLE RD - SHISLER RD Site 2 - 18238</t>
  </si>
  <si>
    <t>Lancaster 2 - Shisler Road</t>
  </si>
  <si>
    <t>CA Fullerton - 200 W Orangethorpe - 19603 [T1418]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</si>
  <si>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</si>
  <si>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</si>
  <si>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</si>
  <si>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</si>
  <si>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</si>
  <si>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</si>
  <si>
    <t>ME Augusta - 13 York Farm Rd - 18196</t>
  </si>
  <si>
    <t>Augusta - 13 York Farm Road</t>
  </si>
  <si>
    <t>ME</t>
  </si>
  <si>
    <t>CA Santa Ana - 1441 W 17th St - 21198 [T1936]</t>
  </si>
  <si>
    <t xml:space="preserve">Santa Ana - 1441 West </t>
  </si>
  <si>
    <t>MD Jessup 7950 Oceano Ave - 22337</t>
  </si>
  <si>
    <t>Jessup -7950 Oceano Ave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</si>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</sst>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9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3" fontId="31" fillId="0" borderId="1" xfId="0" applyNumberFormat="1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center" vertical="center"/>
    </xf>
    <xf numFmtId="0" fontId="24" fillId="0" borderId="12" xfId="0" applyFont="1" applyBorder="1"/>
    <xf numFmtId="49" fontId="29" fillId="0" borderId="13" xfId="0" applyNumberFormat="1" applyFont="1" applyBorder="1" applyAlignment="1">
      <alignment vertical="center" wrapText="1"/>
    </xf>
    <xf numFmtId="3" fontId="31" fillId="0" borderId="1" xfId="1" applyNumberFormat="1" applyFont="1" applyBorder="1" applyAlignment="1">
      <alignment vertical="center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0" fontId="23" fillId="0" borderId="0" xfId="43" applyFont="1" applyAlignment="1">
      <alignment horizontal="left" wrapText="1"/>
    </xf>
    <xf numFmtId="0" fontId="23" fillId="0" borderId="0" xfId="43" applyFont="1"/>
    <xf numFmtId="164" fontId="29" fillId="0" borderId="1" xfId="1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vertical="top" wrapText="1"/>
    </xf>
    <xf numFmtId="0" fontId="37" fillId="0" borderId="0" xfId="0" applyFont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38" fillId="0" borderId="1" xfId="0" applyNumberFormat="1" applyFont="1" applyBorder="1" applyAlignment="1">
      <alignment horizontal="left" vertical="top" wrapText="1"/>
    </xf>
    <xf numFmtId="9" fontId="31" fillId="37" borderId="11" xfId="2" applyFont="1" applyFill="1" applyBorder="1" applyAlignment="1">
      <alignment horizontal="center" vertical="center"/>
    </xf>
    <xf numFmtId="49" fontId="29" fillId="0" borderId="11" xfId="0" applyNumberFormat="1" applyFont="1" applyBorder="1" applyAlignment="1">
      <alignment vertical="center" wrapText="1"/>
    </xf>
    <xf numFmtId="49" fontId="39" fillId="38" borderId="1" xfId="45" applyNumberFormat="1" applyFill="1" applyBorder="1" applyAlignment="1">
      <alignment vertical="top" wrapText="1"/>
    </xf>
    <xf numFmtId="49" fontId="39" fillId="0" borderId="1" xfId="45" applyNumberFormat="1" applyBorder="1" applyAlignment="1">
      <alignment horizontal="left" vertical="top" wrapText="1"/>
    </xf>
    <xf numFmtId="0" fontId="39" fillId="0" borderId="0" xfId="45"/>
    <xf numFmtId="49" fontId="39" fillId="0" borderId="1" xfId="45" applyNumberFormat="1" applyBorder="1" applyAlignment="1">
      <alignment vertical="top" wrapText="1"/>
    </xf>
    <xf numFmtId="0" fontId="0" fillId="0" borderId="0" xfId="0" applyAlignment="1">
      <alignment horizontal="left" vertical="top"/>
    </xf>
    <xf numFmtId="0" fontId="39" fillId="0" borderId="0" xfId="45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796" TargetMode="External"/><Relationship Id="rId13" Type="http://schemas.openxmlformats.org/officeDocument/2006/relationships/hyperlink" Target="https://us3.assetplanner.com/service_request?ID=095896" TargetMode="External"/><Relationship Id="rId18" Type="http://schemas.openxmlformats.org/officeDocument/2006/relationships/hyperlink" Target="https://us3.assetplanner.com/service_request?ID=096170" TargetMode="External"/><Relationship Id="rId3" Type="http://schemas.openxmlformats.org/officeDocument/2006/relationships/hyperlink" Target="https://us3.assetplanner.com/service_request?ID=095414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https://us3.assetplanner.com/service_request?ID=095641" TargetMode="External"/><Relationship Id="rId12" Type="http://schemas.openxmlformats.org/officeDocument/2006/relationships/hyperlink" Target="https://us3.assetplanner.com/service_request?ID=086960" TargetMode="External"/><Relationship Id="rId17" Type="http://schemas.openxmlformats.org/officeDocument/2006/relationships/hyperlink" Target="https://us3.assetplanner.com/service_request?ID=096058" TargetMode="External"/><Relationship Id="rId2" Type="http://schemas.openxmlformats.org/officeDocument/2006/relationships/hyperlink" Target="https://us3.assetplanner.com/service_request?ID=092431" TargetMode="External"/><Relationship Id="rId16" Type="http://schemas.openxmlformats.org/officeDocument/2006/relationships/hyperlink" Target="https://us3.assetplanner.com/service_request?ID=095996" TargetMode="External"/><Relationship Id="rId20" Type="http://schemas.openxmlformats.org/officeDocument/2006/relationships/hyperlink" Target="https://us3.assetplanner.com/service_request?ID=096047" TargetMode="External"/><Relationship Id="rId1" Type="http://schemas.openxmlformats.org/officeDocument/2006/relationships/hyperlink" Target="https://us3.assetplanner.com/service_request?ID=094993" TargetMode="External"/><Relationship Id="rId6" Type="http://schemas.openxmlformats.org/officeDocument/2006/relationships/hyperlink" Target="https://us3.assetplanner.com/service_request?ID=095598" TargetMode="External"/><Relationship Id="rId11" Type="http://schemas.openxmlformats.org/officeDocument/2006/relationships/hyperlink" Target="https://us3.assetplanner.com/service_request?ID=096061" TargetMode="External"/><Relationship Id="rId5" Type="http://schemas.openxmlformats.org/officeDocument/2006/relationships/hyperlink" Target="https://us3.assetplanner.com/service_request?ID=096049" TargetMode="External"/><Relationship Id="rId15" Type="http://schemas.openxmlformats.org/officeDocument/2006/relationships/hyperlink" Target="https://us3.assetplanner.com/service_request?ID=095454" TargetMode="External"/><Relationship Id="rId10" Type="http://schemas.openxmlformats.org/officeDocument/2006/relationships/hyperlink" Target="https://us3.assetplanner.com/service_request?ID=096060" TargetMode="External"/><Relationship Id="rId19" Type="http://schemas.openxmlformats.org/officeDocument/2006/relationships/hyperlink" Target="https://us3.assetplanner.com/service_request?ID=093503" TargetMode="External"/><Relationship Id="rId4" Type="http://schemas.openxmlformats.org/officeDocument/2006/relationships/hyperlink" Target="https://us3.assetplanner.com/service_request?ID=096016" TargetMode="External"/><Relationship Id="rId9" Type="http://schemas.openxmlformats.org/officeDocument/2006/relationships/hyperlink" Target="https://us3.assetplanner.com/service_request?ID=095973" TargetMode="External"/><Relationship Id="rId14" Type="http://schemas.openxmlformats.org/officeDocument/2006/relationships/hyperlink" Target="https://us3.assetplanner.com/service_request?ID=09584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tabSelected="1" workbookViewId="0">
      <pane xSplit="2" ySplit="3" topLeftCell="C4" activePane="bottomRight" state="frozen"/>
      <selection pane="bottomRight" activeCell="G20" sqref="G20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Catalyze</v>
      </c>
      <c r="B1" s="88"/>
      <c r="C1" s="88"/>
      <c r="D1" s="89" t="s">
        <v>0</v>
      </c>
      <c r="E1" s="89"/>
      <c r="F1" s="89"/>
      <c r="G1" s="87" t="s">
        <v>1</v>
      </c>
      <c r="H1" s="87"/>
      <c r="I1" s="87"/>
    </row>
    <row r="2" spans="1:9" ht="19.5" customHeight="1">
      <c r="A2" s="90" t="s">
        <v>2</v>
      </c>
      <c r="B2" s="90"/>
      <c r="C2" s="5">
        <f>SUM(C4:C92)</f>
        <v>1684623.4914328542</v>
      </c>
      <c r="D2" s="5">
        <f>SUM(D4:D92)</f>
        <v>2378878.9360000002</v>
      </c>
      <c r="E2" s="5">
        <f>C2-D2</f>
        <v>-694255.44456714601</v>
      </c>
      <c r="F2" s="6">
        <f>IFERROR(E2/D2, 0)</f>
        <v>-0.2918414359221288</v>
      </c>
      <c r="G2" s="5">
        <f>SUM(G4:G92)</f>
        <v>2175549.66</v>
      </c>
      <c r="H2" s="7">
        <f>C2-G2</f>
        <v>-490926.16856714594</v>
      </c>
      <c r="I2" s="6">
        <f>IFERROR(H2/G2, 0)</f>
        <v>-0.22565615374973602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32" t="str" cm="1">
        <f t="array" ref="A4:A20">Sites[Site]</f>
        <v>Fresno - 3150 Shaw Ave</v>
      </c>
      <c r="B4" s="33" t="str" cm="1">
        <f t="array" ref="B4:B20">Sites[State]</f>
        <v>CA</v>
      </c>
      <c r="C4" s="34">
        <f>SUM('1st Qtr'!C4, '2nd Qtr'!C4, '3rd Qtr'!C4, '4th Qtr'!C4)</f>
        <v>53422.875</v>
      </c>
      <c r="D4" s="35">
        <f>SUM('1st Qtr'!D4, '2nd Qtr'!D4, '3rd Qtr'!D4, '4th Qtr'!D4)</f>
        <v>50400.42</v>
      </c>
      <c r="E4" s="35">
        <f>IF(AND(ISNUMBER(C4),ISNUMBER(D4)), C4-D4, "")</f>
        <v>3022.4550000000017</v>
      </c>
      <c r="F4" s="36">
        <f>IFERROR(E4/D4, "")</f>
        <v>5.9968845497716125E-2</v>
      </c>
      <c r="G4" s="37">
        <f>SUM('1st Qtr'!G4, '2nd Qtr'!G4, '3rd Qtr'!G4, '4th Qtr'!G4)</f>
        <v>49997</v>
      </c>
      <c r="H4" s="37">
        <f>SUM('1st Qtr'!H4, '2nd Qtr'!H4, '3rd Qtr'!H4, '4th Qtr'!H4)</f>
        <v>3425.875</v>
      </c>
      <c r="I4" s="38">
        <f>IFERROR(H4/G4, "")</f>
        <v>6.8521611296677803E-2</v>
      </c>
    </row>
    <row r="5" spans="1:9" ht="15.75">
      <c r="A5" s="39" t="str">
        <v>Adelanto - 1 Sheep Creek Road</v>
      </c>
      <c r="B5" s="40" t="str">
        <v>CA</v>
      </c>
      <c r="C5" s="41">
        <f>SUM('1st Qtr'!C5, '2nd Qtr'!C5, '3rd Qtr'!C5, '4th Qtr'!C5)</f>
        <v>434343</v>
      </c>
      <c r="D5" s="41">
        <f>SUM('1st Qtr'!D5, '2nd Qtr'!D5, '3rd Qtr'!D5, '4th Qtr'!D5)</f>
        <v>163616.26999999999</v>
      </c>
      <c r="E5" s="42">
        <f t="shared" ref="E5:E15" si="0">IF(AND(ISNUMBER(C5),ISNUMBER(D5)), C5-D5, "")</f>
        <v>270726.73</v>
      </c>
      <c r="F5" s="43">
        <f>IFERROR(E5/D5, "")</f>
        <v>1.6546443089064431</v>
      </c>
      <c r="G5" s="44">
        <f>SUM('1st Qtr'!G5, '2nd Qtr'!G5, '3rd Qtr'!G5, '4th Qtr'!G5)</f>
        <v>479912.62</v>
      </c>
      <c r="H5" s="44">
        <f>SUM('1st Qtr'!H5, '2nd Qtr'!H5, '3rd Qtr'!H5, '4th Qtr'!H5)</f>
        <v>-45569.619999999995</v>
      </c>
      <c r="I5" s="43">
        <f>IFERROR(H5/G5, "")</f>
        <v>-9.4953993916642568E-2</v>
      </c>
    </row>
    <row r="6" spans="1:9" ht="15.75">
      <c r="A6" s="32" t="str">
        <v>Blackstone - 83 Federal Street</v>
      </c>
      <c r="B6" s="33" t="str">
        <v>MA</v>
      </c>
      <c r="C6" s="34">
        <f>SUM('1st Qtr'!C6, '2nd Qtr'!C6, '3rd Qtr'!C6, '4th Qtr'!C6)</f>
        <v>221322</v>
      </c>
      <c r="D6" s="35">
        <f>SUM('1st Qtr'!D6, '2nd Qtr'!D6, '3rd Qtr'!D6, '4th Qtr'!D6)</f>
        <v>519101.6</v>
      </c>
      <c r="E6" s="35">
        <f t="shared" si="0"/>
        <v>-297779.59999999998</v>
      </c>
      <c r="F6" s="36">
        <f t="shared" ref="F6:F15" si="1">IFERROR(E6/D6, "")</f>
        <v>-0.57364415752137921</v>
      </c>
      <c r="G6" s="37">
        <f>SUM('1st Qtr'!G6, '2nd Qtr'!G6, '3rd Qtr'!G6, '4th Qtr'!G6)</f>
        <v>384369.8</v>
      </c>
      <c r="H6" s="37">
        <f>SUM('1st Qtr'!H6, '2nd Qtr'!H6, '3rd Qtr'!H6, '4th Qtr'!H6)</f>
        <v>-163047.79999999999</v>
      </c>
      <c r="I6" s="38">
        <f t="shared" ref="I6:I15" si="2">IFERROR(H6/G6, "")</f>
        <v>-0.42419513707892764</v>
      </c>
    </row>
    <row r="7" spans="1:9" ht="15.75">
      <c r="A7" s="39" t="str">
        <v>Charlton - 299 Worcester Road</v>
      </c>
      <c r="B7" s="40" t="str">
        <v>MA</v>
      </c>
      <c r="C7" s="41">
        <f>SUM('1st Qtr'!C7, '2nd Qtr'!C7, '3rd Qtr'!C7, '4th Qtr'!C7)</f>
        <v>23675</v>
      </c>
      <c r="D7" s="41">
        <f>SUM('1st Qtr'!D7, '2nd Qtr'!D7, '3rd Qtr'!D7, '4th Qtr'!D7)</f>
        <v>33780.06</v>
      </c>
      <c r="E7" s="42">
        <f t="shared" si="0"/>
        <v>-10105.059999999998</v>
      </c>
      <c r="F7" s="43">
        <f t="shared" si="1"/>
        <v>-0.29914274871033381</v>
      </c>
      <c r="G7" s="44">
        <f>SUM('1st Qtr'!G7, '2nd Qtr'!G7, '3rd Qtr'!G7, '4th Qtr'!G7)</f>
        <v>31670.95</v>
      </c>
      <c r="H7" s="44">
        <f>SUM('1st Qtr'!H7, '2nd Qtr'!H7, '3rd Qtr'!H7, '4th Qtr'!H7)</f>
        <v>-7995.9500000000007</v>
      </c>
      <c r="I7" s="43">
        <f t="shared" si="2"/>
        <v>-0.25246953438403336</v>
      </c>
    </row>
    <row r="8" spans="1:9" ht="15.75">
      <c r="A8" s="32" t="str">
        <v>Wareham - 8 Thatcher Drive</v>
      </c>
      <c r="B8" s="33" t="str">
        <v>MA</v>
      </c>
      <c r="C8" s="34">
        <f>SUM('1st Qtr'!C8, '2nd Qtr'!C8, '3rd Qtr'!C8, '4th Qtr'!C8)</f>
        <v>7554.0625</v>
      </c>
      <c r="D8" s="35">
        <f>SUM('1st Qtr'!D8, '2nd Qtr'!D8, '3rd Qtr'!D8, '4th Qtr'!D8)</f>
        <v>9317.2880000000005</v>
      </c>
      <c r="E8" s="35">
        <f t="shared" si="0"/>
        <v>-1763.2255000000005</v>
      </c>
      <c r="F8" s="36">
        <f t="shared" si="1"/>
        <v>-0.18924235249570481</v>
      </c>
      <c r="G8" s="37">
        <f>SUM('1st Qtr'!G8, '2nd Qtr'!G8, '3rd Qtr'!G8, '4th Qtr'!G8)</f>
        <v>8974.43</v>
      </c>
      <c r="H8" s="37">
        <f>SUM('1st Qtr'!H8, '2nd Qtr'!H8, '3rd Qtr'!H8, '4th Qtr'!H8)</f>
        <v>-1420.3675000000003</v>
      </c>
      <c r="I8" s="38">
        <f t="shared" si="2"/>
        <v>-0.15826826884827228</v>
      </c>
    </row>
    <row r="9" spans="1:9" ht="15.75">
      <c r="A9" s="39" t="str">
        <v>West Yarmouth - 42 Mid Tech</v>
      </c>
      <c r="B9" s="40" t="str">
        <v>MA</v>
      </c>
      <c r="C9" s="41">
        <f>SUM('1st Qtr'!C9, '2nd Qtr'!C9, '3rd Qtr'!C9, '4th Qtr'!C9)</f>
        <v>5192.6951828540796</v>
      </c>
      <c r="D9" s="41">
        <f>SUM('1st Qtr'!D9, '2nd Qtr'!D9, '3rd Qtr'!D9, '4th Qtr'!D9)</f>
        <v>6591.808</v>
      </c>
      <c r="E9" s="42">
        <f t="shared" si="0"/>
        <v>-1399.1128171459204</v>
      </c>
      <c r="F9" s="43">
        <f t="shared" si="1"/>
        <v>-0.21225023804484602</v>
      </c>
      <c r="G9" s="44">
        <f>SUM('1st Qtr'!G9, '2nd Qtr'!G9, '3rd Qtr'!G9, '4th Qtr'!G9)</f>
        <v>6769.91</v>
      </c>
      <c r="H9" s="44">
        <f>SUM('1st Qtr'!H9, '2nd Qtr'!H9, '3rd Qtr'!H9, '4th Qtr'!H9)</f>
        <v>-1577.2148171459203</v>
      </c>
      <c r="I9" s="43">
        <f t="shared" si="2"/>
        <v>-0.2329742665923063</v>
      </c>
    </row>
    <row r="10" spans="1:9" ht="15.75">
      <c r="A10" s="32" t="str">
        <v>Harrison - 130 Union Street</v>
      </c>
      <c r="B10" s="33" t="str">
        <v>NY</v>
      </c>
      <c r="C10" s="34">
        <f>SUM('1st Qtr'!C10, '2nd Qtr'!C10, '3rd Qtr'!C10, '4th Qtr'!C10)</f>
        <v>9045.625</v>
      </c>
      <c r="D10" s="35">
        <f>SUM('1st Qtr'!D10, '2nd Qtr'!D10, '3rd Qtr'!D10, '4th Qtr'!D10)</f>
        <v>14196.66</v>
      </c>
      <c r="E10" s="35">
        <f t="shared" si="0"/>
        <v>-5151.0349999999999</v>
      </c>
      <c r="F10" s="36">
        <f t="shared" si="1"/>
        <v>-0.36283428637440074</v>
      </c>
      <c r="G10" s="37">
        <f>SUM('1st Qtr'!G10, '2nd Qtr'!G10, '3rd Qtr'!G10, '4th Qtr'!G10)</f>
        <v>10694.18</v>
      </c>
      <c r="H10" s="37">
        <f>SUM('1st Qtr'!H10, '2nd Qtr'!H10, '3rd Qtr'!H10, '4th Qtr'!H10)</f>
        <v>-1648.5550000000003</v>
      </c>
      <c r="I10" s="38">
        <f t="shared" si="2"/>
        <v>-0.15415440922071633</v>
      </c>
    </row>
    <row r="11" spans="1:9" ht="15.75">
      <c r="A11" s="39" t="str">
        <v>Staten Island - Ellis Storage</v>
      </c>
      <c r="B11" s="40" t="str">
        <v>NY</v>
      </c>
      <c r="C11" s="41">
        <f>SUM('1st Qtr'!C11, '2nd Qtr'!C11, '3rd Qtr'!C11, '4th Qtr'!C11)</f>
        <v>22396.625</v>
      </c>
      <c r="D11" s="41">
        <f>SUM('1st Qtr'!D11, '2nd Qtr'!D11, '3rd Qtr'!D11, '4th Qtr'!D11)</f>
        <v>27928.2</v>
      </c>
      <c r="E11" s="42">
        <f t="shared" si="0"/>
        <v>-5531.5750000000007</v>
      </c>
      <c r="F11" s="43">
        <f t="shared" si="1"/>
        <v>-0.19806414305254189</v>
      </c>
      <c r="G11" s="44">
        <f>SUM('1st Qtr'!G11, '2nd Qtr'!G11, '3rd Qtr'!G11, '4th Qtr'!G11)</f>
        <v>22865</v>
      </c>
      <c r="H11" s="44">
        <f>SUM('1st Qtr'!H11, '2nd Qtr'!H11, '3rd Qtr'!H11, '4th Qtr'!H11)</f>
        <v>-468.375</v>
      </c>
      <c r="I11" s="43">
        <f t="shared" si="2"/>
        <v>-2.0484364749617318E-2</v>
      </c>
    </row>
    <row r="12" spans="1:9" ht="15.75">
      <c r="A12" s="32" t="str">
        <v>Amherst - 595 Scholles Road</v>
      </c>
      <c r="B12" s="33" t="str">
        <v>NY</v>
      </c>
      <c r="C12" s="34">
        <f>SUM('1st Qtr'!C12, '2nd Qtr'!C12, '3rd Qtr'!C12, '4th Qtr'!C12)</f>
        <v>176317</v>
      </c>
      <c r="D12" s="35">
        <f>SUM('1st Qtr'!D12, '2nd Qtr'!D12, '3rd Qtr'!D12, '4th Qtr'!D12)</f>
        <v>351737</v>
      </c>
      <c r="E12" s="35">
        <f t="shared" si="0"/>
        <v>-175420</v>
      </c>
      <c r="F12" s="36">
        <f t="shared" si="1"/>
        <v>-0.49872489956984906</v>
      </c>
      <c r="G12" s="37">
        <f>SUM('1st Qtr'!G12, '2nd Qtr'!G12, '3rd Qtr'!G12, '4th Qtr'!G12)</f>
        <v>279121.59999999998</v>
      </c>
      <c r="H12" s="37">
        <f>SUM('1st Qtr'!H12, '2nd Qtr'!H12, '3rd Qtr'!H12, '4th Qtr'!H12)</f>
        <v>-102804.59999999998</v>
      </c>
      <c r="I12" s="38">
        <f t="shared" si="2"/>
        <v>-0.36831474167531281</v>
      </c>
    </row>
    <row r="13" spans="1:9" ht="15.75">
      <c r="A13" s="39" t="str">
        <v>Lancaster 1 - Gunnville Road</v>
      </c>
      <c r="B13" s="40" t="str">
        <v>NY</v>
      </c>
      <c r="C13" s="41">
        <f>SUM('1st Qtr'!C13, '2nd Qtr'!C13, '3rd Qtr'!C13, '4th Qtr'!C13)</f>
        <v>167972</v>
      </c>
      <c r="D13" s="41">
        <f>SUM('1st Qtr'!D13, '2nd Qtr'!D13, '3rd Qtr'!D13, '4th Qtr'!D13)</f>
        <v>298839.7</v>
      </c>
      <c r="E13" s="42">
        <f t="shared" si="0"/>
        <v>-130867.70000000001</v>
      </c>
      <c r="F13" s="43">
        <f t="shared" si="1"/>
        <v>-0.43791939290529341</v>
      </c>
      <c r="G13" s="44">
        <f>SUM('1st Qtr'!G13, '2nd Qtr'!G13, '3rd Qtr'!G13, '4th Qtr'!G13)</f>
        <v>191771</v>
      </c>
      <c r="H13" s="44">
        <f>SUM('1st Qtr'!H13, '2nd Qtr'!H13, '3rd Qtr'!H13, '4th Qtr'!H13)</f>
        <v>-23799</v>
      </c>
      <c r="I13" s="43">
        <f t="shared" si="2"/>
        <v>-0.12410114146560221</v>
      </c>
    </row>
    <row r="14" spans="1:9" ht="15.75">
      <c r="A14" s="32" t="str">
        <v>Lancaster 2 - Shisler Road</v>
      </c>
      <c r="B14" s="33" t="str">
        <v>NY</v>
      </c>
      <c r="C14" s="34">
        <f>SUM('1st Qtr'!C14, '2nd Qtr'!C14, '3rd Qtr'!C14, '4th Qtr'!C14)</f>
        <v>146912</v>
      </c>
      <c r="D14" s="35">
        <f>SUM('1st Qtr'!D14, '2nd Qtr'!D14, '3rd Qtr'!D14, '4th Qtr'!D14)</f>
        <v>352791.9</v>
      </c>
      <c r="E14" s="35">
        <f t="shared" si="0"/>
        <v>-205879.90000000002</v>
      </c>
      <c r="F14" s="36">
        <f t="shared" si="1"/>
        <v>-0.58357320562065063</v>
      </c>
      <c r="G14" s="37">
        <f>SUM('1st Qtr'!G14, '2nd Qtr'!G14, '3rd Qtr'!G14, '4th Qtr'!G14)</f>
        <v>204880</v>
      </c>
      <c r="H14" s="37">
        <f>SUM('1st Qtr'!H14, '2nd Qtr'!H14, '3rd Qtr'!H14, '4th Qtr'!H14)</f>
        <v>-57968</v>
      </c>
      <c r="I14" s="38">
        <f t="shared" si="2"/>
        <v>-0.28293635298711439</v>
      </c>
    </row>
    <row r="15" spans="1:9" ht="15.75">
      <c r="A15" s="39" t="str">
        <v>Fullerton - 200 W Orangethorpe</v>
      </c>
      <c r="B15" s="40" t="str">
        <v>CA</v>
      </c>
      <c r="C15" s="41">
        <f>SUM('1st Qtr'!C15, '2nd Qtr'!C15, '3rd Qtr'!C15, '4th Qtr'!C15)</f>
        <v>63628.546250000101</v>
      </c>
      <c r="D15" s="41">
        <f>SUM('1st Qtr'!D15, '2nd Qtr'!D15, '3rd Qtr'!D15, '4th Qtr'!D15)</f>
        <v>73372.12</v>
      </c>
      <c r="E15" s="42">
        <f t="shared" si="0"/>
        <v>-9743.5737499998941</v>
      </c>
      <c r="F15" s="43">
        <f t="shared" si="1"/>
        <v>-0.13279667740280496</v>
      </c>
      <c r="G15" s="44">
        <f>SUM('1st Qtr'!G15, '2nd Qtr'!G15, '3rd Qtr'!G15, '4th Qtr'!G15)</f>
        <v>74894</v>
      </c>
      <c r="H15" s="44">
        <f>SUM('1st Qtr'!H15, '2nd Qtr'!H15, '3rd Qtr'!H15, '4th Qtr'!H15)</f>
        <v>-11265.453749999899</v>
      </c>
      <c r="I15" s="43">
        <f t="shared" si="2"/>
        <v>-0.15041864168024005</v>
      </c>
    </row>
    <row r="16" spans="1:9" ht="15.75">
      <c r="A16" s="32" t="str">
        <v>El Paso - 10500 Railroad Drive</v>
      </c>
      <c r="B16" s="33" t="str">
        <v>TX</v>
      </c>
      <c r="C16" s="34">
        <f>SUM('1st Qtr'!C16, '2nd Qtr'!C16, '3rd Qtr'!C16, '4th Qtr'!C16)</f>
        <v>93351.5</v>
      </c>
      <c r="D16" s="35">
        <f>SUM('1st Qtr'!D16, '2nd Qtr'!D16, '3rd Qtr'!D16, '4th Qtr'!D16)</f>
        <v>90713.1</v>
      </c>
      <c r="E16" s="35">
        <f t="shared" ref="E16:E20" si="3">IF(AND(ISNUMBER(C16),ISNUMBER(D16)), C16-D16, "")</f>
        <v>2638.3999999999942</v>
      </c>
      <c r="F16" s="36">
        <f t="shared" ref="F16:F20" si="4">IFERROR(E16/D16, "")</f>
        <v>2.9085104576957396E-2</v>
      </c>
      <c r="G16" s="37">
        <f>SUM('1st Qtr'!G16, '2nd Qtr'!G16, '3rd Qtr'!G16, '4th Qtr'!G16)</f>
        <v>95865</v>
      </c>
      <c r="H16" s="37">
        <f>SUM('1st Qtr'!H16, '2nd Qtr'!H16, '3rd Qtr'!H16, '4th Qtr'!H16)</f>
        <v>-2513.5</v>
      </c>
      <c r="I16" s="38">
        <f t="shared" ref="I16:I20" si="5">IFERROR(H16/G16, "")</f>
        <v>-2.6219162363740677E-2</v>
      </c>
    </row>
    <row r="17" spans="1:9" ht="15.75">
      <c r="A17" s="39" t="str">
        <v>Friona - 900 Millard Ave</v>
      </c>
      <c r="B17" s="40" t="str">
        <v>TX</v>
      </c>
      <c r="C17" s="41">
        <f>SUM('1st Qtr'!C17, '2nd Qtr'!C17, '3rd Qtr'!C17, '4th Qtr'!C17)</f>
        <v>69688.25</v>
      </c>
      <c r="D17" s="41">
        <f>SUM('1st Qtr'!D17, '2nd Qtr'!D17, '3rd Qtr'!D17, '4th Qtr'!D17)</f>
        <v>68867.83</v>
      </c>
      <c r="E17" s="42">
        <f t="shared" si="3"/>
        <v>820.41999999999825</v>
      </c>
      <c r="F17" s="43">
        <f t="shared" si="4"/>
        <v>1.1912964296972885E-2</v>
      </c>
      <c r="G17" s="44">
        <f>SUM('1st Qtr'!G17, '2nd Qtr'!G17, '3rd Qtr'!G17, '4th Qtr'!G17)</f>
        <v>72736</v>
      </c>
      <c r="H17" s="44">
        <f>SUM('1st Qtr'!H17, '2nd Qtr'!H17, '3rd Qtr'!H17, '4th Qtr'!H17)</f>
        <v>-3047.75</v>
      </c>
      <c r="I17" s="43">
        <f t="shared" si="5"/>
        <v>-4.1901534315882095E-2</v>
      </c>
    </row>
    <row r="18" spans="1:9" ht="15.75">
      <c r="A18" s="32" t="str">
        <v>Augusta - 13 York Farm Road</v>
      </c>
      <c r="B18" s="33" t="str">
        <v>ME</v>
      </c>
      <c r="C18" s="34">
        <f>SUM('1st Qtr'!C18, '2nd Qtr'!C18, '3rd Qtr'!C18, '4th Qtr'!C18)</f>
        <v>69027.875</v>
      </c>
      <c r="D18" s="35">
        <f>SUM('1st Qtr'!D18, '2nd Qtr'!D18, '3rd Qtr'!D18, '4th Qtr'!D18)</f>
        <v>131266.29999999999</v>
      </c>
      <c r="E18" s="35">
        <f t="shared" si="3"/>
        <v>-62238.424999999988</v>
      </c>
      <c r="F18" s="36">
        <f t="shared" si="4"/>
        <v>-0.47413864030600383</v>
      </c>
      <c r="G18" s="37">
        <f>SUM('1st Qtr'!G18, '2nd Qtr'!G18, '3rd Qtr'!G18, '4th Qtr'!G18)</f>
        <v>92474</v>
      </c>
      <c r="H18" s="37">
        <f>SUM('1st Qtr'!H18, '2nd Qtr'!H18, '3rd Qtr'!H18, '4th Qtr'!H18)</f>
        <v>-23446.125</v>
      </c>
      <c r="I18" s="38">
        <f t="shared" si="5"/>
        <v>-0.25354288773060535</v>
      </c>
    </row>
    <row r="19" spans="1:9" ht="15.75">
      <c r="A19" s="39" t="str">
        <v xml:space="preserve">Santa Ana - 1441 West </v>
      </c>
      <c r="B19" s="40" t="str">
        <v>CA</v>
      </c>
      <c r="C19" s="41">
        <f>SUM('1st Qtr'!C19, '2nd Qtr'!C19, '3rd Qtr'!C19, '4th Qtr'!C19)</f>
        <v>36286.8125</v>
      </c>
      <c r="D19" s="41">
        <f>SUM('1st Qtr'!D19, '2nd Qtr'!D19, '3rd Qtr'!D19, '4th Qtr'!D19)</f>
        <v>40826.68</v>
      </c>
      <c r="E19" s="42">
        <f t="shared" si="3"/>
        <v>-4539.8675000000003</v>
      </c>
      <c r="F19" s="43">
        <f t="shared" si="4"/>
        <v>-0.11119854712653589</v>
      </c>
      <c r="G19" s="44">
        <f>SUM('1st Qtr'!G19, '2nd Qtr'!G19, '3rd Qtr'!G19, '4th Qtr'!G19)</f>
        <v>47186.47</v>
      </c>
      <c r="H19" s="44">
        <f>SUM('1st Qtr'!H19, '2nd Qtr'!H19, '3rd Qtr'!H19, '4th Qtr'!H19)</f>
        <v>-10899.657500000001</v>
      </c>
      <c r="I19" s="43">
        <f t="shared" si="5"/>
        <v>-0.23099116123753272</v>
      </c>
    </row>
    <row r="20" spans="1:9" ht="15.75">
      <c r="A20" s="32" t="str">
        <v>Jessup -7950 Oceano Ave</v>
      </c>
      <c r="B20" s="33" t="str">
        <v>MD</v>
      </c>
      <c r="C20" s="34">
        <f>SUM('1st Qtr'!C20, '2nd Qtr'!C20, '3rd Qtr'!C20, '4th Qtr'!C20)</f>
        <v>84487.625</v>
      </c>
      <c r="D20" s="35">
        <f>SUM('1st Qtr'!D20, '2nd Qtr'!D20, '3rd Qtr'!D20, '4th Qtr'!D20)</f>
        <v>145532</v>
      </c>
      <c r="E20" s="35">
        <f t="shared" si="3"/>
        <v>-61044.375</v>
      </c>
      <c r="F20" s="36">
        <f t="shared" si="4"/>
        <v>-0.41945671742297225</v>
      </c>
      <c r="G20" s="37">
        <f>SUM('1st Qtr'!G20, '2nd Qtr'!G20, '3rd Qtr'!G20, '4th Qtr'!G20)</f>
        <v>121367.7</v>
      </c>
      <c r="H20" s="37">
        <f>SUM('1st Qtr'!H20, '2nd Qtr'!H20, '3rd Qtr'!H20, '4th Qtr'!H20)</f>
        <v>-36880.074999999997</v>
      </c>
      <c r="I20" s="38">
        <f t="shared" si="5"/>
        <v>-0.30387059324680288</v>
      </c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xSplit="2" ySplit="3" topLeftCell="C4" activePane="bottomRight" state="frozen"/>
      <selection pane="bottomRight" activeCell="H11" sqref="H11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Catalyze</v>
      </c>
      <c r="B1" s="88"/>
      <c r="C1" s="88"/>
      <c r="D1" s="89" t="s">
        <v>10</v>
      </c>
      <c r="E1" s="89"/>
      <c r="F1" s="89"/>
      <c r="G1" s="87" t="s">
        <v>11</v>
      </c>
      <c r="H1" s="87"/>
      <c r="I1" s="87"/>
    </row>
    <row r="2" spans="1:9" ht="19.5" customHeight="1">
      <c r="A2" s="90" t="s">
        <v>2</v>
      </c>
      <c r="B2" s="90"/>
      <c r="C2" s="5">
        <f>SUM(C4:C92)</f>
        <v>1684623.4914328542</v>
      </c>
      <c r="D2" s="5">
        <f>SUM(D4:D92)</f>
        <v>2378878.9360000002</v>
      </c>
      <c r="E2" s="5">
        <f>C2-D2</f>
        <v>-694255.44456714601</v>
      </c>
      <c r="F2" s="6">
        <f>IFERROR(E2/D2, 0)</f>
        <v>-0.2918414359221288</v>
      </c>
      <c r="G2" s="5">
        <f>SUM(G4:G92)</f>
        <v>2175549.66</v>
      </c>
      <c r="H2" s="7">
        <f>C2-G2</f>
        <v>-490926.16856714594</v>
      </c>
      <c r="I2" s="6">
        <f>IFERROR(H2/G2, 0)</f>
        <v>-0.22565615374973602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53" t="str" cm="1">
        <f t="array" ref="A4:A20">Sites[Site]</f>
        <v>Fresno - 3150 Shaw Ave</v>
      </c>
      <c r="B4" s="33" t="str" cm="1">
        <f t="array" ref="B4:B20">Sites[State]</f>
        <v>CA</v>
      </c>
      <c r="C4" s="34">
        <f>SUM(Jan!C4, Feb!C4, Mar!C4)</f>
        <v>53422.875</v>
      </c>
      <c r="D4" s="35">
        <f>SUM(Jan!D4, Feb!D4, Mar!D4)</f>
        <v>50400.42</v>
      </c>
      <c r="E4" s="35">
        <f>IF(AND(ISNUMBER(C4),ISNUMBER(D4)), C4-D4, "")</f>
        <v>3022.4550000000017</v>
      </c>
      <c r="F4" s="36">
        <f>IFERROR(E4/D4, "")</f>
        <v>5.9968845497716125E-2</v>
      </c>
      <c r="G4" s="37">
        <f>SUM(Jan!G4, Feb!G4, Mar!G4)</f>
        <v>49997</v>
      </c>
      <c r="H4" s="37">
        <f>SUM(Jan!H4, Feb!H4, Mar!H4)</f>
        <v>3425.875</v>
      </c>
      <c r="I4" s="38">
        <f>IFERROR(H4/G4, "")</f>
        <v>6.8521611296677803E-2</v>
      </c>
    </row>
    <row r="5" spans="1:9" ht="15.75">
      <c r="A5" s="54" t="str">
        <v>Adelanto - 1 Sheep Creek Road</v>
      </c>
      <c r="B5" s="40" t="str">
        <v>CA</v>
      </c>
      <c r="C5" s="41">
        <f>SUM(Jan!C5, Feb!C5, Mar!C5)</f>
        <v>434343</v>
      </c>
      <c r="D5" s="42">
        <f>SUM(Jan!D5, Feb!D5, Mar!D5)</f>
        <v>163616.26999999999</v>
      </c>
      <c r="E5" s="42">
        <f t="shared" ref="E5:E15" si="0">IF(AND(ISNUMBER(C5),ISNUMBER(D5)), C5-D5, "")</f>
        <v>270726.73</v>
      </c>
      <c r="F5" s="43">
        <f>IFERROR(E5/D5, "")</f>
        <v>1.6546443089064431</v>
      </c>
      <c r="G5" s="44">
        <f>SUM(Jan!G5, Feb!G5, Mar!G5)</f>
        <v>479912.62</v>
      </c>
      <c r="H5" s="44">
        <f>SUM(Jan!H5, Feb!H5, Mar!H5)</f>
        <v>-45569.619999999995</v>
      </c>
      <c r="I5" s="43">
        <f>IFERROR(H5/G5, "")</f>
        <v>-9.4953993916642568E-2</v>
      </c>
    </row>
    <row r="6" spans="1:9" ht="15.75">
      <c r="A6" s="53" t="str">
        <v>Blackstone - 83 Federal Street</v>
      </c>
      <c r="B6" s="33" t="str">
        <v>MA</v>
      </c>
      <c r="C6" s="34">
        <f>SUM(Jan!C6, Feb!C6, Mar!C6)</f>
        <v>221322</v>
      </c>
      <c r="D6" s="35">
        <f>SUM(Jan!D6, Feb!D6, Mar!D6)</f>
        <v>519101.6</v>
      </c>
      <c r="E6" s="35">
        <f t="shared" si="0"/>
        <v>-297779.59999999998</v>
      </c>
      <c r="F6" s="36">
        <f t="shared" ref="F6:F15" si="1">IFERROR(E6/D6, "")</f>
        <v>-0.57364415752137921</v>
      </c>
      <c r="G6" s="37">
        <f>SUM(Jan!G6, Feb!G6, Mar!G6)</f>
        <v>384369.8</v>
      </c>
      <c r="H6" s="37">
        <f>SUM(Jan!H6, Feb!H6, Mar!H6)</f>
        <v>-163047.79999999999</v>
      </c>
      <c r="I6" s="38">
        <f t="shared" ref="I6:I15" si="2">IFERROR(H6/G6, "")</f>
        <v>-0.42419513707892764</v>
      </c>
    </row>
    <row r="7" spans="1:9" ht="15.75">
      <c r="A7" s="54" t="str">
        <v>Charlton - 299 Worcester Road</v>
      </c>
      <c r="B7" s="40" t="str">
        <v>MA</v>
      </c>
      <c r="C7" s="41">
        <f>SUM(Jan!C7, Feb!C7, Mar!C7)</f>
        <v>23675</v>
      </c>
      <c r="D7" s="42">
        <f>SUM(Jan!D7, Feb!D7, Mar!D7)</f>
        <v>33780.06</v>
      </c>
      <c r="E7" s="42">
        <f t="shared" si="0"/>
        <v>-10105.059999999998</v>
      </c>
      <c r="F7" s="43">
        <f t="shared" si="1"/>
        <v>-0.29914274871033381</v>
      </c>
      <c r="G7" s="44">
        <f>SUM(Jan!G7, Feb!G7, Mar!G7)</f>
        <v>31670.95</v>
      </c>
      <c r="H7" s="44">
        <f>SUM(Jan!H7, Feb!H7, Mar!H7)</f>
        <v>-7995.9500000000007</v>
      </c>
      <c r="I7" s="43">
        <f t="shared" si="2"/>
        <v>-0.25246953438403336</v>
      </c>
    </row>
    <row r="8" spans="1:9" ht="15.75">
      <c r="A8" s="53" t="str">
        <v>Wareham - 8 Thatcher Drive</v>
      </c>
      <c r="B8" s="33" t="str">
        <v>MA</v>
      </c>
      <c r="C8" s="34">
        <f>SUM(Jan!C8, Feb!C8, Mar!C8)</f>
        <v>7554.0625</v>
      </c>
      <c r="D8" s="35">
        <f>SUM(Jan!D8, Feb!D8, Mar!D8)</f>
        <v>9317.2880000000005</v>
      </c>
      <c r="E8" s="35">
        <f t="shared" si="0"/>
        <v>-1763.2255000000005</v>
      </c>
      <c r="F8" s="36">
        <f t="shared" si="1"/>
        <v>-0.18924235249570481</v>
      </c>
      <c r="G8" s="37">
        <f>SUM(Jan!G8, Feb!G8, Mar!G8)</f>
        <v>8974.43</v>
      </c>
      <c r="H8" s="37">
        <f>SUM(Jan!H8, Feb!H8, Mar!H8)</f>
        <v>-1420.3675000000003</v>
      </c>
      <c r="I8" s="38">
        <f t="shared" si="2"/>
        <v>-0.15826826884827228</v>
      </c>
    </row>
    <row r="9" spans="1:9" ht="15.75">
      <c r="A9" s="54" t="str">
        <v>West Yarmouth - 42 Mid Tech</v>
      </c>
      <c r="B9" s="40" t="str">
        <v>MA</v>
      </c>
      <c r="C9" s="41">
        <f>SUM(Jan!C9, Feb!C9, Mar!C9)</f>
        <v>5192.6951828540796</v>
      </c>
      <c r="D9" s="42">
        <f>SUM(Jan!D9, Feb!D9, Mar!D9)</f>
        <v>6591.808</v>
      </c>
      <c r="E9" s="42">
        <f t="shared" si="0"/>
        <v>-1399.1128171459204</v>
      </c>
      <c r="F9" s="43">
        <f t="shared" si="1"/>
        <v>-0.21225023804484602</v>
      </c>
      <c r="G9" s="44">
        <f>SUM(Jan!G9, Feb!G9, Mar!G9)</f>
        <v>6769.91</v>
      </c>
      <c r="H9" s="44">
        <f>SUM(Jan!H9, Feb!H9, Mar!H9)</f>
        <v>-1577.2148171459203</v>
      </c>
      <c r="I9" s="43">
        <f t="shared" si="2"/>
        <v>-0.2329742665923063</v>
      </c>
    </row>
    <row r="10" spans="1:9" ht="15.75">
      <c r="A10" s="53" t="str">
        <v>Harrison - 130 Union Street</v>
      </c>
      <c r="B10" s="33" t="str">
        <v>NY</v>
      </c>
      <c r="C10" s="34">
        <f>SUM(Jan!C10, Feb!C10, Mar!C10)</f>
        <v>9045.625</v>
      </c>
      <c r="D10" s="35">
        <f>SUM(Jan!D10, Feb!D10, Mar!D10)</f>
        <v>14196.66</v>
      </c>
      <c r="E10" s="35">
        <f t="shared" si="0"/>
        <v>-5151.0349999999999</v>
      </c>
      <c r="F10" s="36">
        <f t="shared" si="1"/>
        <v>-0.36283428637440074</v>
      </c>
      <c r="G10" s="37">
        <f>SUM(Jan!G10, Feb!G10, Mar!G10)</f>
        <v>10694.18</v>
      </c>
      <c r="H10" s="37">
        <f>SUM(Jan!H10, Feb!H10, Mar!H10)</f>
        <v>-1648.5550000000003</v>
      </c>
      <c r="I10" s="38">
        <f t="shared" si="2"/>
        <v>-0.15415440922071633</v>
      </c>
    </row>
    <row r="11" spans="1:9" ht="15.75">
      <c r="A11" s="54" t="str">
        <v>Staten Island - Ellis Storage</v>
      </c>
      <c r="B11" s="40" t="str">
        <v>NY</v>
      </c>
      <c r="C11" s="41">
        <f>SUM(Jan!C11, Feb!C11, Mar!C11)</f>
        <v>22396.625</v>
      </c>
      <c r="D11" s="42">
        <f>SUM(Jan!D11, Feb!D11, Mar!D11)</f>
        <v>27928.2</v>
      </c>
      <c r="E11" s="42">
        <f t="shared" si="0"/>
        <v>-5531.5750000000007</v>
      </c>
      <c r="F11" s="43">
        <f t="shared" si="1"/>
        <v>-0.19806414305254189</v>
      </c>
      <c r="G11" s="44">
        <f>SUM(Jan!G11, Feb!G11, Mar!G11)</f>
        <v>22865</v>
      </c>
      <c r="H11" s="44">
        <f>SUM(Jan!H11, Feb!H11, Mar!H11)</f>
        <v>-468.375</v>
      </c>
      <c r="I11" s="43">
        <f t="shared" si="2"/>
        <v>-2.0484364749617318E-2</v>
      </c>
    </row>
    <row r="12" spans="1:9" ht="15.75">
      <c r="A12" s="53" t="str">
        <v>Amherst - 595 Scholles Road</v>
      </c>
      <c r="B12" s="33" t="str">
        <v>NY</v>
      </c>
      <c r="C12" s="34">
        <f>SUM(Jan!C12, Feb!C12, Mar!C12)</f>
        <v>176317</v>
      </c>
      <c r="D12" s="35">
        <f>SUM(Jan!D12, Feb!D12, Mar!D12)</f>
        <v>351737</v>
      </c>
      <c r="E12" s="35">
        <f t="shared" si="0"/>
        <v>-175420</v>
      </c>
      <c r="F12" s="36">
        <f t="shared" si="1"/>
        <v>-0.49872489956984906</v>
      </c>
      <c r="G12" s="37">
        <f>SUM(Jan!G12, Feb!G12, Mar!G12)</f>
        <v>279121.59999999998</v>
      </c>
      <c r="H12" s="37">
        <f>SUM(Jan!H12, Feb!H12, Mar!H12)</f>
        <v>-102804.59999999998</v>
      </c>
      <c r="I12" s="38">
        <f t="shared" si="2"/>
        <v>-0.36831474167531281</v>
      </c>
    </row>
    <row r="13" spans="1:9" ht="15.75">
      <c r="A13" s="54" t="str">
        <v>Lancaster 1 - Gunnville Road</v>
      </c>
      <c r="B13" s="40" t="str">
        <v>NY</v>
      </c>
      <c r="C13" s="41">
        <f>SUM(Jan!C13, Feb!C13, Mar!C13)</f>
        <v>167972</v>
      </c>
      <c r="D13" s="42">
        <f>SUM(Jan!D13, Feb!D13, Mar!D13)</f>
        <v>298839.7</v>
      </c>
      <c r="E13" s="42">
        <f t="shared" si="0"/>
        <v>-130867.70000000001</v>
      </c>
      <c r="F13" s="43">
        <f t="shared" si="1"/>
        <v>-0.43791939290529341</v>
      </c>
      <c r="G13" s="44">
        <f>SUM(Jan!G13, Feb!G13, Mar!G13)</f>
        <v>191771</v>
      </c>
      <c r="H13" s="44">
        <f>SUM(Jan!H13, Feb!H13, Mar!H13)</f>
        <v>-23799</v>
      </c>
      <c r="I13" s="43">
        <f t="shared" si="2"/>
        <v>-0.12410114146560221</v>
      </c>
    </row>
    <row r="14" spans="1:9" ht="15.75">
      <c r="A14" s="53" t="str">
        <v>Lancaster 2 - Shisler Road</v>
      </c>
      <c r="B14" s="33" t="str">
        <v>NY</v>
      </c>
      <c r="C14" s="34">
        <f>SUM(Jan!C14, Feb!C14, Mar!C14)</f>
        <v>146912</v>
      </c>
      <c r="D14" s="35">
        <f>SUM(Jan!D14, Feb!D14, Mar!D14)</f>
        <v>352791.9</v>
      </c>
      <c r="E14" s="35">
        <f t="shared" si="0"/>
        <v>-205879.90000000002</v>
      </c>
      <c r="F14" s="36">
        <f t="shared" si="1"/>
        <v>-0.58357320562065063</v>
      </c>
      <c r="G14" s="37">
        <f>SUM(Jan!G14, Feb!G14, Mar!G14)</f>
        <v>204880</v>
      </c>
      <c r="H14" s="37">
        <f>SUM(Jan!H14, Feb!H14, Mar!H14)</f>
        <v>-57968</v>
      </c>
      <c r="I14" s="38">
        <f t="shared" si="2"/>
        <v>-0.28293635298711439</v>
      </c>
    </row>
    <row r="15" spans="1:9" ht="15.75">
      <c r="A15" s="54" t="str">
        <v>Fullerton - 200 W Orangethorpe</v>
      </c>
      <c r="B15" s="40" t="str">
        <v>CA</v>
      </c>
      <c r="C15" s="41">
        <f>SUM(Jan!C15, Feb!C15, Mar!C15)</f>
        <v>63628.546250000101</v>
      </c>
      <c r="D15" s="42">
        <f>SUM(Jan!D15, Feb!D15, Mar!D15)</f>
        <v>73372.12</v>
      </c>
      <c r="E15" s="42">
        <f t="shared" si="0"/>
        <v>-9743.5737499998941</v>
      </c>
      <c r="F15" s="43">
        <f t="shared" si="1"/>
        <v>-0.13279667740280496</v>
      </c>
      <c r="G15" s="44">
        <f>SUM(Jan!G15, Feb!G15, Mar!G15)</f>
        <v>74894</v>
      </c>
      <c r="H15" s="44">
        <f>SUM(Jan!H15, Feb!H15, Mar!H15)</f>
        <v>-11265.453749999899</v>
      </c>
      <c r="I15" s="43">
        <f t="shared" si="2"/>
        <v>-0.15041864168024005</v>
      </c>
    </row>
    <row r="16" spans="1:9" ht="15.75">
      <c r="A16" s="53" t="str">
        <v>El Paso - 10500 Railroad Drive</v>
      </c>
      <c r="B16" s="33" t="str">
        <v>TX</v>
      </c>
      <c r="C16" s="34">
        <f>SUM(Jan!C16, Feb!C16, Mar!C16)</f>
        <v>93351.5</v>
      </c>
      <c r="D16" s="35">
        <f>SUM(Jan!D16, Feb!D16, Mar!D16)</f>
        <v>90713.1</v>
      </c>
      <c r="E16" s="35">
        <f t="shared" ref="E16:E19" si="3">IF(AND(ISNUMBER(C16),ISNUMBER(D16)), C16-D16, "")</f>
        <v>2638.3999999999942</v>
      </c>
      <c r="F16" s="36">
        <f t="shared" ref="F16:F20" si="4">IFERROR(E16/D16, "")</f>
        <v>2.9085104576957396E-2</v>
      </c>
      <c r="G16" s="37">
        <f>SUM(Jan!G16, Feb!G16, Mar!G16)</f>
        <v>95865</v>
      </c>
      <c r="H16" s="37">
        <f>SUM(Jan!H16, Feb!H16, Mar!H16)</f>
        <v>-2513.5</v>
      </c>
      <c r="I16" s="38">
        <f t="shared" ref="I16:I20" si="5">IFERROR(H16/G16, "")</f>
        <v>-2.6219162363740677E-2</v>
      </c>
    </row>
    <row r="17" spans="1:9" ht="15.75">
      <c r="A17" s="54" t="str">
        <v>Friona - 900 Millard Ave</v>
      </c>
      <c r="B17" s="40" t="str">
        <v>TX</v>
      </c>
      <c r="C17" s="41">
        <f>SUM(Jan!C17, Feb!C17, Mar!C17)</f>
        <v>69688.25</v>
      </c>
      <c r="D17" s="42">
        <f>SUM(Jan!D17, Feb!D17, Mar!D17)</f>
        <v>68867.83</v>
      </c>
      <c r="E17" s="42">
        <f t="shared" si="3"/>
        <v>820.41999999999825</v>
      </c>
      <c r="F17" s="43">
        <f t="shared" si="4"/>
        <v>1.1912964296972885E-2</v>
      </c>
      <c r="G17" s="44">
        <f>SUM(Jan!G17, Feb!G17, Mar!G17)</f>
        <v>72736</v>
      </c>
      <c r="H17" s="44">
        <f>SUM(Jan!H17, Feb!H17, Mar!H17)</f>
        <v>-3047.75</v>
      </c>
      <c r="I17" s="43">
        <f t="shared" si="5"/>
        <v>-4.1901534315882095E-2</v>
      </c>
    </row>
    <row r="18" spans="1:9" ht="15.75">
      <c r="A18" s="53" t="str">
        <v>Augusta - 13 York Farm Road</v>
      </c>
      <c r="B18" s="33" t="str">
        <v>ME</v>
      </c>
      <c r="C18" s="34">
        <f>SUM(Jan!C18, Feb!C18, Mar!C18)</f>
        <v>69027.875</v>
      </c>
      <c r="D18" s="35">
        <f>SUM(Jan!D18, Feb!D18, Mar!D18)</f>
        <v>131266.29999999999</v>
      </c>
      <c r="E18" s="35">
        <f>IF(AND(ISNUMBER(C18),ISNUMBER(D18)), C18-D18, "")</f>
        <v>-62238.424999999988</v>
      </c>
      <c r="F18" s="36">
        <f t="shared" si="4"/>
        <v>-0.47413864030600383</v>
      </c>
      <c r="G18" s="37">
        <f>SUM(Jan!G18, Feb!G18, Mar!G18)</f>
        <v>92474</v>
      </c>
      <c r="H18" s="37">
        <f>SUM(Jan!H18, Feb!H18, Mar!H18)</f>
        <v>-23446.125</v>
      </c>
      <c r="I18" s="38">
        <f t="shared" si="5"/>
        <v>-0.25354288773060535</v>
      </c>
    </row>
    <row r="19" spans="1:9" ht="15.75">
      <c r="A19" s="54" t="str">
        <v xml:space="preserve">Santa Ana - 1441 West </v>
      </c>
      <c r="B19" s="40" t="str">
        <v>CA</v>
      </c>
      <c r="C19" s="41">
        <f>SUM(Jan!C19, Feb!C19, Mar!C19)</f>
        <v>36286.8125</v>
      </c>
      <c r="D19" s="42">
        <f>SUM(Jan!D19, Feb!D19, Mar!D19)</f>
        <v>40826.68</v>
      </c>
      <c r="E19" s="42">
        <f t="shared" si="3"/>
        <v>-4539.8675000000003</v>
      </c>
      <c r="F19" s="43">
        <f t="shared" si="4"/>
        <v>-0.11119854712653589</v>
      </c>
      <c r="G19" s="44">
        <f>SUM(Jan!G19, Feb!G19, Mar!G19)</f>
        <v>47186.47</v>
      </c>
      <c r="H19" s="44">
        <f>SUM(Jan!H19, Feb!H19, Mar!H19)</f>
        <v>-10899.657500000001</v>
      </c>
      <c r="I19" s="43">
        <f t="shared" si="5"/>
        <v>-0.23099116123753272</v>
      </c>
    </row>
    <row r="20" spans="1:9" ht="15.75">
      <c r="A20" s="53" t="str">
        <v>Jessup -7950 Oceano Ave</v>
      </c>
      <c r="B20" s="33" t="str">
        <v>MD</v>
      </c>
      <c r="C20" s="34">
        <f>SUM(Jan!C20, Feb!C20, Mar!C20)</f>
        <v>84487.625</v>
      </c>
      <c r="D20" s="35">
        <f>SUM(Jan!D20, Feb!D20, Mar!D20)</f>
        <v>145532</v>
      </c>
      <c r="E20" s="35">
        <f>IF(AND(ISNUMBER(C20),ISNUMBER(D20)), C20-D20, "")</f>
        <v>-61044.375</v>
      </c>
      <c r="F20" s="36">
        <f t="shared" si="4"/>
        <v>-0.41945671742297225</v>
      </c>
      <c r="G20" s="37">
        <f>SUM(Jan!G20, Feb!G20, Mar!G20)</f>
        <v>121367.7</v>
      </c>
      <c r="H20" s="37">
        <f>SUM(Jan!H20, Feb!H20, Mar!H20)</f>
        <v>-36880.074999999997</v>
      </c>
      <c r="I20" s="38">
        <f t="shared" si="5"/>
        <v>-0.30387059324680288</v>
      </c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4"/>
  <sheetViews>
    <sheetView workbookViewId="0">
      <pane xSplit="2" ySplit="3" topLeftCell="C8" activePane="bottomRight" state="frozen"/>
      <selection pane="bottomRight" activeCell="I20" sqref="I20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Catalyze</v>
      </c>
      <c r="B1" s="88"/>
      <c r="C1" s="88"/>
      <c r="D1" s="89" t="s">
        <v>12</v>
      </c>
      <c r="E1" s="89"/>
      <c r="F1" s="89"/>
      <c r="G1" s="87" t="s">
        <v>13</v>
      </c>
      <c r="H1" s="87"/>
      <c r="I1" s="87"/>
    </row>
    <row r="2" spans="1:9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53" t="str" cm="1">
        <f t="array" ref="A4:A20">Sites[Site]</f>
        <v>Fresno - 3150 Shaw Ave</v>
      </c>
      <c r="B4" s="33" t="str" cm="1">
        <f t="array" ref="B4:B20">Sites[State]</f>
        <v>CA</v>
      </c>
      <c r="C4" s="34">
        <f>SUM(Apr!C4, May!C4, Jun!C4)</f>
        <v>0</v>
      </c>
      <c r="D4" s="35">
        <f>SUM(Apr!D4, May!D4, Jun!D4)</f>
        <v>0</v>
      </c>
      <c r="E4" s="35">
        <f>IF(AND(ISNUMBER(C4),ISNUMBER(D4)), C4-D4, "")</f>
        <v>0</v>
      </c>
      <c r="F4" s="36" t="str">
        <f>IFERROR(E4/D4, "")</f>
        <v/>
      </c>
      <c r="G4" s="37">
        <f>SUM(Apr!G4+May!G4+Jun!G4)</f>
        <v>0</v>
      </c>
      <c r="H4" s="37">
        <f>SUM(Apr!H4, May!H4, Jun!H4)</f>
        <v>0</v>
      </c>
      <c r="I4" s="38" t="str">
        <f>IFERROR(H4/G4, "")</f>
        <v/>
      </c>
    </row>
    <row r="5" spans="1:9" ht="15.75">
      <c r="A5" s="54" t="str">
        <v>Adelanto - 1 Sheep Creek Road</v>
      </c>
      <c r="B5" s="40" t="str">
        <v>CA</v>
      </c>
      <c r="C5" s="41">
        <f>SUM(Apr!C5, May!C5, Jun!C5)</f>
        <v>0</v>
      </c>
      <c r="D5" s="42">
        <f>SUM(Apr!D5, May!D5, Jun!D5)</f>
        <v>0</v>
      </c>
      <c r="E5" s="42">
        <f t="shared" ref="E5:E15" si="0">IF(AND(ISNUMBER(C5),ISNUMBER(D5)), C5-D5, "")</f>
        <v>0</v>
      </c>
      <c r="F5" s="43" t="str">
        <f>IFERROR(E5/D5, "")</f>
        <v/>
      </c>
      <c r="G5" s="44">
        <f>SUM(Apr!G5+May!G5+Jun!G5)</f>
        <v>0</v>
      </c>
      <c r="H5" s="44">
        <f>SUM(Apr!H5, May!H5, Jun!H5)</f>
        <v>0</v>
      </c>
      <c r="I5" s="43" t="str">
        <f>IFERROR(H5/G5, "")</f>
        <v/>
      </c>
    </row>
    <row r="6" spans="1:9" ht="15.75">
      <c r="A6" s="53" t="str">
        <v>Blackstone - 83 Federal Street</v>
      </c>
      <c r="B6" s="33" t="str">
        <v>MA</v>
      </c>
      <c r="C6" s="34">
        <f>SUM(Apr!C6, May!C6, Jun!C6)</f>
        <v>0</v>
      </c>
      <c r="D6" s="35">
        <f>SUM(Apr!D6, May!D6, Jun!D6)</f>
        <v>0</v>
      </c>
      <c r="E6" s="35">
        <f t="shared" si="0"/>
        <v>0</v>
      </c>
      <c r="F6" s="36" t="str">
        <f t="shared" ref="F6:F15" si="1">IFERROR(E6/D6, "")</f>
        <v/>
      </c>
      <c r="G6" s="37">
        <f>SUM(Apr!G6+May!G6+Jun!G6)</f>
        <v>0</v>
      </c>
      <c r="H6" s="37">
        <f>SUM(Apr!H6, May!H6, Jun!H6)</f>
        <v>0</v>
      </c>
      <c r="I6" s="38" t="str">
        <f t="shared" ref="I6:I15" si="2">IFERROR(H6/G6, "")</f>
        <v/>
      </c>
    </row>
    <row r="7" spans="1:9" ht="15.75">
      <c r="A7" s="54" t="str">
        <v>Charlton - 299 Worcester Road</v>
      </c>
      <c r="B7" s="40" t="str">
        <v>MA</v>
      </c>
      <c r="C7" s="41">
        <f>SUM(Apr!C7, May!C7, Jun!C7)</f>
        <v>0</v>
      </c>
      <c r="D7" s="42">
        <f>SUM(Apr!D7, May!D7, Jun!D7)</f>
        <v>0</v>
      </c>
      <c r="E7" s="42">
        <f t="shared" si="0"/>
        <v>0</v>
      </c>
      <c r="F7" s="43" t="str">
        <f t="shared" si="1"/>
        <v/>
      </c>
      <c r="G7" s="44">
        <f>SUM(Apr!G7+May!G7+Jun!G7)</f>
        <v>0</v>
      </c>
      <c r="H7" s="44">
        <f>SUM(Apr!H7, May!H7, Jun!H7)</f>
        <v>0</v>
      </c>
      <c r="I7" s="43" t="str">
        <f t="shared" si="2"/>
        <v/>
      </c>
    </row>
    <row r="8" spans="1:9" ht="15.75">
      <c r="A8" s="53" t="str">
        <v>Wareham - 8 Thatcher Drive</v>
      </c>
      <c r="B8" s="33" t="str">
        <v>MA</v>
      </c>
      <c r="C8" s="34">
        <f>SUM(Apr!C8, May!C8, Jun!C8)</f>
        <v>0</v>
      </c>
      <c r="D8" s="35">
        <f>SUM(Apr!D8, May!D8, Jun!D8)</f>
        <v>0</v>
      </c>
      <c r="E8" s="35">
        <f t="shared" si="0"/>
        <v>0</v>
      </c>
      <c r="F8" s="36" t="str">
        <f t="shared" si="1"/>
        <v/>
      </c>
      <c r="G8" s="37">
        <f>SUM(Apr!G8+May!G8+Jun!G8)</f>
        <v>0</v>
      </c>
      <c r="H8" s="37">
        <f>SUM(Apr!H8, May!H8, Jun!H8)</f>
        <v>0</v>
      </c>
      <c r="I8" s="38" t="str">
        <f t="shared" si="2"/>
        <v/>
      </c>
    </row>
    <row r="9" spans="1:9" ht="15.75">
      <c r="A9" s="54" t="str">
        <v>West Yarmouth - 42 Mid Tech</v>
      </c>
      <c r="B9" s="40" t="str">
        <v>MA</v>
      </c>
      <c r="C9" s="41">
        <f>SUM(Apr!C9, May!C9, Jun!C9)</f>
        <v>0</v>
      </c>
      <c r="D9" s="42">
        <f>SUM(Apr!D9, May!D9, Jun!D9)</f>
        <v>0</v>
      </c>
      <c r="E9" s="42">
        <f t="shared" si="0"/>
        <v>0</v>
      </c>
      <c r="F9" s="43" t="str">
        <f t="shared" si="1"/>
        <v/>
      </c>
      <c r="G9" s="44">
        <f>SUM(Apr!G9+May!G9+Jun!G9)</f>
        <v>0</v>
      </c>
      <c r="H9" s="44">
        <f>SUM(Apr!H9, May!H9, Jun!H9)</f>
        <v>0</v>
      </c>
      <c r="I9" s="43" t="str">
        <f t="shared" si="2"/>
        <v/>
      </c>
    </row>
    <row r="10" spans="1:9" ht="15.75">
      <c r="A10" s="53" t="str">
        <v>Harrison - 130 Union Street</v>
      </c>
      <c r="B10" s="33" t="str">
        <v>NY</v>
      </c>
      <c r="C10" s="34">
        <f>SUM(Apr!C10, May!C10, Jun!C10)</f>
        <v>0</v>
      </c>
      <c r="D10" s="35">
        <f>SUM(Apr!D10, May!D10, Jun!D10)</f>
        <v>0</v>
      </c>
      <c r="E10" s="35">
        <f t="shared" si="0"/>
        <v>0</v>
      </c>
      <c r="F10" s="36" t="str">
        <f t="shared" si="1"/>
        <v/>
      </c>
      <c r="G10" s="37">
        <f>SUM(Apr!G10+May!G10+Jun!G10)</f>
        <v>0</v>
      </c>
      <c r="H10" s="37">
        <f>SUM(Apr!H10, May!H10, Jun!H10)</f>
        <v>0</v>
      </c>
      <c r="I10" s="38" t="str">
        <f t="shared" si="2"/>
        <v/>
      </c>
    </row>
    <row r="11" spans="1:9" ht="15.75">
      <c r="A11" s="54" t="str">
        <v>Staten Island - Ellis Storage</v>
      </c>
      <c r="B11" s="40" t="str">
        <v>NY</v>
      </c>
      <c r="C11" s="41">
        <f>SUM(Apr!C11, May!C11, Jun!C11)</f>
        <v>0</v>
      </c>
      <c r="D11" s="42">
        <f>SUM(Apr!D11, May!D11, Jun!D11)</f>
        <v>0</v>
      </c>
      <c r="E11" s="42">
        <f t="shared" si="0"/>
        <v>0</v>
      </c>
      <c r="F11" s="43" t="str">
        <f t="shared" si="1"/>
        <v/>
      </c>
      <c r="G11" s="44">
        <f>SUM(Apr!G11+May!G11+Jun!G11)</f>
        <v>0</v>
      </c>
      <c r="H11" s="44">
        <f>SUM(Apr!H11, May!H11, Jun!H11)</f>
        <v>0</v>
      </c>
      <c r="I11" s="43" t="str">
        <f t="shared" si="2"/>
        <v/>
      </c>
    </row>
    <row r="12" spans="1:9" ht="15.75">
      <c r="A12" s="53" t="str">
        <v>Amherst - 595 Scholles Road</v>
      </c>
      <c r="B12" s="33" t="str">
        <v>NY</v>
      </c>
      <c r="C12" s="34">
        <f>SUM(Apr!C12, May!C12, Jun!C12)</f>
        <v>0</v>
      </c>
      <c r="D12" s="35">
        <f>SUM(Apr!D12, May!D12, Jun!D12)</f>
        <v>0</v>
      </c>
      <c r="E12" s="35">
        <f t="shared" si="0"/>
        <v>0</v>
      </c>
      <c r="F12" s="36" t="str">
        <f t="shared" si="1"/>
        <v/>
      </c>
      <c r="G12" s="37">
        <f>SUM(Apr!G12+May!G12+Jun!G12)</f>
        <v>0</v>
      </c>
      <c r="H12" s="37">
        <f>SUM(Apr!H12, May!H12, Jun!H12)</f>
        <v>0</v>
      </c>
      <c r="I12" s="38" t="str">
        <f t="shared" si="2"/>
        <v/>
      </c>
    </row>
    <row r="13" spans="1:9" ht="15.75">
      <c r="A13" s="54" t="str">
        <v>Lancaster 1 - Gunnville Road</v>
      </c>
      <c r="B13" s="40" t="str">
        <v>NY</v>
      </c>
      <c r="C13" s="41">
        <f>SUM(Apr!C13, May!C13, Jun!C13)</f>
        <v>0</v>
      </c>
      <c r="D13" s="42">
        <f>SUM(Apr!D13, May!D13, Jun!D13)</f>
        <v>0</v>
      </c>
      <c r="E13" s="42">
        <f t="shared" si="0"/>
        <v>0</v>
      </c>
      <c r="F13" s="43" t="str">
        <f t="shared" si="1"/>
        <v/>
      </c>
      <c r="G13" s="44">
        <f>SUM(Apr!G13+May!G13+Jun!G13)</f>
        <v>0</v>
      </c>
      <c r="H13" s="44">
        <f>SUM(Apr!H13, May!H13, Jun!H13)</f>
        <v>0</v>
      </c>
      <c r="I13" s="43" t="str">
        <f t="shared" si="2"/>
        <v/>
      </c>
    </row>
    <row r="14" spans="1:9" ht="15.75">
      <c r="A14" s="53" t="str">
        <v>Lancaster 2 - Shisler Road</v>
      </c>
      <c r="B14" s="33" t="str">
        <v>NY</v>
      </c>
      <c r="C14" s="34">
        <f>SUM(Apr!C14, May!C14, Jun!C14)</f>
        <v>0</v>
      </c>
      <c r="D14" s="35">
        <f>SUM(Apr!D14, May!D14, Jun!D14)</f>
        <v>0</v>
      </c>
      <c r="E14" s="35">
        <f t="shared" si="0"/>
        <v>0</v>
      </c>
      <c r="F14" s="36" t="str">
        <f t="shared" si="1"/>
        <v/>
      </c>
      <c r="G14" s="37">
        <f>SUM(Apr!G14+May!G14+Jun!G14)</f>
        <v>0</v>
      </c>
      <c r="H14" s="37">
        <f>SUM(Apr!H14, May!H14, Jun!H14)</f>
        <v>0</v>
      </c>
      <c r="I14" s="38" t="str">
        <f t="shared" si="2"/>
        <v/>
      </c>
    </row>
    <row r="15" spans="1:9" ht="15.75">
      <c r="A15" s="54" t="str">
        <v>Fullerton - 200 W Orangethorpe</v>
      </c>
      <c r="B15" s="40" t="str">
        <v>CA</v>
      </c>
      <c r="C15" s="41">
        <f>SUM(Apr!C15, May!C15, Jun!C15)</f>
        <v>0</v>
      </c>
      <c r="D15" s="42">
        <f>SUM(Apr!D15, May!D15, Jun!D15)</f>
        <v>0</v>
      </c>
      <c r="E15" s="42">
        <f t="shared" si="0"/>
        <v>0</v>
      </c>
      <c r="F15" s="43" t="str">
        <f t="shared" si="1"/>
        <v/>
      </c>
      <c r="G15" s="44">
        <f>SUM(Apr!G15+May!G15+Jun!G15)</f>
        <v>0</v>
      </c>
      <c r="H15" s="44">
        <f>SUM(Apr!H15, May!H15, Jun!H15)</f>
        <v>0</v>
      </c>
      <c r="I15" s="43" t="str">
        <f t="shared" si="2"/>
        <v/>
      </c>
    </row>
    <row r="16" spans="1:9" ht="15.75">
      <c r="A16" s="53" t="str">
        <v>El Paso - 10500 Railroad Drive</v>
      </c>
      <c r="B16" s="33" t="str">
        <v>TX</v>
      </c>
      <c r="C16" s="34">
        <f>SUM(Apr!C16, May!C16, Jun!C16)</f>
        <v>0</v>
      </c>
      <c r="D16" s="35">
        <f>SUM(Apr!D16, May!D16, Jun!D16)</f>
        <v>0</v>
      </c>
      <c r="E16" s="35">
        <f t="shared" ref="E16:E20" si="3">IF(AND(ISNUMBER(C16),ISNUMBER(D16)), C16-D16, "")</f>
        <v>0</v>
      </c>
      <c r="F16" s="36" t="str">
        <f t="shared" ref="F16:F20" si="4">IFERROR(E16/D16, "")</f>
        <v/>
      </c>
      <c r="G16" s="37">
        <f>SUM(Apr!G16+May!G16+Jun!G16)</f>
        <v>0</v>
      </c>
      <c r="H16" s="37">
        <f>SUM(Apr!H16, May!H16, Jun!H16)</f>
        <v>0</v>
      </c>
      <c r="I16" s="38" t="str">
        <f>IFERROR(H16/G16, "")</f>
        <v/>
      </c>
    </row>
    <row r="17" spans="1:9" ht="15.75">
      <c r="A17" s="54" t="str">
        <v>Friona - 900 Millard Ave</v>
      </c>
      <c r="B17" s="40" t="str">
        <v>TX</v>
      </c>
      <c r="C17" s="41">
        <f>SUM(Apr!C17, May!C17, Jun!C17)</f>
        <v>0</v>
      </c>
      <c r="D17" s="42">
        <f>SUM(Apr!D17, May!D17, Jun!D17)</f>
        <v>0</v>
      </c>
      <c r="E17" s="42">
        <f t="shared" si="3"/>
        <v>0</v>
      </c>
      <c r="F17" s="63" t="str">
        <f t="shared" si="4"/>
        <v/>
      </c>
      <c r="G17" s="44">
        <f>SUM(Apr!G17+May!G17+Jun!G17)</f>
        <v>0</v>
      </c>
      <c r="H17" s="44">
        <f>SUM(Apr!H17, May!H17, Jun!H17)</f>
        <v>0</v>
      </c>
      <c r="I17" s="64" t="str">
        <f t="shared" ref="I17:I20" si="5">IFERROR(H17/G17, "")</f>
        <v/>
      </c>
    </row>
    <row r="18" spans="1:9" ht="15.75">
      <c r="A18" s="53" t="str">
        <v>Augusta - 13 York Farm Road</v>
      </c>
      <c r="B18" s="33" t="str">
        <v>ME</v>
      </c>
      <c r="C18" s="34">
        <f>SUM(Apr!C18, May!C18, Jun!C18)</f>
        <v>0</v>
      </c>
      <c r="D18" s="35">
        <f>SUM(Apr!D18, May!D18, Jun!D18)</f>
        <v>0</v>
      </c>
      <c r="E18" s="35">
        <f t="shared" si="3"/>
        <v>0</v>
      </c>
      <c r="F18" s="36" t="str">
        <f t="shared" si="4"/>
        <v/>
      </c>
      <c r="G18" s="37">
        <f>SUM(Apr!G18+May!G18+Jun!G18)</f>
        <v>0</v>
      </c>
      <c r="H18" s="37">
        <f>SUM(Apr!H18, May!H18, Jun!H18)</f>
        <v>0</v>
      </c>
      <c r="I18" s="38" t="str">
        <f t="shared" si="5"/>
        <v/>
      </c>
    </row>
    <row r="19" spans="1:9" ht="15.75">
      <c r="A19" s="54" t="str">
        <v xml:space="preserve">Santa Ana - 1441 West </v>
      </c>
      <c r="B19" s="40" t="str">
        <v>CA</v>
      </c>
      <c r="C19" s="41">
        <f>SUM(Apr!C19, May!C19, Jun!C19)</f>
        <v>0</v>
      </c>
      <c r="D19" s="42">
        <f>SUM(Apr!D19, May!D19, Jun!D19)</f>
        <v>0</v>
      </c>
      <c r="E19" s="42">
        <f t="shared" si="3"/>
        <v>0</v>
      </c>
      <c r="F19" s="63" t="str">
        <f t="shared" si="4"/>
        <v/>
      </c>
      <c r="G19" s="44">
        <f>SUM(Apr!G19+May!G19+Jun!G19)</f>
        <v>0</v>
      </c>
      <c r="H19" s="44">
        <f>SUM(Apr!H19, May!H19, Jun!H19)</f>
        <v>0</v>
      </c>
      <c r="I19" s="64" t="str">
        <f t="shared" si="5"/>
        <v/>
      </c>
    </row>
    <row r="20" spans="1:9" ht="15.75">
      <c r="A20" s="53" t="str">
        <v>Jessup -7950 Oceano Ave</v>
      </c>
      <c r="B20" s="33" t="str">
        <v>MD</v>
      </c>
      <c r="C20" s="34">
        <f>SUM(Apr!C20, May!C20, Jun!C20)</f>
        <v>0</v>
      </c>
      <c r="D20" s="35">
        <f>SUM(Apr!D20, May!D20, Jun!D20)</f>
        <v>0</v>
      </c>
      <c r="E20" s="35">
        <f t="shared" si="3"/>
        <v>0</v>
      </c>
      <c r="F20" s="36" t="str">
        <f t="shared" si="4"/>
        <v/>
      </c>
      <c r="G20" s="37">
        <f>SUM(Apr!G20+May!G20+Jun!G20)</f>
        <v>0</v>
      </c>
      <c r="H20" s="37">
        <f>SUM(Apr!H20, May!H20, Jun!H20)</f>
        <v>0</v>
      </c>
      <c r="I20" s="38" t="str">
        <f t="shared" si="5"/>
        <v/>
      </c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6 I4:I16 F18 I18 F20:F92 I20:I92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4"/>
  <sheetViews>
    <sheetView workbookViewId="0">
      <pane xSplit="2" ySplit="3" topLeftCell="C4" activePane="bottomRight" state="frozen"/>
      <selection pane="bottomRight" activeCell="G10" sqref="G10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Catalyze</v>
      </c>
      <c r="B1" s="88"/>
      <c r="C1" s="88"/>
      <c r="D1" s="89" t="s">
        <v>14</v>
      </c>
      <c r="E1" s="89"/>
      <c r="F1" s="89"/>
      <c r="G1" s="87" t="s">
        <v>15</v>
      </c>
      <c r="H1" s="87"/>
      <c r="I1" s="87"/>
    </row>
    <row r="2" spans="1:9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53" t="str" cm="1">
        <f t="array" ref="A4:A20">Sites[Site]</f>
        <v>Fresno - 3150 Shaw Ave</v>
      </c>
      <c r="B4" s="33" t="str" cm="1">
        <f t="array" ref="B4:B20">Sites[State]</f>
        <v>CA</v>
      </c>
      <c r="C4" s="34">
        <f>SUM(Jul!C4, Aug!C4, Sep!C4)</f>
        <v>0</v>
      </c>
      <c r="D4" s="35">
        <f>SUM(Jul!D4, Aug!D4, Sep!D4)</f>
        <v>0</v>
      </c>
      <c r="E4" s="35">
        <f>IF(AND(ISNUMBER(C4),ISNUMBER(D4)), C4-D4, "")</f>
        <v>0</v>
      </c>
      <c r="F4" s="36" t="str">
        <f>IFERROR(E4/D4, "")</f>
        <v/>
      </c>
      <c r="G4" s="37">
        <f>SUM(Jul!G4,Aug!G4,Sep!G4)</f>
        <v>0</v>
      </c>
      <c r="H4" s="37">
        <f>SUM(Jul!H4, Aug!H4, Sep!H4)</f>
        <v>0</v>
      </c>
      <c r="I4" s="38" t="str">
        <f>IFERROR(H4/G4, "")</f>
        <v/>
      </c>
    </row>
    <row r="5" spans="1:9" ht="15.75">
      <c r="A5" s="54" t="str">
        <v>Adelanto - 1 Sheep Creek Road</v>
      </c>
      <c r="B5" s="40" t="str">
        <v>CA</v>
      </c>
      <c r="C5" s="41">
        <f>SUM(Jul!C5, Aug!C5, Sep!C5)</f>
        <v>0</v>
      </c>
      <c r="D5" s="42">
        <f>SUM(Jul!D5, Aug!D5, Sep!D5)</f>
        <v>0</v>
      </c>
      <c r="E5" s="42">
        <f t="shared" ref="E5:E15" si="0">IF(AND(ISNUMBER(C5),ISNUMBER(D5)), C5-D5, "")</f>
        <v>0</v>
      </c>
      <c r="F5" s="43" t="str">
        <f>IFERROR(E5/D5, "")</f>
        <v/>
      </c>
      <c r="G5" s="44">
        <f>SUM(Jul!G5,Aug!G5,Sep!G5)</f>
        <v>0</v>
      </c>
      <c r="H5" s="44">
        <f>SUM(Jul!H5, Aug!H5, Sep!H5)</f>
        <v>0</v>
      </c>
      <c r="I5" s="43" t="str">
        <f>IFERROR(H5/G5, "")</f>
        <v/>
      </c>
    </row>
    <row r="6" spans="1:9" ht="15.75">
      <c r="A6" s="53" t="str">
        <v>Blackstone - 83 Federal Street</v>
      </c>
      <c r="B6" s="33" t="str">
        <v>MA</v>
      </c>
      <c r="C6" s="34">
        <f>SUM(Jul!C6, Aug!C6, Sep!C6)</f>
        <v>0</v>
      </c>
      <c r="D6" s="35">
        <f>SUM(Jul!D6, Aug!D6, Sep!D6)</f>
        <v>0</v>
      </c>
      <c r="E6" s="35">
        <f t="shared" si="0"/>
        <v>0</v>
      </c>
      <c r="F6" s="36" t="str">
        <f t="shared" ref="F6:F15" si="1">IFERROR(E6/D6, "")</f>
        <v/>
      </c>
      <c r="G6" s="37">
        <f>SUM(Jul!G6,Aug!G6,Sep!G6)</f>
        <v>0</v>
      </c>
      <c r="H6" s="37">
        <f>SUM(Jul!H6, Aug!H6, Sep!H6)</f>
        <v>0</v>
      </c>
      <c r="I6" s="38" t="str">
        <f t="shared" ref="I6:I15" si="2">IFERROR(H6/G6, "")</f>
        <v/>
      </c>
    </row>
    <row r="7" spans="1:9" ht="15.75">
      <c r="A7" s="54" t="str">
        <v>Charlton - 299 Worcester Road</v>
      </c>
      <c r="B7" s="40" t="str">
        <v>MA</v>
      </c>
      <c r="C7" s="41">
        <f>SUM(Jul!C7, Aug!C7, Sep!C7)</f>
        <v>0</v>
      </c>
      <c r="D7" s="42">
        <f>SUM(Jul!D7, Aug!D7, Sep!D7)</f>
        <v>0</v>
      </c>
      <c r="E7" s="42">
        <f t="shared" si="0"/>
        <v>0</v>
      </c>
      <c r="F7" s="43" t="str">
        <f t="shared" si="1"/>
        <v/>
      </c>
      <c r="G7" s="44">
        <f>SUM(Jul!G7,Aug!G7,Sep!G7)</f>
        <v>0</v>
      </c>
      <c r="H7" s="44">
        <f>SUM(Jul!H7, Aug!H7, Sep!H7)</f>
        <v>0</v>
      </c>
      <c r="I7" s="43" t="str">
        <f t="shared" si="2"/>
        <v/>
      </c>
    </row>
    <row r="8" spans="1:9" ht="15.75">
      <c r="A8" s="53" t="str">
        <v>Wareham - 8 Thatcher Drive</v>
      </c>
      <c r="B8" s="33" t="str">
        <v>MA</v>
      </c>
      <c r="C8" s="34">
        <f>SUM(Jul!C8, Aug!C8, Sep!C8)</f>
        <v>0</v>
      </c>
      <c r="D8" s="35">
        <f>SUM(Jul!D8, Aug!D8, Sep!D8)</f>
        <v>0</v>
      </c>
      <c r="E8" s="35">
        <f t="shared" si="0"/>
        <v>0</v>
      </c>
      <c r="F8" s="36" t="str">
        <f t="shared" si="1"/>
        <v/>
      </c>
      <c r="G8" s="37">
        <f>SUM(Jul!G8,Aug!G8,Sep!G8)</f>
        <v>0</v>
      </c>
      <c r="H8" s="37">
        <f>SUM(Jul!H8, Aug!H8, Sep!H8)</f>
        <v>0</v>
      </c>
      <c r="I8" s="38" t="str">
        <f t="shared" si="2"/>
        <v/>
      </c>
    </row>
    <row r="9" spans="1:9" ht="15.75">
      <c r="A9" s="54" t="str">
        <v>West Yarmouth - 42 Mid Tech</v>
      </c>
      <c r="B9" s="40" t="str">
        <v>MA</v>
      </c>
      <c r="C9" s="41">
        <f>SUM(Jul!C9, Aug!C9, Sep!C9)</f>
        <v>0</v>
      </c>
      <c r="D9" s="42">
        <f>SUM(Jul!D9, Aug!D9, Sep!D9)</f>
        <v>0</v>
      </c>
      <c r="E9" s="42">
        <f t="shared" si="0"/>
        <v>0</v>
      </c>
      <c r="F9" s="43" t="str">
        <f t="shared" si="1"/>
        <v/>
      </c>
      <c r="G9" s="44">
        <f>SUM(Jul!G9,Aug!G9,Sep!G9)</f>
        <v>0</v>
      </c>
      <c r="H9" s="44">
        <f>SUM(Jul!H9, Aug!H9, Sep!H9)</f>
        <v>0</v>
      </c>
      <c r="I9" s="43" t="str">
        <f t="shared" si="2"/>
        <v/>
      </c>
    </row>
    <row r="10" spans="1:9" ht="15.75">
      <c r="A10" s="53" t="str">
        <v>Harrison - 130 Union Street</v>
      </c>
      <c r="B10" s="33" t="str">
        <v>NY</v>
      </c>
      <c r="C10" s="34">
        <f>SUM(Jul!C10, Aug!C10, Sep!C10)</f>
        <v>0</v>
      </c>
      <c r="D10" s="35">
        <f>SUM(Jul!D10, Aug!D10, Sep!D10)</f>
        <v>0</v>
      </c>
      <c r="E10" s="35">
        <f t="shared" si="0"/>
        <v>0</v>
      </c>
      <c r="F10" s="36" t="str">
        <f t="shared" si="1"/>
        <v/>
      </c>
      <c r="G10" s="37">
        <f>SUM(Jul!G10,Aug!G10,Sep!G10)</f>
        <v>0</v>
      </c>
      <c r="H10" s="37">
        <f>SUM(Jul!H10, Aug!H10, Sep!H10)</f>
        <v>0</v>
      </c>
      <c r="I10" s="38" t="str">
        <f t="shared" si="2"/>
        <v/>
      </c>
    </row>
    <row r="11" spans="1:9" ht="15.75">
      <c r="A11" s="54" t="str">
        <v>Staten Island - Ellis Storage</v>
      </c>
      <c r="B11" s="40" t="str">
        <v>NY</v>
      </c>
      <c r="C11" s="41">
        <f>SUM(Jul!C11, Aug!C11, Sep!C11)</f>
        <v>0</v>
      </c>
      <c r="D11" s="42">
        <f>SUM(Jul!D11, Aug!D11, Sep!D11)</f>
        <v>0</v>
      </c>
      <c r="E11" s="42">
        <f t="shared" si="0"/>
        <v>0</v>
      </c>
      <c r="F11" s="43" t="str">
        <f t="shared" si="1"/>
        <v/>
      </c>
      <c r="G11" s="44">
        <f>SUM(Jul!G11,Aug!G11,Sep!G11)</f>
        <v>0</v>
      </c>
      <c r="H11" s="44">
        <f>SUM(Jul!H11, Aug!H11, Sep!H11)</f>
        <v>0</v>
      </c>
      <c r="I11" s="43" t="str">
        <f t="shared" si="2"/>
        <v/>
      </c>
    </row>
    <row r="12" spans="1:9" ht="15.75">
      <c r="A12" s="53" t="str">
        <v>Amherst - 595 Scholles Road</v>
      </c>
      <c r="B12" s="33" t="str">
        <v>NY</v>
      </c>
      <c r="C12" s="34">
        <f>SUM(Jul!C12, Aug!C12, Sep!C12)</f>
        <v>0</v>
      </c>
      <c r="D12" s="35">
        <f>SUM(Jul!D12, Aug!D12, Sep!D12)</f>
        <v>0</v>
      </c>
      <c r="E12" s="35">
        <f t="shared" si="0"/>
        <v>0</v>
      </c>
      <c r="F12" s="36" t="str">
        <f t="shared" si="1"/>
        <v/>
      </c>
      <c r="G12" s="37">
        <f>SUM(Jul!G12,Aug!G12,Sep!G12)</f>
        <v>0</v>
      </c>
      <c r="H12" s="37">
        <f>SUM(Jul!H12, Aug!H12, Sep!H12)</f>
        <v>0</v>
      </c>
      <c r="I12" s="38" t="str">
        <f t="shared" si="2"/>
        <v/>
      </c>
    </row>
    <row r="13" spans="1:9" ht="15.75">
      <c r="A13" s="54" t="str">
        <v>Lancaster 1 - Gunnville Road</v>
      </c>
      <c r="B13" s="40" t="str">
        <v>NY</v>
      </c>
      <c r="C13" s="41">
        <f>SUM(Jul!C13, Aug!C13, Sep!C13)</f>
        <v>0</v>
      </c>
      <c r="D13" s="42">
        <f>SUM(Jul!D13, Aug!D13, Sep!D13)</f>
        <v>0</v>
      </c>
      <c r="E13" s="42">
        <f t="shared" si="0"/>
        <v>0</v>
      </c>
      <c r="F13" s="43" t="str">
        <f t="shared" si="1"/>
        <v/>
      </c>
      <c r="G13" s="44">
        <f>SUM(Jul!G13,Aug!G13,Sep!G13)</f>
        <v>0</v>
      </c>
      <c r="H13" s="44">
        <f>SUM(Jul!H13, Aug!H13, Sep!H13)</f>
        <v>0</v>
      </c>
      <c r="I13" s="43" t="str">
        <f t="shared" si="2"/>
        <v/>
      </c>
    </row>
    <row r="14" spans="1:9" ht="15.75">
      <c r="A14" s="53" t="str">
        <v>Lancaster 2 - Shisler Road</v>
      </c>
      <c r="B14" s="33" t="str">
        <v>NY</v>
      </c>
      <c r="C14" s="34">
        <f>SUM(Jul!C14, Aug!C14, Sep!C14)</f>
        <v>0</v>
      </c>
      <c r="D14" s="35">
        <f>SUM(Jul!D14, Aug!D14, Sep!D14)</f>
        <v>0</v>
      </c>
      <c r="E14" s="35">
        <f t="shared" si="0"/>
        <v>0</v>
      </c>
      <c r="F14" s="36" t="str">
        <f t="shared" si="1"/>
        <v/>
      </c>
      <c r="G14" s="37">
        <f>SUM(Jul!G14,Aug!G14,Sep!G14)</f>
        <v>0</v>
      </c>
      <c r="H14" s="37">
        <f>SUM(Jul!H14, Aug!H14, Sep!H14)</f>
        <v>0</v>
      </c>
      <c r="I14" s="38" t="str">
        <f t="shared" si="2"/>
        <v/>
      </c>
    </row>
    <row r="15" spans="1:9" ht="15.75">
      <c r="A15" s="54" t="str">
        <v>Fullerton - 200 W Orangethorpe</v>
      </c>
      <c r="B15" s="40" t="str">
        <v>CA</v>
      </c>
      <c r="C15" s="41">
        <f>SUM(Jul!C15, Aug!C15, Sep!C15)</f>
        <v>0</v>
      </c>
      <c r="D15" s="42">
        <f>SUM(Jul!D15, Aug!D15, Sep!D15)</f>
        <v>0</v>
      </c>
      <c r="E15" s="42">
        <f t="shared" si="0"/>
        <v>0</v>
      </c>
      <c r="F15" s="43" t="str">
        <f t="shared" si="1"/>
        <v/>
      </c>
      <c r="G15" s="44">
        <f>SUM(Jul!G15,Aug!G15,Sep!G15)</f>
        <v>0</v>
      </c>
      <c r="H15" s="44">
        <f>SUM(Jul!H15, Aug!H15, Sep!H15)</f>
        <v>0</v>
      </c>
      <c r="I15" s="43" t="str">
        <f t="shared" si="2"/>
        <v/>
      </c>
    </row>
    <row r="16" spans="1:9" ht="15.75">
      <c r="A16" s="53" t="str">
        <v>El Paso - 10500 Railroad Drive</v>
      </c>
      <c r="B16" s="33" t="str">
        <v>TX</v>
      </c>
      <c r="C16" s="34">
        <f>SUM(Jul!C16, Aug!C16, Sep!C16)</f>
        <v>0</v>
      </c>
      <c r="D16" s="35">
        <f>SUM(Jul!D16, Aug!D16, Sep!D16)</f>
        <v>0</v>
      </c>
      <c r="E16" s="35">
        <f t="shared" ref="E16:E20" si="3">IF(AND(ISNUMBER(C16),ISNUMBER(D16)), C16-D16, "")</f>
        <v>0</v>
      </c>
      <c r="F16" s="36" t="str">
        <f t="shared" ref="F16:F20" si="4">IFERROR(E16/D16, "")</f>
        <v/>
      </c>
      <c r="G16" s="37">
        <f>SUM(Jul!G16,Aug!G16,Sep!G16)</f>
        <v>0</v>
      </c>
      <c r="H16" s="37">
        <f>SUM(Jul!H16, Aug!H16, Sep!H16)</f>
        <v>0</v>
      </c>
      <c r="I16" s="38" t="str">
        <f t="shared" ref="I16:I20" si="5">IFERROR(H16/G16, "")</f>
        <v/>
      </c>
    </row>
    <row r="17" spans="1:9" ht="15.75">
      <c r="A17" s="54" t="str">
        <v>Friona - 900 Millard Ave</v>
      </c>
      <c r="B17" s="40" t="str">
        <v>TX</v>
      </c>
      <c r="C17" s="41">
        <f>SUM(Jul!C17, Aug!C17, Sep!C17)</f>
        <v>0</v>
      </c>
      <c r="D17" s="42">
        <f>SUM(Jul!D17, Aug!D17, Sep!D17)</f>
        <v>0</v>
      </c>
      <c r="E17" s="42">
        <f t="shared" si="3"/>
        <v>0</v>
      </c>
      <c r="F17" s="43" t="str">
        <f t="shared" si="4"/>
        <v/>
      </c>
      <c r="G17" s="44">
        <f>SUM(Jul!G17,Aug!G17,Sep!G17)</f>
        <v>0</v>
      </c>
      <c r="H17" s="44">
        <f>SUM(Jul!H17, Aug!H17, Sep!H17)</f>
        <v>0</v>
      </c>
      <c r="I17" s="43" t="str">
        <f t="shared" si="5"/>
        <v/>
      </c>
    </row>
    <row r="18" spans="1:9" ht="15.75">
      <c r="A18" s="53" t="str">
        <v>Augusta - 13 York Farm Road</v>
      </c>
      <c r="B18" s="33" t="str">
        <v>ME</v>
      </c>
      <c r="C18" s="34">
        <f>SUM(Jul!C18, Aug!C18, Sep!C18)</f>
        <v>0</v>
      </c>
      <c r="D18" s="35">
        <f>SUM(Jul!D18, Aug!D18, Sep!D18)</f>
        <v>0</v>
      </c>
      <c r="E18" s="35">
        <f t="shared" si="3"/>
        <v>0</v>
      </c>
      <c r="F18" s="36" t="str">
        <f t="shared" si="4"/>
        <v/>
      </c>
      <c r="G18" s="37">
        <f>SUM(Jul!G18,Aug!G18,Sep!G18)</f>
        <v>0</v>
      </c>
      <c r="H18" s="37">
        <f>SUM(Jul!H18, Aug!H18, Sep!H18)</f>
        <v>0</v>
      </c>
      <c r="I18" s="38" t="str">
        <f t="shared" si="5"/>
        <v/>
      </c>
    </row>
    <row r="19" spans="1:9" ht="15.75">
      <c r="A19" s="54" t="str">
        <v xml:space="preserve">Santa Ana - 1441 West </v>
      </c>
      <c r="B19" s="40" t="str">
        <v>CA</v>
      </c>
      <c r="C19" s="41">
        <f>SUM(Jul!C19, Aug!C19, Sep!C19)</f>
        <v>0</v>
      </c>
      <c r="D19" s="42">
        <f>SUM(Jul!D19, Aug!D19, Sep!D19)</f>
        <v>0</v>
      </c>
      <c r="E19" s="42">
        <f t="shared" si="3"/>
        <v>0</v>
      </c>
      <c r="F19" s="43" t="str">
        <f t="shared" si="4"/>
        <v/>
      </c>
      <c r="G19" s="44">
        <f>SUM(Jul!G19,Aug!G19,Sep!G19)</f>
        <v>0</v>
      </c>
      <c r="H19" s="44">
        <f>SUM(Jul!H19, Aug!H19, Sep!H19)</f>
        <v>0</v>
      </c>
      <c r="I19" s="43" t="str">
        <f t="shared" si="5"/>
        <v/>
      </c>
    </row>
    <row r="20" spans="1:9" ht="15.75">
      <c r="A20" s="53" t="str">
        <v>Jessup -7950 Oceano Ave</v>
      </c>
      <c r="B20" s="33" t="str">
        <v>MD</v>
      </c>
      <c r="C20" s="34">
        <f>SUM(Jul!C20, Aug!C20, Sep!C20)</f>
        <v>0</v>
      </c>
      <c r="D20" s="35">
        <f>SUM(Jul!D20, Aug!D20, Sep!D20)</f>
        <v>0</v>
      </c>
      <c r="E20" s="35">
        <f t="shared" si="3"/>
        <v>0</v>
      </c>
      <c r="F20" s="36" t="str">
        <f t="shared" si="4"/>
        <v/>
      </c>
      <c r="G20" s="37">
        <f>SUM(Jul!G20,Aug!G20,Sep!G20)</f>
        <v>0</v>
      </c>
      <c r="H20" s="37">
        <f>SUM(Jul!H20, Aug!H20, Sep!H20)</f>
        <v>0</v>
      </c>
      <c r="I20" s="38" t="str">
        <f t="shared" si="5"/>
        <v/>
      </c>
    </row>
    <row r="21" spans="1:9" ht="15.75">
      <c r="A21" s="9"/>
      <c r="B21" s="13"/>
      <c r="C21" s="13"/>
      <c r="D21" s="13"/>
      <c r="E21" s="13"/>
      <c r="F21" s="13"/>
      <c r="G21" s="13"/>
      <c r="H21" s="13"/>
      <c r="I21" s="13"/>
    </row>
    <row r="22" spans="1:9" ht="15.75">
      <c r="A22" s="9"/>
      <c r="B22" s="13"/>
      <c r="C22" s="13"/>
      <c r="D22" s="13"/>
      <c r="E22" s="13"/>
      <c r="F22" s="13"/>
      <c r="G22" s="13"/>
      <c r="H22" s="13"/>
      <c r="I22" s="13"/>
    </row>
    <row r="23" spans="1:9" ht="15.75">
      <c r="A23" s="9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4"/>
  <sheetViews>
    <sheetView workbookViewId="0">
      <pane xSplit="2" ySplit="3" topLeftCell="C4" activePane="bottomRight" state="frozen"/>
      <selection pane="bottomRight" activeCell="G13" sqref="G13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Catalyze</v>
      </c>
      <c r="B1" s="88"/>
      <c r="C1" s="88"/>
      <c r="D1" s="89" t="s">
        <v>16</v>
      </c>
      <c r="E1" s="89"/>
      <c r="F1" s="89"/>
      <c r="G1" s="87" t="s">
        <v>17</v>
      </c>
      <c r="H1" s="87"/>
      <c r="I1" s="87"/>
    </row>
    <row r="2" spans="1:9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75">
      <c r="A4" s="53" t="str" cm="1">
        <f t="array" ref="A4:A20">Sites[Site]</f>
        <v>Fresno - 3150 Shaw Ave</v>
      </c>
      <c r="B4" s="33" t="str" cm="1">
        <f t="array" ref="B4:B20">Sites[State]</f>
        <v>CA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>
        <f>SUM(Oct!G4,Nov!G4,Dec!G4)</f>
        <v>0</v>
      </c>
      <c r="H4" s="37">
        <f>SUM(Oct!H4, Nov!H4, Dec!H4)</f>
        <v>0</v>
      </c>
      <c r="I4" s="38" t="str">
        <f>IFERROR(H4/G4, "")</f>
        <v/>
      </c>
    </row>
    <row r="5" spans="1:9" ht="15.75">
      <c r="A5" s="54" t="str">
        <v>Adelanto - 1 Sheep Creek Road</v>
      </c>
      <c r="B5" s="40" t="str">
        <v>CA</v>
      </c>
      <c r="C5" s="41">
        <f>SUM(Oct!C5, Nov!C5, Dec!C5)</f>
        <v>0</v>
      </c>
      <c r="D5" s="42">
        <f>SUM(Oct!D5, Nov!D5, Dec!D5)</f>
        <v>0</v>
      </c>
      <c r="E5" s="42">
        <f t="shared" ref="E5:E15" si="0">IF(AND(ISNUMBER(C5),ISNUMBER(D5)), C5-D5, "")</f>
        <v>0</v>
      </c>
      <c r="F5" s="43" t="str">
        <f>IFERROR(E5/D5, "")</f>
        <v/>
      </c>
      <c r="G5" s="42">
        <f>SUM(Oct!G5,Nov!G5,Dec!G5)</f>
        <v>0</v>
      </c>
      <c r="H5" s="44">
        <f>SUM(Oct!H5, Nov!H5, Dec!H5)</f>
        <v>0</v>
      </c>
      <c r="I5" s="43" t="str">
        <f>IFERROR(H5/G5, "")</f>
        <v/>
      </c>
    </row>
    <row r="6" spans="1:9" ht="15.75">
      <c r="A6" s="53" t="str">
        <v>Blackstone - 83 Federal Street</v>
      </c>
      <c r="B6" s="33" t="str">
        <v>MA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:F15" si="1">IFERROR(E6/D6, "")</f>
        <v/>
      </c>
      <c r="G6" s="37">
        <f>SUM(Oct!G6,Nov!G6,Dec!G6)</f>
        <v>0</v>
      </c>
      <c r="H6" s="37">
        <f>SUM(Oct!H6, Nov!H6, Dec!H6)</f>
        <v>0</v>
      </c>
      <c r="I6" s="38" t="str">
        <f t="shared" ref="I6:I15" si="2">IFERROR(H6/G6, "")</f>
        <v/>
      </c>
    </row>
    <row r="7" spans="1:9" ht="15.75">
      <c r="A7" s="54" t="str">
        <v>Charlton - 299 Worcester Road</v>
      </c>
      <c r="B7" s="40" t="str">
        <v>MA</v>
      </c>
      <c r="C7" s="41">
        <f>SUM(Oct!C7, Nov!C7, Dec!C7)</f>
        <v>0</v>
      </c>
      <c r="D7" s="42">
        <f>SUM(Oct!D7, Nov!D7, Dec!D7)</f>
        <v>0</v>
      </c>
      <c r="E7" s="42">
        <f t="shared" si="0"/>
        <v>0</v>
      </c>
      <c r="F7" s="43" t="str">
        <f t="shared" si="1"/>
        <v/>
      </c>
      <c r="G7" s="42">
        <f>SUM(Oct!G7,Nov!G7,Dec!G7)</f>
        <v>0</v>
      </c>
      <c r="H7" s="44">
        <f>SUM(Oct!H7, Nov!H7, Dec!H7)</f>
        <v>0</v>
      </c>
      <c r="I7" s="43" t="str">
        <f t="shared" si="2"/>
        <v/>
      </c>
    </row>
    <row r="8" spans="1:9" ht="15.75">
      <c r="A8" s="53" t="str">
        <v>Wareham - 8 Thatcher Drive</v>
      </c>
      <c r="B8" s="33" t="str">
        <v>MA</v>
      </c>
      <c r="C8" s="34">
        <f>SUM(Oct!C8, Nov!C8, Dec!C8)</f>
        <v>0</v>
      </c>
      <c r="D8" s="35">
        <f>SUM(Oct!D8, Nov!D8, Dec!D8)</f>
        <v>0</v>
      </c>
      <c r="E8" s="35">
        <f t="shared" si="0"/>
        <v>0</v>
      </c>
      <c r="F8" s="36" t="str">
        <f t="shared" si="1"/>
        <v/>
      </c>
      <c r="G8" s="37">
        <f>SUM(Oct!G8,Nov!G8,Dec!G8)</f>
        <v>0</v>
      </c>
      <c r="H8" s="37">
        <f>SUM(Oct!H8, Nov!H8, Dec!H8)</f>
        <v>0</v>
      </c>
      <c r="I8" s="38" t="str">
        <f t="shared" si="2"/>
        <v/>
      </c>
    </row>
    <row r="9" spans="1:9" ht="15.75">
      <c r="A9" s="54" t="str">
        <v>West Yarmouth - 42 Mid Tech</v>
      </c>
      <c r="B9" s="40" t="str">
        <v>MA</v>
      </c>
      <c r="C9" s="41">
        <f>SUM(Oct!C9, Nov!C9, Dec!C9)</f>
        <v>0</v>
      </c>
      <c r="D9" s="42">
        <f>SUM(Oct!D9, Nov!D9, Dec!D9)</f>
        <v>0</v>
      </c>
      <c r="E9" s="42">
        <f t="shared" si="0"/>
        <v>0</v>
      </c>
      <c r="F9" s="43" t="str">
        <f t="shared" si="1"/>
        <v/>
      </c>
      <c r="G9" s="42">
        <f>SUM(Oct!G9,Nov!G9,Dec!G9)</f>
        <v>0</v>
      </c>
      <c r="H9" s="44">
        <f>SUM(Oct!H9, Nov!H9, Dec!H9)</f>
        <v>0</v>
      </c>
      <c r="I9" s="43" t="str">
        <f t="shared" si="2"/>
        <v/>
      </c>
    </row>
    <row r="10" spans="1:9" ht="15.75">
      <c r="A10" s="53" t="str">
        <v>Harrison - 130 Union Street</v>
      </c>
      <c r="B10" s="33" t="str">
        <v>NY</v>
      </c>
      <c r="C10" s="34">
        <f>SUM(Oct!C10, Nov!C10, Dec!C10)</f>
        <v>0</v>
      </c>
      <c r="D10" s="35">
        <f>SUM(Oct!D10, Nov!D10, Dec!D10)</f>
        <v>0</v>
      </c>
      <c r="E10" s="35">
        <f t="shared" si="0"/>
        <v>0</v>
      </c>
      <c r="F10" s="36" t="str">
        <f t="shared" si="1"/>
        <v/>
      </c>
      <c r="G10" s="37">
        <f>SUM(Oct!G10,Nov!G10,Dec!G10)</f>
        <v>0</v>
      </c>
      <c r="H10" s="37">
        <f>SUM(Oct!H10, Nov!H10, Dec!H10)</f>
        <v>0</v>
      </c>
      <c r="I10" s="38" t="str">
        <f t="shared" si="2"/>
        <v/>
      </c>
    </row>
    <row r="11" spans="1:9" ht="15.75">
      <c r="A11" s="54" t="str">
        <v>Staten Island - Ellis Storage</v>
      </c>
      <c r="B11" s="40" t="str">
        <v>NY</v>
      </c>
      <c r="C11" s="41">
        <f>SUM(Oct!C11, Nov!C11, Dec!C11)</f>
        <v>0</v>
      </c>
      <c r="D11" s="42">
        <f>SUM(Oct!D11, Nov!D11, Dec!D11)</f>
        <v>0</v>
      </c>
      <c r="E11" s="42">
        <f t="shared" si="0"/>
        <v>0</v>
      </c>
      <c r="F11" s="43" t="str">
        <f t="shared" si="1"/>
        <v/>
      </c>
      <c r="G11" s="42">
        <f>SUM(Oct!G11,Nov!G11,Dec!G11)</f>
        <v>0</v>
      </c>
      <c r="H11" s="44">
        <f>SUM(Oct!H11, Nov!H11, Dec!H11)</f>
        <v>0</v>
      </c>
      <c r="I11" s="43" t="str">
        <f t="shared" si="2"/>
        <v/>
      </c>
    </row>
    <row r="12" spans="1:9" ht="15.75">
      <c r="A12" s="53" t="str">
        <v>Amherst - 595 Scholles Road</v>
      </c>
      <c r="B12" s="33" t="str">
        <v>NY</v>
      </c>
      <c r="C12" s="34">
        <f>SUM(Oct!C12, Nov!C12, Dec!C12)</f>
        <v>0</v>
      </c>
      <c r="D12" s="35">
        <f>SUM(Oct!D12, Nov!D12, Dec!D12)</f>
        <v>0</v>
      </c>
      <c r="E12" s="35">
        <f t="shared" si="0"/>
        <v>0</v>
      </c>
      <c r="F12" s="36" t="str">
        <f t="shared" si="1"/>
        <v/>
      </c>
      <c r="G12" s="37">
        <f>SUM(Oct!G12,Nov!G12,Dec!G12)</f>
        <v>0</v>
      </c>
      <c r="H12" s="37">
        <f>SUM(Oct!H12, Nov!H12, Dec!H12)</f>
        <v>0</v>
      </c>
      <c r="I12" s="38" t="str">
        <f t="shared" si="2"/>
        <v/>
      </c>
    </row>
    <row r="13" spans="1:9" ht="15.75">
      <c r="A13" s="54" t="str">
        <v>Lancaster 1 - Gunnville Road</v>
      </c>
      <c r="B13" s="40" t="str">
        <v>NY</v>
      </c>
      <c r="C13" s="41">
        <f>SUM(Oct!C13, Nov!C13, Dec!C13)</f>
        <v>0</v>
      </c>
      <c r="D13" s="42">
        <f>SUM(Oct!D13, Nov!D13, Dec!D13)</f>
        <v>0</v>
      </c>
      <c r="E13" s="42">
        <f t="shared" si="0"/>
        <v>0</v>
      </c>
      <c r="F13" s="43" t="str">
        <f t="shared" si="1"/>
        <v/>
      </c>
      <c r="G13" s="42">
        <f>SUM(Oct!G13,Nov!G13,Dec!G13)</f>
        <v>0</v>
      </c>
      <c r="H13" s="44">
        <f>SUM(Oct!H13, Nov!H13, Dec!H13)</f>
        <v>0</v>
      </c>
      <c r="I13" s="43" t="str">
        <f t="shared" si="2"/>
        <v/>
      </c>
    </row>
    <row r="14" spans="1:9" ht="15.75">
      <c r="A14" s="53" t="str">
        <v>Lancaster 2 - Shisler Road</v>
      </c>
      <c r="B14" s="33" t="str">
        <v>NY</v>
      </c>
      <c r="C14" s="34">
        <f>SUM(Oct!C14, Nov!C14, Dec!C14)</f>
        <v>0</v>
      </c>
      <c r="D14" s="35">
        <f>SUM(Oct!D14, Nov!D14, Dec!D14)</f>
        <v>0</v>
      </c>
      <c r="E14" s="35">
        <f t="shared" si="0"/>
        <v>0</v>
      </c>
      <c r="F14" s="36" t="str">
        <f t="shared" si="1"/>
        <v/>
      </c>
      <c r="G14" s="37">
        <f>SUM(Oct!G14,Nov!G14,Dec!G14)</f>
        <v>0</v>
      </c>
      <c r="H14" s="37">
        <f>SUM(Oct!H14, Nov!H14, Dec!H14)</f>
        <v>0</v>
      </c>
      <c r="I14" s="38" t="str">
        <f t="shared" si="2"/>
        <v/>
      </c>
    </row>
    <row r="15" spans="1:9" ht="15.75">
      <c r="A15" s="54" t="str">
        <v>Fullerton - 200 W Orangethorpe</v>
      </c>
      <c r="B15" s="40" t="str">
        <v>CA</v>
      </c>
      <c r="C15" s="41">
        <f>SUM(Oct!C15, Nov!C15, Dec!C15)</f>
        <v>0</v>
      </c>
      <c r="D15" s="42">
        <f>SUM(Oct!D15, Nov!D15, Dec!D15)</f>
        <v>0</v>
      </c>
      <c r="E15" s="42">
        <f t="shared" si="0"/>
        <v>0</v>
      </c>
      <c r="F15" s="43" t="str">
        <f t="shared" si="1"/>
        <v/>
      </c>
      <c r="G15" s="42">
        <f>SUM(Oct!G15,Nov!G15,Dec!G15)</f>
        <v>0</v>
      </c>
      <c r="H15" s="44">
        <f>SUM(Oct!H15, Nov!H15, Dec!H15)</f>
        <v>0</v>
      </c>
      <c r="I15" s="43" t="str">
        <f t="shared" si="2"/>
        <v/>
      </c>
    </row>
    <row r="16" spans="1:9" ht="15.75">
      <c r="A16" s="53" t="str">
        <v>El Paso - 10500 Railroad Drive</v>
      </c>
      <c r="B16" s="33" t="str">
        <v>TX</v>
      </c>
      <c r="C16" s="34">
        <f>SUM(Oct!C16, Nov!C16, Dec!C16)</f>
        <v>0</v>
      </c>
      <c r="D16" s="35">
        <f>SUM(Oct!D16, Nov!D16, Dec!D16)</f>
        <v>0</v>
      </c>
      <c r="E16" s="35">
        <f t="shared" ref="E16:E20" si="3">IF(AND(ISNUMBER(C16),ISNUMBER(D16)), C16-D16, "")</f>
        <v>0</v>
      </c>
      <c r="F16" s="36" t="str">
        <f t="shared" ref="F16:F20" si="4">IFERROR(E16/D16, "")</f>
        <v/>
      </c>
      <c r="G16" s="37">
        <f>SUM(Oct!G16,Nov!G16,Dec!G16)</f>
        <v>0</v>
      </c>
      <c r="H16" s="37">
        <f>SUM(Oct!H16, Nov!H16, Dec!H16)</f>
        <v>0</v>
      </c>
      <c r="I16" s="38" t="str">
        <f t="shared" ref="I16:I20" si="5">IFERROR(H16/G16, "")</f>
        <v/>
      </c>
    </row>
    <row r="17" spans="1:9" ht="15.75">
      <c r="A17" s="54" t="str">
        <v>Friona - 900 Millard Ave</v>
      </c>
      <c r="B17" s="40" t="str">
        <v>TX</v>
      </c>
      <c r="C17" s="41">
        <f>SUM(Oct!C17, Nov!C17, Dec!C17)</f>
        <v>0</v>
      </c>
      <c r="D17" s="42">
        <f>SUM(Oct!D17, Nov!D17, Dec!D17)</f>
        <v>0</v>
      </c>
      <c r="E17" s="42">
        <f t="shared" si="3"/>
        <v>0</v>
      </c>
      <c r="F17" s="43" t="str">
        <f t="shared" si="4"/>
        <v/>
      </c>
      <c r="G17" s="42">
        <f>SUM(Oct!G17,Nov!G17,Dec!G17)</f>
        <v>0</v>
      </c>
      <c r="H17" s="44">
        <f>SUM(Oct!H17, Nov!H17, Dec!H17)</f>
        <v>0</v>
      </c>
      <c r="I17" s="43" t="str">
        <f t="shared" si="5"/>
        <v/>
      </c>
    </row>
    <row r="18" spans="1:9" ht="15.75">
      <c r="A18" s="53" t="str">
        <v>Augusta - 13 York Farm Road</v>
      </c>
      <c r="B18" s="33" t="str">
        <v>ME</v>
      </c>
      <c r="C18" s="34">
        <f>SUM(Oct!C18, Nov!C18, Dec!C18)</f>
        <v>0</v>
      </c>
      <c r="D18" s="35">
        <f>SUM(Oct!D18, Nov!D18, Dec!D18)</f>
        <v>0</v>
      </c>
      <c r="E18" s="35">
        <f t="shared" si="3"/>
        <v>0</v>
      </c>
      <c r="F18" s="36" t="str">
        <f t="shared" si="4"/>
        <v/>
      </c>
      <c r="G18" s="37">
        <f>SUM(Oct!G18,Nov!G18,Dec!G18)</f>
        <v>0</v>
      </c>
      <c r="H18" s="37">
        <f>SUM(Oct!H18, Nov!H18, Dec!H18)</f>
        <v>0</v>
      </c>
      <c r="I18" s="38" t="str">
        <f t="shared" si="5"/>
        <v/>
      </c>
    </row>
    <row r="19" spans="1:9" ht="15.75">
      <c r="A19" s="54" t="str">
        <v xml:space="preserve">Santa Ana - 1441 West </v>
      </c>
      <c r="B19" s="40" t="str">
        <v>CA</v>
      </c>
      <c r="C19" s="41">
        <f>SUM(Oct!C19, Nov!C19, Dec!C19)</f>
        <v>0</v>
      </c>
      <c r="D19" s="42">
        <f>SUM(Oct!D19, Nov!D19, Dec!D19)</f>
        <v>0</v>
      </c>
      <c r="E19" s="42">
        <f t="shared" si="3"/>
        <v>0</v>
      </c>
      <c r="F19" s="43" t="str">
        <f t="shared" si="4"/>
        <v/>
      </c>
      <c r="G19" s="42">
        <f>SUM(Oct!G19,Nov!G19,Dec!G19)</f>
        <v>0</v>
      </c>
      <c r="H19" s="44">
        <f>SUM(Oct!H19, Nov!H19, Dec!H19)</f>
        <v>0</v>
      </c>
      <c r="I19" s="43" t="str">
        <f t="shared" si="5"/>
        <v/>
      </c>
    </row>
    <row r="20" spans="1:9" ht="15.75">
      <c r="A20" s="53" t="str">
        <v>Jessup -7950 Oceano Ave</v>
      </c>
      <c r="B20" s="33" t="str">
        <v>MD</v>
      </c>
      <c r="C20" s="34">
        <f>SUM(Oct!C20, Nov!C20, Dec!C20)</f>
        <v>0</v>
      </c>
      <c r="D20" s="35">
        <f>SUM(Oct!D20, Nov!D20, Dec!D20)</f>
        <v>0</v>
      </c>
      <c r="E20" s="35">
        <f t="shared" si="3"/>
        <v>0</v>
      </c>
      <c r="F20" s="36" t="str">
        <f t="shared" si="4"/>
        <v/>
      </c>
      <c r="G20" s="37">
        <f>SUM(Oct!G20,Nov!G20,Dec!G20)</f>
        <v>0</v>
      </c>
      <c r="H20" s="37">
        <f>SUM(Oct!H20, Nov!H20, Dec!H20)</f>
        <v>0</v>
      </c>
      <c r="I20" s="38" t="str">
        <f t="shared" si="5"/>
        <v/>
      </c>
    </row>
    <row r="21" spans="1:9" ht="14.25">
      <c r="A21" s="13"/>
      <c r="B21" s="8"/>
      <c r="C21" s="21"/>
      <c r="D21" s="10"/>
      <c r="E21" s="10"/>
      <c r="F21" s="11"/>
      <c r="G21" s="12"/>
      <c r="H21" s="12"/>
      <c r="I21" s="11"/>
    </row>
    <row r="22" spans="1:9" ht="14.25">
      <c r="A22" s="13"/>
      <c r="B22" s="8"/>
      <c r="C22" s="21"/>
      <c r="D22" s="10"/>
      <c r="E22" s="10"/>
      <c r="F22" s="11"/>
      <c r="G22" s="12"/>
      <c r="H22" s="12"/>
      <c r="I22" s="11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P333"/>
  <sheetViews>
    <sheetView zoomScale="50" zoomScaleNormal="50" workbookViewId="0">
      <pane xSplit="2" ySplit="3" topLeftCell="C14" activePane="bottomRight" state="frozen"/>
      <selection pane="bottomRight" activeCell="J23" sqref="J23"/>
      <selection pane="bottomLeft" activeCell="E11" sqref="E11"/>
      <selection pane="topRight" activeCell="E11" sqref="E11"/>
    </sheetView>
  </sheetViews>
  <sheetFormatPr defaultRowHeight="13.5"/>
  <cols>
    <col min="1" max="1" width="28.7109375" bestFit="1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6" ht="15">
      <c r="A1" s="88" t="str" cm="1">
        <f t="array" ref="A1">portfolio</f>
        <v>Catalyze</v>
      </c>
      <c r="B1" s="88"/>
      <c r="C1" s="88"/>
      <c r="D1" s="89" t="s">
        <v>18</v>
      </c>
      <c r="E1" s="89"/>
      <c r="F1" s="89"/>
      <c r="G1" s="87" t="s">
        <v>19</v>
      </c>
      <c r="H1" s="87"/>
      <c r="I1" s="87"/>
      <c r="J1" s="4"/>
      <c r="K1" s="4"/>
    </row>
    <row r="2" spans="1:16" ht="15">
      <c r="A2" s="90" t="s">
        <v>2</v>
      </c>
      <c r="B2" s="90"/>
      <c r="C2" s="5">
        <f>SUM(C4:C91)</f>
        <v>1684623.4914328542</v>
      </c>
      <c r="D2" s="5">
        <f>SUM(D4:D91)</f>
        <v>2378878.9360000002</v>
      </c>
      <c r="E2" s="5">
        <f>C2-D2</f>
        <v>-694255.44456714601</v>
      </c>
      <c r="F2" s="6">
        <f>IFERROR(E2/D2, 0)</f>
        <v>-0.2918414359221288</v>
      </c>
      <c r="G2" s="5">
        <f>SUM(G4:G91)</f>
        <v>2175549.66</v>
      </c>
      <c r="H2" s="7">
        <f>C2-G2</f>
        <v>-490926.16856714594</v>
      </c>
      <c r="I2" s="6">
        <f>IFERROR(H2/G2, 0)</f>
        <v>-0.22565615374973602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6" ht="15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6" ht="28.5">
      <c r="A4" s="49" t="str" cm="1">
        <f t="array" ref="A4:A20">Sites[Site]</f>
        <v>Fresno - 3150 Shaw Ave</v>
      </c>
      <c r="B4" s="46" t="str" cm="1">
        <f t="array" ref="B4:B20">Sites[State]</f>
        <v>CA</v>
      </c>
      <c r="C4" s="34">
        <v>53422.875</v>
      </c>
      <c r="D4" s="35">
        <v>50400.42</v>
      </c>
      <c r="E4" s="35">
        <f>IF(AND(ISNUMBER(C4),ISNUMBER(D4)), C4-D4, "")</f>
        <v>3022.4550000000017</v>
      </c>
      <c r="F4" s="38">
        <f>IFERROR(E4/D4, "")</f>
        <v>5.9968845497716125E-2</v>
      </c>
      <c r="G4" s="37">
        <v>49997</v>
      </c>
      <c r="H4" s="37">
        <f>IF(AND(ISNUMBER(C4),ISNUMBER(G4)), C4-G4, "")</f>
        <v>3425.875</v>
      </c>
      <c r="I4" s="38">
        <f>IFERROR(H4/G4, "")</f>
        <v>6.8521611296677803E-2</v>
      </c>
      <c r="J4" s="55" t="s">
        <v>22</v>
      </c>
      <c r="K4" s="81" t="s">
        <v>23</v>
      </c>
      <c r="L4" s="85"/>
      <c r="M4" s="85"/>
      <c r="N4" s="85"/>
      <c r="O4" s="85"/>
    </row>
    <row r="5" spans="1:16" ht="111.75" customHeight="1">
      <c r="A5" s="51" t="str">
        <v>Adelanto - 1 Sheep Creek Road</v>
      </c>
      <c r="B5" s="48" t="str">
        <v>CA</v>
      </c>
      <c r="C5" s="42">
        <v>434343</v>
      </c>
      <c r="D5" s="42">
        <v>163616.26999999999</v>
      </c>
      <c r="E5" s="42">
        <f t="shared" ref="E5:E15" si="0">IF(AND(ISNUMBER(C5),ISNUMBER(D5)), C5-D5, "")</f>
        <v>270726.73</v>
      </c>
      <c r="F5" s="43">
        <f t="shared" ref="F5:F20" si="1">IFERROR(E5/D5, "")</f>
        <v>1.6546443089064431</v>
      </c>
      <c r="G5" s="44">
        <v>479912.62</v>
      </c>
      <c r="H5" s="44">
        <f t="shared" ref="H5:H6" si="2">IF(AND(ISNUMBER(C5),ISNUMBER(G5)), C5-G5, "")</f>
        <v>-45569.619999999995</v>
      </c>
      <c r="I5" s="43">
        <f t="shared" ref="I5:I6" si="3">IFERROR(H5/G5, "")</f>
        <v>-9.4953993916642568E-2</v>
      </c>
      <c r="J5" s="71" t="s">
        <v>24</v>
      </c>
      <c r="K5" s="82" t="s">
        <v>25</v>
      </c>
      <c r="L5" s="86" t="s">
        <v>26</v>
      </c>
      <c r="M5" s="86" t="s">
        <v>27</v>
      </c>
      <c r="N5" s="86" t="s">
        <v>28</v>
      </c>
      <c r="O5" s="85"/>
    </row>
    <row r="6" spans="1:16" ht="171.75" customHeight="1">
      <c r="A6" s="49" t="str">
        <v>Blackstone - 83 Federal Street</v>
      </c>
      <c r="B6" s="46" t="str">
        <v>MA</v>
      </c>
      <c r="C6" s="34">
        <v>221322</v>
      </c>
      <c r="D6" s="35">
        <v>519101.6</v>
      </c>
      <c r="E6" s="35">
        <f t="shared" si="0"/>
        <v>-297779.59999999998</v>
      </c>
      <c r="F6" s="38">
        <f t="shared" si="1"/>
        <v>-0.57364415752137921</v>
      </c>
      <c r="G6" s="37">
        <v>384369.8</v>
      </c>
      <c r="H6" s="37">
        <f t="shared" si="2"/>
        <v>-163047.79999999999</v>
      </c>
      <c r="I6" s="38">
        <f t="shared" si="3"/>
        <v>-0.42419513707892764</v>
      </c>
      <c r="J6" s="55" t="s">
        <v>29</v>
      </c>
      <c r="K6" s="81" t="s">
        <v>30</v>
      </c>
      <c r="L6" s="86" t="s">
        <v>31</v>
      </c>
      <c r="M6" s="86" t="s">
        <v>32</v>
      </c>
      <c r="N6" s="86" t="s">
        <v>33</v>
      </c>
      <c r="O6" s="86" t="s">
        <v>34</v>
      </c>
      <c r="P6" s="83" t="s">
        <v>35</v>
      </c>
    </row>
    <row r="7" spans="1:16" ht="15.75">
      <c r="A7" s="51" t="str">
        <v>Charlton - 299 Worcester Road</v>
      </c>
      <c r="B7" s="48" t="str">
        <v>MA</v>
      </c>
      <c r="C7" s="42">
        <v>23675</v>
      </c>
      <c r="D7" s="42">
        <v>33780.06</v>
      </c>
      <c r="E7" s="42">
        <f t="shared" si="0"/>
        <v>-10105.059999999998</v>
      </c>
      <c r="F7" s="43">
        <f t="shared" si="1"/>
        <v>-0.29914274871033381</v>
      </c>
      <c r="G7" s="44">
        <v>31670.95</v>
      </c>
      <c r="H7" s="44">
        <f t="shared" ref="H7:H15" si="4">IF(AND(ISNUMBER(C7),ISNUMBER(G7)), C7-G7, "")</f>
        <v>-7995.9500000000007</v>
      </c>
      <c r="I7" s="43">
        <f t="shared" ref="I7:I15" si="5">IFERROR(H7/G7, "")</f>
        <v>-0.25246953438403336</v>
      </c>
      <c r="J7" s="56"/>
      <c r="K7" s="56"/>
      <c r="L7" s="85"/>
      <c r="M7" s="85"/>
      <c r="N7" s="85"/>
      <c r="O7" s="85"/>
    </row>
    <row r="8" spans="1:16" ht="15.75">
      <c r="A8" s="49" t="str">
        <v>Wareham - 8 Thatcher Drive</v>
      </c>
      <c r="B8" s="46" t="str">
        <v>MA</v>
      </c>
      <c r="C8" s="34">
        <v>7554.0625</v>
      </c>
      <c r="D8" s="35">
        <v>9317.2880000000005</v>
      </c>
      <c r="E8" s="35">
        <f t="shared" si="0"/>
        <v>-1763.2255000000005</v>
      </c>
      <c r="F8" s="38">
        <f t="shared" si="1"/>
        <v>-0.18924235249570481</v>
      </c>
      <c r="G8" s="37">
        <v>8974.43</v>
      </c>
      <c r="H8" s="37">
        <f t="shared" si="4"/>
        <v>-1420.3675000000003</v>
      </c>
      <c r="I8" s="38">
        <f t="shared" si="5"/>
        <v>-0.15826826884827228</v>
      </c>
      <c r="J8" s="55"/>
      <c r="K8" s="55"/>
      <c r="L8" s="85"/>
      <c r="M8" s="85"/>
      <c r="N8" s="85"/>
      <c r="O8" s="85"/>
    </row>
    <row r="9" spans="1:16" ht="25.5">
      <c r="A9" s="51" t="str">
        <v>West Yarmouth - 42 Mid Tech</v>
      </c>
      <c r="B9" s="48" t="str">
        <v>MA</v>
      </c>
      <c r="C9" s="42">
        <v>5192.6951828540796</v>
      </c>
      <c r="D9" s="42">
        <v>6591.808</v>
      </c>
      <c r="E9" s="42">
        <f t="shared" si="0"/>
        <v>-1399.1128171459204</v>
      </c>
      <c r="F9" s="43">
        <f t="shared" si="1"/>
        <v>-0.21225023804484602</v>
      </c>
      <c r="G9" s="44">
        <v>6769.91</v>
      </c>
      <c r="H9" s="44">
        <f t="shared" si="4"/>
        <v>-1577.2148171459203</v>
      </c>
      <c r="I9" s="43">
        <f t="shared" si="5"/>
        <v>-0.2329742665923063</v>
      </c>
      <c r="J9" s="71" t="s">
        <v>36</v>
      </c>
      <c r="K9" s="82" t="s">
        <v>37</v>
      </c>
      <c r="L9" s="86" t="s">
        <v>38</v>
      </c>
      <c r="M9" s="85"/>
      <c r="N9" s="85"/>
      <c r="O9" s="85"/>
    </row>
    <row r="10" spans="1:16" ht="15.75">
      <c r="A10" s="49" t="str">
        <v>Harrison - 130 Union Street</v>
      </c>
      <c r="B10" s="46" t="str">
        <v>NY</v>
      </c>
      <c r="C10" s="34">
        <v>9045.625</v>
      </c>
      <c r="D10" s="35">
        <v>14196.66</v>
      </c>
      <c r="E10" s="35">
        <f t="shared" si="0"/>
        <v>-5151.0349999999999</v>
      </c>
      <c r="F10" s="38">
        <f t="shared" si="1"/>
        <v>-0.36283428637440074</v>
      </c>
      <c r="G10" s="37">
        <v>10694.18</v>
      </c>
      <c r="H10" s="37">
        <f t="shared" si="4"/>
        <v>-1648.5550000000003</v>
      </c>
      <c r="I10" s="38">
        <f t="shared" si="5"/>
        <v>-0.15415440922071633</v>
      </c>
      <c r="J10" s="55"/>
      <c r="K10" s="55"/>
      <c r="L10" s="85"/>
      <c r="M10" s="85"/>
      <c r="N10" s="85"/>
      <c r="O10" s="85"/>
    </row>
    <row r="11" spans="1:16" ht="15.75">
      <c r="A11" s="51" t="str">
        <v>Staten Island - Ellis Storage</v>
      </c>
      <c r="B11" s="48" t="str">
        <v>NY</v>
      </c>
      <c r="C11" s="42">
        <v>22396.625</v>
      </c>
      <c r="D11" s="42">
        <v>27928.2</v>
      </c>
      <c r="E11" s="42">
        <f t="shared" si="0"/>
        <v>-5531.5750000000007</v>
      </c>
      <c r="F11" s="43">
        <f t="shared" si="1"/>
        <v>-0.19806414305254189</v>
      </c>
      <c r="G11" s="44">
        <v>22865</v>
      </c>
      <c r="H11" s="44">
        <f t="shared" si="4"/>
        <v>-468.375</v>
      </c>
      <c r="I11" s="43">
        <f t="shared" si="5"/>
        <v>-2.0484364749617318E-2</v>
      </c>
      <c r="J11" s="56"/>
      <c r="K11" s="56"/>
      <c r="L11" s="85"/>
      <c r="M11" s="85"/>
      <c r="N11" s="85"/>
      <c r="O11" s="85"/>
    </row>
    <row r="12" spans="1:16" ht="28.5">
      <c r="A12" s="49" t="str">
        <v>Amherst - 595 Scholles Road</v>
      </c>
      <c r="B12" s="46" t="str">
        <v>NY</v>
      </c>
      <c r="C12" s="34">
        <v>176317</v>
      </c>
      <c r="D12" s="35">
        <v>351737</v>
      </c>
      <c r="E12" s="35">
        <f t="shared" si="0"/>
        <v>-175420</v>
      </c>
      <c r="F12" s="38">
        <f t="shared" si="1"/>
        <v>-0.49872489956984906</v>
      </c>
      <c r="G12" s="37">
        <v>279121.59999999998</v>
      </c>
      <c r="H12" s="37">
        <f t="shared" si="4"/>
        <v>-102804.59999999998</v>
      </c>
      <c r="I12" s="38">
        <f t="shared" si="5"/>
        <v>-0.36831474167531281</v>
      </c>
      <c r="J12" s="55" t="s">
        <v>39</v>
      </c>
      <c r="K12" s="81" t="s">
        <v>40</v>
      </c>
      <c r="L12" s="85"/>
      <c r="M12" s="85"/>
      <c r="N12" s="85"/>
      <c r="O12" s="85"/>
    </row>
    <row r="13" spans="1:16" ht="15.75">
      <c r="A13" s="51" t="str">
        <v>Lancaster 1 - Gunnville Road</v>
      </c>
      <c r="B13" s="48" t="str">
        <v>NY</v>
      </c>
      <c r="C13" s="42">
        <v>167972</v>
      </c>
      <c r="D13" s="42">
        <v>298839.7</v>
      </c>
      <c r="E13" s="42">
        <f t="shared" si="0"/>
        <v>-130867.70000000001</v>
      </c>
      <c r="F13" s="43">
        <f t="shared" si="1"/>
        <v>-0.43791939290529341</v>
      </c>
      <c r="G13" s="44">
        <v>191771</v>
      </c>
      <c r="H13" s="44">
        <f t="shared" si="4"/>
        <v>-23799</v>
      </c>
      <c r="I13" s="43">
        <f t="shared" si="5"/>
        <v>-0.12410114146560221</v>
      </c>
      <c r="J13" s="56"/>
      <c r="K13" s="56"/>
      <c r="L13" s="85"/>
      <c r="M13" s="85"/>
      <c r="N13" s="85"/>
      <c r="O13" s="85"/>
    </row>
    <row r="14" spans="1:16" ht="62.25" customHeight="1">
      <c r="A14" s="49" t="str">
        <v>Lancaster 2 - Shisler Road</v>
      </c>
      <c r="B14" s="46" t="str">
        <v>NY</v>
      </c>
      <c r="C14" s="34">
        <v>146912</v>
      </c>
      <c r="D14" s="35">
        <v>352791.9</v>
      </c>
      <c r="E14" s="35">
        <f t="shared" si="0"/>
        <v>-205879.90000000002</v>
      </c>
      <c r="F14" s="38">
        <f t="shared" si="1"/>
        <v>-0.58357320562065063</v>
      </c>
      <c r="G14" s="37">
        <v>204880</v>
      </c>
      <c r="H14" s="37">
        <f t="shared" si="4"/>
        <v>-57968</v>
      </c>
      <c r="I14" s="38">
        <f t="shared" si="5"/>
        <v>-0.28293635298711439</v>
      </c>
      <c r="J14" s="55" t="s">
        <v>41</v>
      </c>
      <c r="K14" s="81" t="s">
        <v>42</v>
      </c>
      <c r="L14" s="86" t="s">
        <v>43</v>
      </c>
      <c r="M14" s="86" t="s">
        <v>44</v>
      </c>
      <c r="N14" s="86" t="s">
        <v>45</v>
      </c>
      <c r="O14" s="85"/>
    </row>
    <row r="15" spans="1:16" ht="15.75">
      <c r="A15" s="51" t="str">
        <v>Fullerton - 200 W Orangethorpe</v>
      </c>
      <c r="B15" s="48" t="str">
        <v>CA</v>
      </c>
      <c r="C15" s="42">
        <v>63628.546250000101</v>
      </c>
      <c r="D15" s="42">
        <v>73372.12</v>
      </c>
      <c r="E15" s="42">
        <f t="shared" si="0"/>
        <v>-9743.5737499998941</v>
      </c>
      <c r="F15" s="43">
        <f t="shared" si="1"/>
        <v>-0.13279667740280496</v>
      </c>
      <c r="G15" s="44">
        <v>74894</v>
      </c>
      <c r="H15" s="44">
        <f t="shared" si="4"/>
        <v>-11265.453749999899</v>
      </c>
      <c r="I15" s="43">
        <f t="shared" si="5"/>
        <v>-0.15041864168024005</v>
      </c>
      <c r="J15" s="56"/>
      <c r="K15" s="56"/>
      <c r="L15" s="85"/>
      <c r="M15" s="85"/>
      <c r="N15" s="85"/>
      <c r="O15" s="85"/>
    </row>
    <row r="16" spans="1:16" ht="15.75">
      <c r="A16" s="49" t="str">
        <v>El Paso - 10500 Railroad Drive</v>
      </c>
      <c r="B16" s="46" t="str">
        <v>TX</v>
      </c>
      <c r="C16" s="34">
        <v>93351.5</v>
      </c>
      <c r="D16" s="35">
        <v>90713.1</v>
      </c>
      <c r="E16" s="35">
        <f t="shared" ref="E16:E20" si="6">IF(AND(ISNUMBER(C16),ISNUMBER(D16)), C16-D16, "")</f>
        <v>2638.3999999999942</v>
      </c>
      <c r="F16" s="38">
        <f t="shared" si="1"/>
        <v>2.9085104576957396E-2</v>
      </c>
      <c r="G16" s="37">
        <v>95865</v>
      </c>
      <c r="H16" s="37">
        <f t="shared" ref="H16:H20" si="7">IF(AND(ISNUMBER(C16),ISNUMBER(G16)), C16-G16, "")</f>
        <v>-2513.5</v>
      </c>
      <c r="I16" s="38">
        <f t="shared" ref="I16:I20" si="8">IFERROR(H16/G16, "")</f>
        <v>-2.6219162363740677E-2</v>
      </c>
      <c r="J16" s="55"/>
      <c r="K16" s="55"/>
      <c r="L16" s="85"/>
      <c r="M16" s="85"/>
      <c r="N16" s="85"/>
      <c r="O16" s="85"/>
    </row>
    <row r="17" spans="1:15" ht="30.75">
      <c r="A17" s="51" t="str">
        <v>Friona - 900 Millard Ave</v>
      </c>
      <c r="B17" s="47" t="str">
        <v>TX</v>
      </c>
      <c r="C17" s="42">
        <v>69688.25</v>
      </c>
      <c r="D17" s="42">
        <v>68867.83</v>
      </c>
      <c r="E17" s="42">
        <f t="shared" si="6"/>
        <v>820.41999999999825</v>
      </c>
      <c r="F17" s="38">
        <f t="shared" si="1"/>
        <v>1.1912964296972885E-2</v>
      </c>
      <c r="G17" s="44">
        <v>72736</v>
      </c>
      <c r="H17" s="44">
        <f t="shared" si="7"/>
        <v>-3047.75</v>
      </c>
      <c r="I17" s="38">
        <f t="shared" si="8"/>
        <v>-4.1901534315882095E-2</v>
      </c>
      <c r="J17" s="56" t="s">
        <v>46</v>
      </c>
      <c r="K17" s="84" t="s">
        <v>47</v>
      </c>
      <c r="L17" s="85"/>
      <c r="M17" s="85"/>
      <c r="N17" s="85"/>
      <c r="O17" s="85"/>
    </row>
    <row r="18" spans="1:15" ht="15.75">
      <c r="A18" s="49" t="str">
        <v>Augusta - 13 York Farm Road</v>
      </c>
      <c r="B18" s="46" t="str">
        <v>ME</v>
      </c>
      <c r="C18" s="34">
        <v>69027.875</v>
      </c>
      <c r="D18" s="35">
        <v>131266.29999999999</v>
      </c>
      <c r="E18" s="35">
        <f t="shared" si="6"/>
        <v>-62238.424999999988</v>
      </c>
      <c r="F18" s="38">
        <f t="shared" si="1"/>
        <v>-0.47413864030600383</v>
      </c>
      <c r="G18" s="37">
        <v>92474</v>
      </c>
      <c r="H18" s="37">
        <f t="shared" si="7"/>
        <v>-23446.125</v>
      </c>
      <c r="I18" s="38">
        <f t="shared" si="8"/>
        <v>-0.25354288773060535</v>
      </c>
      <c r="J18" s="55"/>
      <c r="K18" s="55"/>
      <c r="L18" s="85"/>
      <c r="M18" s="85"/>
      <c r="N18" s="85"/>
      <c r="O18" s="85"/>
    </row>
    <row r="19" spans="1:15" ht="15.75">
      <c r="A19" s="47" t="str">
        <v xml:space="preserve">Santa Ana - 1441 West </v>
      </c>
      <c r="B19" s="48" t="str">
        <v>CA</v>
      </c>
      <c r="C19" s="41">
        <v>36286.8125</v>
      </c>
      <c r="D19" s="42">
        <v>40826.68</v>
      </c>
      <c r="E19" s="42">
        <f t="shared" si="6"/>
        <v>-4539.8675000000003</v>
      </c>
      <c r="F19" s="38">
        <f t="shared" si="1"/>
        <v>-0.11119854712653589</v>
      </c>
      <c r="G19" s="44">
        <v>47186.47</v>
      </c>
      <c r="H19" s="44">
        <f t="shared" si="7"/>
        <v>-10899.657500000001</v>
      </c>
      <c r="I19" s="79">
        <f t="shared" si="8"/>
        <v>-0.23099116123753272</v>
      </c>
      <c r="J19" s="80"/>
      <c r="K19" s="57"/>
      <c r="L19" s="85"/>
      <c r="M19" s="85"/>
      <c r="N19" s="85"/>
      <c r="O19" s="85"/>
    </row>
    <row r="20" spans="1:15" ht="15.75">
      <c r="A20" s="49" t="str">
        <v>Jessup -7950 Oceano Ave</v>
      </c>
      <c r="B20" s="46" t="str">
        <v>MD</v>
      </c>
      <c r="C20" s="34">
        <v>84487.625</v>
      </c>
      <c r="D20" s="35">
        <v>145532</v>
      </c>
      <c r="E20" s="35">
        <f t="shared" si="6"/>
        <v>-61044.375</v>
      </c>
      <c r="F20" s="38">
        <f t="shared" si="1"/>
        <v>-0.41945671742297225</v>
      </c>
      <c r="G20" s="37">
        <v>121367.7</v>
      </c>
      <c r="H20" s="37">
        <f t="shared" si="7"/>
        <v>-36880.074999999997</v>
      </c>
      <c r="I20" s="38">
        <f t="shared" si="8"/>
        <v>-0.30387059324680288</v>
      </c>
      <c r="J20" s="55" t="s">
        <v>48</v>
      </c>
      <c r="K20" s="81" t="s">
        <v>49</v>
      </c>
      <c r="L20" s="85"/>
      <c r="M20" s="85"/>
      <c r="N20" s="85"/>
      <c r="O20" s="85"/>
    </row>
    <row r="21" spans="1:15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  <c r="L21" s="85"/>
      <c r="M21" s="85"/>
      <c r="N21" s="85"/>
      <c r="O21" s="85"/>
    </row>
    <row r="22" spans="1:15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5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5" ht="14.2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5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5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5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5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5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5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5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5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</sheetData>
  <mergeCells count="4">
    <mergeCell ref="D1:F1"/>
    <mergeCell ref="A1:C1"/>
    <mergeCell ref="G1:I1"/>
    <mergeCell ref="A2:B2"/>
  </mergeCells>
  <conditionalFormatting sqref="F2 I2">
    <cfRule type="cellIs" dxfId="44" priority="8" stopIfTrue="1" operator="lessThanOrEqual">
      <formula>-0.1</formula>
    </cfRule>
    <cfRule type="expression" dxfId="43" priority="9">
      <formula>AND(ISNUMBER(F2), F2&gt;=0.1)</formula>
    </cfRule>
  </conditionalFormatting>
  <conditionalFormatting sqref="F4:F91 I4:I91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4" r:id="rId1" display="https://us3.assetplanner.com/service_request?ID=094993" xr:uid="{8BF02B21-0FCF-4F7F-BE86-5DB4ECECD327}"/>
    <hyperlink ref="K5" r:id="rId2" display="https://us3.assetplanner.com/service_request?ID=092431" xr:uid="{6673BC14-1860-425C-8A04-D9C248181183}"/>
    <hyperlink ref="L5" r:id="rId3" display="https://us3.assetplanner.com/service_request?ID=095414" xr:uid="{02100DA1-C584-4D7A-8143-D3ECB22DCDF8}"/>
    <hyperlink ref="M5" r:id="rId4" display="https://us3.assetplanner.com/service_request?ID=096016" xr:uid="{F0DCB959-80CF-4EE9-A333-5CC076052906}"/>
    <hyperlink ref="N5" r:id="rId5" display="https://us3.assetplanner.com/service_request?ID=096049" xr:uid="{C938D4A2-35B7-4DFF-B37C-4C8F33ED8DE2}"/>
    <hyperlink ref="K6" r:id="rId6" display="https://us3.assetplanner.com/service_request?ID=095598" xr:uid="{813F10B9-41FC-472E-8C44-48708B6FA339}"/>
    <hyperlink ref="L6" r:id="rId7" display="https://us3.assetplanner.com/service_request?ID=095641" xr:uid="{919169B2-0A9D-41DD-B691-B3F25EDB0456}"/>
    <hyperlink ref="M6" r:id="rId8" display="https://us3.assetplanner.com/service_request?ID=095796" xr:uid="{6C97E937-8B67-4B9B-8E67-B0C93481C7F7}"/>
    <hyperlink ref="N6" r:id="rId9" display="https://us3.assetplanner.com/service_request?ID=095973" xr:uid="{DA2560E1-5DB7-4CF5-9D06-86389C68D67A}"/>
    <hyperlink ref="O6" r:id="rId10" display="https://us3.assetplanner.com/service_request?ID=096060" xr:uid="{CF848F1A-4387-4510-A34A-47DE097ED143}"/>
    <hyperlink ref="P6" r:id="rId11" display="https://us3.assetplanner.com/service_request?ID=096061" xr:uid="{09C7E076-821F-4002-B12C-52CC3CD1CCDF}"/>
    <hyperlink ref="K9" r:id="rId12" display="https://us3.assetplanner.com/service_request?ID=086960" xr:uid="{36A9CE97-1D6C-4E8A-964E-A57DE6FA81BF}"/>
    <hyperlink ref="L9" r:id="rId13" display="https://us3.assetplanner.com/service_request?ID=095896" xr:uid="{75309015-07CD-4057-BDE5-9E9F0724F216}"/>
    <hyperlink ref="K12" r:id="rId14" display="https://us3.assetplanner.com/service_request?ID=095842" xr:uid="{653B3D5A-06CF-4B49-8BA8-7E764E464423}"/>
    <hyperlink ref="K14" r:id="rId15" display="https://us3.assetplanner.com/service_request?ID=095454" xr:uid="{ABD08508-2633-4BE4-B81A-12702DB9F58B}"/>
    <hyperlink ref="L14" r:id="rId16" display="https://us3.assetplanner.com/service_request?ID=095996" xr:uid="{C825CD11-64CD-4A86-B548-7FAAE430789D}"/>
    <hyperlink ref="M14" r:id="rId17" display="https://us3.assetplanner.com/service_request?ID=096058" xr:uid="{D6F226B5-3C8A-4F16-AFA9-4FACB67D1203}"/>
    <hyperlink ref="N14" r:id="rId18" display="https://us3.assetplanner.com/service_request?ID=096170" xr:uid="{14B7B28F-B53A-4634-AF72-771DB907A4FA}"/>
    <hyperlink ref="K17" r:id="rId19" display="https://us3.assetplanner.com/service_request?ID=093503" xr:uid="{FF26FFD4-AA96-4676-A4CC-EF6F2D7895DB}"/>
    <hyperlink ref="K20" r:id="rId20" display="https://us3.assetplanner.com/service_request?ID=096047" xr:uid="{A3C707A5-90E1-4776-BBCA-F960D52744F6}"/>
  </hyperlinks>
  <pageMargins left="0.4" right="0.7" top="0.25" bottom="0.25" header="0.3" footer="0.3"/>
  <pageSetup fitToHeight="99" orientation="landscape" r:id="rId2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4"/>
  <sheetViews>
    <sheetView workbookViewId="0">
      <pane xSplit="2" ySplit="3" topLeftCell="C10" activePane="bottomRight" state="frozen"/>
      <selection pane="bottomRight" activeCell="E11" sqref="E11"/>
      <selection pane="bottomLeft" activeCell="E11" sqref="E11"/>
      <selection pane="topRight" activeCell="E11" sqref="E11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88" t="str" cm="1">
        <f t="array" ref="A1">portfolio</f>
        <v>Catalyze</v>
      </c>
      <c r="B1" s="88"/>
      <c r="C1" s="88"/>
      <c r="D1" s="89" t="s">
        <v>50</v>
      </c>
      <c r="E1" s="89"/>
      <c r="F1" s="89"/>
      <c r="G1" s="87" t="s">
        <v>51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75">
      <c r="A4" s="50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75">
      <c r="A5" s="51" t="str">
        <v>Adelanto - 1 Sheep Creek Road</v>
      </c>
      <c r="B5" s="48" t="str">
        <v>CA</v>
      </c>
      <c r="C5" s="41"/>
      <c r="D5" s="42"/>
      <c r="E5" s="42" t="str">
        <f t="shared" ref="E5:E15" si="0">IF(AND(ISNUMBER(C5),ISNUMBER(D5)), C5-D5, "")</f>
        <v/>
      </c>
      <c r="F5" s="43" t="str">
        <f>IFERROR(E5/D5, "")</f>
        <v/>
      </c>
      <c r="G5" s="44"/>
      <c r="H5" s="44" t="str">
        <f t="shared" ref="H5:H15" si="1">IF(AND(ISNUMBER(C5),ISNUMBER(G5)), C5-G5, "")</f>
        <v/>
      </c>
      <c r="I5" s="43" t="str">
        <f t="shared" ref="I5:I15" si="2">IFERROR(H5/G5, "")</f>
        <v/>
      </c>
      <c r="J5" s="56"/>
      <c r="K5" s="56"/>
    </row>
    <row r="6" spans="1:11" ht="15.75">
      <c r="A6" s="52" t="str">
        <v>Blackstone - 83 Federal Street</v>
      </c>
      <c r="B6" s="46" t="str">
        <v>MA</v>
      </c>
      <c r="C6" s="34"/>
      <c r="D6" s="42"/>
      <c r="E6" s="35" t="str">
        <f t="shared" si="0"/>
        <v/>
      </c>
      <c r="F6" s="36" t="str">
        <f t="shared" ref="F6:F15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40.5" customHeight="1">
      <c r="A7" s="51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6"/>
    </row>
    <row r="8" spans="1:11" ht="15.75">
      <c r="A8" s="52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75">
      <c r="A9" s="51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6"/>
    </row>
    <row r="10" spans="1:11" ht="15.75">
      <c r="A10" s="52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75">
      <c r="A11" s="51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6"/>
    </row>
    <row r="12" spans="1:11" ht="15.75">
      <c r="A12" s="52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5.75">
      <c r="A13" s="51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56"/>
    </row>
    <row r="14" spans="1:11" ht="15.75">
      <c r="A14" s="52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</row>
    <row r="15" spans="1:11" ht="15.75">
      <c r="A15" s="51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56"/>
    </row>
    <row r="16" spans="1:11" ht="15.75">
      <c r="A16" s="52" t="str">
        <v>El Paso - 10500 Railroad Drive</v>
      </c>
      <c r="B16" s="46" t="str">
        <v>TX</v>
      </c>
      <c r="C16" s="34"/>
      <c r="D16" s="35"/>
      <c r="E16" s="35" t="str">
        <f t="shared" ref="E16:E17" si="4">IF(AND(ISNUMBER(C16),ISNUMBER(D16)), C16-D16, "")</f>
        <v/>
      </c>
      <c r="F16" s="36" t="str">
        <f t="shared" ref="F16:F17" si="5">IFERROR(E16/D16, "")</f>
        <v/>
      </c>
      <c r="G16" s="37"/>
      <c r="H16" s="37" t="str">
        <f t="shared" ref="H16:H17" si="6">IF(AND(ISNUMBER(C16),ISNUMBER(G16)), C16-G16, "")</f>
        <v/>
      </c>
      <c r="I16" s="38" t="str">
        <f t="shared" ref="I16:I17" si="7">IFERROR(H16/G16, "")</f>
        <v/>
      </c>
      <c r="J16" s="55"/>
      <c r="K16" s="55"/>
    </row>
    <row r="17" spans="1:11" ht="15.75">
      <c r="A17" s="51" t="str">
        <v>Friona - 900 Millard Ave</v>
      </c>
      <c r="B17" s="48" t="str">
        <v>TX</v>
      </c>
      <c r="C17" s="41"/>
      <c r="D17" s="42"/>
      <c r="E17" s="42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65"/>
      <c r="K17" s="66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2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42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24:F9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22 I4:I92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34"/>
  <sheetViews>
    <sheetView workbookViewId="0">
      <pane xSplit="2" ySplit="3" topLeftCell="C10" activePane="bottomRight" state="frozen"/>
      <selection pane="bottomRight" activeCell="E11" sqref="E11"/>
      <selection pane="bottomLeft" activeCell="E11" sqref="E11"/>
      <selection pane="topRight" activeCell="E11" sqref="E11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88" t="str" cm="1">
        <f t="array" ref="A1">portfolio</f>
        <v>Catalyze</v>
      </c>
      <c r="B1" s="88"/>
      <c r="C1" s="88"/>
      <c r="D1" s="89" t="s">
        <v>52</v>
      </c>
      <c r="E1" s="89"/>
      <c r="F1" s="89"/>
      <c r="G1" s="87" t="s">
        <v>53</v>
      </c>
      <c r="H1" s="87"/>
      <c r="I1" s="87"/>
      <c r="J1" s="4"/>
      <c r="K1" s="4"/>
    </row>
    <row r="2" spans="1:13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3" ht="15.75">
      <c r="A4" s="50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9"/>
      <c r="K4" s="59"/>
      <c r="M4" s="58"/>
    </row>
    <row r="5" spans="1:13" ht="15.75">
      <c r="A5" s="51" t="str">
        <v>Adelanto - 1 Sheep Creek Road</v>
      </c>
      <c r="B5" s="48" t="str">
        <v>CA</v>
      </c>
      <c r="C5" s="41"/>
      <c r="D5" s="42"/>
      <c r="E5" s="42" t="str">
        <f t="shared" ref="E5:E17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60"/>
      <c r="K5" s="60"/>
      <c r="M5" s="58"/>
    </row>
    <row r="6" spans="1:13" ht="15.75">
      <c r="A6" s="52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59"/>
      <c r="K6" s="59"/>
      <c r="M6" s="58"/>
    </row>
    <row r="7" spans="1:13" ht="15.75">
      <c r="A7" s="51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0"/>
      <c r="K7" s="61"/>
      <c r="M7" s="58"/>
    </row>
    <row r="8" spans="1:13" ht="15.75">
      <c r="A8" s="52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9"/>
      <c r="K8" s="59"/>
      <c r="M8" s="58"/>
    </row>
    <row r="9" spans="1:13" ht="15.75">
      <c r="A9" s="51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0"/>
      <c r="K9" s="61"/>
      <c r="M9" s="58"/>
    </row>
    <row r="10" spans="1:13" ht="15.75">
      <c r="A10" s="52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9"/>
      <c r="K10" s="59"/>
      <c r="M10" s="58"/>
    </row>
    <row r="11" spans="1:13" ht="15.75">
      <c r="A11" s="51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0"/>
      <c r="K11" s="61"/>
      <c r="M11" s="58"/>
    </row>
    <row r="12" spans="1:13" ht="15.75">
      <c r="A12" s="52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9"/>
      <c r="K12" s="59"/>
      <c r="M12" s="58"/>
    </row>
    <row r="13" spans="1:13" ht="15.75">
      <c r="A13" s="51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60"/>
      <c r="K13" s="61"/>
      <c r="M13" s="58"/>
    </row>
    <row r="14" spans="1:13" ht="15.75">
      <c r="A14" s="52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9"/>
      <c r="K14" s="59"/>
      <c r="M14" s="58"/>
    </row>
    <row r="15" spans="1:13" ht="15.75">
      <c r="A15" s="51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60"/>
      <c r="K15" s="61"/>
      <c r="M15" s="58"/>
    </row>
    <row r="16" spans="1:13" ht="15.75">
      <c r="A16" s="52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9"/>
      <c r="K16" s="59"/>
      <c r="M16" s="58"/>
    </row>
    <row r="17" spans="1:13" ht="15.75">
      <c r="A17" s="51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60"/>
      <c r="K17" s="61"/>
      <c r="M17" s="58"/>
    </row>
    <row r="18" spans="1:13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3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3" ht="14.2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  <c r="M20" s="58"/>
    </row>
    <row r="21" spans="1:13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  <c r="M21" s="58"/>
    </row>
    <row r="22" spans="1:13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  <c r="M22" s="58"/>
    </row>
    <row r="23" spans="1:13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  <c r="M23" s="58"/>
    </row>
    <row r="24" spans="1:13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  <c r="M24" s="58"/>
    </row>
    <row r="25" spans="1:13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58"/>
    </row>
    <row r="26" spans="1:13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58"/>
    </row>
    <row r="27" spans="1:13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58"/>
    </row>
    <row r="28" spans="1:13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58"/>
    </row>
    <row r="29" spans="1:13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58"/>
    </row>
    <row r="30" spans="1:13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58"/>
    </row>
    <row r="31" spans="1:13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M31" s="58"/>
    </row>
    <row r="32" spans="1:13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M32" s="58"/>
    </row>
    <row r="33" spans="1:13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M33" s="58"/>
    </row>
    <row r="34" spans="1:13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M34" s="58"/>
    </row>
    <row r="35" spans="1:13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  <c r="M35" s="58"/>
    </row>
    <row r="36" spans="1:13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  <c r="M36" s="58"/>
    </row>
    <row r="37" spans="1:13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  <c r="M37" s="58"/>
    </row>
    <row r="38" spans="1:13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  <c r="M38" s="58"/>
    </row>
    <row r="39" spans="1:13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  <c r="M39" s="58"/>
    </row>
    <row r="40" spans="1:13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  <c r="M40" s="58"/>
    </row>
    <row r="41" spans="1:13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  <c r="M41" s="58"/>
    </row>
    <row r="42" spans="1:13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3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3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3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3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3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3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92 I4:I92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4"/>
  <sheetViews>
    <sheetView workbookViewId="0">
      <pane xSplit="2" ySplit="3" topLeftCell="C17" activePane="bottomRight" state="frozen"/>
      <selection pane="bottomRight" activeCell="E11" sqref="E11"/>
      <selection pane="bottomLeft" activeCell="E11" sqref="E11"/>
      <selection pane="topRight" activeCell="E11" sqref="E11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Catalyze</v>
      </c>
      <c r="B1" s="88"/>
      <c r="C1" s="88"/>
      <c r="D1" s="89" t="s">
        <v>54</v>
      </c>
      <c r="E1" s="89"/>
      <c r="F1" s="89"/>
      <c r="G1" s="87" t="s">
        <v>55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75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75">
      <c r="A5" s="47" t="str">
        <v>Adelanto - 1 Sheep Creek Road</v>
      </c>
      <c r="B5" s="48" t="str">
        <v>CA</v>
      </c>
      <c r="C5" s="41"/>
      <c r="D5" s="42"/>
      <c r="E5" s="42" t="str">
        <f t="shared" ref="E5:E17" si="0">IF(AND(ISNUMBER(C5),ISNUMBER(D5)), C5-D5, "")</f>
        <v/>
      </c>
      <c r="F5" s="43" t="str">
        <f>IFERROR(E5/D5, "")</f>
        <v/>
      </c>
      <c r="G5" s="62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56"/>
      <c r="K5" s="56"/>
    </row>
    <row r="6" spans="1:11" ht="30" customHeight="1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27.75" customHeight="1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75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75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75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75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75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5.75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57"/>
    </row>
    <row r="14" spans="1:11" ht="15.75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</row>
    <row r="15" spans="1:11" ht="15.75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57"/>
    </row>
    <row r="16" spans="1:11" ht="15.75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</row>
    <row r="17" spans="1:11" ht="15.75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57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2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2 I4:I92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4"/>
  <sheetViews>
    <sheetView workbookViewId="0">
      <pane xSplit="2" ySplit="3" topLeftCell="C4" activePane="bottomRight" state="frozen"/>
      <selection pane="bottomRight" activeCell="E11" sqref="E11"/>
      <selection pane="bottomLeft" activeCell="J4" activeCellId="3" sqref="C4:C20 D4:D20 G4:G20 J4:K19"/>
      <selection pane="topRight" activeCell="J4" activeCellId="3" sqref="C4:C20 D4:D20 G4:G20 J4:K19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Catalyze</v>
      </c>
      <c r="B1" s="88"/>
      <c r="C1" s="88"/>
      <c r="D1" s="89" t="s">
        <v>56</v>
      </c>
      <c r="E1" s="89"/>
      <c r="F1" s="89"/>
      <c r="G1" s="87" t="s">
        <v>57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75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75">
      <c r="A5" s="47" t="str">
        <v>Adelanto - 1 Sheep Creek Road</v>
      </c>
      <c r="B5" s="48" t="str">
        <v>CA</v>
      </c>
      <c r="C5" s="41"/>
      <c r="D5" s="42"/>
      <c r="E5" s="42" t="str">
        <f>IF(AND(ISNUMBER(C5),ISNUMBER(D5)), C5-D5, "")</f>
        <v/>
      </c>
      <c r="F5" s="43" t="str">
        <f>IFERROR(E5/D5, "")</f>
        <v/>
      </c>
      <c r="G5" s="44"/>
      <c r="H5" s="44" t="str">
        <f t="shared" ref="H5:H17" si="0">IF(AND(ISNUMBER(C5),ISNUMBER(G5)), C5-G5, "")</f>
        <v/>
      </c>
      <c r="I5" s="43" t="str">
        <f t="shared" ref="I5:I17" si="1">IFERROR(H5/G5, "")</f>
        <v/>
      </c>
      <c r="J5" s="56"/>
      <c r="K5" s="56"/>
    </row>
    <row r="6" spans="1:11" ht="15.75">
      <c r="A6" s="49" t="str">
        <v>Blackstone - 83 Federal Street</v>
      </c>
      <c r="B6" s="46" t="str">
        <v>MA</v>
      </c>
      <c r="C6" s="34"/>
      <c r="D6" s="35"/>
      <c r="E6" s="35" t="str">
        <f t="shared" ref="E6:E17" si="2">IF(AND(ISNUMBER(C6),ISNUMBER(D6)), C6-D6, "")</f>
        <v/>
      </c>
      <c r="F6" s="36" t="str">
        <f t="shared" ref="F6:F17" si="3">IFERROR(E6/D6, "")</f>
        <v/>
      </c>
      <c r="G6" s="37"/>
      <c r="H6" s="37" t="str">
        <f t="shared" si="0"/>
        <v/>
      </c>
      <c r="I6" s="38" t="str">
        <f t="shared" si="1"/>
        <v/>
      </c>
      <c r="J6" s="55"/>
      <c r="K6" s="55"/>
    </row>
    <row r="7" spans="1:11" ht="15.75">
      <c r="A7" s="47" t="str">
        <v>Charlton - 299 Worcester Road</v>
      </c>
      <c r="B7" s="48" t="str">
        <v>MA</v>
      </c>
      <c r="C7" s="41"/>
      <c r="D7" s="42"/>
      <c r="E7" s="42" t="str">
        <f t="shared" si="2"/>
        <v/>
      </c>
      <c r="F7" s="43" t="str">
        <f t="shared" si="3"/>
        <v/>
      </c>
      <c r="G7" s="44"/>
      <c r="H7" s="44" t="str">
        <f t="shared" si="0"/>
        <v/>
      </c>
      <c r="I7" s="43" t="str">
        <f t="shared" si="1"/>
        <v/>
      </c>
      <c r="J7" s="56"/>
      <c r="K7" s="57"/>
    </row>
    <row r="8" spans="1:11" ht="15.75">
      <c r="A8" s="49" t="str">
        <v>Wareham - 8 Thatcher Drive</v>
      </c>
      <c r="B8" s="46" t="str">
        <v>MA</v>
      </c>
      <c r="C8" s="34"/>
      <c r="D8" s="35"/>
      <c r="E8" s="35" t="str">
        <f t="shared" si="2"/>
        <v/>
      </c>
      <c r="F8" s="36" t="str">
        <f t="shared" si="3"/>
        <v/>
      </c>
      <c r="G8" s="37"/>
      <c r="H8" s="37" t="str">
        <f t="shared" si="0"/>
        <v/>
      </c>
      <c r="I8" s="38" t="str">
        <f t="shared" si="1"/>
        <v/>
      </c>
      <c r="J8" s="55"/>
      <c r="K8" s="55"/>
    </row>
    <row r="9" spans="1:11" ht="15.75">
      <c r="A9" s="47" t="str">
        <v>West Yarmouth - 42 Mid Tech</v>
      </c>
      <c r="B9" s="48" t="str">
        <v>MA</v>
      </c>
      <c r="C9" s="41"/>
      <c r="D9" s="42"/>
      <c r="E9" s="42" t="str">
        <f t="shared" si="2"/>
        <v/>
      </c>
      <c r="F9" s="43" t="str">
        <f t="shared" si="3"/>
        <v/>
      </c>
      <c r="G9" s="44"/>
      <c r="H9" s="44" t="str">
        <f t="shared" si="0"/>
        <v/>
      </c>
      <c r="I9" s="43" t="str">
        <f t="shared" si="1"/>
        <v/>
      </c>
      <c r="J9" s="56"/>
      <c r="K9" s="57"/>
    </row>
    <row r="10" spans="1:11" ht="15.75">
      <c r="A10" s="49" t="str">
        <v>Harrison - 130 Union Street</v>
      </c>
      <c r="B10" s="46" t="str">
        <v>NY</v>
      </c>
      <c r="C10" s="34"/>
      <c r="D10" s="35"/>
      <c r="E10" s="35" t="str">
        <f t="shared" si="2"/>
        <v/>
      </c>
      <c r="F10" s="36" t="str">
        <f t="shared" si="3"/>
        <v/>
      </c>
      <c r="G10" s="37"/>
      <c r="H10" s="37" t="str">
        <f t="shared" si="0"/>
        <v/>
      </c>
      <c r="I10" s="38" t="str">
        <f t="shared" si="1"/>
        <v/>
      </c>
      <c r="J10" s="55"/>
      <c r="K10" s="55"/>
    </row>
    <row r="11" spans="1:11" ht="15.75">
      <c r="A11" s="47" t="str">
        <v>Staten Island - Ellis Storage</v>
      </c>
      <c r="B11" s="48" t="str">
        <v>NY</v>
      </c>
      <c r="C11" s="41"/>
      <c r="D11" s="42"/>
      <c r="E11" s="42" t="str">
        <f t="shared" si="2"/>
        <v/>
      </c>
      <c r="F11" s="43" t="str">
        <f t="shared" si="3"/>
        <v/>
      </c>
      <c r="G11" s="44"/>
      <c r="H11" s="44" t="str">
        <f t="shared" si="0"/>
        <v/>
      </c>
      <c r="I11" s="43" t="str">
        <f t="shared" si="1"/>
        <v/>
      </c>
      <c r="J11" s="56"/>
      <c r="K11" s="57"/>
    </row>
    <row r="12" spans="1:11" ht="15.75">
      <c r="A12" s="49" t="str">
        <v>Amherst - 595 Scholles Road</v>
      </c>
      <c r="B12" s="46" t="str">
        <v>NY</v>
      </c>
      <c r="C12" s="34"/>
      <c r="D12" s="35"/>
      <c r="E12" s="35" t="str">
        <f t="shared" si="2"/>
        <v/>
      </c>
      <c r="F12" s="36" t="str">
        <f t="shared" si="3"/>
        <v/>
      </c>
      <c r="G12" s="37"/>
      <c r="H12" s="37" t="str">
        <f t="shared" si="0"/>
        <v/>
      </c>
      <c r="I12" s="38" t="str">
        <f t="shared" si="1"/>
        <v/>
      </c>
      <c r="J12" s="55"/>
      <c r="K12" s="55"/>
    </row>
    <row r="13" spans="1:11" ht="15.75">
      <c r="A13" s="47" t="str">
        <v>Lancaster 1 - Gunnville Road</v>
      </c>
      <c r="B13" s="48" t="str">
        <v>NY</v>
      </c>
      <c r="C13" s="41"/>
      <c r="D13" s="42"/>
      <c r="E13" s="42" t="str">
        <f t="shared" si="2"/>
        <v/>
      </c>
      <c r="F13" s="43" t="str">
        <f t="shared" si="3"/>
        <v/>
      </c>
      <c r="G13" s="67"/>
      <c r="H13" s="44" t="str">
        <f t="shared" si="0"/>
        <v/>
      </c>
      <c r="I13" s="43" t="str">
        <f t="shared" si="1"/>
        <v/>
      </c>
      <c r="J13" s="56"/>
      <c r="K13" s="57"/>
    </row>
    <row r="14" spans="1:11" ht="156.75" customHeight="1">
      <c r="A14" s="49" t="str">
        <v>Lancaster 2 - Shisler Road</v>
      </c>
      <c r="B14" s="46" t="str">
        <v>NY</v>
      </c>
      <c r="C14" s="34"/>
      <c r="D14" s="35"/>
      <c r="E14" s="35" t="str">
        <f t="shared" si="2"/>
        <v/>
      </c>
      <c r="F14" s="36" t="str">
        <f t="shared" si="3"/>
        <v/>
      </c>
      <c r="G14" s="37"/>
      <c r="H14" s="37" t="str">
        <f t="shared" si="0"/>
        <v/>
      </c>
      <c r="I14" s="38" t="str">
        <f t="shared" si="1"/>
        <v/>
      </c>
      <c r="J14" s="55"/>
      <c r="K14" s="55"/>
    </row>
    <row r="15" spans="1:11" ht="15.75">
      <c r="A15" s="47" t="str">
        <v>Fullerton - 200 W Orangethorpe</v>
      </c>
      <c r="B15" s="48" t="str">
        <v>CA</v>
      </c>
      <c r="C15" s="41"/>
      <c r="D15" s="42"/>
      <c r="E15" s="42" t="str">
        <f t="shared" si="2"/>
        <v/>
      </c>
      <c r="F15" s="43" t="str">
        <f t="shared" si="3"/>
        <v/>
      </c>
      <c r="G15" s="44"/>
      <c r="H15" s="44" t="str">
        <f t="shared" si="0"/>
        <v/>
      </c>
      <c r="I15" s="43" t="str">
        <f t="shared" si="1"/>
        <v/>
      </c>
      <c r="J15" s="56"/>
      <c r="K15" s="57"/>
    </row>
    <row r="16" spans="1:11" ht="15.75">
      <c r="A16" s="49" t="str">
        <v>El Paso - 10500 Railroad Drive</v>
      </c>
      <c r="B16" s="46" t="str">
        <v>TX</v>
      </c>
      <c r="C16" s="34"/>
      <c r="D16" s="35"/>
      <c r="E16" s="35" t="str">
        <f t="shared" si="2"/>
        <v/>
      </c>
      <c r="F16" s="36" t="str">
        <f t="shared" si="3"/>
        <v/>
      </c>
      <c r="G16" s="37"/>
      <c r="H16" s="37" t="str">
        <f t="shared" si="0"/>
        <v/>
      </c>
      <c r="I16" s="38" t="str">
        <f t="shared" si="1"/>
        <v/>
      </c>
      <c r="J16" s="55"/>
      <c r="K16" s="55"/>
    </row>
    <row r="17" spans="1:11" ht="15.75">
      <c r="A17" s="47" t="str">
        <v>Friona - 900 Millard Ave</v>
      </c>
      <c r="B17" s="48" t="str">
        <v>TX</v>
      </c>
      <c r="C17" s="41"/>
      <c r="D17" s="42"/>
      <c r="E17" s="42" t="str">
        <f t="shared" si="2"/>
        <v/>
      </c>
      <c r="F17" s="43" t="str">
        <f t="shared" si="3"/>
        <v/>
      </c>
      <c r="G17" s="44"/>
      <c r="H17" s="44" t="str">
        <f t="shared" si="0"/>
        <v/>
      </c>
      <c r="I17" s="43" t="str">
        <f t="shared" si="1"/>
        <v/>
      </c>
      <c r="J17" s="56"/>
      <c r="K17" s="57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2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92 I4:I92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4"/>
  <sheetViews>
    <sheetView zoomScale="80" zoomScaleNormal="80" workbookViewId="0">
      <pane xSplit="2" ySplit="3" topLeftCell="C14" activePane="bottomRight" state="frozen"/>
      <selection pane="bottomRight" activeCell="E11" sqref="E11"/>
      <selection pane="bottomLeft" activeCell="E11" sqref="E11"/>
      <selection pane="topRight" activeCell="E11" sqref="E11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Catalyze</v>
      </c>
      <c r="B1" s="88"/>
      <c r="C1" s="88"/>
      <c r="D1" s="89" t="s">
        <v>58</v>
      </c>
      <c r="E1" s="89"/>
      <c r="F1" s="89"/>
      <c r="G1" s="87" t="s">
        <v>59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75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8"/>
      <c r="K4" s="68"/>
    </row>
    <row r="5" spans="1:11" ht="15.75">
      <c r="A5" s="47" t="str">
        <v>Adelanto - 1 Sheep Creek Road</v>
      </c>
      <c r="B5" s="48" t="str">
        <v>CA</v>
      </c>
      <c r="C5" s="41"/>
      <c r="D5" s="69"/>
      <c r="E5" s="42" t="str">
        <f t="shared" ref="E5:E17" si="0">IF(AND(ISNUMBER(C5),ISNUMBER(D5)), C5-D5, "")</f>
        <v/>
      </c>
      <c r="F5" s="43" t="str">
        <f>IFERROR(E5/D5, "")</f>
        <v/>
      </c>
      <c r="G5" s="69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91"/>
      <c r="K5" s="92"/>
    </row>
    <row r="6" spans="1:11" ht="15.75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68"/>
      <c r="K6" s="68"/>
    </row>
    <row r="7" spans="1:11" ht="15.75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91"/>
      <c r="K7" s="91"/>
    </row>
    <row r="8" spans="1:11" ht="15.75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8"/>
      <c r="K8" s="68"/>
    </row>
    <row r="9" spans="1:11" ht="15.75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91"/>
      <c r="K9" s="91"/>
    </row>
    <row r="10" spans="1:11" ht="15.75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8"/>
      <c r="K10" s="68"/>
    </row>
    <row r="11" spans="1:11" ht="15.75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91"/>
      <c r="K11" s="91"/>
    </row>
    <row r="12" spans="1:11" ht="15.75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8"/>
      <c r="K12" s="68"/>
    </row>
    <row r="13" spans="1:11" ht="15.75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91"/>
      <c r="K13" s="91"/>
    </row>
    <row r="14" spans="1:11" ht="15.75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68"/>
      <c r="K14" s="68"/>
    </row>
    <row r="15" spans="1:11" ht="15.75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91"/>
      <c r="K15" s="91"/>
    </row>
    <row r="16" spans="1:11" ht="15.75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68"/>
      <c r="K16" s="68"/>
    </row>
    <row r="17" spans="1:11" ht="15.75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91"/>
      <c r="K17" s="91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2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92 I4:I92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4"/>
  <sheetViews>
    <sheetView zoomScale="70" zoomScaleNormal="70" workbookViewId="0">
      <pane xSplit="2" ySplit="3" topLeftCell="C4" activePane="bottomRight" state="frozen"/>
      <selection pane="bottomRight" activeCell="E11" sqref="E11"/>
      <selection pane="bottomLeft" activeCell="E11" sqref="E11"/>
      <selection pane="topRight" activeCell="E11" sqref="E11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Catalyze</v>
      </c>
      <c r="B1" s="88"/>
      <c r="C1" s="88"/>
      <c r="D1" s="89" t="s">
        <v>60</v>
      </c>
      <c r="E1" s="89"/>
      <c r="F1" s="89"/>
      <c r="G1" s="87" t="s">
        <v>61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78" customHeight="1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42.75" customHeight="1">
      <c r="A5" s="47" t="str">
        <v>Adelanto - 1 Sheep Creek Road</v>
      </c>
      <c r="B5" s="48" t="str">
        <v>CA</v>
      </c>
      <c r="C5" s="41"/>
      <c r="D5" s="42"/>
      <c r="E5" s="42" t="str">
        <f t="shared" ref="E5:E17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71"/>
      <c r="K5" s="56"/>
    </row>
    <row r="6" spans="1:11" ht="15.75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75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75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75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75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75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75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5.75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70"/>
    </row>
    <row r="14" spans="1:11" ht="15.75">
      <c r="A14" s="49" t="str">
        <v>Lancaster 2 - Shisler Road</v>
      </c>
      <c r="B14" s="46" t="str">
        <v>NY</v>
      </c>
      <c r="C14" s="34"/>
      <c r="D14" s="35"/>
      <c r="E14" s="35" t="str">
        <f>IF(AND(ISNUMBER(C14),ISNUMBER(D14)), C14-D14, "")</f>
        <v/>
      </c>
      <c r="F14" s="36" t="str">
        <f t="shared" si="3"/>
        <v/>
      </c>
      <c r="G14" s="37"/>
      <c r="H14" s="37" t="str">
        <f>IF(AND(ISNUMBER(C14),ISNUMBER(G14)), C14-G14, "")</f>
        <v/>
      </c>
      <c r="I14" s="38" t="str">
        <f t="shared" si="2"/>
        <v/>
      </c>
      <c r="J14" s="55"/>
      <c r="K14" s="55"/>
    </row>
    <row r="15" spans="1:11" ht="15.75">
      <c r="A15" s="47" t="str">
        <v>Fullerton - 200 W Orangethorpe</v>
      </c>
      <c r="B15" s="48" t="str">
        <v>CA</v>
      </c>
      <c r="C15" s="41"/>
      <c r="D15" s="42"/>
      <c r="E15" s="67" t="str">
        <f>IF(AND(ISNUMBER(C15),ISNUMBER(D15)), C15-D15, "")</f>
        <v/>
      </c>
      <c r="F15" s="43" t="str">
        <f t="shared" si="3"/>
        <v/>
      </c>
      <c r="G15" s="44"/>
      <c r="H15" s="67" t="str">
        <f>IF(AND(ISNUMBER(C15),ISNUMBER(G15)), C15-G15, "")</f>
        <v/>
      </c>
      <c r="I15" s="43" t="str">
        <f t="shared" si="2"/>
        <v/>
      </c>
      <c r="J15" s="56"/>
      <c r="K15" s="57"/>
    </row>
    <row r="16" spans="1:11" ht="15.75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</row>
    <row r="17" spans="1:11" ht="15.75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70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2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92 I4:I92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4"/>
  <sheetViews>
    <sheetView zoomScale="90" zoomScaleNormal="90" workbookViewId="0">
      <pane xSplit="2" ySplit="3" topLeftCell="C4" activePane="bottomRight" state="frozen"/>
      <selection pane="bottomRight" activeCell="E11" sqref="E11"/>
      <selection pane="bottomLeft" activeCell="E11" sqref="E11"/>
      <selection pane="topRight" activeCell="E11" sqref="E11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Catalyze</v>
      </c>
      <c r="B1" s="88"/>
      <c r="C1" s="88"/>
      <c r="D1" s="89" t="s">
        <v>62</v>
      </c>
      <c r="E1" s="89"/>
      <c r="F1" s="89"/>
      <c r="G1" s="87" t="s">
        <v>63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75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75">
      <c r="A5" s="47" t="str">
        <v>Adelanto - 1 Sheep Creek Road</v>
      </c>
      <c r="B5" s="48" t="str">
        <v>CA</v>
      </c>
      <c r="C5" s="41"/>
      <c r="D5" s="42"/>
      <c r="E5" s="42" t="str">
        <f t="shared" ref="E5:E17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56"/>
      <c r="K5" s="71"/>
    </row>
    <row r="6" spans="1:11" ht="15.75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75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6"/>
    </row>
    <row r="8" spans="1:11" ht="15.75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75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75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75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75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5.75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56"/>
    </row>
    <row r="14" spans="1:11" ht="15.75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</row>
    <row r="15" spans="1:11" ht="15.75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57"/>
    </row>
    <row r="16" spans="1:11" ht="15.75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</row>
    <row r="17" spans="1:11" ht="15.75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56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25">
      <c r="A20" s="13" t="str">
        <v>Jessup -7950 Oceano Ave</v>
      </c>
      <c r="B20" s="18" t="str">
        <v>MD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92 I4:I92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4"/>
  <sheetViews>
    <sheetView zoomScale="70" zoomScaleNormal="70" workbookViewId="0">
      <pane xSplit="2" ySplit="3" topLeftCell="C4" activePane="bottomRight" state="frozen"/>
      <selection pane="bottomRight" activeCell="E11" sqref="E11"/>
      <selection pane="bottomLeft" activeCell="E11" sqref="E11"/>
      <selection pane="topRight" activeCell="E11" sqref="E11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Catalyze</v>
      </c>
      <c r="B1" s="88"/>
      <c r="C1" s="88"/>
      <c r="D1" s="89" t="s">
        <v>64</v>
      </c>
      <c r="E1" s="89"/>
      <c r="F1" s="89"/>
      <c r="G1" s="87" t="s">
        <v>65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75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75">
      <c r="A5" s="47" t="str">
        <v>Adelanto - 1 Sheep Creek Road</v>
      </c>
      <c r="B5" s="48" t="str">
        <v>CA</v>
      </c>
      <c r="C5" s="74"/>
      <c r="D5" s="42"/>
      <c r="E5" s="42" t="str">
        <f t="shared" ref="E5:E19" si="0">IF(AND(ISNUMBER(C5),ISNUMBER(D5)), C5-D5, "")</f>
        <v/>
      </c>
      <c r="F5" s="43" t="str">
        <f>IFERROR(E5/D5, "")</f>
        <v/>
      </c>
      <c r="G5" s="44"/>
      <c r="H5" s="44" t="str">
        <f t="shared" ref="H5:H19" si="1">IF(AND(ISNUMBER(C5),ISNUMBER(G5)), C5-G5, "")</f>
        <v/>
      </c>
      <c r="I5" s="43" t="str">
        <f t="shared" ref="I5:I19" si="2">IFERROR(H5/G5, "")</f>
        <v/>
      </c>
      <c r="J5" s="56"/>
      <c r="K5" s="71"/>
    </row>
    <row r="6" spans="1:11" ht="15.75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9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75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75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75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75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75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>IFERROR(H11/G11, "")</f>
        <v/>
      </c>
      <c r="J11" s="56"/>
      <c r="K11" s="57"/>
    </row>
    <row r="12" spans="1:11" ht="15.75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5.75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57"/>
    </row>
    <row r="14" spans="1:11" ht="15.75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</row>
    <row r="15" spans="1:11" ht="15.75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57"/>
    </row>
    <row r="16" spans="1:11" ht="15.75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</row>
    <row r="17" spans="1:11" ht="15.75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76"/>
      <c r="K17" s="75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 t="str">
        <f t="shared" si="0"/>
        <v/>
      </c>
      <c r="F18" s="36" t="str">
        <f t="shared" si="3"/>
        <v/>
      </c>
      <c r="G18" s="37"/>
      <c r="H18" s="37" t="str">
        <f t="shared" si="1"/>
        <v/>
      </c>
      <c r="I18" s="38" t="str">
        <f t="shared" si="2"/>
        <v/>
      </c>
      <c r="J18" s="55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 t="str">
        <f t="shared" si="0"/>
        <v/>
      </c>
      <c r="F19" s="43" t="str">
        <f t="shared" si="3"/>
        <v/>
      </c>
      <c r="G19" s="44"/>
      <c r="H19" s="44" t="str">
        <f t="shared" si="1"/>
        <v/>
      </c>
      <c r="I19" s="43" t="str">
        <f t="shared" si="2"/>
        <v/>
      </c>
      <c r="J19" s="56"/>
      <c r="K19" s="57"/>
    </row>
    <row r="20" spans="1:11" ht="15.75">
      <c r="A20" s="49" t="str">
        <v>Jessup -7950 Oceano Ave</v>
      </c>
      <c r="B20" s="46" t="str">
        <v>MD</v>
      </c>
      <c r="C20" s="34"/>
      <c r="D20" s="35"/>
      <c r="E20" s="35"/>
      <c r="F20" s="36"/>
      <c r="G20" s="37"/>
      <c r="H20" s="37"/>
      <c r="I20" s="38"/>
      <c r="J20" s="55"/>
      <c r="K20" s="55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4"/>
  <sheetViews>
    <sheetView zoomScale="80" zoomScaleNormal="80" workbookViewId="0">
      <pane xSplit="2" ySplit="3" topLeftCell="C6" activePane="bottomRight" state="frozen"/>
      <selection pane="bottomRight" activeCell="E11" sqref="E11"/>
      <selection pane="bottomLeft" activeCell="E11" sqref="E11"/>
      <selection pane="topRight" activeCell="E11" sqref="E11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88" t="str" cm="1">
        <f t="array" ref="A1">portfolio</f>
        <v>Catalyze</v>
      </c>
      <c r="B1" s="88"/>
      <c r="C1" s="88"/>
      <c r="D1" s="89" t="s">
        <v>66</v>
      </c>
      <c r="E1" s="89"/>
      <c r="F1" s="89"/>
      <c r="G1" s="87" t="s">
        <v>67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75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77"/>
      <c r="K4" s="77"/>
    </row>
    <row r="5" spans="1:11" ht="84" customHeight="1">
      <c r="A5" s="47" t="str">
        <v>Adelanto - 1 Sheep Creek Road</v>
      </c>
      <c r="B5" s="48" t="str">
        <v>CA</v>
      </c>
      <c r="C5" s="41"/>
      <c r="D5" s="42"/>
      <c r="E5" s="42" t="str">
        <f t="shared" ref="E5:E19" si="0">IF(AND(ISNUMBER(C5),ISNUMBER(D5)), C5-D5, "")</f>
        <v/>
      </c>
      <c r="F5" s="43" t="str">
        <f>IFERROR(E5/D5, "")</f>
        <v/>
      </c>
      <c r="G5" s="44"/>
      <c r="H5" s="44" t="str">
        <f t="shared" ref="H5:H19" si="1">IF(AND(ISNUMBER(C5),ISNUMBER(G5)), C5-G5, "")</f>
        <v/>
      </c>
      <c r="I5" s="43" t="str">
        <f t="shared" ref="I5:I19" si="2">IFERROR(H5/G5, "")</f>
        <v/>
      </c>
      <c r="J5" s="71"/>
      <c r="K5" s="71"/>
    </row>
    <row r="6" spans="1:11" ht="15.75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9" si="3">IFERROR(E6/D6, "")</f>
        <v/>
      </c>
      <c r="G6" s="37"/>
      <c r="H6" s="37" t="str">
        <f t="shared" si="1"/>
        <v/>
      </c>
      <c r="I6" s="38" t="str">
        <f t="shared" si="2"/>
        <v/>
      </c>
      <c r="J6" s="77"/>
      <c r="K6" s="77"/>
    </row>
    <row r="7" spans="1:11" ht="15.75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71"/>
      <c r="K7" s="70"/>
    </row>
    <row r="8" spans="1:11" ht="15.75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77"/>
      <c r="K8" s="77"/>
    </row>
    <row r="9" spans="1:11" ht="15.75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71"/>
      <c r="K9" s="70"/>
    </row>
    <row r="10" spans="1:11" ht="15.75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77"/>
      <c r="K10" s="77"/>
    </row>
    <row r="11" spans="1:11" ht="15.75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71"/>
      <c r="K11" s="70"/>
    </row>
    <row r="12" spans="1:11" ht="51" customHeight="1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77"/>
      <c r="K12" s="77"/>
    </row>
    <row r="13" spans="1:11" ht="39.75" customHeight="1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71"/>
      <c r="K13" s="71"/>
    </row>
    <row r="14" spans="1:11" ht="15.75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77"/>
      <c r="K14" s="77"/>
    </row>
    <row r="15" spans="1:11" ht="15.75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71"/>
      <c r="K15" s="70"/>
    </row>
    <row r="16" spans="1:11" ht="15.75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>IFERROR(E16/D16, "")</f>
        <v/>
      </c>
      <c r="G16" s="37"/>
      <c r="H16" s="37" t="str">
        <f t="shared" si="1"/>
        <v/>
      </c>
      <c r="I16" s="38" t="str">
        <f t="shared" si="2"/>
        <v/>
      </c>
      <c r="J16" s="77"/>
      <c r="K16" s="77"/>
    </row>
    <row r="17" spans="1:11" ht="15.75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71"/>
      <c r="K17" s="71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 t="str">
        <f t="shared" si="0"/>
        <v/>
      </c>
      <c r="F18" s="36" t="str">
        <f>IFERROR(E18/D18, "")</f>
        <v/>
      </c>
      <c r="G18" s="37"/>
      <c r="H18" s="37" t="str">
        <f t="shared" si="1"/>
        <v/>
      </c>
      <c r="I18" s="38" t="str">
        <f t="shared" si="2"/>
        <v/>
      </c>
      <c r="J18" s="77"/>
      <c r="K18" s="77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 t="str">
        <f t="shared" si="0"/>
        <v/>
      </c>
      <c r="F19" s="43" t="str">
        <f t="shared" si="3"/>
        <v/>
      </c>
      <c r="G19" s="44"/>
      <c r="H19" s="44" t="str">
        <f t="shared" si="1"/>
        <v/>
      </c>
      <c r="I19" s="43" t="str">
        <f t="shared" si="2"/>
        <v/>
      </c>
      <c r="J19" s="71"/>
      <c r="K19" s="71"/>
    </row>
    <row r="20" spans="1:11" ht="15.75">
      <c r="A20" s="49" t="str">
        <v>Jessup -7950 Oceano Ave</v>
      </c>
      <c r="B20" s="46" t="str">
        <v>MD</v>
      </c>
      <c r="C20" s="34"/>
      <c r="D20" s="35"/>
      <c r="E20" s="35"/>
      <c r="F20" s="36"/>
      <c r="G20" s="37"/>
      <c r="H20" s="37"/>
      <c r="I20" s="38"/>
      <c r="J20" s="77"/>
      <c r="K20" s="77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4"/>
  <sheetViews>
    <sheetView workbookViewId="0">
      <pane xSplit="2" ySplit="3" topLeftCell="F14" activePane="bottomRight" state="frozen"/>
      <selection pane="bottomRight" activeCell="E11" sqref="E11"/>
      <selection pane="bottomLeft" activeCell="E11" sqref="E11"/>
      <selection pane="topRight" activeCell="E11" sqref="E11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Catalyze</v>
      </c>
      <c r="B1" s="88"/>
      <c r="C1" s="88"/>
      <c r="D1" s="89" t="s">
        <v>68</v>
      </c>
      <c r="E1" s="89"/>
      <c r="F1" s="89"/>
      <c r="G1" s="87" t="s">
        <v>69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75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77"/>
      <c r="K4" s="77"/>
    </row>
    <row r="5" spans="1:11" ht="15.75">
      <c r="A5" s="47" t="str">
        <v>Adelanto - 1 Sheep Creek Road</v>
      </c>
      <c r="B5" s="48" t="str">
        <v>CA</v>
      </c>
      <c r="C5" s="41"/>
      <c r="D5" s="42"/>
      <c r="E5" s="42" t="str">
        <f t="shared" ref="E5:E17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5" si="2">IFERROR(H5/G5, "")</f>
        <v/>
      </c>
      <c r="J5" s="71"/>
      <c r="K5" s="71"/>
    </row>
    <row r="6" spans="1:11" ht="49.5" customHeight="1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77"/>
      <c r="K6" s="77"/>
    </row>
    <row r="7" spans="1:11" ht="15.75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71"/>
      <c r="K7" s="70"/>
    </row>
    <row r="8" spans="1:11" ht="15.75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77"/>
      <c r="K8" s="77"/>
    </row>
    <row r="9" spans="1:11" ht="15.75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71"/>
      <c r="K9" s="78"/>
    </row>
    <row r="10" spans="1:11" ht="15.75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77"/>
      <c r="K10" s="77"/>
    </row>
    <row r="11" spans="1:11" ht="15.75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71"/>
      <c r="K11" s="70"/>
    </row>
    <row r="12" spans="1:11" ht="123" customHeight="1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77"/>
      <c r="K12" s="77"/>
    </row>
    <row r="13" spans="1:11" ht="15.75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71"/>
      <c r="K13" s="78"/>
    </row>
    <row r="14" spans="1:11" ht="15.75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77"/>
      <c r="K14" s="77"/>
    </row>
    <row r="15" spans="1:11" ht="37.5" customHeight="1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71"/>
      <c r="K15" s="78"/>
    </row>
    <row r="16" spans="1:11" ht="15.75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>IF(AND(ISNUMBER(C16),ISNUMBER(G16)), C16-G16, "")</f>
        <v/>
      </c>
      <c r="I16" s="38" t="str">
        <f>IFERROR(H16/G16, "")</f>
        <v/>
      </c>
      <c r="J16" s="77"/>
      <c r="K16" s="77"/>
    </row>
    <row r="17" spans="1:11" ht="15.75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>IFERROR(H17/G17, "")</f>
        <v/>
      </c>
      <c r="J17" s="71"/>
      <c r="K17" s="78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 t="str">
        <f>IF(AND(ISNUMBER(C18),ISNUMBER(D18)), C18-D18, "")</f>
        <v/>
      </c>
      <c r="F18" s="36" t="str">
        <f>IFERROR(E18/D18, "")</f>
        <v/>
      </c>
      <c r="G18" s="37"/>
      <c r="H18" s="37" t="str">
        <f>IF(AND(ISNUMBER(C18),ISNUMBER(G18)), C18-G18, "")</f>
        <v/>
      </c>
      <c r="I18" s="38" t="str">
        <f>IFERROR(H18/G18, "")</f>
        <v/>
      </c>
      <c r="J18" s="77"/>
      <c r="K18" s="77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 t="str">
        <f>IF(AND(ISNUMBER(C19),ISNUMBER(D19)), C19-D19, "")</f>
        <v/>
      </c>
      <c r="F19" s="43" t="str">
        <f>IFERROR(E19/D19, "")</f>
        <v/>
      </c>
      <c r="G19" s="44"/>
      <c r="H19" s="44" t="str">
        <f>IF(AND(ISNUMBER(C19),ISNUMBER(G19)), C19-G19, "")</f>
        <v/>
      </c>
      <c r="I19" s="43" t="str">
        <f>IFERROR(H19/G19, "")</f>
        <v/>
      </c>
      <c r="J19" s="71"/>
      <c r="K19" s="78"/>
    </row>
    <row r="20" spans="1:11" ht="15.75">
      <c r="A20" s="49" t="str">
        <v>Jessup -7950 Oceano Ave</v>
      </c>
      <c r="B20" s="46" t="str">
        <v>MD</v>
      </c>
      <c r="C20" s="34"/>
      <c r="D20" s="35"/>
      <c r="E20" s="35" t="str">
        <f>IF(AND(ISNUMBER(C20),ISNUMBER(D20)), C20-D20, "")</f>
        <v/>
      </c>
      <c r="F20" s="36" t="str">
        <f>IFERROR(E20/D20, "")</f>
        <v/>
      </c>
      <c r="G20" s="37"/>
      <c r="H20" s="37" t="str">
        <f>IF(AND(ISNUMBER(C20),ISNUMBER(G20)), C20-G20, "")</f>
        <v/>
      </c>
      <c r="I20" s="38" t="str">
        <f>IFERROR(H20/G20, "")</f>
        <v/>
      </c>
      <c r="J20" s="77"/>
      <c r="K20" s="55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4"/>
  <sheetViews>
    <sheetView workbookViewId="0">
      <pane xSplit="2" ySplit="3" topLeftCell="C12" activePane="bottomRight" state="frozen"/>
      <selection pane="bottomRight" activeCell="E11" sqref="E11"/>
      <selection pane="bottomLeft" activeCell="E11" sqref="E11"/>
      <selection pane="topRight" activeCell="E11" sqref="E11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Catalyze</v>
      </c>
      <c r="B1" s="88"/>
      <c r="C1" s="88"/>
      <c r="D1" s="89" t="s">
        <v>70</v>
      </c>
      <c r="E1" s="89"/>
      <c r="F1" s="89"/>
      <c r="G1" s="87" t="s">
        <v>71</v>
      </c>
      <c r="H1" s="87"/>
      <c r="I1" s="87"/>
      <c r="J1" s="4"/>
      <c r="K1" s="4"/>
    </row>
    <row r="2" spans="1:11" ht="19.5" customHeight="1">
      <c r="A2" s="90" t="s">
        <v>2</v>
      </c>
      <c r="B2" s="9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75">
      <c r="A4" s="45" t="str" cm="1">
        <f t="array" ref="A4:A20">Sites[Site]</f>
        <v>Fresno - 3150 Shaw Ave</v>
      </c>
      <c r="B4" s="46" t="str" cm="1">
        <f t="array" ref="B4:B20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75">
      <c r="A5" s="47" t="str">
        <v>Adelanto - 1 Sheep Creek Road</v>
      </c>
      <c r="B5" s="48" t="str">
        <v>CA</v>
      </c>
      <c r="C5" s="41"/>
      <c r="D5" s="42"/>
      <c r="E5" s="42" t="str">
        <f t="shared" ref="E5:E20" si="0">IF(AND(ISNUMBER(C5),ISNUMBER(D5)), C5-D5, "")</f>
        <v/>
      </c>
      <c r="F5" s="43" t="str">
        <f t="shared" ref="F5:F20" si="1">IFERROR(E5/D5, "")</f>
        <v/>
      </c>
      <c r="G5" s="44"/>
      <c r="H5" s="44" t="str">
        <f t="shared" ref="H5:H20" si="2">IF(AND(ISNUMBER(C5),ISNUMBER(G5)), C5-G5, "")</f>
        <v/>
      </c>
      <c r="I5" s="43" t="str">
        <f t="shared" ref="I5:I20" si="3">IFERROR(H5/G5, "")</f>
        <v/>
      </c>
      <c r="J5" s="71"/>
      <c r="K5" s="71"/>
    </row>
    <row r="6" spans="1:11" ht="15.75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si="1"/>
        <v/>
      </c>
      <c r="G6" s="37"/>
      <c r="H6" s="37" t="str">
        <f t="shared" si="2"/>
        <v/>
      </c>
      <c r="I6" s="38" t="str">
        <f t="shared" si="3"/>
        <v/>
      </c>
      <c r="J6" s="55"/>
      <c r="K6" s="55"/>
    </row>
    <row r="7" spans="1:11" ht="15.75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1"/>
        <v/>
      </c>
      <c r="G7" s="44"/>
      <c r="H7" s="44" t="str">
        <f t="shared" si="2"/>
        <v/>
      </c>
      <c r="I7" s="43" t="str">
        <f t="shared" si="3"/>
        <v/>
      </c>
      <c r="J7" s="71"/>
      <c r="K7" s="71"/>
    </row>
    <row r="8" spans="1:11" ht="15.75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1"/>
        <v/>
      </c>
      <c r="G8" s="37"/>
      <c r="H8" s="37" t="str">
        <f t="shared" si="2"/>
        <v/>
      </c>
      <c r="I8" s="38" t="str">
        <f t="shared" si="3"/>
        <v/>
      </c>
      <c r="J8" s="55"/>
      <c r="K8" s="55"/>
    </row>
    <row r="9" spans="1:11" ht="15.75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1"/>
        <v/>
      </c>
      <c r="G9" s="44"/>
      <c r="H9" s="44" t="str">
        <f t="shared" si="2"/>
        <v/>
      </c>
      <c r="I9" s="43" t="str">
        <f t="shared" si="3"/>
        <v/>
      </c>
      <c r="J9" s="71"/>
      <c r="K9" s="71"/>
    </row>
    <row r="10" spans="1:11" ht="15.75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1"/>
        <v/>
      </c>
      <c r="G10" s="37"/>
      <c r="H10" s="37" t="str">
        <f t="shared" si="2"/>
        <v/>
      </c>
      <c r="I10" s="38" t="str">
        <f t="shared" si="3"/>
        <v/>
      </c>
      <c r="J10" s="55"/>
      <c r="K10" s="55"/>
    </row>
    <row r="11" spans="1:11" ht="15.75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1"/>
        <v/>
      </c>
      <c r="G11" s="44"/>
      <c r="H11" s="44" t="str">
        <f t="shared" si="2"/>
        <v/>
      </c>
      <c r="I11" s="43" t="str">
        <f t="shared" si="3"/>
        <v/>
      </c>
      <c r="J11" s="71"/>
      <c r="K11" s="71"/>
    </row>
    <row r="12" spans="1:11" ht="15.75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1"/>
        <v/>
      </c>
      <c r="G12" s="37"/>
      <c r="H12" s="37" t="str">
        <f t="shared" si="2"/>
        <v/>
      </c>
      <c r="I12" s="38" t="str">
        <f t="shared" si="3"/>
        <v/>
      </c>
      <c r="J12" s="55"/>
      <c r="K12" s="55"/>
    </row>
    <row r="13" spans="1:11" ht="15.75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1"/>
        <v/>
      </c>
      <c r="G13" s="44"/>
      <c r="H13" s="44" t="str">
        <f t="shared" si="2"/>
        <v/>
      </c>
      <c r="I13" s="43" t="str">
        <f t="shared" si="3"/>
        <v/>
      </c>
      <c r="J13" s="71"/>
      <c r="K13" s="71"/>
    </row>
    <row r="14" spans="1:11" ht="93.75" customHeight="1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1"/>
        <v/>
      </c>
      <c r="G14" s="37"/>
      <c r="H14" s="37" t="str">
        <f t="shared" si="2"/>
        <v/>
      </c>
      <c r="I14" s="38" t="str">
        <f t="shared" si="3"/>
        <v/>
      </c>
      <c r="J14" s="55"/>
      <c r="K14" s="55"/>
    </row>
    <row r="15" spans="1:11" ht="15.75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1"/>
        <v/>
      </c>
      <c r="G15" s="44"/>
      <c r="H15" s="44" t="str">
        <f t="shared" si="2"/>
        <v/>
      </c>
      <c r="I15" s="43" t="str">
        <f t="shared" si="3"/>
        <v/>
      </c>
      <c r="J15" s="71"/>
      <c r="K15" s="71"/>
    </row>
    <row r="16" spans="1:11" ht="15.75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1"/>
        <v/>
      </c>
      <c r="G16" s="37"/>
      <c r="H16" s="37" t="str">
        <f t="shared" si="2"/>
        <v/>
      </c>
      <c r="I16" s="38" t="str">
        <f t="shared" si="3"/>
        <v/>
      </c>
      <c r="J16" s="55"/>
      <c r="K16" s="55"/>
    </row>
    <row r="17" spans="1:11" ht="15.75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1"/>
        <v/>
      </c>
      <c r="G17" s="44"/>
      <c r="H17" s="44" t="str">
        <f t="shared" si="2"/>
        <v/>
      </c>
      <c r="I17" s="43" t="str">
        <f t="shared" si="3"/>
        <v/>
      </c>
      <c r="J17" s="71"/>
      <c r="K17" s="71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 t="str">
        <f t="shared" si="0"/>
        <v/>
      </c>
      <c r="F18" s="36" t="str">
        <f t="shared" si="1"/>
        <v/>
      </c>
      <c r="G18" s="37"/>
      <c r="H18" s="37" t="str">
        <f t="shared" si="2"/>
        <v/>
      </c>
      <c r="I18" s="38" t="str">
        <f t="shared" si="3"/>
        <v/>
      </c>
      <c r="J18" s="77"/>
      <c r="K18" s="77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 t="str">
        <f t="shared" si="0"/>
        <v/>
      </c>
      <c r="F19" s="43" t="str">
        <f t="shared" si="1"/>
        <v/>
      </c>
      <c r="G19" s="44"/>
      <c r="H19" s="44" t="str">
        <f t="shared" si="2"/>
        <v/>
      </c>
      <c r="I19" s="43" t="str">
        <f t="shared" si="3"/>
        <v/>
      </c>
      <c r="J19" s="71"/>
      <c r="K19" s="78"/>
    </row>
    <row r="20" spans="1:11" ht="15.75">
      <c r="A20" s="49" t="str">
        <v>Jessup -7950 Oceano Ave</v>
      </c>
      <c r="B20" s="46" t="str">
        <v>MD</v>
      </c>
      <c r="C20" s="34"/>
      <c r="D20" s="35"/>
      <c r="E20" s="35" t="str">
        <f t="shared" si="0"/>
        <v/>
      </c>
      <c r="F20" s="36" t="str">
        <f t="shared" si="1"/>
        <v/>
      </c>
      <c r="G20" s="37"/>
      <c r="H20" s="37" t="str">
        <f t="shared" si="2"/>
        <v/>
      </c>
      <c r="I20" s="38" t="str">
        <f t="shared" si="3"/>
        <v/>
      </c>
      <c r="J20" s="55"/>
      <c r="K20" s="55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">
    <cfRule type="cellIs" dxfId="6" priority="19" stopIfTrue="1" operator="lessThanOrEqual">
      <formula>-0.1</formula>
    </cfRule>
    <cfRule type="expression" dxfId="5" priority="20">
      <formula>AND(ISNUMBER(F2), F2&gt;=0.1)</formula>
    </cfRule>
  </conditionalFormatting>
  <conditionalFormatting sqref="F4:F92 I4:I92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3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72</v>
      </c>
      <c r="B1" t="s">
        <v>73</v>
      </c>
    </row>
    <row r="3" spans="1:12">
      <c r="A3" t="s">
        <v>74</v>
      </c>
      <c r="B3" t="s">
        <v>3</v>
      </c>
      <c r="C3" t="s">
        <v>4</v>
      </c>
      <c r="D3" t="s">
        <v>75</v>
      </c>
      <c r="E3" s="2" t="s">
        <v>76</v>
      </c>
    </row>
    <row r="4" spans="1:12" ht="14.25">
      <c r="A4" s="24" t="s">
        <v>77</v>
      </c>
      <c r="B4" t="s">
        <v>78</v>
      </c>
      <c r="C4" s="23" t="s">
        <v>79</v>
      </c>
      <c r="D4" s="22" t="s">
        <v>80</v>
      </c>
      <c r="E4" t="s">
        <v>81</v>
      </c>
      <c r="G4" s="3"/>
    </row>
    <row r="5" spans="1:12" ht="14.25">
      <c r="A5" s="24" t="s">
        <v>82</v>
      </c>
      <c r="B5" t="s">
        <v>83</v>
      </c>
      <c r="C5" s="23" t="s">
        <v>79</v>
      </c>
      <c r="D5" s="22"/>
      <c r="E5" t="s">
        <v>84</v>
      </c>
      <c r="G5" s="3"/>
    </row>
    <row r="6" spans="1:12" ht="14.25">
      <c r="A6" s="24" t="s">
        <v>85</v>
      </c>
      <c r="B6" t="s">
        <v>86</v>
      </c>
      <c r="C6" s="23" t="s">
        <v>87</v>
      </c>
      <c r="D6" s="22" t="s">
        <v>80</v>
      </c>
      <c r="E6" t="s">
        <v>81</v>
      </c>
      <c r="G6" s="3"/>
    </row>
    <row r="7" spans="1:12" ht="12.75" customHeight="1">
      <c r="A7" s="24" t="s">
        <v>88</v>
      </c>
      <c r="B7" t="s">
        <v>89</v>
      </c>
      <c r="C7" s="23" t="s">
        <v>87</v>
      </c>
      <c r="D7" s="22" t="s">
        <v>80</v>
      </c>
      <c r="E7" t="s">
        <v>81</v>
      </c>
    </row>
    <row r="8" spans="1:12" ht="12.75" customHeight="1">
      <c r="A8" s="24" t="s">
        <v>90</v>
      </c>
      <c r="B8" t="s">
        <v>91</v>
      </c>
      <c r="C8" s="23" t="s">
        <v>87</v>
      </c>
      <c r="D8" s="22" t="s">
        <v>80</v>
      </c>
      <c r="E8" t="s">
        <v>81</v>
      </c>
    </row>
    <row r="9" spans="1:12" ht="12.75" customHeight="1">
      <c r="A9" s="24" t="s">
        <v>92</v>
      </c>
      <c r="B9" t="s">
        <v>93</v>
      </c>
      <c r="C9" s="23" t="s">
        <v>87</v>
      </c>
      <c r="D9" s="22" t="s">
        <v>80</v>
      </c>
      <c r="E9" t="s">
        <v>81</v>
      </c>
    </row>
    <row r="10" spans="1:12" ht="12.75" customHeight="1">
      <c r="A10" s="24" t="s">
        <v>94</v>
      </c>
      <c r="B10" t="s">
        <v>95</v>
      </c>
      <c r="C10" s="23" t="s">
        <v>96</v>
      </c>
      <c r="D10" s="22" t="s">
        <v>80</v>
      </c>
      <c r="E10" t="s">
        <v>81</v>
      </c>
      <c r="K10" s="20"/>
      <c r="L10" s="20"/>
    </row>
    <row r="11" spans="1:12" ht="12.75" customHeight="1">
      <c r="A11" s="24" t="s">
        <v>97</v>
      </c>
      <c r="B11" t="s">
        <v>98</v>
      </c>
      <c r="C11" s="23" t="s">
        <v>96</v>
      </c>
      <c r="D11" s="22" t="s">
        <v>80</v>
      </c>
      <c r="E11" t="s">
        <v>81</v>
      </c>
      <c r="K11" s="20"/>
      <c r="L11" s="20"/>
    </row>
    <row r="12" spans="1:12" ht="12.75" customHeight="1">
      <c r="A12" s="24" t="s">
        <v>99</v>
      </c>
      <c r="B12" t="s">
        <v>100</v>
      </c>
      <c r="C12" s="23" t="s">
        <v>96</v>
      </c>
      <c r="D12" s="22" t="s">
        <v>80</v>
      </c>
      <c r="E12" t="s">
        <v>84</v>
      </c>
      <c r="K12" s="20"/>
      <c r="L12" s="20"/>
    </row>
    <row r="13" spans="1:12" ht="12.75" customHeight="1">
      <c r="A13" s="24" t="s">
        <v>101</v>
      </c>
      <c r="B13" t="s">
        <v>102</v>
      </c>
      <c r="C13" s="23" t="s">
        <v>96</v>
      </c>
      <c r="D13" s="22" t="s">
        <v>80</v>
      </c>
      <c r="E13" t="s">
        <v>81</v>
      </c>
      <c r="K13" s="20"/>
      <c r="L13" s="20"/>
    </row>
    <row r="14" spans="1:12" ht="12.75" customHeight="1">
      <c r="A14" s="24" t="s">
        <v>103</v>
      </c>
      <c r="B14" t="s">
        <v>104</v>
      </c>
      <c r="C14" s="23" t="s">
        <v>96</v>
      </c>
      <c r="D14" s="22" t="s">
        <v>80</v>
      </c>
      <c r="E14" t="s">
        <v>81</v>
      </c>
      <c r="K14" s="20"/>
      <c r="L14" s="20"/>
    </row>
    <row r="15" spans="1:12" ht="12.75" customHeight="1">
      <c r="A15" s="24" t="s">
        <v>105</v>
      </c>
      <c r="B15" t="s">
        <v>106</v>
      </c>
      <c r="C15" s="23" t="s">
        <v>79</v>
      </c>
      <c r="D15" s="22" t="s">
        <v>80</v>
      </c>
      <c r="E15" t="s">
        <v>81</v>
      </c>
      <c r="K15" s="20"/>
      <c r="L15" s="20"/>
    </row>
    <row r="16" spans="1:12" ht="12.75" customHeight="1">
      <c r="A16" s="24" t="s">
        <v>107</v>
      </c>
      <c r="B16" t="s">
        <v>108</v>
      </c>
      <c r="C16" s="23" t="s">
        <v>109</v>
      </c>
      <c r="D16" s="22" t="s">
        <v>80</v>
      </c>
      <c r="E16" t="s">
        <v>81</v>
      </c>
      <c r="K16" s="20"/>
      <c r="L16" s="20"/>
    </row>
    <row r="17" spans="1:12" ht="12.75" customHeight="1">
      <c r="A17" s="24" t="s">
        <v>110</v>
      </c>
      <c r="B17" t="s">
        <v>111</v>
      </c>
      <c r="C17" s="23" t="s">
        <v>109</v>
      </c>
      <c r="D17" s="22" t="s">
        <v>80</v>
      </c>
      <c r="E17" t="s">
        <v>81</v>
      </c>
      <c r="K17" s="20"/>
      <c r="L17" s="20"/>
    </row>
    <row r="18" spans="1:12" ht="12.75" customHeight="1">
      <c r="A18" s="72" t="s">
        <v>112</v>
      </c>
      <c r="B18" s="73" t="s">
        <v>113</v>
      </c>
      <c r="C18" s="23" t="s">
        <v>114</v>
      </c>
      <c r="D18" s="22" t="s">
        <v>80</v>
      </c>
      <c r="E18" t="s">
        <v>81</v>
      </c>
      <c r="K18" s="20"/>
      <c r="L18" s="20"/>
    </row>
    <row r="19" spans="1:12" ht="12.75" customHeight="1">
      <c r="A19" s="72" t="s">
        <v>115</v>
      </c>
      <c r="B19" s="73" t="s">
        <v>116</v>
      </c>
      <c r="C19" s="23" t="s">
        <v>79</v>
      </c>
      <c r="D19" s="22" t="s">
        <v>80</v>
      </c>
      <c r="E19" t="s">
        <v>81</v>
      </c>
      <c r="K19" s="20"/>
      <c r="L19" s="20"/>
    </row>
    <row r="20" spans="1:12" ht="12.75" customHeight="1">
      <c r="A20" s="72" t="s">
        <v>117</v>
      </c>
      <c r="B20" s="73" t="s">
        <v>118</v>
      </c>
      <c r="C20" s="23" t="s">
        <v>119</v>
      </c>
      <c r="D20" s="22" t="s">
        <v>80</v>
      </c>
      <c r="E20" t="s">
        <v>81</v>
      </c>
      <c r="K20" s="20"/>
      <c r="L20" s="20"/>
    </row>
    <row r="21" spans="1:12" ht="12.75" customHeight="1">
      <c r="K21" s="20"/>
      <c r="L21" s="20"/>
    </row>
    <row r="22" spans="1:12" ht="12.75" customHeight="1">
      <c r="K22" s="20"/>
      <c r="L22" s="20"/>
    </row>
    <row r="23" spans="1:12" ht="12.75" customHeight="1">
      <c r="K23" s="20"/>
      <c r="L23" s="2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FFF80B05-6201-4BDC-8B5F-052AF08D6858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2025-05-29T04:26:22Z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