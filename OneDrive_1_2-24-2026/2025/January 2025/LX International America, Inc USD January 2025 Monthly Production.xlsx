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jayasrigarapati_amgsol_com/Documents/Microsoft Teams Chat Files/"/>
    </mc:Choice>
  </mc:AlternateContent>
  <xr:revisionPtr revIDLastSave="69" documentId="13_ncr:1_{A99C68A8-FD2A-4AD1-B148-41D91D8D735C}" xr6:coauthVersionLast="47" xr6:coauthVersionMax="47" xr10:uidLastSave="{40BC6670-BE96-4BA1-99A1-45AD2900CC00}"/>
  <bookViews>
    <workbookView xWindow="-98" yWindow="-98" windowWidth="21795" windowHeight="12975" tabRatio="866" firstSheet="1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8" l="1"/>
  <c r="G7" i="18"/>
  <c r="G5" i="18"/>
  <c r="G4" i="18"/>
  <c r="G2" i="18" s="1"/>
  <c r="G6" i="30"/>
  <c r="G7" i="30"/>
  <c r="G5" i="30"/>
  <c r="G4" i="30"/>
  <c r="G6" i="29"/>
  <c r="G7" i="29"/>
  <c r="G4" i="29"/>
  <c r="G5" i="29"/>
  <c r="I6" i="72"/>
  <c r="I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72"/>
  <c r="F9" i="72" s="1"/>
  <c r="H9" i="72"/>
  <c r="I9" i="72" s="1"/>
  <c r="G6" i="1"/>
  <c r="G6" i="34" s="1"/>
  <c r="G7" i="1"/>
  <c r="G7" i="34" s="1"/>
  <c r="G5" i="1"/>
  <c r="G4" i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7" i="29"/>
  <c r="C7" i="29"/>
  <c r="D6" i="29"/>
  <c r="C6" i="29"/>
  <c r="D5" i="29"/>
  <c r="C5" i="29"/>
  <c r="D4" i="29"/>
  <c r="C4" i="29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H6" i="72"/>
  <c r="H7" i="72"/>
  <c r="I7" i="72" s="1"/>
  <c r="H8" i="72"/>
  <c r="I8" i="72" s="1"/>
  <c r="H5" i="72"/>
  <c r="I5" i="72" s="1"/>
  <c r="H4" i="72"/>
  <c r="G2" i="72"/>
  <c r="D2" i="72"/>
  <c r="C2" i="72"/>
  <c r="J2" i="72" s="1"/>
  <c r="E4" i="72"/>
  <c r="F4" i="72" s="1"/>
  <c r="A1" i="72" a="1"/>
  <c r="A1" i="72" s="1"/>
  <c r="I4" i="21" l="1"/>
  <c r="H4" i="18"/>
  <c r="H2" i="28"/>
  <c r="I2" i="28" s="1"/>
  <c r="G4" i="34"/>
  <c r="G5" i="34"/>
  <c r="H2" i="26"/>
  <c r="I2" i="26" s="1"/>
  <c r="H6" i="29"/>
  <c r="I6" i="29" s="1"/>
  <c r="D6" i="34"/>
  <c r="G2" i="30"/>
  <c r="H2" i="33"/>
  <c r="I2" i="33" s="1"/>
  <c r="C7" i="34"/>
  <c r="D7" i="34"/>
  <c r="H2" i="32"/>
  <c r="I2" i="32" s="1"/>
  <c r="C5" i="34"/>
  <c r="D5" i="34"/>
  <c r="E5" i="34" s="1"/>
  <c r="F5" i="34" s="1"/>
  <c r="H2" i="31"/>
  <c r="I2" i="31" s="1"/>
  <c r="E6" i="29"/>
  <c r="F6" i="29" s="1"/>
  <c r="C6" i="34"/>
  <c r="H7" i="29"/>
  <c r="I7" i="29" s="1"/>
  <c r="D2" i="29"/>
  <c r="E5" i="29"/>
  <c r="F5" i="29" s="1"/>
  <c r="E6" i="18"/>
  <c r="F6" i="18" s="1"/>
  <c r="H2" i="21"/>
  <c r="I2" i="21" s="1"/>
  <c r="E7" i="18"/>
  <c r="F7" i="18" s="1"/>
  <c r="D2" i="18"/>
  <c r="J2" i="21"/>
  <c r="H2" i="4"/>
  <c r="I2" i="4" s="1"/>
  <c r="J2" i="4"/>
  <c r="G2" i="34"/>
  <c r="E5" i="30"/>
  <c r="F5" i="30" s="1"/>
  <c r="E2" i="28"/>
  <c r="F2" i="28" s="1"/>
  <c r="J2" i="20"/>
  <c r="J2" i="19"/>
  <c r="I8" i="29"/>
  <c r="J2" i="26"/>
  <c r="H2" i="20"/>
  <c r="I2" i="20" s="1"/>
  <c r="H2" i="27"/>
  <c r="I2" i="27" s="1"/>
  <c r="E5" i="18"/>
  <c r="F5" i="18" s="1"/>
  <c r="J2" i="28"/>
  <c r="D2" i="30"/>
  <c r="J2" i="31"/>
  <c r="H6" i="30"/>
  <c r="J2" i="32"/>
  <c r="E6" i="30"/>
  <c r="F6" i="30" s="1"/>
  <c r="I6" i="33"/>
  <c r="D4" i="34"/>
  <c r="E4" i="30"/>
  <c r="F4" i="30" s="1"/>
  <c r="H2" i="3"/>
  <c r="I2" i="3" s="1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H5" i="30"/>
  <c r="E7" i="29"/>
  <c r="F7" i="29" s="1"/>
  <c r="I6" i="26"/>
  <c r="I8" i="26"/>
  <c r="H4" i="29"/>
  <c r="I4" i="29" s="1"/>
  <c r="H5" i="29"/>
  <c r="I5" i="29" s="1"/>
  <c r="I7" i="26"/>
  <c r="H6" i="18"/>
  <c r="I6" i="18" s="1"/>
  <c r="I4" i="18"/>
  <c r="H7" i="18"/>
  <c r="I7" i="18" s="1"/>
  <c r="C4" i="34"/>
  <c r="H5" i="18"/>
  <c r="I5" i="18" s="1"/>
  <c r="E7" i="34"/>
  <c r="F7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6" i="34" l="1"/>
  <c r="F6" i="34" s="1"/>
  <c r="I6" i="30"/>
  <c r="H6" i="34"/>
  <c r="I6" i="34" s="1"/>
  <c r="I5" i="30"/>
  <c r="H5" i="34"/>
  <c r="I5" i="34" s="1"/>
  <c r="I7" i="30"/>
  <c r="H7" i="34"/>
  <c r="I7" i="34" s="1"/>
  <c r="D2" i="34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<sst xmlns="http://schemas.openxmlformats.org/spreadsheetml/2006/main" count="255" uniqueCount="62">
  <si>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</si>
  <si>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</si>
  <si>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</si>
  <si>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</si>
  <si>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</si>
  <si>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</si>
  <si>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</si>
  <si>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</si>
  <si>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</si>
  <si>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</si>
  <si>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</si>
  <si>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</si>
  <si>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</si>
  <si>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</si>
  <si>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</si>
  <si>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</si>
  <si>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</si>
  <si>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</si>
  <si>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</si>
  <si>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</si>
  <si>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</si>
  <si>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</si>
  <si>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has not been reporting since 10/29/2024 due to the replacement of the GHI sensor and POA sensor.</t>
  </si>
  <si>
    <t>1.SR094976, SR092908</t>
  </si>
  <si>
    <t>1.  Weather station has not been reporting since 10/29/2024 due to the 
replacement of the GHI sensor and POA sensor.
2. Site was taken offline from 10:00 AM to 2:00PM on 01/09/25 to replace the inverter 1 conductor and make the inverter 1 fully operational.
3. Site was taken offline from 9:00AM to 12:00PM on 01/15/25 to perform an Annual Preventative Maintenance Inspection.</t>
  </si>
  <si>
    <t>1. SR094976
2. SR086609
3. PM8296</t>
  </si>
  <si>
    <t xml:space="preserve"> 1. Weather station has not been reporting since 10/29/2024 due to the replacement of the GHI sensor and POA sensor.
2. Site was taken offline from 9:15AM to 11:15AM on 01/07/25 to perform an Annual Preventative Maintenance Inspection.
</t>
  </si>
  <si>
    <t>1.SR094976
2. PM8361</t>
  </si>
  <si>
    <t>1. Site was taken offline from 09:00AM to 11:15AM on 01/06/25 to perform an Annual Preventative Maintenance Inspection.</t>
  </si>
  <si>
    <t>1. PM8441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</si>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</sst>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top" wrapText="1"/>
    </xf>
    <xf numFmtId="0" fontId="32" fillId="0" borderId="0" xfId="0" applyFont="1" applyAlignment="1">
      <alignment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49" fontId="35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ySplit="2" topLeftCell="A3" activePane="bottomLeft" state="frozen"/>
      <selection pane="bottomLeft" activeCell="C4" sqref="C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LX International America, Inc.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>
      <c r="A2" s="56" t="s">
        <v>2</v>
      </c>
      <c r="B2" s="56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23363</v>
      </c>
      <c r="D4" s="14">
        <f>SUM('1st Qtr'!D4, '2nd Qtr'!D4, '3rd Qtr'!D4, '4th Qtr'!D4)</f>
        <v>0</v>
      </c>
      <c r="E4" s="14">
        <f>IF(AND(ISNUMBER(C4),ISNUMBER(D4)), C4-D4, "")</f>
        <v>23363</v>
      </c>
      <c r="F4" s="15" t="str">
        <f>IFERROR(E4/D4, "")</f>
        <v/>
      </c>
      <c r="G4" s="16">
        <f>SUM('1st Qtr'!G4, '2nd Qtr'!G4, '3rd Qtr'!G4, '4th Qtr'!G4)</f>
        <v>0</v>
      </c>
      <c r="H4" s="16">
        <f>SUM('1st Qtr'!H4, '2nd Qtr'!H4, '3rd Qtr'!H4, '4th Qtr'!H4)</f>
        <v>23363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SUM('1st Qtr'!C5, '2nd Qtr'!C5, '3rd Qtr'!C5, '4th Qtr'!C5)</f>
        <v>29390</v>
      </c>
      <c r="D5" s="20">
        <f>SUM('1st Qtr'!D5, '2nd Qtr'!D5, '3rd Qtr'!D5, '4th Qtr'!D5)</f>
        <v>0</v>
      </c>
      <c r="E5" s="20">
        <f t="shared" ref="E5:E7" si="0">IF(AND(ISNUMBER(C5),ISNUMBER(D5)), C5-D5, "")</f>
        <v>29390</v>
      </c>
      <c r="F5" s="21" t="str">
        <f>IFERROR(E5/D5, "")</f>
        <v/>
      </c>
      <c r="G5" s="22">
        <f>SUM('1st Qtr'!G5, '2nd Qtr'!G5, '3rd Qtr'!G5, '4th Qtr'!G5)</f>
        <v>0</v>
      </c>
      <c r="H5" s="22">
        <f>SUM('1st Qtr'!H5, '2nd Qtr'!H5, '3rd Qtr'!H5, '4th Qtr'!H5)</f>
        <v>29390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SUM('1st Qtr'!C6, '2nd Qtr'!C6, '3rd Qtr'!C6, '4th Qtr'!C6)</f>
        <v>10074</v>
      </c>
      <c r="D6" s="14">
        <f>SUM('1st Qtr'!D6, '2nd Qtr'!D6, '3rd Qtr'!D6, '4th Qtr'!D6)</f>
        <v>0</v>
      </c>
      <c r="E6" s="14">
        <f t="shared" si="0"/>
        <v>10074</v>
      </c>
      <c r="F6" s="15" t="str">
        <f t="shared" ref="F6:F7" si="1">IFERROR(E6/D6, "")</f>
        <v/>
      </c>
      <c r="G6" s="16">
        <f>SUM('1st Qtr'!G6, '2nd Qtr'!G6, '3rd Qtr'!G6, '4th Qtr'!G6)</f>
        <v>0</v>
      </c>
      <c r="H6" s="16">
        <f>SUM('1st Qtr'!H6, '2nd Qtr'!H6, '3rd Qtr'!H6, '4th Qtr'!H6)</f>
        <v>10074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SUM('1st Qtr'!C7, '2nd Qtr'!C7, '3rd Qtr'!C7, '4th Qtr'!C7)</f>
        <v>6865</v>
      </c>
      <c r="D7" s="20">
        <f>SUM('1st Qtr'!D7, '2nd Qtr'!D7, '3rd Qtr'!D7, '4th Qtr'!D7)</f>
        <v>8421</v>
      </c>
      <c r="E7" s="20">
        <f t="shared" si="0"/>
        <v>-1556</v>
      </c>
      <c r="F7" s="21">
        <f t="shared" si="1"/>
        <v>-0.18477615485096782</v>
      </c>
      <c r="G7" s="22">
        <f>SUM('1st Qtr'!G7, '2nd Qtr'!G7, '3rd Qtr'!G7, '4th Qtr'!G7)</f>
        <v>0</v>
      </c>
      <c r="H7" s="22">
        <f>SUM('1st Qtr'!H7, '2nd Qtr'!H7, '3rd Qtr'!H7, '4th Qtr'!H7)</f>
        <v>6865</v>
      </c>
      <c r="I7" s="21" t="str">
        <f>IFERROR(H7/G7, "")</f>
        <v/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tabSelected="1" workbookViewId="0">
      <pane ySplit="2" topLeftCell="A3" activePane="bottomLeft" state="frozen"/>
      <selection pane="bottomLeft" activeCell="E13" sqref="E13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LX International America, Inc.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>
      <c r="A2" s="56" t="s">
        <v>2</v>
      </c>
      <c r="B2" s="56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23363</v>
      </c>
      <c r="D4" s="14">
        <f>SUM(Jan!D4, Feb!D4, Mar!D4)</f>
        <v>0</v>
      </c>
      <c r="E4" s="14">
        <f>IF(AND(ISNUMBER(C4),ISNUMBER(D4)), C4-D4, "")</f>
        <v>23363</v>
      </c>
      <c r="F4" s="15" t="str">
        <f>IFERROR(E4/D4, "")</f>
        <v/>
      </c>
      <c r="G4" s="16">
        <f>SUM(Jan!G4, Feb!G4, Mar!G4)</f>
        <v>0</v>
      </c>
      <c r="H4" s="16">
        <f>SUM(Jan!H4, Feb!H4, Mar!H4)</f>
        <v>23363</v>
      </c>
      <c r="I4" s="17" t="str">
        <f>IFERROR(H4/G4,"")</f>
        <v/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29390</v>
      </c>
      <c r="D5" s="20">
        <f>SUM(Jan!D5, Feb!D5, Mar!D5)</f>
        <v>0</v>
      </c>
      <c r="E5" s="20">
        <f t="shared" ref="E5:E7" si="0">IF(AND(ISNUMBER(C5),ISNUMBER(D5)), C5-D5, "")</f>
        <v>29390</v>
      </c>
      <c r="F5" s="21" t="str">
        <f>IFERROR(E5/D5, "")</f>
        <v/>
      </c>
      <c r="G5" s="22">
        <f>SUM(Jan!G5, Feb!G5, Mar!G5)</f>
        <v>0</v>
      </c>
      <c r="H5" s="22">
        <f>SUM(Jan!H5, Feb!H5, Mar!H5)</f>
        <v>29390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10074</v>
      </c>
      <c r="D6" s="14">
        <f>SUM(Jan!D6, Feb!D6, Mar!D6)</f>
        <v>0</v>
      </c>
      <c r="E6" s="14">
        <f t="shared" si="0"/>
        <v>10074</v>
      </c>
      <c r="F6" s="15" t="str">
        <f t="shared" ref="F6:F7" si="1">IFERROR(E6/D6, "")</f>
        <v/>
      </c>
      <c r="G6" s="16">
        <f>SUM(Jan!G6, Feb!G6, Mar!G6)</f>
        <v>0</v>
      </c>
      <c r="H6" s="16">
        <f>SUM(Jan!H6, Feb!H6, Mar!H6)</f>
        <v>10074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6865</v>
      </c>
      <c r="D7" s="20">
        <f>SUM(Jan!D7, Feb!D7, Mar!D7)</f>
        <v>8421</v>
      </c>
      <c r="E7" s="20">
        <f t="shared" si="0"/>
        <v>-1556</v>
      </c>
      <c r="F7" s="21">
        <f t="shared" si="1"/>
        <v>-0.18477615485096782</v>
      </c>
      <c r="G7" s="22">
        <f>SUM(Jan!G7, Feb!G7, Mar!G7)</f>
        <v>0</v>
      </c>
      <c r="H7" s="22">
        <f>SUM(Jan!H7, Feb!H7, Mar!H7)</f>
        <v>6865</v>
      </c>
      <c r="I7" s="21" t="str">
        <f>IFERROR(H7/G7, "")</f>
        <v/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H4" sqref="H4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LX International America, Inc.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9" ht="19.5" customHeight="1">
      <c r="A2" s="56" t="s">
        <v>2</v>
      </c>
      <c r="B2" s="5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7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>
        <f>SUM(Apr!G7,May!G7,Jun!G7)</f>
        <v>0</v>
      </c>
      <c r="H7" s="22">
        <f>SUM(Apr!H7, May!H7, Jun!H7)</f>
        <v>0</v>
      </c>
      <c r="I7" s="21" t="str">
        <f t="shared" si="2"/>
        <v/>
      </c>
    </row>
    <row r="8" spans="1:9" ht="15.75">
      <c r="A8" s="19"/>
      <c r="B8" s="11"/>
      <c r="C8" s="12"/>
      <c r="D8" s="20"/>
      <c r="E8" s="20"/>
      <c r="F8" s="21"/>
      <c r="G8" s="22"/>
      <c r="H8" s="22"/>
      <c r="I8" s="21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I16" sqref="I16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LX International America, Inc.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9" ht="19.5" customHeight="1">
      <c r="A2" s="56" t="s">
        <v>2</v>
      </c>
      <c r="B2" s="5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75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F19" sqref="F19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LX International America, Inc.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zoomScale="70" zoomScaleNormal="70" workbookViewId="0">
      <pane ySplit="3" topLeftCell="A4" activePane="bottomLeft" state="frozen"/>
      <selection pane="bottomLeft" activeCell="F12" sqref="F12"/>
      <selection activeCell="H22" sqref="H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LX International America, Inc.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23363</v>
      </c>
      <c r="D4" s="14">
        <v>0</v>
      </c>
      <c r="E4" s="14">
        <f>IF(AND(ISNUMBER(C4),ISNUMBER(D4)), C4-D4, "")</f>
        <v>23363</v>
      </c>
      <c r="F4" s="15">
        <f>IFERROR(E4/D4,0)</f>
        <v>0</v>
      </c>
      <c r="G4" s="16">
        <v>0</v>
      </c>
      <c r="H4" s="16">
        <f>IF(AND(ISNUMBER(C4),ISNUMBER(G4)), C4-G4, "")</f>
        <v>23363</v>
      </c>
      <c r="I4" s="17">
        <f>IFERROR(H4/G4, 0)</f>
        <v>0</v>
      </c>
      <c r="J4" s="18" t="s">
        <v>22</v>
      </c>
      <c r="K4" s="18" t="s">
        <v>23</v>
      </c>
    </row>
    <row r="5" spans="1:11" ht="99.75" customHeight="1">
      <c r="A5" s="32" t="str">
        <v>AZ: Lake Havasu City - Aquatic Center</v>
      </c>
      <c r="B5" s="33" t="str">
        <v>AZ</v>
      </c>
      <c r="C5" s="12">
        <v>29390</v>
      </c>
      <c r="D5" s="20">
        <v>0</v>
      </c>
      <c r="E5" s="20">
        <f t="shared" ref="E5:E6" si="0">IF(AND(ISNUMBER(C5),ISNUMBER(D5)), C5-D5, "")</f>
        <v>29390</v>
      </c>
      <c r="F5" s="21">
        <f>IFERROR(E5/D5, 0)</f>
        <v>0</v>
      </c>
      <c r="G5" s="22">
        <v>0</v>
      </c>
      <c r="H5" s="22">
        <f t="shared" ref="H5:H6" si="1">IF(AND(ISNUMBER(C5),ISNUMBER(G5)), C5-G5, "")</f>
        <v>29390</v>
      </c>
      <c r="I5" s="21">
        <f>IFERROR(H5/G5, 0)</f>
        <v>0</v>
      </c>
      <c r="J5" s="43" t="s">
        <v>24</v>
      </c>
      <c r="K5" s="43" t="s">
        <v>25</v>
      </c>
    </row>
    <row r="6" spans="1:11" ht="85.5">
      <c r="A6" s="30" t="str">
        <v>AZ: Lake Havasu City - City Hall</v>
      </c>
      <c r="B6" s="31" t="str">
        <v>AZ</v>
      </c>
      <c r="C6" s="26">
        <v>10074</v>
      </c>
      <c r="D6" s="14">
        <v>0</v>
      </c>
      <c r="E6" s="14">
        <f t="shared" si="0"/>
        <v>10074</v>
      </c>
      <c r="F6" s="15">
        <f>IFERROR(E6/D6, 0)</f>
        <v>0</v>
      </c>
      <c r="G6" s="16">
        <v>0</v>
      </c>
      <c r="H6" s="16">
        <f t="shared" si="1"/>
        <v>10074</v>
      </c>
      <c r="I6" s="17">
        <f>IFERROR(H6/G6, 0)</f>
        <v>0</v>
      </c>
      <c r="J6" s="18" t="s">
        <v>26</v>
      </c>
      <c r="K6" s="18" t="s">
        <v>27</v>
      </c>
    </row>
    <row r="7" spans="1:11" ht="28.5">
      <c r="A7" s="32" t="str">
        <v>AZ: Lake Havasu City - Public Works</v>
      </c>
      <c r="B7" s="33" t="str">
        <v>AZ</v>
      </c>
      <c r="C7" s="12">
        <v>6865</v>
      </c>
      <c r="D7" s="20">
        <v>8421</v>
      </c>
      <c r="E7" s="20">
        <f t="shared" ref="E7:E8" si="2">IF(AND(ISNUMBER(C7),ISNUMBER(D7)), C7-D7, "")</f>
        <v>-1556</v>
      </c>
      <c r="F7" s="21">
        <f>IFERROR(E7/D7, 0)</f>
        <v>-0.18477615485096782</v>
      </c>
      <c r="G7" s="22">
        <v>0</v>
      </c>
      <c r="H7" s="22">
        <f t="shared" ref="H7:H8" si="3">IF(AND(ISNUMBER(C7),ISNUMBER(G7)), C7-G7, "")</f>
        <v>6865</v>
      </c>
      <c r="I7" s="21">
        <f>IFERROR(H7/G7, 0)</f>
        <v>0</v>
      </c>
      <c r="J7" s="43" t="s">
        <v>28</v>
      </c>
      <c r="K7" s="52" t="s">
        <v>29</v>
      </c>
    </row>
    <row r="8" spans="1:11" ht="15.75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2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5"/>
  <sheetViews>
    <sheetView zoomScale="90" zoomScaleNormal="90" workbookViewId="0">
      <pane ySplit="2" topLeftCell="A3" activePane="bottomLeft" state="frozen"/>
      <selection pane="bottomLeft" activeCell="G29" sqref="G29"/>
      <selection activeCell="G29" sqref="G29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LX International America, Inc.</v>
      </c>
      <c r="B1" s="54"/>
      <c r="C1" s="54"/>
      <c r="D1" s="55" t="s">
        <v>30</v>
      </c>
      <c r="E1" s="55"/>
      <c r="F1" s="55"/>
      <c r="G1" s="53" t="s">
        <v>31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36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5"/>
      <c r="K5" s="44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44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I23" sqref="I23"/>
      <selection activeCell="G29" sqref="G29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LX International America, Inc.</v>
      </c>
      <c r="B1" s="54"/>
      <c r="C1" s="54"/>
      <c r="D1" s="55" t="s">
        <v>32</v>
      </c>
      <c r="E1" s="55"/>
      <c r="F1" s="55"/>
      <c r="G1" s="53" t="s">
        <v>33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46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5"/>
      <c r="K5" s="47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3"/>
      <c r="H7" s="22" t="str">
        <f t="shared" si="1"/>
        <v/>
      </c>
      <c r="I7" s="21" t="str">
        <f t="shared" si="2"/>
        <v/>
      </c>
      <c r="J7" s="43"/>
      <c r="K7" s="47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LX International America, Inc.</v>
      </c>
      <c r="B1" s="54"/>
      <c r="C1" s="54"/>
      <c r="D1" s="55" t="s">
        <v>34</v>
      </c>
      <c r="E1" s="55"/>
      <c r="F1" s="55"/>
      <c r="G1" s="53" t="s">
        <v>35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43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G12" sqref="G1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LX International America, Inc.</v>
      </c>
      <c r="B1" s="54"/>
      <c r="C1" s="54"/>
      <c r="D1" s="55" t="s">
        <v>36</v>
      </c>
      <c r="E1" s="55"/>
      <c r="F1" s="55"/>
      <c r="G1" s="53" t="s">
        <v>37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" customHeight="1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9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8"/>
      <c r="K5" s="49"/>
    </row>
    <row r="6" spans="1:11" ht="43.5" customHeight="1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44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LX International America, Inc.</v>
      </c>
      <c r="B1" s="54"/>
      <c r="C1" s="54"/>
      <c r="D1" s="55" t="s">
        <v>38</v>
      </c>
      <c r="E1" s="55"/>
      <c r="F1" s="55"/>
      <c r="G1" s="53" t="s">
        <v>39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42.75" customHeight="1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44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LX International America, Inc.</v>
      </c>
      <c r="B1" s="54"/>
      <c r="C1" s="54"/>
      <c r="D1" s="55" t="s">
        <v>40</v>
      </c>
      <c r="E1" s="55"/>
      <c r="F1" s="55"/>
      <c r="G1" s="53" t="s">
        <v>41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7"/>
      <c r="K7" s="47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LX International America, Inc.</v>
      </c>
      <c r="B1" s="54"/>
      <c r="C1" s="54"/>
      <c r="D1" s="55" t="s">
        <v>42</v>
      </c>
      <c r="E1" s="55"/>
      <c r="F1" s="55"/>
      <c r="G1" s="53" t="s">
        <v>43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0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7"/>
      <c r="K7" s="47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LX International America, Inc.</v>
      </c>
      <c r="B1" s="54"/>
      <c r="C1" s="54"/>
      <c r="D1" s="55" t="s">
        <v>44</v>
      </c>
      <c r="E1" s="55"/>
      <c r="F1" s="55"/>
      <c r="G1" s="53" t="s">
        <v>45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7"/>
      <c r="K7" s="47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</cols>
  <sheetData>
    <row r="1" spans="1:11" ht="19.5" customHeight="1">
      <c r="A1" s="54" t="str" cm="1">
        <f t="array" ref="A1">portfolio</f>
        <v>LX International America, Inc.</v>
      </c>
      <c r="B1" s="54"/>
      <c r="C1" s="54"/>
      <c r="D1" s="55" t="s">
        <v>46</v>
      </c>
      <c r="E1" s="55"/>
      <c r="F1" s="55"/>
      <c r="G1" s="53" t="s">
        <v>47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1.7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51"/>
      <c r="K5" s="44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7"/>
      <c r="K7" s="44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15">
      <c r="A11" s="23"/>
      <c r="B11" s="23"/>
      <c r="C11" s="23"/>
      <c r="F11" s="23"/>
      <c r="G11" s="23"/>
      <c r="H11" s="23"/>
      <c r="I11" s="23"/>
      <c r="J11" s="23"/>
      <c r="K11" s="23"/>
    </row>
    <row r="12" spans="1:11" ht="13.15">
      <c r="A12" s="23"/>
      <c r="B12" s="23"/>
      <c r="F12" s="23"/>
      <c r="G12" s="23"/>
      <c r="H12" s="23"/>
      <c r="I12" s="23"/>
      <c r="J12" s="23"/>
      <c r="K12" s="23"/>
    </row>
    <row r="13" spans="1:11" ht="13.15">
      <c r="A13" s="23"/>
      <c r="B13" s="23"/>
      <c r="F13" s="23"/>
      <c r="G13" s="23"/>
      <c r="H13" s="23"/>
      <c r="I13" s="23"/>
      <c r="J13" s="23"/>
      <c r="K13" s="23"/>
    </row>
    <row r="14" spans="1:11" ht="13.9">
      <c r="A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H25" s="23"/>
      <c r="I25" s="24"/>
      <c r="J25" s="23"/>
      <c r="K25" s="23"/>
    </row>
    <row r="26" spans="1:11" ht="14.25">
      <c r="A26" s="23"/>
      <c r="B26" s="35"/>
      <c r="C26" s="23"/>
      <c r="D26" s="24"/>
      <c r="E26" s="23"/>
      <c r="F26" s="23"/>
      <c r="H26" s="23"/>
      <c r="I26" s="24"/>
      <c r="J26" s="23"/>
      <c r="K26" s="23"/>
    </row>
    <row r="27" spans="1:11" ht="14.25">
      <c r="A27" s="23"/>
      <c r="B27" s="35"/>
      <c r="C27" s="23"/>
      <c r="D27" s="24"/>
      <c r="E27" s="23"/>
      <c r="F27" s="23"/>
      <c r="H27" s="23"/>
      <c r="I27" s="24"/>
      <c r="J27" s="23"/>
      <c r="K27" s="23"/>
    </row>
    <row r="28" spans="1:11" ht="14.25">
      <c r="A28" s="23"/>
      <c r="B28" s="35"/>
      <c r="C28" s="23"/>
      <c r="D28" s="24"/>
      <c r="E28" s="23"/>
      <c r="F28" s="23"/>
      <c r="H28" s="23"/>
      <c r="I28" s="24"/>
      <c r="K28" s="23"/>
    </row>
    <row r="29" spans="1:11" ht="14.25">
      <c r="A29" s="23"/>
      <c r="B29" s="35"/>
      <c r="C29" s="23"/>
      <c r="D29" s="24"/>
      <c r="E29" s="23"/>
      <c r="F29" s="23"/>
      <c r="H29" s="23"/>
      <c r="I29" s="24"/>
      <c r="J29" s="23"/>
      <c r="K29" s="23"/>
    </row>
    <row r="30" spans="1:11" ht="14.25">
      <c r="A30" s="23"/>
      <c r="B30" s="35"/>
      <c r="C30" s="23"/>
      <c r="D30" s="24"/>
      <c r="E30" s="23"/>
      <c r="F30" s="23"/>
      <c r="H30" s="23"/>
      <c r="I30" s="24"/>
      <c r="J30" s="23"/>
      <c r="K30" s="23"/>
    </row>
    <row r="31" spans="1:11" ht="14.25">
      <c r="A31" s="23"/>
      <c r="B31" s="35"/>
      <c r="C31" s="23"/>
      <c r="D31" s="24"/>
      <c r="E31" s="23"/>
      <c r="F31" s="23"/>
      <c r="H31" s="23"/>
      <c r="I31" s="24"/>
      <c r="J31" s="23"/>
      <c r="K31" s="23"/>
    </row>
    <row r="32" spans="1:11" ht="14.25">
      <c r="A32" s="23"/>
      <c r="B32" s="35"/>
      <c r="C32" s="23"/>
      <c r="D32" s="24"/>
      <c r="E32" s="23"/>
      <c r="F32" s="23"/>
      <c r="H32" s="23"/>
      <c r="I32" s="24"/>
      <c r="J32" s="23"/>
      <c r="K32" s="23"/>
    </row>
    <row r="33" spans="1:11" ht="14.25">
      <c r="A33" s="23"/>
      <c r="B33" s="35"/>
      <c r="C33" s="23"/>
      <c r="D33" s="24"/>
      <c r="E33" s="23"/>
      <c r="F33" s="23"/>
      <c r="H33" s="23"/>
      <c r="I33" s="24"/>
      <c r="J33" s="23"/>
      <c r="K33" s="23"/>
    </row>
    <row r="34" spans="1:11" ht="14.25">
      <c r="A34" s="23"/>
      <c r="B34" s="35"/>
      <c r="C34" s="23"/>
      <c r="D34" s="24"/>
      <c r="E34" s="23"/>
      <c r="F34" s="23"/>
      <c r="H34" s="23"/>
      <c r="I34" s="24"/>
      <c r="J34" s="23"/>
      <c r="K34" s="23"/>
    </row>
    <row r="35" spans="1:11" ht="14.25">
      <c r="A35" s="23"/>
      <c r="B35" s="35"/>
      <c r="C35" s="23"/>
      <c r="D35" s="24"/>
      <c r="E35" s="23"/>
      <c r="F35" s="23"/>
      <c r="H35" s="23"/>
      <c r="I35" s="24"/>
      <c r="J35" s="23"/>
      <c r="K35" s="23"/>
    </row>
    <row r="36" spans="1:11" ht="14.25">
      <c r="A36" s="23"/>
      <c r="B36" s="35"/>
      <c r="C36" s="23"/>
      <c r="D36" s="24"/>
      <c r="E36" s="23"/>
      <c r="F36" s="23"/>
      <c r="H36" s="23"/>
      <c r="I36" s="24"/>
      <c r="J36" s="23"/>
      <c r="K36" s="23"/>
    </row>
    <row r="37" spans="1:11" ht="14.25">
      <c r="A37" s="23"/>
      <c r="B37" s="35"/>
      <c r="C37" s="23"/>
      <c r="D37" s="24"/>
      <c r="E37" s="23"/>
      <c r="F37" s="23"/>
      <c r="H37" s="23"/>
      <c r="I37" s="24"/>
      <c r="J37" s="23"/>
      <c r="K37" s="23"/>
    </row>
    <row r="38" spans="1:11" ht="14.25">
      <c r="A38" s="23"/>
      <c r="B38" s="35"/>
      <c r="C38" s="23"/>
      <c r="D38" s="24"/>
      <c r="E38" s="23"/>
      <c r="F38" s="23"/>
      <c r="H38" s="23"/>
      <c r="I38" s="24"/>
      <c r="J38" s="23"/>
      <c r="K38" s="23"/>
    </row>
    <row r="39" spans="1:11" ht="14.25">
      <c r="A39" s="23"/>
      <c r="B39" s="35"/>
      <c r="C39" s="23"/>
      <c r="D39" s="24"/>
      <c r="E39" s="23"/>
      <c r="F39" s="23"/>
      <c r="H39" s="23"/>
      <c r="I39" s="24"/>
      <c r="J39" s="23"/>
      <c r="K39" s="23"/>
    </row>
    <row r="40" spans="1:11" ht="14.25">
      <c r="A40" s="23"/>
      <c r="B40" s="35"/>
      <c r="C40" s="23"/>
      <c r="D40" s="24"/>
      <c r="E40" s="23"/>
      <c r="F40" s="23"/>
      <c r="H40" s="23"/>
      <c r="I40" s="24"/>
      <c r="J40" s="23"/>
      <c r="K40" s="23"/>
    </row>
    <row r="41" spans="1:11" ht="14.2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LX International America, Inc.</v>
      </c>
      <c r="B1" s="54"/>
      <c r="C1" s="54"/>
      <c r="D1" s="55" t="s">
        <v>48</v>
      </c>
      <c r="E1" s="55"/>
      <c r="F1" s="55"/>
      <c r="G1" s="53" t="s">
        <v>49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0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8"/>
      <c r="K5" s="47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LX International America, Inc.</v>
      </c>
      <c r="B1" s="54"/>
      <c r="C1" s="54"/>
      <c r="D1" s="55" t="s">
        <v>50</v>
      </c>
      <c r="E1" s="55"/>
      <c r="F1" s="55"/>
      <c r="G1" s="53" t="s">
        <v>51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8"/>
      <c r="K5" s="47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52</v>
      </c>
      <c r="B1" t="s">
        <v>53</v>
      </c>
    </row>
    <row r="3" spans="1:7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7" ht="14.25">
      <c r="A4" t="s">
        <v>57</v>
      </c>
      <c r="B4" t="s">
        <v>57</v>
      </c>
      <c r="C4" s="4" t="s">
        <v>58</v>
      </c>
      <c r="G4" s="3"/>
    </row>
    <row r="5" spans="1:7" ht="14.25">
      <c r="A5" t="s">
        <v>59</v>
      </c>
      <c r="B5" t="s">
        <v>59</v>
      </c>
      <c r="C5" s="4" t="s">
        <v>58</v>
      </c>
      <c r="G5" s="3"/>
    </row>
    <row r="6" spans="1:7" ht="14.25">
      <c r="A6" t="s">
        <v>60</v>
      </c>
      <c r="B6" t="s">
        <v>60</v>
      </c>
      <c r="C6" s="4" t="s">
        <v>58</v>
      </c>
      <c r="G6" s="3"/>
    </row>
    <row r="7" spans="1:7" ht="12.75" customHeight="1">
      <c r="A7" t="s">
        <v>61</v>
      </c>
      <c r="B7" t="s">
        <v>61</v>
      </c>
      <c r="C7" s="4" t="s">
        <v>58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C0BCDC1E-6052-4E48-9BAF-94A40814E7C2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2025-03-01T11:18:00Z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