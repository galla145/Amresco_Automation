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ervice request file\"/>
    </mc:Choice>
  </mc:AlternateContent>
  <xr:revisionPtr revIDLastSave="5" documentId="13_ncr:1_{D68D2E8F-D22C-484D-B1B7-E8A05010FA44}" xr6:coauthVersionLast="47" xr6:coauthVersionMax="47" xr10:uidLastSave="{8803BADA-7525-4019-8562-393EF2EAFE74}"/>
  <bookViews>
    <workbookView xWindow="-98" yWindow="-98" windowWidth="21795" windowHeight="12975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8" l="1"/>
  <c r="I8" i="18"/>
  <c r="H10" i="18"/>
  <c r="G10" i="18"/>
  <c r="H8" i="18"/>
  <c r="H9" i="18"/>
  <c r="F10" i="18"/>
  <c r="E10" i="18"/>
  <c r="D10" i="18"/>
  <c r="C10" i="18"/>
  <c r="H9" i="29"/>
  <c r="H10" i="29"/>
  <c r="G9" i="29"/>
  <c r="G10" i="29"/>
  <c r="F9" i="29"/>
  <c r="F10" i="29"/>
  <c r="E10" i="29"/>
  <c r="D10" i="29"/>
  <c r="C10" i="29"/>
  <c r="G10" i="1"/>
  <c r="G10" i="34" s="1"/>
  <c r="D10" i="1"/>
  <c r="D10" i="34" s="1"/>
  <c r="C10" i="1"/>
  <c r="I10" i="30"/>
  <c r="H10" i="30"/>
  <c r="G10" i="30"/>
  <c r="H8" i="30"/>
  <c r="H9" i="30"/>
  <c r="F10" i="30"/>
  <c r="E10" i="30"/>
  <c r="D10" i="30"/>
  <c r="C10" i="30"/>
  <c r="H10" i="72"/>
  <c r="H10" i="1" s="1"/>
  <c r="H10" i="34" s="1"/>
  <c r="I10" i="34" s="1"/>
  <c r="E10" i="72"/>
  <c r="F10" i="72" s="1"/>
  <c r="H9" i="72"/>
  <c r="I9" i="72" s="1"/>
  <c r="E9" i="72"/>
  <c r="F9" i="72" s="1"/>
  <c r="A4" i="72" a="1"/>
  <c r="A4" i="72"/>
  <c r="B4" i="72" a="1"/>
  <c r="B4" i="72"/>
  <c r="E4" i="72"/>
  <c r="F4" i="72"/>
  <c r="H4" i="72"/>
  <c r="I4" i="72"/>
  <c r="I9" i="18"/>
  <c r="G8" i="18"/>
  <c r="G9" i="18"/>
  <c r="D9" i="18"/>
  <c r="E9" i="18" s="1"/>
  <c r="F9" i="18" s="1"/>
  <c r="C9" i="18"/>
  <c r="H9" i="1"/>
  <c r="G8" i="1"/>
  <c r="G9" i="1"/>
  <c r="I9" i="1" s="1"/>
  <c r="D8" i="1"/>
  <c r="D9" i="1"/>
  <c r="C9" i="1"/>
  <c r="H9" i="34"/>
  <c r="D9" i="30"/>
  <c r="C9" i="30"/>
  <c r="E9" i="30" s="1"/>
  <c r="F9" i="30" s="1"/>
  <c r="G6" i="30"/>
  <c r="G7" i="30"/>
  <c r="G8" i="30"/>
  <c r="G9" i="30"/>
  <c r="G5" i="30"/>
  <c r="G4" i="30"/>
  <c r="H9" i="33"/>
  <c r="I9" i="33"/>
  <c r="E9" i="33"/>
  <c r="F9" i="33" s="1"/>
  <c r="I9" i="31"/>
  <c r="I6" i="31"/>
  <c r="I8" i="31"/>
  <c r="H9" i="31"/>
  <c r="E9" i="31"/>
  <c r="F9" i="31" s="1"/>
  <c r="H9" i="32"/>
  <c r="I9" i="32" s="1"/>
  <c r="F8" i="32"/>
  <c r="E9" i="32"/>
  <c r="F9" i="32" s="1"/>
  <c r="E8" i="32"/>
  <c r="E6" i="31"/>
  <c r="H5" i="31"/>
  <c r="D9" i="29"/>
  <c r="C9" i="29"/>
  <c r="E9" i="29" s="1"/>
  <c r="G5" i="29"/>
  <c r="G6" i="29"/>
  <c r="G7" i="29"/>
  <c r="G8" i="29"/>
  <c r="G8" i="34" s="1"/>
  <c r="G4" i="29"/>
  <c r="H9" i="28"/>
  <c r="I9" i="28" s="1"/>
  <c r="E9" i="28"/>
  <c r="F9" i="28" s="1"/>
  <c r="E6" i="26"/>
  <c r="G4" i="18"/>
  <c r="G5" i="18"/>
  <c r="G6" i="18"/>
  <c r="G7" i="18"/>
  <c r="E4" i="4"/>
  <c r="E5" i="72"/>
  <c r="F5" i="72" s="1"/>
  <c r="E6" i="72"/>
  <c r="F6" i="72" s="1"/>
  <c r="E7" i="72"/>
  <c r="F7" i="72" s="1"/>
  <c r="E8" i="72"/>
  <c r="F8" i="72" s="1"/>
  <c r="E10" i="1" l="1"/>
  <c r="F10" i="1" s="1"/>
  <c r="C10" i="34"/>
  <c r="E10" i="34" s="1"/>
  <c r="F10" i="34" s="1"/>
  <c r="I10" i="1"/>
  <c r="E9" i="1"/>
  <c r="F9" i="1" s="1"/>
  <c r="I9" i="30"/>
  <c r="C9" i="34"/>
  <c r="G9" i="34"/>
  <c r="I9" i="34" s="1"/>
  <c r="D9" i="34"/>
  <c r="I9" i="29"/>
  <c r="C2" i="3"/>
  <c r="E9" i="34" l="1"/>
  <c r="F9" i="34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30" a="1"/>
  <c r="A4" i="30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G6" i="1"/>
  <c r="G6" i="34" s="1"/>
  <c r="G7" i="1"/>
  <c r="G7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8" i="30"/>
  <c r="C8" i="30"/>
  <c r="E8" i="30" s="1"/>
  <c r="F8" i="30" s="1"/>
  <c r="D7" i="30"/>
  <c r="C7" i="30"/>
  <c r="D6" i="30"/>
  <c r="C6" i="30"/>
  <c r="D5" i="30"/>
  <c r="C5" i="30"/>
  <c r="D4" i="30"/>
  <c r="C4" i="30"/>
  <c r="D8" i="29"/>
  <c r="C8" i="29"/>
  <c r="D7" i="29"/>
  <c r="C7" i="29"/>
  <c r="D6" i="29"/>
  <c r="C6" i="29"/>
  <c r="E6" i="29" s="1"/>
  <c r="F6" i="29" s="1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7" i="34" s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8" i="32"/>
  <c r="I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E8" i="31"/>
  <c r="F8" i="31" s="1"/>
  <c r="H7" i="31"/>
  <c r="I7" i="31" s="1"/>
  <c r="E7" i="31"/>
  <c r="F7" i="31" s="1"/>
  <c r="F6" i="31"/>
  <c r="I5" i="31"/>
  <c r="E5" i="31"/>
  <c r="F5" i="31" s="1"/>
  <c r="I4" i="3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8" i="26"/>
  <c r="E8" i="26"/>
  <c r="F8" i="26" s="1"/>
  <c r="H7" i="26"/>
  <c r="H7" i="29" s="1"/>
  <c r="E7" i="26"/>
  <c r="F7" i="26" s="1"/>
  <c r="H6" i="26"/>
  <c r="H6" i="29" s="1"/>
  <c r="F6" i="26"/>
  <c r="H5" i="26"/>
  <c r="E5" i="26"/>
  <c r="F5" i="26" s="1"/>
  <c r="H4" i="26"/>
  <c r="E4" i="26"/>
  <c r="F4" i="26" s="1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8" i="2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8" i="72"/>
  <c r="I8" i="72" s="1"/>
  <c r="H5" i="72"/>
  <c r="I5" i="72" s="1"/>
  <c r="G2" i="72"/>
  <c r="D2" i="72"/>
  <c r="C2" i="72"/>
  <c r="J2" i="72" s="1"/>
  <c r="A1" i="72" a="1"/>
  <c r="A1" i="72" s="1"/>
  <c r="H8" i="1" l="1"/>
  <c r="H7" i="34"/>
  <c r="I7" i="34" s="1"/>
  <c r="C6" i="34"/>
  <c r="E8" i="1"/>
  <c r="F8" i="1" s="1"/>
  <c r="C8" i="34"/>
  <c r="I8" i="26"/>
  <c r="H8" i="29"/>
  <c r="I8" i="29" s="1"/>
  <c r="D5" i="34"/>
  <c r="I4" i="26"/>
  <c r="H4" i="29"/>
  <c r="I4" i="29" s="1"/>
  <c r="D6" i="34"/>
  <c r="D7" i="34"/>
  <c r="I8" i="21"/>
  <c r="I5" i="26"/>
  <c r="H5" i="29"/>
  <c r="C5" i="34"/>
  <c r="D8" i="34"/>
  <c r="E5" i="30"/>
  <c r="F5" i="30" s="1"/>
  <c r="E8" i="29"/>
  <c r="F8" i="29" s="1"/>
  <c r="E7" i="18"/>
  <c r="F7" i="18" s="1"/>
  <c r="E5" i="18"/>
  <c r="F5" i="18" s="1"/>
  <c r="D2" i="18"/>
  <c r="I6" i="29"/>
  <c r="E4" i="18"/>
  <c r="F4" i="18" s="1"/>
  <c r="E8" i="18"/>
  <c r="F8" i="18" s="1"/>
  <c r="E6" i="30"/>
  <c r="F6" i="30" s="1"/>
  <c r="I7" i="29"/>
  <c r="D4" i="34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G2" i="1"/>
  <c r="E6" i="34"/>
  <c r="F6" i="34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I8" i="30"/>
  <c r="E7" i="29"/>
  <c r="F7" i="29" s="1"/>
  <c r="I6" i="26"/>
  <c r="I5" i="29"/>
  <c r="I7" i="26"/>
  <c r="H6" i="18"/>
  <c r="I6" i="18" s="1"/>
  <c r="H4" i="18"/>
  <c r="I4" i="18" s="1"/>
  <c r="H7" i="18"/>
  <c r="I7" i="18" s="1"/>
  <c r="C4" i="34"/>
  <c r="H5" i="18"/>
  <c r="I5" i="18" s="1"/>
  <c r="H5" i="34"/>
  <c r="I5" i="34" s="1"/>
  <c r="E7" i="34"/>
  <c r="F7" i="34" s="1"/>
  <c r="C2" i="29"/>
  <c r="H2" i="29" s="1"/>
  <c r="C2" i="30"/>
  <c r="E4" i="29"/>
  <c r="F4" i="29" s="1"/>
  <c r="C2" i="18"/>
  <c r="H7" i="1"/>
  <c r="I7" i="1" s="1"/>
  <c r="H4" i="1"/>
  <c r="H5" i="1"/>
  <c r="I5" i="1" s="1"/>
  <c r="H6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8" i="34" l="1"/>
  <c r="F8" i="34" s="1"/>
  <c r="E5" i="34"/>
  <c r="F5" i="34" s="1"/>
  <c r="D2" i="34"/>
  <c r="I6" i="1"/>
  <c r="H6" i="34"/>
  <c r="I6" i="34" s="1"/>
  <c r="I8" i="1"/>
  <c r="H8" i="34"/>
  <c r="I8" i="34" s="1"/>
  <c r="E4" i="34"/>
  <c r="F4" i="34" s="1"/>
  <c r="E2" i="29"/>
  <c r="F2" i="29" s="1"/>
  <c r="G2" i="34"/>
  <c r="H2" i="1"/>
  <c r="I2" i="1" s="1"/>
  <c r="C2" i="34"/>
  <c r="I4" i="1"/>
  <c r="H4" i="34"/>
  <c r="I4" i="34" s="1"/>
  <c r="I2" i="29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<sst xmlns="http://schemas.openxmlformats.org/spreadsheetml/2006/main" count="288" uniqueCount="89">
  <si>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</si>
  <si>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</si>
  <si>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</si>
  <si>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</si>
  <si>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</si>
  <si>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</si>
  <si>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</si>
  <si>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</si>
  <si>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</si>
  <si>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</si>
  <si>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</si>
  <si>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</si>
  <si>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</si>
  <si>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</si>
  <si>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</si>
  <si>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</si>
  <si>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</si>
  <si>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</si>
  <si>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</si>
  <si>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</si>
  <si>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</si>
  <si>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</si>
  <si>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Fans to be replaced for inverter 13.
2. Site was offline from 10:11 to 14:12on 01/14/25 due to a planned outage.</t>
  </si>
  <si>
    <t>1. SR085127 , SR093008
2. SR095541</t>
  </si>
  <si>
    <t>SR093008</t>
  </si>
  <si>
    <t>SR095541</t>
  </si>
  <si>
    <t>1. Inverters 13, 14, and 15 of Pad 5 were taken offline on 01/07/25 by a technician to replace the CAN cards  and back online on 01/09/25.
2. Pad 2 is tripped offline at 8:15AM on 01/26 due to an power derating and back online at 11:15AM the same day.</t>
  </si>
  <si>
    <t>1. SR095250
2. SR095250</t>
  </si>
  <si>
    <t>SR095250</t>
  </si>
  <si>
    <t>1. Site was offline from 10:00 AM to 12:15 PM on 01/03/25 due to a brief site outage.
2. Site was tripped offline at 6:30 AM on 01/20/25 due to a fire on a pole and came back online at 3:45 PM on 01/21/25 after repairs were made to the circuit by the Eversource crew</t>
  </si>
  <si>
    <t>1.SR095271
2.SR095714</t>
  </si>
  <si>
    <t>SR095714</t>
  </si>
  <si>
    <t>1. Inverter 13 has been offline since 11/07/24. It has been RMA'd on 02/04/24,  and parts need to be replaced in order to bring the inverter back online.
2. Inverter 7 has been offline since 12/18/24. It was RMA'd on 12/19/24, and parts need to be replaced in order to bring the inverter back online.
3. Inverter 11 tripped offline at 12:00 PM on 01/07/25 and back online on 01/08, again tripped offline at 12:35PM on 01/14/25 and back online on 01/15.</t>
  </si>
  <si>
    <t>1. SR092635
2. SR094914
3. SR095569</t>
  </si>
  <si>
    <t>SR094914</t>
  </si>
  <si>
    <t>SR095569</t>
  </si>
  <si>
    <t>1. Inverters 3,4,5,8,10,12,19,26,29,30,31,34 and 35 tripped offline at 10:30 AM to 13:45 on 01/02 due to "Grid voltage out of range".
2. Inverter 31 tripped offline at 12:00 PM  on 01/05 and back online at 07:00 AM on 01/06 due to "Inverter Over Current Fault".</t>
  </si>
  <si>
    <t>1. SR095238
2. SR095323</t>
  </si>
  <si>
    <t>SR095323</t>
  </si>
  <si>
    <t>1. Inverter 3 tripped offline at 11:36 AM on 01/04 due to a Bus Sum High fault and came back online at 7:00 AM on 01/05/25. It tripped offline again at 12:30 PM on 01/07 and came back online at 7:00 AM on 01/08/25.
2. Inverter 2 tripped offline at 8:45 AM on 01/18 due to a Steady State GFCI fault and back online at 7:00 AM on 01/19/25 .
3. Inverters 2, 5, 6, 7, 8, 9, 13, 15, 16, 18, 19, 20, and 21 tripped offline at 11:00 AM on 01/31 due to a steady-state GFCI fault throgh out the day.</t>
  </si>
  <si>
    <t>1. SR095310
2. SR095696
3. SR096176</t>
  </si>
  <si>
    <t>SR095696</t>
  </si>
  <si>
    <t>SR096176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</si>
  <si>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</si>
  <si>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</si>
  <si>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</si>
  <si>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</si>
  <si>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</si>
  <si>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</si>
  <si>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</si>
  <si>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</si>
  <si>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</si>
  <si>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</si>
  <si>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</si>
  <si>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</si>
  <si>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</si>
  <si>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</si>
  <si>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</si>
  <si>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</si>
  <si>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</si>
  <si>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</si>
  <si>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</si>
  <si>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</si>
  <si>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</si>
  <si>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</si>
  <si>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</si>
  <si>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Agilitas Energy</t>
  </si>
  <si>
    <t>Site DAS Name</t>
  </si>
  <si>
    <t>Update</t>
  </si>
  <si>
    <t>DAS</t>
  </si>
  <si>
    <t>Central Street Solar, Rowley</t>
  </si>
  <si>
    <t>Rowley - Central Street Solar</t>
  </si>
  <si>
    <t>MA</t>
  </si>
  <si>
    <t>AEF</t>
  </si>
  <si>
    <t>PowerTrack</t>
  </si>
  <si>
    <t>Leicester Street Solar: DAS + BESS</t>
  </si>
  <si>
    <t>Auburn - Leicester Street Solar</t>
  </si>
  <si>
    <t>Middleboro Road</t>
  </si>
  <si>
    <t>Rochester - Old Middleboro</t>
  </si>
  <si>
    <t>Littleworth Road Solar</t>
  </si>
  <si>
    <t>Dover - Littleworth Road</t>
  </si>
  <si>
    <t>NH</t>
  </si>
  <si>
    <t>SolrenView</t>
  </si>
  <si>
    <t>Milton Municipal Landfill</t>
  </si>
  <si>
    <t>Milton - Landfill</t>
  </si>
  <si>
    <t>Frankland Solar</t>
  </si>
  <si>
    <t>Hopkinton - 71 Frankland Rd</t>
  </si>
  <si>
    <t>Rustcraft Road Solar, LLC 100013</t>
  </si>
  <si>
    <t>Dedham - 100 Rustcraft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</si>
</sst>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0"/>
      <color theme="0"/>
      <name val="Arial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top" wrapText="1"/>
    </xf>
    <xf numFmtId="0" fontId="23" fillId="0" borderId="0" xfId="0" applyFont="1" applyAlignment="1">
      <alignment wrapText="1"/>
    </xf>
    <xf numFmtId="0" fontId="35" fillId="43" borderId="1" xfId="0" applyFont="1" applyFill="1" applyBorder="1" applyAlignment="1">
      <alignment horizontal="center" vertical="center" wrapText="1"/>
    </xf>
    <xf numFmtId="0" fontId="22" fillId="0" borderId="0" xfId="43" applyFont="1" applyAlignment="1">
      <alignment horizontal="left" wrapText="1"/>
    </xf>
    <xf numFmtId="0" fontId="22" fillId="0" borderId="0" xfId="43" applyFont="1"/>
    <xf numFmtId="49" fontId="28" fillId="0" borderId="0" xfId="0" applyNumberFormat="1" applyFont="1" applyAlignment="1">
      <alignment vertical="top" wrapText="1"/>
    </xf>
    <xf numFmtId="0" fontId="34" fillId="40" borderId="0" xfId="0" applyFont="1" applyFill="1" applyAlignment="1">
      <alignment vertical="top"/>
    </xf>
    <xf numFmtId="49" fontId="23" fillId="38" borderId="0" xfId="2" applyNumberFormat="1" applyFont="1" applyFill="1" applyBorder="1" applyAlignment="1">
      <alignment vertical="top" wrapText="1"/>
    </xf>
    <xf numFmtId="49" fontId="36" fillId="38" borderId="0" xfId="45" applyNumberFormat="1" applyFill="1" applyBorder="1" applyAlignment="1">
      <alignment vertical="top" wrapText="1"/>
    </xf>
    <xf numFmtId="49" fontId="36" fillId="0" borderId="0" xfId="45" applyNumberFormat="1" applyAlignment="1">
      <alignment horizontal="left" vertical="top" wrapText="1"/>
    </xf>
    <xf numFmtId="49" fontId="36" fillId="0" borderId="0" xfId="45" applyNumberFormat="1" applyAlignment="1">
      <alignment vertical="top" wrapText="1"/>
    </xf>
    <xf numFmtId="0" fontId="36" fillId="0" borderId="0" xfId="45" applyAlignment="1">
      <alignment horizontal="left" vertical="top"/>
    </xf>
    <xf numFmtId="0" fontId="36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0" totalsRowShown="0">
  <autoFilter ref="A3:E10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2635" TargetMode="External"/><Relationship Id="rId13" Type="http://schemas.openxmlformats.org/officeDocument/2006/relationships/hyperlink" Target="https://us3.assetplanner.com/service_request?ID=095310" TargetMode="External"/><Relationship Id="rId3" Type="http://schemas.openxmlformats.org/officeDocument/2006/relationships/hyperlink" Target="https://us3.assetplanner.com/service_request?ID=095541" TargetMode="External"/><Relationship Id="rId7" Type="http://schemas.openxmlformats.org/officeDocument/2006/relationships/hyperlink" Target="https://us3.assetplanner.com/service_request?ID=095714" TargetMode="External"/><Relationship Id="rId12" Type="http://schemas.openxmlformats.org/officeDocument/2006/relationships/hyperlink" Target="https://us3.assetplanner.com/service_request?ID=095323" TargetMode="External"/><Relationship Id="rId2" Type="http://schemas.openxmlformats.org/officeDocument/2006/relationships/hyperlink" Target="https://us3.assetplanner.com/service_request?ID=093008" TargetMode="External"/><Relationship Id="rId16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85127" TargetMode="External"/><Relationship Id="rId6" Type="http://schemas.openxmlformats.org/officeDocument/2006/relationships/hyperlink" Target="https://us3.assetplanner.com/service_request?ID=095271" TargetMode="External"/><Relationship Id="rId11" Type="http://schemas.openxmlformats.org/officeDocument/2006/relationships/hyperlink" Target="https://us3.assetplanner.com/service_request?ID=095238" TargetMode="External"/><Relationship Id="rId5" Type="http://schemas.openxmlformats.org/officeDocument/2006/relationships/hyperlink" Target="https://us3.assetplanner.com/service_request?ID=095250" TargetMode="External"/><Relationship Id="rId15" Type="http://schemas.openxmlformats.org/officeDocument/2006/relationships/hyperlink" Target="https://us3.assetplanner.com/service_request?ID=096176" TargetMode="External"/><Relationship Id="rId10" Type="http://schemas.openxmlformats.org/officeDocument/2006/relationships/hyperlink" Target="https://us3.assetplanner.com/service_request?ID=095569" TargetMode="External"/><Relationship Id="rId4" Type="http://schemas.openxmlformats.org/officeDocument/2006/relationships/hyperlink" Target="https://us3.assetplanner.com/service_request?ID=095250" TargetMode="External"/><Relationship Id="rId9" Type="http://schemas.openxmlformats.org/officeDocument/2006/relationships/hyperlink" Target="https://us3.assetplanner.com/service_request?ID=094914" TargetMode="External"/><Relationship Id="rId14" Type="http://schemas.openxmlformats.org/officeDocument/2006/relationships/hyperlink" Target="https://us3.assetplanner.com/service_request?ID=09569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I8" sqref="I8:I10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Agilitas Energy</v>
      </c>
      <c r="B1" s="66"/>
      <c r="C1" s="66"/>
      <c r="D1" s="67" t="s">
        <v>0</v>
      </c>
      <c r="E1" s="67"/>
      <c r="F1" s="67"/>
      <c r="G1" s="65" t="s">
        <v>1</v>
      </c>
      <c r="H1" s="65"/>
      <c r="I1" s="65"/>
    </row>
    <row r="2" spans="1:9" ht="19.5" customHeight="1">
      <c r="A2" s="68" t="s">
        <v>2</v>
      </c>
      <c r="B2" s="68"/>
      <c r="C2" s="5">
        <f>SUM(C4:C80)</f>
        <v>1432705.4739164715</v>
      </c>
      <c r="D2" s="5">
        <f>SUM(D4:D80)</f>
        <v>2047587.852</v>
      </c>
      <c r="E2" s="5">
        <f>C2-D2</f>
        <v>-614882.37808352849</v>
      </c>
      <c r="F2" s="6">
        <f>IFERROR(E2/D2, 0)</f>
        <v>-0.30029596897780797</v>
      </c>
      <c r="G2" s="5">
        <f>SUM(G4:G80)</f>
        <v>806550.55499999993</v>
      </c>
      <c r="H2" s="7">
        <f>C2-G2</f>
        <v>626154.91891647154</v>
      </c>
      <c r="I2" s="6">
        <f>IFERROR(H2/G2, 0)</f>
        <v>0.77633685208544878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9" t="str" cm="1">
        <f t="array" ref="A4:A10">Sites[Site]</f>
        <v>Rowley - Central Street Solar</v>
      </c>
      <c r="B4" s="30" t="str" cm="1">
        <f t="array" ref="B4:B10">Sites[State]</f>
        <v>MA</v>
      </c>
      <c r="C4" s="22">
        <f>SUM('1st Qtr'!C4, '2nd Qtr'!C4, '3rd Qtr'!C4, '4th Qtr'!C4)</f>
        <v>37932.475188442397</v>
      </c>
      <c r="D4" s="12">
        <f>SUM('1st Qtr'!D4, '2nd Qtr'!D4, '3rd Qtr'!D4, '4th Qtr'!D4)</f>
        <v>55631.28</v>
      </c>
      <c r="E4" s="12">
        <f>IF(AND(ISNUMBER(C4),ISNUMBER(D4)), C4-D4, "")</f>
        <v>-17698.804811557602</v>
      </c>
      <c r="F4" s="13">
        <f>IFERROR(E4/D4, "")</f>
        <v>-0.3181448424619675</v>
      </c>
      <c r="G4" s="14">
        <f>SUM('1st Qtr'!G4, '2nd Qtr'!G4, '3rd Qtr'!G4, '4th Qtr'!G4)</f>
        <v>41263.29</v>
      </c>
      <c r="H4" s="14">
        <f>SUM('1st Qtr'!H4, '2nd Qtr'!H4, '3rd Qtr'!H4, '4th Qtr'!H4)</f>
        <v>-3330.8148115576041</v>
      </c>
      <c r="I4" s="15">
        <f>IFERROR(H4/G4, "")</f>
        <v>-8.0721018890098292E-2</v>
      </c>
    </row>
    <row r="5" spans="1:9" ht="15.75">
      <c r="A5" s="50" t="str">
        <v>Auburn - Leicester Street Solar</v>
      </c>
      <c r="B5" s="28" t="str">
        <v>MA</v>
      </c>
      <c r="C5" s="16">
        <f>SUM('1st Qtr'!C5, '2nd Qtr'!C5, '3rd Qtr'!C5, '4th Qtr'!C5)</f>
        <v>403896</v>
      </c>
      <c r="D5" s="16">
        <f>SUM('1st Qtr'!D5, '2nd Qtr'!D5, '3rd Qtr'!D5, '4th Qtr'!D5)</f>
        <v>787406.2</v>
      </c>
      <c r="E5" s="16">
        <f t="shared" ref="E5:E10" si="0">IF(AND(ISNUMBER(C5),ISNUMBER(D5)), C5-D5, "")</f>
        <v>-383510.19999999995</v>
      </c>
      <c r="F5" s="17">
        <f>IFERROR(E5/D5, "")</f>
        <v>-0.48705509303838346</v>
      </c>
      <c r="G5" s="18">
        <f>SUM('1st Qtr'!G5, '2nd Qtr'!G5, '3rd Qtr'!G5, '4th Qtr'!G5)</f>
        <v>0</v>
      </c>
      <c r="H5" s="18">
        <f>SUM(Jan!H5, Feb!H5, Mar!H5)</f>
        <v>403896</v>
      </c>
      <c r="I5" s="17" t="str">
        <f>IFERROR(H5/G5, "")</f>
        <v/>
      </c>
    </row>
    <row r="6" spans="1:9" ht="15.75">
      <c r="A6" s="51" t="str">
        <v>Rochester - Old Middleboro</v>
      </c>
      <c r="B6" s="26" t="str">
        <v>MA</v>
      </c>
      <c r="C6" s="22">
        <f>SUM('1st Qtr'!C6, '2nd Qtr'!C6, '3rd Qtr'!C6, '4th Qtr'!C6)</f>
        <v>611256.99872802896</v>
      </c>
      <c r="D6" s="12">
        <f>SUM('1st Qtr'!D6, '2nd Qtr'!D6, '3rd Qtr'!D6, '4th Qtr'!D6)</f>
        <v>702798</v>
      </c>
      <c r="E6" s="12">
        <f t="shared" si="0"/>
        <v>-91541.001271971036</v>
      </c>
      <c r="F6" s="13">
        <f t="shared" ref="F6:F10" si="1">IFERROR(E6/D6, "")</f>
        <v>-0.13025222222028382</v>
      </c>
      <c r="G6" s="14">
        <f>SUM('1st Qtr'!G6, '2nd Qtr'!G6, '3rd Qtr'!G6, '4th Qtr'!G6)</f>
        <v>419559.3</v>
      </c>
      <c r="H6" s="14">
        <f>SUM('1st Qtr'!H6, '2nd Qtr'!H6, '3rd Qtr'!H6, '4th Qtr'!H6)</f>
        <v>191697.69872802898</v>
      </c>
      <c r="I6" s="15">
        <f t="shared" ref="I6:I10" si="2">IFERROR(H6/G6, "")</f>
        <v>0.45690251348981892</v>
      </c>
    </row>
    <row r="7" spans="1:9" ht="15.75">
      <c r="A7" s="50" t="str">
        <v>Dover - Littleworth Road</v>
      </c>
      <c r="B7" s="28" t="str">
        <v>NH</v>
      </c>
      <c r="C7" s="16">
        <f>SUM('1st Qtr'!C7, '2nd Qtr'!C7, '3rd Qtr'!C7, '4th Qtr'!C7)</f>
        <v>17331</v>
      </c>
      <c r="D7" s="16">
        <f>SUM('1st Qtr'!D7, '2nd Qtr'!D7, '3rd Qtr'!D7, '4th Qtr'!D7)</f>
        <v>0</v>
      </c>
      <c r="E7" s="16">
        <f t="shared" si="0"/>
        <v>17331</v>
      </c>
      <c r="F7" s="17" t="str">
        <f t="shared" si="1"/>
        <v/>
      </c>
      <c r="G7" s="18">
        <f>SUM('1st Qtr'!G7, '2nd Qtr'!G7, '3rd Qtr'!G7, '4th Qtr'!G7)</f>
        <v>0</v>
      </c>
      <c r="H7" s="18">
        <f>SUM(Jan!H7, Feb!H7, Mar!H7)</f>
        <v>17331</v>
      </c>
      <c r="I7" s="17" t="str">
        <f t="shared" si="2"/>
        <v/>
      </c>
    </row>
    <row r="8" spans="1:9" ht="15.75">
      <c r="A8" s="51" t="str">
        <v>Milton - Landfill</v>
      </c>
      <c r="B8" s="26" t="str">
        <v>NH</v>
      </c>
      <c r="C8" s="22">
        <f>SUM('1st Qtr'!C8, '2nd Qtr'!C8, '3rd Qtr'!C8, '4th Qtr'!C8)</f>
        <v>54795</v>
      </c>
      <c r="D8" s="12">
        <f>SUM('1st Qtr'!D8, '2nd Qtr'!D8, '3rd Qtr'!D8, '4th Qtr'!D8)</f>
        <v>0</v>
      </c>
      <c r="E8" s="12">
        <f t="shared" si="0"/>
        <v>54795</v>
      </c>
      <c r="F8" s="13" t="str">
        <f t="shared" si="1"/>
        <v/>
      </c>
      <c r="G8" s="14">
        <f>SUM('1st Qtr'!G8, '2nd Qtr'!G8, '3rd Qtr'!G8, '4th Qtr'!G8)</f>
        <v>0</v>
      </c>
      <c r="H8" s="14">
        <f>SUM('1st Qtr'!H8, '2nd Qtr'!H8, '3rd Qtr'!H8, '4th Qtr'!H8)</f>
        <v>54795</v>
      </c>
      <c r="I8" s="15" t="str">
        <f t="shared" si="2"/>
        <v/>
      </c>
    </row>
    <row r="9" spans="1:9" ht="15.75">
      <c r="A9" s="50" t="str">
        <v>Hopkinton - 71 Frankland Rd</v>
      </c>
      <c r="B9" s="28" t="str">
        <v>MA</v>
      </c>
      <c r="C9" s="16">
        <f>SUM('1st Qtr'!C9, '2nd Qtr'!C9, '3rd Qtr'!C9, '4th Qtr'!C9)</f>
        <v>266892</v>
      </c>
      <c r="D9" s="16">
        <f>SUM('1st Qtr'!D9, '2nd Qtr'!D9, '3rd Qtr'!D9, '4th Qtr'!D9)</f>
        <v>412403.20000000001</v>
      </c>
      <c r="E9" s="16">
        <f t="shared" si="0"/>
        <v>-145511.20000000001</v>
      </c>
      <c r="F9" s="17">
        <f t="shared" si="1"/>
        <v>-0.35283722337751017</v>
      </c>
      <c r="G9" s="18">
        <f>SUM('1st Qtr'!G9, '2nd Qtr'!G9, '3rd Qtr'!G9, '4th Qtr'!G9)</f>
        <v>284177</v>
      </c>
      <c r="H9" s="18">
        <f>SUM(Jan!H9, Feb!H9, Mar!H9)</f>
        <v>-17285</v>
      </c>
      <c r="I9" s="17">
        <f t="shared" si="2"/>
        <v>-6.0824767662407582E-2</v>
      </c>
    </row>
    <row r="10" spans="1:9" ht="15.75">
      <c r="A10" s="51" t="str">
        <v>Dedham - 100 Rustcraft Rd</v>
      </c>
      <c r="B10" s="26" t="str">
        <v>MA</v>
      </c>
      <c r="C10" s="22">
        <f>SUM('1st Qtr'!C10, '2nd Qtr'!C10, '3rd Qtr'!C10, '4th Qtr'!C10)</f>
        <v>40602</v>
      </c>
      <c r="D10" s="12">
        <f>SUM('1st Qtr'!D10, '2nd Qtr'!D10, '3rd Qtr'!D10, '4th Qtr'!D10)</f>
        <v>89349.172000000006</v>
      </c>
      <c r="E10" s="12">
        <f t="shared" si="0"/>
        <v>-48747.172000000006</v>
      </c>
      <c r="F10" s="13">
        <f t="shared" si="1"/>
        <v>-0.54558056788707565</v>
      </c>
      <c r="G10" s="14">
        <f>SUM('1st Qtr'!G10, '2nd Qtr'!G10, '3rd Qtr'!G10, '4th Qtr'!G10)</f>
        <v>61550.964999999997</v>
      </c>
      <c r="H10" s="14">
        <f>SUM('1st Qtr'!H10, '2nd Qtr'!H10, '3rd Qtr'!H10, '4th Qtr'!H10)</f>
        <v>-20948.964999999997</v>
      </c>
      <c r="I10" s="15">
        <f t="shared" si="2"/>
        <v>-0.34035152820106068</v>
      </c>
    </row>
    <row r="11" spans="1:9" ht="13.15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15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15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15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15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15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15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15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15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15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15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15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15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G17" sqref="G17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Agilitas Energy</v>
      </c>
      <c r="B1" s="66"/>
      <c r="C1" s="66"/>
      <c r="D1" s="67" t="s">
        <v>10</v>
      </c>
      <c r="E1" s="67"/>
      <c r="F1" s="67"/>
      <c r="G1" s="65" t="s">
        <v>11</v>
      </c>
      <c r="H1" s="65"/>
      <c r="I1" s="65"/>
    </row>
    <row r="2" spans="1:9" ht="19.5" customHeight="1">
      <c r="A2" s="68" t="s">
        <v>2</v>
      </c>
      <c r="B2" s="68"/>
      <c r="C2" s="5">
        <f>SUM(C4:C80)</f>
        <v>1432705.4739164715</v>
      </c>
      <c r="D2" s="5">
        <f>SUM(D4:D80)</f>
        <v>2047587.852</v>
      </c>
      <c r="E2" s="5">
        <f>C2-D2</f>
        <v>-614882.37808352849</v>
      </c>
      <c r="F2" s="6">
        <f>IFERROR(E2/D2, 0)</f>
        <v>-0.30029596897780797</v>
      </c>
      <c r="G2" s="5">
        <f>SUM(G4:G80)</f>
        <v>806550.55499999993</v>
      </c>
      <c r="H2" s="7">
        <f>C2-G2</f>
        <v>626154.91891647154</v>
      </c>
      <c r="I2" s="6">
        <f>IFERROR(H2/G2, 0)</f>
        <v>0.77633685208544878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6" t="str" cm="1">
        <f t="array" ref="A4:A10">Sites[Site]</f>
        <v>Rowley - Central Street Solar</v>
      </c>
      <c r="B4" s="9" t="str" cm="1">
        <f t="array" ref="B4:B10">Sites[State]</f>
        <v>MA</v>
      </c>
      <c r="C4" s="22">
        <f>SUM(Jan!C4, Feb!C4, Mar!C4)</f>
        <v>37932.475188442397</v>
      </c>
      <c r="D4" s="12">
        <f>SUM(Jan!D4, Feb!D4, Mar!D4)</f>
        <v>55631.28</v>
      </c>
      <c r="E4" s="12">
        <f>IF(AND(ISNUMBER(C4),ISNUMBER(D4)), C4-D4, "")</f>
        <v>-17698.804811557602</v>
      </c>
      <c r="F4" s="13">
        <f>IFERROR(E4/D4, "")</f>
        <v>-0.3181448424619675</v>
      </c>
      <c r="G4" s="14">
        <f>SUM(Jan!G4, Feb!G4, Mar!G4)</f>
        <v>41263.29</v>
      </c>
      <c r="H4" s="14">
        <f>SUM(Jan!H4, Feb!H4, Mar!H4)</f>
        <v>-3330.8148115576041</v>
      </c>
      <c r="I4" s="15">
        <f>IFERROR(H4/G4, "")</f>
        <v>-8.0721018890098292E-2</v>
      </c>
    </row>
    <row r="5" spans="1:9" ht="15.75">
      <c r="A5" s="47" t="str">
        <v>Auburn - Leicester Street Solar</v>
      </c>
      <c r="B5" s="10" t="str">
        <v>MA</v>
      </c>
      <c r="C5" s="11">
        <f>SUM(Jan!C5, Feb!C5, Mar!C5)</f>
        <v>403896</v>
      </c>
      <c r="D5" s="16">
        <f>SUM(Jan!D5, Feb!D5, Mar!D5)</f>
        <v>787406.2</v>
      </c>
      <c r="E5" s="16">
        <f t="shared" ref="E5:E10" si="0">IF(AND(ISNUMBER(C5),ISNUMBER(D5)), C5-D5, "")</f>
        <v>-383510.19999999995</v>
      </c>
      <c r="F5" s="17">
        <f>IFERROR(E5/D5, "")</f>
        <v>-0.48705509303838346</v>
      </c>
      <c r="G5" s="18">
        <f>SUM(Jan!G5, Feb!G5, Mar!G5)</f>
        <v>0</v>
      </c>
      <c r="H5" s="18">
        <f>SUM(Jan!H5, Feb!H5, Mar!H5)</f>
        <v>403896</v>
      </c>
      <c r="I5" s="17" t="str">
        <f>IFERROR(H5/G5, "")</f>
        <v/>
      </c>
    </row>
    <row r="6" spans="1:9" ht="15.75">
      <c r="A6" s="46" t="str">
        <v>Rochester - Old Middleboro</v>
      </c>
      <c r="B6" s="9" t="str">
        <v>MA</v>
      </c>
      <c r="C6" s="22">
        <f>SUM(Jan!C6, Feb!C6, Mar!C6)</f>
        <v>611256.99872802896</v>
      </c>
      <c r="D6" s="12">
        <f>SUM(Jan!D6, Feb!D6, Mar!D6)</f>
        <v>702798</v>
      </c>
      <c r="E6" s="12">
        <f t="shared" si="0"/>
        <v>-91541.001271971036</v>
      </c>
      <c r="F6" s="13">
        <f t="shared" ref="F6:F10" si="1">IFERROR(E6/D6, "")</f>
        <v>-0.13025222222028382</v>
      </c>
      <c r="G6" s="14">
        <f>SUM(Jan!G6, Feb!G6, Mar!G6)</f>
        <v>419559.3</v>
      </c>
      <c r="H6" s="14">
        <f>SUM(Jan!H6, Feb!H6, Mar!H6)</f>
        <v>191697.69872802898</v>
      </c>
      <c r="I6" s="15">
        <f t="shared" ref="I6:I10" si="2">IFERROR(H6/G6, "")</f>
        <v>0.45690251348981892</v>
      </c>
    </row>
    <row r="7" spans="1:9" ht="15.75">
      <c r="A7" s="47" t="str">
        <v>Dover - Littleworth Road</v>
      </c>
      <c r="B7" s="10" t="str">
        <v>NH</v>
      </c>
      <c r="C7" s="11">
        <f>SUM(Jan!C7, Feb!C7, Mar!C7)</f>
        <v>17331</v>
      </c>
      <c r="D7" s="16">
        <f>SUM(Jan!D7, Feb!D7, Mar!D7)</f>
        <v>0</v>
      </c>
      <c r="E7" s="16">
        <f t="shared" si="0"/>
        <v>17331</v>
      </c>
      <c r="F7" s="17" t="str">
        <f t="shared" si="1"/>
        <v/>
      </c>
      <c r="G7" s="18">
        <f>SUM(Jan!G7, Feb!G7, Mar!G7)</f>
        <v>0</v>
      </c>
      <c r="H7" s="18">
        <f>SUM(Jan!H7, Feb!H7, Mar!H7)</f>
        <v>17331</v>
      </c>
      <c r="I7" s="17" t="str">
        <f t="shared" si="2"/>
        <v/>
      </c>
    </row>
    <row r="8" spans="1:9" ht="15.75">
      <c r="A8" s="46" t="str">
        <v>Milton - Landfill</v>
      </c>
      <c r="B8" s="9" t="str">
        <v>NH</v>
      </c>
      <c r="C8" s="22">
        <f>SUM(Jan!C8, Feb!C8, Mar!C8)</f>
        <v>54795</v>
      </c>
      <c r="D8" s="12">
        <f>SUM(Jan!D8, Feb!D8, Mar!D8)</f>
        <v>0</v>
      </c>
      <c r="E8" s="12">
        <f t="shared" si="0"/>
        <v>54795</v>
      </c>
      <c r="F8" s="13" t="str">
        <f t="shared" si="1"/>
        <v/>
      </c>
      <c r="G8" s="14">
        <f>SUM(Jan!G8, Feb!G8, Mar!G8)</f>
        <v>0</v>
      </c>
      <c r="H8" s="14">
        <f>SUM(Jan!H8, Feb!H8, Mar!H8)</f>
        <v>54795</v>
      </c>
      <c r="I8" s="15" t="str">
        <f t="shared" si="2"/>
        <v/>
      </c>
    </row>
    <row r="9" spans="1:9" ht="15.75">
      <c r="A9" s="47" t="str">
        <v>Hopkinton - 71 Frankland Rd</v>
      </c>
      <c r="B9" s="10" t="str">
        <v>MA</v>
      </c>
      <c r="C9" s="11">
        <f>SUM(Jan!C9, Feb!C9, Mar!C9)</f>
        <v>266892</v>
      </c>
      <c r="D9" s="16">
        <f>SUM(Jan!D9, Feb!D9, Mar!D9)</f>
        <v>412403.20000000001</v>
      </c>
      <c r="E9" s="16">
        <f t="shared" si="0"/>
        <v>-145511.20000000001</v>
      </c>
      <c r="F9" s="17">
        <f t="shared" si="1"/>
        <v>-0.35283722337751017</v>
      </c>
      <c r="G9" s="18">
        <f>SUM(Jan!G9, Feb!G9, Mar!G9)</f>
        <v>284177</v>
      </c>
      <c r="H9" s="18">
        <f>SUM(Jan!H9, Feb!H9, Mar!H9)</f>
        <v>-17285</v>
      </c>
      <c r="I9" s="17">
        <f t="shared" si="2"/>
        <v>-6.0824767662407582E-2</v>
      </c>
    </row>
    <row r="10" spans="1:9" ht="15.75">
      <c r="A10" s="46" t="str">
        <v>Dedham - 100 Rustcraft Rd</v>
      </c>
      <c r="B10" s="9" t="str">
        <v>MA</v>
      </c>
      <c r="C10" s="22">
        <f>SUM(Jan!C10, Feb!C10, Mar!C10)</f>
        <v>40602</v>
      </c>
      <c r="D10" s="12">
        <f>SUM(Jan!D10, Feb!D10, Mar!D10)</f>
        <v>89349.172000000006</v>
      </c>
      <c r="E10" s="12">
        <f t="shared" si="0"/>
        <v>-48747.172000000006</v>
      </c>
      <c r="F10" s="13">
        <f t="shared" si="1"/>
        <v>-0.54558056788707565</v>
      </c>
      <c r="G10" s="14">
        <f>SUM(Jan!G10, Feb!G10, Mar!G10)</f>
        <v>61550.964999999997</v>
      </c>
      <c r="H10" s="14">
        <f>SUM(Jan!H10, Feb!H10, Mar!H10)</f>
        <v>-20948.964999999997</v>
      </c>
      <c r="I10" s="15">
        <f t="shared" si="2"/>
        <v>-0.34035152820106068</v>
      </c>
    </row>
    <row r="11" spans="1:9" ht="13.15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15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15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15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15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15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15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15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15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15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15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15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15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H13" sqref="H13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Agilitas Energy</v>
      </c>
      <c r="B1" s="66"/>
      <c r="C1" s="66"/>
      <c r="D1" s="67" t="s">
        <v>12</v>
      </c>
      <c r="E1" s="67"/>
      <c r="F1" s="67"/>
      <c r="G1" s="65" t="s">
        <v>13</v>
      </c>
      <c r="H1" s="65"/>
      <c r="I1" s="65"/>
    </row>
    <row r="2" spans="1:9" ht="19.5" customHeight="1">
      <c r="A2" s="68" t="s">
        <v>2</v>
      </c>
      <c r="B2" s="6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6" t="str" cm="1">
        <f t="array" ref="A4:A10">Sites[Site]</f>
        <v>Rowley - Central Street Solar</v>
      </c>
      <c r="B4" s="9" t="str" cm="1">
        <f t="array" ref="B4:B10">Sites[State]</f>
        <v>MA</v>
      </c>
      <c r="C4" s="22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SUM(Apr!G4+May!G4+Jun!G4)</f>
        <v>0</v>
      </c>
      <c r="H4" s="14">
        <f>SUM(Apr!H4, May!H4, Jun!H4)</f>
        <v>0</v>
      </c>
      <c r="I4" s="15" t="str">
        <f>IFERROR(H4/G4, "")</f>
        <v/>
      </c>
    </row>
    <row r="5" spans="1:9" ht="15.75">
      <c r="A5" s="47" t="str">
        <v>Auburn - Leicester Street Solar</v>
      </c>
      <c r="B5" s="10" t="str">
        <v>MA</v>
      </c>
      <c r="C5" s="11">
        <f>SUM(Apr!C5, May!C5, Jun!C5)</f>
        <v>0</v>
      </c>
      <c r="D5" s="16">
        <f>SUM(Apr!D5, May!D5, Jun!D5)</f>
        <v>0</v>
      </c>
      <c r="E5" s="16">
        <f t="shared" ref="E5:E10" si="0">IF(AND(ISNUMBER(C5),ISNUMBER(D5)), C5-D5, "")</f>
        <v>0</v>
      </c>
      <c r="F5" s="17" t="str">
        <f>IFERROR(E5/D5, "")</f>
        <v/>
      </c>
      <c r="G5" s="18">
        <f>SUM(Apr!G5+May!G5+Jun!G5)</f>
        <v>0</v>
      </c>
      <c r="H5" s="18">
        <f>SUM(Apr!H5, May!H5, Jun!H5)</f>
        <v>0</v>
      </c>
      <c r="I5" s="17" t="str">
        <f>IFERROR(H5/G5, "")</f>
        <v/>
      </c>
    </row>
    <row r="6" spans="1:9" ht="15.75">
      <c r="A6" s="46" t="str">
        <v>Rochester - Old Middleboro</v>
      </c>
      <c r="B6" s="9" t="str">
        <v>MA</v>
      </c>
      <c r="C6" s="22">
        <f>SUM(Apr!C6, May!C6, Jun!C6)</f>
        <v>0</v>
      </c>
      <c r="D6" s="12">
        <f>SUM(Apr!D6, May!D6, Jun!D6)</f>
        <v>0</v>
      </c>
      <c r="E6" s="12">
        <f t="shared" si="0"/>
        <v>0</v>
      </c>
      <c r="F6" s="13" t="str">
        <f t="shared" ref="F6:F10" si="1">IFERROR(E6/D6, "")</f>
        <v/>
      </c>
      <c r="G6" s="14">
        <f>SUM(Apr!G6+May!G6+Jun!G6)</f>
        <v>0</v>
      </c>
      <c r="H6" s="14">
        <f>SUM(Apr!H6, May!H6, Jun!H6)</f>
        <v>0</v>
      </c>
      <c r="I6" s="15" t="str">
        <f t="shared" ref="I6:I9" si="2">IFERROR(H6/G6, "")</f>
        <v/>
      </c>
    </row>
    <row r="7" spans="1:9" ht="15.75">
      <c r="A7" s="47" t="str">
        <v>Dover - Littleworth Road</v>
      </c>
      <c r="B7" s="10" t="str">
        <v>NH</v>
      </c>
      <c r="C7" s="11">
        <f>SUM(Apr!C7, May!C7, Jun!C7)</f>
        <v>0</v>
      </c>
      <c r="D7" s="16">
        <f>SUM(Apr!D7, May!D7, Jun!D7)</f>
        <v>0</v>
      </c>
      <c r="E7" s="16">
        <f t="shared" si="0"/>
        <v>0</v>
      </c>
      <c r="F7" s="17" t="str">
        <f t="shared" si="1"/>
        <v/>
      </c>
      <c r="G7" s="18">
        <f>SUM(Apr!G7+May!G7+Jun!G7)</f>
        <v>0</v>
      </c>
      <c r="H7" s="18">
        <f>SUM(Apr!H7, May!H7, Jun!H7)</f>
        <v>0</v>
      </c>
      <c r="I7" s="17" t="str">
        <f t="shared" si="2"/>
        <v/>
      </c>
    </row>
    <row r="8" spans="1:9" ht="15.75">
      <c r="A8" s="46" t="str">
        <v>Milton - Landfill</v>
      </c>
      <c r="B8" s="9" t="str">
        <v>NH</v>
      </c>
      <c r="C8" s="22">
        <f>SUM(Apr!C8, May!C8, Jun!C8)</f>
        <v>0</v>
      </c>
      <c r="D8" s="12">
        <f>SUM(Apr!D8, May!D8, Jun!D8)</f>
        <v>0</v>
      </c>
      <c r="E8" s="12">
        <f t="shared" si="0"/>
        <v>0</v>
      </c>
      <c r="F8" s="13" t="str">
        <f t="shared" si="1"/>
        <v/>
      </c>
      <c r="G8" s="14">
        <f>SUM(Apr!G8+May!G8+Jun!G8)</f>
        <v>0</v>
      </c>
      <c r="H8" s="14">
        <f>SUM(Apr!H8, May!H8, Jun!H8)</f>
        <v>0</v>
      </c>
      <c r="I8" s="15" t="str">
        <f>IFERROR(H8/G8, "")</f>
        <v/>
      </c>
    </row>
    <row r="9" spans="1:9" ht="15.75">
      <c r="A9" s="47" t="str">
        <v>Hopkinton - 71 Frankland Rd</v>
      </c>
      <c r="B9" s="10" t="str">
        <v>MA</v>
      </c>
      <c r="C9" s="11">
        <f>SUM(Apr!C9, May!C9, Jun!C9)</f>
        <v>0</v>
      </c>
      <c r="D9" s="16">
        <f>SUM(Apr!D9, May!D9, Jun!D9)</f>
        <v>0</v>
      </c>
      <c r="E9" s="16">
        <f t="shared" si="0"/>
        <v>0</v>
      </c>
      <c r="F9" s="17" t="str">
        <f t="shared" si="1"/>
        <v/>
      </c>
      <c r="G9" s="18">
        <f>SUM(Apr!G9+May!G9+Jun!G9)</f>
        <v>0</v>
      </c>
      <c r="H9" s="18">
        <f>SUM(Apr!H9, May!H9, Jun!H9)</f>
        <v>0</v>
      </c>
      <c r="I9" s="17" t="str">
        <f t="shared" si="2"/>
        <v/>
      </c>
    </row>
    <row r="10" spans="1:9" ht="15.75">
      <c r="A10" s="46" t="str">
        <v>Dedham - 100 Rustcraft Rd</v>
      </c>
      <c r="B10" s="9" t="str">
        <v>MA</v>
      </c>
      <c r="C10" s="22">
        <f>SUM(Apr!C10, May!C10, Jun!C10)</f>
        <v>0</v>
      </c>
      <c r="D10" s="12">
        <f>SUM(Apr!D10, May!D10, Jun!D10)</f>
        <v>0</v>
      </c>
      <c r="E10" s="12">
        <f t="shared" si="0"/>
        <v>0</v>
      </c>
      <c r="F10" s="13" t="str">
        <f t="shared" si="1"/>
        <v/>
      </c>
      <c r="G10" s="14">
        <f>SUM(Apr!G10+May!G10+Jun!G10)</f>
        <v>0</v>
      </c>
      <c r="H10" s="14">
        <f>SUM(Apr!H10, May!H10, Jun!H10)</f>
        <v>0</v>
      </c>
      <c r="I10" s="15" t="str">
        <f>IFERROR(H10/G10, "")</f>
        <v/>
      </c>
    </row>
    <row r="11" spans="1:9" ht="13.15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15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15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15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15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15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15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15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15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15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15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15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15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H7" sqref="H7:H10"/>
      <selection pane="bottomLeft" activeCell="F27" sqref="F27"/>
      <selection pane="topRight" activeCell="F27" sqref="F27"/>
    </sheetView>
  </sheetViews>
  <sheetFormatPr defaultRowHeight="12.75" customHeight="1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Agilitas Energy</v>
      </c>
      <c r="B1" s="66"/>
      <c r="C1" s="66"/>
      <c r="D1" s="67" t="s">
        <v>14</v>
      </c>
      <c r="E1" s="67"/>
      <c r="F1" s="67"/>
      <c r="G1" s="65" t="s">
        <v>15</v>
      </c>
      <c r="H1" s="65"/>
      <c r="I1" s="65"/>
    </row>
    <row r="2" spans="1:9" ht="19.5" customHeight="1">
      <c r="A2" s="68" t="s">
        <v>2</v>
      </c>
      <c r="B2" s="6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6" t="str" cm="1">
        <f t="array" ref="A4:A10">Sites[Site]</f>
        <v>Rowley - Central Street Solar</v>
      </c>
      <c r="B4" s="9" t="str" cm="1">
        <f t="array" ref="B4:B10">Sites[State]</f>
        <v>MA</v>
      </c>
      <c r="C4" s="22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 t="shared" ref="I4:I9" si="0">IFERROR(H4/G4, "")</f>
        <v/>
      </c>
    </row>
    <row r="5" spans="1:9" ht="15.75">
      <c r="A5" s="47" t="str">
        <v>Auburn - Leicester Street Solar</v>
      </c>
      <c r="B5" s="10" t="str">
        <v>MA</v>
      </c>
      <c r="C5" s="11">
        <f>SUM(Jul!C5, Aug!C5, Sep!C5)</f>
        <v>0</v>
      </c>
      <c r="D5" s="16">
        <f>SUM(Jul!D5, Aug!D5, Sep!D5)</f>
        <v>0</v>
      </c>
      <c r="E5" s="16">
        <f t="shared" ref="E5:E10" si="1">IF(AND(ISNUMBER(C5),ISNUMBER(D5)), C5-D5, "")</f>
        <v>0</v>
      </c>
      <c r="F5" s="17" t="str">
        <f>IFERROR(E5/D5, "")</f>
        <v/>
      </c>
      <c r="G5" s="16">
        <f>SUM(Jul!G5,Aug!G5,Sep!G5)</f>
        <v>0</v>
      </c>
      <c r="H5" s="18">
        <f>SUM(Jul!H5, Aug!H5, Sep!H5)</f>
        <v>0</v>
      </c>
      <c r="I5" s="17" t="str">
        <f t="shared" si="0"/>
        <v/>
      </c>
    </row>
    <row r="6" spans="1:9" ht="15.75">
      <c r="A6" s="46" t="str">
        <v>Rochester - Old Middleboro</v>
      </c>
      <c r="B6" s="9" t="str">
        <v>MA</v>
      </c>
      <c r="C6" s="22">
        <f>SUM(Jul!C6, Aug!C6, Sep!C6)</f>
        <v>0</v>
      </c>
      <c r="D6" s="12">
        <f>SUM(Jul!D6, Aug!D6, Sep!D6)</f>
        <v>0</v>
      </c>
      <c r="E6" s="12">
        <f t="shared" si="1"/>
        <v>0</v>
      </c>
      <c r="F6" s="13" t="str">
        <f t="shared" ref="F6:F10" si="2">IFERROR(E6/D6, "")</f>
        <v/>
      </c>
      <c r="G6" s="14">
        <f>SUM(Jul!G6,Aug!G6,Sep!G6)</f>
        <v>0</v>
      </c>
      <c r="H6" s="14">
        <f>SUM(Jul!H6, Aug!H6, Sep!H6)</f>
        <v>0</v>
      </c>
      <c r="I6" s="15" t="str">
        <f t="shared" si="0"/>
        <v/>
      </c>
    </row>
    <row r="7" spans="1:9" ht="15.75">
      <c r="A7" s="47" t="str">
        <v>Dover - Littleworth Road</v>
      </c>
      <c r="B7" s="10" t="str">
        <v>NH</v>
      </c>
      <c r="C7" s="11">
        <f>SUM(Jul!C7, Aug!C7, Sep!C7)</f>
        <v>0</v>
      </c>
      <c r="D7" s="16">
        <f>SUM(Jul!D7, Aug!D7, Sep!D7)</f>
        <v>0</v>
      </c>
      <c r="E7" s="16">
        <f t="shared" si="1"/>
        <v>0</v>
      </c>
      <c r="F7" s="17" t="str">
        <f t="shared" si="2"/>
        <v/>
      </c>
      <c r="G7" s="16">
        <f>SUM(Jul!G7,Aug!G7,Sep!G7)</f>
        <v>0</v>
      </c>
      <c r="H7" s="18">
        <f>SUM(Jul!H7, Aug!H7, Sep!H7)</f>
        <v>0</v>
      </c>
      <c r="I7" s="17" t="str">
        <f t="shared" si="0"/>
        <v/>
      </c>
    </row>
    <row r="8" spans="1:9" ht="15.75">
      <c r="A8" s="46" t="str">
        <v>Milton - Landfill</v>
      </c>
      <c r="B8" s="9" t="str">
        <v>NH</v>
      </c>
      <c r="C8" s="22">
        <f>SUM(Jul!C8, Aug!C8, Sep!C8)</f>
        <v>0</v>
      </c>
      <c r="D8" s="12">
        <f>SUM(Jul!D8, Aug!D8, Sep!D8)</f>
        <v>0</v>
      </c>
      <c r="E8" s="12">
        <f t="shared" si="1"/>
        <v>0</v>
      </c>
      <c r="F8" s="13" t="str">
        <f t="shared" si="2"/>
        <v/>
      </c>
      <c r="G8" s="14">
        <f>SUM(Jul!G8,Aug!G8,Sep!G8)</f>
        <v>0</v>
      </c>
      <c r="H8" s="14">
        <f>SUM(Jul!H8, Aug!H8, Sep!H8)</f>
        <v>0</v>
      </c>
      <c r="I8" s="15" t="str">
        <f t="shared" si="0"/>
        <v/>
      </c>
    </row>
    <row r="9" spans="1:9" ht="15.75">
      <c r="A9" s="47" t="str">
        <v>Hopkinton - 71 Frankland Rd</v>
      </c>
      <c r="B9" s="10" t="str">
        <v>MA</v>
      </c>
      <c r="C9" s="11">
        <f>SUM(Jul!C9, Aug!C9, Sep!C9)</f>
        <v>0</v>
      </c>
      <c r="D9" s="16">
        <f>SUM(Jul!D9, Aug!D9, Sep!D9)</f>
        <v>0</v>
      </c>
      <c r="E9" s="16">
        <f t="shared" si="1"/>
        <v>0</v>
      </c>
      <c r="F9" s="17" t="str">
        <f t="shared" si="2"/>
        <v/>
      </c>
      <c r="G9" s="16">
        <f>SUM(Jul!G9,Aug!G9,Sep!G9)</f>
        <v>0</v>
      </c>
      <c r="H9" s="18">
        <f>SUM(Jul!H9, Aug!H9, Sep!H9)</f>
        <v>0</v>
      </c>
      <c r="I9" s="17" t="str">
        <f t="shared" si="0"/>
        <v/>
      </c>
    </row>
    <row r="10" spans="1:9" ht="15.75">
      <c r="A10" s="46" t="str">
        <v>Dedham - 100 Rustcraft Rd</v>
      </c>
      <c r="B10" s="9" t="str">
        <v>MA</v>
      </c>
      <c r="C10" s="22">
        <f>SUM(Jul!C10, Aug!C10, Sep!C10)</f>
        <v>0</v>
      </c>
      <c r="D10" s="12">
        <f>SUM(Jul!D10, Aug!D10, Sep!D10)</f>
        <v>0</v>
      </c>
      <c r="E10" s="16">
        <f t="shared" si="1"/>
        <v>0</v>
      </c>
      <c r="F10" s="13" t="str">
        <f t="shared" si="2"/>
        <v/>
      </c>
      <c r="G10" s="14">
        <f>SUM(Jul!G10,Aug!G10,Sep!G10)</f>
        <v>0</v>
      </c>
      <c r="H10" s="14">
        <f>SUM(Jul!H10, Aug!H10, Sep!H10)</f>
        <v>0</v>
      </c>
      <c r="I10" s="15"/>
    </row>
    <row r="11" spans="1:9" ht="13.15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15">
      <c r="A12" s="19"/>
      <c r="B12" s="19"/>
      <c r="C12" s="19"/>
      <c r="D12" s="19"/>
      <c r="E12" s="19"/>
      <c r="F12" s="20"/>
      <c r="G12" s="19"/>
      <c r="H12" s="19"/>
      <c r="I12" s="20"/>
    </row>
    <row r="13" spans="1:9" ht="13.15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15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15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15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15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15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15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15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15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15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15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A17" sqref="A17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Agilitas Energy</v>
      </c>
      <c r="B1" s="66"/>
      <c r="C1" s="66"/>
      <c r="D1" s="67" t="s">
        <v>16</v>
      </c>
      <c r="E1" s="67"/>
      <c r="F1" s="67"/>
      <c r="G1" s="65" t="s">
        <v>17</v>
      </c>
      <c r="H1" s="65"/>
      <c r="I1" s="65"/>
    </row>
    <row r="2" spans="1:9" ht="19.5" customHeight="1">
      <c r="A2" s="68" t="s">
        <v>2</v>
      </c>
      <c r="B2" s="6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6" t="str" cm="1">
        <f t="array" ref="A4:A10">Sites[Site]</f>
        <v>Rowley - Central Street Solar</v>
      </c>
      <c r="B4" s="9" t="str" cm="1">
        <f t="array" ref="B4:B10">Sites[State]</f>
        <v>MA</v>
      </c>
      <c r="C4" s="22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75">
      <c r="A5" s="47" t="str">
        <v>Auburn - Leicester Street Solar</v>
      </c>
      <c r="B5" s="10" t="str">
        <v>MA</v>
      </c>
      <c r="C5" s="11">
        <f>SUM(Oct!C5, Nov!C5, Dec!C5)</f>
        <v>0</v>
      </c>
      <c r="D5" s="16">
        <f>SUM(Oct!D5, Nov!D5, Dec!D5)</f>
        <v>0</v>
      </c>
      <c r="E5" s="16">
        <f t="shared" ref="E5:E10" si="0">IF(AND(ISNUMBER(C5),ISNUMBER(D5)), C5-D5, "")</f>
        <v>0</v>
      </c>
      <c r="F5" s="17" t="str">
        <f>IFERROR(E5/D5, "")</f>
        <v/>
      </c>
      <c r="G5" s="16">
        <f>SUM(Oct!G5,Nov!G5,Dec!G5)</f>
        <v>0</v>
      </c>
      <c r="H5" s="18">
        <f>SUM(Oct!H5, Nov!H5, Dec!H5)</f>
        <v>0</v>
      </c>
      <c r="I5" s="17" t="str">
        <f>IFERROR(H5/G5, "")</f>
        <v/>
      </c>
    </row>
    <row r="6" spans="1:9" ht="15.75">
      <c r="A6" s="46" t="str">
        <v>Rochester - Old Middleboro</v>
      </c>
      <c r="B6" s="9" t="str">
        <v>MA</v>
      </c>
      <c r="C6" s="22">
        <f>SUM(Oct!C6, Nov!C6, Dec!C6)</f>
        <v>0</v>
      </c>
      <c r="D6" s="12">
        <f>SUM(Oct!D6, Nov!D6, Dec!D6)</f>
        <v>0</v>
      </c>
      <c r="E6" s="12">
        <f t="shared" si="0"/>
        <v>0</v>
      </c>
      <c r="F6" s="13" t="str">
        <f t="shared" ref="F6:F10" si="1">IFERROR(E6/D6, "")</f>
        <v/>
      </c>
      <c r="G6" s="14">
        <f>SUM(Oct!G6,Nov!G6,Dec!G6)</f>
        <v>0</v>
      </c>
      <c r="H6" s="14">
        <f>SUM(Oct!H6, Nov!H6, Dec!H6)</f>
        <v>0</v>
      </c>
      <c r="I6" s="15" t="str">
        <f t="shared" ref="I6:I10" si="2">IFERROR(H6/G6, "")</f>
        <v/>
      </c>
    </row>
    <row r="7" spans="1:9" ht="15.75">
      <c r="A7" s="47" t="str">
        <v>Dover - Littleworth Road</v>
      </c>
      <c r="B7" s="10" t="str">
        <v>NH</v>
      </c>
      <c r="C7" s="11">
        <f>SUM(Oct!C7, Nov!C7, Dec!C7)</f>
        <v>0</v>
      </c>
      <c r="D7" s="16">
        <f>SUM(Oct!D7, Nov!D7, Dec!D7)</f>
        <v>0</v>
      </c>
      <c r="E7" s="16">
        <f t="shared" si="0"/>
        <v>0</v>
      </c>
      <c r="F7" s="17" t="str">
        <f t="shared" si="1"/>
        <v/>
      </c>
      <c r="G7" s="16">
        <f>SUM(Oct!G7,Nov!G7,Dec!G7)</f>
        <v>0</v>
      </c>
      <c r="H7" s="18">
        <f>SUM(Oct!H7, Nov!H7, Dec!H7)</f>
        <v>0</v>
      </c>
      <c r="I7" s="17" t="str">
        <f t="shared" si="2"/>
        <v/>
      </c>
    </row>
    <row r="8" spans="1:9" ht="15.75">
      <c r="A8" s="46" t="str">
        <v>Milton - Landfill</v>
      </c>
      <c r="B8" s="9" t="str">
        <v>NH</v>
      </c>
      <c r="C8" s="22">
        <f>SUM(Oct!C8, Nov!C8, Dec!C8)</f>
        <v>0</v>
      </c>
      <c r="D8" s="12">
        <f>SUM(Oct!D8, Nov!D8, Dec!D8)</f>
        <v>0</v>
      </c>
      <c r="E8" s="12">
        <f t="shared" si="0"/>
        <v>0</v>
      </c>
      <c r="F8" s="13" t="str">
        <f t="shared" si="1"/>
        <v/>
      </c>
      <c r="G8" s="14">
        <f>SUM(Oct!G8,Nov!G8,Dec!G8)</f>
        <v>0</v>
      </c>
      <c r="H8" s="14">
        <f>SUM(Oct!H8,Nov!H8,Dec!H8)</f>
        <v>0</v>
      </c>
      <c r="I8" s="15" t="str">
        <f t="shared" si="2"/>
        <v/>
      </c>
    </row>
    <row r="9" spans="1:9" ht="15.75">
      <c r="A9" s="47" t="str">
        <v>Hopkinton - 71 Frankland Rd</v>
      </c>
      <c r="B9" s="10" t="str">
        <v>MA</v>
      </c>
      <c r="C9" s="11">
        <f>SUM(Oct!C9, Nov!C9, Dec!C9)</f>
        <v>0</v>
      </c>
      <c r="D9" s="16">
        <f>SUM(Oct!D9, Nov!D9, Dec!D9)</f>
        <v>0</v>
      </c>
      <c r="E9" s="16">
        <f t="shared" si="0"/>
        <v>0</v>
      </c>
      <c r="F9" s="17" t="str">
        <f t="shared" si="1"/>
        <v/>
      </c>
      <c r="G9" s="16">
        <f>SUM(Oct!G9,Nov!G9,Dec!G9)</f>
        <v>0</v>
      </c>
      <c r="H9" s="18">
        <f>SUM(Oct!H9,Nov!H9,Dec!H9)</f>
        <v>0</v>
      </c>
      <c r="I9" s="17" t="str">
        <f t="shared" si="2"/>
        <v/>
      </c>
    </row>
    <row r="10" spans="1:9" ht="15.75">
      <c r="A10" s="46" t="str">
        <v>Dedham - 100 Rustcraft Rd</v>
      </c>
      <c r="B10" s="9" t="str">
        <v>MA</v>
      </c>
      <c r="C10" s="22">
        <f>SUM(Oct!C10, Nov!C10, Dec!C10)</f>
        <v>0</v>
      </c>
      <c r="D10" s="12">
        <f>SUM(Oct!D10, Nov!D10, Dec!D10)</f>
        <v>0</v>
      </c>
      <c r="E10" s="12">
        <f t="shared" si="0"/>
        <v>0</v>
      </c>
      <c r="F10" s="13" t="str">
        <f t="shared" si="1"/>
        <v/>
      </c>
      <c r="G10" s="14">
        <f>SUM(Oct!G10,Nov!G10,Dec!G10)</f>
        <v>0</v>
      </c>
      <c r="H10" s="14">
        <f>SUM(Oct!H10,Nov!H10,Dec!H10)</f>
        <v>0</v>
      </c>
      <c r="I10" s="15" t="str">
        <f t="shared" si="2"/>
        <v/>
      </c>
    </row>
    <row r="11" spans="1:9" ht="13.15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15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15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15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15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15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15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15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15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15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15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15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15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21"/>
  <sheetViews>
    <sheetView tabSelected="1" zoomScale="60" zoomScaleNormal="60" workbookViewId="0">
      <pane xSplit="2" ySplit="3" topLeftCell="C4" activePane="bottomRight" state="frozen"/>
      <selection pane="bottomRight" activeCell="J5" sqref="J5"/>
      <selection pane="bottomLeft" activeCell="F27" sqref="F27"/>
      <selection pane="topRight" activeCell="F27" sqref="F27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66" t="str" cm="1">
        <f t="array" ref="A1">portfolio</f>
        <v>Agilitas Energy</v>
      </c>
      <c r="B1" s="66"/>
      <c r="C1" s="66"/>
      <c r="D1" s="67" t="s">
        <v>18</v>
      </c>
      <c r="E1" s="67"/>
      <c r="F1" s="67"/>
      <c r="G1" s="65" t="s">
        <v>19</v>
      </c>
      <c r="H1" s="65"/>
      <c r="I1" s="65"/>
      <c r="J1" s="4"/>
      <c r="K1" s="4"/>
    </row>
    <row r="2" spans="1:13" ht="19.5" customHeight="1">
      <c r="A2" s="68" t="s">
        <v>2</v>
      </c>
      <c r="B2" s="68"/>
      <c r="C2" s="5">
        <f>SUM(C4:C79)</f>
        <v>1432705.4739164715</v>
      </c>
      <c r="D2" s="5">
        <f>SUM(D4:D79)</f>
        <v>2047587.852</v>
      </c>
      <c r="E2" s="5">
        <f>C2-D2</f>
        <v>-614882.37808352849</v>
      </c>
      <c r="F2" s="6">
        <f>IFERROR(E2/D2, 0)</f>
        <v>-0.30029596897780797</v>
      </c>
      <c r="G2" s="5">
        <f>SUM(G4:G79)</f>
        <v>806550.55499999993</v>
      </c>
      <c r="H2" s="7">
        <f>C2-G2</f>
        <v>626154.91891647154</v>
      </c>
      <c r="I2" s="6">
        <f>IFERROR(H2/G2, 0)</f>
        <v>0.77633685208544878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25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35.25">
      <c r="A4" s="58" t="str" cm="1">
        <f t="array" ref="A4:A10">Sites[Site]</f>
        <v>Rowley - Central Street Solar</v>
      </c>
      <c r="B4" s="27" t="str" cm="1">
        <f t="array" ref="B4:B10">Sites[State]</f>
        <v>MA</v>
      </c>
      <c r="C4" s="22">
        <v>37932.475188442397</v>
      </c>
      <c r="D4" s="12">
        <v>55631.28</v>
      </c>
      <c r="E4" s="12">
        <f>IF(AND(ISNUMBER(C4),ISNUMBER(D4)), C4-D4, "")</f>
        <v>-17698.804811557602</v>
      </c>
      <c r="F4" s="13">
        <f>IFERROR(E4/D4, "")</f>
        <v>-0.3181448424619675</v>
      </c>
      <c r="G4" s="14">
        <v>41263.29</v>
      </c>
      <c r="H4" s="14">
        <f>IF(AND(ISNUMBER(C4),ISNUMBER(G4)), C4-G4, "")</f>
        <v>-3330.8148115576041</v>
      </c>
      <c r="I4" s="15">
        <f>IFERROR(H4/G4, "")</f>
        <v>-8.0721018890098292E-2</v>
      </c>
      <c r="J4" s="59" t="s">
        <v>22</v>
      </c>
      <c r="K4" s="60" t="s">
        <v>23</v>
      </c>
      <c r="L4" s="64" t="s">
        <v>24</v>
      </c>
      <c r="M4" s="64" t="s">
        <v>25</v>
      </c>
    </row>
    <row r="5" spans="1:13" ht="79.5" customHeight="1">
      <c r="A5" s="50" t="str">
        <v>Auburn - Leicester Street Solar</v>
      </c>
      <c r="B5" s="29" t="str">
        <v>MA</v>
      </c>
      <c r="C5" s="16">
        <v>403896</v>
      </c>
      <c r="D5" s="16">
        <v>787406.2</v>
      </c>
      <c r="E5" s="16">
        <f t="shared" ref="E5:E10" si="0">IF(AND(ISNUMBER(C5),ISNUMBER(D5)), C5-D5, "")</f>
        <v>-383510.19999999995</v>
      </c>
      <c r="F5" s="16">
        <f t="shared" ref="F5:F10" si="1">IFERROR(E5/D5, "")</f>
        <v>-0.48705509303838346</v>
      </c>
      <c r="G5" s="18">
        <v>0</v>
      </c>
      <c r="H5" s="18">
        <f t="shared" ref="H5:H6" si="2">IF(AND(ISNUMBER(C5),ISNUMBER(G5)), C5-G5, "")</f>
        <v>403896</v>
      </c>
      <c r="I5" s="17" t="str">
        <f t="shared" ref="I5:I9" si="3">IFERROR(H5/G5, "")</f>
        <v/>
      </c>
      <c r="J5" s="52" t="s">
        <v>26</v>
      </c>
      <c r="K5" s="61" t="s">
        <v>27</v>
      </c>
      <c r="L5" s="64" t="s">
        <v>28</v>
      </c>
    </row>
    <row r="6" spans="1:13" ht="76.5">
      <c r="A6" s="51" t="str">
        <v>Rochester - Old Middleboro</v>
      </c>
      <c r="B6" s="27" t="str">
        <v>MA</v>
      </c>
      <c r="C6" s="22">
        <v>611256.99872802896</v>
      </c>
      <c r="D6" s="12">
        <v>702798</v>
      </c>
      <c r="E6" s="12">
        <f t="shared" si="0"/>
        <v>-91541.001271971036</v>
      </c>
      <c r="F6" s="13">
        <f t="shared" si="1"/>
        <v>-0.13025222222028382</v>
      </c>
      <c r="G6" s="14">
        <v>419559.3</v>
      </c>
      <c r="H6" s="14">
        <f t="shared" si="2"/>
        <v>191697.69872802898</v>
      </c>
      <c r="I6" s="15">
        <f t="shared" si="3"/>
        <v>0.45690251348981892</v>
      </c>
      <c r="J6" s="39" t="s">
        <v>29</v>
      </c>
      <c r="K6" s="60" t="s">
        <v>30</v>
      </c>
      <c r="L6" s="64" t="s">
        <v>31</v>
      </c>
    </row>
    <row r="7" spans="1:13" ht="15.75">
      <c r="A7" s="50" t="str">
        <v>Dover - Littleworth Road</v>
      </c>
      <c r="B7" s="29" t="str">
        <v>NH</v>
      </c>
      <c r="C7" s="16">
        <v>17331</v>
      </c>
      <c r="D7" s="16">
        <v>0</v>
      </c>
      <c r="E7" s="16">
        <f t="shared" si="0"/>
        <v>17331</v>
      </c>
      <c r="F7" s="16" t="str">
        <f t="shared" si="1"/>
        <v/>
      </c>
      <c r="G7" s="18">
        <v>0</v>
      </c>
      <c r="H7" s="18">
        <f t="shared" ref="H7:H10" si="4">IF(AND(ISNUMBER(C7),ISNUMBER(G7)), C7-G7, "")</f>
        <v>17331</v>
      </c>
      <c r="I7" s="17" t="str">
        <f t="shared" si="3"/>
        <v/>
      </c>
      <c r="J7" s="40"/>
      <c r="K7" s="40"/>
    </row>
    <row r="8" spans="1:13" ht="85.5">
      <c r="A8" s="51" t="str">
        <v>Milton - Landfill</v>
      </c>
      <c r="B8" s="27" t="str">
        <v>NH</v>
      </c>
      <c r="C8" s="22">
        <v>54795</v>
      </c>
      <c r="D8" s="12">
        <v>0</v>
      </c>
      <c r="E8" s="12">
        <f t="shared" si="0"/>
        <v>54795</v>
      </c>
      <c r="F8" s="43" t="str">
        <f t="shared" si="1"/>
        <v/>
      </c>
      <c r="G8" s="14">
        <v>0</v>
      </c>
      <c r="H8" s="14">
        <f t="shared" si="4"/>
        <v>54795</v>
      </c>
      <c r="I8" s="15" t="str">
        <f t="shared" si="3"/>
        <v/>
      </c>
      <c r="J8" s="39" t="s">
        <v>32</v>
      </c>
      <c r="K8" s="60" t="s">
        <v>33</v>
      </c>
      <c r="L8" s="63" t="s">
        <v>34</v>
      </c>
      <c r="M8" s="63" t="s">
        <v>35</v>
      </c>
    </row>
    <row r="9" spans="1:13" ht="57">
      <c r="A9" s="50" t="str">
        <v>Hopkinton - 71 Frankland Rd</v>
      </c>
      <c r="B9" s="29" t="str">
        <v>MA</v>
      </c>
      <c r="C9" s="16">
        <v>266892</v>
      </c>
      <c r="D9" s="16">
        <v>412403.20000000001</v>
      </c>
      <c r="E9" s="16">
        <f t="shared" si="0"/>
        <v>-145511.20000000001</v>
      </c>
      <c r="F9" s="16">
        <f t="shared" si="1"/>
        <v>-0.35283722337751017</v>
      </c>
      <c r="G9" s="18">
        <v>284177</v>
      </c>
      <c r="H9" s="18">
        <f t="shared" si="4"/>
        <v>-17285</v>
      </c>
      <c r="I9" s="17">
        <f t="shared" si="3"/>
        <v>-6.0824767662407582E-2</v>
      </c>
      <c r="J9" s="40" t="s">
        <v>36</v>
      </c>
      <c r="K9" s="62" t="s">
        <v>37</v>
      </c>
      <c r="L9" s="63" t="s">
        <v>38</v>
      </c>
    </row>
    <row r="10" spans="1:13" ht="99.75">
      <c r="A10" s="51" t="str">
        <v>Dedham - 100 Rustcraft Rd</v>
      </c>
      <c r="B10" s="27" t="str">
        <v>MA</v>
      </c>
      <c r="C10" s="22">
        <v>40602</v>
      </c>
      <c r="D10" s="12">
        <v>89349.172000000006</v>
      </c>
      <c r="E10" s="12">
        <f t="shared" si="0"/>
        <v>-48747.172000000006</v>
      </c>
      <c r="F10" s="13">
        <f t="shared" si="1"/>
        <v>-0.54558056788707565</v>
      </c>
      <c r="G10" s="14">
        <v>61550.964999999997</v>
      </c>
      <c r="H10" s="14">
        <f t="shared" si="4"/>
        <v>-20948.964999999997</v>
      </c>
      <c r="I10" s="15"/>
      <c r="J10" s="39" t="s">
        <v>39</v>
      </c>
      <c r="K10" s="60" t="s">
        <v>40</v>
      </c>
      <c r="L10" s="63" t="s">
        <v>41</v>
      </c>
      <c r="M10" s="63" t="s">
        <v>42</v>
      </c>
    </row>
    <row r="11" spans="1:13" ht="14.2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3" ht="14.2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3" ht="14.2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2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2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2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2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2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2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2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2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2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2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D1:F1"/>
    <mergeCell ref="A1:C1"/>
    <mergeCell ref="G1:I1"/>
    <mergeCell ref="A2:B2"/>
  </mergeCells>
  <conditionalFormatting sqref="F2 I2 I4:I79">
    <cfRule type="cellIs" dxfId="46" priority="12" stopIfTrue="1" operator="lessThanOrEqual">
      <formula>-0.1</formula>
    </cfRule>
    <cfRule type="expression" dxfId="45" priority="13">
      <formula>AND(ISNUMBER(F2), F2&gt;=0.1)</formula>
    </cfRule>
  </conditionalFormatting>
  <conditionalFormatting sqref="F4">
    <cfRule type="cellIs" dxfId="44" priority="3" stopIfTrue="1" operator="lessThanOrEqual">
      <formula>-0.1</formula>
    </cfRule>
    <cfRule type="expression" dxfId="43" priority="4">
      <formula>AND(ISNUMBER(F4), F4&gt;=0.1)</formula>
    </cfRule>
  </conditionalFormatting>
  <conditionalFormatting sqref="F6">
    <cfRule type="cellIs" dxfId="42" priority="1" stopIfTrue="1" operator="lessThanOrEqual">
      <formula>-0.1</formula>
    </cfRule>
    <cfRule type="expression" dxfId="41" priority="2">
      <formula>AND(ISNUMBER(F6), F6&gt;=0.1)</formula>
    </cfRule>
  </conditionalFormatting>
  <conditionalFormatting sqref="F10:F79">
    <cfRule type="cellIs" dxfId="40" priority="5" stopIfTrue="1" operator="lessThanOrEqual">
      <formula>-0.1</formula>
    </cfRule>
    <cfRule type="expression" dxfId="39" priority="6">
      <formula>AND(ISNUMBER(F10), F10&gt;=0.1)</formula>
    </cfRule>
  </conditionalFormatting>
  <hyperlinks>
    <hyperlink ref="K4" r:id="rId1" display="https://us3.assetplanner.com/service_request?ID=085127" xr:uid="{BD19405C-F23C-4670-B446-534A95F8AB84}"/>
    <hyperlink ref="L4" r:id="rId2" display="https://us3.assetplanner.com/service_request?ID=093008" xr:uid="{4AFD7112-F4EF-496A-B484-A7610C1F10FF}"/>
    <hyperlink ref="M4" r:id="rId3" display="https://us3.assetplanner.com/service_request?ID=095541" xr:uid="{D0C59FC7-4284-4E7C-BE4D-B288A88A2DE4}"/>
    <hyperlink ref="K5" r:id="rId4" display="https://us3.assetplanner.com/service_request?ID=095250" xr:uid="{8EB3F8A4-A9BC-4E72-9D3F-3336DF8EDB51}"/>
    <hyperlink ref="L5" r:id="rId5" display="https://us3.assetplanner.com/service_request?ID=095250" xr:uid="{E7AD15AC-05F4-46CF-8944-BAE4BA86CBA0}"/>
    <hyperlink ref="K6" r:id="rId6" display="https://us3.assetplanner.com/service_request?ID=095271" xr:uid="{2CDD91AF-B4B6-4D14-9213-E9EDD490BA8D}"/>
    <hyperlink ref="L6" r:id="rId7" display="https://us3.assetplanner.com/service_request?ID=095714" xr:uid="{80282B4E-1C58-4E96-81FD-4545A9BB1086}"/>
    <hyperlink ref="K8" r:id="rId8" display="https://us3.assetplanner.com/service_request?ID=092635" xr:uid="{60B663A8-AAB3-479A-B6F1-F27D5D7DBFE3}"/>
    <hyperlink ref="L8" r:id="rId9" display="https://us3.assetplanner.com/service_request?ID=094914" xr:uid="{EE85FFB3-0D74-40C5-9C11-7A069BB19B86}"/>
    <hyperlink ref="M8" r:id="rId10" display="https://us3.assetplanner.com/service_request?ID=095569" xr:uid="{59303FA6-AC51-4D9E-B528-359FDA89E63A}"/>
    <hyperlink ref="K9" r:id="rId11" display="https://us3.assetplanner.com/service_request?ID=095238" xr:uid="{00B9D682-9580-4DC4-A949-209DFB785AD9}"/>
    <hyperlink ref="L9" r:id="rId12" display="https://us3.assetplanner.com/service_request?ID=095323" xr:uid="{074FAD51-6C8D-406A-A4DF-4703302138B0}"/>
    <hyperlink ref="K10" r:id="rId13" display="https://us3.assetplanner.com/service_request?ID=095310" xr:uid="{E225D59D-5552-41D0-A2DD-5B3AC7F8939F}"/>
    <hyperlink ref="L10" r:id="rId14" display="https://us3.assetplanner.com/service_request?ID=095696" xr:uid="{B7C5FC2C-DFEA-4230-B111-EED326534328}"/>
    <hyperlink ref="M10" r:id="rId15" display="https://us3.assetplanner.com/service_request?ID=096176" xr:uid="{6780F989-1D5A-464D-9948-2387FF0B6CEB}"/>
  </hyperlinks>
  <pageMargins left="0.4" right="0.7" top="0.25" bottom="0.25" header="0.3" footer="0.3"/>
  <pageSetup fitToHeight="99" orientation="landscape" r:id="rId1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2"/>
  <sheetViews>
    <sheetView workbookViewId="0">
      <pane xSplit="2" ySplit="3" topLeftCell="G4" activePane="bottomRight" state="frozen"/>
      <selection pane="bottomRight" activeCell="A10" sqref="A10:K10"/>
      <selection pane="bottomLeft" activeCell="G13" sqref="G13"/>
      <selection pane="topRight" activeCell="G13" sqref="G13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Agilitas Energy</v>
      </c>
      <c r="B1" s="66"/>
      <c r="C1" s="66"/>
      <c r="D1" s="67" t="s">
        <v>43</v>
      </c>
      <c r="E1" s="67"/>
      <c r="F1" s="67"/>
      <c r="G1" s="65" t="s">
        <v>44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49" t="str" cm="1">
        <f t="array" ref="A4:A10">Sites[Site]</f>
        <v>Rowley - Central Street Solar</v>
      </c>
      <c r="B4" s="27" t="str" cm="1">
        <f t="array" ref="B4:B10">Sites[State]</f>
        <v>MA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50" t="str">
        <v>Auburn - Leicester Street Solar</v>
      </c>
      <c r="B5" s="29" t="str">
        <v>MA</v>
      </c>
      <c r="C5" s="11"/>
      <c r="D5" s="16"/>
      <c r="E5" s="16" t="str">
        <f t="shared" ref="E5:E8" si="0">IF(AND(ISNUMBER(C5),ISNUMBER(D5)), C5-D5, "")</f>
        <v/>
      </c>
      <c r="F5" s="13" t="str">
        <f t="shared" ref="F5:F8" si="1">IFERROR(E5/D5, "")</f>
        <v/>
      </c>
      <c r="G5" s="18"/>
      <c r="H5" s="18" t="str">
        <f t="shared" ref="H5:H8" si="2">IF(AND(ISNUMBER(C5),ISNUMBER(G5)), C5-G5, "")</f>
        <v/>
      </c>
      <c r="I5" s="17" t="str">
        <f t="shared" ref="I5:I8" si="3">IFERROR(H5/G5, "")</f>
        <v/>
      </c>
      <c r="J5" s="40"/>
      <c r="K5" s="40"/>
    </row>
    <row r="6" spans="1:11" ht="15.75">
      <c r="A6" s="51" t="str">
        <v>Rochester - Old Middleboro</v>
      </c>
      <c r="B6" s="27" t="str">
        <v>MA</v>
      </c>
      <c r="C6" s="22"/>
      <c r="D6" s="12"/>
      <c r="E6" s="12" t="str">
        <f t="shared" si="0"/>
        <v/>
      </c>
      <c r="F6" s="13" t="str">
        <f t="shared" si="1"/>
        <v/>
      </c>
      <c r="G6" s="14"/>
      <c r="H6" s="14" t="str">
        <f t="shared" si="2"/>
        <v/>
      </c>
      <c r="I6" s="15" t="str">
        <f t="shared" si="3"/>
        <v/>
      </c>
      <c r="J6" s="39"/>
      <c r="K6" s="39"/>
    </row>
    <row r="7" spans="1:11" ht="15.75">
      <c r="A7" s="50" t="str">
        <v>Dover - Littleworth Road</v>
      </c>
      <c r="B7" s="29" t="str">
        <v>NH</v>
      </c>
      <c r="C7" s="11"/>
      <c r="D7" s="16"/>
      <c r="E7" s="16" t="str">
        <f t="shared" si="0"/>
        <v/>
      </c>
      <c r="F7" s="13" t="str">
        <f t="shared" si="1"/>
        <v/>
      </c>
      <c r="G7" s="18"/>
      <c r="H7" s="18" t="str">
        <f t="shared" si="2"/>
        <v/>
      </c>
      <c r="I7" s="17" t="str">
        <f t="shared" si="3"/>
        <v/>
      </c>
      <c r="J7" s="40"/>
      <c r="K7" s="41"/>
    </row>
    <row r="8" spans="1:11" ht="15.75">
      <c r="A8" s="51" t="str">
        <v>Milton - Landfill</v>
      </c>
      <c r="B8" s="27" t="str">
        <v>NH</v>
      </c>
      <c r="C8" s="22"/>
      <c r="D8" s="12"/>
      <c r="E8" s="12" t="str">
        <f t="shared" si="0"/>
        <v/>
      </c>
      <c r="F8" s="13" t="str">
        <f t="shared" si="1"/>
        <v/>
      </c>
      <c r="G8" s="14"/>
      <c r="H8" s="14" t="str">
        <f t="shared" si="2"/>
        <v/>
      </c>
      <c r="I8" s="15" t="str">
        <f t="shared" si="3"/>
        <v/>
      </c>
      <c r="J8" s="39"/>
      <c r="K8" s="39"/>
    </row>
    <row r="9" spans="1:11" ht="15.75">
      <c r="A9" s="28" t="str">
        <v>Hopkinton - 71 Frankland Rd</v>
      </c>
      <c r="B9" s="29" t="str">
        <v>MA</v>
      </c>
      <c r="C9" s="11"/>
      <c r="D9" s="16"/>
      <c r="E9" s="16"/>
      <c r="F9" s="17"/>
      <c r="G9" s="18"/>
      <c r="H9" s="18"/>
      <c r="I9" s="17"/>
      <c r="J9" s="40"/>
      <c r="K9" s="41"/>
    </row>
    <row r="10" spans="1:11" ht="15.75">
      <c r="A10" s="51" t="str">
        <v>Dedham - 100 Rustcraft Rd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2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2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2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2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2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2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2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2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2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2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2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2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2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3.9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conditionalFormatting sqref="F4:F80 I4:I80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2"/>
  <sheetViews>
    <sheetView workbookViewId="0">
      <pane xSplit="2" ySplit="3" topLeftCell="G4" activePane="bottomRight" state="frozen"/>
      <selection pane="bottomRight" activeCell="A10" sqref="A10:K10"/>
      <selection pane="bottomLeft" activeCell="G13" sqref="G13"/>
      <selection pane="topRight" activeCell="G13" sqref="G13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Agilitas Energy</v>
      </c>
      <c r="B1" s="66"/>
      <c r="C1" s="66"/>
      <c r="D1" s="67" t="s">
        <v>45</v>
      </c>
      <c r="E1" s="67"/>
      <c r="F1" s="67"/>
      <c r="G1" s="65" t="s">
        <v>46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0">Sites[Site]</f>
        <v>Rowley - Central Street Solar</v>
      </c>
      <c r="B4" s="27" t="str" cm="1">
        <f t="array" ref="B4:B10">Sites[State]</f>
        <v>MA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Auburn - Leicester Street Solar</v>
      </c>
      <c r="B5" s="29" t="str">
        <v>MA</v>
      </c>
      <c r="C5" s="11"/>
      <c r="D5" s="16"/>
      <c r="E5" s="16" t="str">
        <f t="shared" ref="E5:E8" si="0">IF(AND(ISNUMBER(C5),ISNUMBER(D5)), C5-D5, "")</f>
        <v/>
      </c>
      <c r="F5" s="17" t="str">
        <f>IFERROR(E5/D5, "")</f>
        <v/>
      </c>
      <c r="G5" s="18"/>
      <c r="H5" s="18" t="str">
        <f t="shared" ref="H5:H8" si="1">IF(AND(ISNUMBER(C5),ISNUMBER(G5)), C5-G5, "")</f>
        <v/>
      </c>
      <c r="I5" s="17" t="str">
        <f t="shared" ref="I5:I8" si="2">IFERROR(H5/G5, "")</f>
        <v/>
      </c>
      <c r="J5" s="53"/>
      <c r="K5" s="52"/>
    </row>
    <row r="6" spans="1:11" ht="15.75">
      <c r="A6" s="26" t="str">
        <v>Rochester - Old Middleboro</v>
      </c>
      <c r="B6" s="27" t="str">
        <v>MA</v>
      </c>
      <c r="C6" s="22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75">
      <c r="A7" s="28" t="str">
        <v>Dover - Littleworth Road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Milton - Landfill</v>
      </c>
      <c r="B8" s="27" t="str">
        <v>NH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75">
      <c r="A9" s="28" t="str">
        <v>Hopkinton - 71 Frankland Rd</v>
      </c>
      <c r="B9" s="29" t="str">
        <v>MA</v>
      </c>
      <c r="C9" s="11"/>
      <c r="D9" s="16"/>
      <c r="E9" s="16"/>
      <c r="F9" s="17"/>
      <c r="G9" s="18"/>
      <c r="H9" s="18"/>
      <c r="I9" s="17"/>
      <c r="J9" s="40"/>
      <c r="K9" s="41"/>
    </row>
    <row r="10" spans="1:11" ht="15.75">
      <c r="A10" s="26" t="str">
        <v>Dedham - 100 Rustcraft Rd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2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2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2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2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2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2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2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2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2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2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2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2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2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3.9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34" priority="5" stopIfTrue="1" operator="lessThanOrEqual">
      <formula>-0.1</formula>
    </cfRule>
    <cfRule type="expression" dxfId="33" priority="6">
      <formula>AND(ISNUMBER(F2), F2&gt;=0.1)</formula>
    </cfRule>
  </conditionalFormatting>
  <conditionalFormatting sqref="F4:F80 I4:I80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2"/>
  <sheetViews>
    <sheetView workbookViewId="0">
      <pane xSplit="2" ySplit="3" topLeftCell="J6" activePane="bottomRight" state="frozen"/>
      <selection pane="bottomRight" activeCell="G13" sqref="G13"/>
      <selection pane="bottomLeft" activeCell="G13" sqref="G13"/>
      <selection pane="topRight" activeCell="G13" sqref="G13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Agilitas Energy</v>
      </c>
      <c r="B1" s="66"/>
      <c r="C1" s="66"/>
      <c r="D1" s="67" t="s">
        <v>47</v>
      </c>
      <c r="E1" s="67"/>
      <c r="F1" s="67"/>
      <c r="G1" s="65" t="s">
        <v>48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54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0">Sites[Site]</f>
        <v>Rowley - Central Street Solar</v>
      </c>
      <c r="B4" s="27" t="str" cm="1">
        <f t="array" ref="B4:B10">Sites[State]</f>
        <v>MA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Auburn - Leicester Street Solar</v>
      </c>
      <c r="B5" s="29" t="str">
        <v>MA</v>
      </c>
      <c r="C5" s="11"/>
      <c r="D5" s="16"/>
      <c r="E5" s="16" t="str">
        <f t="shared" ref="E5:E8" si="0">IF(AND(ISNUMBER(C5),ISNUMBER(D5)), C5-D5, "")</f>
        <v/>
      </c>
      <c r="F5" s="17" t="str">
        <f>IFERROR(E5/D5, "")</f>
        <v/>
      </c>
      <c r="G5" s="18"/>
      <c r="H5" s="18" t="str">
        <f t="shared" ref="H5:H8" si="1">IF(AND(ISNUMBER(C5),ISNUMBER(G5)), C5-G5, "")</f>
        <v/>
      </c>
      <c r="I5" s="17" t="str">
        <f t="shared" ref="I5:I8" si="2">IFERROR(H5/G5, "")</f>
        <v/>
      </c>
      <c r="J5" s="40"/>
      <c r="K5" s="40"/>
    </row>
    <row r="6" spans="1:11" ht="85.5" customHeight="1">
      <c r="A6" s="26" t="str">
        <v>Rochester - Old Middleboro</v>
      </c>
      <c r="B6" s="27" t="str">
        <v>MA</v>
      </c>
      <c r="C6" s="22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75">
      <c r="A7" s="28" t="str">
        <v>Dover - Littleworth Road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76.5" customHeight="1">
      <c r="A8" s="26" t="str">
        <v>Milton - Landfill</v>
      </c>
      <c r="B8" s="27" t="str">
        <v>NH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75">
      <c r="A9" s="28" t="str">
        <v>Hopkinton - 71 Frankland Rd</v>
      </c>
      <c r="B9" s="29" t="str">
        <v>MA</v>
      </c>
      <c r="C9" s="11"/>
      <c r="D9" s="16"/>
      <c r="E9" s="16"/>
      <c r="F9" s="17"/>
      <c r="G9" s="18"/>
      <c r="H9" s="18"/>
      <c r="I9" s="17"/>
      <c r="J9" s="40"/>
      <c r="K9" s="41"/>
    </row>
    <row r="10" spans="1:11" ht="14.25">
      <c r="A10" s="19" t="str">
        <v>Dedham - 100 Rustcraft Rd</v>
      </c>
      <c r="B10" s="31" t="str">
        <v>MA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2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2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2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2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2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2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2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2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2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2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2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2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2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3.9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30" priority="5" stopIfTrue="1" operator="lessThanOrEqual">
      <formula>-0.1</formula>
    </cfRule>
    <cfRule type="expression" dxfId="29" priority="6">
      <formula>AND(ISNUMBER(F2), F2&gt;=0.1)</formula>
    </cfRule>
  </conditionalFormatting>
  <conditionalFormatting sqref="F4:F80 I4:I80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2"/>
  <sheetViews>
    <sheetView workbookViewId="0">
      <pane xSplit="2" ySplit="3" topLeftCell="J6" activePane="bottomRight" state="frozen"/>
      <selection pane="bottomRight" activeCell="G13" sqref="G13"/>
      <selection pane="bottomLeft" activeCell="G13" sqref="G13"/>
      <selection pane="topRight" activeCell="G13" sqref="G13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Agilitas Energy</v>
      </c>
      <c r="B1" s="66"/>
      <c r="C1" s="66"/>
      <c r="D1" s="67" t="s">
        <v>49</v>
      </c>
      <c r="E1" s="67"/>
      <c r="F1" s="67"/>
      <c r="G1" s="65" t="s">
        <v>50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0">Sites[Site]</f>
        <v>Rowley - Central Street Solar</v>
      </c>
      <c r="B4" s="27" t="str" cm="1">
        <f t="array" ref="B4:B10">Sites[State]</f>
        <v>MA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Auburn - Leicester Street Solar</v>
      </c>
      <c r="B5" s="29" t="str">
        <v>MA</v>
      </c>
      <c r="C5" s="11"/>
      <c r="D5" s="16"/>
      <c r="E5" s="16" t="str">
        <f t="shared" ref="E5:E8" si="0">IF(AND(ISNUMBER(C5),ISNUMBER(D5)), C5-D5, "")</f>
        <v/>
      </c>
      <c r="F5" s="17" t="str">
        <f>IFERROR(E5/D5, "")</f>
        <v/>
      </c>
      <c r="G5" s="18"/>
      <c r="H5" s="18" t="str">
        <f t="shared" ref="H5:H8" si="1">IF(AND(ISNUMBER(C5),ISNUMBER(G5)), C5-G5, "")</f>
        <v/>
      </c>
      <c r="I5" s="17" t="str">
        <f t="shared" ref="I5:I8" si="2">IFERROR(H5/G5, "")</f>
        <v/>
      </c>
      <c r="J5" s="40"/>
      <c r="K5" s="40"/>
    </row>
    <row r="6" spans="1:11" ht="15.75">
      <c r="A6" s="26" t="str">
        <v>Rochester - Old Middleboro</v>
      </c>
      <c r="B6" s="27" t="str">
        <v>MA</v>
      </c>
      <c r="C6" s="22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75">
      <c r="A7" s="28" t="str">
        <v>Dover - Littleworth Road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Milton - Landfill</v>
      </c>
      <c r="B8" s="27" t="str">
        <v>NH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75">
      <c r="A9" s="28" t="str">
        <v>Hopkinton - 71 Frankland Rd</v>
      </c>
      <c r="B9" s="29" t="str">
        <v>MA</v>
      </c>
      <c r="C9" s="11"/>
      <c r="D9" s="16"/>
      <c r="E9" s="16"/>
      <c r="F9" s="17"/>
      <c r="G9" s="18"/>
      <c r="H9" s="18"/>
      <c r="I9" s="17"/>
      <c r="J9" s="40"/>
      <c r="K9" s="41"/>
    </row>
    <row r="10" spans="1:11" ht="14.25">
      <c r="A10" s="19" t="str">
        <v>Dedham - 100 Rustcraft Rd</v>
      </c>
      <c r="B10" s="31" t="str">
        <v>MA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2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2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2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2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2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2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2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2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2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2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2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2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2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3.9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26" priority="5" stopIfTrue="1" operator="lessThanOrEqual">
      <formula>-0.1</formula>
    </cfRule>
    <cfRule type="expression" dxfId="25" priority="6">
      <formula>AND(ISNUMBER(F2), F2&gt;=0.1)</formula>
    </cfRule>
  </conditionalFormatting>
  <conditionalFormatting sqref="F4:F80 I4:I80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workbookViewId="0">
      <pane xSplit="2" ySplit="3" topLeftCell="C4" activePane="bottomRight" state="frozen"/>
      <selection pane="bottomRight" activeCell="G13" sqref="G13"/>
      <selection pane="bottomLeft" activeCell="G13" sqref="G13"/>
      <selection pane="topRight" activeCell="G13" sqref="G13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Agilitas Energy</v>
      </c>
      <c r="B1" s="66"/>
      <c r="C1" s="66"/>
      <c r="D1" s="67" t="s">
        <v>51</v>
      </c>
      <c r="E1" s="67"/>
      <c r="F1" s="67"/>
      <c r="G1" s="65" t="s">
        <v>52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0">Sites[Site]</f>
        <v>Rowley - Central Street Solar</v>
      </c>
      <c r="B4" s="27" t="str" cm="1">
        <f t="array" ref="B4:B10">Sites[State]</f>
        <v>MA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Auburn - Leicester Street Solar</v>
      </c>
      <c r="B5" s="29" t="str">
        <v>MA</v>
      </c>
      <c r="C5" s="11"/>
      <c r="D5" s="16"/>
      <c r="E5" s="16" t="str">
        <f t="shared" ref="E5:E8" si="0">IF(AND(ISNUMBER(C5),ISNUMBER(D5)), C5-D5, "")</f>
        <v/>
      </c>
      <c r="F5" s="17" t="str">
        <f>IFERROR(E5/D5, "")</f>
        <v/>
      </c>
      <c r="G5" s="18"/>
      <c r="H5" s="18" t="str">
        <f t="shared" ref="H5:H8" si="1">IF(AND(ISNUMBER(C5),ISNUMBER(G5)), C5-G5, "")</f>
        <v/>
      </c>
      <c r="I5" s="17" t="str">
        <f t="shared" ref="I5:I8" si="2">IFERROR(H5/G5, "")</f>
        <v/>
      </c>
      <c r="J5" s="40"/>
      <c r="K5" s="40"/>
    </row>
    <row r="6" spans="1:11" ht="15.75">
      <c r="A6" s="26" t="str">
        <v>Rochester - Old Middleboro</v>
      </c>
      <c r="B6" s="27" t="str">
        <v>MA</v>
      </c>
      <c r="C6" s="22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75">
      <c r="A7" s="28" t="str">
        <v>Dover - Littleworth Road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34.9" customHeight="1">
      <c r="A8" s="26" t="str">
        <v>Milton - Landfill</v>
      </c>
      <c r="B8" s="27" t="str">
        <v>NH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75">
      <c r="A9" s="28" t="str">
        <v>Hopkinton - 71 Frankland Rd</v>
      </c>
      <c r="B9" s="29" t="str">
        <v>MA</v>
      </c>
      <c r="C9" s="11"/>
      <c r="D9" s="16"/>
      <c r="E9" s="16"/>
      <c r="F9" s="17"/>
      <c r="G9" s="18"/>
      <c r="H9" s="18"/>
      <c r="I9" s="17"/>
      <c r="J9" s="40"/>
      <c r="K9" s="41"/>
    </row>
    <row r="10" spans="1:11" ht="14.25">
      <c r="A10" s="19" t="str">
        <v>Dedham - 100 Rustcraft Rd</v>
      </c>
      <c r="B10" s="31" t="str">
        <v>MA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2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2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2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2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2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2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2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2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2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2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2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2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2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3.9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22" priority="5" stopIfTrue="1" operator="lessThanOrEqual">
      <formula>-0.1</formula>
    </cfRule>
    <cfRule type="expression" dxfId="21" priority="6">
      <formula>AND(ISNUMBER(F2), F2&gt;=0.1)</formula>
    </cfRule>
  </conditionalFormatting>
  <conditionalFormatting sqref="F4:F80 I4:I8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zoomScale="70" zoomScaleNormal="70" workbookViewId="0">
      <pane xSplit="2" ySplit="3" topLeftCell="E4" activePane="bottomRight" state="frozen"/>
      <selection pane="bottomRight" activeCell="G13" sqref="G13"/>
      <selection pane="bottomLeft" activeCell="G13" sqref="G13"/>
      <selection pane="topRight" activeCell="G13" sqref="G13"/>
    </sheetView>
  </sheetViews>
  <sheetFormatPr defaultRowHeight="13.5"/>
  <cols>
    <col min="1" max="1" width="35.85546875" bestFit="1" customWidth="1"/>
    <col min="2" max="2" width="8.42578125" style="32" customWidth="1"/>
    <col min="3" max="3" width="17.28515625" customWidth="1"/>
    <col min="4" max="4" width="16.7109375" customWidth="1"/>
    <col min="5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6.5703125" customWidth="1"/>
  </cols>
  <sheetData>
    <row r="1" spans="1:11" ht="19.5" customHeight="1">
      <c r="A1" s="66" t="str" cm="1">
        <f t="array" ref="A1">portfolio</f>
        <v>Agilitas Energy</v>
      </c>
      <c r="B1" s="66"/>
      <c r="C1" s="66"/>
      <c r="D1" s="67" t="s">
        <v>53</v>
      </c>
      <c r="E1" s="67"/>
      <c r="F1" s="67"/>
      <c r="G1" s="65" t="s">
        <v>54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0">Sites[Site]</f>
        <v>Rowley - Central Street Solar</v>
      </c>
      <c r="B4" s="27" t="str" cm="1">
        <f t="array" ref="B4:B10">Sites[State]</f>
        <v>MA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Auburn - Leicester Street Solar</v>
      </c>
      <c r="B5" s="29" t="str">
        <v>MA</v>
      </c>
      <c r="C5" s="11"/>
      <c r="D5" s="16"/>
      <c r="E5" s="16" t="str">
        <f t="shared" ref="E5:E8" si="0">IF(AND(ISNUMBER(C5),ISNUMBER(D5)), C5-D5, "")</f>
        <v/>
      </c>
      <c r="F5" s="17" t="str">
        <f>IFERROR(E5/D5, "")</f>
        <v/>
      </c>
      <c r="G5" s="18"/>
      <c r="H5" s="18" t="str">
        <f t="shared" ref="H5:H8" si="1">IF(AND(ISNUMBER(C5),ISNUMBER(G5)), C5-G5, "")</f>
        <v/>
      </c>
      <c r="I5" s="17" t="str">
        <f t="shared" ref="I5:I8" si="2">IFERROR(H5/G5, "")</f>
        <v/>
      </c>
      <c r="J5" s="40"/>
      <c r="K5" s="40"/>
    </row>
    <row r="6" spans="1:11" ht="15.75">
      <c r="A6" s="26" t="str">
        <v>Rochester - Old Middleboro</v>
      </c>
      <c r="B6" s="27" t="str">
        <v>MA</v>
      </c>
      <c r="C6" s="22"/>
      <c r="D6" s="12"/>
      <c r="E6" s="12" t="str">
        <f>IF(AND(ISNUMBER(C6),ISNUMBER(D6)), C6-D6, "")</f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75">
      <c r="A7" s="28" t="str">
        <v>Dover - Littleworth Road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Milton - Landfill</v>
      </c>
      <c r="B8" s="27" t="str">
        <v>NH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75">
      <c r="A9" s="28" t="str">
        <v>Hopkinton - 71 Frankland Rd</v>
      </c>
      <c r="B9" s="29" t="str">
        <v>MA</v>
      </c>
      <c r="C9" s="11"/>
      <c r="D9" s="16"/>
      <c r="E9" s="16"/>
      <c r="F9" s="17"/>
      <c r="G9" s="18"/>
      <c r="H9" s="18"/>
      <c r="I9" s="17"/>
      <c r="J9" s="40"/>
      <c r="K9" s="41"/>
    </row>
    <row r="10" spans="1:11" ht="14.25">
      <c r="A10" s="19" t="str">
        <v>Dedham - 100 Rustcraft Rd</v>
      </c>
      <c r="B10" s="31" t="str">
        <v>MA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2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2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2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2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2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2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2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2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2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2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2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2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2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3.9">
      <c r="C322" s="19"/>
      <c r="D322" s="19"/>
      <c r="E322" s="19"/>
      <c r="F322" s="20"/>
      <c r="G322" s="19"/>
      <c r="H322" s="19"/>
      <c r="I322" s="20"/>
      <c r="J322" s="19"/>
      <c r="K322" s="19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">
    <cfRule type="cellIs" dxfId="18" priority="5" stopIfTrue="1" operator="lessThanOrEqual">
      <formula>-0.1</formula>
    </cfRule>
    <cfRule type="expression" dxfId="17" priority="6">
      <formula>AND(ISNUMBER(F2), F2&gt;=0.1)</formula>
    </cfRule>
  </conditionalFormatting>
  <conditionalFormatting sqref="F4:F80 I4:I80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zoomScale="80" zoomScaleNormal="80" workbookViewId="0">
      <pane xSplit="2" ySplit="3" topLeftCell="G4" activePane="bottomRight" state="frozen"/>
      <selection pane="bottomRight" activeCell="G13" sqref="G13"/>
      <selection pane="bottomLeft" activeCell="G13" sqref="G13"/>
      <selection pane="topRight" activeCell="G13" sqref="G13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Agilitas Energy</v>
      </c>
      <c r="B1" s="66"/>
      <c r="C1" s="66"/>
      <c r="D1" s="67" t="s">
        <v>55</v>
      </c>
      <c r="E1" s="67"/>
      <c r="F1" s="67"/>
      <c r="G1" s="65" t="s">
        <v>56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0">Sites[Site]</f>
        <v>Rowley - Central Street Solar</v>
      </c>
      <c r="B4" s="27" t="str" cm="1">
        <f t="array" ref="B4:B10">Sites[State]</f>
        <v>MA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Auburn - Leicester Street Solar</v>
      </c>
      <c r="B5" s="29" t="str">
        <v>MA</v>
      </c>
      <c r="C5" s="11"/>
      <c r="D5" s="16"/>
      <c r="E5" s="16" t="str">
        <f t="shared" ref="E5:E8" si="0">IF(AND(ISNUMBER(C5),ISNUMBER(D5)), C5-D5, "")</f>
        <v/>
      </c>
      <c r="F5" s="17" t="str">
        <f>IFERROR(E5/D5, "")</f>
        <v/>
      </c>
      <c r="G5" s="18"/>
      <c r="H5" s="18" t="str">
        <f t="shared" ref="H5:H8" si="1">IF(AND(ISNUMBER(C5),ISNUMBER(G5)), C5-G5, "")</f>
        <v/>
      </c>
      <c r="I5" s="17" t="str">
        <f t="shared" ref="I5:I8" si="2">IFERROR(H5/G5, "")</f>
        <v/>
      </c>
      <c r="J5" s="40"/>
      <c r="K5" s="40"/>
    </row>
    <row r="6" spans="1:11" ht="15.75">
      <c r="A6" s="26" t="str">
        <v>Rochester - Old Middleboro</v>
      </c>
      <c r="B6" s="27" t="str">
        <v>MA</v>
      </c>
      <c r="C6" s="22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75">
      <c r="A7" s="28" t="str">
        <v>Dover - Littleworth Road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Milton - Landfill</v>
      </c>
      <c r="B8" s="27" t="str">
        <v>NH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75">
      <c r="A9" s="28" t="str">
        <v>Hopkinton - 71 Frankland Rd</v>
      </c>
      <c r="B9" s="29" t="str">
        <v>MA</v>
      </c>
      <c r="C9" s="11"/>
      <c r="D9" s="16"/>
      <c r="E9" s="16"/>
      <c r="F9" s="17"/>
      <c r="G9" s="18"/>
      <c r="H9" s="18"/>
      <c r="I9" s="17"/>
      <c r="J9" s="40"/>
      <c r="K9" s="41"/>
    </row>
    <row r="10" spans="1:11" ht="14.25">
      <c r="A10" s="19" t="str">
        <v>Dedham - 100 Rustcraft Rd</v>
      </c>
      <c r="B10" s="31" t="str">
        <v>MA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2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2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2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2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2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2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2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2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2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2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2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2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2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3.9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J4" activePane="bottomRight" state="frozen"/>
      <selection pane="bottomRight" activeCell="J10" sqref="J10"/>
      <selection pane="bottomLeft" activeCell="G13" sqref="G13"/>
      <selection pane="topRight" activeCell="G13" sqref="G13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Agilitas Energy</v>
      </c>
      <c r="B1" s="66"/>
      <c r="C1" s="66"/>
      <c r="D1" s="67" t="s">
        <v>57</v>
      </c>
      <c r="E1" s="67"/>
      <c r="F1" s="67"/>
      <c r="G1" s="65" t="s">
        <v>58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0">Sites[Site]</f>
        <v>Rowley - Central Street Solar</v>
      </c>
      <c r="B4" s="27" t="str" cm="1">
        <f t="array" ref="B4:B10">Sites[State]</f>
        <v>MA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Auburn - Leicester Street Solar</v>
      </c>
      <c r="B5" s="29" t="str">
        <v>MA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 t="shared" ref="H5:H9" si="1">IF(AND(ISNUMBER(C5),ISNUMBER(G5)), C5-G5, "")</f>
        <v/>
      </c>
      <c r="I5" s="17" t="str">
        <f t="shared" ref="I5:I9" si="2">IFERROR(H5/G5, "")</f>
        <v/>
      </c>
      <c r="J5" s="40"/>
      <c r="K5" s="40"/>
    </row>
    <row r="6" spans="1:11" ht="15.75">
      <c r="A6" s="26" t="str">
        <v>Rochester - Old Middleboro</v>
      </c>
      <c r="B6" s="27" t="str">
        <v>MA</v>
      </c>
      <c r="C6" s="22"/>
      <c r="D6" s="12"/>
      <c r="E6" s="12" t="str">
        <f t="shared" si="0"/>
        <v/>
      </c>
      <c r="F6" s="13" t="str">
        <f t="shared" ref="F6:F9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75">
      <c r="A7" s="28" t="str">
        <v>Dover - Littleworth Road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Milton - Landfill</v>
      </c>
      <c r="B8" s="27" t="str">
        <v>NH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75">
      <c r="A9" s="28" t="str">
        <v>Hopkinton - 71 Frankland Rd</v>
      </c>
      <c r="B9" s="29" t="str">
        <v>MA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4.25">
      <c r="A10" s="19" t="str">
        <v>Dedham - 100 Rustcraft Rd</v>
      </c>
      <c r="B10" s="31" t="str">
        <v>MA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2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2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2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2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2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2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2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2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2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2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2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2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2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3.9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C4" activePane="bottomRight" state="frozen"/>
      <selection pane="bottomRight" activeCell="H14" sqref="H14"/>
      <selection pane="bottomLeft" activeCell="G13" sqref="G13"/>
      <selection pane="topRight" activeCell="G13" sqref="G13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Agilitas Energy</v>
      </c>
      <c r="B1" s="66"/>
      <c r="C1" s="66"/>
      <c r="D1" s="67" t="s">
        <v>59</v>
      </c>
      <c r="E1" s="67"/>
      <c r="F1" s="67"/>
      <c r="G1" s="65" t="s">
        <v>60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0">Sites[Site]</f>
        <v>Rowley - Central Street Solar</v>
      </c>
      <c r="B4" s="27" t="str" cm="1">
        <f t="array" ref="B4:B10">Sites[State]</f>
        <v>MA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/>
      <c r="I4" s="15" t="str">
        <f>IFERROR(H4/G4, "")</f>
        <v/>
      </c>
      <c r="J4" s="39"/>
      <c r="K4" s="39"/>
    </row>
    <row r="5" spans="1:11" ht="15.75">
      <c r="A5" s="28" t="str">
        <v>Auburn - Leicester Street Solar</v>
      </c>
      <c r="B5" s="29" t="str">
        <v>MA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>IF(AND(ISNUMBER(C5),ISNUMBER(G5)), C5-G5, "")</f>
        <v/>
      </c>
      <c r="I5" s="17" t="str">
        <f>IFERROR(H5/G6, "")</f>
        <v/>
      </c>
      <c r="J5" s="40"/>
      <c r="K5" s="41"/>
    </row>
    <row r="6" spans="1:11" ht="15.75">
      <c r="A6" s="30" t="str">
        <v>Rochester - Old Middleboro</v>
      </c>
      <c r="B6" s="27" t="str">
        <v>MA</v>
      </c>
      <c r="C6" s="22"/>
      <c r="D6" s="12"/>
      <c r="E6" s="12" t="str">
        <f>IF(AND(ISNUMBER(C6),ISNUMBER(D6)), C6-D6, "")</f>
        <v/>
      </c>
      <c r="F6" s="13" t="str">
        <f t="shared" ref="F6:F9" si="1">IFERROR(E6/D6, "")</f>
        <v/>
      </c>
      <c r="G6" s="14"/>
      <c r="H6" s="14"/>
      <c r="I6" s="15" t="str">
        <f t="shared" ref="I6" si="2">IFERROR(H6/G6, "")</f>
        <v/>
      </c>
      <c r="J6" s="39"/>
      <c r="K6" s="39"/>
    </row>
    <row r="7" spans="1:11" ht="15.75">
      <c r="A7" s="28" t="str">
        <v>Dover - Littleworth Road</v>
      </c>
      <c r="B7" s="29" t="str">
        <v>NH</v>
      </c>
      <c r="C7" s="11"/>
      <c r="D7" s="16"/>
      <c r="E7" s="16" t="str">
        <f t="shared" si="0"/>
        <v/>
      </c>
      <c r="F7" s="17" t="str">
        <f t="shared" si="1"/>
        <v/>
      </c>
      <c r="G7" s="18"/>
      <c r="H7" s="18" t="str">
        <f t="shared" ref="H7:H9" si="3">IF(AND(ISNUMBER(C7),ISNUMBER(G7)), C7-G7, "")</f>
        <v/>
      </c>
      <c r="I7" s="17" t="str">
        <f t="shared" ref="I7" si="4">IFERROR(H7/G8, "")</f>
        <v/>
      </c>
      <c r="J7" s="40"/>
      <c r="K7" s="41"/>
    </row>
    <row r="8" spans="1:11" ht="15.75">
      <c r="A8" s="26" t="str">
        <v>Milton - Landfill</v>
      </c>
      <c r="B8" s="27" t="str">
        <v>NH</v>
      </c>
      <c r="C8" s="22"/>
      <c r="D8" s="12"/>
      <c r="E8" s="12" t="str">
        <f t="shared" si="0"/>
        <v/>
      </c>
      <c r="F8" s="13" t="str">
        <f t="shared" si="1"/>
        <v/>
      </c>
      <c r="G8" s="14"/>
      <c r="H8" s="14"/>
      <c r="I8" s="15" t="str">
        <f t="shared" ref="I8" si="5">IFERROR(H8/G8, "")</f>
        <v/>
      </c>
      <c r="J8" s="39"/>
      <c r="K8" s="39"/>
    </row>
    <row r="9" spans="1:11" ht="15.75">
      <c r="A9" s="28" t="str">
        <v>Hopkinton - 71 Frankland Rd</v>
      </c>
      <c r="B9" s="29" t="str">
        <v>MA</v>
      </c>
      <c r="C9" s="11"/>
      <c r="D9" s="16"/>
      <c r="E9" s="16" t="str">
        <f t="shared" si="0"/>
        <v/>
      </c>
      <c r="F9" s="17" t="str">
        <f t="shared" si="1"/>
        <v/>
      </c>
      <c r="G9" s="18"/>
      <c r="H9" s="18" t="str">
        <f t="shared" si="3"/>
        <v/>
      </c>
      <c r="I9" s="17" t="str">
        <f>IFERROR(H9/G9, "")</f>
        <v/>
      </c>
      <c r="J9" s="40"/>
      <c r="K9" s="41"/>
    </row>
    <row r="10" spans="1:11" ht="14.25">
      <c r="A10" s="19" t="str">
        <v>Dedham - 100 Rustcraft Rd</v>
      </c>
      <c r="B10" s="31" t="str">
        <v>MA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2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2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2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2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2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2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2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2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2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2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2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2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2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3.9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4:F80 I4:I8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4" topLeftCell="C5" activePane="bottomRight" state="frozen"/>
      <selection pane="bottomRight" activeCell="D16" sqref="D16"/>
      <selection pane="bottomLeft" activeCell="G13" sqref="G13"/>
      <selection pane="topRight" activeCell="G13" sqref="G13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15.42578125" customWidth="1"/>
  </cols>
  <sheetData>
    <row r="1" spans="1:11" ht="19.5" customHeight="1">
      <c r="A1" s="66" t="str" cm="1">
        <f t="array" ref="A1">portfolio</f>
        <v>Agilitas Energy</v>
      </c>
      <c r="B1" s="66"/>
      <c r="C1" s="66"/>
      <c r="D1" s="67" t="s">
        <v>61</v>
      </c>
      <c r="E1" s="67"/>
      <c r="F1" s="67"/>
      <c r="G1" s="65" t="s">
        <v>62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0">Sites[Site]</f>
        <v>Rowley - Central Street Solar</v>
      </c>
      <c r="B4" s="27" t="str" cm="1">
        <f t="array" ref="B4:B10">Sites[State]</f>
        <v>MA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Auburn - Leicester Street Solar</v>
      </c>
      <c r="B5" s="29" t="str">
        <v>MA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 t="shared" ref="H5:H9" si="1">IF(AND(ISNUMBER(C5),ISNUMBER(G5)), C5-G5, "")</f>
        <v/>
      </c>
      <c r="I5" s="17" t="str">
        <f t="shared" ref="I5:I9" si="2">IFERROR(H5/G5, "")</f>
        <v/>
      </c>
      <c r="J5" s="57"/>
      <c r="K5" s="52"/>
    </row>
    <row r="6" spans="1:11" ht="15.75">
      <c r="A6" s="26" t="str">
        <v>Rochester - Old Middleboro</v>
      </c>
      <c r="B6" s="27" t="str">
        <v>MA</v>
      </c>
      <c r="C6" s="22"/>
      <c r="D6" s="12"/>
      <c r="E6" s="12" t="str">
        <f t="shared" si="0"/>
        <v/>
      </c>
      <c r="F6" s="13" t="str">
        <f t="shared" ref="F6:F9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39"/>
    </row>
    <row r="7" spans="1:11" ht="15.75">
      <c r="A7" s="28" t="str">
        <v>Dover - Littleworth Road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Milton - Landfill</v>
      </c>
      <c r="B8" s="27" t="str">
        <v>NH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75">
      <c r="A9" s="28" t="str">
        <v>Hopkinton - 71 Frankland Rd</v>
      </c>
      <c r="B9" s="29" t="str">
        <v>MA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4.25">
      <c r="A10" s="19" t="str">
        <v>Dedham - 100 Rustcraft Rd</v>
      </c>
      <c r="B10" s="31" t="str">
        <v>MA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2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2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2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2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2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2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2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2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2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2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2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2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2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3.9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bottomRight" activeCell="G13" sqref="G13"/>
      <selection pane="bottomLeft" activeCell="G13" sqref="G13"/>
      <selection pane="topRight" activeCell="G13" sqref="G13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Agilitas Energy</v>
      </c>
      <c r="B1" s="66"/>
      <c r="C1" s="66"/>
      <c r="D1" s="67" t="s">
        <v>63</v>
      </c>
      <c r="E1" s="67"/>
      <c r="F1" s="67"/>
      <c r="G1" s="65" t="s">
        <v>64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0">Sites[Site]</f>
        <v>Rowley - Central Street Solar</v>
      </c>
      <c r="B4" s="27" t="str" cm="1">
        <f t="array" ref="B4:B10">Sites[State]</f>
        <v>MA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Auburn - Leicester Street Solar</v>
      </c>
      <c r="B5" s="29" t="str">
        <v>MA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 t="shared" ref="H5:H9" si="1">IF(AND(ISNUMBER(C5),ISNUMBER(G5)), C5-G5, "")</f>
        <v/>
      </c>
      <c r="I5" s="17" t="str">
        <f t="shared" ref="I5:I9" si="2">IFERROR(H5/G5, "")</f>
        <v/>
      </c>
      <c r="J5" s="40"/>
      <c r="K5" s="57"/>
    </row>
    <row r="6" spans="1:11" ht="15.75">
      <c r="A6" s="26" t="str">
        <v>Rochester - Old Middleboro</v>
      </c>
      <c r="B6" s="27" t="str">
        <v>MA</v>
      </c>
      <c r="C6" s="22"/>
      <c r="D6" s="12"/>
      <c r="E6" s="12" t="str">
        <f t="shared" si="0"/>
        <v/>
      </c>
      <c r="F6" s="13" t="str">
        <f t="shared" ref="F6:F9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75">
      <c r="A7" s="28" t="str">
        <v>Dover - Littleworth Road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Milton - Landfill</v>
      </c>
      <c r="B8" s="27" t="str">
        <v>NH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75">
      <c r="A9" s="28" t="str">
        <v>Hopkinton - 71 Frankland Rd</v>
      </c>
      <c r="B9" s="29" t="str">
        <v>MA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57"/>
    </row>
    <row r="10" spans="1:11" ht="14.25">
      <c r="A10" s="19" t="str">
        <v>Dedham - 100 Rustcraft Rd</v>
      </c>
      <c r="B10" s="31" t="str">
        <v>MA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2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2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2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2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2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2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2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2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2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2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2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2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2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3.9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3"/>
  <sheetViews>
    <sheetView workbookViewId="0">
      <pane ySplit="3" topLeftCell="A4" activePane="bottomLeft" state="frozen"/>
      <selection pane="bottomLeft" activeCell="D13" sqref="D13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65</v>
      </c>
      <c r="B1" t="s">
        <v>66</v>
      </c>
    </row>
    <row r="3" spans="1:12">
      <c r="A3" t="s">
        <v>67</v>
      </c>
      <c r="B3" t="s">
        <v>3</v>
      </c>
      <c r="C3" t="s">
        <v>4</v>
      </c>
      <c r="D3" t="s">
        <v>68</v>
      </c>
      <c r="E3" s="2" t="s">
        <v>69</v>
      </c>
    </row>
    <row r="4" spans="1:12" ht="14.25">
      <c r="A4" s="48" t="s">
        <v>70</v>
      </c>
      <c r="B4" t="s">
        <v>71</v>
      </c>
      <c r="C4" s="45" t="s">
        <v>72</v>
      </c>
      <c r="D4" s="44" t="s">
        <v>73</v>
      </c>
      <c r="E4" t="s">
        <v>74</v>
      </c>
      <c r="G4" s="3"/>
    </row>
    <row r="5" spans="1:12" ht="14.25">
      <c r="A5" s="48" t="s">
        <v>75</v>
      </c>
      <c r="B5" t="s">
        <v>76</v>
      </c>
      <c r="C5" s="45" t="s">
        <v>72</v>
      </c>
      <c r="D5" s="44" t="s">
        <v>73</v>
      </c>
      <c r="E5" t="s">
        <v>74</v>
      </c>
      <c r="G5" s="3"/>
    </row>
    <row r="6" spans="1:12" ht="14.25">
      <c r="A6" s="48" t="s">
        <v>77</v>
      </c>
      <c r="B6" t="s">
        <v>78</v>
      </c>
      <c r="C6" s="45" t="s">
        <v>72</v>
      </c>
      <c r="D6" s="44" t="s">
        <v>73</v>
      </c>
      <c r="E6" t="s">
        <v>74</v>
      </c>
      <c r="G6" s="3"/>
    </row>
    <row r="7" spans="1:12" ht="12.75" customHeight="1">
      <c r="A7" s="48" t="s">
        <v>79</v>
      </c>
      <c r="B7" t="s">
        <v>80</v>
      </c>
      <c r="C7" s="45" t="s">
        <v>81</v>
      </c>
      <c r="D7" s="44"/>
      <c r="E7" t="s">
        <v>82</v>
      </c>
    </row>
    <row r="8" spans="1:12" ht="12.75" customHeight="1">
      <c r="A8" s="48" t="s">
        <v>83</v>
      </c>
      <c r="B8" t="s">
        <v>84</v>
      </c>
      <c r="C8" s="45" t="s">
        <v>81</v>
      </c>
      <c r="D8" s="44"/>
      <c r="E8" t="s">
        <v>82</v>
      </c>
    </row>
    <row r="9" spans="1:12" ht="12.75" customHeight="1">
      <c r="A9" s="55" t="s">
        <v>85</v>
      </c>
      <c r="B9" s="56" t="s">
        <v>86</v>
      </c>
      <c r="C9" s="45" t="s">
        <v>72</v>
      </c>
      <c r="D9" t="s">
        <v>73</v>
      </c>
      <c r="E9" t="s">
        <v>74</v>
      </c>
      <c r="K9" s="42"/>
      <c r="L9" s="42"/>
    </row>
    <row r="10" spans="1:12" ht="12.75" customHeight="1">
      <c r="A10" s="55" t="s">
        <v>87</v>
      </c>
      <c r="B10" s="56" t="s">
        <v>88</v>
      </c>
      <c r="C10" s="45" t="s">
        <v>72</v>
      </c>
      <c r="E10" t="s">
        <v>74</v>
      </c>
      <c r="K10" s="42"/>
      <c r="L10" s="42"/>
    </row>
    <row r="11" spans="1:12" ht="12.75" customHeight="1">
      <c r="K11" s="42"/>
      <c r="L11" s="42"/>
    </row>
    <row r="12" spans="1:12" ht="12.75" customHeight="1">
      <c r="K12" s="42"/>
      <c r="L12" s="42"/>
    </row>
    <row r="13" spans="1:12" ht="12.75" customHeight="1">
      <c r="K13" s="42"/>
      <c r="L13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C0BCDC1E-6052-4E48-9BAF-94A40814E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Balayan, Diana</cp:lastModifiedBy>
  <cp:revision/>
  <dcterms:created xsi:type="dcterms:W3CDTF">2021-01-01T16:39:53Z</dcterms:created>
  <dcterms:modified xsi:type="dcterms:W3CDTF">2025-02-19T15:07:55Z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2025-02-19T15:07:26Z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4f0b5842-f6c9-4578-8573-2512e3aad7f8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