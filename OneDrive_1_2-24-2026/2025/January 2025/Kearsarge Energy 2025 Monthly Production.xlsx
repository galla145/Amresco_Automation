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F914900D-2434-46EB-945F-15958C2FE0C9}" xr6:coauthVersionLast="47" xr6:coauthVersionMax="47" xr10:uidLastSave="{00000000-0000-0000-0000-000000000000}"/>
  <bookViews>
    <workbookView xWindow="-108" yWindow="-108" windowWidth="23256" windowHeight="12456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2" i="30" s="1"/>
  <c r="E4" i="31"/>
  <c r="G4" i="29"/>
  <c r="G4" i="18"/>
  <c r="H5" i="33"/>
  <c r="I5" i="33" s="1"/>
  <c r="E5" i="33"/>
  <c r="F5" i="33" s="1"/>
  <c r="H5" i="32"/>
  <c r="I5" i="32" s="1"/>
  <c r="E5" i="32"/>
  <c r="F5" i="32" s="1"/>
  <c r="H5" i="31"/>
  <c r="I5" i="31" s="1"/>
  <c r="E5" i="31"/>
  <c r="F5" i="31" s="1"/>
  <c r="H5" i="27"/>
  <c r="I5" i="27" s="1"/>
  <c r="E5" i="27"/>
  <c r="F5" i="27" s="1"/>
  <c r="H5" i="26"/>
  <c r="I5" i="26" s="1"/>
  <c r="E5" i="26"/>
  <c r="F5" i="26" s="1"/>
  <c r="H5" i="19"/>
  <c r="I5" i="19" s="1"/>
  <c r="E5" i="19"/>
  <c r="F5" i="19" s="1"/>
  <c r="H5" i="20"/>
  <c r="I5" i="20" s="1"/>
  <c r="E5" i="20"/>
  <c r="F5" i="20" s="1"/>
  <c r="H5" i="21"/>
  <c r="I5" i="21" s="1"/>
  <c r="E5" i="21"/>
  <c r="F5" i="21" s="1"/>
  <c r="H5" i="4"/>
  <c r="I5" i="4" s="1"/>
  <c r="E5" i="4"/>
  <c r="F5" i="4" s="1"/>
  <c r="E5" i="3"/>
  <c r="F5" i="3" s="1"/>
  <c r="H5" i="3"/>
  <c r="I5" i="3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G2" i="34"/>
  <c r="A1" i="34" a="1"/>
  <c r="A1" i="34" s="1"/>
  <c r="D4" i="30"/>
  <c r="D2" i="30" s="1"/>
  <c r="C4" i="30"/>
  <c r="D4" i="29"/>
  <c r="D2" i="29" s="1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30" l="1"/>
  <c r="F4" i="30" s="1"/>
  <c r="D4" i="34"/>
  <c r="D2" i="34" s="1"/>
  <c r="E4" i="18"/>
  <c r="F4" i="18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<sst xmlns="http://schemas.openxmlformats.org/spreadsheetml/2006/main" count="239" uniqueCount="51">
  <si>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</si>
  <si>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</si>
  <si>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</si>
  <si>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</si>
  <si>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</si>
  <si>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</si>
  <si>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</si>
  <si>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</si>
  <si>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</si>
  <si>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</si>
  <si>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</si>
  <si>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</si>
  <si>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</si>
  <si>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</si>
  <si>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</si>
  <si>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</si>
  <si>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</si>
  <si>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</si>
  <si>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</si>
  <si>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</si>
  <si>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</si>
  <si>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</si>
  <si>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</si>
  <si>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</si>
  <si>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</si>
  <si>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</si>
  <si>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</si>
  <si>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</si>
  <si>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</si>
  <si>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</si>
  <si>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</si>
  <si>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</si>
  <si>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</si>
  <si>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</si>
  <si>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</si>
  <si>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</si>
  <si>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</si>
  <si>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</si>
  <si>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</si>
  <si>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</si>
  <si>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</si>
  <si>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</si>
  <si>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</si>
  <si>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</si>
  <si>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</si>
  <si>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Hubbardston Solar</t>
  </si>
  <si>
    <t>Site DAS Name</t>
  </si>
  <si>
    <t>Update</t>
  </si>
  <si>
    <t>DAS</t>
  </si>
  <si>
    <t>MA</t>
  </si>
  <si>
    <t>Solrenview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</si>
</sst>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9"/>
  <sheetViews>
    <sheetView workbookViewId="0">
      <pane xSplit="2" ySplit="3" topLeftCell="C4" activePane="bottomRight" state="frozen"/>
      <selection pane="bottomRight" activeCell="E8" sqref="E8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Hubbardston Solar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>
      <c r="A2" s="45" t="s">
        <v>2</v>
      </c>
      <c r="B2" s="45"/>
      <c r="C2" s="6">
        <f>SUM(C4:C87)</f>
        <v>1524840</v>
      </c>
      <c r="D2" s="6">
        <f>SUM(D4:D87)</f>
        <v>0</v>
      </c>
      <c r="E2" s="6">
        <f>C2-D2</f>
        <v>1524840</v>
      </c>
      <c r="F2" s="7">
        <f>IFERROR(E2/D2, 0)</f>
        <v>0</v>
      </c>
      <c r="G2" s="6">
        <f>SUM(G4:G87)</f>
        <v>0</v>
      </c>
      <c r="H2" s="8">
        <f>C2-G2</f>
        <v>1524840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SUM('1st Qtr'!C4, '2nd Qtr'!C4, '3rd Qtr'!C4, '4th Qtr'!C4)</f>
        <v>1524840</v>
      </c>
      <c r="D4" s="13">
        <f>SUM('1st Qtr'!D4, '2nd Qtr'!D4, '3rd Qtr'!D4, '4th Qtr'!D4)</f>
        <v>0</v>
      </c>
      <c r="E4" s="13">
        <f>IF(AND(ISNUMBER(C4),ISNUMBER(D4)), C4-D4, "")</f>
        <v>1524840</v>
      </c>
      <c r="F4" s="14" t="str">
        <f>IFERROR(E4/D4, "")</f>
        <v/>
      </c>
      <c r="G4" s="15">
        <v>0</v>
      </c>
      <c r="H4" s="15">
        <f>SUM('1st Qtr'!H4, '2nd Qtr'!H4, '3rd Qtr'!H4, '4th Qtr'!H4)</f>
        <v>1524840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7 I4:I87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9"/>
  <sheetViews>
    <sheetView workbookViewId="0">
      <pane xSplit="2" ySplit="3" topLeftCell="C4" activePane="bottomRight" state="frozen"/>
      <selection pane="bottomRight" activeCell="H37" sqref="H37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Hubbardston Solar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>
      <c r="A2" s="45" t="s">
        <v>2</v>
      </c>
      <c r="B2" s="45"/>
      <c r="C2" s="6">
        <f>SUM(C4:C87)</f>
        <v>381210</v>
      </c>
      <c r="D2" s="6">
        <f>SUM(D4:D87)</f>
        <v>0</v>
      </c>
      <c r="E2" s="6">
        <f>C2-D2</f>
        <v>381210</v>
      </c>
      <c r="F2" s="7">
        <f>IFERROR(E2/D2, 0)</f>
        <v>0</v>
      </c>
      <c r="G2" s="6">
        <f>SUM(G4:G87)</f>
        <v>0</v>
      </c>
      <c r="H2" s="8">
        <f>C2-G2</f>
        <v>381210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SUM(Jan!C4, Feb!C4, Mar!C4)</f>
        <v>381210</v>
      </c>
      <c r="D4" s="13">
        <f>SUM(Jan!D4, Feb!D4, Mar!D4)</f>
        <v>0</v>
      </c>
      <c r="E4" s="13">
        <f>IF(AND(ISNUMBER(C4),ISNUMBER(D4)), C4-D4, "")</f>
        <v>381210</v>
      </c>
      <c r="F4" s="14" t="str">
        <f>IFERROR(E4/D4, "")</f>
        <v/>
      </c>
      <c r="G4" s="15">
        <f>SUM(Jan!G4, Feb!G4, Mar!G4)</f>
        <v>0</v>
      </c>
      <c r="H4" s="15">
        <f>SUM(Jan!H4, Feb!H4, Mar!H4)</f>
        <v>381210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7 I4:I87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9"/>
  <sheetViews>
    <sheetView workbookViewId="0">
      <pane xSplit="2" ySplit="3" topLeftCell="C4" activePane="bottomRight" state="frozen"/>
      <selection pane="bottomRight" activeCell="I4" sqref="I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Hubbardston Solar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>
      <c r="A2" s="45" t="s">
        <v>2</v>
      </c>
      <c r="B2" s="45"/>
      <c r="C2" s="6">
        <f>SUM(C4:C87)</f>
        <v>381210</v>
      </c>
      <c r="D2" s="6">
        <f>SUM(D4:D87)</f>
        <v>0</v>
      </c>
      <c r="E2" s="6">
        <f>C2-D2</f>
        <v>381210</v>
      </c>
      <c r="F2" s="7">
        <f>IFERROR(E2/D2, 0)</f>
        <v>0</v>
      </c>
      <c r="G2" s="6">
        <f>SUM(G4:G87)</f>
        <v>0</v>
      </c>
      <c r="H2" s="8">
        <f>C2-G2</f>
        <v>381210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SUM(Apr!C4, May!C4, Jun!C4)</f>
        <v>381210</v>
      </c>
      <c r="D4" s="13">
        <f>SUM(Apr!D4, May!D4, Jun!D4)</f>
        <v>0</v>
      </c>
      <c r="E4" s="13">
        <f>IF(AND(ISNUMBER(C4),ISNUMBER(D4)), C4-D4, "")</f>
        <v>381210</v>
      </c>
      <c r="F4" s="14" t="str">
        <f>IFERROR(E4/D4, "")</f>
        <v/>
      </c>
      <c r="G4" s="15">
        <f>SUM(Apr!G4,May!G4,Jun!G4)</f>
        <v>0</v>
      </c>
      <c r="H4" s="15">
        <f>SUM(Apr!H4, May!H4, Jun!H4)</f>
        <v>381210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7 I4:I87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9"/>
  <sheetViews>
    <sheetView workbookViewId="0">
      <pane xSplit="2" ySplit="3" topLeftCell="C4" activePane="bottomRight" state="frozen"/>
      <selection pane="bottomRight" activeCell="G4" sqref="G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Hubbardston Solar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>
      <c r="A2" s="45" t="s">
        <v>2</v>
      </c>
      <c r="B2" s="45"/>
      <c r="C2" s="6">
        <f>SUM(C4:C87)</f>
        <v>381210</v>
      </c>
      <c r="D2" s="6">
        <f>SUM(D4:D87)</f>
        <v>0</v>
      </c>
      <c r="E2" s="6">
        <f>C2-D2</f>
        <v>381210</v>
      </c>
      <c r="F2" s="7">
        <f>IFERROR(E2/D2, 0)</f>
        <v>0</v>
      </c>
      <c r="G2" s="6">
        <f>SUM(G4:G87)</f>
        <v>0</v>
      </c>
      <c r="H2" s="8">
        <f>C2-G2</f>
        <v>381210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SUM(Jul!C4, Aug!C4, Sep!C4)</f>
        <v>381210</v>
      </c>
      <c r="D4" s="13">
        <f>SUM(Jul!D4, Aug!D4, Sep!D4)</f>
        <v>0</v>
      </c>
      <c r="E4" s="13">
        <f>IF(AND(ISNUMBER(C4),ISNUMBER(D4)), C4-D4, "")</f>
        <v>381210</v>
      </c>
      <c r="F4" s="14" t="str">
        <f>IFERROR(E4/D4, "")</f>
        <v/>
      </c>
      <c r="G4" s="15">
        <f>SUM(Jul!G4, Aug!G4, Sep!G4)</f>
        <v>0</v>
      </c>
      <c r="H4" s="15">
        <f>SUM(Jul!H4, Aug!H4, Sep!H4)</f>
        <v>381210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mergeCells count="4">
    <mergeCell ref="G1:I1"/>
    <mergeCell ref="A1:C1"/>
    <mergeCell ref="D1:F1"/>
    <mergeCell ref="A2:B2"/>
  </mergeCells>
  <conditionalFormatting sqref="F2 I2 F4:F87 I4:I87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9"/>
  <sheetViews>
    <sheetView workbookViewId="0">
      <pane xSplit="2" ySplit="3" topLeftCell="D4" activePane="bottomRight" state="frozen"/>
      <selection pane="bottomRight" activeCell="I4" sqref="I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Hubbardston Solar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>
      <c r="A2" s="45" t="s">
        <v>2</v>
      </c>
      <c r="B2" s="45"/>
      <c r="C2" s="6">
        <f>SUM(C4:C87)</f>
        <v>381210</v>
      </c>
      <c r="D2" s="6">
        <f>SUM(D4:D87)</f>
        <v>0</v>
      </c>
      <c r="E2" s="6">
        <f>C2-D2</f>
        <v>381210</v>
      </c>
      <c r="F2" s="7">
        <f>IFERROR(E2/D2, 0)</f>
        <v>0</v>
      </c>
      <c r="G2" s="6">
        <f>SUM(G4:G87)</f>
        <v>0</v>
      </c>
      <c r="H2" s="8">
        <f>C2-G2</f>
        <v>381210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SUM(Oct!C4, Nov!C4, Dec!C4)</f>
        <v>381210</v>
      </c>
      <c r="D4" s="13">
        <f>SUM(Oct!D4, Nov!D4, Dec!D4)</f>
        <v>0</v>
      </c>
      <c r="E4" s="13">
        <f>IF(AND(ISNUMBER(C4),ISNUMBER(D4)), C4-D4, "")</f>
        <v>381210</v>
      </c>
      <c r="F4" s="14" t="str">
        <f>IFERROR(E4/D4, "")</f>
        <v/>
      </c>
      <c r="G4" s="15">
        <f>SUM(Oct!G4,Nov!G4,Dec!G4)</f>
        <v>0</v>
      </c>
      <c r="H4" s="15">
        <f>SUM(Oct!H4, Nov!H4, Dec!H4)</f>
        <v>381210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mergeCells count="4">
    <mergeCell ref="G1:I1"/>
    <mergeCell ref="A1:C1"/>
    <mergeCell ref="D1:F1"/>
    <mergeCell ref="A2:B2"/>
  </mergeCells>
  <conditionalFormatting sqref="F2 I2 F4:F87 I4:I87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02"/>
  <sheetViews>
    <sheetView tabSelected="1" workbookViewId="0">
      <pane xSplit="2" ySplit="3" topLeftCell="C4" activePane="bottomRight" state="frozen"/>
      <selection pane="bottomRight" activeCell="H10" sqref="H10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SUM(C4:C60)</f>
        <v>127070</v>
      </c>
      <c r="D2" s="6">
        <f>SUM(D4:D60)</f>
        <v>0</v>
      </c>
      <c r="E2" s="6">
        <f>C2-D2</f>
        <v>127070</v>
      </c>
      <c r="F2" s="7">
        <f>IFERROR(E2/D2, 0)</f>
        <v>0</v>
      </c>
      <c r="G2" s="6">
        <f>SUM(G4:G60)</f>
        <v>0</v>
      </c>
      <c r="H2" s="8">
        <f>C2-G2</f>
        <v>127070</v>
      </c>
      <c r="I2" s="7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6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127070</v>
      </c>
      <c r="D4" s="13">
        <v>0</v>
      </c>
      <c r="E4" s="13">
        <f>IF(AND(ISNUMBER(C4),ISNUMBER(D4)), C4-D4, "")</f>
        <v>127070</v>
      </c>
      <c r="F4" s="14" t="str">
        <f>IFERROR(E4/D4, "")</f>
        <v/>
      </c>
      <c r="G4" s="15">
        <v>0</v>
      </c>
      <c r="H4" s="15">
        <f>IF(AND(ISNUMBER(C4),ISNUMBER(G4)), C4-G4, "")</f>
        <v>127070</v>
      </c>
      <c r="I4" s="16" t="str">
        <f>IFERROR(H4/G4, "")</f>
        <v/>
      </c>
      <c r="J4" s="39"/>
      <c r="K4" s="39"/>
    </row>
    <row r="5" spans="1:11" ht="14.45">
      <c r="A5" s="20"/>
      <c r="B5" s="31"/>
      <c r="C5" s="20"/>
      <c r="D5" s="20"/>
      <c r="E5" s="20"/>
      <c r="F5" s="21"/>
      <c r="G5" s="20"/>
      <c r="H5" s="20"/>
      <c r="I5" s="21"/>
      <c r="J5" s="20"/>
      <c r="K5" s="20"/>
    </row>
    <row r="6" spans="1:11" ht="14.45">
      <c r="A6" s="20"/>
      <c r="B6" s="31"/>
      <c r="C6" s="20"/>
      <c r="D6" s="20"/>
      <c r="E6" s="20"/>
      <c r="F6" s="21"/>
      <c r="G6" s="20"/>
      <c r="H6" s="20"/>
      <c r="I6" s="21"/>
      <c r="J6" s="20"/>
      <c r="K6" s="20"/>
    </row>
    <row r="7" spans="1:11" ht="14.45">
      <c r="A7" s="20"/>
      <c r="B7" s="31"/>
      <c r="C7" s="20"/>
      <c r="D7" s="20"/>
      <c r="E7" s="20"/>
      <c r="F7" s="21"/>
      <c r="G7" s="20"/>
      <c r="H7" s="20"/>
      <c r="I7" s="21"/>
      <c r="J7" s="20"/>
      <c r="K7" s="20"/>
    </row>
    <row r="8" spans="1:11" ht="14.45">
      <c r="A8" s="20"/>
      <c r="B8" s="31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31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</sheetData>
  <mergeCells count="4">
    <mergeCell ref="D1:F1"/>
    <mergeCell ref="A1:C1"/>
    <mergeCell ref="G1:I1"/>
    <mergeCell ref="A2:B2"/>
  </mergeCells>
  <conditionalFormatting sqref="F2 I2 F4:F60 I4:I60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0"/>
  <sheetViews>
    <sheetView workbookViewId="0">
      <pane xSplit="2" ySplit="3" topLeftCell="C4" activePane="bottomRight" state="frozen"/>
      <selection pane="bottomRight" activeCell="H10" sqref="H10"/>
      <selection pane="bottomLeft" activeCell="H10" sqref="H10"/>
      <selection pane="topRight" activeCell="H10" sqref="H1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22</v>
      </c>
      <c r="E1" s="44"/>
      <c r="F1" s="44"/>
      <c r="G1" s="42" t="s">
        <v>23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127070</v>
      </c>
      <c r="D2" s="6">
        <f>SUM(D4:D88)</f>
        <v>0</v>
      </c>
      <c r="E2" s="6">
        <f>C2-D2</f>
        <v>127070</v>
      </c>
      <c r="F2" s="7">
        <f>IFERROR(E2/D2, 0)</f>
        <v>0</v>
      </c>
      <c r="G2" s="6">
        <f>SUM(G4:G88)</f>
        <v>0</v>
      </c>
      <c r="H2" s="8">
        <f>C2-G2</f>
        <v>127070</v>
      </c>
      <c r="I2" s="7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127070</v>
      </c>
      <c r="D4" s="13">
        <v>0</v>
      </c>
      <c r="E4" s="13">
        <f>IF(AND(ISNUMBER(C4),ISNUMBER(D4)), C4-D4, "")</f>
        <v>127070</v>
      </c>
      <c r="F4" s="14" t="str">
        <f>IFERROR(E4/D4, "")</f>
        <v/>
      </c>
      <c r="G4" s="15">
        <v>0</v>
      </c>
      <c r="H4" s="15">
        <f>IF(AND(ISNUMBER(C4),ISNUMBER(G4)), C4-G4, "")</f>
        <v>127070</v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0"/>
  <sheetViews>
    <sheetView workbookViewId="0">
      <pane xSplit="2" ySplit="3" topLeftCell="C4" activePane="bottomRight" state="frozen"/>
      <selection pane="bottomRight" activeCell="H10" sqref="H10"/>
      <selection pane="bottomLeft" activeCell="H10" sqref="H10"/>
      <selection pane="topRight" activeCell="H10" sqref="H1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127070</v>
      </c>
      <c r="D2" s="6">
        <f>SUM(D4:D88)</f>
        <v>0</v>
      </c>
      <c r="E2" s="6">
        <f>C2-D2</f>
        <v>127070</v>
      </c>
      <c r="F2" s="7">
        <f>IFERROR(E2/D2, 0)</f>
        <v>0</v>
      </c>
      <c r="G2" s="6">
        <f>SUM(G4:G88)</f>
        <v>0</v>
      </c>
      <c r="H2" s="8">
        <f>C2-G2</f>
        <v>127070</v>
      </c>
      <c r="I2" s="7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127070</v>
      </c>
      <c r="D4" s="13">
        <v>0</v>
      </c>
      <c r="E4" s="13">
        <f>IF(AND(ISNUMBER(C4),ISNUMBER(D4)), C4-D4, "")</f>
        <v>127070</v>
      </c>
      <c r="F4" s="14" t="str">
        <f>IFERROR(E4/D4, "")</f>
        <v/>
      </c>
      <c r="G4" s="15">
        <v>0</v>
      </c>
      <c r="H4" s="15">
        <f>IF(AND(ISNUMBER(C4),ISNUMBER(G4)), C4-G4, "")</f>
        <v>127070</v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0"/>
  <sheetViews>
    <sheetView workbookViewId="0">
      <pane xSplit="2" ySplit="3" topLeftCell="C4" activePane="bottomRight" state="frozen"/>
      <selection pane="bottomRight" activeCell="H10" sqref="H10"/>
      <selection pane="bottomLeft" activeCell="H10" sqref="H10"/>
      <selection pane="topRight" activeCell="H10" sqref="H1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26</v>
      </c>
      <c r="E1" s="44"/>
      <c r="F1" s="44"/>
      <c r="G1" s="42" t="s">
        <v>27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127070</v>
      </c>
      <c r="D2" s="6">
        <f>SUM(D4:D88)</f>
        <v>0</v>
      </c>
      <c r="E2" s="6">
        <f>C2-D2</f>
        <v>127070</v>
      </c>
      <c r="F2" s="7">
        <f>IFERROR(E2/D2, 0)</f>
        <v>0</v>
      </c>
      <c r="G2" s="6">
        <f>SUM(G4:G88)</f>
        <v>0</v>
      </c>
      <c r="H2" s="8">
        <f>C2-G2</f>
        <v>127070</v>
      </c>
      <c r="I2" s="7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127070</v>
      </c>
      <c r="D4" s="13">
        <v>0</v>
      </c>
      <c r="E4" s="13">
        <f>IF(AND(ISNUMBER(C4),ISNUMBER(D4)), C4-D4, "")</f>
        <v>127070</v>
      </c>
      <c r="F4" s="14" t="str">
        <f>IFERROR(E4/D4, "")</f>
        <v/>
      </c>
      <c r="G4" s="15">
        <v>0</v>
      </c>
      <c r="H4" s="15">
        <f>IF(AND(ISNUMBER(C4),ISNUMBER(G4)), C4-G4, "")</f>
        <v>127070</v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0"/>
  <sheetViews>
    <sheetView workbookViewId="0">
      <pane xSplit="2" ySplit="3" topLeftCell="C4" activePane="bottomRight" state="frozen"/>
      <selection pane="bottomRight" activeCell="H10" sqref="H10"/>
      <selection pane="bottomLeft" activeCell="H10" sqref="H10"/>
      <selection pane="topRight" activeCell="H10" sqref="H1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28</v>
      </c>
      <c r="E1" s="44"/>
      <c r="F1" s="44"/>
      <c r="G1" s="42" t="s">
        <v>29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127070</v>
      </c>
      <c r="D2" s="6">
        <f>SUM(D4:D88)</f>
        <v>0</v>
      </c>
      <c r="E2" s="6">
        <f>C2-D2</f>
        <v>127070</v>
      </c>
      <c r="F2" s="7">
        <f>IFERROR(E2/D2, 0)</f>
        <v>0</v>
      </c>
      <c r="G2" s="6">
        <f>SUM(G4:G88)</f>
        <v>0</v>
      </c>
      <c r="H2" s="8">
        <f>C2-G2</f>
        <v>127070</v>
      </c>
      <c r="I2" s="7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127070</v>
      </c>
      <c r="D4" s="13">
        <v>0</v>
      </c>
      <c r="E4" s="13">
        <f>IF(AND(ISNUMBER(C4),ISNUMBER(D4)), C4-D4, "")</f>
        <v>127070</v>
      </c>
      <c r="F4" s="14" t="str">
        <f>IFERROR(E4/D4, "")</f>
        <v/>
      </c>
      <c r="G4" s="15">
        <v>0</v>
      </c>
      <c r="H4" s="15">
        <f>IF(AND(ISNUMBER(C4),ISNUMBER(G4)), C4-G4, "")</f>
        <v>127070</v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0"/>
  <sheetViews>
    <sheetView workbookViewId="0">
      <pane xSplit="2" ySplit="3" topLeftCell="C4" activePane="bottomRight" state="frozen"/>
      <selection pane="bottomRight" activeCell="H10" sqref="H10"/>
      <selection pane="bottomLeft" activeCell="H10" sqref="H10"/>
      <selection pane="topRight" activeCell="H10" sqref="H1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30</v>
      </c>
      <c r="E1" s="44"/>
      <c r="F1" s="44"/>
      <c r="G1" s="42" t="s">
        <v>31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127070</v>
      </c>
      <c r="D2" s="6">
        <f>SUM(D4:D88)</f>
        <v>0</v>
      </c>
      <c r="E2" s="6">
        <f>C2-D2</f>
        <v>127070</v>
      </c>
      <c r="F2" s="7">
        <f>IFERROR(E2/D2, 0)</f>
        <v>0</v>
      </c>
      <c r="G2" s="6">
        <f>SUM(G4:G88)</f>
        <v>0</v>
      </c>
      <c r="H2" s="8">
        <f>C2-G2</f>
        <v>127070</v>
      </c>
      <c r="I2" s="7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127070</v>
      </c>
      <c r="D4" s="13">
        <v>0</v>
      </c>
      <c r="E4" s="13">
        <f>IF(AND(ISNUMBER(C4),ISNUMBER(D4)), C4-D4, "")</f>
        <v>127070</v>
      </c>
      <c r="F4" s="14" t="str">
        <f>IFERROR(E4/D4, "")</f>
        <v/>
      </c>
      <c r="G4" s="15">
        <v>0</v>
      </c>
      <c r="H4" s="15">
        <f>IF(AND(ISNUMBER(C4),ISNUMBER(G4)), C4-G4, "")</f>
        <v>127070</v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0"/>
  <sheetViews>
    <sheetView workbookViewId="0">
      <pane xSplit="2" ySplit="3" topLeftCell="C4" activePane="bottomRight" state="frozen"/>
      <selection pane="bottomRight" activeCell="H10" sqref="H10"/>
      <selection pane="bottomLeft" activeCell="H10" sqref="H10"/>
      <selection pane="topRight" activeCell="H10" sqref="H1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32</v>
      </c>
      <c r="E1" s="44"/>
      <c r="F1" s="44"/>
      <c r="G1" s="42" t="s">
        <v>33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127070</v>
      </c>
      <c r="D2" s="6">
        <f>SUM(D4:D88)</f>
        <v>0</v>
      </c>
      <c r="E2" s="6">
        <f>C2-D2</f>
        <v>127070</v>
      </c>
      <c r="F2" s="7">
        <f>IFERROR(E2/D2, 0)</f>
        <v>0</v>
      </c>
      <c r="G2" s="6">
        <f>SUM(G4:G88)</f>
        <v>0</v>
      </c>
      <c r="H2" s="8">
        <f>C2-G2</f>
        <v>127070</v>
      </c>
      <c r="I2" s="7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127070</v>
      </c>
      <c r="D4" s="13">
        <v>0</v>
      </c>
      <c r="E4" s="13">
        <f>IF(AND(ISNUMBER(C4),ISNUMBER(D4)), C4-D4, "")</f>
        <v>127070</v>
      </c>
      <c r="F4" s="14" t="str">
        <f>IFERROR(E4/D4, "")</f>
        <v/>
      </c>
      <c r="G4" s="15">
        <v>0</v>
      </c>
      <c r="H4" s="15">
        <f>IF(AND(ISNUMBER(C4),ISNUMBER(G4)), C4-G4, "")</f>
        <v>127070</v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88 I4:I88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0"/>
  <sheetViews>
    <sheetView workbookViewId="0">
      <pane xSplit="2" ySplit="3" topLeftCell="G11" activePane="bottomRight" state="frozen"/>
      <selection pane="bottomRight" activeCell="H10" sqref="H10"/>
      <selection pane="bottomLeft" activeCell="H10" sqref="H10"/>
      <selection pane="topRight" activeCell="H10" sqref="H1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34</v>
      </c>
      <c r="E1" s="44"/>
      <c r="F1" s="44"/>
      <c r="G1" s="42" t="s">
        <v>35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127070</v>
      </c>
      <c r="D2" s="6">
        <f>SUM(D4:D88)</f>
        <v>0</v>
      </c>
      <c r="E2" s="6">
        <f>C2-D2</f>
        <v>127070</v>
      </c>
      <c r="F2" s="7">
        <f>IFERROR(E2/D2, 0)</f>
        <v>0</v>
      </c>
      <c r="G2" s="6">
        <f>SUM(G4:G88)</f>
        <v>0</v>
      </c>
      <c r="H2" s="8">
        <f>C2-G2</f>
        <v>127070</v>
      </c>
      <c r="I2" s="7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127070</v>
      </c>
      <c r="D4" s="13">
        <v>0</v>
      </c>
      <c r="E4" s="13">
        <f>IF(AND(ISNUMBER(C4),ISNUMBER(D4)), C4-D4, "")</f>
        <v>127070</v>
      </c>
      <c r="F4" s="14" t="str">
        <f>IFERROR(E4/D4, "")</f>
        <v/>
      </c>
      <c r="G4" s="15">
        <v>0</v>
      </c>
      <c r="H4" s="15">
        <f>IF(AND(ISNUMBER(C4),ISNUMBER(G4)), C4-G4, "")</f>
        <v>127070</v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9"/>
  <sheetViews>
    <sheetView workbookViewId="0">
      <pane xSplit="2" ySplit="3" topLeftCell="C4" activePane="bottomRight" state="frozen"/>
      <selection pane="bottomRight" activeCell="H10" sqref="H10"/>
      <selection pane="bottomLeft" activeCell="H10" sqref="H10"/>
      <selection pane="topRight" activeCell="H10" sqref="H1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36</v>
      </c>
      <c r="E1" s="44"/>
      <c r="F1" s="44"/>
      <c r="G1" s="42" t="s">
        <v>37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SUM(C4:C87)</f>
        <v>127070</v>
      </c>
      <c r="D2" s="6">
        <f>SUM(D4:D87)</f>
        <v>0</v>
      </c>
      <c r="E2" s="6">
        <f>C2-D2</f>
        <v>127070</v>
      </c>
      <c r="F2" s="7">
        <f>IFERROR(E2/D2, 0)</f>
        <v>0</v>
      </c>
      <c r="G2" s="6">
        <f>SUM(G4:G87)</f>
        <v>0</v>
      </c>
      <c r="H2" s="8">
        <f>C2-G2</f>
        <v>127070</v>
      </c>
      <c r="I2" s="7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127070</v>
      </c>
      <c r="D4" s="13">
        <v>0</v>
      </c>
      <c r="E4" s="13">
        <f>IF(AND(ISNUMBER(C4),ISNUMBER(D4)), C4-D4, "")</f>
        <v>127070</v>
      </c>
      <c r="F4" s="14" t="str">
        <f>IFERROR(E4/D4, "")</f>
        <v/>
      </c>
      <c r="G4" s="15">
        <v>0</v>
      </c>
      <c r="H4" s="15">
        <f>IF(AND(ISNUMBER(C4),ISNUMBER(G4)), C4-G4, "")</f>
        <v>127070</v>
      </c>
      <c r="I4" s="16" t="str">
        <f>IFERROR(H4/G4, "")</f>
        <v/>
      </c>
      <c r="J4" s="39"/>
      <c r="K4" s="39"/>
    </row>
    <row r="5" spans="1:11" ht="12.75" customHeight="1">
      <c r="A5" s="20"/>
      <c r="B5" s="31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C329" s="20"/>
      <c r="D329" s="20"/>
      <c r="E329" s="20"/>
      <c r="F329" s="21"/>
      <c r="G329" s="20"/>
      <c r="H329" s="20"/>
      <c r="I329" s="21"/>
      <c r="J329" s="20"/>
      <c r="K329" s="20"/>
    </row>
  </sheetData>
  <mergeCells count="4">
    <mergeCell ref="G1:I1"/>
    <mergeCell ref="A1:C1"/>
    <mergeCell ref="D1:F1"/>
    <mergeCell ref="A2:B2"/>
  </mergeCells>
  <conditionalFormatting sqref="F2 I2 F4:F87 I4:I87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0"/>
  <sheetViews>
    <sheetView workbookViewId="0">
      <pane xSplit="2" ySplit="3" topLeftCell="C4" activePane="bottomRight" state="frozen"/>
      <selection pane="bottomRight" activeCell="H10" sqref="H10"/>
      <selection pane="bottomLeft" activeCell="H10" sqref="H10"/>
      <selection pane="topRight" activeCell="H10" sqref="H1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38</v>
      </c>
      <c r="E1" s="44"/>
      <c r="F1" s="44"/>
      <c r="G1" s="42" t="s">
        <v>39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127070</v>
      </c>
      <c r="D2" s="6">
        <f>SUM(D4:D88)</f>
        <v>0</v>
      </c>
      <c r="E2" s="6">
        <f>C2-D2</f>
        <v>127070</v>
      </c>
      <c r="F2" s="7">
        <f>IFERROR(E2/D2, 0)</f>
        <v>0</v>
      </c>
      <c r="G2" s="6">
        <f>SUM(G4:G88)</f>
        <v>0</v>
      </c>
      <c r="H2" s="8">
        <f>C2-G2</f>
        <v>127070</v>
      </c>
      <c r="I2" s="7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127070</v>
      </c>
      <c r="D4" s="13">
        <v>0</v>
      </c>
      <c r="E4" s="13">
        <f>IF(AND(ISNUMBER(C4),ISNUMBER(D4)), C4-D4, "")</f>
        <v>127070</v>
      </c>
      <c r="F4" s="14"/>
      <c r="G4" s="15">
        <v>0</v>
      </c>
      <c r="H4" s="15">
        <f>IF(AND(ISNUMBER(C4),ISNUMBER(G4)), C4-G4, "")</f>
        <v>127070</v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0"/>
  <sheetViews>
    <sheetView workbookViewId="0">
      <pane xSplit="2" ySplit="3" topLeftCell="C4" activePane="bottomRight" state="frozen"/>
      <selection pane="bottomRight" activeCell="H10" sqref="H10"/>
      <selection pane="bottomLeft" activeCell="H10" sqref="H10"/>
      <selection pane="topRight" activeCell="H10" sqref="H1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40</v>
      </c>
      <c r="E1" s="44"/>
      <c r="F1" s="44"/>
      <c r="G1" s="42" t="s">
        <v>41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127070</v>
      </c>
      <c r="D2" s="6">
        <f>SUM(D4:D88)</f>
        <v>0</v>
      </c>
      <c r="E2" s="6">
        <f>C2-D2</f>
        <v>127070</v>
      </c>
      <c r="F2" s="7">
        <f>IFERROR(E2/D2, 0)</f>
        <v>0</v>
      </c>
      <c r="G2" s="6">
        <f>SUM(G4:G88)</f>
        <v>0</v>
      </c>
      <c r="H2" s="8">
        <f>C2-G2</f>
        <v>127070</v>
      </c>
      <c r="I2" s="7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127070</v>
      </c>
      <c r="D4" s="13">
        <v>0</v>
      </c>
      <c r="E4" s="13">
        <f>IF(AND(ISNUMBER(C4),ISNUMBER(D4)), C4-D4, "")</f>
        <v>127070</v>
      </c>
      <c r="F4" s="14" t="str">
        <f>IFERROR(E4/D4, "")</f>
        <v/>
      </c>
      <c r="G4" s="15">
        <v>0</v>
      </c>
      <c r="H4" s="15">
        <f>IF(AND(ISNUMBER(C4),ISNUMBER(G4)), C4-G4, "")</f>
        <v>127070</v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0"/>
  <sheetViews>
    <sheetView workbookViewId="0">
      <pane xSplit="2" ySplit="3" topLeftCell="C4" activePane="bottomRight" state="frozen"/>
      <selection pane="bottomRight" activeCell="H10" sqref="H10"/>
      <selection pane="bottomLeft" activeCell="H10" sqref="H10"/>
      <selection pane="topRight" activeCell="H10" sqref="H1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42</v>
      </c>
      <c r="E1" s="44"/>
      <c r="F1" s="44"/>
      <c r="G1" s="42" t="s">
        <v>43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127070</v>
      </c>
      <c r="D2" s="6">
        <f>SUM(D4:D88)</f>
        <v>0</v>
      </c>
      <c r="E2" s="6">
        <f>C2-D2</f>
        <v>127070</v>
      </c>
      <c r="F2" s="7">
        <f>IFERROR(E2/D2, 0)</f>
        <v>0</v>
      </c>
      <c r="G2" s="6">
        <f>SUM(G4:G88)</f>
        <v>0</v>
      </c>
      <c r="H2" s="8">
        <f>C2-G2</f>
        <v>127070</v>
      </c>
      <c r="I2" s="7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127070</v>
      </c>
      <c r="D4" s="13">
        <v>0</v>
      </c>
      <c r="E4" s="13">
        <f>IF(AND(ISNUMBER(C4),ISNUMBER(D4)), C4-D4, "")</f>
        <v>127070</v>
      </c>
      <c r="F4" s="14" t="str">
        <f>IFERROR(E4/D4, "")</f>
        <v/>
      </c>
      <c r="G4" s="15">
        <v>0</v>
      </c>
      <c r="H4" s="15">
        <f>IF(AND(ISNUMBER(C4),ISNUMBER(G4)), C4-G4, "")</f>
        <v>127070</v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9" sqref="B9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t="s">
        <v>45</v>
      </c>
    </row>
    <row r="3" spans="1:7" ht="13.1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45">
      <c r="A4" s="3" t="s">
        <v>45</v>
      </c>
      <c r="B4" t="s">
        <v>45</v>
      </c>
      <c r="C4" s="4" t="s">
        <v>49</v>
      </c>
      <c r="E4" t="s">
        <v>50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7946C510-7D04-49D8-9B25-EEC04582A1CA}"/>
</file>

<file path=customXml/itemProps2.xml><?xml version="1.0" encoding="utf-8"?>
<ds:datastoreItem xmlns:ds="http://schemas.openxmlformats.org/officeDocument/2006/customXml" ds:itemID="{BF5C6359-7763-4C37-8EAF-2BC4698CB285}"/>
</file>

<file path=customXml/itemProps3.xml><?xml version="1.0" encoding="utf-8"?>
<ds:datastoreItem xmlns:ds="http://schemas.openxmlformats.org/officeDocument/2006/customXml" ds:itemID="{C0BCDC1E-6052-4E48-9BAF-94A40814E7C2}"/>
</file>

<file path=customXml/itemProps4.xml><?xml version="1.0" encoding="utf-8"?>
<ds:datastoreItem xmlns:ds="http://schemas.openxmlformats.org/officeDocument/2006/customXml" ds:itemID="{D3A7101F-9A85-4235-8B03-415370C100B2}"/>
</file>

<file path=customXml/itemProps5.xml><?xml version="1.0" encoding="utf-8"?>
<ds:datastoreItem xmlns:ds="http://schemas.openxmlformats.org/officeDocument/2006/customXml" ds:itemID="{E20E8303-6A67-485C-B6F4-303542CC295C}"/>
</file>

<file path=customXml/itemProps6.xml><?xml version="1.0" encoding="utf-8"?>
<ds:datastoreItem xmlns:ds="http://schemas.openxmlformats.org/officeDocument/2006/customXml" ds:itemID="{1954BBA4-0359-438C-B0EC-A756015F7C02}"/>
</file>

<file path=customXml/itemProps7.xml><?xml version="1.0" encoding="utf-8"?>
<ds:datastoreItem xmlns:ds="http://schemas.openxmlformats.org/officeDocument/2006/customXml" ds:itemID="{078388C9-06F9-42F4-B857-EF76B5CAF1FD}"/>
</file>

<file path=customXml/itemProps8.xml><?xml version="1.0" encoding="utf-8"?>
<ds:datastoreItem xmlns:ds="http://schemas.openxmlformats.org/officeDocument/2006/customXml" ds:itemID="{0389C43E-394D-44C0-87DC-4780FCFCFB40}"/>
</file>

<file path=customXml/itemProps9.xml><?xml version="1.0" encoding="utf-8"?>
<ds:datastoreItem xmlns:ds="http://schemas.openxmlformats.org/officeDocument/2006/customXml" ds:itemID="{E3716282-BFD2-4ED2-BA47-BFA1123827F0}"/>
</file>

<file path=customXml/itemProps10.xml><?xml version="1.0" encoding="utf-8"?>
<ds:datastoreItem xmlns:ds="http://schemas.openxmlformats.org/officeDocument/2006/customXml" ds:itemID="{8D732231-4216-4543-A665-18A2886B0EB7}"/>
</file>

<file path=customXml/itemProps11.xml><?xml version="1.0" encoding="utf-8"?>
<ds:datastoreItem xmlns:ds="http://schemas.openxmlformats.org/officeDocument/2006/customXml" ds:itemID="{98A113BB-8B7A-453C-8BD4-8EFC67FC2D3F}"/>
</file>

<file path=customXml/itemProps12.xml><?xml version="1.0" encoding="utf-8"?>
<ds:datastoreItem xmlns:ds="http://schemas.openxmlformats.org/officeDocument/2006/customXml" ds:itemID="{2BC74AAC-D69B-4AF1-9649-B21EF3C1C463}"/>
</file>

<file path=customXml/itemProps13.xml><?xml version="1.0" encoding="utf-8"?>
<ds:datastoreItem xmlns:ds="http://schemas.openxmlformats.org/officeDocument/2006/customXml" ds:itemID="{CB52044A-5C0B-44A2-99D0-C1C315EC302D}"/>
</file>

<file path=customXml/itemProps14.xml><?xml version="1.0" encoding="utf-8"?>
<ds:datastoreItem xmlns:ds="http://schemas.openxmlformats.org/officeDocument/2006/customXml" ds:itemID="{89CF5C07-45EB-4100-9AFB-2C6AF77FA787}"/>
</file>

<file path=customXml/itemProps15.xml><?xml version="1.0" encoding="utf-8"?>
<ds:datastoreItem xmlns:ds="http://schemas.openxmlformats.org/officeDocument/2006/customXml" ds:itemID="{3AEAA9D8-2182-46BA-A58E-96C72DDA1C54}"/>
</file>

<file path=customXml/itemProps16.xml><?xml version="1.0" encoding="utf-8"?>
<ds:datastoreItem xmlns:ds="http://schemas.openxmlformats.org/officeDocument/2006/customXml" ds:itemID="{F6B2B1A1-1C4B-4AC9-9A7D-7A102DD1C942}"/>
</file>

<file path=customXml/itemProps17.xml><?xml version="1.0" encoding="utf-8"?>
<ds:datastoreItem xmlns:ds="http://schemas.openxmlformats.org/officeDocument/2006/customXml" ds:itemID="{66B09F59-6532-46F8-924A-9A02417E070D}"/>
</file>

<file path=customXml/itemProps18.xml><?xml version="1.0" encoding="utf-8"?>
<ds:datastoreItem xmlns:ds="http://schemas.openxmlformats.org/officeDocument/2006/customXml" ds:itemID="{F12EFA50-0068-4A8C-85A0-F1B26389EBC3}"/>
</file>

<file path=customXml/itemProps19.xml><?xml version="1.0" encoding="utf-8"?>
<ds:datastoreItem xmlns:ds="http://schemas.openxmlformats.org/officeDocument/2006/customXml" ds:itemID="{14966E4F-347B-477B-B74C-9DAC05405806}"/>
</file>

<file path=customXml/itemProps20.xml><?xml version="1.0" encoding="utf-8"?>
<ds:datastoreItem xmlns:ds="http://schemas.openxmlformats.org/officeDocument/2006/customXml" ds:itemID="{BE26B669-A686-459C-A5E9-FEC3409C4C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Deepak Mogilipalem[AGS]</cp:lastModifiedBy>
  <cp:revision/>
  <dcterms:created xsi:type="dcterms:W3CDTF">2021-01-01T16:39:53Z</dcterms:created>
  <dcterms:modified xsi:type="dcterms:W3CDTF">2025-02-11T09:41:46Z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2024-11-13T16:23:06Z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26934559-437f-48b2-b2fa-7eef60175897</vt:lpwstr>
  </property>
  <property fmtid="{D5CDD505-2E9C-101B-9397-08002B2CF9AE}" pid="9" name="MSIP_Label_9d817c99-0b37-4a07-8277-96aa1f96b74b_ContentBits">
    <vt:lpwstr>0</vt:lpwstr>
  </property>
</Properties>
</file>