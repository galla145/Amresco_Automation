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25" documentId="13_ncr:1_{80668899-EC1B-4B08-94DF-F5A8EDF3D18C}" xr6:coauthVersionLast="47" xr6:coauthVersionMax="47" xr10:uidLastSave="{3443A95A-6D60-49DB-815D-F3A718A061FF}"/>
  <bookViews>
    <workbookView xWindow="43080" yWindow="-120" windowWidth="29040" windowHeight="15720" tabRatio="866" firstSheet="1" activeTab="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2" i="1" s="1"/>
  <c r="G4" i="30"/>
  <c r="G4" i="18"/>
  <c r="H4" i="4"/>
  <c r="I4" i="4"/>
  <c r="E4" i="72"/>
  <c r="F4" i="72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F4" i="3"/>
  <c r="H4" i="3"/>
  <c r="I4" i="3"/>
  <c r="G4" i="1"/>
  <c r="G2" i="1" s="1"/>
  <c r="B4" i="34" a="1"/>
  <c r="B4" i="34"/>
  <c r="A4" i="34" a="1"/>
  <c r="A4" i="34"/>
  <c r="A1" i="34" a="1"/>
  <c r="A1" i="34"/>
  <c r="D4" i="30"/>
  <c r="C4" i="30"/>
  <c r="D4" i="29"/>
  <c r="D2" i="29"/>
  <c r="C4" i="29"/>
  <c r="C2" i="29" s="1"/>
  <c r="D4" i="18"/>
  <c r="D2" i="18" s="1"/>
  <c r="C4" i="18"/>
  <c r="E4" i="18" s="1"/>
  <c r="F4" i="18" s="1"/>
  <c r="B4" i="30" a="1"/>
  <c r="B4" i="30"/>
  <c r="G2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G2" i="18"/>
  <c r="A1" i="18" a="1"/>
  <c r="A1" i="18"/>
  <c r="D4" i="1"/>
  <c r="D2" i="1" s="1"/>
  <c r="B4" i="1" a="1"/>
  <c r="B4" i="1"/>
  <c r="A4" i="1" a="1"/>
  <c r="A4" i="1"/>
  <c r="A1" i="1" a="1"/>
  <c r="A1" i="1"/>
  <c r="H4" i="33"/>
  <c r="I4" i="33"/>
  <c r="E4" i="33"/>
  <c r="F4" i="33"/>
  <c r="G2" i="33"/>
  <c r="D2" i="33"/>
  <c r="C2" i="33"/>
  <c r="H2" i="33" s="1"/>
  <c r="I2" i="33" s="1"/>
  <c r="A1" i="33" a="1"/>
  <c r="A1" i="33"/>
  <c r="H4" i="32"/>
  <c r="I4" i="32"/>
  <c r="E4" i="32"/>
  <c r="F4" i="32" s="1"/>
  <c r="G2" i="32"/>
  <c r="D2" i="32"/>
  <c r="C2" i="32"/>
  <c r="E2" i="32" s="1"/>
  <c r="F2" i="32" s="1"/>
  <c r="A1" i="32" a="1"/>
  <c r="A1" i="32"/>
  <c r="H4" i="31"/>
  <c r="I4" i="31"/>
  <c r="E4" i="31"/>
  <c r="F4" i="31"/>
  <c r="G2" i="31"/>
  <c r="H2" i="31" s="1"/>
  <c r="I2" i="31" s="1"/>
  <c r="D2" i="31"/>
  <c r="E2" i="31" s="1"/>
  <c r="F2" i="31" s="1"/>
  <c r="C2" i="31"/>
  <c r="J2" i="31" s="1"/>
  <c r="A1" i="31" a="1"/>
  <c r="A1" i="31"/>
  <c r="H4" i="28"/>
  <c r="I4" i="28" s="1"/>
  <c r="E4" i="28"/>
  <c r="F4" i="28"/>
  <c r="B4" i="28" a="1"/>
  <c r="B4" i="28"/>
  <c r="A4" i="28" a="1"/>
  <c r="A4" i="28"/>
  <c r="G2" i="28"/>
  <c r="D2" i="28"/>
  <c r="C2" i="28"/>
  <c r="A1" i="28" a="1"/>
  <c r="A1" i="28"/>
  <c r="H4" i="27"/>
  <c r="G4" i="29" s="1"/>
  <c r="I4" i="27"/>
  <c r="E4" i="27"/>
  <c r="F4" i="27"/>
  <c r="G2" i="27"/>
  <c r="D2" i="27"/>
  <c r="C2" i="27"/>
  <c r="J2" i="27" s="1"/>
  <c r="A1" i="27" a="1"/>
  <c r="A1" i="27"/>
  <c r="H4" i="26"/>
  <c r="I4" i="26"/>
  <c r="E4" i="26"/>
  <c r="F4" i="26" s="1"/>
  <c r="G2" i="26"/>
  <c r="D2" i="26"/>
  <c r="C2" i="26"/>
  <c r="J2" i="26" s="1"/>
  <c r="A1" i="26" a="1"/>
  <c r="A1" i="26"/>
  <c r="H4" i="19"/>
  <c r="I4" i="19"/>
  <c r="E4" i="19"/>
  <c r="F4" i="19"/>
  <c r="G2" i="19"/>
  <c r="D2" i="19"/>
  <c r="E2" i="19" s="1"/>
  <c r="F2" i="19" s="1"/>
  <c r="C2" i="19"/>
  <c r="A1" i="19" a="1"/>
  <c r="A1" i="19"/>
  <c r="H4" i="20"/>
  <c r="I4" i="20" s="1"/>
  <c r="E4" i="20"/>
  <c r="F4" i="20"/>
  <c r="G2" i="20"/>
  <c r="H2" i="20" s="1"/>
  <c r="I2" i="20" s="1"/>
  <c r="D2" i="20"/>
  <c r="C2" i="20"/>
  <c r="A1" i="20" a="1"/>
  <c r="A1" i="20"/>
  <c r="H4" i="21"/>
  <c r="I4" i="21" s="1"/>
  <c r="E4" i="21"/>
  <c r="F4" i="21"/>
  <c r="G2" i="21"/>
  <c r="D2" i="21"/>
  <c r="C2" i="21"/>
  <c r="E2" i="21" s="1"/>
  <c r="F2" i="21" s="1"/>
  <c r="A1" i="21" a="1"/>
  <c r="A1" i="21"/>
  <c r="E4" i="4"/>
  <c r="F4" i="4"/>
  <c r="G2" i="4"/>
  <c r="D2" i="4"/>
  <c r="C2" i="4"/>
  <c r="A1" i="4" a="1"/>
  <c r="A1" i="4"/>
  <c r="G2" i="3"/>
  <c r="D2" i="3"/>
  <c r="C2" i="3"/>
  <c r="H2" i="3" s="1"/>
  <c r="I2" i="3" s="1"/>
  <c r="J2" i="3"/>
  <c r="A1" i="3" a="1"/>
  <c r="A1" i="3"/>
  <c r="H4" i="72"/>
  <c r="H4" i="1" s="1"/>
  <c r="I4" i="72"/>
  <c r="G2" i="72"/>
  <c r="D2" i="72"/>
  <c r="C2" i="72"/>
  <c r="J2" i="72"/>
  <c r="A1" i="72" a="1"/>
  <c r="A1" i="72"/>
  <c r="D2" i="30"/>
  <c r="H2" i="32"/>
  <c r="I2" i="32"/>
  <c r="E2" i="28"/>
  <c r="F2" i="28"/>
  <c r="J2" i="20"/>
  <c r="H2" i="21"/>
  <c r="I2" i="21"/>
  <c r="H4" i="29"/>
  <c r="E2" i="27"/>
  <c r="F2" i="27" s="1"/>
  <c r="E2" i="1" l="1"/>
  <c r="F2" i="1" s="1"/>
  <c r="E4" i="1"/>
  <c r="F4" i="1" s="1"/>
  <c r="E2" i="3"/>
  <c r="F2" i="3" s="1"/>
  <c r="H4" i="30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30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I4" i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/>
  <c r="F2" i="34" s="1"/>
  <c r="H2" i="34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<sst xmlns="http://schemas.openxmlformats.org/spreadsheetml/2006/main" count="242" uniqueCount="56">
  <si>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</si>
  <si>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</si>
  <si>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</si>
  <si>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</si>
  <si>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</si>
  <si>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</si>
  <si>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</si>
  <si>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</si>
  <si>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</si>
  <si>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</si>
  <si>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</si>
  <si>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</si>
  <si>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</si>
  <si>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</si>
  <si>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</si>
  <si>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</si>
  <si>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</si>
  <si>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</si>
  <si>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</si>
  <si>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</si>
  <si>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</si>
  <si>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</si>
  <si>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1.Site was offline due to SEL relay open on 01/08 at 00:15 and again back online on 11:30am and again site was offline on 01/08 at 21:15 and technician was able to close the relay, site is back online on 09:45am on 01/09
2.Site was offline due to main switchgear breaker was open on 01/17 at 18:30 and back online at 12:00pm on 01/18 and again site was offline due to breakers open on 01/20 at 06:45am and back online at 12:15pm on 01/21</t>
  </si>
  <si>
    <t>1.SR095386
2.SR095684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</si>
  <si>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</si>
  <si>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</si>
  <si>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</si>
  <si>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</si>
  <si>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</si>
  <si>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</si>
  <si>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</si>
  <si>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</si>
  <si>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</si>
  <si>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</si>
  <si>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</si>
  <si>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</si>
  <si>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</si>
  <si>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</si>
  <si>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</si>
  <si>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</si>
  <si>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</si>
  <si>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</si>
  <si>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</si>
  <si>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</si>
  <si>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</si>
  <si>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</si>
  <si>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</si>
  <si>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Freepoint</t>
  </si>
  <si>
    <t>Site DAS Name</t>
  </si>
  <si>
    <t>Update</t>
  </si>
  <si>
    <t>DAS</t>
  </si>
  <si>
    <t>Coxsackie</t>
  </si>
  <si>
    <t>NY: Coxsackie - State Route 9 West</t>
  </si>
  <si>
    <t>NY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</si>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</sst>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5" fillId="38" borderId="14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F34" sqref="F3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Freepoint</v>
      </c>
      <c r="B1" s="56"/>
      <c r="C1" s="56"/>
      <c r="D1" s="57" t="s">
        <v>0</v>
      </c>
      <c r="E1" s="57"/>
      <c r="F1" s="57"/>
      <c r="G1" s="55" t="s">
        <v>1</v>
      </c>
      <c r="H1" s="55"/>
      <c r="I1" s="55"/>
    </row>
    <row r="2" spans="1:9" ht="19.5" customHeight="1">
      <c r="A2" s="58" t="s">
        <v>2</v>
      </c>
      <c r="B2" s="58"/>
      <c r="C2" s="5">
        <f>SUM(C4:C79)</f>
        <v>389555.12227608298</v>
      </c>
      <c r="D2" s="5">
        <f>SUM(D4:D79)</f>
        <v>452412.2</v>
      </c>
      <c r="E2" s="5">
        <f>C2-D2</f>
        <v>-62857.077723917027</v>
      </c>
      <c r="F2" s="6">
        <f>IFERROR(E2/D2, 0)</f>
        <v>-0.13893762750853542</v>
      </c>
      <c r="G2" s="5">
        <f>SUM(G4:G79)</f>
        <v>461645.8</v>
      </c>
      <c r="H2" s="7">
        <f>C2-G2</f>
        <v>-72090.677723917004</v>
      </c>
      <c r="I2" s="6">
        <f>IFERROR(H2/G2, 0)</f>
        <v>-0.15616015075609266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NY: Coxsackie - State Route 9 West</v>
      </c>
      <c r="B4" s="9" t="str" cm="1">
        <f t="array" ref="B4">Sites[State]</f>
        <v>NY</v>
      </c>
      <c r="C4" s="23">
        <f>SUM('1st Qtr'!C4, '2nd Qtr'!C4, '3rd Qtr'!C4, '4th Qtr'!C4)</f>
        <v>389555.12227608298</v>
      </c>
      <c r="D4" s="12">
        <f>SUM('1st Qtr'!D4, '2nd Qtr'!D4, '3rd Qtr'!D4, '4th Qtr'!D4)</f>
        <v>452412.2</v>
      </c>
      <c r="E4" s="12">
        <f>IF(AND(ISNUMBER(C4),ISNUMBER(D4)), C4-D4, "")</f>
        <v>-62857.077723917027</v>
      </c>
      <c r="F4" s="13">
        <f>IFERROR(E4/D4, "")</f>
        <v>-0.13893762750853542</v>
      </c>
      <c r="G4" s="14">
        <f>SUM('1st Qtr'!G4, '2nd Qtr'!G4, '3rd Qtr'!G4, '4th Qtr'!G4)</f>
        <v>461645.8</v>
      </c>
      <c r="H4" s="14">
        <f>SUM('1st Qtr'!H4, '2nd Qtr'!H4, '3rd Qtr'!H4, '4th Qtr'!H4)</f>
        <v>-72090.677723917004</v>
      </c>
      <c r="I4" s="15">
        <f>IFERROR(H4/G4, "")</f>
        <v>-0.15616015075609266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tabSelected="1" workbookViewId="0">
      <pane xSplit="2" ySplit="3" topLeftCell="C4" activePane="bottomRight" state="frozen"/>
      <selection pane="bottomRight" activeCell="G15" sqref="G15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Freepoint</v>
      </c>
      <c r="B1" s="56"/>
      <c r="C1" s="56"/>
      <c r="D1" s="57" t="s">
        <v>10</v>
      </c>
      <c r="E1" s="57"/>
      <c r="F1" s="57"/>
      <c r="G1" s="55" t="s">
        <v>11</v>
      </c>
      <c r="H1" s="55"/>
      <c r="I1" s="55"/>
    </row>
    <row r="2" spans="1:9" ht="19.5" customHeight="1">
      <c r="A2" s="58" t="s">
        <v>2</v>
      </c>
      <c r="B2" s="58"/>
      <c r="C2" s="5">
        <f>SUM(C4:C79)</f>
        <v>389555.12227608298</v>
      </c>
      <c r="D2" s="5">
        <f>SUM(D4:D79)</f>
        <v>452412.2</v>
      </c>
      <c r="E2" s="5">
        <f>C2-D2</f>
        <v>-62857.077723917027</v>
      </c>
      <c r="F2" s="6">
        <f>IFERROR(E2/D2, 0)</f>
        <v>-0.13893762750853542</v>
      </c>
      <c r="G2" s="5">
        <f>SUM(G4:G79)</f>
        <v>461645.8</v>
      </c>
      <c r="H2" s="7">
        <f>C2-G2</f>
        <v>-72090.677723917004</v>
      </c>
      <c r="I2" s="6">
        <f>IFERROR(H2/G2, 0)</f>
        <v>-0.15616015075609266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NY: Coxsackie - State Route 9 West</v>
      </c>
      <c r="B4" s="9" t="str" cm="1">
        <f t="array" ref="B4">Sites[State]</f>
        <v>NY</v>
      </c>
      <c r="C4" s="23">
        <f>SUM(Jan!C4, Feb!C4, Mar!C4)</f>
        <v>389555.12227608298</v>
      </c>
      <c r="D4" s="12">
        <f>SUM(Jan!D4, Feb!D4, Mar!D4)</f>
        <v>452412.2</v>
      </c>
      <c r="E4" s="12">
        <f>IF(AND(ISNUMBER(C4),ISNUMBER(D4)), C4-D4, "")</f>
        <v>-62857.077723917027</v>
      </c>
      <c r="F4" s="13">
        <f>IFERROR(E4/D4, "")</f>
        <v>-0.13893762750853542</v>
      </c>
      <c r="G4" s="14">
        <f>SUM(Jan!G4, Feb!G4, Mar!G4)</f>
        <v>461645.8</v>
      </c>
      <c r="H4" s="14">
        <f>SUM(Jan!H4, Feb!H4, Mar!H4)</f>
        <v>-72090.677723917004</v>
      </c>
      <c r="I4" s="15">
        <f>IFERROR(H4/G4, "")</f>
        <v>-0.15616015075609266</v>
      </c>
    </row>
    <row r="5" spans="1:9" ht="14.25">
      <c r="A5" s="20"/>
      <c r="B5" s="1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Freepoint</v>
      </c>
      <c r="B1" s="56"/>
      <c r="C1" s="56"/>
      <c r="D1" s="57" t="s">
        <v>12</v>
      </c>
      <c r="E1" s="57"/>
      <c r="F1" s="57"/>
      <c r="G1" s="55" t="s">
        <v>13</v>
      </c>
      <c r="H1" s="55"/>
      <c r="I1" s="55"/>
    </row>
    <row r="2" spans="1:9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NY: Coxsackie - State Route 9 West</v>
      </c>
      <c r="B4" s="9" t="str" cm="1">
        <f t="array" ref="B4">Sites[State]</f>
        <v>NY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Freepoint</v>
      </c>
      <c r="B1" s="56"/>
      <c r="C1" s="56"/>
      <c r="D1" s="57" t="s">
        <v>14</v>
      </c>
      <c r="E1" s="57"/>
      <c r="F1" s="57"/>
      <c r="G1" s="55" t="s">
        <v>15</v>
      </c>
      <c r="H1" s="55"/>
      <c r="I1" s="55"/>
    </row>
    <row r="2" spans="1:9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NY: Coxsackie - State Route 9 West</v>
      </c>
      <c r="B4" s="9" t="str" cm="1">
        <f t="array" ref="B4">Sites[State]</f>
        <v>NY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SUM(Jul!G4,Aug!H4,Sep!G4)</f>
        <v>0</v>
      </c>
      <c r="H4" s="14">
        <f>SUM(Jul!H4, Aug!H4, Sep!H4)</f>
        <v>0</v>
      </c>
      <c r="I4" s="15" t="str">
        <f>IFERROR(H4/G4, "")</f>
        <v/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Freepoint</v>
      </c>
      <c r="B1" s="56"/>
      <c r="C1" s="56"/>
      <c r="D1" s="57" t="s">
        <v>16</v>
      </c>
      <c r="E1" s="57"/>
      <c r="F1" s="57"/>
      <c r="G1" s="55" t="s">
        <v>17</v>
      </c>
      <c r="H1" s="55"/>
      <c r="I1" s="55"/>
    </row>
    <row r="2" spans="1:9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NY: Coxsackie - State Route 9 West</v>
      </c>
      <c r="B4" s="9" t="str" cm="1">
        <f t="array" ref="B4">Sites[State]</f>
        <v>NY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SUM(Oct!G4,Nov!G4,Dec!G5)</f>
        <v>0</v>
      </c>
      <c r="H4" s="14">
        <f>SUM(Oct!H4, Nov!H4, Dec!H4)</f>
        <v>0</v>
      </c>
      <c r="I4" s="15" t="str">
        <f>IFERROR(H4/G4, "")</f>
        <v/>
      </c>
    </row>
    <row r="5" spans="1:9" ht="15.75">
      <c r="A5" s="16"/>
      <c r="B5" s="10"/>
      <c r="C5" s="40"/>
      <c r="D5" s="17"/>
      <c r="E5" s="17"/>
      <c r="F5" s="18"/>
      <c r="G5" s="19"/>
      <c r="H5" s="19"/>
      <c r="I5" s="18"/>
    </row>
    <row r="6" spans="1:9" ht="14.25">
      <c r="A6" s="20"/>
      <c r="B6" s="10"/>
      <c r="C6" s="40"/>
      <c r="D6" s="17"/>
      <c r="E6" s="17"/>
      <c r="F6" s="18"/>
      <c r="G6" s="19"/>
      <c r="H6" s="19"/>
      <c r="I6" s="18"/>
    </row>
    <row r="7" spans="1:9" ht="14.25">
      <c r="A7" s="20"/>
      <c r="B7" s="10"/>
      <c r="C7" s="40"/>
      <c r="D7" s="17"/>
      <c r="E7" s="17"/>
      <c r="F7" s="18"/>
      <c r="G7" s="19"/>
      <c r="H7" s="19"/>
      <c r="I7" s="18"/>
    </row>
    <row r="8" spans="1:9" ht="14.25">
      <c r="A8" s="20"/>
      <c r="B8" s="10"/>
      <c r="C8" s="40"/>
      <c r="D8" s="17"/>
      <c r="E8" s="17"/>
      <c r="F8" s="18"/>
      <c r="G8" s="19"/>
      <c r="H8" s="19"/>
      <c r="I8" s="18"/>
    </row>
    <row r="9" spans="1:9" ht="14.25">
      <c r="A9" s="20"/>
      <c r="B9" s="10"/>
      <c r="C9" s="40"/>
      <c r="D9" s="17"/>
      <c r="E9" s="17"/>
      <c r="F9" s="18"/>
      <c r="G9" s="19"/>
      <c r="H9" s="19"/>
      <c r="I9" s="18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J13" sqref="J13"/>
      <selection pane="bottomLeft" activeCell="K4" activeCellId="4" sqref="C4 D4 G4 J4 K4"/>
      <selection pane="topRight" activeCell="K4" activeCellId="4" sqref="C4 D4 G4 J4 K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Freepoint</v>
      </c>
      <c r="B1" s="56"/>
      <c r="C1" s="56"/>
      <c r="D1" s="57" t="s">
        <v>18</v>
      </c>
      <c r="E1" s="57"/>
      <c r="F1" s="57"/>
      <c r="G1" s="55" t="s">
        <v>19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SUM(C4:C78)</f>
        <v>389555.12227608298</v>
      </c>
      <c r="D2" s="5">
        <f>SUM(D4:D78)</f>
        <v>452412.2</v>
      </c>
      <c r="E2" s="5">
        <f>C2-D2</f>
        <v>-62857.077723917027</v>
      </c>
      <c r="F2" s="6">
        <f>IFERROR(E2/D2, 0)</f>
        <v>-0.13893762750853542</v>
      </c>
      <c r="G2" s="5">
        <f>SUM(G4:G78)</f>
        <v>461645.8</v>
      </c>
      <c r="H2" s="7">
        <f>C2-G2</f>
        <v>-72090.677723917004</v>
      </c>
      <c r="I2" s="6">
        <f>IFERROR(H2/G2, 0)</f>
        <v>-0.15616015075609266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7.25" customHeight="1">
      <c r="A4" s="11" t="str" cm="1">
        <f t="array" ref="A4">Sites[Site]</f>
        <v>NY: Coxsackie - State Route 9 West</v>
      </c>
      <c r="B4" s="9" t="str" cm="1">
        <f t="array" ref="B4">Sites[State]</f>
        <v>NY</v>
      </c>
      <c r="C4" s="23">
        <v>389555.12227608298</v>
      </c>
      <c r="D4" s="12">
        <v>452412.2</v>
      </c>
      <c r="E4" s="12">
        <f>IF(AND(ISNUMBER(C4),ISNUMBER(D4)), C4-D4, "")</f>
        <v>-62857.077723917027</v>
      </c>
      <c r="F4" s="13">
        <f>IFERROR(E4/D4, "")</f>
        <v>-0.13893762750853542</v>
      </c>
      <c r="G4" s="14">
        <v>461645.8</v>
      </c>
      <c r="H4" s="14">
        <f>IF(AND(ISNUMBER(C4),ISNUMBER(G4)), C4-G4, "")</f>
        <v>-72090.677723917004</v>
      </c>
      <c r="I4" s="15">
        <f>IFERROR(H4/G4, "")</f>
        <v>-0.15616015075609266</v>
      </c>
      <c r="J4" s="36" t="s">
        <v>22</v>
      </c>
      <c r="K4" s="36" t="s">
        <v>23</v>
      </c>
    </row>
    <row r="5" spans="1:11" ht="14.2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30" priority="6" stopIfTrue="1" operator="lessThanOrEqual">
      <formula>-0.1</formula>
    </cfRule>
    <cfRule type="expression" dxfId="29" priority="7">
      <formula>AND(ISNUMBER(F2), F2&gt;=0.1)</formula>
    </cfRule>
  </conditionalFormatting>
  <conditionalFormatting sqref="F4:F78 I4:I78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:K4"/>
      <selection pane="bottomLeft" activeCell="K4" activeCellId="4" sqref="C4 D4 G4 J4 K4"/>
      <selection pane="topRight" activeCell="K4" activeCellId="4" sqref="C4 D4 G4 J4 K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Freepoint</v>
      </c>
      <c r="B1" s="56"/>
      <c r="C1" s="56"/>
      <c r="D1" s="57" t="s">
        <v>24</v>
      </c>
      <c r="E1" s="57"/>
      <c r="F1" s="57"/>
      <c r="G1" s="55" t="s">
        <v>25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5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Freepoint</v>
      </c>
      <c r="B1" s="56"/>
      <c r="C1" s="56"/>
      <c r="D1" s="57" t="s">
        <v>26</v>
      </c>
      <c r="E1" s="57"/>
      <c r="F1" s="57"/>
      <c r="G1" s="55" t="s">
        <v>27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53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9"/>
      <c r="H4" s="14" t="str">
        <f>IF(AND(ISNUMBER(C4),ISNUMBER(G4)), C4-G4, "")</f>
        <v/>
      </c>
      <c r="I4" s="15" t="str">
        <f>IFERROR(H4/G4, "")</f>
        <v/>
      </c>
      <c r="J4" s="50"/>
      <c r="K4" s="50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Freepoint</v>
      </c>
      <c r="B1" s="56"/>
      <c r="C1" s="56"/>
      <c r="D1" s="57" t="s">
        <v>28</v>
      </c>
      <c r="E1" s="57"/>
      <c r="F1" s="57"/>
      <c r="G1" s="55" t="s">
        <v>29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53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1"/>
      <c r="K4" s="52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H33" sqref="H33"/>
      <selection pane="bottomLeft" activeCell="K4" activeCellId="4" sqref="C4 D4 G4 J4 K4"/>
      <selection pane="topRight" activeCell="K4" activeCellId="4" sqref="C4 D4 G4 J4 K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Freepoint</v>
      </c>
      <c r="B1" s="56"/>
      <c r="C1" s="56"/>
      <c r="D1" s="57" t="s">
        <v>30</v>
      </c>
      <c r="E1" s="57"/>
      <c r="F1" s="57"/>
      <c r="G1" s="55" t="s">
        <v>31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53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J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</cols>
  <sheetData>
    <row r="1" spans="1:11" ht="19.5" customHeight="1">
      <c r="A1" s="56" t="str" cm="1">
        <f t="array" ref="A1">portfolio</f>
        <v>Freepoint</v>
      </c>
      <c r="B1" s="56"/>
      <c r="C1" s="56"/>
      <c r="D1" s="57" t="s">
        <v>32</v>
      </c>
      <c r="E1" s="57"/>
      <c r="F1" s="57"/>
      <c r="G1" s="55" t="s">
        <v>33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Freepoint</v>
      </c>
      <c r="B1" s="56"/>
      <c r="C1" s="56"/>
      <c r="D1" s="57" t="s">
        <v>34</v>
      </c>
      <c r="E1" s="57"/>
      <c r="F1" s="57"/>
      <c r="G1" s="55" t="s">
        <v>35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90" zoomScaleNormal="90" workbookViewId="0">
      <pane xSplit="2" ySplit="3" topLeftCell="E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Freepoint</v>
      </c>
      <c r="B1" s="56"/>
      <c r="C1" s="56"/>
      <c r="D1" s="57" t="s">
        <v>36</v>
      </c>
      <c r="E1" s="57"/>
      <c r="F1" s="57"/>
      <c r="G1" s="55" t="s">
        <v>37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Freepoint</v>
      </c>
      <c r="B1" s="56"/>
      <c r="C1" s="56"/>
      <c r="D1" s="57" t="s">
        <v>38</v>
      </c>
      <c r="E1" s="57"/>
      <c r="F1" s="57"/>
      <c r="G1" s="55" t="s">
        <v>39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Freepoint</v>
      </c>
      <c r="B1" s="56"/>
      <c r="C1" s="56"/>
      <c r="D1" s="57" t="s">
        <v>40</v>
      </c>
      <c r="E1" s="57"/>
      <c r="F1" s="57"/>
      <c r="G1" s="55" t="s">
        <v>41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4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G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Freepoint</v>
      </c>
      <c r="B1" s="56"/>
      <c r="C1" s="56"/>
      <c r="D1" s="57" t="s">
        <v>42</v>
      </c>
      <c r="E1" s="57"/>
      <c r="F1" s="57"/>
      <c r="G1" s="55" t="s">
        <v>43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J29" sqref="J29"/>
      <selection pane="bottomLeft" activeCell="K4" activeCellId="4" sqref="C4 D4 G4 J4 K4"/>
      <selection pane="topRight" activeCell="K4" activeCellId="4" sqref="C4 D4 G4 J4 K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Freepoint</v>
      </c>
      <c r="B1" s="56"/>
      <c r="C1" s="56"/>
      <c r="D1" s="57" t="s">
        <v>44</v>
      </c>
      <c r="E1" s="57"/>
      <c r="F1" s="57"/>
      <c r="G1" s="55" t="s">
        <v>45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25">
      <c r="A4" s="44" t="s">
        <v>51</v>
      </c>
      <c r="B4" t="s">
        <v>52</v>
      </c>
      <c r="C4" s="42" t="s">
        <v>53</v>
      </c>
      <c r="D4" s="41" t="s">
        <v>54</v>
      </c>
      <c r="E4" t="s">
        <v>55</v>
      </c>
      <c r="G4" s="3"/>
    </row>
    <row r="5" spans="1:12" ht="14.25">
      <c r="A5" s="44"/>
      <c r="C5" s="42"/>
      <c r="D5" s="41"/>
      <c r="G5" s="3"/>
    </row>
    <row r="6" spans="1:12" ht="14.2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2025-02-19T15:08:45Z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