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55" documentId="13_ncr:1_{FCD1B426-6E9A-4963-9FC5-5F4F94E81170}" xr6:coauthVersionLast="47" xr6:coauthVersionMax="47" xr10:uidLastSave="{D1920803-4DBB-48F3-8B2E-5FA78EA20585}"/>
  <bookViews>
    <workbookView xWindow="0" yWindow="300" windowWidth="22644" windowHeight="11424" firstSheet="1" activeTab="1" xr2:uid="{00000000-000D-0000-FFFF-FFFF00000000}"/>
  </bookViews>
  <sheets>
    <sheet name="Service Request" sheetId="1" r:id="rId1"/>
    <sheet name="Si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1" l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<sst xmlns="http://schemas.openxmlformats.org/spreadsheetml/2006/main" count="568" uniqueCount="174">
  <si>
    <t>Owner</t>
  </si>
  <si>
    <t>Asset</t>
  </si>
  <si>
    <t>Site Equipment</t>
  </si>
  <si>
    <t>kW Down</t>
  </si>
  <si>
    <t>Date</t>
  </si>
  <si>
    <t>Description</t>
  </si>
  <si>
    <t>Account Manager</t>
  </si>
  <si>
    <t>Status</t>
  </si>
  <si>
    <t>Pending</t>
  </si>
  <si>
    <t>Priority</t>
  </si>
  <si>
    <t>Summary</t>
  </si>
  <si>
    <t>Request</t>
  </si>
  <si>
    <t>D365 Project</t>
  </si>
  <si>
    <t>New Bedford Housing Authority</t>
  </si>
  <si>
    <t>MA: New Bedford – HA Monitoring</t>
  </si>
  <si>
    <t>Westlawn - 197 Liberty St Bldg 21 - Inverter 11</t>
  </si>
  <si>
    <t>7</t>
  </si>
  <si>
    <t>01/02/25 Inverter 11 stopped communicating 12/24.  Production not confirmed.</t>
  </si>
  <si>
    <t>Diana Balayan</t>
  </si>
  <si>
    <t>New</t>
  </si>
  <si>
    <t/>
  </si>
  <si>
    <t>PV-Monitoring-ROC</t>
  </si>
  <si>
    <t>Ameresco Production Not Confirmed - Site Outage</t>
  </si>
  <si>
    <t>1006999</t>
  </si>
  <si>
    <t>Westlawn - 197 Liberty St Bldg 23 - Inverter 10</t>
  </si>
  <si>
    <t>01/02/25 Inverter 10 stopped communicating 12/24.  Production not confirmed.</t>
  </si>
  <si>
    <t>Westlawn - 197 Liberty St Bldg 29 - Inverter 5</t>
  </si>
  <si>
    <t>7 - approximately</t>
  </si>
  <si>
    <t>01/08/25 - Issue still exists.
11/18/24 Inverter 5 stopped communicating on 10/31.  Possibly offline.</t>
  </si>
  <si>
    <t>Ameresco UM - Communications Failure / Production Not Confirmed</t>
  </si>
  <si>
    <t>Adams St - 14 Adams St - Inverter 2</t>
  </si>
  <si>
    <t>14.4</t>
  </si>
  <si>
    <t>01/08/25 - Issue still exists
12/02/24 - Issue still exists
11/17/24 Inverter 2 tripped offline 11/5</t>
  </si>
  <si>
    <t>Ameresco UM - Inverter Troubleshooting</t>
  </si>
  <si>
    <t xml:space="preserve">Adams St - 14 Adams St - Inverter 1 </t>
  </si>
  <si>
    <t>01/08/25 - Issue still exists.
12/02/24 - Issue still exists. 
11/17/24 Inverter 1 tripped offline 11/5</t>
  </si>
  <si>
    <t>Shawmut Village - 113 Mashpee CT - Inverter 45</t>
  </si>
  <si>
    <t>01/08/25 - Issue still exists.
10/29/24 Inv 45 stopped communicating 10/22.  Production not confirmed.</t>
  </si>
  <si>
    <t>Presidential - 28 Monroe Dr Bldg 16 - Inverter 17</t>
  </si>
  <si>
    <t>9</t>
  </si>
  <si>
    <t>01/08/25 - Issue still exists.
10/16/24 Inverter 17 tripped offline at 4pm on 10/8.</t>
  </si>
  <si>
    <t>Brickenwood - 150 Hathaway - Inverter 5</t>
  </si>
  <si>
    <t>01/08/25 - issue still exists.
10/15/24 Inverter 5 stopped communicating 10/7.  Production not confirmed</t>
  </si>
  <si>
    <t>Westlawn - 197 Liberty St Bldg 22 - Inverter 12</t>
  </si>
  <si>
    <t>01/08/25 - Issue still exists.
7/16/24 Inverter 12 stopped communicating on 7/6/24.  Production is not confirmed.</t>
  </si>
  <si>
    <t>Shawmut Village - 131 Dakota CT - Inverter 38</t>
  </si>
  <si>
    <t>01/08/25 - Issue still exists.
7/15/24 Inverter 38 stopped communicating on 7/6/24, production not confirmed.</t>
  </si>
  <si>
    <t>Shawmut Village - 155 Gay Head CT - Inverter 33</t>
  </si>
  <si>
    <t>01/08/25 - Issue still exists.
7/15/24 Inverter 33 stopped communicating on 7/6/24, production not confirmed.</t>
  </si>
  <si>
    <t>Westlawn - 197 Liberty St Bldg 7 - Inverter 4</t>
  </si>
  <si>
    <t>01/08/25 - issue still exists.
7/2/24: Inverter 4 stopped communicating on 5/2, cannot confirm production.</t>
  </si>
  <si>
    <t>Shawmut Village - 138 Dakota CT (Now 149 Dakota CT) - Inverter 52</t>
  </si>
  <si>
    <t>5</t>
  </si>
  <si>
    <t>01/08/25 - Still an issue.
6/28/24 Inverter 52 is not communicating since 4/21, possibly offline</t>
  </si>
  <si>
    <t>Brickenwood - 58 Yale - Inverter 49</t>
  </si>
  <si>
    <t>01/08/25 - Issue still exists.
6/3/24 - inverter 49 stopped communicating on 5/25/24; possibly offline.</t>
  </si>
  <si>
    <t>Pending Return Visit</t>
  </si>
  <si>
    <t>PV Monitoring - Minor</t>
  </si>
  <si>
    <t>23.4</t>
  </si>
  <si>
    <t>01/08/25 - Issue still exists.
5/17/24 - Presidential inverters 18, 27 have stopped communicating, possibly offline.</t>
  </si>
  <si>
    <t>21.8</t>
  </si>
  <si>
    <t>01/08/25 - Inverters 6,15 and 16 resolved &amp; Inverter 4 still an issue.
6/3/24 - invs 15 and 16 regained comms, invs 4 and 6 still have no comms.
5/11 - Westlawn inverters 4, 6, 15, 16 stopped communicating, possibly offline.</t>
  </si>
  <si>
    <t>Ameresco UM - Communications Failure</t>
  </si>
  <si>
    <t>Shawmut Village - 105 Navaho CT - Inverter 46</t>
  </si>
  <si>
    <t>01/08/25 - Issue still exists.
4/19 - Inverter 46 is not communicating, possibly offline.</t>
  </si>
  <si>
    <t>Brickenwood - 88 Malden - Inverter 27</t>
  </si>
  <si>
    <t>7 - inverter comms ?</t>
  </si>
  <si>
    <t>01/08/25 - Issue still exists.
12/02/24 - Issue still exists.
11/7/24 - Inverter 27 stopped communicating, possibly offline.</t>
  </si>
  <si>
    <t>Brickenwood - 21 Malden - Inverter 18</t>
  </si>
  <si>
    <t>10-approximately</t>
  </si>
  <si>
    <t>01/08/25 - Issue still exists.
12/02/24 - Re-occurring issue; inverter last communicated 11/11/24. Possibly offline. 
03/19/24 - Inverter 18 stopped communicating, possibly offline.</t>
  </si>
  <si>
    <t>Presidential - 310 Mt-Pleasant St Bldg 2 - Inverter 1</t>
  </si>
  <si>
    <t>01/08/25 - Inverter 1 is still in offline.
3/4 - Inverter 1 is offline.</t>
  </si>
  <si>
    <t>Brickenwood - 240 Harvard - Inverter 46</t>
  </si>
  <si>
    <t>6</t>
  </si>
  <si>
    <t>01/08/25 - Issue still exists.
3/4 - Inverter 46 at Brickenwood is offline.</t>
  </si>
  <si>
    <t>Dottin Place 1 - Amanda Ave Bldg 7 (82) - Inverter 9</t>
  </si>
  <si>
    <t>-</t>
  </si>
  <si>
    <t>01/08/25 - Issue still exists. 
12/1 - inverter 9 stopped communicating, possibly offline. 
3/1 - Inverter 9 stopped communicating, possibly offline.</t>
  </si>
  <si>
    <t>Shawmut Village - 135 Dakota CT - Inverter 12</t>
  </si>
  <si>
    <t>01/08/25 - Issue still exists.
12/02/24 - 
03/01/24 - Inverter 12 lost communications; production cannot be confirmed.</t>
  </si>
  <si>
    <t>Westlawn - 197 Liberty St Bldg 33 - Inverter 26</t>
  </si>
  <si>
    <t>3 - Inverter comms ?</t>
  </si>
  <si>
    <t>01/08/25 - Issue still exists.
12/01/24 - Inverter last communicated 10/03/24.
03/01/24 - Inverter 26 is not communicating.</t>
  </si>
  <si>
    <t>Westlawn - 197 Liberty St Bldg 45 - Inverter 23</t>
  </si>
  <si>
    <t>10</t>
  </si>
  <si>
    <t>01/08/25 - Issue still exists
2/20/24 - Inverter 23 stopped communicating; cannot confirm production.</t>
  </si>
  <si>
    <t>Adams St - 14 Adams St - Inverter 3</t>
  </si>
  <si>
    <t>12/02/24 - Inverter 3 is offline (re-occurring issue).
12/31/23 - Inverter 3 is offline and reporting "Isolation Fault".</t>
  </si>
  <si>
    <t>Shawmut Village - 21 Mohawk CT - Inverter 8</t>
  </si>
  <si>
    <t>01/08/25 - Issue still exists.
12/02/24 - Inverter 8 last communicated 7/6/24
11/07/23 - Inverter 8 stopped communicating, possibly offline.</t>
  </si>
  <si>
    <t>Shawmut Village - 111 Mashpee CT - Inverter 49</t>
  </si>
  <si>
    <t>01/08/25 - Issue still exists.
10/17/23 - Inverter 49 is not communicating from 07/09, possibly offline</t>
  </si>
  <si>
    <t>Satellite - 90 Libra Dr - Inverter 11</t>
  </si>
  <si>
    <t xml:space="preserve">6 </t>
  </si>
  <si>
    <t>01/08/25 - Issue still exists.
10/5/23 - Inverter 11 stopped communicating, possibly offline.</t>
  </si>
  <si>
    <t>Shawmut Village - 161 Gay Head CT - Inverter 54</t>
  </si>
  <si>
    <t>6 - ?</t>
  </si>
  <si>
    <t>01/08/25 - Issue still exists.
7/3/2024 - Inverter stopped communicating 6/26/24
10/17/2023 - Inverter is communicating from 10/03
9/8 - Inverter stopped communicating, possibly offline.</t>
  </si>
  <si>
    <t>1006999.001</t>
  </si>
  <si>
    <t>Adams St - 14 Adams St - Inverter 4</t>
  </si>
  <si>
    <t>01/08/25 - Issue still exists.
12/02/24 - Inverter is offline (re-occurring issue).
10/16/23 - Inverter is still offline.
08/31/23 - Inverter 4 tripped offline.</t>
  </si>
  <si>
    <t>Shawmut Village - 121 Mashpee CT - Inverter 25</t>
  </si>
  <si>
    <t>7.6</t>
  </si>
  <si>
    <t>01/08/2025 - Issue still exists.
10/17/2023 - Inverter is still not reporting, possibly offline
8/9 - Inverter 25 stopped communicating.</t>
  </si>
  <si>
    <t>Shawmut Village - 45 Cherokee CT - Inverter 37</t>
  </si>
  <si>
    <t>01/08/2025 - Issue still exists.
10/17/2023 - Inverter is still not communicating from 07/10, possibly offline
7/13 - Inverter 37 stopped communicating, possibly offline. S/N: 73086310-EE</t>
  </si>
  <si>
    <t>Brickenwood - 190 Harvard - Inverter 35</t>
  </si>
  <si>
    <t>01/08/25 - Issue still exists.
10/17/23 - Inverter 35 is still offline 
07/11/23 - Inverter 35 tripped offline.</t>
  </si>
  <si>
    <t>Dottin Place 1 - Amanda Ave Bldg 5 (61) - Inverter 4</t>
  </si>
  <si>
    <t>01/08/2025 - Issue still exists.
07/07/2023 - Inverter 4 tripped offline.</t>
  </si>
  <si>
    <t>01/08/25 - Issue still exists.
05/22/23 - Inverter 46 tripped offline.</t>
  </si>
  <si>
    <t>Shawmut Village - 63 Apache CT - Inverter 42</t>
  </si>
  <si>
    <t>01/08/2025 - Issue still exists.
10/17/2023 - Inverter is still not communicating from 05/07, possibly offline
5/9 - Inverter 42 stopped communicating, possibly offline.</t>
  </si>
  <si>
    <t>Shawmut Village - 157 Gay Head CT - Inverter 51</t>
  </si>
  <si>
    <t>01/08/2025 - Issue still exists.
4/25 - Shawmut Village inverter 51 no comms today.</t>
  </si>
  <si>
    <t>Shawmut Village - 67 Apache CT - Inverter 48</t>
  </si>
  <si>
    <t>01/08/2025 - Issue still exists.
10/17/2023 - Inverter is still not communicating from 04/11, possibly offline
4/21 - Inverter 48 stopped communicating.</t>
  </si>
  <si>
    <t>Presidential - 119 Fillmore St Bldg 9 - Inverter 21</t>
  </si>
  <si>
    <t>9 - approximately</t>
  </si>
  <si>
    <t xml:space="preserve">01/08/25 - Issue still exists
10/17/23 - Issue still exists
04/03/23 - Issue still exists.
01/03/23 - Inverter 21 lost communications on 8/23/22.
</t>
  </si>
  <si>
    <t>Total</t>
  </si>
  <si>
    <t>Monthly Site Performance Summary</t>
  </si>
  <si>
    <t>Account:</t>
  </si>
  <si>
    <t>Ameresco</t>
  </si>
  <si>
    <t>Report's period:</t>
  </si>
  <si>
    <r>
      <t>01/01/2025</t>
    </r>
    <r>
      <rPr>
        <sz val="10"/>
        <color rgb="FF303030"/>
        <rFont val="Calibri"/>
      </rPr>
      <t xml:space="preserve"> - 01/31/2025</t>
    </r>
  </si>
  <si>
    <t>Sites:</t>
  </si>
  <si>
    <t>Manually selected sites</t>
  </si>
  <si>
    <t># of sites:</t>
  </si>
  <si>
    <t>Generated on:</t>
  </si>
  <si>
    <t>02/06/2025 05:25</t>
  </si>
  <si>
    <t>Site Information</t>
  </si>
  <si>
    <t>Open Alerts</t>
  </si>
  <si>
    <t>Current Month</t>
  </si>
  <si>
    <t>Previous Month</t>
  </si>
  <si>
    <t>Same month last year</t>
  </si>
  <si>
    <t>Previous twelve months</t>
  </si>
  <si>
    <t>#</t>
  </si>
  <si>
    <t>Site Name</t>
  </si>
  <si>
    <t>Country</t>
  </si>
  <si>
    <t>State</t>
  </si>
  <si>
    <t>City</t>
  </si>
  <si>
    <t>Installation Date</t>
  </si>
  <si>
    <t>Peak Power (kWp)</t>
  </si>
  <si>
    <t>Highest Alert Impact</t>
  </si>
  <si>
    <t>kWh</t>
  </si>
  <si>
    <t>kWh/kWp</t>
  </si>
  <si>
    <t>Revenue</t>
  </si>
  <si>
    <t>NBHA Adams st</t>
  </si>
  <si>
    <t>United States</t>
  </si>
  <si>
    <t>Massachusetts</t>
  </si>
  <si>
    <t>New Bedford</t>
  </si>
  <si>
    <t>12/01/2020</t>
  </si>
  <si>
    <t>NBHA Ben Rose</t>
  </si>
  <si>
    <t>03/03/2022</t>
  </si>
  <si>
    <t>2</t>
  </si>
  <si>
    <t>NBHA Brickenwood</t>
  </si>
  <si>
    <t>03/01/2022</t>
  </si>
  <si>
    <t>NBHA Chaffee Fairfield</t>
  </si>
  <si>
    <t>07/29/2020</t>
  </si>
  <si>
    <t>0</t>
  </si>
  <si>
    <t>NBHA DeMedeiros</t>
  </si>
  <si>
    <t>01/10/2022</t>
  </si>
  <si>
    <t>NBHA Dottin Place 1</t>
  </si>
  <si>
    <t>NBHA Hillside</t>
  </si>
  <si>
    <t>06/28/2021</t>
  </si>
  <si>
    <t>NBHA Presidential</t>
  </si>
  <si>
    <t>09/12/2021</t>
  </si>
  <si>
    <t>NBHA Satellite</t>
  </si>
  <si>
    <t>11/18/2021</t>
  </si>
  <si>
    <t>NBHA Shawmut Village</t>
  </si>
  <si>
    <t>10/21/2020</t>
  </si>
  <si>
    <t>NBHA Westlawn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</si>
</sst>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&quot;&quot;#0.###"/>
  </numFmts>
  <fonts count="12">
    <font>
      <sz val="10"/>
      <name val="Arial"/>
    </font>
    <font>
      <b/>
      <sz val="10"/>
      <color rgb="FFFFFFFF"/>
      <name val="Arial"/>
    </font>
    <font>
      <u/>
      <sz val="10"/>
      <color rgb="FF0000FF"/>
      <name val="Arial"/>
    </font>
    <font>
      <sz val="10"/>
      <color rgb="FF000000"/>
      <name val="Verdana"/>
    </font>
    <font>
      <sz val="16"/>
      <color rgb="FFD41317"/>
      <name val="Calibri"/>
    </font>
    <font>
      <b/>
      <sz val="10"/>
      <color rgb="FF303030"/>
      <name val="Calibri"/>
    </font>
    <font>
      <sz val="10"/>
      <color rgb="FF303030"/>
      <name val="Calibri"/>
    </font>
    <font>
      <sz val="10"/>
      <color rgb="FF000000"/>
      <name val="Arial"/>
    </font>
    <font>
      <sz val="12"/>
      <color rgb="FFD41317"/>
      <name val="Calibri"/>
    </font>
    <font>
      <sz val="11"/>
      <name val="Calibri"/>
    </font>
    <font>
      <b/>
      <sz val="10"/>
      <color rgb="FFD41317"/>
      <name val="Calibri"/>
    </font>
    <font>
      <sz val="10"/>
      <color rgb="FF428BCA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rgb="FFEBEBEB"/>
      </patternFill>
    </fill>
    <fill>
      <patternFill patternType="solid">
        <fgColor rgb="FFF7F7F7"/>
      </patternFill>
    </fill>
    <fill>
      <patternFill patternType="solid">
        <fgColor rgb="FFDCF2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C5C5C5"/>
      </top>
      <bottom style="thin">
        <color rgb="FFC5C5C5"/>
      </bottom>
      <diagonal/>
    </border>
    <border>
      <left/>
      <right/>
      <top style="thin">
        <color rgb="FFC5C5C5"/>
      </top>
      <bottom style="thin">
        <color rgb="FFC5C5C5"/>
      </bottom>
      <diagonal/>
    </border>
    <border>
      <left/>
      <right style="thin">
        <color rgb="FFDDDDDD"/>
      </right>
      <top style="thin">
        <color rgb="FFC5C5C5"/>
      </top>
      <bottom style="thin">
        <color rgb="FFC5C5C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/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vertical="top"/>
    </xf>
    <xf numFmtId="0" fontId="6" fillId="0" borderId="0" xfId="0" applyFont="1" applyAlignment="1">
      <alignment horizontal="left"/>
    </xf>
    <xf numFmtId="0" fontId="7" fillId="0" borderId="0" xfId="0" applyFont="1"/>
    <xf numFmtId="0" fontId="8" fillId="3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 vertical="top"/>
    </xf>
    <xf numFmtId="0" fontId="6" fillId="0" borderId="2" xfId="0" applyFont="1" applyBorder="1" applyAlignment="1">
      <alignment vertical="top"/>
    </xf>
    <xf numFmtId="0" fontId="5" fillId="5" borderId="2" xfId="0" applyFont="1" applyFill="1" applyBorder="1" applyAlignment="1">
      <alignment horizontal="left" vertical="top"/>
    </xf>
    <xf numFmtId="0" fontId="5" fillId="5" borderId="2" xfId="0" applyFont="1" applyFill="1" applyBorder="1" applyAlignment="1">
      <alignment vertical="top"/>
    </xf>
    <xf numFmtId="165" fontId="5" fillId="5" borderId="2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wrapText="1"/>
    </xf>
    <xf numFmtId="0" fontId="8" fillId="3" borderId="2" xfId="0" applyFont="1" applyFill="1" applyBorder="1" applyAlignment="1">
      <alignment horizontal="center" vertical="center"/>
    </xf>
    <xf numFmtId="0" fontId="9" fillId="0" borderId="3" xfId="0" applyFont="1" applyBorder="1" applyAlignment="1"/>
    <xf numFmtId="0" fontId="9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9</xdr:col>
      <xdr:colOff>3272</xdr:colOff>
      <xdr:row>1</xdr:row>
      <xdr:rowOff>198749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80D2D9CF-277C-4B21-929A-D11B69D13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89180" y="0"/>
          <a:ext cx="1214852" cy="267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onitoring.solaredge.com/solaredge-web/p/site/2457881/" TargetMode="External"/><Relationship Id="rId3" Type="http://schemas.openxmlformats.org/officeDocument/2006/relationships/hyperlink" Target="https://monitoring.solaredge.com/solaredge-web/p/site/2747637/" TargetMode="External"/><Relationship Id="rId7" Type="http://schemas.openxmlformats.org/officeDocument/2006/relationships/hyperlink" Target="https://monitoring.solaredge.com/solaredge-web/p/site/2331864/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monitoring.solaredge.com/solaredge-web/p/site/2752799/" TargetMode="External"/><Relationship Id="rId1" Type="http://schemas.openxmlformats.org/officeDocument/2006/relationships/hyperlink" Target="https://monitoring.solaredge.com/solaredge-web/p/site/2484387/" TargetMode="External"/><Relationship Id="rId6" Type="http://schemas.openxmlformats.org/officeDocument/2006/relationships/hyperlink" Target="https://monitoring.solaredge.com/solaredge-web/p/site/1735791/" TargetMode="External"/><Relationship Id="rId11" Type="http://schemas.openxmlformats.org/officeDocument/2006/relationships/hyperlink" Target="https://monitoring.solaredge.com/solaredge-web/p/site/2753485/" TargetMode="External"/><Relationship Id="rId5" Type="http://schemas.openxmlformats.org/officeDocument/2006/relationships/hyperlink" Target="https://monitoring.solaredge.com/solaredge-web/p/site/2660184/" TargetMode="External"/><Relationship Id="rId10" Type="http://schemas.openxmlformats.org/officeDocument/2006/relationships/hyperlink" Target="https://monitoring.solaredge.com/solaredge-web/p/site/2382372/" TargetMode="External"/><Relationship Id="rId4" Type="http://schemas.openxmlformats.org/officeDocument/2006/relationships/hyperlink" Target="https://monitoring.solaredge.com/solaredge-web/p/site/1735612/" TargetMode="External"/><Relationship Id="rId9" Type="http://schemas.openxmlformats.org/officeDocument/2006/relationships/hyperlink" Target="https://monitoring.solaredge.com/solaredge-web/p/site/259787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2"/>
  <sheetViews>
    <sheetView topLeftCell="F1" workbookViewId="0">
      <selection activeCell="O12" sqref="O12"/>
    </sheetView>
  </sheetViews>
  <sheetFormatPr defaultRowHeight="13.15"/>
  <cols>
    <col min="1" max="1" width="25.7109375" customWidth="1"/>
    <col min="2" max="2" width="33.7109375" customWidth="1"/>
    <col min="3" max="3" width="61.85546875" customWidth="1"/>
    <col min="4" max="5" width="17.7109375" customWidth="1"/>
    <col min="6" max="6" width="77.85546875" customWidth="1"/>
    <col min="7" max="10" width="17.7109375" customWidth="1"/>
    <col min="11" max="11" width="33.7109375" customWidth="1"/>
    <col min="12" max="13" width="17.7109375" customWidth="1"/>
  </cols>
  <sheetData>
    <row r="1" spans="1:1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</row>
    <row r="2" spans="1:13">
      <c r="A2" s="18" t="s">
        <v>13</v>
      </c>
      <c r="B2" s="18" t="s">
        <v>14</v>
      </c>
      <c r="C2" s="18" t="s">
        <v>15</v>
      </c>
      <c r="D2" s="18" t="s">
        <v>16</v>
      </c>
      <c r="E2" s="19">
        <v>45659.621527777781</v>
      </c>
      <c r="F2" s="18" t="s">
        <v>17</v>
      </c>
      <c r="G2" s="18" t="s">
        <v>18</v>
      </c>
      <c r="H2" s="18" t="s">
        <v>19</v>
      </c>
      <c r="I2" s="18" t="s">
        <v>20</v>
      </c>
      <c r="J2" s="18" t="s">
        <v>21</v>
      </c>
      <c r="K2" s="18" t="s">
        <v>22</v>
      </c>
      <c r="L2" s="1" t="str">
        <f>HYPERLINK("https://us.assetplanner.com/service_request?ID=95246","SR095246")</f>
        <v>SR095246</v>
      </c>
      <c r="M2" s="18" t="s">
        <v>23</v>
      </c>
    </row>
    <row r="3" spans="1:13">
      <c r="A3" s="18" t="s">
        <v>13</v>
      </c>
      <c r="B3" s="18" t="s">
        <v>14</v>
      </c>
      <c r="C3" s="18" t="s">
        <v>24</v>
      </c>
      <c r="D3" s="18" t="s">
        <v>16</v>
      </c>
      <c r="E3" s="19">
        <v>45659.620138888888</v>
      </c>
      <c r="F3" s="18" t="s">
        <v>25</v>
      </c>
      <c r="G3" s="18" t="s">
        <v>18</v>
      </c>
      <c r="H3" s="18" t="s">
        <v>19</v>
      </c>
      <c r="I3" s="18" t="s">
        <v>20</v>
      </c>
      <c r="J3" s="18" t="s">
        <v>21</v>
      </c>
      <c r="K3" s="18" t="s">
        <v>22</v>
      </c>
      <c r="L3" s="1" t="str">
        <f>HYPERLINK("https://us.assetplanner.com/service_request?ID=95244","SR095244")</f>
        <v>SR095244</v>
      </c>
      <c r="M3" s="18" t="s">
        <v>23</v>
      </c>
    </row>
    <row r="4" spans="1:13">
      <c r="A4" s="18" t="s">
        <v>13</v>
      </c>
      <c r="B4" s="18" t="s">
        <v>14</v>
      </c>
      <c r="C4" s="18" t="s">
        <v>26</v>
      </c>
      <c r="D4" s="18" t="s">
        <v>27</v>
      </c>
      <c r="E4" s="19">
        <v>45614.522916666669</v>
      </c>
      <c r="F4" s="18" t="s">
        <v>28</v>
      </c>
      <c r="G4" s="18" t="s">
        <v>18</v>
      </c>
      <c r="H4" s="18" t="s">
        <v>19</v>
      </c>
      <c r="I4" s="18" t="s">
        <v>20</v>
      </c>
      <c r="J4" s="18" t="s">
        <v>21</v>
      </c>
      <c r="K4" s="18" t="s">
        <v>29</v>
      </c>
      <c r="L4" s="1" t="str">
        <f>HYPERLINK("https://us.assetplanner.com/service_request?ID=93379","SR093379")</f>
        <v>SR093379</v>
      </c>
      <c r="M4" s="18" t="s">
        <v>20</v>
      </c>
    </row>
    <row r="5" spans="1:13">
      <c r="A5" s="18" t="s">
        <v>13</v>
      </c>
      <c r="B5" s="18" t="s">
        <v>14</v>
      </c>
      <c r="C5" s="18" t="s">
        <v>30</v>
      </c>
      <c r="D5" s="18" t="s">
        <v>31</v>
      </c>
      <c r="E5" s="19">
        <v>45613.522222222222</v>
      </c>
      <c r="F5" s="18" t="s">
        <v>32</v>
      </c>
      <c r="G5" s="18" t="s">
        <v>18</v>
      </c>
      <c r="H5" s="18" t="s">
        <v>19</v>
      </c>
      <c r="I5" s="18" t="s">
        <v>20</v>
      </c>
      <c r="J5" s="18" t="s">
        <v>21</v>
      </c>
      <c r="K5" s="18" t="s">
        <v>33</v>
      </c>
      <c r="L5" s="1" t="str">
        <f>HYPERLINK("https://us.assetplanner.com/service_request?ID=93350","SR093350")</f>
        <v>SR093350</v>
      </c>
      <c r="M5" s="18" t="s">
        <v>20</v>
      </c>
    </row>
    <row r="6" spans="1:13">
      <c r="A6" s="18" t="s">
        <v>13</v>
      </c>
      <c r="B6" s="18" t="s">
        <v>14</v>
      </c>
      <c r="C6" s="18" t="s">
        <v>34</v>
      </c>
      <c r="D6" s="18" t="s">
        <v>31</v>
      </c>
      <c r="E6" s="19">
        <v>45613.521527777775</v>
      </c>
      <c r="F6" s="18" t="s">
        <v>35</v>
      </c>
      <c r="G6" s="18" t="s">
        <v>18</v>
      </c>
      <c r="H6" s="18" t="s">
        <v>19</v>
      </c>
      <c r="I6" s="18" t="s">
        <v>20</v>
      </c>
      <c r="J6" s="18" t="s">
        <v>21</v>
      </c>
      <c r="K6" s="18" t="s">
        <v>33</v>
      </c>
      <c r="L6" s="1" t="str">
        <f>HYPERLINK("https://us.assetplanner.com/service_request?ID=93349","SR093349")</f>
        <v>SR093349</v>
      </c>
      <c r="M6" s="18" t="s">
        <v>20</v>
      </c>
    </row>
    <row r="7" spans="1:13">
      <c r="A7" s="18" t="s">
        <v>13</v>
      </c>
      <c r="B7" s="18" t="s">
        <v>14</v>
      </c>
      <c r="C7" s="18" t="s">
        <v>36</v>
      </c>
      <c r="D7" s="18" t="s">
        <v>16</v>
      </c>
      <c r="E7" s="19">
        <v>45594.56527777778</v>
      </c>
      <c r="F7" s="18" t="s">
        <v>37</v>
      </c>
      <c r="G7" s="18" t="s">
        <v>18</v>
      </c>
      <c r="H7" s="18" t="s">
        <v>19</v>
      </c>
      <c r="I7" s="18" t="s">
        <v>20</v>
      </c>
      <c r="J7" s="18" t="s">
        <v>21</v>
      </c>
      <c r="K7" s="18" t="s">
        <v>29</v>
      </c>
      <c r="L7" s="1" t="str">
        <f>HYPERLINK("https://us.assetplanner.com/service_request?ID=92738","SR092738")</f>
        <v>SR092738</v>
      </c>
      <c r="M7" s="18" t="s">
        <v>20</v>
      </c>
    </row>
    <row r="8" spans="1:13">
      <c r="A8" s="18" t="s">
        <v>13</v>
      </c>
      <c r="B8" s="18" t="s">
        <v>14</v>
      </c>
      <c r="C8" s="18" t="s">
        <v>38</v>
      </c>
      <c r="D8" s="18" t="s">
        <v>39</v>
      </c>
      <c r="E8" s="19">
        <v>45581.544444444444</v>
      </c>
      <c r="F8" s="18" t="s">
        <v>40</v>
      </c>
      <c r="G8" s="18" t="s">
        <v>18</v>
      </c>
      <c r="H8" s="18" t="s">
        <v>19</v>
      </c>
      <c r="I8" s="18" t="s">
        <v>20</v>
      </c>
      <c r="J8" s="18" t="s">
        <v>21</v>
      </c>
      <c r="K8" s="18" t="s">
        <v>33</v>
      </c>
      <c r="L8" s="1" t="str">
        <f>HYPERLINK("https://us.assetplanner.com/service_request?ID=92211","SR092211")</f>
        <v>SR092211</v>
      </c>
      <c r="M8" s="18" t="s">
        <v>20</v>
      </c>
    </row>
    <row r="9" spans="1:13">
      <c r="A9" s="18" t="s">
        <v>13</v>
      </c>
      <c r="B9" s="18" t="s">
        <v>14</v>
      </c>
      <c r="C9" s="18" t="s">
        <v>41</v>
      </c>
      <c r="D9" s="18" t="s">
        <v>16</v>
      </c>
      <c r="E9" s="19">
        <v>45580.54791666667</v>
      </c>
      <c r="F9" s="18" t="s">
        <v>42</v>
      </c>
      <c r="G9" s="18" t="s">
        <v>18</v>
      </c>
      <c r="H9" s="18" t="s">
        <v>19</v>
      </c>
      <c r="I9" s="18" t="s">
        <v>20</v>
      </c>
      <c r="J9" s="18" t="s">
        <v>21</v>
      </c>
      <c r="K9" s="18" t="s">
        <v>29</v>
      </c>
      <c r="L9" s="1" t="str">
        <f>HYPERLINK("https://us.assetplanner.com/service_request?ID=92164","SR092164")</f>
        <v>SR092164</v>
      </c>
      <c r="M9" s="18" t="s">
        <v>20</v>
      </c>
    </row>
    <row r="10" spans="1:13">
      <c r="A10" s="18" t="s">
        <v>13</v>
      </c>
      <c r="B10" s="18" t="s">
        <v>14</v>
      </c>
      <c r="C10" s="18" t="s">
        <v>43</v>
      </c>
      <c r="D10" s="18" t="s">
        <v>16</v>
      </c>
      <c r="E10" s="19">
        <v>45489.556944444441</v>
      </c>
      <c r="F10" s="18" t="s">
        <v>44</v>
      </c>
      <c r="G10" s="18" t="s">
        <v>18</v>
      </c>
      <c r="H10" s="18" t="s">
        <v>19</v>
      </c>
      <c r="I10" s="18" t="s">
        <v>20</v>
      </c>
      <c r="J10" s="18" t="s">
        <v>21</v>
      </c>
      <c r="K10" s="18" t="s">
        <v>29</v>
      </c>
      <c r="L10" s="1" t="str">
        <f>HYPERLINK("https://us.assetplanner.com/service_request?ID=87778","SR087778")</f>
        <v>SR087778</v>
      </c>
      <c r="M10" s="18" t="s">
        <v>20</v>
      </c>
    </row>
    <row r="11" spans="1:13">
      <c r="A11" s="18" t="s">
        <v>13</v>
      </c>
      <c r="B11" s="18" t="s">
        <v>14</v>
      </c>
      <c r="C11" s="18" t="s">
        <v>45</v>
      </c>
      <c r="D11" s="18" t="s">
        <v>16</v>
      </c>
      <c r="E11" s="19">
        <v>45488.645138888889</v>
      </c>
      <c r="F11" s="18" t="s">
        <v>46</v>
      </c>
      <c r="G11" s="18" t="s">
        <v>18</v>
      </c>
      <c r="H11" s="18" t="s">
        <v>19</v>
      </c>
      <c r="I11" s="18" t="s">
        <v>20</v>
      </c>
      <c r="J11" s="18" t="s">
        <v>21</v>
      </c>
      <c r="K11" s="18" t="s">
        <v>29</v>
      </c>
      <c r="L11" s="1" t="str">
        <f>HYPERLINK("https://us.assetplanner.com/service_request?ID=87728","SR087728")</f>
        <v>SR087728</v>
      </c>
      <c r="M11" s="18" t="s">
        <v>20</v>
      </c>
    </row>
    <row r="12" spans="1:13">
      <c r="A12" s="18" t="s">
        <v>13</v>
      </c>
      <c r="B12" s="18" t="s">
        <v>14</v>
      </c>
      <c r="C12" s="18" t="s">
        <v>47</v>
      </c>
      <c r="D12" s="18" t="s">
        <v>16</v>
      </c>
      <c r="E12" s="19">
        <v>45488.643750000003</v>
      </c>
      <c r="F12" s="18" t="s">
        <v>48</v>
      </c>
      <c r="G12" s="18" t="s">
        <v>18</v>
      </c>
      <c r="H12" s="18" t="s">
        <v>19</v>
      </c>
      <c r="I12" s="18" t="s">
        <v>20</v>
      </c>
      <c r="J12" s="18" t="s">
        <v>21</v>
      </c>
      <c r="K12" s="18" t="s">
        <v>29</v>
      </c>
      <c r="L12" s="1" t="str">
        <f>HYPERLINK("https://us.assetplanner.com/service_request?ID=87727","SR087727")</f>
        <v>SR087727</v>
      </c>
      <c r="M12" s="18" t="s">
        <v>20</v>
      </c>
    </row>
    <row r="13" spans="1:13">
      <c r="A13" s="18" t="s">
        <v>13</v>
      </c>
      <c r="B13" s="18" t="s">
        <v>14</v>
      </c>
      <c r="C13" s="18" t="s">
        <v>49</v>
      </c>
      <c r="D13" s="18" t="s">
        <v>16</v>
      </c>
      <c r="E13" s="19">
        <v>45475.541666666664</v>
      </c>
      <c r="F13" s="18" t="s">
        <v>50</v>
      </c>
      <c r="G13" s="18" t="s">
        <v>18</v>
      </c>
      <c r="H13" s="18" t="s">
        <v>19</v>
      </c>
      <c r="I13" s="18" t="s">
        <v>20</v>
      </c>
      <c r="J13" s="18" t="s">
        <v>21</v>
      </c>
      <c r="K13" s="18" t="s">
        <v>29</v>
      </c>
      <c r="L13" s="1" t="str">
        <f>HYPERLINK("https://us.assetplanner.com/service_request?ID=87282","SR087282")</f>
        <v>SR087282</v>
      </c>
      <c r="M13" s="18" t="s">
        <v>20</v>
      </c>
    </row>
    <row r="14" spans="1:13">
      <c r="A14" s="18" t="s">
        <v>13</v>
      </c>
      <c r="B14" s="18" t="s">
        <v>14</v>
      </c>
      <c r="C14" s="18" t="s">
        <v>51</v>
      </c>
      <c r="D14" s="18" t="s">
        <v>52</v>
      </c>
      <c r="E14" s="19">
        <v>45471.618750000001</v>
      </c>
      <c r="F14" s="18" t="s">
        <v>53</v>
      </c>
      <c r="G14" s="18" t="s">
        <v>18</v>
      </c>
      <c r="H14" s="18" t="s">
        <v>19</v>
      </c>
      <c r="I14" s="18" t="s">
        <v>20</v>
      </c>
      <c r="J14" s="18" t="s">
        <v>21</v>
      </c>
      <c r="K14" s="18" t="s">
        <v>29</v>
      </c>
      <c r="L14" s="1" t="str">
        <f>HYPERLINK("https://us.assetplanner.com/service_request?ID=87105","SR087105")</f>
        <v>SR087105</v>
      </c>
      <c r="M14" s="18" t="s">
        <v>20</v>
      </c>
    </row>
    <row r="15" spans="1:13">
      <c r="A15" s="18" t="s">
        <v>13</v>
      </c>
      <c r="B15" s="18" t="s">
        <v>14</v>
      </c>
      <c r="C15" s="18" t="s">
        <v>54</v>
      </c>
      <c r="D15" s="18" t="s">
        <v>52</v>
      </c>
      <c r="E15" s="19">
        <v>45446.525694444441</v>
      </c>
      <c r="F15" s="18" t="s">
        <v>55</v>
      </c>
      <c r="G15" s="18" t="s">
        <v>18</v>
      </c>
      <c r="H15" s="18" t="s">
        <v>8</v>
      </c>
      <c r="I15" s="18" t="s">
        <v>56</v>
      </c>
      <c r="J15" s="18" t="s">
        <v>57</v>
      </c>
      <c r="K15" s="18" t="s">
        <v>33</v>
      </c>
      <c r="L15" s="1" t="str">
        <f>HYPERLINK("https://us.assetplanner.com/service_request?ID=85484","SR085484")</f>
        <v>SR085484</v>
      </c>
      <c r="M15" s="18" t="s">
        <v>23</v>
      </c>
    </row>
    <row r="16" spans="1:13" ht="23.25">
      <c r="A16" s="18" t="s">
        <v>13</v>
      </c>
      <c r="B16" s="18" t="s">
        <v>14</v>
      </c>
      <c r="C16" s="18" t="s">
        <v>20</v>
      </c>
      <c r="D16" s="18" t="s">
        <v>58</v>
      </c>
      <c r="E16" s="19">
        <v>45429.52847222222</v>
      </c>
      <c r="F16" s="20" t="s">
        <v>59</v>
      </c>
      <c r="G16" s="18" t="s">
        <v>18</v>
      </c>
      <c r="H16" s="18" t="s">
        <v>19</v>
      </c>
      <c r="I16" s="18" t="s">
        <v>20</v>
      </c>
      <c r="J16" s="18" t="s">
        <v>21</v>
      </c>
      <c r="K16" s="18" t="s">
        <v>33</v>
      </c>
      <c r="L16" s="1" t="str">
        <f>HYPERLINK("https://us.assetplanner.com/service_request?ID=84807","SR084807")</f>
        <v>SR084807</v>
      </c>
      <c r="M16" s="18" t="s">
        <v>23</v>
      </c>
    </row>
    <row r="17" spans="1:13" ht="35.25">
      <c r="A17" s="18" t="s">
        <v>13</v>
      </c>
      <c r="B17" s="18" t="s">
        <v>14</v>
      </c>
      <c r="C17" s="18" t="s">
        <v>20</v>
      </c>
      <c r="D17" s="18" t="s">
        <v>60</v>
      </c>
      <c r="E17" s="19">
        <v>45423.568749999999</v>
      </c>
      <c r="F17" s="20" t="s">
        <v>61</v>
      </c>
      <c r="G17" s="18" t="s">
        <v>18</v>
      </c>
      <c r="H17" s="18" t="s">
        <v>19</v>
      </c>
      <c r="I17" s="18" t="s">
        <v>20</v>
      </c>
      <c r="J17" s="18" t="s">
        <v>21</v>
      </c>
      <c r="K17" s="18" t="s">
        <v>62</v>
      </c>
      <c r="L17" s="1" t="str">
        <f>HYPERLINK("https://us.assetplanner.com/service_request?ID=84580","SR084580")</f>
        <v>SR084580</v>
      </c>
      <c r="M17" s="18" t="s">
        <v>23</v>
      </c>
    </row>
    <row r="18" spans="1:13" ht="12.75">
      <c r="A18" s="18" t="s">
        <v>13</v>
      </c>
      <c r="B18" s="18" t="s">
        <v>14</v>
      </c>
      <c r="C18" s="18" t="s">
        <v>63</v>
      </c>
      <c r="D18" s="18" t="s">
        <v>52</v>
      </c>
      <c r="E18" s="19">
        <v>45401.535416666666</v>
      </c>
      <c r="F18" s="18" t="s">
        <v>64</v>
      </c>
      <c r="G18" s="18" t="s">
        <v>18</v>
      </c>
      <c r="H18" s="18" t="s">
        <v>19</v>
      </c>
      <c r="I18" s="18" t="s">
        <v>20</v>
      </c>
      <c r="J18" s="18" t="s">
        <v>21</v>
      </c>
      <c r="K18" s="18" t="s">
        <v>33</v>
      </c>
      <c r="L18" s="1" t="str">
        <f>HYPERLINK("https://us.assetplanner.com/service_request?ID=83627","SR083627")</f>
        <v>SR083627</v>
      </c>
      <c r="M18" s="18" t="s">
        <v>23</v>
      </c>
    </row>
    <row r="19" spans="1:13">
      <c r="A19" s="18" t="s">
        <v>13</v>
      </c>
      <c r="B19" s="18" t="s">
        <v>14</v>
      </c>
      <c r="C19" s="18" t="s">
        <v>65</v>
      </c>
      <c r="D19" s="18" t="s">
        <v>66</v>
      </c>
      <c r="E19" s="19">
        <v>45372.53125</v>
      </c>
      <c r="F19" s="18" t="s">
        <v>67</v>
      </c>
      <c r="G19" s="18" t="s">
        <v>18</v>
      </c>
      <c r="H19" s="18" t="s">
        <v>19</v>
      </c>
      <c r="I19" s="18" t="s">
        <v>20</v>
      </c>
      <c r="J19" s="18" t="s">
        <v>21</v>
      </c>
      <c r="K19" s="18" t="s">
        <v>33</v>
      </c>
      <c r="L19" s="1" t="str">
        <f>HYPERLINK("https://us.assetplanner.com/service_request?ID=82331","SR082331")</f>
        <v>SR082331</v>
      </c>
      <c r="M19" s="18" t="s">
        <v>23</v>
      </c>
    </row>
    <row r="20" spans="1:13">
      <c r="A20" s="18" t="s">
        <v>13</v>
      </c>
      <c r="B20" s="18" t="s">
        <v>14</v>
      </c>
      <c r="C20" s="18" t="s">
        <v>68</v>
      </c>
      <c r="D20" s="18" t="s">
        <v>69</v>
      </c>
      <c r="E20" s="19">
        <v>45370.520833333336</v>
      </c>
      <c r="F20" s="18" t="s">
        <v>70</v>
      </c>
      <c r="G20" s="18" t="s">
        <v>18</v>
      </c>
      <c r="H20" s="18" t="s">
        <v>19</v>
      </c>
      <c r="I20" s="18" t="s">
        <v>20</v>
      </c>
      <c r="J20" s="18" t="s">
        <v>21</v>
      </c>
      <c r="K20" s="18" t="s">
        <v>33</v>
      </c>
      <c r="L20" s="1" t="str">
        <f>HYPERLINK("https://us.assetplanner.com/service_request?ID=82124","SR082124")</f>
        <v>SR082124</v>
      </c>
      <c r="M20" s="18" t="s">
        <v>23</v>
      </c>
    </row>
    <row r="21" spans="1:13">
      <c r="A21" s="18" t="s">
        <v>13</v>
      </c>
      <c r="B21" s="18" t="s">
        <v>14</v>
      </c>
      <c r="C21" s="18" t="s">
        <v>71</v>
      </c>
      <c r="D21" s="18" t="s">
        <v>31</v>
      </c>
      <c r="E21" s="19">
        <v>45355.539583333331</v>
      </c>
      <c r="F21" s="18" t="s">
        <v>72</v>
      </c>
      <c r="G21" s="18" t="s">
        <v>18</v>
      </c>
      <c r="H21" s="18" t="s">
        <v>19</v>
      </c>
      <c r="I21" s="18" t="s">
        <v>20</v>
      </c>
      <c r="J21" s="18" t="s">
        <v>21</v>
      </c>
      <c r="K21" s="18" t="s">
        <v>33</v>
      </c>
      <c r="L21" s="1" t="str">
        <f>HYPERLINK("https://us.assetplanner.com/service_request?ID=81556","SR081556")</f>
        <v>SR081556</v>
      </c>
      <c r="M21" s="18" t="s">
        <v>23</v>
      </c>
    </row>
    <row r="22" spans="1:13">
      <c r="A22" s="18" t="s">
        <v>13</v>
      </c>
      <c r="B22" s="18" t="s">
        <v>14</v>
      </c>
      <c r="C22" s="18" t="s">
        <v>73</v>
      </c>
      <c r="D22" s="18" t="s">
        <v>74</v>
      </c>
      <c r="E22" s="19">
        <v>45355.538194444445</v>
      </c>
      <c r="F22" s="18" t="s">
        <v>75</v>
      </c>
      <c r="G22" s="18" t="s">
        <v>18</v>
      </c>
      <c r="H22" s="18" t="s">
        <v>19</v>
      </c>
      <c r="I22" s="18" t="s">
        <v>20</v>
      </c>
      <c r="J22" s="18" t="s">
        <v>21</v>
      </c>
      <c r="K22" s="18" t="s">
        <v>33</v>
      </c>
      <c r="L22" s="1" t="str">
        <f>HYPERLINK("https://us.assetplanner.com/service_request?ID=81555","SR081555")</f>
        <v>SR081555</v>
      </c>
      <c r="M22" s="18" t="s">
        <v>23</v>
      </c>
    </row>
    <row r="23" spans="1:13">
      <c r="A23" s="18" t="s">
        <v>13</v>
      </c>
      <c r="B23" s="18" t="s">
        <v>14</v>
      </c>
      <c r="C23" s="18" t="s">
        <v>76</v>
      </c>
      <c r="D23" s="18" t="s">
        <v>77</v>
      </c>
      <c r="E23" s="19">
        <v>45352.625694444447</v>
      </c>
      <c r="F23" s="18" t="s">
        <v>78</v>
      </c>
      <c r="G23" s="18" t="s">
        <v>18</v>
      </c>
      <c r="H23" s="18" t="s">
        <v>19</v>
      </c>
      <c r="I23" s="18" t="s">
        <v>20</v>
      </c>
      <c r="J23" s="18" t="s">
        <v>21</v>
      </c>
      <c r="K23" s="18" t="s">
        <v>29</v>
      </c>
      <c r="L23" s="1" t="str">
        <f>HYPERLINK("https://us.assetplanner.com/service_request?ID=81508","SR081508")</f>
        <v>SR081508</v>
      </c>
      <c r="M23" s="18" t="s">
        <v>23</v>
      </c>
    </row>
    <row r="24" spans="1:13">
      <c r="A24" s="18" t="s">
        <v>13</v>
      </c>
      <c r="B24" s="18" t="s">
        <v>14</v>
      </c>
      <c r="C24" s="18" t="s">
        <v>79</v>
      </c>
      <c r="D24" s="18" t="s">
        <v>66</v>
      </c>
      <c r="E24" s="19">
        <v>45352.62222222222</v>
      </c>
      <c r="F24" s="18" t="s">
        <v>80</v>
      </c>
      <c r="G24" s="18" t="s">
        <v>18</v>
      </c>
      <c r="H24" s="18" t="s">
        <v>19</v>
      </c>
      <c r="I24" s="18" t="s">
        <v>20</v>
      </c>
      <c r="J24" s="18" t="s">
        <v>21</v>
      </c>
      <c r="K24" s="18" t="s">
        <v>29</v>
      </c>
      <c r="L24" s="1" t="str">
        <f>HYPERLINK("https://us.assetplanner.com/service_request?ID=81505","SR081505")</f>
        <v>SR081505</v>
      </c>
      <c r="M24" s="18" t="s">
        <v>23</v>
      </c>
    </row>
    <row r="25" spans="1:13">
      <c r="A25" s="18" t="s">
        <v>13</v>
      </c>
      <c r="B25" s="18" t="s">
        <v>14</v>
      </c>
      <c r="C25" s="18" t="s">
        <v>81</v>
      </c>
      <c r="D25" s="18" t="s">
        <v>82</v>
      </c>
      <c r="E25" s="19">
        <v>45352.620833333334</v>
      </c>
      <c r="F25" s="18" t="s">
        <v>83</v>
      </c>
      <c r="G25" s="18" t="s">
        <v>18</v>
      </c>
      <c r="H25" s="18" t="s">
        <v>19</v>
      </c>
      <c r="I25" s="18" t="s">
        <v>20</v>
      </c>
      <c r="J25" s="18" t="s">
        <v>21</v>
      </c>
      <c r="K25" s="18" t="s">
        <v>29</v>
      </c>
      <c r="L25" s="1" t="str">
        <f>HYPERLINK("https://us.assetplanner.com/service_request?ID=81504","SR081504")</f>
        <v>SR081504</v>
      </c>
      <c r="M25" s="18" t="s">
        <v>23</v>
      </c>
    </row>
    <row r="26" spans="1:13">
      <c r="A26" s="18" t="s">
        <v>13</v>
      </c>
      <c r="B26" s="18" t="s">
        <v>14</v>
      </c>
      <c r="C26" s="18" t="s">
        <v>84</v>
      </c>
      <c r="D26" s="18" t="s">
        <v>85</v>
      </c>
      <c r="E26" s="19">
        <v>45342.586111111108</v>
      </c>
      <c r="F26" s="18" t="s">
        <v>86</v>
      </c>
      <c r="G26" s="18" t="s">
        <v>18</v>
      </c>
      <c r="H26" s="18" t="s">
        <v>19</v>
      </c>
      <c r="I26" s="18" t="s">
        <v>20</v>
      </c>
      <c r="J26" s="18" t="s">
        <v>21</v>
      </c>
      <c r="K26" s="18" t="s">
        <v>29</v>
      </c>
      <c r="L26" s="1" t="str">
        <f>HYPERLINK("https://us.assetplanner.com/service_request?ID=81129","SR081129")</f>
        <v>SR081129</v>
      </c>
      <c r="M26" s="18" t="s">
        <v>23</v>
      </c>
    </row>
    <row r="27" spans="1:13" ht="12" customHeight="1">
      <c r="A27" s="18" t="s">
        <v>13</v>
      </c>
      <c r="B27" s="18" t="s">
        <v>14</v>
      </c>
      <c r="C27" s="18" t="s">
        <v>87</v>
      </c>
      <c r="D27" s="18" t="s">
        <v>31</v>
      </c>
      <c r="E27" s="19">
        <v>45291.197222222225</v>
      </c>
      <c r="F27" s="18" t="s">
        <v>88</v>
      </c>
      <c r="G27" s="18" t="s">
        <v>18</v>
      </c>
      <c r="H27" s="18" t="s">
        <v>19</v>
      </c>
      <c r="I27" s="18" t="s">
        <v>20</v>
      </c>
      <c r="J27" s="18" t="s">
        <v>21</v>
      </c>
      <c r="K27" s="18" t="s">
        <v>33</v>
      </c>
      <c r="L27" s="1" t="str">
        <f>HYPERLINK("https://us.assetplanner.com/service_request?ID=79845","SR079845")</f>
        <v>SR079845</v>
      </c>
      <c r="M27" s="18" t="s">
        <v>23</v>
      </c>
    </row>
    <row r="28" spans="1:13">
      <c r="A28" s="18" t="s">
        <v>13</v>
      </c>
      <c r="B28" s="18" t="s">
        <v>14</v>
      </c>
      <c r="C28" s="18" t="s">
        <v>89</v>
      </c>
      <c r="D28" s="18" t="s">
        <v>66</v>
      </c>
      <c r="E28" s="19">
        <v>45237.53402777778</v>
      </c>
      <c r="F28" s="18" t="s">
        <v>90</v>
      </c>
      <c r="G28" s="18" t="s">
        <v>18</v>
      </c>
      <c r="H28" s="18" t="s">
        <v>19</v>
      </c>
      <c r="I28" s="18" t="s">
        <v>20</v>
      </c>
      <c r="J28" s="18" t="s">
        <v>21</v>
      </c>
      <c r="K28" s="18" t="s">
        <v>33</v>
      </c>
      <c r="L28" s="1" t="str">
        <f>HYPERLINK("https://us.assetplanner.com/service_request?ID=78119","SR078119")</f>
        <v>SR078119</v>
      </c>
      <c r="M28" s="18" t="s">
        <v>23</v>
      </c>
    </row>
    <row r="29" spans="1:13">
      <c r="A29" s="18" t="s">
        <v>13</v>
      </c>
      <c r="B29" s="18" t="s">
        <v>14</v>
      </c>
      <c r="C29" s="18" t="s">
        <v>91</v>
      </c>
      <c r="D29" s="18" t="s">
        <v>74</v>
      </c>
      <c r="E29" s="19">
        <v>45216.152083333334</v>
      </c>
      <c r="F29" s="18" t="s">
        <v>92</v>
      </c>
      <c r="G29" s="18" t="s">
        <v>18</v>
      </c>
      <c r="H29" s="18" t="s">
        <v>19</v>
      </c>
      <c r="I29" s="18" t="s">
        <v>20</v>
      </c>
      <c r="J29" s="18" t="s">
        <v>21</v>
      </c>
      <c r="K29" s="18" t="s">
        <v>33</v>
      </c>
      <c r="L29" s="1" t="str">
        <f>HYPERLINK("https://us.assetplanner.com/service_request?ID=77517","SR077517")</f>
        <v>SR077517</v>
      </c>
      <c r="M29" s="18" t="s">
        <v>23</v>
      </c>
    </row>
    <row r="30" spans="1:13">
      <c r="A30" s="18" t="s">
        <v>13</v>
      </c>
      <c r="B30" s="18" t="s">
        <v>14</v>
      </c>
      <c r="C30" s="18" t="s">
        <v>93</v>
      </c>
      <c r="D30" s="18" t="s">
        <v>94</v>
      </c>
      <c r="E30" s="19">
        <v>45204.594444444447</v>
      </c>
      <c r="F30" s="18" t="s">
        <v>95</v>
      </c>
      <c r="G30" s="18" t="s">
        <v>18</v>
      </c>
      <c r="H30" s="18" t="s">
        <v>19</v>
      </c>
      <c r="I30" s="18" t="s">
        <v>20</v>
      </c>
      <c r="J30" s="18" t="s">
        <v>21</v>
      </c>
      <c r="K30" s="18" t="s">
        <v>62</v>
      </c>
      <c r="L30" s="1" t="str">
        <f>HYPERLINK("https://us.assetplanner.com/service_request?ID=77287","SR077287")</f>
        <v>SR077287</v>
      </c>
      <c r="M30" s="18" t="s">
        <v>23</v>
      </c>
    </row>
    <row r="31" spans="1:13">
      <c r="A31" s="18" t="s">
        <v>13</v>
      </c>
      <c r="B31" s="18" t="s">
        <v>14</v>
      </c>
      <c r="C31" s="18" t="s">
        <v>96</v>
      </c>
      <c r="D31" s="18" t="s">
        <v>97</v>
      </c>
      <c r="E31" s="19">
        <v>45177.527777777781</v>
      </c>
      <c r="F31" s="18" t="s">
        <v>98</v>
      </c>
      <c r="G31" s="18" t="s">
        <v>18</v>
      </c>
      <c r="H31" s="18" t="s">
        <v>19</v>
      </c>
      <c r="I31" s="18" t="s">
        <v>20</v>
      </c>
      <c r="J31" s="18" t="s">
        <v>21</v>
      </c>
      <c r="K31" s="18" t="s">
        <v>33</v>
      </c>
      <c r="L31" s="1" t="str">
        <f>HYPERLINK("https://us.assetplanner.com/service_request?ID=75876","SR075876")</f>
        <v>SR075876</v>
      </c>
      <c r="M31" s="18" t="s">
        <v>99</v>
      </c>
    </row>
    <row r="32" spans="1:13">
      <c r="A32" s="18" t="s">
        <v>13</v>
      </c>
      <c r="B32" s="18" t="s">
        <v>14</v>
      </c>
      <c r="C32" s="18" t="s">
        <v>100</v>
      </c>
      <c r="D32" s="18" t="s">
        <v>31</v>
      </c>
      <c r="E32" s="19">
        <v>45169.620138888888</v>
      </c>
      <c r="F32" s="18" t="s">
        <v>101</v>
      </c>
      <c r="G32" s="18" t="s">
        <v>18</v>
      </c>
      <c r="H32" s="18" t="s">
        <v>19</v>
      </c>
      <c r="I32" s="18" t="s">
        <v>20</v>
      </c>
      <c r="J32" s="18" t="s">
        <v>21</v>
      </c>
      <c r="K32" s="18" t="s">
        <v>33</v>
      </c>
      <c r="L32" s="1" t="str">
        <f>HYPERLINK("https://us.assetplanner.com/service_request?ID=75642","SR075642")</f>
        <v>SR075642</v>
      </c>
      <c r="M32" s="18" t="s">
        <v>23</v>
      </c>
    </row>
    <row r="33" spans="1:13">
      <c r="A33" s="18" t="s">
        <v>13</v>
      </c>
      <c r="B33" s="18" t="s">
        <v>14</v>
      </c>
      <c r="C33" s="18" t="s">
        <v>102</v>
      </c>
      <c r="D33" s="18" t="s">
        <v>103</v>
      </c>
      <c r="E33" s="19">
        <v>45147.531944444447</v>
      </c>
      <c r="F33" s="18" t="s">
        <v>104</v>
      </c>
      <c r="G33" s="18" t="s">
        <v>18</v>
      </c>
      <c r="H33" s="18" t="s">
        <v>19</v>
      </c>
      <c r="I33" s="18" t="s">
        <v>20</v>
      </c>
      <c r="J33" s="18" t="s">
        <v>21</v>
      </c>
      <c r="K33" s="18" t="s">
        <v>33</v>
      </c>
      <c r="L33" s="1" t="str">
        <f>HYPERLINK("https://us.assetplanner.com/service_request?ID=74887","SR074887")</f>
        <v>SR074887</v>
      </c>
      <c r="M33" s="18" t="s">
        <v>23</v>
      </c>
    </row>
    <row r="34" spans="1:13">
      <c r="A34" s="18" t="s">
        <v>13</v>
      </c>
      <c r="B34" s="18" t="s">
        <v>14</v>
      </c>
      <c r="C34" s="18" t="s">
        <v>105</v>
      </c>
      <c r="D34" s="18" t="s">
        <v>74</v>
      </c>
      <c r="E34" s="19">
        <v>45120.525694444441</v>
      </c>
      <c r="F34" s="18" t="s">
        <v>106</v>
      </c>
      <c r="G34" s="18" t="s">
        <v>18</v>
      </c>
      <c r="H34" s="18" t="s">
        <v>19</v>
      </c>
      <c r="I34" s="18" t="s">
        <v>20</v>
      </c>
      <c r="J34" s="18" t="s">
        <v>21</v>
      </c>
      <c r="K34" s="18" t="s">
        <v>62</v>
      </c>
      <c r="L34" s="1" t="str">
        <f>HYPERLINK("https://us.assetplanner.com/service_request?ID=73825","SR073825")</f>
        <v>SR073825</v>
      </c>
      <c r="M34" s="18" t="s">
        <v>23</v>
      </c>
    </row>
    <row r="35" spans="1:13">
      <c r="A35" s="18" t="s">
        <v>13</v>
      </c>
      <c r="B35" s="18" t="s">
        <v>14</v>
      </c>
      <c r="C35" s="18" t="s">
        <v>107</v>
      </c>
      <c r="D35" s="18" t="s">
        <v>85</v>
      </c>
      <c r="E35" s="19">
        <v>45118.582638888889</v>
      </c>
      <c r="F35" s="18" t="s">
        <v>108</v>
      </c>
      <c r="G35" s="18" t="s">
        <v>18</v>
      </c>
      <c r="H35" s="18" t="s">
        <v>19</v>
      </c>
      <c r="I35" s="18" t="s">
        <v>20</v>
      </c>
      <c r="J35" s="18" t="s">
        <v>21</v>
      </c>
      <c r="K35" s="18" t="s">
        <v>33</v>
      </c>
      <c r="L35" s="1" t="str">
        <f>HYPERLINK("https://us.assetplanner.com/service_request?ID=73743","SR073743")</f>
        <v>SR073743</v>
      </c>
      <c r="M35" s="18" t="s">
        <v>23</v>
      </c>
    </row>
    <row r="36" spans="1:13">
      <c r="A36" s="18" t="s">
        <v>13</v>
      </c>
      <c r="B36" s="18" t="s">
        <v>14</v>
      </c>
      <c r="C36" s="18" t="s">
        <v>109</v>
      </c>
      <c r="D36" s="18" t="s">
        <v>74</v>
      </c>
      <c r="E36" s="19">
        <v>45114.202777777777</v>
      </c>
      <c r="F36" s="18" t="s">
        <v>110</v>
      </c>
      <c r="G36" s="18" t="s">
        <v>18</v>
      </c>
      <c r="H36" s="18" t="s">
        <v>19</v>
      </c>
      <c r="I36" s="18" t="s">
        <v>20</v>
      </c>
      <c r="J36" s="18" t="s">
        <v>21</v>
      </c>
      <c r="K36" s="18" t="s">
        <v>33</v>
      </c>
      <c r="L36" s="1" t="str">
        <f>HYPERLINK("https://us.assetplanner.com/service_request?ID=73621","SR073621")</f>
        <v>SR073621</v>
      </c>
      <c r="M36" s="18" t="s">
        <v>23</v>
      </c>
    </row>
    <row r="37" spans="1:13">
      <c r="A37" s="18" t="s">
        <v>13</v>
      </c>
      <c r="B37" s="18" t="s">
        <v>14</v>
      </c>
      <c r="C37" s="18" t="s">
        <v>73</v>
      </c>
      <c r="D37" s="18" t="s">
        <v>103</v>
      </c>
      <c r="E37" s="19">
        <v>45068.599305555559</v>
      </c>
      <c r="F37" s="18" t="s">
        <v>111</v>
      </c>
      <c r="G37" s="18" t="s">
        <v>18</v>
      </c>
      <c r="H37" s="18" t="s">
        <v>19</v>
      </c>
      <c r="I37" s="18" t="s">
        <v>20</v>
      </c>
      <c r="J37" s="18" t="s">
        <v>21</v>
      </c>
      <c r="K37" s="18" t="s">
        <v>33</v>
      </c>
      <c r="L37" s="1" t="str">
        <f>HYPERLINK("https://us.assetplanner.com/service_request?ID=71782","SR071782")</f>
        <v>SR071782</v>
      </c>
      <c r="M37" s="18" t="s">
        <v>23</v>
      </c>
    </row>
    <row r="38" spans="1:13">
      <c r="A38" s="18" t="s">
        <v>13</v>
      </c>
      <c r="B38" s="18" t="s">
        <v>14</v>
      </c>
      <c r="C38" s="18" t="s">
        <v>112</v>
      </c>
      <c r="D38" s="18" t="s">
        <v>52</v>
      </c>
      <c r="E38" s="19">
        <v>45055.59097222222</v>
      </c>
      <c r="F38" s="18" t="s">
        <v>113</v>
      </c>
      <c r="G38" s="18" t="s">
        <v>18</v>
      </c>
      <c r="H38" s="18" t="s">
        <v>19</v>
      </c>
      <c r="I38" s="18" t="s">
        <v>20</v>
      </c>
      <c r="J38" s="18" t="s">
        <v>21</v>
      </c>
      <c r="K38" s="18" t="s">
        <v>33</v>
      </c>
      <c r="L38" s="1" t="str">
        <f>HYPERLINK("https://us.assetplanner.com/service_request?ID=71467","SR071467")</f>
        <v>SR071467</v>
      </c>
      <c r="M38" s="18" t="s">
        <v>23</v>
      </c>
    </row>
    <row r="39" spans="1:13" ht="23.25">
      <c r="A39" s="18" t="s">
        <v>13</v>
      </c>
      <c r="B39" s="18" t="s">
        <v>14</v>
      </c>
      <c r="C39" s="18" t="s">
        <v>114</v>
      </c>
      <c r="D39" s="18" t="s">
        <v>16</v>
      </c>
      <c r="E39" s="19">
        <v>45041.59652777778</v>
      </c>
      <c r="F39" s="20" t="s">
        <v>115</v>
      </c>
      <c r="G39" s="18" t="s">
        <v>18</v>
      </c>
      <c r="H39" s="18" t="s">
        <v>19</v>
      </c>
      <c r="I39" s="18" t="s">
        <v>20</v>
      </c>
      <c r="J39" s="18" t="s">
        <v>21</v>
      </c>
      <c r="K39" s="18" t="s">
        <v>33</v>
      </c>
      <c r="L39" s="1" t="str">
        <f>HYPERLINK("https://us.assetplanner.com/service_request?ID=71089","SR071089")</f>
        <v>SR071089</v>
      </c>
      <c r="M39" s="18" t="s">
        <v>20</v>
      </c>
    </row>
    <row r="40" spans="1:13">
      <c r="A40" s="18" t="s">
        <v>13</v>
      </c>
      <c r="B40" s="18" t="s">
        <v>14</v>
      </c>
      <c r="C40" s="18" t="s">
        <v>116</v>
      </c>
      <c r="D40" s="18" t="s">
        <v>103</v>
      </c>
      <c r="E40" s="19">
        <v>45037.523611111108</v>
      </c>
      <c r="F40" s="18" t="s">
        <v>117</v>
      </c>
      <c r="G40" s="18" t="s">
        <v>18</v>
      </c>
      <c r="H40" s="18" t="s">
        <v>19</v>
      </c>
      <c r="I40" s="18" t="s">
        <v>20</v>
      </c>
      <c r="J40" s="18" t="s">
        <v>21</v>
      </c>
      <c r="K40" s="18" t="s">
        <v>33</v>
      </c>
      <c r="L40" s="1" t="str">
        <f>HYPERLINK("https://us.assetplanner.com/service_request?ID=70992","SR070992")</f>
        <v>SR070992</v>
      </c>
      <c r="M40" s="18" t="s">
        <v>23</v>
      </c>
    </row>
    <row r="41" spans="1:13" ht="36.75" customHeight="1">
      <c r="A41" s="18" t="s">
        <v>13</v>
      </c>
      <c r="B41" s="18" t="s">
        <v>14</v>
      </c>
      <c r="C41" s="18" t="s">
        <v>118</v>
      </c>
      <c r="D41" s="18" t="s">
        <v>119</v>
      </c>
      <c r="E41" s="19">
        <v>44929.522916666669</v>
      </c>
      <c r="F41" s="20" t="s">
        <v>120</v>
      </c>
      <c r="G41" s="18" t="s">
        <v>18</v>
      </c>
      <c r="H41" s="18" t="s">
        <v>19</v>
      </c>
      <c r="I41" s="18" t="s">
        <v>20</v>
      </c>
      <c r="J41" s="18" t="s">
        <v>21</v>
      </c>
      <c r="K41" s="18" t="s">
        <v>33</v>
      </c>
      <c r="L41" s="1" t="str">
        <f>HYPERLINK("https://us.assetplanner.com/service_request?ID=68143","SR068143")</f>
        <v>SR068143</v>
      </c>
      <c r="M41" s="18" t="s">
        <v>23</v>
      </c>
    </row>
    <row r="42" spans="1:13">
      <c r="A42" s="18" t="s">
        <v>121</v>
      </c>
      <c r="B42" s="18" t="s">
        <v>20</v>
      </c>
      <c r="C42" s="18" t="s">
        <v>20</v>
      </c>
      <c r="D42" s="18" t="s">
        <v>20</v>
      </c>
      <c r="E42" s="18" t="s">
        <v>20</v>
      </c>
      <c r="F42" s="18" t="s">
        <v>20</v>
      </c>
      <c r="G42" s="18" t="s">
        <v>20</v>
      </c>
      <c r="H42" s="18" t="s">
        <v>20</v>
      </c>
      <c r="I42" s="18" t="s">
        <v>20</v>
      </c>
      <c r="J42" s="18" t="s">
        <v>20</v>
      </c>
      <c r="K42" s="18" t="s">
        <v>20</v>
      </c>
      <c r="L42" s="18"/>
      <c r="M42" s="18" t="s">
        <v>20</v>
      </c>
    </row>
  </sheetData>
  <pageMargins left="0.4" right="0.7" top="0.25" bottom="0.25" header="0.3" footer="0.3"/>
  <pageSetup fitToHeight="9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9614B-A35F-4F63-91CB-6F681C98EA06}">
  <dimension ref="A1:AG22"/>
  <sheetViews>
    <sheetView tabSelected="1" workbookViewId="0">
      <selection activeCell="B14" sqref="B14"/>
    </sheetView>
  </sheetViews>
  <sheetFormatPr defaultRowHeight="13.15"/>
  <cols>
    <col min="1" max="1" width="54" customWidth="1"/>
    <col min="2" max="2" width="32" customWidth="1"/>
    <col min="3" max="3" width="15.5703125" customWidth="1"/>
    <col min="4" max="5" width="13.7109375" customWidth="1"/>
    <col min="6" max="6" width="16.42578125" customWidth="1"/>
    <col min="7" max="7" width="19.140625" customWidth="1"/>
    <col min="8" max="9" width="17.7109375" customWidth="1"/>
    <col min="10" max="10" width="10.28515625" customWidth="1"/>
    <col min="11" max="11" width="13" customWidth="1"/>
    <col min="12" max="13" width="10.28515625" customWidth="1"/>
    <col min="14" max="14" width="13" customWidth="1"/>
    <col min="15" max="16" width="10.28515625" customWidth="1"/>
    <col min="17" max="17" width="13" customWidth="1"/>
    <col min="18" max="19" width="10.28515625" customWidth="1"/>
    <col min="20" max="20" width="13" customWidth="1"/>
    <col min="21" max="25" width="2.85546875" customWidth="1"/>
    <col min="29" max="32" width="2.85546875" customWidth="1"/>
    <col min="33" max="33" width="32.85546875" customWidth="1"/>
  </cols>
  <sheetData>
    <row r="1" spans="1:3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21">
      <c r="A2" s="3" t="s">
        <v>122</v>
      </c>
    </row>
    <row r="3" spans="1:33" ht="13.9">
      <c r="A3" s="4" t="s">
        <v>123</v>
      </c>
      <c r="B3" s="5" t="s">
        <v>124</v>
      </c>
    </row>
    <row r="4" spans="1:33" ht="13.9">
      <c r="A4" s="4" t="s">
        <v>125</v>
      </c>
      <c r="B4" s="6" t="s">
        <v>126</v>
      </c>
    </row>
    <row r="5" spans="1:33" ht="13.9">
      <c r="A5" s="4" t="s">
        <v>127</v>
      </c>
      <c r="B5" s="5" t="s">
        <v>128</v>
      </c>
    </row>
    <row r="6" spans="1:33" ht="13.9">
      <c r="A6" s="4" t="s">
        <v>129</v>
      </c>
      <c r="B6" s="7">
        <v>11</v>
      </c>
    </row>
    <row r="7" spans="1:33" ht="13.9">
      <c r="A7" s="4" t="s">
        <v>130</v>
      </c>
      <c r="B7" s="5" t="s">
        <v>131</v>
      </c>
    </row>
    <row r="8" spans="1:33">
      <c r="A8" s="8"/>
    </row>
    <row r="9" spans="1:33" ht="15.6">
      <c r="A9" s="21" t="s">
        <v>132</v>
      </c>
      <c r="B9" s="22"/>
      <c r="C9" s="22"/>
      <c r="D9" s="22"/>
      <c r="E9" s="22"/>
      <c r="F9" s="22"/>
      <c r="G9" s="23"/>
      <c r="H9" s="9" t="s">
        <v>133</v>
      </c>
      <c r="I9" s="21" t="s">
        <v>134</v>
      </c>
      <c r="J9" s="22"/>
      <c r="K9" s="23"/>
      <c r="L9" s="21" t="s">
        <v>135</v>
      </c>
      <c r="M9" s="22"/>
      <c r="N9" s="23"/>
      <c r="O9" s="21" t="s">
        <v>136</v>
      </c>
      <c r="P9" s="22"/>
      <c r="Q9" s="23"/>
      <c r="R9" s="21" t="s">
        <v>137</v>
      </c>
      <c r="S9" s="22"/>
      <c r="T9" s="23"/>
    </row>
    <row r="10" spans="1:33" ht="13.9">
      <c r="A10" s="10" t="s">
        <v>138</v>
      </c>
      <c r="B10" s="10" t="s">
        <v>139</v>
      </c>
      <c r="C10" s="10" t="s">
        <v>140</v>
      </c>
      <c r="D10" s="10" t="s">
        <v>141</v>
      </c>
      <c r="E10" s="10" t="s">
        <v>142</v>
      </c>
      <c r="F10" s="10" t="s">
        <v>143</v>
      </c>
      <c r="G10" s="10" t="s">
        <v>144</v>
      </c>
      <c r="H10" s="10" t="s">
        <v>145</v>
      </c>
      <c r="I10" s="10" t="s">
        <v>146</v>
      </c>
      <c r="J10" s="10" t="s">
        <v>147</v>
      </c>
      <c r="K10" s="10" t="s">
        <v>148</v>
      </c>
      <c r="L10" s="10" t="s">
        <v>146</v>
      </c>
      <c r="M10" s="10" t="s">
        <v>147</v>
      </c>
      <c r="N10" s="10" t="s">
        <v>148</v>
      </c>
      <c r="O10" s="10" t="s">
        <v>146</v>
      </c>
      <c r="P10" s="10" t="s">
        <v>147</v>
      </c>
      <c r="Q10" s="10" t="s">
        <v>148</v>
      </c>
      <c r="R10" s="10" t="s">
        <v>146</v>
      </c>
      <c r="S10" s="10" t="s">
        <v>147</v>
      </c>
      <c r="T10" s="10" t="s">
        <v>148</v>
      </c>
    </row>
    <row r="11" spans="1:33" ht="13.9">
      <c r="A11" s="11">
        <v>1</v>
      </c>
      <c r="B11" s="12" t="s">
        <v>149</v>
      </c>
      <c r="C11" s="11" t="s">
        <v>150</v>
      </c>
      <c r="D11" s="11" t="s">
        <v>151</v>
      </c>
      <c r="E11" s="11" t="s">
        <v>152</v>
      </c>
      <c r="F11" s="11" t="s">
        <v>153</v>
      </c>
      <c r="G11" s="11">
        <v>69.254999999999995</v>
      </c>
      <c r="H11" s="13" t="s">
        <v>52</v>
      </c>
      <c r="I11" s="11">
        <v>0</v>
      </c>
      <c r="J11" s="11">
        <v>0</v>
      </c>
      <c r="K11" s="13"/>
      <c r="L11" s="11">
        <v>0</v>
      </c>
      <c r="M11" s="11">
        <v>0</v>
      </c>
      <c r="N11" s="13"/>
      <c r="O11" s="11">
        <v>1696.1</v>
      </c>
      <c r="P11" s="11">
        <v>24.5</v>
      </c>
      <c r="Q11" s="13"/>
      <c r="R11" s="11">
        <v>48555.4</v>
      </c>
      <c r="S11" s="11">
        <v>701.1</v>
      </c>
      <c r="T11" s="13"/>
    </row>
    <row r="12" spans="1:33" ht="13.9">
      <c r="A12" s="11">
        <v>2</v>
      </c>
      <c r="B12" s="12" t="s">
        <v>154</v>
      </c>
      <c r="C12" s="11" t="s">
        <v>150</v>
      </c>
      <c r="D12" s="11" t="s">
        <v>151</v>
      </c>
      <c r="E12" s="11" t="s">
        <v>152</v>
      </c>
      <c r="F12" s="11" t="s">
        <v>155</v>
      </c>
      <c r="G12" s="11">
        <v>152.42500000000001</v>
      </c>
      <c r="H12" s="13" t="s">
        <v>156</v>
      </c>
      <c r="I12" s="11">
        <v>9513.1</v>
      </c>
      <c r="J12" s="11">
        <v>62.4</v>
      </c>
      <c r="K12" s="13"/>
      <c r="L12" s="11">
        <v>7790.3</v>
      </c>
      <c r="M12" s="11">
        <v>51.1</v>
      </c>
      <c r="N12" s="13"/>
      <c r="O12" s="11">
        <v>6039.8</v>
      </c>
      <c r="P12" s="11">
        <v>39.6</v>
      </c>
      <c r="Q12" s="13"/>
      <c r="R12" s="11">
        <v>173790.6</v>
      </c>
      <c r="S12" s="11">
        <v>1140.2</v>
      </c>
      <c r="T12" s="13"/>
    </row>
    <row r="13" spans="1:33" ht="13.9">
      <c r="A13" s="11">
        <v>3</v>
      </c>
      <c r="B13" s="12" t="s">
        <v>157</v>
      </c>
      <c r="C13" s="11" t="s">
        <v>150</v>
      </c>
      <c r="D13" s="11" t="s">
        <v>151</v>
      </c>
      <c r="E13" s="11" t="s">
        <v>152</v>
      </c>
      <c r="F13" s="11" t="s">
        <v>158</v>
      </c>
      <c r="G13" s="11">
        <v>572.32500000000005</v>
      </c>
      <c r="H13" s="13" t="s">
        <v>74</v>
      </c>
      <c r="I13" s="11">
        <v>36204.9</v>
      </c>
      <c r="J13" s="11">
        <v>63.3</v>
      </c>
      <c r="K13" s="13"/>
      <c r="L13" s="11">
        <v>30816.2</v>
      </c>
      <c r="M13" s="11">
        <v>53.8</v>
      </c>
      <c r="N13" s="13"/>
      <c r="O13" s="11">
        <v>25545.200000000001</v>
      </c>
      <c r="P13" s="11">
        <v>44.6</v>
      </c>
      <c r="Q13" s="13"/>
      <c r="R13" s="11">
        <v>641752.9</v>
      </c>
      <c r="S13" s="11">
        <v>1121.3</v>
      </c>
      <c r="T13" s="13"/>
    </row>
    <row r="14" spans="1:33" ht="13.9">
      <c r="A14" s="11">
        <v>4</v>
      </c>
      <c r="B14" s="12" t="s">
        <v>159</v>
      </c>
      <c r="C14" s="11" t="s">
        <v>150</v>
      </c>
      <c r="D14" s="11" t="s">
        <v>151</v>
      </c>
      <c r="E14" s="11" t="s">
        <v>152</v>
      </c>
      <c r="F14" s="11" t="s">
        <v>160</v>
      </c>
      <c r="G14" s="11">
        <v>49.4</v>
      </c>
      <c r="H14" s="13" t="s">
        <v>161</v>
      </c>
      <c r="I14" s="11">
        <v>3276.6</v>
      </c>
      <c r="J14" s="11">
        <v>66.3</v>
      </c>
      <c r="K14" s="13"/>
      <c r="L14" s="11">
        <v>2796.8</v>
      </c>
      <c r="M14" s="11">
        <v>56.6</v>
      </c>
      <c r="N14" s="13"/>
      <c r="O14" s="11">
        <v>2203.4</v>
      </c>
      <c r="P14" s="11">
        <v>44.6</v>
      </c>
      <c r="Q14" s="13"/>
      <c r="R14" s="11">
        <v>59359.199999999997</v>
      </c>
      <c r="S14" s="11">
        <v>1201.5999999999999</v>
      </c>
      <c r="T14" s="13"/>
    </row>
    <row r="15" spans="1:33" ht="13.9">
      <c r="A15" s="11">
        <v>5</v>
      </c>
      <c r="B15" s="12" t="s">
        <v>162</v>
      </c>
      <c r="C15" s="11" t="s">
        <v>150</v>
      </c>
      <c r="D15" s="11" t="s">
        <v>151</v>
      </c>
      <c r="E15" s="11" t="s">
        <v>152</v>
      </c>
      <c r="F15" s="11" t="s">
        <v>163</v>
      </c>
      <c r="G15" s="11">
        <v>64.349999999999994</v>
      </c>
      <c r="H15" s="13" t="s">
        <v>161</v>
      </c>
      <c r="I15" s="11">
        <v>3551.4</v>
      </c>
      <c r="J15" s="11">
        <v>55.2</v>
      </c>
      <c r="K15" s="13"/>
      <c r="L15" s="11">
        <v>3134.4</v>
      </c>
      <c r="M15" s="11">
        <v>48.7</v>
      </c>
      <c r="N15" s="13"/>
      <c r="O15" s="11">
        <v>2028.7</v>
      </c>
      <c r="P15" s="11">
        <v>31.5</v>
      </c>
      <c r="Q15" s="13"/>
      <c r="R15" s="11">
        <v>62554.3</v>
      </c>
      <c r="S15" s="11">
        <v>972.1</v>
      </c>
      <c r="T15" s="13"/>
    </row>
    <row r="16" spans="1:33" ht="13.9">
      <c r="A16" s="11">
        <v>6</v>
      </c>
      <c r="B16" s="12" t="s">
        <v>164</v>
      </c>
      <c r="C16" s="11" t="s">
        <v>150</v>
      </c>
      <c r="D16" s="11" t="s">
        <v>151</v>
      </c>
      <c r="E16" s="11" t="s">
        <v>152</v>
      </c>
      <c r="F16" s="11" t="s">
        <v>160</v>
      </c>
      <c r="G16" s="11">
        <v>88.4</v>
      </c>
      <c r="H16" s="13" t="s">
        <v>161</v>
      </c>
      <c r="I16" s="11">
        <v>4324.6000000000004</v>
      </c>
      <c r="J16" s="11">
        <v>48.9</v>
      </c>
      <c r="K16" s="13"/>
      <c r="L16" s="11">
        <v>3758.7</v>
      </c>
      <c r="M16" s="11">
        <v>42.5</v>
      </c>
      <c r="N16" s="13"/>
      <c r="O16" s="11">
        <v>3359.2</v>
      </c>
      <c r="P16" s="11">
        <v>38</v>
      </c>
      <c r="Q16" s="13"/>
      <c r="R16" s="11">
        <v>93765.4</v>
      </c>
      <c r="S16" s="11">
        <v>1060.7</v>
      </c>
      <c r="T16" s="13"/>
    </row>
    <row r="17" spans="1:20" ht="13.9">
      <c r="A17" s="11">
        <v>7</v>
      </c>
      <c r="B17" s="12" t="s">
        <v>165</v>
      </c>
      <c r="C17" s="11" t="s">
        <v>150</v>
      </c>
      <c r="D17" s="11" t="s">
        <v>151</v>
      </c>
      <c r="E17" s="11" t="s">
        <v>152</v>
      </c>
      <c r="F17" s="11" t="s">
        <v>166</v>
      </c>
      <c r="G17" s="11">
        <v>117</v>
      </c>
      <c r="H17" s="13" t="s">
        <v>161</v>
      </c>
      <c r="I17" s="11">
        <v>7457.8</v>
      </c>
      <c r="J17" s="11">
        <v>63.7</v>
      </c>
      <c r="K17" s="13"/>
      <c r="L17" s="11">
        <v>6640.3</v>
      </c>
      <c r="M17" s="11">
        <v>56.8</v>
      </c>
      <c r="N17" s="13"/>
      <c r="O17" s="11">
        <v>5219</v>
      </c>
      <c r="P17" s="11">
        <v>44.6</v>
      </c>
      <c r="Q17" s="13"/>
      <c r="R17" s="11">
        <v>137971.1</v>
      </c>
      <c r="S17" s="11">
        <v>1179.2</v>
      </c>
      <c r="T17" s="13"/>
    </row>
    <row r="18" spans="1:20" ht="13.9">
      <c r="A18" s="11">
        <v>8</v>
      </c>
      <c r="B18" s="12" t="s">
        <v>167</v>
      </c>
      <c r="C18" s="11" t="s">
        <v>150</v>
      </c>
      <c r="D18" s="11" t="s">
        <v>151</v>
      </c>
      <c r="E18" s="11" t="s">
        <v>152</v>
      </c>
      <c r="F18" s="11" t="s">
        <v>168</v>
      </c>
      <c r="G18" s="11">
        <v>468.65</v>
      </c>
      <c r="H18" s="13" t="s">
        <v>156</v>
      </c>
      <c r="I18" s="11">
        <v>26661.200000000001</v>
      </c>
      <c r="J18" s="11">
        <v>56.9</v>
      </c>
      <c r="K18" s="13"/>
      <c r="L18" s="11">
        <v>22282</v>
      </c>
      <c r="M18" s="11">
        <v>47.5</v>
      </c>
      <c r="N18" s="13"/>
      <c r="O18" s="11">
        <v>18137.8</v>
      </c>
      <c r="P18" s="11">
        <v>38.700000000000003</v>
      </c>
      <c r="Q18" s="13"/>
      <c r="R18" s="11">
        <v>446451.6</v>
      </c>
      <c r="S18" s="11">
        <v>952.6</v>
      </c>
      <c r="T18" s="13"/>
    </row>
    <row r="19" spans="1:20" ht="13.9">
      <c r="A19" s="11">
        <v>9</v>
      </c>
      <c r="B19" s="12" t="s">
        <v>169</v>
      </c>
      <c r="C19" s="11" t="s">
        <v>150</v>
      </c>
      <c r="D19" s="11" t="s">
        <v>151</v>
      </c>
      <c r="E19" s="11" t="s">
        <v>152</v>
      </c>
      <c r="F19" s="11" t="s">
        <v>170</v>
      </c>
      <c r="G19" s="11">
        <v>169</v>
      </c>
      <c r="H19" s="13" t="s">
        <v>156</v>
      </c>
      <c r="I19" s="11">
        <v>12458.6</v>
      </c>
      <c r="J19" s="11">
        <v>73.7</v>
      </c>
      <c r="K19" s="13"/>
      <c r="L19" s="11">
        <v>10566.3</v>
      </c>
      <c r="M19" s="11">
        <v>62.5</v>
      </c>
      <c r="N19" s="13"/>
      <c r="O19" s="11">
        <v>7506.2</v>
      </c>
      <c r="P19" s="11">
        <v>44.4</v>
      </c>
      <c r="Q19" s="13"/>
      <c r="R19" s="11">
        <v>155001.9</v>
      </c>
      <c r="S19" s="11">
        <v>917.2</v>
      </c>
      <c r="T19" s="13"/>
    </row>
    <row r="20" spans="1:20" ht="13.9">
      <c r="A20" s="11">
        <v>10</v>
      </c>
      <c r="B20" s="12" t="s">
        <v>171</v>
      </c>
      <c r="C20" s="11" t="s">
        <v>150</v>
      </c>
      <c r="D20" s="11" t="s">
        <v>151</v>
      </c>
      <c r="E20" s="11" t="s">
        <v>152</v>
      </c>
      <c r="F20" s="11" t="s">
        <v>172</v>
      </c>
      <c r="G20" s="11">
        <v>443.625</v>
      </c>
      <c r="H20" s="13" t="s">
        <v>52</v>
      </c>
      <c r="I20" s="11">
        <v>22094.6</v>
      </c>
      <c r="J20" s="11">
        <v>49.8</v>
      </c>
      <c r="K20" s="13"/>
      <c r="L20" s="11">
        <v>18286.5</v>
      </c>
      <c r="M20" s="11">
        <v>41.2</v>
      </c>
      <c r="N20" s="13"/>
      <c r="O20" s="11">
        <v>17478.7</v>
      </c>
      <c r="P20" s="11">
        <v>39.4</v>
      </c>
      <c r="Q20" s="13"/>
      <c r="R20" s="11">
        <v>384604.4</v>
      </c>
      <c r="S20" s="11">
        <v>867</v>
      </c>
      <c r="T20" s="13"/>
    </row>
    <row r="21" spans="1:20" ht="13.9">
      <c r="A21" s="11">
        <v>11</v>
      </c>
      <c r="B21" s="12" t="s">
        <v>173</v>
      </c>
      <c r="C21" s="11" t="s">
        <v>150</v>
      </c>
      <c r="D21" s="11" t="s">
        <v>151</v>
      </c>
      <c r="E21" s="11" t="s">
        <v>152</v>
      </c>
      <c r="F21" s="11" t="s">
        <v>155</v>
      </c>
      <c r="G21" s="11">
        <v>267.8</v>
      </c>
      <c r="H21" s="13" t="s">
        <v>156</v>
      </c>
      <c r="I21" s="11">
        <v>11072.9</v>
      </c>
      <c r="J21" s="11">
        <v>41.3</v>
      </c>
      <c r="K21" s="13"/>
      <c r="L21" s="11">
        <v>10051.1</v>
      </c>
      <c r="M21" s="11">
        <v>37.5</v>
      </c>
      <c r="N21" s="13"/>
      <c r="O21" s="11">
        <v>9711.2999999999993</v>
      </c>
      <c r="P21" s="11">
        <v>36.299999999999997</v>
      </c>
      <c r="Q21" s="13"/>
      <c r="R21" s="11">
        <v>265563.40000000002</v>
      </c>
      <c r="S21" s="11">
        <v>991.6</v>
      </c>
      <c r="T21" s="13"/>
    </row>
    <row r="22" spans="1:20" ht="13.9">
      <c r="A22" s="14" t="s">
        <v>121</v>
      </c>
      <c r="B22" s="15"/>
      <c r="C22" s="15"/>
      <c r="D22" s="15"/>
      <c r="E22" s="15"/>
      <c r="F22" s="15"/>
      <c r="G22" s="16">
        <v>2462.23</v>
      </c>
      <c r="H22" s="15"/>
      <c r="I22" s="14">
        <v>136615.70000000001</v>
      </c>
      <c r="J22" s="15"/>
      <c r="K22" s="15"/>
      <c r="L22" s="14">
        <v>116122.6</v>
      </c>
      <c r="M22" s="15"/>
      <c r="N22" s="15"/>
      <c r="O22" s="14">
        <v>98925.4</v>
      </c>
      <c r="P22" s="15"/>
      <c r="Q22" s="15"/>
      <c r="R22" s="14">
        <v>2469370.2000000002</v>
      </c>
      <c r="S22" s="15"/>
      <c r="T22" s="15"/>
    </row>
  </sheetData>
  <mergeCells count="5">
    <mergeCell ref="A9:G9"/>
    <mergeCell ref="I9:K9"/>
    <mergeCell ref="L9:N9"/>
    <mergeCell ref="O9:Q9"/>
    <mergeCell ref="R9:T9"/>
  </mergeCells>
  <hyperlinks>
    <hyperlink ref="B11" r:id="rId1" location="/dashboard" xr:uid="{42116292-1D40-4751-AA7F-A501C3433378}"/>
    <hyperlink ref="B12" r:id="rId2" location="/dashboard" xr:uid="{B37C4609-268F-4799-8C33-B9467FABB1E5}"/>
    <hyperlink ref="B13" r:id="rId3" location="/dashboard" xr:uid="{A3B523C5-5CFF-4EDB-8E3E-B43ABF1F640E}"/>
    <hyperlink ref="B14" r:id="rId4" location="/dashboard" xr:uid="{99C8C772-3374-479E-9F4E-620F8510C888}"/>
    <hyperlink ref="B15" r:id="rId5" location="/dashboard" xr:uid="{C3C43070-1239-402F-A60A-BDE23E549980}"/>
    <hyperlink ref="B16" r:id="rId6" location="/dashboard" xr:uid="{82FD9F4D-FE32-4CAD-AB2A-5D052512AA89}"/>
    <hyperlink ref="B17" r:id="rId7" location="/dashboard" xr:uid="{E9BBBE5A-E459-405A-AC7D-D82A16BEA899}"/>
    <hyperlink ref="B18" r:id="rId8" location="/dashboard" xr:uid="{AAF141B1-A175-4AA8-B8A2-8661FE6D8682}"/>
    <hyperlink ref="B19" r:id="rId9" location="/dashboard" xr:uid="{BE6FA0FD-D230-4773-B1C3-290CDB90FBD5}"/>
    <hyperlink ref="B20" r:id="rId10" location="/dashboard" xr:uid="{D11A21F6-24D7-4873-94B0-BDDD15C53E5C}"/>
    <hyperlink ref="B21" r:id="rId11" location="/dashboard" xr:uid="{A3539F77-639A-4501-904A-2DB3E941FF96}"/>
  </hyperlinks>
  <pageMargins left="0.7" right="0.7" top="0.75" bottom="0.75" header="0.3" footer="0.3"/>
  <drawing r:id="rId1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9B64A8-9A8F-4C57-912C-484A9640D3BB}"/>
</file>

<file path=customXml/itemProps2.xml><?xml version="1.0" encoding="utf-8"?>
<ds:datastoreItem xmlns:ds="http://schemas.openxmlformats.org/officeDocument/2006/customXml" ds:itemID="{737D55BA-AFF7-43ED-843E-3010D6FE2B87}"/>
</file>

<file path=customXml/itemProps3.xml><?xml version="1.0" encoding="utf-8"?>
<ds:datastoreItem xmlns:ds="http://schemas.openxmlformats.org/officeDocument/2006/customXml" ds:itemID="{07F15F1C-3C40-4BF2-BF1C-C4B87158A6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Deepak Mogilipalem[Libsys]</cp:lastModifiedBy>
  <cp:revision/>
  <dcterms:created xsi:type="dcterms:W3CDTF">2025-02-08T05:56:38Z</dcterms:created>
  <dcterms:modified xsi:type="dcterms:W3CDTF">2025-02-26T09:38:46Z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2025-02-19T15:09:57Z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2819b5d1-39d7-432c-bcb9-23dabd2bbb00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