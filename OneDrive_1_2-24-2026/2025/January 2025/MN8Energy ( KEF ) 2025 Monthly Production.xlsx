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ervice request file\"/>
    </mc:Choice>
  </mc:AlternateContent>
  <xr:revisionPtr revIDLastSave="3" documentId="13_ncr:1_{B05B0F08-A499-4BC0-B418-D21437545DF2}" xr6:coauthVersionLast="47" xr6:coauthVersionMax="47" xr10:uidLastSave="{232CCF68-D4E4-4C17-ABDB-BA2BA1A570EC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8" l="1"/>
  <c r="C17" i="18"/>
  <c r="C18" i="18"/>
  <c r="C19" i="18"/>
  <c r="C20" i="18"/>
  <c r="H18" i="33"/>
  <c r="I18" i="33" s="1"/>
  <c r="H19" i="33"/>
  <c r="I19" i="33" s="1"/>
  <c r="H20" i="33"/>
  <c r="I20" i="33" s="1"/>
  <c r="F7" i="33"/>
  <c r="F8" i="33"/>
  <c r="F10" i="33"/>
  <c r="F14" i="33"/>
  <c r="E5" i="33"/>
  <c r="F5" i="33" s="1"/>
  <c r="E6" i="33"/>
  <c r="F6" i="33" s="1"/>
  <c r="E7" i="33"/>
  <c r="E8" i="33"/>
  <c r="E9" i="33"/>
  <c r="F9" i="33" s="1"/>
  <c r="E10" i="33"/>
  <c r="E11" i="33"/>
  <c r="F11" i="33" s="1"/>
  <c r="E12" i="33"/>
  <c r="F12" i="33" s="1"/>
  <c r="E13" i="33"/>
  <c r="F13" i="33" s="1"/>
  <c r="E14" i="33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5" i="30"/>
  <c r="G4" i="30"/>
  <c r="H18" i="32"/>
  <c r="I18" i="32" s="1"/>
  <c r="H19" i="32"/>
  <c r="I19" i="32" s="1"/>
  <c r="H20" i="32"/>
  <c r="I20" i="32" s="1"/>
  <c r="E18" i="32"/>
  <c r="E19" i="32"/>
  <c r="E20" i="32"/>
  <c r="F20" i="32" s="1"/>
  <c r="F18" i="32"/>
  <c r="F19" i="32"/>
  <c r="H18" i="31"/>
  <c r="I18" i="31" s="1"/>
  <c r="H19" i="31"/>
  <c r="I19" i="31" s="1"/>
  <c r="H20" i="31"/>
  <c r="I20" i="31" s="1"/>
  <c r="F18" i="31"/>
  <c r="F21" i="31"/>
  <c r="E18" i="31"/>
  <c r="E19" i="31"/>
  <c r="F19" i="31" s="1"/>
  <c r="E20" i="31"/>
  <c r="F20" i="31" s="1"/>
  <c r="H18" i="28"/>
  <c r="I18" i="28" s="1"/>
  <c r="H19" i="28"/>
  <c r="I19" i="28" s="1"/>
  <c r="H20" i="28"/>
  <c r="I20" i="28" s="1"/>
  <c r="E18" i="28"/>
  <c r="F18" i="28" s="1"/>
  <c r="E19" i="28"/>
  <c r="F19" i="28" s="1"/>
  <c r="E20" i="28"/>
  <c r="F20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H18" i="26"/>
  <c r="I18" i="26" s="1"/>
  <c r="H19" i="26"/>
  <c r="I19" i="26" s="1"/>
  <c r="H20" i="26"/>
  <c r="I20" i="26" s="1"/>
  <c r="E18" i="26"/>
  <c r="F18" i="26" s="1"/>
  <c r="E19" i="26"/>
  <c r="F19" i="26" s="1"/>
  <c r="E20" i="26"/>
  <c r="F20" i="26" s="1"/>
  <c r="H17" i="19"/>
  <c r="I17" i="19" s="1"/>
  <c r="H18" i="19"/>
  <c r="I18" i="19" s="1"/>
  <c r="H19" i="19"/>
  <c r="I19" i="19" s="1"/>
  <c r="H20" i="19"/>
  <c r="I20" i="19" s="1"/>
  <c r="E16" i="19"/>
  <c r="E17" i="19"/>
  <c r="E18" i="19"/>
  <c r="F18" i="19" s="1"/>
  <c r="E19" i="19"/>
  <c r="F19" i="19" s="1"/>
  <c r="E20" i="19"/>
  <c r="F20" i="19" s="1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 s="1"/>
  <c r="E20" i="20"/>
  <c r="F20" i="20" s="1"/>
  <c r="G5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9" i="3"/>
  <c r="H18" i="3"/>
  <c r="I18" i="3" s="1"/>
  <c r="H19" i="3"/>
  <c r="H20" i="3"/>
  <c r="I20" i="3" s="1"/>
  <c r="E18" i="3"/>
  <c r="F18" i="3" s="1"/>
  <c r="E19" i="3"/>
  <c r="F19" i="3" s="1"/>
  <c r="E20" i="3"/>
  <c r="F20" i="3" s="1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D16" i="18"/>
  <c r="D17" i="18"/>
  <c r="D18" i="18"/>
  <c r="D19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D18" i="1"/>
  <c r="D18" i="34" s="1"/>
  <c r="G18" i="1"/>
  <c r="G18" i="34" s="1"/>
  <c r="C19" i="1"/>
  <c r="D19" i="1"/>
  <c r="G19" i="1"/>
  <c r="G19" i="34" s="1"/>
  <c r="C20" i="1"/>
  <c r="D20" i="1"/>
  <c r="G20" i="1"/>
  <c r="C18" i="30"/>
  <c r="D18" i="30"/>
  <c r="H18" i="30"/>
  <c r="C19" i="30"/>
  <c r="D19" i="30"/>
  <c r="H19" i="30"/>
  <c r="C20" i="30"/>
  <c r="D20" i="30"/>
  <c r="H20" i="30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C17" i="30"/>
  <c r="D17" i="30"/>
  <c r="C16" i="29"/>
  <c r="D16" i="29"/>
  <c r="C17" i="29"/>
  <c r="D17" i="29"/>
  <c r="E16" i="18"/>
  <c r="F16" i="18" s="1"/>
  <c r="C16" i="1"/>
  <c r="D16" i="1"/>
  <c r="G16" i="1"/>
  <c r="G16" i="34" s="1"/>
  <c r="C17" i="1"/>
  <c r="D17" i="1"/>
  <c r="G17" i="1"/>
  <c r="G17" i="34" s="1"/>
  <c r="H17" i="33"/>
  <c r="I17" i="33" s="1"/>
  <c r="H16" i="33"/>
  <c r="I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E11" i="30" s="1"/>
  <c r="F11" i="30" s="1"/>
  <c r="D10" i="30"/>
  <c r="C10" i="30"/>
  <c r="D9" i="30"/>
  <c r="C9" i="30"/>
  <c r="E9" i="30" s="1"/>
  <c r="F9" i="30" s="1"/>
  <c r="D8" i="30"/>
  <c r="C8" i="30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6" i="34" s="1"/>
  <c r="D7" i="1"/>
  <c r="D7" i="34" s="1"/>
  <c r="D8" i="1"/>
  <c r="D9" i="1"/>
  <c r="D10" i="1"/>
  <c r="D10" i="34" s="1"/>
  <c r="D11" i="1"/>
  <c r="D11" i="34" s="1"/>
  <c r="D12" i="1"/>
  <c r="D13" i="1"/>
  <c r="D13" i="34" s="1"/>
  <c r="D14" i="1"/>
  <c r="D14" i="34" s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12" i="34" l="1"/>
  <c r="D19" i="34"/>
  <c r="C19" i="34"/>
  <c r="D8" i="34"/>
  <c r="D16" i="34"/>
  <c r="D17" i="34"/>
  <c r="E18" i="34"/>
  <c r="F18" i="34" s="1"/>
  <c r="D9" i="34"/>
  <c r="D20" i="34"/>
  <c r="D5" i="34"/>
  <c r="E16" i="30"/>
  <c r="F16" i="30" s="1"/>
  <c r="D15" i="34"/>
  <c r="I20" i="30"/>
  <c r="H20" i="34"/>
  <c r="I19" i="30"/>
  <c r="H19" i="34"/>
  <c r="I19" i="34" s="1"/>
  <c r="I18" i="30"/>
  <c r="H18" i="34"/>
  <c r="I18" i="34" s="1"/>
  <c r="C10" i="34"/>
  <c r="E17" i="30"/>
  <c r="F17" i="30" s="1"/>
  <c r="E15" i="30"/>
  <c r="F15" i="30" s="1"/>
  <c r="E13" i="30"/>
  <c r="F13" i="30" s="1"/>
  <c r="C9" i="34"/>
  <c r="C8" i="34"/>
  <c r="E8" i="34" s="1"/>
  <c r="F8" i="34" s="1"/>
  <c r="D4" i="34"/>
  <c r="C20" i="34"/>
  <c r="C17" i="34"/>
  <c r="C16" i="34"/>
  <c r="C11" i="34"/>
  <c r="E11" i="34" s="1"/>
  <c r="F11" i="34" s="1"/>
  <c r="E8" i="30"/>
  <c r="F8" i="30" s="1"/>
  <c r="C5" i="34"/>
  <c r="E17" i="29"/>
  <c r="F17" i="29" s="1"/>
  <c r="H15" i="29"/>
  <c r="I15" i="29" s="1"/>
  <c r="H13" i="29"/>
  <c r="I13" i="29" s="1"/>
  <c r="H12" i="29"/>
  <c r="I12" i="29" s="1"/>
  <c r="H9" i="29"/>
  <c r="I9" i="29" s="1"/>
  <c r="H7" i="29"/>
  <c r="I7" i="29" s="1"/>
  <c r="H6" i="29"/>
  <c r="I6" i="29" s="1"/>
  <c r="E16" i="29"/>
  <c r="F16" i="29" s="1"/>
  <c r="E14" i="29"/>
  <c r="F14" i="29" s="1"/>
  <c r="E10" i="29"/>
  <c r="F10" i="29" s="1"/>
  <c r="C6" i="34"/>
  <c r="E6" i="34" s="1"/>
  <c r="F6" i="34" s="1"/>
  <c r="C15" i="34"/>
  <c r="C14" i="34"/>
  <c r="E14" i="34" s="1"/>
  <c r="F14" i="34" s="1"/>
  <c r="C13" i="34"/>
  <c r="E13" i="34" s="1"/>
  <c r="F13" i="34" s="1"/>
  <c r="C12" i="34"/>
  <c r="C7" i="34"/>
  <c r="E7" i="34" s="1"/>
  <c r="F7" i="34" s="1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H16" i="18"/>
  <c r="I16" i="18" s="1"/>
  <c r="H16" i="30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I19" i="72"/>
  <c r="I18" i="72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7" i="1"/>
  <c r="F17" i="1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10" i="34"/>
  <c r="F10" i="34" s="1"/>
  <c r="E6" i="1"/>
  <c r="F6" i="1" s="1"/>
  <c r="E14" i="1"/>
  <c r="F14" i="1" s="1"/>
  <c r="H14" i="30"/>
  <c r="H9" i="30"/>
  <c r="H4" i="30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9" i="34" l="1"/>
  <c r="F9" i="34" s="1"/>
  <c r="E12" i="34"/>
  <c r="F12" i="34" s="1"/>
  <c r="E19" i="34"/>
  <c r="F19" i="34" s="1"/>
  <c r="E20" i="34"/>
  <c r="F20" i="34" s="1"/>
  <c r="D2" i="34"/>
  <c r="E15" i="34"/>
  <c r="F15" i="34" s="1"/>
  <c r="E5" i="34"/>
  <c r="F5" i="34" s="1"/>
  <c r="E16" i="34"/>
  <c r="F16" i="34" s="1"/>
  <c r="E17" i="34"/>
  <c r="F17" i="34" s="1"/>
  <c r="I17" i="30"/>
  <c r="H17" i="34"/>
  <c r="I17" i="34" s="1"/>
  <c r="I16" i="30"/>
  <c r="H16" i="34"/>
  <c r="I16" i="34" s="1"/>
  <c r="I15" i="30"/>
  <c r="H15" i="34"/>
  <c r="I15" i="34" s="1"/>
  <c r="I14" i="30"/>
  <c r="H14" i="34"/>
  <c r="I14" i="34" s="1"/>
  <c r="I13" i="30"/>
  <c r="H13" i="34"/>
  <c r="I13" i="34" s="1"/>
  <c r="I12" i="30"/>
  <c r="H12" i="34"/>
  <c r="I12" i="34" s="1"/>
  <c r="I11" i="30"/>
  <c r="H11" i="34"/>
  <c r="I11" i="34" s="1"/>
  <c r="I10" i="30"/>
  <c r="H10" i="34"/>
  <c r="I10" i="34" s="1"/>
  <c r="I9" i="30"/>
  <c r="H9" i="34"/>
  <c r="I9" i="34" s="1"/>
  <c r="I8" i="30"/>
  <c r="H8" i="34"/>
  <c r="I8" i="34" s="1"/>
  <c r="I7" i="30"/>
  <c r="H7" i="34"/>
  <c r="I7" i="34" s="1"/>
  <c r="I6" i="30"/>
  <c r="H6" i="34"/>
  <c r="I6" i="34" s="1"/>
  <c r="I5" i="30"/>
  <c r="H5" i="34"/>
  <c r="I5" i="34" s="1"/>
  <c r="I4" i="30"/>
  <c r="H4" i="34"/>
  <c r="I4" i="34" s="1"/>
  <c r="E4" i="34"/>
  <c r="F4" i="34" s="1"/>
  <c r="E2" i="29"/>
  <c r="F2" i="29" s="1"/>
  <c r="I20" i="34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<sst xmlns="http://schemas.openxmlformats.org/spreadsheetml/2006/main" count="341" uniqueCount="123">
  <si>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</si>
  <si>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</si>
  <si>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</si>
  <si>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</si>
  <si>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</si>
  <si>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</si>
  <si>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</si>
  <si>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</si>
  <si>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</si>
  <si>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</si>
  <si>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</si>
  <si>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</si>
  <si>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</si>
  <si>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</si>
  <si>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</si>
  <si>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</si>
  <si>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</si>
  <si>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</si>
  <si>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</si>
  <si>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</si>
  <si>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</si>
  <si>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</si>
  <si>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</si>
  <si>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 xml:space="preserve">1.Inverter 3.15 tripped offline at 02:00PM on 01/30 due to Arc warning key stop later self resolved at 07:00AM on 01/31.  
</t>
  </si>
  <si>
    <t>1.SR096163</t>
  </si>
  <si>
    <t xml:space="preserve">1.Inverter 1.03 has been RMA'd and offline since 12/18, and was brought back online at 2:45 PM on 01/27 by a technician after replacing the RMA'd inverter with a new inverter.
2.Inverter 5.04 has been RMA'd, and the inverter is currently operating with a string down. 
</t>
  </si>
  <si>
    <t>1.SR094920
2.SR094966</t>
  </si>
  <si>
    <t>SR094966</t>
  </si>
  <si>
    <t>1.Weather station stopped communicating since 07/16/24, and the technician brought it back online at 12:45 PM on 01/30 by replacing the integrated weather station with an ambient temperature sensor by connecting to power logger port 1 and power logger port 2 is being RMA'd.</t>
  </si>
  <si>
    <t>1.SR087828</t>
  </si>
  <si>
    <t>1.Inverter 1.5 was offline and being RMA'd since 11/05/2024, and was brought back online at 02:00PM on 01/09/2025 by a technician after being replaced with a new inverter.</t>
  </si>
  <si>
    <t>1.SR092911</t>
  </si>
  <si>
    <t>1.Inverter 2.11 tripped offline at 09:45 AM on 01/08 due to an ARC Protection fault. A technician later cleared the fault and brought it back online at 09:15 AM on 01/09.
2.Site tripped offline at 06:00AM on 01/18 due to utility outage and back online at 12:15PM on 01/18.</t>
  </si>
  <si>
    <t>1.SR095394
2.SR095692</t>
  </si>
  <si>
    <t>SR095692</t>
  </si>
  <si>
    <t>1.Inverter 2.5 tripped offline on 01/01 due to 'Insulation Resistance Low - Isolation Error' and later back online at 10:28 AM on 01/02.</t>
  </si>
  <si>
    <t>1.	SR095225</t>
  </si>
  <si>
    <t xml:space="preserve">1.Inverters 17, 19, 14,  27, 11, 15, 25, 26, 9, 20, 24 &amp; 18 are underperforming approximately 44KW down due to shading. </t>
  </si>
  <si>
    <t>1.SR094409</t>
  </si>
  <si>
    <t xml:space="preserve">1.Inverter 8 was offline on 01/03, 01/05, 01/06, 01/08, 01/11 and 01/15 due to Bus sum high fault and technician stated that inverter should be RMA'D from 01/16.
2.Inverter 10 was being RMA'd from 11/04/24 and was offline on 01/03, 01/08, 01/14 due to bus sum high fault and on 01/16 technician checked- in and replaced RMA'd inverter with New stock, voltages tested good and production was restored.
3.Inverter 19 has not communicating since 11/19/24, production cannot be confirmed at meter. On 01/15 technician checked in and stated that inverter was dropped offline due to a thermal event within the powerhead and communication board is being RMA'd and on 01/16, technician replaced faulty communications board and get the inverter to begin communicating again via the DAS platform. </t>
  </si>
  <si>
    <t>1.SR088896
2.SR092913
3.SR093031</t>
  </si>
  <si>
    <t>SR092913</t>
  </si>
  <si>
    <t>SR093031</t>
  </si>
  <si>
    <t>1.Site tripped offline at 10:15AM due to SEL relay open and back online at 10:30AM after remote reset on attempted on 01/02.
2.Inverter 1 was offline due to hardware overcurrent fault following brief site outage from 10:15AM to 10:30AM on 01/02 where the site was closed remotely and on 01/03 inverter has self-resolved.</t>
  </si>
  <si>
    <t>1.SR095226
2.SR095230</t>
  </si>
  <si>
    <t>SR095230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</si>
  <si>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</si>
  <si>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</si>
  <si>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</si>
  <si>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</si>
  <si>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</si>
  <si>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</si>
  <si>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1.3 tripped offline on 04/05 at 10:24 and back online at 14:17</t>
  </si>
  <si>
    <t>1. SR083119</t>
  </si>
  <si>
    <t>May Actual v. Expected</t>
  </si>
  <si>
    <t>May Actual v. Forecasted</t>
  </si>
  <si>
    <t>June Actual v. Expected</t>
  </si>
  <si>
    <t>June Actual v. Forecasted</t>
  </si>
  <si>
    <t>1. Site was offline from 18:45 on 06/19 and back online at 22:15 on 06/19</t>
  </si>
  <si>
    <t>1. SR086454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</si>
  <si>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</si>
  <si>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</si>
  <si>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</si>
  <si>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</si>
  <si>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August Actual v. Expected</t>
  </si>
  <si>
    <t>August Actual v. Forecasted</t>
  </si>
  <si>
    <t>1.Site tripped offline on 08/08 at 18:45 and back online on 08/09 at 08:30</t>
  </si>
  <si>
    <t>1.SR088809</t>
  </si>
  <si>
    <t>September Actual v. Expected</t>
  </si>
  <si>
    <t>September Actual v. Forecasted</t>
  </si>
  <si>
    <t>October Actual v. Expected</t>
  </si>
  <si>
    <t>October Actual v. Forecasted</t>
  </si>
  <si>
    <t>1.Site tripped offline at 9:45 AM on 10/17 and back online at 15:00 PM.</t>
  </si>
  <si>
    <t>1.SR092241</t>
  </si>
  <si>
    <t>November Actual v. Expected</t>
  </si>
  <si>
    <t>November Actual v. Forecasted</t>
  </si>
  <si>
    <t xml:space="preserve">1.Inverter 3.5 (58%), Inverter 1.1 (78.6%), Inverter 3.4 (87%), Inverter 1.2 (89%), Inverter 1.4 (94%), Inverter 2.3 (94%), Inverter 3.3 (95%) are having large underperformance possibilly due to heavy seasonal shading </t>
  </si>
  <si>
    <t>1.SR093598</t>
  </si>
  <si>
    <t>December Actual v. Expected</t>
  </si>
  <si>
    <t>December Actual v. Forecasted</t>
  </si>
  <si>
    <t>1. Inverter 3.5 began late for production at 10:30AM.</t>
  </si>
  <si>
    <t>1. SR095173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</si>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</sst>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9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49" fontId="28" fillId="38" borderId="0" xfId="0" applyNumberFormat="1" applyFont="1" applyFill="1" applyAlignment="1">
      <alignment vertical="center" wrapText="1"/>
    </xf>
    <xf numFmtId="49" fontId="35" fillId="0" borderId="0" xfId="0" applyNumberFormat="1" applyFont="1" applyAlignment="1">
      <alignment vertical="center" wrapText="1"/>
    </xf>
    <xf numFmtId="49" fontId="36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49" fontId="37" fillId="38" borderId="1" xfId="45" applyNumberFormat="1" applyFill="1" applyBorder="1" applyAlignment="1">
      <alignment horizontal="left" vertical="top" wrapText="1"/>
    </xf>
    <xf numFmtId="49" fontId="37" fillId="0" borderId="1" xfId="45" applyNumberFormat="1" applyBorder="1" applyAlignment="1">
      <alignment horizontal="left" vertical="top" wrapText="1"/>
    </xf>
    <xf numFmtId="49" fontId="37" fillId="38" borderId="1" xfId="45" applyNumberFormat="1" applyFill="1" applyBorder="1" applyAlignment="1">
      <alignment vertical="top" wrapText="1"/>
    </xf>
    <xf numFmtId="0" fontId="37" fillId="0" borderId="0" xfId="45" applyAlignment="1">
      <alignment vertical="top"/>
    </xf>
    <xf numFmtId="0" fontId="37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225" TargetMode="External"/><Relationship Id="rId13" Type="http://schemas.openxmlformats.org/officeDocument/2006/relationships/hyperlink" Target="https://us3.assetplanner.com/service_request?ID=095226" TargetMode="External"/><Relationship Id="rId3" Type="http://schemas.openxmlformats.org/officeDocument/2006/relationships/hyperlink" Target="https://us3.assetplanner.com/service_request?ID=094966" TargetMode="External"/><Relationship Id="rId7" Type="http://schemas.openxmlformats.org/officeDocument/2006/relationships/hyperlink" Target="https://us3.assetplanner.com/service_request?ID=095692" TargetMode="External"/><Relationship Id="rId12" Type="http://schemas.openxmlformats.org/officeDocument/2006/relationships/hyperlink" Target="https://us3.assetplanner.com/service_request?ID=093031" TargetMode="External"/><Relationship Id="rId2" Type="http://schemas.openxmlformats.org/officeDocument/2006/relationships/hyperlink" Target="https://us3.assetplanner.com/service_request?ID=094920" TargetMode="External"/><Relationship Id="rId1" Type="http://schemas.openxmlformats.org/officeDocument/2006/relationships/hyperlink" Target="https://us3.assetplanner.com/service_request?ID=096163" TargetMode="External"/><Relationship Id="rId6" Type="http://schemas.openxmlformats.org/officeDocument/2006/relationships/hyperlink" Target="https://us3.assetplanner.com/service_request?ID=095394" TargetMode="External"/><Relationship Id="rId11" Type="http://schemas.openxmlformats.org/officeDocument/2006/relationships/hyperlink" Target="https://us3.assetplanner.com/service_request?ID=092913" TargetMode="External"/><Relationship Id="rId5" Type="http://schemas.openxmlformats.org/officeDocument/2006/relationships/hyperlink" Target="https://us3.assetplanner.com/service_request?ID=092911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88896" TargetMode="External"/><Relationship Id="rId4" Type="http://schemas.openxmlformats.org/officeDocument/2006/relationships/hyperlink" Target="https://us3.assetplanner.com/service_request?ID=087828" TargetMode="External"/><Relationship Id="rId9" Type="http://schemas.openxmlformats.org/officeDocument/2006/relationships/hyperlink" Target="https://us3.assetplanner.com/service_request?ID=094409" TargetMode="External"/><Relationship Id="rId14" Type="http://schemas.openxmlformats.org/officeDocument/2006/relationships/hyperlink" Target="https://us3.assetplanner.com/service_request?ID=095230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I14" sqref="I1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KEF</v>
      </c>
      <c r="B1" s="88"/>
      <c r="C1" s="88"/>
      <c r="D1" s="89" t="s">
        <v>0</v>
      </c>
      <c r="E1" s="89"/>
      <c r="F1" s="89"/>
      <c r="G1" s="87" t="s">
        <v>1</v>
      </c>
      <c r="H1" s="87"/>
      <c r="I1" s="87"/>
    </row>
    <row r="2" spans="1:9" ht="19.5" customHeight="1">
      <c r="A2" s="90" t="s">
        <v>2</v>
      </c>
      <c r="B2" s="90"/>
      <c r="C2" s="5">
        <f>SUM(C4:C95)</f>
        <v>1276010.8373221569</v>
      </c>
      <c r="D2" s="5">
        <f>SUM(D4:D95)</f>
        <v>1821502.5739999998</v>
      </c>
      <c r="E2" s="5">
        <f>C2-D2</f>
        <v>-545491.73667784291</v>
      </c>
      <c r="F2" s="6">
        <f>IFERROR(E2/D2, 0)</f>
        <v>-0.29947349208513552</v>
      </c>
      <c r="G2" s="5">
        <f>SUM(G4:G95)</f>
        <v>1592252.09</v>
      </c>
      <c r="H2" s="7">
        <f>C2-G2</f>
        <v>-316241.25267784321</v>
      </c>
      <c r="I2" s="6">
        <f>IFERROR(H2/G2, 0)</f>
        <v>-0.19861255303979108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60069.5543523058</v>
      </c>
      <c r="D4" s="45">
        <f>SUM('1st Qtr'!D4, '2nd Qtr'!D4, '3rd Qtr'!D4, '4th Qtr'!D4)</f>
        <v>103795.4</v>
      </c>
      <c r="E4" s="45">
        <f>IF(AND(ISNUMBER(C4),ISNUMBER(D4)), C4-D4, "")</f>
        <v>-43725.845647694194</v>
      </c>
      <c r="F4" s="58">
        <f>IFERROR(E4/D4, "")</f>
        <v>-0.42126959044133166</v>
      </c>
      <c r="G4" s="47">
        <f>SUM('1st Qtr'!G4, '2nd Qtr'!G4, '3rd Qtr'!G4, '4th Qtr'!G4)</f>
        <v>95772.53</v>
      </c>
      <c r="H4" s="47">
        <f>SUM('1st Qtr'!H4, '2nd Qtr'!H4, '3rd Qtr'!H4, '4th Qtr'!H4)</f>
        <v>-35702.975647694198</v>
      </c>
      <c r="I4" s="46">
        <f>IFERROR(H4/G4, "")</f>
        <v>-0.37278931284047939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64320.282969851003</v>
      </c>
      <c r="D5" s="51">
        <f>SUM('1st Qtr'!D5, '2nd Qtr'!D5, '3rd Qtr'!D5, '4th Qtr'!D5)</f>
        <v>86329.8</v>
      </c>
      <c r="E5" s="51">
        <f t="shared" ref="E5:E15" si="0">IF(AND(ISNUMBER(C5),ISNUMBER(D5)), C5-D5, "")</f>
        <v>-22009.517030149</v>
      </c>
      <c r="F5" s="52">
        <f>IFERROR(E5/D5, "")</f>
        <v>-0.25494692481795395</v>
      </c>
      <c r="G5" s="53">
        <f>SUM('1st Qtr'!G5, '2nd Qtr'!G5, '3rd Qtr'!G5, '4th Qtr'!G5)</f>
        <v>78506.720000000001</v>
      </c>
      <c r="H5" s="53">
        <f>SUM('1st Qtr'!H5, '2nd Qtr'!H5, '3rd Qtr'!H5, '4th Qtr'!H5)</f>
        <v>-14186.437030148998</v>
      </c>
      <c r="I5" s="52">
        <f>IFERROR(H5/G5, "")</f>
        <v>-0.18070347392107322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49163</v>
      </c>
      <c r="D6" s="45">
        <f>SUM('1st Qtr'!D6, '2nd Qtr'!D6, '3rd Qtr'!D6, '4th Qtr'!D6)</f>
        <v>93145.65</v>
      </c>
      <c r="E6" s="45">
        <f t="shared" si="0"/>
        <v>-43982.649999999994</v>
      </c>
      <c r="F6" s="58">
        <f t="shared" ref="F6:F15" si="1">IFERROR(E6/D6, "")</f>
        <v>-0.47219220650669136</v>
      </c>
      <c r="G6" s="47">
        <f>SUM('1st Qtr'!G6, '2nd Qtr'!G6, '3rd Qtr'!G6, '4th Qtr'!G6)</f>
        <v>45346.04</v>
      </c>
      <c r="H6" s="47">
        <f>SUM('1st Qtr'!H6, '2nd Qtr'!H6, '3rd Qtr'!H6, '4th Qtr'!H6)</f>
        <v>3816.9599999999991</v>
      </c>
      <c r="I6" s="46">
        <f t="shared" ref="I6:I15" si="2">IFERROR(H6/G6, "")</f>
        <v>8.4174053566750243E-2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52361</v>
      </c>
      <c r="D7" s="51">
        <f>SUM('1st Qtr'!D7, '2nd Qtr'!D7, '3rd Qtr'!D7, '4th Qtr'!D7)</f>
        <v>133149.1</v>
      </c>
      <c r="E7" s="51">
        <f t="shared" si="0"/>
        <v>-80788.100000000006</v>
      </c>
      <c r="F7" s="52">
        <f t="shared" si="1"/>
        <v>-0.60674912560430372</v>
      </c>
      <c r="G7" s="53">
        <f>SUM('1st Qtr'!G7, '2nd Qtr'!G7, '3rd Qtr'!G7, '4th Qtr'!G7)</f>
        <v>48584.34</v>
      </c>
      <c r="H7" s="53">
        <f>SUM('1st Qtr'!H7, '2nd Qtr'!H7, '3rd Qtr'!H7, '4th Qtr'!H7)</f>
        <v>3776.6600000000035</v>
      </c>
      <c r="I7" s="52">
        <f t="shared" si="2"/>
        <v>7.7734101152758348E-2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79311</v>
      </c>
      <c r="D8" s="45">
        <f>SUM('1st Qtr'!D8, '2nd Qtr'!D8, '3rd Qtr'!D8, '4th Qtr'!D8)</f>
        <v>118820.9</v>
      </c>
      <c r="E8" s="45">
        <f t="shared" si="0"/>
        <v>-39509.899999999994</v>
      </c>
      <c r="F8" s="58">
        <f t="shared" si="1"/>
        <v>-0.33251641756626987</v>
      </c>
      <c r="G8" s="47">
        <f>SUM('1st Qtr'!G8, '2nd Qtr'!G8, '3rd Qtr'!G8, '4th Qtr'!G8)</f>
        <v>102742.7</v>
      </c>
      <c r="H8" s="47">
        <f>SUM('1st Qtr'!H8, '2nd Qtr'!H8, '3rd Qtr'!H8, '4th Qtr'!H8)</f>
        <v>-23431.699999999997</v>
      </c>
      <c r="I8" s="46">
        <f t="shared" si="2"/>
        <v>-0.22806194503356442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140442</v>
      </c>
      <c r="D9" s="51">
        <f>SUM('1st Qtr'!D9, '2nd Qtr'!D9, '3rd Qtr'!D9, '4th Qtr'!D9)</f>
        <v>203218.3</v>
      </c>
      <c r="E9" s="51">
        <f t="shared" si="0"/>
        <v>-62776.299999999988</v>
      </c>
      <c r="F9" s="52">
        <f t="shared" si="1"/>
        <v>-0.30891066404944828</v>
      </c>
      <c r="G9" s="53">
        <f>SUM('1st Qtr'!G9, '2nd Qtr'!G9, '3rd Qtr'!G9, '4th Qtr'!G9)</f>
        <v>168220.79999999999</v>
      </c>
      <c r="H9" s="53">
        <f>SUM('1st Qtr'!H9, '2nd Qtr'!H9, '3rd Qtr'!H9, '4th Qtr'!H9)</f>
        <v>-27778.799999999988</v>
      </c>
      <c r="I9" s="52">
        <f t="shared" si="2"/>
        <v>-0.16513296809906974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54236</v>
      </c>
      <c r="D10" s="45">
        <f>SUM('1st Qtr'!D10, '2nd Qtr'!D10, '3rd Qtr'!D10, '4th Qtr'!D10)</f>
        <v>92857.71</v>
      </c>
      <c r="E10" s="45">
        <f t="shared" si="0"/>
        <v>-38621.710000000006</v>
      </c>
      <c r="F10" s="58">
        <f t="shared" si="1"/>
        <v>-0.41592356735913477</v>
      </c>
      <c r="G10" s="47">
        <f>SUM('1st Qtr'!G10, '2nd Qtr'!G10, '3rd Qtr'!G10, '4th Qtr'!G10)</f>
        <v>92964.7</v>
      </c>
      <c r="H10" s="47">
        <f>SUM('1st Qtr'!H10, '2nd Qtr'!H10, '3rd Qtr'!H10, '4th Qtr'!H10)</f>
        <v>-38728.699999999997</v>
      </c>
      <c r="I10" s="46">
        <f t="shared" si="2"/>
        <v>-0.41659576161704387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61430</v>
      </c>
      <c r="D11" s="51">
        <f>SUM('1st Qtr'!D11, '2nd Qtr'!D11, '3rd Qtr'!D11, '4th Qtr'!D11)</f>
        <v>85432.94</v>
      </c>
      <c r="E11" s="51">
        <f t="shared" si="0"/>
        <v>-24002.940000000002</v>
      </c>
      <c r="F11" s="52">
        <f t="shared" si="1"/>
        <v>-0.28095650225779428</v>
      </c>
      <c r="G11" s="53">
        <f>SUM('1st Qtr'!G11, '2nd Qtr'!G11, '3rd Qtr'!G11, '4th Qtr'!G11)</f>
        <v>97969.54</v>
      </c>
      <c r="H11" s="53">
        <f>SUM('1st Qtr'!H11, '2nd Qtr'!H11, '3rd Qtr'!H11, '4th Qtr'!H11)</f>
        <v>-36539.539999999994</v>
      </c>
      <c r="I11" s="52">
        <f t="shared" si="2"/>
        <v>-0.3729683736393985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45389</v>
      </c>
      <c r="D12" s="45">
        <f>SUM('1st Qtr'!D12, '2nd Qtr'!D12, '3rd Qtr'!D12, '4th Qtr'!D12)</f>
        <v>3439.174</v>
      </c>
      <c r="E12" s="45">
        <f t="shared" si="0"/>
        <v>41949.826000000001</v>
      </c>
      <c r="F12" s="58">
        <f t="shared" si="1"/>
        <v>12.197645713767317</v>
      </c>
      <c r="G12" s="47">
        <f>SUM('1st Qtr'!G12, '2nd Qtr'!G12, '3rd Qtr'!G12, '4th Qtr'!G12)</f>
        <v>97969.54</v>
      </c>
      <c r="H12" s="47">
        <f>SUM('1st Qtr'!H12, '2nd Qtr'!H12, '3rd Qtr'!H12, '4th Qtr'!H12)</f>
        <v>-52580.539999999994</v>
      </c>
      <c r="I12" s="46">
        <f t="shared" si="2"/>
        <v>-0.53670293848475759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33591</v>
      </c>
      <c r="D13" s="51">
        <f>SUM('1st Qtr'!D13, '2nd Qtr'!D13, '3rd Qtr'!D13, '4th Qtr'!D13)</f>
        <v>74718.880000000005</v>
      </c>
      <c r="E13" s="51">
        <f t="shared" si="0"/>
        <v>-41127.880000000005</v>
      </c>
      <c r="F13" s="52">
        <f t="shared" si="1"/>
        <v>-0.55043491015925294</v>
      </c>
      <c r="G13" s="53">
        <f>SUM('1st Qtr'!G13, '2nd Qtr'!G13, '3rd Qtr'!G13, '4th Qtr'!G13)</f>
        <v>97524.52</v>
      </c>
      <c r="H13" s="53">
        <f>SUM('1st Qtr'!H13, '2nd Qtr'!H13, '3rd Qtr'!H13, '4th Qtr'!H13)</f>
        <v>-63933.520000000004</v>
      </c>
      <c r="I13" s="52">
        <f t="shared" si="2"/>
        <v>-0.65556354442964704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94569</v>
      </c>
      <c r="D14" s="45">
        <f>SUM('1st Qtr'!D14, '2nd Qtr'!D14, '3rd Qtr'!D14, '4th Qtr'!D14)</f>
        <v>125325.5</v>
      </c>
      <c r="E14" s="45">
        <f t="shared" si="0"/>
        <v>-30756.5</v>
      </c>
      <c r="F14" s="58">
        <f t="shared" si="1"/>
        <v>-0.24541294469202196</v>
      </c>
      <c r="G14" s="47">
        <f>SUM('1st Qtr'!G14, '2nd Qtr'!G14, '3rd Qtr'!G14, '4th Qtr'!G14)</f>
        <v>51394</v>
      </c>
      <c r="H14" s="47">
        <f>SUM('1st Qtr'!H14, '2nd Qtr'!H14, '3rd Qtr'!H14, '4th Qtr'!H14)</f>
        <v>43175</v>
      </c>
      <c r="I14" s="46">
        <f t="shared" si="2"/>
        <v>0.84007860839786741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87644</v>
      </c>
      <c r="D15" s="51">
        <f>SUM('1st Qtr'!D15, '2nd Qtr'!D15, '3rd Qtr'!D15, '4th Qtr'!D15)</f>
        <v>97399.22</v>
      </c>
      <c r="E15" s="51">
        <f t="shared" si="0"/>
        <v>-9755.2200000000012</v>
      </c>
      <c r="F15" s="52">
        <f t="shared" si="1"/>
        <v>-0.10015706491284017</v>
      </c>
      <c r="G15" s="53">
        <f>SUM('1st Qtr'!G15, '2nd Qtr'!G15, '3rd Qtr'!G15, '4th Qtr'!G15)</f>
        <v>102713.9</v>
      </c>
      <c r="H15" s="53">
        <f>SUM('1st Qtr'!H15, '2nd Qtr'!H15, '3rd Qtr'!H15, '4th Qtr'!H15)</f>
        <v>-15069.899999999994</v>
      </c>
      <c r="I15" s="52">
        <f t="shared" si="2"/>
        <v>-0.14671724080187779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71770</v>
      </c>
      <c r="D16" s="45">
        <f>SUM('1st Qtr'!D16, '2nd Qtr'!D16, '3rd Qtr'!D16, '4th Qtr'!D16)</f>
        <v>101770</v>
      </c>
      <c r="E16" s="45">
        <f t="shared" ref="E16:E19" si="3">IF(AND(ISNUMBER(C16),ISNUMBER(D16)), C16-D16, "")</f>
        <v>-30000</v>
      </c>
      <c r="F16" s="58">
        <f t="shared" ref="F16:F19" si="4">IFERROR(E16/D16, "")</f>
        <v>-0.29478235236317185</v>
      </c>
      <c r="G16" s="47">
        <f>SUM('1st Qtr'!G16, '2nd Qtr'!G16, '3rd Qtr'!G16, '4th Qtr'!G16)</f>
        <v>78160.59</v>
      </c>
      <c r="H16" s="47">
        <f>SUM('1st Qtr'!H16, '2nd Qtr'!H16, '3rd Qtr'!H16, '4th Qtr'!H16)</f>
        <v>-6390.5899999999965</v>
      </c>
      <c r="I16" s="46">
        <f t="shared" ref="I16:I19" si="5">IFERROR(H16/G16, "")</f>
        <v>-8.17623050184242E-2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57696</v>
      </c>
      <c r="D17" s="51">
        <f>SUM('1st Qtr'!D17, '2nd Qtr'!D17, '3rd Qtr'!D17, '4th Qtr'!D17)</f>
        <v>63140.3</v>
      </c>
      <c r="E17" s="51">
        <f t="shared" si="3"/>
        <v>-5444.3000000000029</v>
      </c>
      <c r="F17" s="52">
        <f t="shared" si="4"/>
        <v>-8.6225437636501617E-2</v>
      </c>
      <c r="G17" s="53">
        <f>SUM('1st Qtr'!G17, '2nd Qtr'!G17, '3rd Qtr'!G17, '4th Qtr'!G17)</f>
        <v>62736.91</v>
      </c>
      <c r="H17" s="53">
        <f>SUM('1st Qtr'!H17, '2nd Qtr'!H17, '3rd Qtr'!H17, '4th Qtr'!H17)</f>
        <v>-5040.9100000000035</v>
      </c>
      <c r="I17" s="52">
        <f t="shared" si="5"/>
        <v>-8.034998854741178E-2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61173</v>
      </c>
      <c r="D18" s="45">
        <f>SUM('1st Qtr'!D18, '2nd Qtr'!D18, '3rd Qtr'!D18, '4th Qtr'!D18)</f>
        <v>103746</v>
      </c>
      <c r="E18" s="45">
        <f t="shared" si="3"/>
        <v>-42573</v>
      </c>
      <c r="F18" s="58">
        <f t="shared" si="4"/>
        <v>-0.4103579897056272</v>
      </c>
      <c r="G18" s="47">
        <f>SUM('1st Qtr'!G18, '2nd Qtr'!G18, '3rd Qtr'!G18, '4th Qtr'!G18)</f>
        <v>97654.44</v>
      </c>
      <c r="H18" s="47">
        <f>SUM('1st Qtr'!H18, '2nd Qtr'!H18, '3rd Qtr'!H18, '4th Qtr'!H18)</f>
        <v>-36481.440000000002</v>
      </c>
      <c r="I18" s="46">
        <f t="shared" si="5"/>
        <v>-0.37357686962313236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176084</v>
      </c>
      <c r="D19" s="51">
        <f>SUM('1st Qtr'!D19, '2nd Qtr'!D19, '3rd Qtr'!D19, '4th Qtr'!D19)</f>
        <v>223072.8</v>
      </c>
      <c r="E19" s="51">
        <f t="shared" si="3"/>
        <v>-46988.799999999988</v>
      </c>
      <c r="F19" s="52">
        <f t="shared" si="4"/>
        <v>-0.21064334154589887</v>
      </c>
      <c r="G19" s="53">
        <f>SUM('1st Qtr'!G19, '2nd Qtr'!G19, '3rd Qtr'!G19, '4th Qtr'!G19)</f>
        <v>175840.8</v>
      </c>
      <c r="H19" s="53">
        <f>SUM('1st Qtr'!H19, '2nd Qtr'!H19, '3rd Qtr'!H19, '4th Qtr'!H19)</f>
        <v>243.20000000001164</v>
      </c>
      <c r="I19" s="52">
        <f t="shared" si="5"/>
        <v>1.3830692308042937E-3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86762</v>
      </c>
      <c r="D20" s="45">
        <f>SUM('1st Qtr'!D20, '2nd Qtr'!D20, '3rd Qtr'!D20, '4th Qtr'!D20)</f>
        <v>112140.9</v>
      </c>
      <c r="E20" s="45">
        <f t="shared" ref="E20" si="6">IF(AND(ISNUMBER(C20),ISNUMBER(D20)), C20-D20, "")</f>
        <v>-25378.899999999994</v>
      </c>
      <c r="F20" s="58">
        <f t="shared" ref="F20" si="7">IFERROR(E20/D20, "")</f>
        <v>-0.22631261207998149</v>
      </c>
      <c r="G20" s="47">
        <f>SUM('1st Qtr'!G20, '2nd Qtr'!G20, '3rd Qtr'!G20, '4th Qtr'!G20)</f>
        <v>98150.02</v>
      </c>
      <c r="H20" s="47">
        <f>SUM('1st Qtr'!H20, '2nd Qtr'!H20, '3rd Qtr'!H20, '4th Qtr'!H20)</f>
        <v>-11388.020000000004</v>
      </c>
      <c r="I20" s="46">
        <f t="shared" ref="I20" si="8">IFERROR(H20/G20, "")</f>
        <v>-0.11602667019324095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I17" sqref="I17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KEF</v>
      </c>
      <c r="B1" s="88"/>
      <c r="C1" s="88"/>
      <c r="D1" s="89" t="s">
        <v>10</v>
      </c>
      <c r="E1" s="89"/>
      <c r="F1" s="89"/>
      <c r="G1" s="87" t="s">
        <v>11</v>
      </c>
      <c r="H1" s="87"/>
      <c r="I1" s="87"/>
    </row>
    <row r="2" spans="1:9" ht="19.5" customHeight="1">
      <c r="A2" s="90" t="s">
        <v>2</v>
      </c>
      <c r="B2" s="90"/>
      <c r="C2" s="5">
        <f>SUM(C4:C95)</f>
        <v>1276010.8373221569</v>
      </c>
      <c r="D2" s="5">
        <f>SUM(D4:D95)</f>
        <v>1821502.5739999998</v>
      </c>
      <c r="E2" s="5">
        <f>C2-D2</f>
        <v>-545491.73667784291</v>
      </c>
      <c r="F2" s="6">
        <f>IFERROR(E2/D2, 0)</f>
        <v>-0.29947349208513552</v>
      </c>
      <c r="G2" s="5">
        <f>SUM(G4:G95)</f>
        <v>1592252.09</v>
      </c>
      <c r="H2" s="7">
        <f>C2-G2</f>
        <v>-316241.25267784321</v>
      </c>
      <c r="I2" s="6">
        <f>IFERROR(H2/G2, 0)</f>
        <v>-0.19861255303979108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60069.5543523058</v>
      </c>
      <c r="D4" s="45">
        <f>SUM(Jan!D4, Feb!D4, Mar!D4)</f>
        <v>103795.4</v>
      </c>
      <c r="E4" s="45">
        <f>IF(AND(ISNUMBER(C4),ISNUMBER(D4)), C4-D4, "")</f>
        <v>-43725.845647694194</v>
      </c>
      <c r="F4" s="58">
        <f>IFERROR(E4/D4, "")</f>
        <v>-0.42126959044133166</v>
      </c>
      <c r="G4" s="47">
        <f>SUM(Jan!G4, Feb!G4, Mar!G4)</f>
        <v>95772.53</v>
      </c>
      <c r="H4" s="47">
        <f>SUM(Jan!H4, Feb!H4, Mar!H4)</f>
        <v>-35702.975647694198</v>
      </c>
      <c r="I4" s="46">
        <f>IFERROR(H4/G4, "")</f>
        <v>-0.37278931284047939</v>
      </c>
    </row>
    <row r="5" spans="1:9" ht="15.75">
      <c r="A5" s="67" t="str">
        <v>Orange A KB</v>
      </c>
      <c r="B5" s="64" t="str">
        <v>MA</v>
      </c>
      <c r="C5" s="59">
        <f>SUM(Jan!C5, Feb!C5, Mar!C5)</f>
        <v>64320.282969851003</v>
      </c>
      <c r="D5" s="51">
        <f>SUM(Jan!D5, Feb!D5, Mar!D5)</f>
        <v>86329.8</v>
      </c>
      <c r="E5" s="51">
        <f t="shared" ref="E5:E15" si="0">IF(AND(ISNUMBER(C5),ISNUMBER(D5)), C5-D5, "")</f>
        <v>-22009.517030149</v>
      </c>
      <c r="F5" s="52">
        <f>IFERROR(E5/D5, "")</f>
        <v>-0.25494692481795395</v>
      </c>
      <c r="G5" s="53">
        <f>SUM(Jan!G5, Feb!G5, Mar!G5)</f>
        <v>78506.720000000001</v>
      </c>
      <c r="H5" s="53">
        <f>SUM(Jan!H5, Feb!H5, Mar!H5)</f>
        <v>-14186.437030148998</v>
      </c>
      <c r="I5" s="52">
        <f>IFERROR(H5/G5, "")</f>
        <v>-0.18070347392107322</v>
      </c>
    </row>
    <row r="6" spans="1:9" ht="15.75">
      <c r="A6" s="66" t="str">
        <v>Goshen A</v>
      </c>
      <c r="B6" s="62" t="str">
        <v>MA</v>
      </c>
      <c r="C6" s="57">
        <f>SUM(Jan!C6, Feb!C6, Mar!C6)</f>
        <v>49163</v>
      </c>
      <c r="D6" s="45">
        <f>SUM(Jan!D6, Feb!D6, Mar!D6)</f>
        <v>93145.65</v>
      </c>
      <c r="E6" s="45">
        <f t="shared" si="0"/>
        <v>-43982.649999999994</v>
      </c>
      <c r="F6" s="58">
        <f t="shared" ref="F6:F15" si="1">IFERROR(E6/D6, "")</f>
        <v>-0.47219220650669136</v>
      </c>
      <c r="G6" s="47">
        <f>SUM(Jan!G6, Feb!G6, Mar!G6)</f>
        <v>45346.04</v>
      </c>
      <c r="H6" s="47">
        <f>SUM(Jan!H6, Feb!H6, Mar!H6)</f>
        <v>3816.9599999999991</v>
      </c>
      <c r="I6" s="46">
        <f t="shared" ref="I6:I15" si="2">IFERROR(H6/G6, "")</f>
        <v>8.4174053566750243E-2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52361</v>
      </c>
      <c r="D7" s="51">
        <f>SUM(Jan!D7, Feb!D7, Mar!D7)</f>
        <v>133149.1</v>
      </c>
      <c r="E7" s="51">
        <f t="shared" si="0"/>
        <v>-80788.100000000006</v>
      </c>
      <c r="F7" s="52">
        <f t="shared" si="1"/>
        <v>-0.60674912560430372</v>
      </c>
      <c r="G7" s="53">
        <f>SUM(Jan!G7, Feb!G7, Mar!G7)</f>
        <v>48584.34</v>
      </c>
      <c r="H7" s="53">
        <f>SUM(Jan!H7, Feb!H7, Mar!H7)</f>
        <v>3776.6600000000035</v>
      </c>
      <c r="I7" s="52">
        <f t="shared" si="2"/>
        <v>7.7734101152758348E-2</v>
      </c>
    </row>
    <row r="8" spans="1:9" ht="15.75">
      <c r="A8" s="66" t="str">
        <v>Uxbridge D</v>
      </c>
      <c r="B8" s="62" t="str">
        <v>MA</v>
      </c>
      <c r="C8" s="57">
        <f>SUM(Jan!C8, Feb!C8, Mar!C8)</f>
        <v>79311</v>
      </c>
      <c r="D8" s="45">
        <f>SUM(Jan!D8, Feb!D8, Mar!D8)</f>
        <v>118820.9</v>
      </c>
      <c r="E8" s="45">
        <f t="shared" si="0"/>
        <v>-39509.899999999994</v>
      </c>
      <c r="F8" s="58">
        <f t="shared" si="1"/>
        <v>-0.33251641756626987</v>
      </c>
      <c r="G8" s="47">
        <f>SUM(Jan!G8, Feb!G8, Mar!G8)</f>
        <v>102742.7</v>
      </c>
      <c r="H8" s="47">
        <f>SUM(Jan!H8, Feb!H8, Mar!H8)</f>
        <v>-23431.699999999997</v>
      </c>
      <c r="I8" s="46">
        <f t="shared" si="2"/>
        <v>-0.22806194503356442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140442</v>
      </c>
      <c r="D9" s="51">
        <f>SUM(Jan!D9, Feb!D9, Mar!D9)</f>
        <v>203218.3</v>
      </c>
      <c r="E9" s="51">
        <f t="shared" si="0"/>
        <v>-62776.299999999988</v>
      </c>
      <c r="F9" s="52">
        <f t="shared" si="1"/>
        <v>-0.30891066404944828</v>
      </c>
      <c r="G9" s="53">
        <f>SUM(Jan!G9, Feb!G9, Mar!G9)</f>
        <v>168220.79999999999</v>
      </c>
      <c r="H9" s="53">
        <f>SUM(Jan!H9, Feb!H9, Mar!H9)</f>
        <v>-27778.799999999988</v>
      </c>
      <c r="I9" s="52">
        <f t="shared" si="2"/>
        <v>-0.16513296809906974</v>
      </c>
    </row>
    <row r="10" spans="1:9" ht="15.75">
      <c r="A10" s="66" t="str">
        <v>Sutton A</v>
      </c>
      <c r="B10" s="62" t="str">
        <v>MA</v>
      </c>
      <c r="C10" s="57">
        <f>SUM(Jan!C10, Feb!C10, Mar!C10)</f>
        <v>54236</v>
      </c>
      <c r="D10" s="45">
        <f>SUM(Jan!D10, Feb!D10, Mar!D10)</f>
        <v>92857.71</v>
      </c>
      <c r="E10" s="45">
        <f t="shared" si="0"/>
        <v>-38621.710000000006</v>
      </c>
      <c r="F10" s="58">
        <f t="shared" si="1"/>
        <v>-0.41592356735913477</v>
      </c>
      <c r="G10" s="47">
        <f>SUM(Jan!G10, Feb!G10, Mar!G10)</f>
        <v>92964.7</v>
      </c>
      <c r="H10" s="47">
        <f>SUM(Jan!H10, Feb!H10, Mar!H10)</f>
        <v>-38728.699999999997</v>
      </c>
      <c r="I10" s="46">
        <f t="shared" si="2"/>
        <v>-0.41659576161704387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61430</v>
      </c>
      <c r="D11" s="51">
        <f>SUM(Jan!D11, Feb!D11, Mar!D11)</f>
        <v>85432.94</v>
      </c>
      <c r="E11" s="51">
        <f t="shared" si="0"/>
        <v>-24002.940000000002</v>
      </c>
      <c r="F11" s="52">
        <f t="shared" si="1"/>
        <v>-0.28095650225779428</v>
      </c>
      <c r="G11" s="53">
        <f>SUM(Jan!G11, Feb!G11, Mar!G11)</f>
        <v>97969.54</v>
      </c>
      <c r="H11" s="53">
        <f>SUM(Jan!H11, Feb!H11, Mar!H11)</f>
        <v>-36539.539999999994</v>
      </c>
      <c r="I11" s="52">
        <f t="shared" si="2"/>
        <v>-0.3729683736393985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45389</v>
      </c>
      <c r="D12" s="45">
        <f>SUM(Jan!D12, Feb!D12, Mar!D12)</f>
        <v>3439.174</v>
      </c>
      <c r="E12" s="45">
        <f t="shared" si="0"/>
        <v>41949.826000000001</v>
      </c>
      <c r="F12" s="58">
        <f t="shared" si="1"/>
        <v>12.197645713767317</v>
      </c>
      <c r="G12" s="47">
        <f>SUM(Jan!G12, Feb!G12, Mar!G12)</f>
        <v>97969.54</v>
      </c>
      <c r="H12" s="47">
        <f>SUM(Jan!H12, Feb!H12, Mar!H12)</f>
        <v>-52580.539999999994</v>
      </c>
      <c r="I12" s="46">
        <f t="shared" si="2"/>
        <v>-0.53670293848475759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33591</v>
      </c>
      <c r="D13" s="51">
        <f>SUM(Jan!D13, Feb!D13, Mar!D13)</f>
        <v>74718.880000000005</v>
      </c>
      <c r="E13" s="51">
        <f t="shared" si="0"/>
        <v>-41127.880000000005</v>
      </c>
      <c r="F13" s="52">
        <f t="shared" si="1"/>
        <v>-0.55043491015925294</v>
      </c>
      <c r="G13" s="53">
        <f>SUM(Jan!G13, Feb!G13, Mar!G13)</f>
        <v>97524.52</v>
      </c>
      <c r="H13" s="53">
        <f>SUM(Jan!H13, Feb!H13, Mar!H13)</f>
        <v>-63933.520000000004</v>
      </c>
      <c r="I13" s="52">
        <f t="shared" si="2"/>
        <v>-0.65556354442964704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94569</v>
      </c>
      <c r="D14" s="45">
        <f>SUM(Jan!D14, Feb!D14, Mar!D14)</f>
        <v>125325.5</v>
      </c>
      <c r="E14" s="45">
        <f t="shared" si="0"/>
        <v>-30756.5</v>
      </c>
      <c r="F14" s="58">
        <f t="shared" si="1"/>
        <v>-0.24541294469202196</v>
      </c>
      <c r="G14" s="47">
        <f>SUM(Jan!G14, Feb!G14, Mar!G14)</f>
        <v>51394</v>
      </c>
      <c r="H14" s="47">
        <f>SUM(Jan!H14, Feb!H14, Mar!H14)</f>
        <v>43175</v>
      </c>
      <c r="I14" s="46">
        <f t="shared" si="2"/>
        <v>0.84007860839786741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87644</v>
      </c>
      <c r="D15" s="51">
        <f>SUM(Jan!D15, Feb!D15, Mar!D15)</f>
        <v>97399.22</v>
      </c>
      <c r="E15" s="51">
        <f t="shared" si="0"/>
        <v>-9755.2200000000012</v>
      </c>
      <c r="F15" s="52">
        <f t="shared" si="1"/>
        <v>-0.10015706491284017</v>
      </c>
      <c r="G15" s="53">
        <f>SUM(Jan!G15, Feb!G15, Mar!G15)</f>
        <v>102713.9</v>
      </c>
      <c r="H15" s="53">
        <f>SUM(Jan!H15, Feb!H15, Mar!H15)</f>
        <v>-15069.899999999994</v>
      </c>
      <c r="I15" s="52">
        <f t="shared" si="2"/>
        <v>-0.14671724080187779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71770</v>
      </c>
      <c r="D16" s="45">
        <f>SUM(Jan!D16, Feb!D16, Mar!D16)</f>
        <v>101770</v>
      </c>
      <c r="E16" s="45">
        <f t="shared" ref="E16:E18" si="3">IF(AND(ISNUMBER(C16),ISNUMBER(D16)), C16-D16, "")</f>
        <v>-30000</v>
      </c>
      <c r="F16" s="58">
        <f t="shared" ref="F16:F18" si="4">IFERROR(E16/D16, "")</f>
        <v>-0.29478235236317185</v>
      </c>
      <c r="G16" s="47">
        <f>SUM(Jan!G16, Feb!G16, Mar!G16)</f>
        <v>78160.59</v>
      </c>
      <c r="H16" s="47">
        <f>SUM(Jan!H16, Feb!H16, Mar!H16)</f>
        <v>-6390.5899999999965</v>
      </c>
      <c r="I16" s="46">
        <f t="shared" ref="I16:I18" si="5">IFERROR(H16/G16, "")</f>
        <v>-8.17623050184242E-2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57696</v>
      </c>
      <c r="D17" s="51">
        <f>SUM(Jan!D17, Feb!D17, Mar!D17)</f>
        <v>63140.3</v>
      </c>
      <c r="E17" s="51">
        <f t="shared" si="3"/>
        <v>-5444.3000000000029</v>
      </c>
      <c r="F17" s="52">
        <f t="shared" si="4"/>
        <v>-8.6225437636501617E-2</v>
      </c>
      <c r="G17" s="53">
        <f>SUM(Jan!G17, Feb!G17, Mar!G17)</f>
        <v>62736.91</v>
      </c>
      <c r="H17" s="53">
        <f>SUM(Jan!H17, Feb!H17, Mar!H17)</f>
        <v>-5040.9100000000035</v>
      </c>
      <c r="I17" s="52">
        <f t="shared" si="5"/>
        <v>-8.034998854741178E-2</v>
      </c>
    </row>
    <row r="18" spans="1:9" ht="15.75">
      <c r="A18" s="66" t="str">
        <v>Holliston B</v>
      </c>
      <c r="B18" s="62" t="str">
        <v>MA</v>
      </c>
      <c r="C18" s="57">
        <f>SUM(Jan!C18, Feb!C18, Mar!C18)</f>
        <v>61173</v>
      </c>
      <c r="D18" s="45">
        <f>SUM(Jan!D18, Feb!D18, Mar!D18)</f>
        <v>103746</v>
      </c>
      <c r="E18" s="45">
        <f t="shared" si="3"/>
        <v>-42573</v>
      </c>
      <c r="F18" s="58">
        <f t="shared" si="4"/>
        <v>-0.4103579897056272</v>
      </c>
      <c r="G18" s="47">
        <f>SUM(Jan!G18, Feb!G18, Mar!G18)</f>
        <v>97654.44</v>
      </c>
      <c r="H18" s="47">
        <f>SUM(Jan!H18, Feb!H18, Mar!H18)</f>
        <v>-36481.440000000002</v>
      </c>
      <c r="I18" s="46">
        <f t="shared" si="5"/>
        <v>-0.37357686962313236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176084</v>
      </c>
      <c r="D19" s="51">
        <f>SUM(Jan!D19, Feb!D19, Mar!D19)</f>
        <v>223072.8</v>
      </c>
      <c r="E19" s="51">
        <f t="shared" ref="E19:E20" si="6">IF(AND(ISNUMBER(C19),ISNUMBER(D19)), C19-D19, "")</f>
        <v>-46988.799999999988</v>
      </c>
      <c r="F19" s="52">
        <f t="shared" ref="F19:F20" si="7">IFERROR(E19/D19, "")</f>
        <v>-0.21064334154589887</v>
      </c>
      <c r="G19" s="53">
        <f>SUM(Jan!G19, Feb!G19, Mar!G19)</f>
        <v>175840.8</v>
      </c>
      <c r="H19" s="53">
        <f>SUM(Jan!H19, Feb!H19, Mar!H19)</f>
        <v>243.20000000001164</v>
      </c>
      <c r="I19" s="52">
        <f t="shared" ref="I19:I20" si="8">IFERROR(H19/G19, "")</f>
        <v>1.3830692308042937E-3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86762</v>
      </c>
      <c r="D20" s="45">
        <f>SUM(Jan!D20, Feb!D20, Mar!D20)</f>
        <v>112140.9</v>
      </c>
      <c r="E20" s="45">
        <f t="shared" si="6"/>
        <v>-25378.899999999994</v>
      </c>
      <c r="F20" s="58">
        <f t="shared" si="7"/>
        <v>-0.22631261207998149</v>
      </c>
      <c r="G20" s="47">
        <f>SUM(Jan!G20, Feb!G20, Mar!G20)</f>
        <v>98150.02</v>
      </c>
      <c r="H20" s="47">
        <f>SUM(Jan!H20, Feb!H20, Mar!H20)</f>
        <v>-11388.020000000004</v>
      </c>
      <c r="I20" s="46">
        <f t="shared" si="8"/>
        <v>-0.11602667019324095</v>
      </c>
    </row>
    <row r="21" spans="1:9" ht="14.2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H24" sqref="H2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KEF</v>
      </c>
      <c r="B1" s="88"/>
      <c r="C1" s="88"/>
      <c r="D1" s="89" t="s">
        <v>12</v>
      </c>
      <c r="E1" s="89"/>
      <c r="F1" s="89"/>
      <c r="G1" s="87" t="s">
        <v>13</v>
      </c>
      <c r="H1" s="87"/>
      <c r="I1" s="87"/>
    </row>
    <row r="2" spans="1:9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0</v>
      </c>
      <c r="D4" s="45">
        <f>SUM(Apr!D4, May!D4, Jun!D4)</f>
        <v>0</v>
      </c>
      <c r="E4" s="45">
        <f>IF(AND(ISNUMBER(C4),ISNUMBER(D4)), C4-D4, "")</f>
        <v>0</v>
      </c>
      <c r="F4" s="58" t="str">
        <f>IFERROR(E4/D4, "")</f>
        <v/>
      </c>
      <c r="G4" s="47">
        <f>SUM(Apr!G4+May!G4+Jun!G4)</f>
        <v>0</v>
      </c>
      <c r="H4" s="47">
        <f>SUM(Apr!H4, May!H4, Jun!H4)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SUM(Apr!C5, May!C5, Jun!C5)</f>
        <v>0</v>
      </c>
      <c r="D5" s="51">
        <f>SUM(Apr!D5, May!D5, Jun!D5)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>
        <f>SUM(Apr!G5+May!G5+Jun!G5)</f>
        <v>0</v>
      </c>
      <c r="H5" s="53">
        <f>SUM(Apr!H5, May!H5, Jun!H5)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SUM(Apr!C6, May!C6, Jun!C6)</f>
        <v>0</v>
      </c>
      <c r="D6" s="45">
        <f>SUM(Apr!D6, May!D6, Jun!D6)</f>
        <v>0</v>
      </c>
      <c r="E6" s="45">
        <f t="shared" si="0"/>
        <v>0</v>
      </c>
      <c r="F6" s="58" t="str">
        <f t="shared" ref="F6:F15" si="1">IFERROR(E6/D6, "")</f>
        <v/>
      </c>
      <c r="G6" s="47">
        <f>SUM(Apr!G6+May!G6+Jun!G6)</f>
        <v>0</v>
      </c>
      <c r="H6" s="47">
        <f>SUM(Apr!H6, May!H6, Jun!H6)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SUM(Apr!C7, May!C7, Jun!C7)</f>
        <v>0</v>
      </c>
      <c r="D7" s="51">
        <f>SUM(Apr!D7, May!D7, Jun!D7)</f>
        <v>0</v>
      </c>
      <c r="E7" s="51">
        <f t="shared" si="0"/>
        <v>0</v>
      </c>
      <c r="F7" s="52" t="str">
        <f t="shared" si="1"/>
        <v/>
      </c>
      <c r="G7" s="53">
        <f>SUM(Apr!G7+May!G7+Jun!G7)</f>
        <v>0</v>
      </c>
      <c r="H7" s="53">
        <f>SUM(Apr!H7, May!H7, Jun!H7)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SUM(Apr!C8, May!C8, Jun!C8)</f>
        <v>0</v>
      </c>
      <c r="D8" s="45">
        <f>SUM(Apr!D8, May!D8, Jun!D8)</f>
        <v>0</v>
      </c>
      <c r="E8" s="45">
        <f t="shared" si="0"/>
        <v>0</v>
      </c>
      <c r="F8" s="58" t="str">
        <f t="shared" si="1"/>
        <v/>
      </c>
      <c r="G8" s="47">
        <f>SUM(Apr!G8+May!G8+Jun!G8)</f>
        <v>0</v>
      </c>
      <c r="H8" s="47">
        <f>SUM(Apr!H8, May!H8, Jun!H8)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0</v>
      </c>
      <c r="D9" s="51">
        <f>SUM(Apr!D9, May!D9, Jun!D9)</f>
        <v>0</v>
      </c>
      <c r="E9" s="51">
        <f t="shared" si="0"/>
        <v>0</v>
      </c>
      <c r="F9" s="52" t="str">
        <f t="shared" si="1"/>
        <v/>
      </c>
      <c r="G9" s="53">
        <f>SUM(Apr!G9+May!G9+Jun!G9)</f>
        <v>0</v>
      </c>
      <c r="H9" s="53">
        <f>SUM(Apr!H9, May!H9, Jun!H9)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SUM(Apr!C10, May!C10, Jun!C10)</f>
        <v>0</v>
      </c>
      <c r="D10" s="45">
        <f>SUM(Apr!D10, May!D10, Jun!D10)</f>
        <v>0</v>
      </c>
      <c r="E10" s="45">
        <f t="shared" si="0"/>
        <v>0</v>
      </c>
      <c r="F10" s="58" t="str">
        <f t="shared" si="1"/>
        <v/>
      </c>
      <c r="G10" s="47">
        <f>SUM(Apr!G10+May!G10+Jun!G10)</f>
        <v>0</v>
      </c>
      <c r="H10" s="47">
        <f>SUM(Apr!H10, May!H10, Jun!H10)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0</v>
      </c>
      <c r="D11" s="51">
        <f>SUM(Apr!D11, May!D11, Jun!D11)</f>
        <v>0</v>
      </c>
      <c r="E11" s="51">
        <f t="shared" si="0"/>
        <v>0</v>
      </c>
      <c r="F11" s="52" t="str">
        <f t="shared" si="1"/>
        <v/>
      </c>
      <c r="G11" s="53">
        <f>SUM(Apr!G11+May!G11+Jun!G11)</f>
        <v>0</v>
      </c>
      <c r="H11" s="53">
        <f>SUM(Apr!H11, May!H11, Jun!H11)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0</v>
      </c>
      <c r="D12" s="45">
        <f>SUM(Apr!D12, May!D12, Jun!D12)</f>
        <v>0</v>
      </c>
      <c r="E12" s="45">
        <f t="shared" si="0"/>
        <v>0</v>
      </c>
      <c r="F12" s="58" t="str">
        <f t="shared" si="1"/>
        <v/>
      </c>
      <c r="G12" s="47">
        <f>SUM(Apr!G12+May!G12+Jun!G12)</f>
        <v>0</v>
      </c>
      <c r="H12" s="47">
        <f>SUM(Apr!H12, May!H12, Jun!H12)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0</v>
      </c>
      <c r="D13" s="51">
        <f>SUM(Apr!D13, May!D13, Jun!D13)</f>
        <v>0</v>
      </c>
      <c r="E13" s="51">
        <f t="shared" si="0"/>
        <v>0</v>
      </c>
      <c r="F13" s="52" t="str">
        <f t="shared" si="1"/>
        <v/>
      </c>
      <c r="G13" s="53">
        <f>SUM(Apr!G13+May!G13+Jun!G13)</f>
        <v>0</v>
      </c>
      <c r="H13" s="53">
        <f>SUM(Apr!H13, May!H13, Jun!H13)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SUM(Apr!C14, May!C14, Jun!C14)</f>
        <v>0</v>
      </c>
      <c r="D14" s="45">
        <f>SUM(Apr!D14, May!D14, Jun!D14)</f>
        <v>0</v>
      </c>
      <c r="E14" s="45">
        <f t="shared" si="0"/>
        <v>0</v>
      </c>
      <c r="F14" s="58" t="str">
        <f t="shared" si="1"/>
        <v/>
      </c>
      <c r="G14" s="47">
        <f>SUM(Apr!G14+May!G14+Jun!G14)</f>
        <v>0</v>
      </c>
      <c r="H14" s="47">
        <f>SUM(Apr!H14, May!H14, Jun!H14)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SUM(Apr!C15, May!C15, Jun!C15)</f>
        <v>0</v>
      </c>
      <c r="D15" s="51">
        <f>SUM(Apr!D15, May!D15, Jun!D15)</f>
        <v>0</v>
      </c>
      <c r="E15" s="51">
        <f t="shared" si="0"/>
        <v>0</v>
      </c>
      <c r="F15" s="52" t="str">
        <f t="shared" si="1"/>
        <v/>
      </c>
      <c r="G15" s="53">
        <f>SUM(Apr!G15+May!G15+Jun!G15)</f>
        <v>0</v>
      </c>
      <c r="H15" s="53">
        <f>SUM(Apr!H15, May!H15, Jun!H15)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0</v>
      </c>
      <c r="D16" s="45">
        <f>SUM(Apr!D16, May!D16, Jun!D16)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>
        <f>SUM(Apr!G16+May!G16+Jun!G16)</f>
        <v>0</v>
      </c>
      <c r="H16" s="47">
        <f>SUM(Apr!H16, May!H16, Jun!H16)</f>
        <v>0</v>
      </c>
      <c r="I16" s="47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SUM(Apr!C17, May!C17, Jun!C17)</f>
        <v>0</v>
      </c>
      <c r="D17" s="51">
        <f>SUM(Apr!D17, May!D17, Jun!D17)</f>
        <v>0</v>
      </c>
      <c r="E17" s="51">
        <f t="shared" si="3"/>
        <v>0</v>
      </c>
      <c r="F17" s="52" t="str">
        <f t="shared" si="4"/>
        <v/>
      </c>
      <c r="G17" s="53">
        <f>SUM(Apr!G17+May!G17+Jun!G17)</f>
        <v>0</v>
      </c>
      <c r="H17" s="53">
        <f>SUM(Apr!H17, May!H17, Jun!H17)</f>
        <v>0</v>
      </c>
      <c r="I17" s="53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7">
        <f>SUM(Apr!C18, May!C18, Jun!C18)</f>
        <v>0</v>
      </c>
      <c r="D18" s="45">
        <f>SUM(Apr!D18, May!D18, Jun!D18)</f>
        <v>0</v>
      </c>
      <c r="E18" s="45">
        <f t="shared" si="3"/>
        <v>0</v>
      </c>
      <c r="F18" s="58" t="str">
        <f t="shared" si="4"/>
        <v/>
      </c>
      <c r="G18" s="47">
        <f>SUM(Apr!G18+May!G18+Jun!G18)</f>
        <v>0</v>
      </c>
      <c r="H18" s="47">
        <f>SUM(Apr!H18, May!H18, Jun!H18)</f>
        <v>0</v>
      </c>
      <c r="I18" s="47" t="str">
        <f t="shared" si="5"/>
        <v/>
      </c>
    </row>
    <row r="19" spans="1:9" ht="15.75">
      <c r="A19" s="67" t="str">
        <v>Fairhaven C</v>
      </c>
      <c r="B19" s="64" t="str">
        <v>MA</v>
      </c>
      <c r="C19" s="59">
        <f>SUM(Apr!C19, May!C19, Jun!C19)</f>
        <v>0</v>
      </c>
      <c r="D19" s="51">
        <f>SUM(Apr!D19, May!D19, Jun!D19)</f>
        <v>0</v>
      </c>
      <c r="E19" s="51">
        <f t="shared" ref="E19:E20" si="6">IF(AND(ISNUMBER(C19),ISNUMBER(D19)), C19-D19, "")</f>
        <v>0</v>
      </c>
      <c r="F19" s="52" t="str">
        <f t="shared" ref="F19:F20" si="7">IFERROR(E19/D19, "")</f>
        <v/>
      </c>
      <c r="G19" s="53">
        <f>SUM(Apr!G19+May!G19+Jun!G19)</f>
        <v>0</v>
      </c>
      <c r="H19" s="53">
        <f>SUM(Apr!H19, May!H19, Jun!H19)</f>
        <v>0</v>
      </c>
      <c r="I19" s="53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0</v>
      </c>
      <c r="D20" s="45">
        <f>SUM(Apr!D20, May!D20, Jun!D20)</f>
        <v>0</v>
      </c>
      <c r="E20" s="45">
        <f t="shared" si="6"/>
        <v>0</v>
      </c>
      <c r="F20" s="58" t="str">
        <f t="shared" si="7"/>
        <v/>
      </c>
      <c r="G20" s="47">
        <f>SUM(Apr!G20+May!G20+Jun!G20)</f>
        <v>0</v>
      </c>
      <c r="H20" s="47">
        <f>SUM(Apr!H20, May!H20, Jun!H20)</f>
        <v>0</v>
      </c>
      <c r="I20" s="47" t="str">
        <f t="shared" si="8"/>
        <v/>
      </c>
    </row>
    <row r="21" spans="1:9" ht="14.25">
      <c r="A21" s="14"/>
      <c r="B21" s="14"/>
      <c r="C21" s="14"/>
      <c r="D21" s="51"/>
      <c r="E21" s="14"/>
      <c r="F21" s="14"/>
      <c r="G21" s="14"/>
      <c r="H21" s="53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I4:I15 F4:F95 I21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14" activePane="bottomRight" state="frozen"/>
      <selection pane="bottomRight" activeCell="H20" sqref="H20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KEF</v>
      </c>
      <c r="B1" s="88"/>
      <c r="C1" s="88"/>
      <c r="D1" s="89" t="s">
        <v>14</v>
      </c>
      <c r="E1" s="89"/>
      <c r="F1" s="89"/>
      <c r="G1" s="87" t="s">
        <v>15</v>
      </c>
      <c r="H1" s="87"/>
      <c r="I1" s="87"/>
    </row>
    <row r="2" spans="1:9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>
        <f>SUM(Jul!G4,Aug!G4,Sep!G4)</f>
        <v>0</v>
      </c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>
        <f>SUM(Jul!G5,Aug!G5,Sep!G5)</f>
        <v>0</v>
      </c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>
        <f>SUM(Jul!G6,Aug!G6,Sep!G6)</f>
        <v>0</v>
      </c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>
        <f>SUM(Jul!G7,Aug!G7,Sep!G7)</f>
        <v>0</v>
      </c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>
        <f>SUM(Jul!G8,Aug!G8,Sep!G8)</f>
        <v>0</v>
      </c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>
        <f>SUM(Jul!G9,Aug!G9,Sep!G9)</f>
        <v>0</v>
      </c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>
        <f>SUM(Jul!G10,Aug!G10,Sep!G10)</f>
        <v>0</v>
      </c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>
        <f>SUM(Jul!G11,Aug!G11,Sep!G11)</f>
        <v>0</v>
      </c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>
        <f>SUM(Jul!G12,Aug!G12,Sep!G12)</f>
        <v>0</v>
      </c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>
        <f>SUM(Jul!G13,Aug!G13,Sep!G13)</f>
        <v>0</v>
      </c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>
        <f>SUM(Jul!G14,Aug!G14,Sep!G14)</f>
        <v>0</v>
      </c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>
        <f>SUM(Jul!G15,Aug!G15,Sep!G15)</f>
        <v>0</v>
      </c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>
        <f>SUM(Jul!G16,Aug!G16,Sep!G16)</f>
        <v>0</v>
      </c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>
        <f>SUM(Jul!G17,Aug!G17,Sep!G17)</f>
        <v>0</v>
      </c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>
        <f>SUM(Jul!G18,Aug!G18,Sep!G18)</f>
        <v>0</v>
      </c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>
        <f>SUM(Jul!G19,Aug!G19,Sep!G19)</f>
        <v>0</v>
      </c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>
        <f>SUM(Jul!G20,Aug!G20,Sep!G20)</f>
        <v>0</v>
      </c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9" activePane="bottomRight" state="frozen"/>
      <selection pane="bottomRight" activeCell="I28" sqref="I28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MN8 KEF</v>
      </c>
      <c r="B1" s="88"/>
      <c r="C1" s="88"/>
      <c r="D1" s="89" t="s">
        <v>16</v>
      </c>
      <c r="E1" s="89"/>
      <c r="F1" s="89"/>
      <c r="G1" s="87" t="s">
        <v>17</v>
      </c>
      <c r="H1" s="87"/>
      <c r="I1" s="87"/>
    </row>
    <row r="2" spans="1:9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>
        <f>SUM(Oct!G4,Nov!G4,Dec!G4)</f>
        <v>0</v>
      </c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>
        <f>SUM(Oct!G5,Nov!G5,Dec!G5)</f>
        <v>0</v>
      </c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>
        <f>SUM(Oct!G6,Nov!G6,Dec!G6)</f>
        <v>0</v>
      </c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>
        <f>SUM(Oct!G7,Nov!G7,Dec!G7)</f>
        <v>0</v>
      </c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>
        <f>SUM(Oct!G8,Nov!G8,Dec!G8)</f>
        <v>0</v>
      </c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>
        <f>SUM(Oct!G9,Nov!G9,Dec!G9)</f>
        <v>0</v>
      </c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>
        <f>SUM(Oct!G10,Nov!G10,Dec!G10)</f>
        <v>0</v>
      </c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>
        <f>SUM(Oct!G11,Nov!G11,Dec!G11)</f>
        <v>0</v>
      </c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>
        <f>SUM(Oct!G12,Nov!G12,Dec!G12)</f>
        <v>0</v>
      </c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>
        <f>SUM(Oct!G13,Nov!G13,Dec!G13)</f>
        <v>0</v>
      </c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>
        <f>SUM(Oct!G14,Nov!G14,Dec!G14)</f>
        <v>0</v>
      </c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>
        <f>SUM(Oct!G15,Nov!G15,Dec!G15)</f>
        <v>0</v>
      </c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>
        <f>SUM(Oct!G16,Nov!G16,Dec!G16)</f>
        <v>0</v>
      </c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>
        <f>SUM(Oct!G17,Nov!G17,Dec!G17)</f>
        <v>0</v>
      </c>
      <c r="H17" s="53">
        <f>SUM(Oct!H17, Nov!H17, Dec!H17)</f>
        <v>0</v>
      </c>
      <c r="I17" s="52" t="str">
        <f t="shared" si="5"/>
        <v/>
      </c>
    </row>
    <row r="18" spans="1:9" ht="15.75">
      <c r="A18" s="66" t="str">
        <v>Holliston B</v>
      </c>
      <c r="B18" s="62" t="str">
        <v>MA</v>
      </c>
      <c r="C18" s="57">
        <f>SUM(Oct!C18, Nov!C18, Dec!C18)</f>
        <v>0</v>
      </c>
      <c r="D18" s="45">
        <f>SUM(Oct!D18, Nov!D18, Dec!D18)</f>
        <v>0</v>
      </c>
      <c r="E18" s="45">
        <f t="shared" si="3"/>
        <v>0</v>
      </c>
      <c r="F18" s="58" t="str">
        <f t="shared" si="4"/>
        <v/>
      </c>
      <c r="G18" s="47">
        <f>SUM(Oct!G18,Nov!G18,Dec!G18)</f>
        <v>0</v>
      </c>
      <c r="H18" s="47">
        <f>SUM(Oct!H18, Nov!H18, Dec!H18)</f>
        <v>0</v>
      </c>
      <c r="I18" s="46" t="str">
        <f t="shared" si="5"/>
        <v/>
      </c>
    </row>
    <row r="19" spans="1:9" ht="15.75">
      <c r="A19" s="67" t="str">
        <v>Fairhaven C</v>
      </c>
      <c r="B19" s="64" t="str">
        <v>MA</v>
      </c>
      <c r="C19" s="59">
        <f>SUM(Oct!C19, Nov!C19, Dec!C19)</f>
        <v>0</v>
      </c>
      <c r="D19" s="51">
        <f>SUM(Oct!D19, Nov!D19, Dec!D19)</f>
        <v>0</v>
      </c>
      <c r="E19" s="51">
        <f t="shared" ref="E19:E20" si="6">IF(AND(ISNUMBER(C19),ISNUMBER(D19)), C19-D19, "")</f>
        <v>0</v>
      </c>
      <c r="F19" s="52" t="str">
        <f t="shared" ref="F19:F20" si="7">IFERROR(E19/D19, "")</f>
        <v/>
      </c>
      <c r="G19" s="53">
        <f>SUM(Oct!G19,Nov!G19,Dec!G19)</f>
        <v>0</v>
      </c>
      <c r="H19" s="53">
        <f>SUM(Oct!H19, Nov!H19, Dec!H19)</f>
        <v>0</v>
      </c>
      <c r="I19" s="52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7">
        <f>SUM(Oct!C20, Nov!C20, Dec!C20)</f>
        <v>0</v>
      </c>
      <c r="D20" s="45">
        <f>SUM(Oct!D20, Nov!D20, Dec!D20)</f>
        <v>0</v>
      </c>
      <c r="E20" s="45">
        <f t="shared" si="6"/>
        <v>0</v>
      </c>
      <c r="F20" s="58" t="str">
        <f t="shared" si="7"/>
        <v/>
      </c>
      <c r="G20" s="47">
        <f>SUM(Oct!G20,Nov!G20,Dec!G20)</f>
        <v>0</v>
      </c>
      <c r="H20" s="47">
        <f>SUM(Oct!H20, Nov!H20, Dec!H20)</f>
        <v>0</v>
      </c>
      <c r="I20" s="46" t="str">
        <f t="shared" si="8"/>
        <v/>
      </c>
    </row>
    <row r="21" spans="1:9" ht="15.75">
      <c r="A21" s="10"/>
      <c r="B21" s="9"/>
      <c r="C21" s="12"/>
      <c r="F21"/>
      <c r="I21"/>
    </row>
    <row r="22" spans="1:9" ht="14.2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2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2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2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I4:I20 F4:F95 C21 I22:I95">
    <cfRule type="cellIs" dxfId="32" priority="1" stopIfTrue="1" operator="lessThanOrEqual">
      <formula>-0.1</formula>
    </cfRule>
    <cfRule type="expression" dxfId="31" priority="2">
      <formula>AND(ISNUMBER(C2), C2&gt;=0.1)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36"/>
  <sheetViews>
    <sheetView tabSelected="1" zoomScale="50" zoomScaleNormal="50" workbookViewId="0">
      <pane xSplit="2" ySplit="3" topLeftCell="C15" activePane="bottomRight" state="frozen"/>
      <selection pane="bottomRight" activeCell="L22" sqref="L22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8" t="str" cm="1">
        <f t="array" ref="A1">portfolio</f>
        <v>MN8 KEF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4"/>
      <c r="K1" s="4"/>
    </row>
    <row r="2" spans="1:12" ht="19.5" customHeight="1">
      <c r="A2" s="90" t="s">
        <v>2</v>
      </c>
      <c r="B2" s="90"/>
      <c r="C2" s="5">
        <f>SUM(C4:C94)</f>
        <v>1276010.8373221569</v>
      </c>
      <c r="D2" s="5">
        <f>SUM(D4:D94)</f>
        <v>1821502.5739999998</v>
      </c>
      <c r="E2" s="5">
        <f>C2-D2</f>
        <v>-545491.73667784291</v>
      </c>
      <c r="F2" s="6">
        <f>IFERROR(E2/D2, 0)</f>
        <v>-0.29947349208513552</v>
      </c>
      <c r="G2" s="5">
        <f>SUM(G4:G94)</f>
        <v>1592252.09</v>
      </c>
      <c r="H2" s="7">
        <f>C2-G2</f>
        <v>-316241.25267784321</v>
      </c>
      <c r="I2" s="6">
        <f>IFERROR(H2/G2, 0)</f>
        <v>-0.19861255303979108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2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60069.5543523058</v>
      </c>
      <c r="D4" s="45">
        <v>103795.4</v>
      </c>
      <c r="E4" s="45">
        <f>IF(AND(ISNUMBER(C4),ISNUMBER(D4)), C4-D4, "")</f>
        <v>-43725.845647694194</v>
      </c>
      <c r="F4" s="46">
        <f>IFERROR(E4/D4, "")</f>
        <v>-0.42126959044133166</v>
      </c>
      <c r="G4" s="47">
        <v>95772.53</v>
      </c>
      <c r="H4" s="47">
        <f>IF(AND(ISNUMBER(C4),ISNUMBER(G4)), C4-G4, "")</f>
        <v>-35702.975647694198</v>
      </c>
      <c r="I4" s="46">
        <f>IFERROR(H4/G4, "")</f>
        <v>-0.37278931284047939</v>
      </c>
      <c r="J4" s="60"/>
      <c r="K4" s="48" t="s">
        <v>22</v>
      </c>
    </row>
    <row r="5" spans="1:12" ht="15.75">
      <c r="A5" s="49" t="str">
        <v>Orange A KB</v>
      </c>
      <c r="B5" s="50" t="str">
        <v>MA</v>
      </c>
      <c r="C5" s="51">
        <v>64320.282969851003</v>
      </c>
      <c r="D5" s="51">
        <v>86329.8</v>
      </c>
      <c r="E5" s="51">
        <f t="shared" ref="E5:E15" si="0">IF(AND(ISNUMBER(C5),ISNUMBER(D5)), C5-D5, "")</f>
        <v>-22009.517030149</v>
      </c>
      <c r="F5" s="52">
        <f t="shared" ref="F5:F20" si="1">IFERROR(E5/D5, "")</f>
        <v>-0.25494692481795395</v>
      </c>
      <c r="G5" s="53">
        <v>78506.720000000001</v>
      </c>
      <c r="H5" s="53">
        <f t="shared" ref="H5:H6" si="2">IF(AND(ISNUMBER(C5),ISNUMBER(G5)), C5-G5, "")</f>
        <v>-14186.437030148998</v>
      </c>
      <c r="I5" s="52">
        <f t="shared" ref="I5:I6" si="3">IFERROR(H5/G5, "")</f>
        <v>-0.18070347392107322</v>
      </c>
      <c r="J5" s="71"/>
      <c r="K5" s="72"/>
    </row>
    <row r="6" spans="1:12" ht="42.75">
      <c r="A6" s="54" t="str">
        <v>Goshen A</v>
      </c>
      <c r="B6" s="44" t="str">
        <v>MA</v>
      </c>
      <c r="C6" s="45">
        <v>49163</v>
      </c>
      <c r="D6" s="45">
        <v>93145.65</v>
      </c>
      <c r="E6" s="45">
        <f t="shared" si="0"/>
        <v>-43982.649999999994</v>
      </c>
      <c r="F6" s="46">
        <f t="shared" si="1"/>
        <v>-0.47219220650669136</v>
      </c>
      <c r="G6" s="47">
        <v>45346.04</v>
      </c>
      <c r="H6" s="47">
        <f t="shared" si="2"/>
        <v>3816.9599999999991</v>
      </c>
      <c r="I6" s="46">
        <f t="shared" si="3"/>
        <v>8.4174053566750243E-2</v>
      </c>
      <c r="J6" s="69" t="s">
        <v>23</v>
      </c>
      <c r="K6" s="82" t="s">
        <v>24</v>
      </c>
    </row>
    <row r="7" spans="1:12" ht="15.75">
      <c r="A7" s="49" t="str">
        <v>Phillipston A KB</v>
      </c>
      <c r="B7" s="50" t="str">
        <v>MA</v>
      </c>
      <c r="C7" s="51">
        <v>52361</v>
      </c>
      <c r="D7" s="51">
        <v>133149.1</v>
      </c>
      <c r="E7" s="51">
        <f t="shared" si="0"/>
        <v>-80788.100000000006</v>
      </c>
      <c r="F7" s="52">
        <f t="shared" si="1"/>
        <v>-0.60674912560430372</v>
      </c>
      <c r="G7" s="53">
        <v>48584.34</v>
      </c>
      <c r="H7" s="53">
        <f t="shared" ref="H7:H15" si="4">IF(AND(ISNUMBER(C7),ISNUMBER(G7)), C7-G7, "")</f>
        <v>3776.6600000000035</v>
      </c>
      <c r="I7" s="52">
        <f t="shared" ref="I7:I15" si="5">IFERROR(H7/G7, "")</f>
        <v>7.7734101152758348E-2</v>
      </c>
      <c r="J7" s="71"/>
      <c r="K7" s="72"/>
    </row>
    <row r="8" spans="1:12" ht="15.75">
      <c r="A8" s="54" t="str">
        <v>Uxbridge D</v>
      </c>
      <c r="B8" s="44" t="str">
        <v>MA</v>
      </c>
      <c r="C8" s="45">
        <v>79311</v>
      </c>
      <c r="D8" s="45">
        <v>118820.9</v>
      </c>
      <c r="E8" s="45">
        <f t="shared" si="0"/>
        <v>-39509.899999999994</v>
      </c>
      <c r="F8" s="46">
        <f t="shared" si="1"/>
        <v>-0.33251641756626987</v>
      </c>
      <c r="G8" s="47">
        <v>102742.7</v>
      </c>
      <c r="H8" s="47">
        <f t="shared" si="4"/>
        <v>-23431.699999999997</v>
      </c>
      <c r="I8" s="46">
        <f t="shared" si="5"/>
        <v>-0.22806194503356442</v>
      </c>
      <c r="J8" s="69"/>
      <c r="K8" s="70"/>
    </row>
    <row r="9" spans="1:12" ht="99.75">
      <c r="A9" s="49" t="str">
        <v>West Bridgewater A&amp;B</v>
      </c>
      <c r="B9" s="50" t="str">
        <v>MA</v>
      </c>
      <c r="C9" s="51">
        <v>140442</v>
      </c>
      <c r="D9" s="51">
        <v>203218.3</v>
      </c>
      <c r="E9" s="51">
        <f t="shared" si="0"/>
        <v>-62776.299999999988</v>
      </c>
      <c r="F9" s="52">
        <f t="shared" si="1"/>
        <v>-0.30891066404944828</v>
      </c>
      <c r="G9" s="53">
        <v>168220.79999999999</v>
      </c>
      <c r="H9" s="53">
        <f t="shared" si="4"/>
        <v>-27778.799999999988</v>
      </c>
      <c r="I9" s="52">
        <f t="shared" si="5"/>
        <v>-0.16513296809906974</v>
      </c>
      <c r="J9" s="71" t="s">
        <v>25</v>
      </c>
      <c r="K9" s="83" t="s">
        <v>26</v>
      </c>
      <c r="L9" s="86" t="s">
        <v>27</v>
      </c>
    </row>
    <row r="10" spans="1:12" ht="15.75">
      <c r="A10" s="54" t="str">
        <v>Sutton A</v>
      </c>
      <c r="B10" s="44" t="str">
        <v>MA</v>
      </c>
      <c r="C10" s="45">
        <v>54236</v>
      </c>
      <c r="D10" s="45">
        <v>92857.71</v>
      </c>
      <c r="E10" s="45">
        <f t="shared" si="0"/>
        <v>-38621.710000000006</v>
      </c>
      <c r="F10" s="46">
        <f t="shared" si="1"/>
        <v>-0.41592356735913477</v>
      </c>
      <c r="G10" s="47">
        <v>92964.7</v>
      </c>
      <c r="H10" s="47">
        <f t="shared" si="4"/>
        <v>-38728.699999999997</v>
      </c>
      <c r="I10" s="46">
        <f t="shared" si="5"/>
        <v>-0.41659576161704387</v>
      </c>
      <c r="J10" s="69"/>
      <c r="K10" s="70"/>
    </row>
    <row r="11" spans="1:12" ht="15.75">
      <c r="A11" s="49" t="str">
        <v>North Adams A</v>
      </c>
      <c r="B11" s="50" t="str">
        <v>MA</v>
      </c>
      <c r="C11" s="51">
        <v>61430</v>
      </c>
      <c r="D11" s="51">
        <v>85432.94</v>
      </c>
      <c r="E11" s="51">
        <f t="shared" si="0"/>
        <v>-24002.940000000002</v>
      </c>
      <c r="F11" s="52">
        <f t="shared" si="1"/>
        <v>-0.28095650225779428</v>
      </c>
      <c r="G11" s="53">
        <v>97969.54</v>
      </c>
      <c r="H11" s="53">
        <f t="shared" si="4"/>
        <v>-36539.539999999994</v>
      </c>
      <c r="I11" s="52">
        <f t="shared" si="5"/>
        <v>-0.3729683736393985</v>
      </c>
      <c r="J11" s="71"/>
      <c r="K11" s="72"/>
    </row>
    <row r="12" spans="1:12" ht="60.75">
      <c r="A12" s="54" t="str">
        <v>North Adams B</v>
      </c>
      <c r="B12" s="44" t="str">
        <v>MA</v>
      </c>
      <c r="C12" s="45">
        <v>45389</v>
      </c>
      <c r="D12" s="45">
        <v>3439.174</v>
      </c>
      <c r="E12" s="45">
        <f t="shared" si="0"/>
        <v>41949.826000000001</v>
      </c>
      <c r="F12" s="46">
        <f t="shared" si="1"/>
        <v>12.197645713767317</v>
      </c>
      <c r="G12" s="47">
        <v>97969.54</v>
      </c>
      <c r="H12" s="47">
        <f t="shared" si="4"/>
        <v>-52580.539999999994</v>
      </c>
      <c r="I12" s="46">
        <f t="shared" si="5"/>
        <v>-0.53670293848475759</v>
      </c>
      <c r="J12" s="69" t="s">
        <v>28</v>
      </c>
      <c r="K12" s="82" t="s">
        <v>29</v>
      </c>
    </row>
    <row r="13" spans="1:12" ht="15.75">
      <c r="A13" s="49" t="str">
        <v>Clarksburg A</v>
      </c>
      <c r="B13" s="50" t="str">
        <v>MA</v>
      </c>
      <c r="C13" s="51">
        <v>33591</v>
      </c>
      <c r="D13" s="51">
        <v>74718.880000000005</v>
      </c>
      <c r="E13" s="51">
        <f t="shared" si="0"/>
        <v>-41127.880000000005</v>
      </c>
      <c r="F13" s="52">
        <f t="shared" si="1"/>
        <v>-0.55043491015925294</v>
      </c>
      <c r="G13" s="53">
        <v>97524.52</v>
      </c>
      <c r="H13" s="53">
        <f t="shared" si="4"/>
        <v>-63933.520000000004</v>
      </c>
      <c r="I13" s="52">
        <f t="shared" si="5"/>
        <v>-0.65556354442964704</v>
      </c>
      <c r="J13" s="71"/>
      <c r="K13" s="72"/>
    </row>
    <row r="14" spans="1:12" ht="45.75">
      <c r="A14" s="54" t="str">
        <v>Swansea B</v>
      </c>
      <c r="B14" s="44" t="str">
        <v>MA</v>
      </c>
      <c r="C14" s="45">
        <v>94569</v>
      </c>
      <c r="D14" s="45">
        <v>125325.5</v>
      </c>
      <c r="E14" s="45">
        <f t="shared" si="0"/>
        <v>-30756.5</v>
      </c>
      <c r="F14" s="46">
        <f t="shared" si="1"/>
        <v>-0.24541294469202196</v>
      </c>
      <c r="G14" s="47">
        <v>51394</v>
      </c>
      <c r="H14" s="47">
        <f t="shared" si="4"/>
        <v>43175</v>
      </c>
      <c r="I14" s="46">
        <f t="shared" si="5"/>
        <v>0.84007860839786741</v>
      </c>
      <c r="J14" s="69" t="s">
        <v>30</v>
      </c>
      <c r="K14" s="82" t="s">
        <v>31</v>
      </c>
    </row>
    <row r="15" spans="1:12" ht="76.5">
      <c r="A15" s="49" t="str">
        <v>Wareham 2</v>
      </c>
      <c r="B15" s="50" t="str">
        <v>MA</v>
      </c>
      <c r="C15" s="51">
        <v>87644</v>
      </c>
      <c r="D15" s="51">
        <v>97399.22</v>
      </c>
      <c r="E15" s="51">
        <f t="shared" si="0"/>
        <v>-9755.2200000000012</v>
      </c>
      <c r="F15" s="52">
        <f t="shared" si="1"/>
        <v>-0.10015706491284017</v>
      </c>
      <c r="G15" s="53">
        <v>102713.9</v>
      </c>
      <c r="H15" s="53">
        <f t="shared" si="4"/>
        <v>-15069.899999999994</v>
      </c>
      <c r="I15" s="52">
        <f t="shared" si="5"/>
        <v>-0.14671724080187779</v>
      </c>
      <c r="J15" s="71" t="s">
        <v>32</v>
      </c>
      <c r="K15" s="83" t="s">
        <v>33</v>
      </c>
      <c r="L15" s="86" t="s">
        <v>34</v>
      </c>
    </row>
    <row r="16" spans="1:12" ht="30.75">
      <c r="A16" s="43" t="str">
        <v>Kingston 1 KB</v>
      </c>
      <c r="B16" s="44" t="str">
        <v>MA</v>
      </c>
      <c r="C16" s="45">
        <v>71770</v>
      </c>
      <c r="D16" s="45">
        <v>101770</v>
      </c>
      <c r="E16" s="45">
        <f t="shared" ref="E16:E20" si="6">IF(AND(ISNUMBER(C16),ISNUMBER(D16)), C16-D16, "")</f>
        <v>-30000</v>
      </c>
      <c r="F16" s="46">
        <f t="shared" si="1"/>
        <v>-0.29478235236317185</v>
      </c>
      <c r="G16" s="47">
        <v>78160.59</v>
      </c>
      <c r="H16" s="47">
        <f t="shared" ref="H16:H17" si="7">IF(AND(ISNUMBER(C16),ISNUMBER(G16)), C16-G16, "")</f>
        <v>-6390.5899999999965</v>
      </c>
      <c r="I16" s="46">
        <f t="shared" ref="I16:I17" si="8">IFERROR(H16/G16, "")</f>
        <v>-8.17623050184242E-2</v>
      </c>
      <c r="J16" s="60" t="s">
        <v>35</v>
      </c>
      <c r="K16" s="84" t="s">
        <v>36</v>
      </c>
    </row>
    <row r="17" spans="1:13" ht="15.75">
      <c r="A17" s="49" t="str">
        <v>Kingston 2 KB</v>
      </c>
      <c r="B17" s="50" t="str">
        <v>MA</v>
      </c>
      <c r="C17" s="51">
        <v>57696</v>
      </c>
      <c r="D17" s="51">
        <v>63140.3</v>
      </c>
      <c r="E17" s="51">
        <f t="shared" si="6"/>
        <v>-5444.3000000000029</v>
      </c>
      <c r="F17" s="52">
        <f t="shared" si="1"/>
        <v>-8.6225437636501617E-2</v>
      </c>
      <c r="G17" s="53">
        <v>62736.91</v>
      </c>
      <c r="H17" s="53">
        <f t="shared" si="7"/>
        <v>-5040.9100000000035</v>
      </c>
      <c r="I17" s="52">
        <f t="shared" si="8"/>
        <v>-8.034998854741178E-2</v>
      </c>
      <c r="J17" s="71"/>
      <c r="K17" s="83"/>
      <c r="L17" s="86"/>
    </row>
    <row r="18" spans="1:13" ht="30.75">
      <c r="A18" s="54" t="str">
        <v>Holliston B</v>
      </c>
      <c r="B18" s="44" t="str">
        <v>MA</v>
      </c>
      <c r="C18" s="45">
        <v>61173</v>
      </c>
      <c r="D18" s="45">
        <v>103746</v>
      </c>
      <c r="E18" s="45">
        <f t="shared" si="6"/>
        <v>-42573</v>
      </c>
      <c r="F18" s="46">
        <f t="shared" si="1"/>
        <v>-0.4103579897056272</v>
      </c>
      <c r="G18" s="47">
        <v>97654.44</v>
      </c>
      <c r="H18" s="47">
        <f t="shared" ref="H18:H20" si="9">IF(AND(ISNUMBER(C18),ISNUMBER(G18)), C18-G18, "")</f>
        <v>-36481.440000000002</v>
      </c>
      <c r="I18" s="46">
        <f t="shared" ref="I18:I20" si="10">IFERROR(H18/G18, "")</f>
        <v>-0.37357686962313236</v>
      </c>
      <c r="J18" s="69" t="s">
        <v>37</v>
      </c>
      <c r="K18" s="82" t="s">
        <v>38</v>
      </c>
    </row>
    <row r="19" spans="1:13" ht="157.5" customHeight="1">
      <c r="A19" s="49" t="str">
        <v>Fairhaven C</v>
      </c>
      <c r="B19" s="50" t="str">
        <v>MA</v>
      </c>
      <c r="C19" s="51">
        <v>176084</v>
      </c>
      <c r="D19" s="51">
        <v>223072.8</v>
      </c>
      <c r="E19" s="51">
        <f t="shared" si="6"/>
        <v>-46988.799999999988</v>
      </c>
      <c r="F19" s="52">
        <f t="shared" si="1"/>
        <v>-0.21064334154589887</v>
      </c>
      <c r="G19" s="53">
        <v>175840.8</v>
      </c>
      <c r="H19" s="53">
        <f t="shared" si="9"/>
        <v>243.20000000001164</v>
      </c>
      <c r="I19" s="52">
        <f t="shared" si="10"/>
        <v>1.3830692308042937E-3</v>
      </c>
      <c r="J19" s="71" t="s">
        <v>39</v>
      </c>
      <c r="K19" s="83" t="s">
        <v>40</v>
      </c>
      <c r="L19" s="86" t="s">
        <v>41</v>
      </c>
      <c r="M19" s="86" t="s">
        <v>42</v>
      </c>
    </row>
    <row r="20" spans="1:13" ht="76.5">
      <c r="A20" s="43" t="str">
        <v>Plympton A-2</v>
      </c>
      <c r="B20" s="44" t="str">
        <v>MA</v>
      </c>
      <c r="C20" s="45">
        <v>86762</v>
      </c>
      <c r="D20" s="45">
        <v>112140.9</v>
      </c>
      <c r="E20" s="45">
        <f t="shared" si="6"/>
        <v>-25378.899999999994</v>
      </c>
      <c r="F20" s="46">
        <f t="shared" si="1"/>
        <v>-0.22631261207998149</v>
      </c>
      <c r="G20" s="47">
        <v>98150.02</v>
      </c>
      <c r="H20" s="47">
        <f t="shared" si="9"/>
        <v>-11388.020000000004</v>
      </c>
      <c r="I20" s="46">
        <f t="shared" si="10"/>
        <v>-0.11602667019324095</v>
      </c>
      <c r="J20" s="60" t="s">
        <v>43</v>
      </c>
      <c r="K20" s="84" t="s">
        <v>44</v>
      </c>
      <c r="L20" s="85" t="s">
        <v>45</v>
      </c>
    </row>
    <row r="21" spans="1:13" ht="14.2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3" ht="14.2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3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3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3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3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3" ht="14.2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3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3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3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3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3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9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6" r:id="rId1" display="https://us3.assetplanner.com/service_request?ID=096163" xr:uid="{D9E34A05-D919-47E0-830D-D76A67602A14}"/>
    <hyperlink ref="K9" r:id="rId2" display="https://us3.assetplanner.com/service_request?ID=094920" xr:uid="{1B4A7BC3-BF43-4D48-ABBC-1C4DDFCF8597}"/>
    <hyperlink ref="L9" r:id="rId3" display="https://us3.assetplanner.com/service_request?ID=094966" xr:uid="{873C7A52-864B-4433-A1B9-FD13BECCBF22}"/>
    <hyperlink ref="K12" r:id="rId4" display="https://us3.assetplanner.com/service_request?ID=087828" xr:uid="{28083002-E6F4-4034-92E7-A0FD3C7A9764}"/>
    <hyperlink ref="K14" r:id="rId5" display="https://us3.assetplanner.com/service_request?ID=092911" xr:uid="{09FB1D0F-6955-47B9-86C5-C49A56A007FC}"/>
    <hyperlink ref="K15" r:id="rId6" display="https://us3.assetplanner.com/service_request?ID=095394" xr:uid="{286B9E60-611E-4B7D-9744-6DAD7C6C9D6E}"/>
    <hyperlink ref="L15" r:id="rId7" display="https://us3.assetplanner.com/service_request?ID=095692" xr:uid="{F4F745AA-4AA2-46E4-AD73-9BD0C95B3AD8}"/>
    <hyperlink ref="K16" r:id="rId8" display="https://us3.assetplanner.com/service_request?ID=095225" xr:uid="{6511C9A1-163A-4134-AA6E-CB24EADC3BA6}"/>
    <hyperlink ref="K18" r:id="rId9" display="https://us3.assetplanner.com/service_request?ID=094409" xr:uid="{374F9833-3B02-4E06-89A5-6E896C0C6A33}"/>
    <hyperlink ref="K19" r:id="rId10" display="https://us3.assetplanner.com/service_request?ID=088896" xr:uid="{DA7F5F80-8166-4689-A5ED-95788D0F7C03}"/>
    <hyperlink ref="L19" r:id="rId11" display="https://us3.assetplanner.com/service_request?ID=092913" xr:uid="{A1BA743F-9602-4A5A-8500-FAB9D24BBCF9}"/>
    <hyperlink ref="M19" r:id="rId12" display="https://us3.assetplanner.com/service_request?ID=093031" xr:uid="{8C9FA8D0-3270-4A9E-A4E3-DCAD7DE77842}"/>
    <hyperlink ref="K20" r:id="rId13" display="https://us3.assetplanner.com/service_request?ID=095226" xr:uid="{C48736C4-0173-4C6D-AA3D-9D1062BF3D41}"/>
    <hyperlink ref="L20" r:id="rId14" display="https://us3.assetplanner.com/service_request?ID=095230" xr:uid="{52FACD6E-5EB9-4135-857E-9391B454F942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6" activePane="bottomRight" state="frozen"/>
      <selection pane="bottomRight" activeCell="H23" sqref="H23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46</v>
      </c>
      <c r="E1" s="89"/>
      <c r="F1" s="89"/>
      <c r="G1" s="87" t="s">
        <v>47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60"/>
      <c r="K4" s="48"/>
    </row>
    <row r="5" spans="1:11" ht="17.45" customHeight="1">
      <c r="A5" s="49" t="str">
        <v>Orange A KB</v>
      </c>
      <c r="B5" s="50" t="str">
        <v>MA</v>
      </c>
      <c r="C5" s="59"/>
      <c r="D5" s="51"/>
      <c r="E5" s="51" t="str">
        <f t="shared" ref="E5:E15" si="0">IF(AND(ISNUMBER(C5),ISNUMBER(D5)), C5-D5, "")</f>
        <v/>
      </c>
      <c r="F5" s="52" t="str">
        <f>IFERROR(E5/D5, "")</f>
        <v/>
      </c>
      <c r="G5" s="53"/>
      <c r="H5" s="53" t="str">
        <f t="shared" ref="H5:H15" si="1">IF(AND(ISNUMBER(C5),ISNUMBER(G5)), C5-G5, "")</f>
        <v/>
      </c>
      <c r="I5" s="52" t="str">
        <f t="shared" ref="I5:I15" si="2">IFERROR(H5/G5, "")</f>
        <v/>
      </c>
      <c r="J5" s="71"/>
      <c r="K5" s="72"/>
    </row>
    <row r="6" spans="1:11" ht="15.75">
      <c r="A6" s="54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5" si="3">IFERROR(E6/D6, "")</f>
        <v/>
      </c>
      <c r="G6" s="47"/>
      <c r="H6" s="47" t="str">
        <f t="shared" si="1"/>
        <v/>
      </c>
      <c r="I6" s="46" t="str">
        <f t="shared" si="2"/>
        <v/>
      </c>
      <c r="J6" s="69"/>
      <c r="K6" s="70"/>
    </row>
    <row r="7" spans="1:11" ht="15.75">
      <c r="A7" s="49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71"/>
      <c r="K7" s="68"/>
    </row>
    <row r="8" spans="1:11" ht="15.75">
      <c r="A8" s="54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71"/>
      <c r="K9" s="68"/>
    </row>
    <row r="10" spans="1:11" ht="15.75">
      <c r="A10" s="54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69"/>
      <c r="K10" s="70"/>
    </row>
    <row r="11" spans="1:11" ht="15.75">
      <c r="A11" s="49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71"/>
      <c r="K11" s="68"/>
    </row>
    <row r="12" spans="1:11" ht="15.75">
      <c r="A12" s="54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69"/>
      <c r="K12" s="70"/>
    </row>
    <row r="13" spans="1:11" ht="15.75">
      <c r="A13" s="49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71"/>
      <c r="K13" s="68"/>
    </row>
    <row r="14" spans="1:11" ht="15.75">
      <c r="A14" s="54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69"/>
      <c r="K14" s="70"/>
    </row>
    <row r="15" spans="1:11" ht="18.600000000000001" customHeight="1">
      <c r="A15" s="49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71"/>
      <c r="K15" s="68"/>
    </row>
    <row r="16" spans="1:11" ht="15.6" customHeight="1">
      <c r="A16" s="54" t="str">
        <v>Kingston 1 KB</v>
      </c>
      <c r="B16" s="44" t="str">
        <v>MA</v>
      </c>
      <c r="C16" s="57"/>
      <c r="D16" s="45"/>
      <c r="E16" s="45" t="str">
        <f t="shared" ref="E16:E20" si="4">IF(AND(ISNUMBER(C16),ISNUMBER(D16)), C16-D16, "")</f>
        <v/>
      </c>
      <c r="F16" s="58" t="str">
        <f t="shared" ref="F16:F20" si="5">IFERROR(E16/D16, "")</f>
        <v/>
      </c>
      <c r="G16" s="47"/>
      <c r="H16" s="47" t="str">
        <f t="shared" ref="H16:H20" si="6">IF(AND(ISNUMBER(C16),ISNUMBER(G16)), C16-G16, "")</f>
        <v/>
      </c>
      <c r="I16" s="46" t="str">
        <f t="shared" ref="I16:I20" si="7">IFERROR(H16/G16, "")</f>
        <v/>
      </c>
      <c r="J16" s="69"/>
      <c r="K16" s="70"/>
    </row>
    <row r="17" spans="1:11" ht="15.75">
      <c r="A17" s="49" t="str">
        <v>Kingston 2 KB</v>
      </c>
      <c r="B17" s="50" t="str">
        <v>MA</v>
      </c>
      <c r="C17" s="59"/>
      <c r="D17" s="51"/>
      <c r="E17" s="51" t="str">
        <f t="shared" si="4"/>
        <v/>
      </c>
      <c r="F17" s="52" t="str">
        <f t="shared" si="5"/>
        <v/>
      </c>
      <c r="G17" s="53"/>
      <c r="H17" s="53" t="str">
        <f t="shared" si="6"/>
        <v/>
      </c>
      <c r="I17" s="52" t="str">
        <f t="shared" si="7"/>
        <v/>
      </c>
      <c r="J17" s="71"/>
      <c r="K17" s="72"/>
    </row>
    <row r="18" spans="1:11" ht="18" customHeight="1">
      <c r="A18" s="54" t="str">
        <v>Holliston B</v>
      </c>
      <c r="B18" s="44" t="str">
        <v>MA</v>
      </c>
      <c r="C18" s="57"/>
      <c r="D18" s="45"/>
      <c r="E18" s="45" t="str">
        <f t="shared" si="4"/>
        <v/>
      </c>
      <c r="F18" s="58" t="str">
        <f t="shared" si="5"/>
        <v/>
      </c>
      <c r="G18" s="47"/>
      <c r="H18" s="47" t="str">
        <f t="shared" si="6"/>
        <v/>
      </c>
      <c r="I18" s="46" t="str">
        <f t="shared" si="7"/>
        <v/>
      </c>
      <c r="J18" s="69"/>
      <c r="K18" s="70"/>
    </row>
    <row r="19" spans="1:11" ht="15.75">
      <c r="A19" s="49" t="str">
        <v>Fairhaven C</v>
      </c>
      <c r="B19" s="50" t="str">
        <v>MA</v>
      </c>
      <c r="C19" s="59"/>
      <c r="D19" s="51"/>
      <c r="E19" s="51" t="str">
        <f t="shared" si="4"/>
        <v/>
      </c>
      <c r="F19" s="52" t="str">
        <f t="shared" si="5"/>
        <v/>
      </c>
      <c r="G19" s="53"/>
      <c r="H19" s="53" t="str">
        <f t="shared" si="6"/>
        <v/>
      </c>
      <c r="I19" s="52" t="str">
        <f t="shared" si="7"/>
        <v/>
      </c>
      <c r="J19" s="71"/>
      <c r="K19" s="72"/>
    </row>
    <row r="20" spans="1:11" ht="15.75">
      <c r="A20" s="54" t="str">
        <v>Plympton A-2</v>
      </c>
      <c r="B20" s="44" t="str">
        <v>MA</v>
      </c>
      <c r="C20" s="57"/>
      <c r="D20" s="45"/>
      <c r="E20" s="45" t="str">
        <f t="shared" si="4"/>
        <v/>
      </c>
      <c r="F20" s="58" t="str">
        <f t="shared" si="5"/>
        <v/>
      </c>
      <c r="G20" s="47"/>
      <c r="H20" s="47" t="str">
        <f t="shared" si="6"/>
        <v/>
      </c>
      <c r="I20" s="46" t="str">
        <f t="shared" si="7"/>
        <v/>
      </c>
      <c r="J20" s="69"/>
      <c r="K20" s="70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48</v>
      </c>
      <c r="E1" s="89"/>
      <c r="F1" s="89"/>
      <c r="G1" s="87" t="s">
        <v>49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>IF(AND(ISNUMBER(C7),ISNUMBER(D7)), C7-D7, "")</f>
        <v/>
      </c>
      <c r="F7" s="52" t="str">
        <f>IFERROR(E7/D7, "")</f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>IF(AND(ISNUMBER(C8),ISNUMBER(D8)), C8-D8, "")</f>
        <v/>
      </c>
      <c r="F8" s="58" t="str">
        <f>IFERROR(E8/D8, "")</f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73"/>
      <c r="K11" s="74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65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50</v>
      </c>
      <c r="E1" s="89"/>
      <c r="F1" s="89"/>
      <c r="G1" s="87" t="s">
        <v>51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52</v>
      </c>
      <c r="K4" s="27" t="s">
        <v>53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82" zoomScaleNormal="70" workbookViewId="0">
      <pane xSplit="2" ySplit="3" topLeftCell="C5" activePane="bottomRight" state="frozen"/>
      <selection pane="bottomRight" activeCell="I26" sqref="I2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54</v>
      </c>
      <c r="E1" s="89"/>
      <c r="F1" s="89"/>
      <c r="G1" s="87" t="s">
        <v>55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75"/>
      <c r="K4" s="75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73"/>
      <c r="K5" s="73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75"/>
      <c r="K6" s="75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73"/>
      <c r="K7" s="73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75"/>
      <c r="K8" s="75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73"/>
      <c r="K9" s="73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75"/>
      <c r="K10" s="75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73"/>
      <c r="K11" s="73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75"/>
      <c r="K12" s="75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73"/>
      <c r="K13" s="73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75"/>
      <c r="K14" s="75"/>
    </row>
    <row r="15" spans="1:11" ht="16.149999999999999" customHeight="1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73"/>
      <c r="K15" s="73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75"/>
      <c r="K16" s="75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 t="str">
        <f t="shared" ref="E18:E20" si="4">IF(AND(ISNUMBER(C18),ISNUMBER(D18)), C18-D18, "")</f>
        <v/>
      </c>
      <c r="F18" s="58" t="str">
        <f t="shared" ref="F18:F20" si="5">IFERROR(E18/D18, "")</f>
        <v/>
      </c>
      <c r="G18" s="47"/>
      <c r="H18" s="47" t="str">
        <f t="shared" ref="H18:H20" si="6">IF(AND(ISNUMBER(C18),ISNUMBER(G18)), C18-G18, "")</f>
        <v/>
      </c>
      <c r="I18" s="46" t="str">
        <f t="shared" ref="I18:I20" si="7">IFERROR(H18/G18, "")</f>
        <v/>
      </c>
      <c r="J18" s="75"/>
      <c r="K18" s="75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4"/>
        <v/>
      </c>
      <c r="F19" s="52" t="str">
        <f t="shared" si="5"/>
        <v/>
      </c>
      <c r="G19" s="53"/>
      <c r="H19" s="53" t="str">
        <f t="shared" si="6"/>
        <v/>
      </c>
      <c r="I19" s="52" t="str">
        <f t="shared" si="7"/>
        <v/>
      </c>
      <c r="J19" s="73"/>
      <c r="K19" s="73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4"/>
        <v/>
      </c>
      <c r="F20" s="58" t="str">
        <f t="shared" si="5"/>
        <v/>
      </c>
      <c r="G20" s="47"/>
      <c r="H20" s="47" t="str">
        <f t="shared" si="6"/>
        <v/>
      </c>
      <c r="I20" s="46" t="str">
        <f t="shared" si="7"/>
        <v/>
      </c>
      <c r="J20" s="75"/>
      <c r="K20" s="75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G25" sqref="G25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56</v>
      </c>
      <c r="E1" s="89"/>
      <c r="F1" s="89"/>
      <c r="G1" s="87" t="s">
        <v>57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77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58</v>
      </c>
      <c r="K4" s="27" t="s">
        <v>59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9.899999999999999" customHeight="1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74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76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56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9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zoomScale="80" zoomScaleNormal="80" workbookViewId="0">
      <pane xSplit="2" ySplit="3" topLeftCell="C7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60</v>
      </c>
      <c r="E1" s="89"/>
      <c r="F1" s="89"/>
      <c r="G1" s="87" t="s">
        <v>61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74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56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6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64</v>
      </c>
      <c r="E1" s="89"/>
      <c r="F1" s="89"/>
      <c r="G1" s="87" t="s">
        <v>65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56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66</v>
      </c>
      <c r="K4" s="27" t="s">
        <v>67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9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8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73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8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8"/>
    </row>
    <row r="18" spans="1:11" ht="12.75" customHeight="1">
      <c r="A18" s="56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73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68</v>
      </c>
      <c r="E1" s="89"/>
      <c r="F1" s="89"/>
      <c r="G1" s="87" t="s">
        <v>69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56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F7" activePane="bottomRight" state="frozen"/>
      <selection pane="bottomRight" activeCell="I24" sqref="I24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70</v>
      </c>
      <c r="E1" s="89"/>
      <c r="F1" s="89"/>
      <c r="G1" s="87" t="s">
        <v>71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72</v>
      </c>
      <c r="K4" s="27" t="s">
        <v>73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6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7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78"/>
      <c r="K8" s="78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>IFERROR(E17/D17, "")</f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56" t="str">
        <v>Holliston B</v>
      </c>
      <c r="B18" s="44" t="str">
        <v>MA</v>
      </c>
      <c r="C18" s="57"/>
      <c r="D18" s="45"/>
      <c r="E18" s="45" t="str">
        <f>IF(AND(ISNUMBER(C18),ISNUMBER(D18)), C18-D18, "")</f>
        <v/>
      </c>
      <c r="F18" s="58" t="str">
        <f>IFERROR(E18/D18, "")</f>
        <v/>
      </c>
      <c r="G18" s="47"/>
      <c r="H18" s="47" t="str">
        <f>IF(AND(ISNUMBER(C18),ISNUMBER(G18)), C18-G18, "")</f>
        <v/>
      </c>
      <c r="I18" s="46" t="str">
        <f>IFERROR(H18/G18, "")</f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>IF(AND(ISNUMBER(C19),ISNUMBER(D19)), C19-D19, "")</f>
        <v/>
      </c>
      <c r="F19" s="52" t="str">
        <f>IFERROR(E19/D19, "")</f>
        <v/>
      </c>
      <c r="G19" s="53"/>
      <c r="H19" s="53" t="str">
        <f>IF(AND(ISNUMBER(C19),ISNUMBER(G19)), C19-G19, "")</f>
        <v/>
      </c>
      <c r="I19" s="52" t="str">
        <f>IFERROR(H19/G19, "")</f>
        <v/>
      </c>
      <c r="J19" s="28"/>
      <c r="K19" s="29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>IF(AND(ISNUMBER(C20),ISNUMBER(D20)), C20-D20, "")</f>
        <v/>
      </c>
      <c r="F20" s="58" t="str">
        <f>IFERROR(E20/D20, "")</f>
        <v/>
      </c>
      <c r="G20" s="47"/>
      <c r="H20" s="47" t="str">
        <f>IF(AND(ISNUMBER(C20),ISNUMBER(G20)), C20-G20, "")</f>
        <v/>
      </c>
      <c r="I20" s="46" t="str">
        <f>IFERROR(H20/G20, "")</f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 t="str">
        <f>IFERROR(E21/D21, "")</f>
        <v/>
      </c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20 I4:I95 F22:F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9" activePane="bottomRight" state="frozen"/>
      <selection pane="bottomRight" activeCell="H36" sqref="H36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74</v>
      </c>
      <c r="E1" s="89"/>
      <c r="F1" s="89"/>
      <c r="G1" s="87" t="s">
        <v>75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42.75">
      <c r="A4" s="77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76</v>
      </c>
      <c r="K4" s="27" t="s">
        <v>77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>IFERROR(E5/D5, "")</f>
        <v/>
      </c>
      <c r="G5" s="53"/>
      <c r="H5" s="53" t="str">
        <f t="shared" ref="H5:H20" si="1">IF(AND(ISNUMBER(C5),ISNUMBER(G5)), C5-G5, "")</f>
        <v/>
      </c>
      <c r="I5" s="52" t="str">
        <f t="shared" ref="I5:I20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20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8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6.149999999999999" customHeight="1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8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81"/>
      <c r="K15" s="80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3"/>
        <v/>
      </c>
      <c r="G18" s="47"/>
      <c r="H18" s="47" t="str">
        <f t="shared" si="1"/>
        <v/>
      </c>
      <c r="I18" s="46" t="str">
        <f t="shared" si="2"/>
        <v/>
      </c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3"/>
        <v/>
      </c>
      <c r="G19" s="53"/>
      <c r="H19" s="53" t="str">
        <f t="shared" si="1"/>
        <v/>
      </c>
      <c r="I19" s="52" t="str">
        <f t="shared" si="2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3"/>
        <v/>
      </c>
      <c r="G20" s="47"/>
      <c r="H20" s="47" t="str">
        <f t="shared" si="1"/>
        <v/>
      </c>
      <c r="I20" s="46" t="str">
        <f t="shared" si="2"/>
        <v/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I22" sqref="I22"/>
      <selection pane="bottomLeft" activeCell="H36" sqref="H36"/>
      <selection pane="topRight" activeCell="H36" sqref="H36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MN8 KEF</v>
      </c>
      <c r="B1" s="88"/>
      <c r="C1" s="88"/>
      <c r="D1" s="89" t="s">
        <v>78</v>
      </c>
      <c r="E1" s="89"/>
      <c r="F1" s="89"/>
      <c r="G1" s="87" t="s">
        <v>79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 t="s">
        <v>80</v>
      </c>
      <c r="K4" s="27" t="s">
        <v>81</v>
      </c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20" si="0">IF(AND(ISNUMBER(C5),ISNUMBER(D5)), C5-D5, "")</f>
        <v/>
      </c>
      <c r="F5" s="52" t="str">
        <f t="shared" ref="F5:F20" si="1">IFERROR(E5/D5, "")</f>
        <v/>
      </c>
      <c r="G5" s="53"/>
      <c r="H5" s="53" t="str">
        <f t="shared" ref="H5:H20" si="2">IF(AND(ISNUMBER(C5),ISNUMBER(G5)), C5-G5, "")</f>
        <v/>
      </c>
      <c r="I5" s="52" t="str">
        <f t="shared" ref="I5:I20" si="3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si="1"/>
        <v/>
      </c>
      <c r="G6" s="47"/>
      <c r="H6" s="47" t="str">
        <f t="shared" si="2"/>
        <v/>
      </c>
      <c r="I6" s="46" t="str">
        <f t="shared" si="3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1"/>
        <v/>
      </c>
      <c r="G7" s="53"/>
      <c r="H7" s="53" t="str">
        <f t="shared" si="2"/>
        <v/>
      </c>
      <c r="I7" s="52" t="str">
        <f t="shared" si="3"/>
        <v/>
      </c>
      <c r="J7" s="28"/>
      <c r="K7" s="28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1"/>
        <v/>
      </c>
      <c r="G8" s="47"/>
      <c r="H8" s="47" t="str">
        <f t="shared" si="2"/>
        <v/>
      </c>
      <c r="I8" s="46" t="str">
        <f t="shared" si="3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1"/>
        <v/>
      </c>
      <c r="G9" s="53"/>
      <c r="H9" s="53" t="str">
        <f t="shared" si="2"/>
        <v/>
      </c>
      <c r="I9" s="52" t="str">
        <f t="shared" si="3"/>
        <v/>
      </c>
      <c r="J9" s="73"/>
      <c r="K9" s="73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1"/>
        <v/>
      </c>
      <c r="G10" s="47"/>
      <c r="H10" s="47" t="str">
        <f t="shared" si="2"/>
        <v/>
      </c>
      <c r="I10" s="46" t="str">
        <f t="shared" si="3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1"/>
        <v/>
      </c>
      <c r="G11" s="53"/>
      <c r="H11" s="53" t="str">
        <f t="shared" si="2"/>
        <v/>
      </c>
      <c r="I11" s="52" t="str">
        <f t="shared" si="3"/>
        <v/>
      </c>
      <c r="J11" s="28"/>
      <c r="K11" s="28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1"/>
        <v/>
      </c>
      <c r="G12" s="47"/>
      <c r="H12" s="47" t="str">
        <f t="shared" si="2"/>
        <v/>
      </c>
      <c r="I12" s="46" t="str">
        <f t="shared" si="3"/>
        <v/>
      </c>
      <c r="J12" s="75"/>
      <c r="K12" s="75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1"/>
        <v/>
      </c>
      <c r="G13" s="53"/>
      <c r="H13" s="53" t="str">
        <f t="shared" si="2"/>
        <v/>
      </c>
      <c r="I13" s="52" t="str">
        <f t="shared" si="3"/>
        <v/>
      </c>
      <c r="J13" s="28"/>
      <c r="K13" s="28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1"/>
        <v/>
      </c>
      <c r="G14" s="47"/>
      <c r="H14" s="47" t="str">
        <f t="shared" si="2"/>
        <v/>
      </c>
      <c r="I14" s="46" t="str">
        <f t="shared" si="3"/>
        <v/>
      </c>
      <c r="J14" s="75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1"/>
        <v/>
      </c>
      <c r="G15" s="53"/>
      <c r="H15" s="53" t="str">
        <f t="shared" si="2"/>
        <v/>
      </c>
      <c r="I15" s="52" t="str">
        <f t="shared" si="3"/>
        <v/>
      </c>
      <c r="J15" s="73"/>
      <c r="K15" s="73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1"/>
        <v/>
      </c>
      <c r="G16" s="47"/>
      <c r="H16" s="47" t="str">
        <f t="shared" si="2"/>
        <v/>
      </c>
      <c r="I16" s="46" t="str">
        <f t="shared" si="3"/>
        <v/>
      </c>
      <c r="J16" s="75"/>
      <c r="K16" s="75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1"/>
        <v/>
      </c>
      <c r="G17" s="53"/>
      <c r="H17" s="53" t="str">
        <f t="shared" si="2"/>
        <v/>
      </c>
      <c r="I17" s="52" t="str">
        <f t="shared" si="3"/>
        <v/>
      </c>
      <c r="J17" s="28"/>
      <c r="K17" s="28"/>
    </row>
    <row r="18" spans="1:11" ht="15.75">
      <c r="A18" s="56" t="str">
        <v>Holliston B</v>
      </c>
      <c r="B18" s="44" t="str">
        <v>MA</v>
      </c>
      <c r="C18" s="57"/>
      <c r="D18" s="45"/>
      <c r="E18" s="45" t="str">
        <f t="shared" si="0"/>
        <v/>
      </c>
      <c r="F18" s="58" t="str">
        <f t="shared" si="1"/>
        <v/>
      </c>
      <c r="G18" s="47"/>
      <c r="H18" s="47" t="str">
        <f t="shared" si="2"/>
        <v/>
      </c>
      <c r="I18" s="46" t="str">
        <f t="shared" si="3"/>
        <v/>
      </c>
      <c r="J18" s="75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 t="str">
        <f t="shared" si="0"/>
        <v/>
      </c>
      <c r="F19" s="52" t="str">
        <f t="shared" si="1"/>
        <v/>
      </c>
      <c r="G19" s="53"/>
      <c r="H19" s="53" t="str">
        <f t="shared" si="2"/>
        <v/>
      </c>
      <c r="I19" s="52" t="str">
        <f t="shared" si="3"/>
        <v/>
      </c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 t="str">
        <f t="shared" si="0"/>
        <v/>
      </c>
      <c r="F20" s="58" t="str">
        <f t="shared" si="1"/>
        <v/>
      </c>
      <c r="G20" s="47"/>
      <c r="H20" s="47" t="str">
        <f t="shared" si="2"/>
        <v/>
      </c>
      <c r="I20" s="46" t="str">
        <f t="shared" si="3"/>
        <v/>
      </c>
      <c r="J20" s="75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">
    <cfRule type="cellIs" dxfId="6" priority="19" stopIfTrue="1" operator="lessThanOrEqual">
      <formula>-0.1</formula>
    </cfRule>
    <cfRule type="expression" dxfId="5" priority="20">
      <formula>AND(ISNUMBER(F2), F2&gt;=0.1)</formula>
    </cfRule>
  </conditionalFormatting>
  <conditionalFormatting sqref="F4:F95 I4:I95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82</v>
      </c>
      <c r="B1" t="s">
        <v>83</v>
      </c>
    </row>
    <row r="3" spans="1:12">
      <c r="A3" t="s">
        <v>84</v>
      </c>
      <c r="B3" t="s">
        <v>3</v>
      </c>
      <c r="C3" t="s">
        <v>4</v>
      </c>
      <c r="D3" t="s">
        <v>85</v>
      </c>
      <c r="E3" s="2" t="s">
        <v>86</v>
      </c>
    </row>
    <row r="4" spans="1:12" ht="14.25">
      <c r="A4" s="35" t="s">
        <v>87</v>
      </c>
      <c r="B4" t="s">
        <v>88</v>
      </c>
      <c r="C4" s="34" t="s">
        <v>89</v>
      </c>
      <c r="D4" s="33"/>
      <c r="E4" t="s">
        <v>90</v>
      </c>
      <c r="G4" s="3"/>
    </row>
    <row r="5" spans="1:12" ht="14.25">
      <c r="A5" s="35" t="s">
        <v>91</v>
      </c>
      <c r="B5" t="s">
        <v>92</v>
      </c>
      <c r="C5" s="34" t="s">
        <v>89</v>
      </c>
      <c r="D5" s="33"/>
      <c r="E5" t="s">
        <v>90</v>
      </c>
      <c r="G5" s="3"/>
    </row>
    <row r="6" spans="1:12" ht="14.25">
      <c r="A6" s="35" t="s">
        <v>93</v>
      </c>
      <c r="B6" t="s">
        <v>94</v>
      </c>
      <c r="C6" s="34" t="s">
        <v>89</v>
      </c>
      <c r="D6" s="33"/>
      <c r="E6" t="s">
        <v>90</v>
      </c>
      <c r="G6" s="3"/>
    </row>
    <row r="7" spans="1:12" ht="12.75" customHeight="1">
      <c r="A7" s="35" t="s">
        <v>95</v>
      </c>
      <c r="B7" t="s">
        <v>96</v>
      </c>
      <c r="C7" s="34" t="s">
        <v>89</v>
      </c>
      <c r="D7" s="33"/>
      <c r="E7" t="s">
        <v>90</v>
      </c>
    </row>
    <row r="8" spans="1:12" ht="12.75" customHeight="1">
      <c r="A8" s="35" t="s">
        <v>97</v>
      </c>
      <c r="B8" t="s">
        <v>98</v>
      </c>
      <c r="C8" s="34" t="s">
        <v>89</v>
      </c>
      <c r="D8" s="33"/>
      <c r="E8" t="s">
        <v>90</v>
      </c>
    </row>
    <row r="9" spans="1:12" ht="12.75" customHeight="1">
      <c r="A9" s="35" t="s">
        <v>99</v>
      </c>
      <c r="B9" t="s">
        <v>100</v>
      </c>
      <c r="C9" s="34" t="s">
        <v>89</v>
      </c>
      <c r="D9" s="33"/>
      <c r="E9" t="s">
        <v>90</v>
      </c>
    </row>
    <row r="10" spans="1:12" ht="12.75" customHeight="1">
      <c r="A10" s="35" t="s">
        <v>101</v>
      </c>
      <c r="B10" t="s">
        <v>102</v>
      </c>
      <c r="C10" s="34" t="s">
        <v>89</v>
      </c>
      <c r="D10" s="33"/>
      <c r="E10" t="s">
        <v>90</v>
      </c>
      <c r="K10" s="30"/>
      <c r="L10" s="30"/>
    </row>
    <row r="11" spans="1:12" ht="12.75" customHeight="1">
      <c r="A11" s="35" t="s">
        <v>103</v>
      </c>
      <c r="B11" t="s">
        <v>104</v>
      </c>
      <c r="C11" s="34" t="s">
        <v>89</v>
      </c>
      <c r="D11" s="33"/>
      <c r="E11" t="s">
        <v>90</v>
      </c>
      <c r="K11" s="30"/>
      <c r="L11" s="30"/>
    </row>
    <row r="12" spans="1:12" ht="12.75" customHeight="1">
      <c r="A12" s="35" t="s">
        <v>105</v>
      </c>
      <c r="B12" t="s">
        <v>106</v>
      </c>
      <c r="C12" s="34" t="s">
        <v>89</v>
      </c>
      <c r="D12" s="33"/>
      <c r="E12" t="s">
        <v>90</v>
      </c>
      <c r="K12" s="30"/>
      <c r="L12" s="30"/>
    </row>
    <row r="13" spans="1:12" ht="12.75" customHeight="1">
      <c r="A13" s="35" t="s">
        <v>107</v>
      </c>
      <c r="B13" t="s">
        <v>108</v>
      </c>
      <c r="C13" s="34" t="s">
        <v>89</v>
      </c>
      <c r="D13" s="33"/>
      <c r="E13" t="s">
        <v>90</v>
      </c>
      <c r="K13" s="30"/>
      <c r="L13" s="30"/>
    </row>
    <row r="14" spans="1:12" ht="12.75" customHeight="1">
      <c r="A14" s="35" t="s">
        <v>109</v>
      </c>
      <c r="B14" t="s">
        <v>110</v>
      </c>
      <c r="C14" s="34" t="s">
        <v>89</v>
      </c>
      <c r="D14" s="33"/>
      <c r="E14" t="s">
        <v>90</v>
      </c>
      <c r="K14" s="30"/>
      <c r="L14" s="30"/>
    </row>
    <row r="15" spans="1:12" ht="12.75" customHeight="1">
      <c r="A15" s="35" t="s">
        <v>111</v>
      </c>
      <c r="B15" t="s">
        <v>112</v>
      </c>
      <c r="C15" s="34" t="s">
        <v>89</v>
      </c>
      <c r="D15" s="33"/>
      <c r="E15" t="s">
        <v>90</v>
      </c>
      <c r="K15" s="30"/>
      <c r="L15" s="30"/>
    </row>
    <row r="16" spans="1:12" ht="12.75" customHeight="1">
      <c r="A16" s="35" t="s">
        <v>113</v>
      </c>
      <c r="B16" t="s">
        <v>114</v>
      </c>
      <c r="C16" s="34" t="s">
        <v>89</v>
      </c>
      <c r="D16" s="33"/>
      <c r="E16" t="s">
        <v>90</v>
      </c>
      <c r="K16" s="30"/>
      <c r="L16" s="30"/>
    </row>
    <row r="17" spans="1:12" ht="12.75" customHeight="1">
      <c r="A17" s="35" t="s">
        <v>115</v>
      </c>
      <c r="B17" t="s">
        <v>116</v>
      </c>
      <c r="C17" s="34" t="s">
        <v>89</v>
      </c>
      <c r="D17" s="33"/>
      <c r="E17" t="s">
        <v>90</v>
      </c>
      <c r="K17" s="30"/>
      <c r="L17" s="30"/>
    </row>
    <row r="18" spans="1:12" ht="12.75" customHeight="1">
      <c r="A18" s="35" t="s">
        <v>117</v>
      </c>
      <c r="B18" t="s">
        <v>118</v>
      </c>
      <c r="C18" s="34" t="s">
        <v>89</v>
      </c>
      <c r="D18" s="33"/>
      <c r="E18" t="s">
        <v>90</v>
      </c>
      <c r="K18" s="30"/>
      <c r="L18" s="30"/>
    </row>
    <row r="19" spans="1:12" ht="12.75" customHeight="1">
      <c r="A19" s="35" t="s">
        <v>119</v>
      </c>
      <c r="B19" t="s">
        <v>120</v>
      </c>
      <c r="C19" s="34" t="s">
        <v>89</v>
      </c>
      <c r="D19" s="33"/>
      <c r="E19" t="s">
        <v>90</v>
      </c>
      <c r="K19" s="30"/>
      <c r="L19" s="30"/>
    </row>
    <row r="20" spans="1:12" ht="12.75" customHeight="1">
      <c r="A20" s="35" t="s">
        <v>121</v>
      </c>
      <c r="B20" t="s">
        <v>122</v>
      </c>
      <c r="C20" s="34" t="s">
        <v>89</v>
      </c>
      <c r="D20" s="33"/>
      <c r="E20" t="s">
        <v>90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2025-02-19T15:09:47Z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