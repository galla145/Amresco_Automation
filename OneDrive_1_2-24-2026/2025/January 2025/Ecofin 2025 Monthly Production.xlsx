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onthly macros\"/>
    </mc:Choice>
  </mc:AlternateContent>
  <xr:revisionPtr revIDLastSave="5" documentId="13_ncr:1_{D2A95DB0-2922-46B6-A92F-03867583A902}" xr6:coauthVersionLast="47" xr6:coauthVersionMax="47" xr10:uidLastSave="{4DDF61BC-EC2F-4E81-BDB5-0E52EB4DC808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Sites" sheetId="68" r:id="rId17"/>
    <sheet name="Dec" sheetId="33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7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72" l="1"/>
  <c r="I9" i="72" s="1"/>
  <c r="H10" i="72"/>
  <c r="I10" i="72" s="1"/>
  <c r="H11" i="72"/>
  <c r="I11" i="72" s="1"/>
  <c r="H12" i="72"/>
  <c r="I12" i="72" s="1"/>
  <c r="H13" i="72"/>
  <c r="I13" i="72" s="1"/>
  <c r="E9" i="72"/>
  <c r="F9" i="72" s="1"/>
  <c r="E10" i="72"/>
  <c r="F10" i="72" s="1"/>
  <c r="E11" i="72"/>
  <c r="F11" i="72" s="1"/>
  <c r="E12" i="72"/>
  <c r="F12" i="72" s="1"/>
  <c r="E13" i="72"/>
  <c r="F13" i="72" s="1"/>
  <c r="G6" i="29"/>
  <c r="G7" i="29"/>
  <c r="G8" i="29"/>
  <c r="G9" i="29"/>
  <c r="G10" i="29"/>
  <c r="G11" i="29"/>
  <c r="G12" i="29"/>
  <c r="G13" i="29"/>
  <c r="H17" i="31"/>
  <c r="I17" i="31" s="1"/>
  <c r="G2" i="31"/>
  <c r="G6" i="30"/>
  <c r="G7" i="30"/>
  <c r="G8" i="30"/>
  <c r="G9" i="30"/>
  <c r="G10" i="30"/>
  <c r="G11" i="30"/>
  <c r="G12" i="30"/>
  <c r="G13" i="30"/>
  <c r="G5" i="30"/>
  <c r="G4" i="30"/>
  <c r="A4" i="28" a="1"/>
  <c r="A4" i="28"/>
  <c r="G5" i="29"/>
  <c r="G4" i="29"/>
  <c r="E12" i="27"/>
  <c r="F12" i="27" s="1"/>
  <c r="E5" i="27"/>
  <c r="F5" i="27" s="1"/>
  <c r="H11" i="19"/>
  <c r="E11" i="19"/>
  <c r="H10" i="19"/>
  <c r="E10" i="19"/>
  <c r="H9" i="19"/>
  <c r="E9" i="19"/>
  <c r="F9" i="19" s="1"/>
  <c r="H8" i="19"/>
  <c r="I8" i="19" s="1"/>
  <c r="E8" i="19"/>
  <c r="H7" i="19"/>
  <c r="E7" i="19"/>
  <c r="F7" i="19" s="1"/>
  <c r="H6" i="19"/>
  <c r="I6" i="19" s="1"/>
  <c r="E6" i="19"/>
  <c r="F6" i="19" s="1"/>
  <c r="E5" i="19"/>
  <c r="H17" i="19"/>
  <c r="E17" i="19"/>
  <c r="H16" i="19"/>
  <c r="E16" i="19"/>
  <c r="H15" i="19"/>
  <c r="E15" i="19"/>
  <c r="H14" i="19"/>
  <c r="E14" i="19"/>
  <c r="H13" i="19"/>
  <c r="E13" i="19"/>
  <c r="F13" i="19" s="1"/>
  <c r="H12" i="19"/>
  <c r="E12" i="19"/>
  <c r="H9" i="21"/>
  <c r="I9" i="21" s="1"/>
  <c r="H10" i="21"/>
  <c r="I10" i="21" s="1"/>
  <c r="H11" i="21"/>
  <c r="I11" i="21" s="1"/>
  <c r="H12" i="21"/>
  <c r="I12" i="21"/>
  <c r="F9" i="21"/>
  <c r="E9" i="21"/>
  <c r="E10" i="21"/>
  <c r="F10" i="21" s="1"/>
  <c r="E11" i="21"/>
  <c r="F11" i="21" s="1"/>
  <c r="E12" i="21"/>
  <c r="F12" i="21" s="1"/>
  <c r="A4" i="19" a="1"/>
  <c r="A4" i="19" s="1"/>
  <c r="E6" i="72"/>
  <c r="F6" i="72" s="1"/>
  <c r="H6" i="72"/>
  <c r="E7" i="72"/>
  <c r="F7" i="72"/>
  <c r="H7" i="72"/>
  <c r="I7" i="72" s="1"/>
  <c r="E8" i="72"/>
  <c r="F8" i="72" s="1"/>
  <c r="H8" i="72"/>
  <c r="C6" i="30"/>
  <c r="D6" i="30"/>
  <c r="C7" i="30"/>
  <c r="D7" i="30"/>
  <c r="C8" i="30"/>
  <c r="D8" i="30"/>
  <c r="C9" i="30"/>
  <c r="D9" i="30"/>
  <c r="C10" i="30"/>
  <c r="D10" i="30"/>
  <c r="C11" i="30"/>
  <c r="D11" i="30"/>
  <c r="C12" i="30"/>
  <c r="D12" i="30"/>
  <c r="C13" i="30"/>
  <c r="D13" i="30"/>
  <c r="C6" i="29"/>
  <c r="D6" i="29"/>
  <c r="C7" i="29"/>
  <c r="D7" i="29"/>
  <c r="C8" i="29"/>
  <c r="D8" i="29"/>
  <c r="C9" i="29"/>
  <c r="D9" i="29"/>
  <c r="C10" i="29"/>
  <c r="D10" i="29"/>
  <c r="C11" i="29"/>
  <c r="D11" i="29"/>
  <c r="C12" i="29"/>
  <c r="D12" i="29"/>
  <c r="C13" i="29"/>
  <c r="D13" i="29"/>
  <c r="C6" i="18"/>
  <c r="D6" i="18"/>
  <c r="G6" i="18"/>
  <c r="C7" i="18"/>
  <c r="D7" i="18"/>
  <c r="G7" i="18"/>
  <c r="C8" i="18"/>
  <c r="D8" i="18"/>
  <c r="G8" i="18"/>
  <c r="C9" i="18"/>
  <c r="D9" i="18"/>
  <c r="G9" i="18"/>
  <c r="C10" i="18"/>
  <c r="D10" i="18"/>
  <c r="G10" i="18"/>
  <c r="C11" i="18"/>
  <c r="D11" i="18"/>
  <c r="G11" i="18"/>
  <c r="C12" i="18"/>
  <c r="D12" i="18"/>
  <c r="G12" i="18"/>
  <c r="C13" i="18"/>
  <c r="D13" i="18"/>
  <c r="G13" i="18"/>
  <c r="H13" i="1"/>
  <c r="G13" i="1"/>
  <c r="D13" i="1"/>
  <c r="C13" i="1"/>
  <c r="H12" i="1"/>
  <c r="G12" i="1"/>
  <c r="D12" i="1"/>
  <c r="C12" i="1"/>
  <c r="H11" i="1"/>
  <c r="G11" i="1"/>
  <c r="D11" i="1"/>
  <c r="C11" i="1"/>
  <c r="H10" i="1"/>
  <c r="G10" i="1"/>
  <c r="D10" i="1"/>
  <c r="C10" i="1"/>
  <c r="G9" i="1"/>
  <c r="D9" i="1"/>
  <c r="C9" i="1"/>
  <c r="G8" i="1"/>
  <c r="D8" i="1"/>
  <c r="C8" i="1"/>
  <c r="E8" i="1" s="1"/>
  <c r="F8" i="1" s="1"/>
  <c r="G7" i="1"/>
  <c r="D7" i="1"/>
  <c r="C7" i="1"/>
  <c r="G6" i="1"/>
  <c r="D6" i="1"/>
  <c r="C6" i="1"/>
  <c r="E6" i="32"/>
  <c r="F6" i="32" s="1"/>
  <c r="H6" i="32"/>
  <c r="I6" i="32" s="1"/>
  <c r="E7" i="32"/>
  <c r="F7" i="32" s="1"/>
  <c r="H7" i="32"/>
  <c r="I7" i="32" s="1"/>
  <c r="E8" i="32"/>
  <c r="F8" i="32" s="1"/>
  <c r="H8" i="32"/>
  <c r="I8" i="32" s="1"/>
  <c r="E9" i="32"/>
  <c r="F9" i="32" s="1"/>
  <c r="H9" i="32"/>
  <c r="I9" i="32"/>
  <c r="E10" i="32"/>
  <c r="F10" i="32" s="1"/>
  <c r="H10" i="32"/>
  <c r="I10" i="32" s="1"/>
  <c r="E11" i="32"/>
  <c r="F11" i="32" s="1"/>
  <c r="H11" i="32"/>
  <c r="I11" i="32" s="1"/>
  <c r="E12" i="32"/>
  <c r="F12" i="32" s="1"/>
  <c r="H12" i="32"/>
  <c r="I12" i="32" s="1"/>
  <c r="E13" i="32"/>
  <c r="F13" i="32" s="1"/>
  <c r="H13" i="32"/>
  <c r="I13" i="32" s="1"/>
  <c r="E6" i="33"/>
  <c r="F6" i="33" s="1"/>
  <c r="H6" i="33"/>
  <c r="I6" i="33" s="1"/>
  <c r="E7" i="33"/>
  <c r="F7" i="33" s="1"/>
  <c r="H7" i="33"/>
  <c r="I7" i="33"/>
  <c r="E8" i="33"/>
  <c r="F8" i="33" s="1"/>
  <c r="H8" i="33"/>
  <c r="I8" i="33" s="1"/>
  <c r="E9" i="33"/>
  <c r="F9" i="33" s="1"/>
  <c r="H9" i="33"/>
  <c r="I9" i="33" s="1"/>
  <c r="E10" i="33"/>
  <c r="F10" i="33" s="1"/>
  <c r="H10" i="33"/>
  <c r="I10" i="33" s="1"/>
  <c r="E11" i="33"/>
  <c r="F11" i="33"/>
  <c r="H11" i="33"/>
  <c r="I11" i="33" s="1"/>
  <c r="E12" i="33"/>
  <c r="F12" i="33" s="1"/>
  <c r="H12" i="33"/>
  <c r="I12" i="33" s="1"/>
  <c r="E13" i="33"/>
  <c r="F13" i="33" s="1"/>
  <c r="H13" i="33"/>
  <c r="I13" i="33"/>
  <c r="H5" i="20"/>
  <c r="I5" i="20" s="1"/>
  <c r="H6" i="20"/>
  <c r="I6" i="20" s="1"/>
  <c r="H7" i="20"/>
  <c r="I7" i="20" s="1"/>
  <c r="H8" i="20"/>
  <c r="I8" i="20" s="1"/>
  <c r="H9" i="20"/>
  <c r="I9" i="20" s="1"/>
  <c r="H10" i="20"/>
  <c r="I10" i="20" s="1"/>
  <c r="E5" i="20"/>
  <c r="F5" i="20" s="1"/>
  <c r="E6" i="20"/>
  <c r="F6" i="20" s="1"/>
  <c r="E7" i="20"/>
  <c r="F7" i="20" s="1"/>
  <c r="E8" i="20"/>
  <c r="F8" i="20" s="1"/>
  <c r="E9" i="20"/>
  <c r="F9" i="20" s="1"/>
  <c r="E10" i="20"/>
  <c r="F10" i="20" s="1"/>
  <c r="G5" i="18"/>
  <c r="G4" i="18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I17" i="19"/>
  <c r="F17" i="19"/>
  <c r="I16" i="19"/>
  <c r="F16" i="19"/>
  <c r="H9" i="4"/>
  <c r="I9" i="4" s="1"/>
  <c r="E9" i="4"/>
  <c r="F9" i="4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F5" i="3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I15" i="19"/>
  <c r="F15" i="19"/>
  <c r="I14" i="19"/>
  <c r="F14" i="19"/>
  <c r="I13" i="19"/>
  <c r="I12" i="19"/>
  <c r="F12" i="19"/>
  <c r="I11" i="19"/>
  <c r="F11" i="19"/>
  <c r="I10" i="19"/>
  <c r="F10" i="19"/>
  <c r="I9" i="19"/>
  <c r="F8" i="19"/>
  <c r="I7" i="19"/>
  <c r="I5" i="19"/>
  <c r="F5" i="19"/>
  <c r="I4" i="19"/>
  <c r="G2" i="19"/>
  <c r="D2" i="19"/>
  <c r="C2" i="19"/>
  <c r="J2" i="19" s="1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C13" i="34"/>
  <c r="C7" i="34"/>
  <c r="G11" i="34"/>
  <c r="G7" i="34"/>
  <c r="G2" i="29"/>
  <c r="G6" i="34"/>
  <c r="D8" i="34"/>
  <c r="G5" i="34"/>
  <c r="C8" i="34"/>
  <c r="G13" i="34"/>
  <c r="C11" i="34"/>
  <c r="D9" i="34"/>
  <c r="D13" i="34"/>
  <c r="E13" i="34" s="1"/>
  <c r="F13" i="34" s="1"/>
  <c r="G12" i="34"/>
  <c r="D12" i="34"/>
  <c r="H12" i="29"/>
  <c r="I12" i="29" s="1"/>
  <c r="D5" i="34"/>
  <c r="C12" i="34"/>
  <c r="G9" i="34"/>
  <c r="D11" i="34"/>
  <c r="G8" i="34"/>
  <c r="G2" i="30"/>
  <c r="D6" i="34"/>
  <c r="C6" i="34"/>
  <c r="G4" i="34"/>
  <c r="G10" i="34"/>
  <c r="D10" i="34"/>
  <c r="C10" i="34"/>
  <c r="E7" i="30"/>
  <c r="F7" i="30" s="1"/>
  <c r="D7" i="34"/>
  <c r="E9" i="30"/>
  <c r="F9" i="30" s="1"/>
  <c r="C9" i="34"/>
  <c r="E6" i="30"/>
  <c r="F6" i="30" s="1"/>
  <c r="E10" i="30"/>
  <c r="F10" i="30" s="1"/>
  <c r="E11" i="29"/>
  <c r="F11" i="29" s="1"/>
  <c r="E9" i="29"/>
  <c r="F9" i="29" s="1"/>
  <c r="E12" i="29"/>
  <c r="F12" i="29" s="1"/>
  <c r="E7" i="29"/>
  <c r="F7" i="29" s="1"/>
  <c r="E8" i="29"/>
  <c r="F8" i="29" s="1"/>
  <c r="E10" i="29"/>
  <c r="F10" i="29" s="1"/>
  <c r="E11" i="18"/>
  <c r="F11" i="18" s="1"/>
  <c r="E13" i="18"/>
  <c r="F13" i="18" s="1"/>
  <c r="E9" i="18"/>
  <c r="F9" i="18" s="1"/>
  <c r="H10" i="18"/>
  <c r="I10" i="18" s="1"/>
  <c r="E13" i="30"/>
  <c r="F13" i="30" s="1"/>
  <c r="E12" i="30"/>
  <c r="F12" i="30" s="1"/>
  <c r="H12" i="30"/>
  <c r="E8" i="30"/>
  <c r="F8" i="30" s="1"/>
  <c r="H7" i="30"/>
  <c r="H11" i="30"/>
  <c r="H9" i="30"/>
  <c r="E11" i="30"/>
  <c r="F11" i="30" s="1"/>
  <c r="H6" i="30"/>
  <c r="I6" i="30" s="1"/>
  <c r="H13" i="30"/>
  <c r="H10" i="30"/>
  <c r="H8" i="30"/>
  <c r="E6" i="29"/>
  <c r="F6" i="29" s="1"/>
  <c r="H9" i="29"/>
  <c r="I9" i="29" s="1"/>
  <c r="H11" i="29"/>
  <c r="I11" i="29" s="1"/>
  <c r="H6" i="29"/>
  <c r="H13" i="29"/>
  <c r="I13" i="29" s="1"/>
  <c r="E13" i="29"/>
  <c r="F13" i="29" s="1"/>
  <c r="H8" i="29"/>
  <c r="I8" i="29" s="1"/>
  <c r="H10" i="29"/>
  <c r="I10" i="29" s="1"/>
  <c r="H7" i="18"/>
  <c r="I7" i="18" s="1"/>
  <c r="E10" i="18"/>
  <c r="F10" i="18" s="1"/>
  <c r="H12" i="18"/>
  <c r="H13" i="18"/>
  <c r="I13" i="18" s="1"/>
  <c r="H11" i="18"/>
  <c r="I11" i="18" s="1"/>
  <c r="E6" i="18"/>
  <c r="F6" i="18" s="1"/>
  <c r="H9" i="18"/>
  <c r="I9" i="18" s="1"/>
  <c r="E12" i="18"/>
  <c r="F12" i="18" s="1"/>
  <c r="E7" i="18"/>
  <c r="F7" i="18" s="1"/>
  <c r="H8" i="18"/>
  <c r="I8" i="18" s="1"/>
  <c r="H6" i="18"/>
  <c r="I6" i="18" s="1"/>
  <c r="E8" i="18"/>
  <c r="F8" i="18" s="1"/>
  <c r="H9" i="1"/>
  <c r="I9" i="1" s="1"/>
  <c r="E13" i="1"/>
  <c r="F13" i="1" s="1"/>
  <c r="H6" i="1"/>
  <c r="I6" i="1" s="1"/>
  <c r="H7" i="1"/>
  <c r="H8" i="1"/>
  <c r="I12" i="1"/>
  <c r="E7" i="34"/>
  <c r="F7" i="34" s="1"/>
  <c r="I11" i="1"/>
  <c r="E10" i="1"/>
  <c r="F10" i="1" s="1"/>
  <c r="I8" i="72"/>
  <c r="I6" i="72"/>
  <c r="I10" i="1"/>
  <c r="E9" i="1"/>
  <c r="F9" i="1" s="1"/>
  <c r="E6" i="1"/>
  <c r="F6" i="1" s="1"/>
  <c r="I7" i="1"/>
  <c r="E11" i="1"/>
  <c r="F11" i="1" s="1"/>
  <c r="E7" i="1"/>
  <c r="F7" i="1" s="1"/>
  <c r="E12" i="1"/>
  <c r="F12" i="1" s="1"/>
  <c r="I13" i="1"/>
  <c r="G2" i="18"/>
  <c r="D2" i="30"/>
  <c r="D2" i="18"/>
  <c r="E5" i="18"/>
  <c r="F5" i="18" s="1"/>
  <c r="E4" i="18"/>
  <c r="F4" i="18" s="1"/>
  <c r="D4" i="34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6" i="26"/>
  <c r="I9" i="26"/>
  <c r="I12" i="26"/>
  <c r="I15" i="26"/>
  <c r="H4" i="29"/>
  <c r="I4" i="29" s="1"/>
  <c r="H5" i="29"/>
  <c r="I5" i="29" s="1"/>
  <c r="I7" i="26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11" i="34" l="1"/>
  <c r="F11" i="34" s="1"/>
  <c r="G2" i="34"/>
  <c r="E9" i="34"/>
  <c r="F9" i="34" s="1"/>
  <c r="I5" i="30"/>
  <c r="H5" i="34"/>
  <c r="I5" i="34" s="1"/>
  <c r="I9" i="30"/>
  <c r="H9" i="34"/>
  <c r="I9" i="34" s="1"/>
  <c r="I12" i="30"/>
  <c r="H12" i="34"/>
  <c r="I12" i="34" s="1"/>
  <c r="I13" i="30"/>
  <c r="H13" i="34"/>
  <c r="I13" i="34" s="1"/>
  <c r="I8" i="30"/>
  <c r="H8" i="34"/>
  <c r="I8" i="34" s="1"/>
  <c r="I7" i="30"/>
  <c r="H7" i="34"/>
  <c r="I7" i="34" s="1"/>
  <c r="I11" i="30"/>
  <c r="H11" i="34"/>
  <c r="I11" i="34" s="1"/>
  <c r="I10" i="30"/>
  <c r="H10" i="34"/>
  <c r="I10" i="34" s="1"/>
  <c r="I6" i="29"/>
  <c r="H6" i="34"/>
  <c r="I6" i="34" s="1"/>
  <c r="E6" i="34"/>
  <c r="F6" i="34" s="1"/>
  <c r="E2" i="29"/>
  <c r="F2" i="29" s="1"/>
  <c r="E10" i="34"/>
  <c r="F10" i="34" s="1"/>
  <c r="I12" i="18"/>
  <c r="E12" i="34"/>
  <c r="F12" i="34" s="1"/>
  <c r="I8" i="1"/>
  <c r="E8" i="34"/>
  <c r="F8" i="34" s="1"/>
  <c r="D2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<sst xmlns="http://schemas.openxmlformats.org/spreadsheetml/2006/main" count="289" uniqueCount="96">
  <si>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</si>
  <si>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</si>
  <si>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</si>
  <si>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</si>
  <si>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</si>
  <si>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</si>
  <si>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</si>
  <si>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</si>
  <si>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</si>
  <si>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</si>
  <si>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</si>
  <si>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</si>
  <si>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</si>
  <si>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</si>
  <si>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</si>
  <si>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</si>
  <si>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</si>
  <si>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</si>
  <si>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</si>
  <si>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</si>
  <si>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</si>
  <si>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</si>
  <si>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was offline on 01/10 and back online on 1/11 and again inverter 1 was offline from 01/21 to 01/25 Inverter 1 will hard starts with low IR., Inverter 2 started late on 01/21 at 12:30pm and inverter 2 tripping on and offline throughout the month due to  ZERO SEQUENCE fault</t>
  </si>
  <si>
    <t>1.SR095491,	SR095824</t>
  </si>
  <si>
    <t>SR095824</t>
  </si>
  <si>
    <t>1.Inverter 1 has been offline since 12/02 due to a common-mode fault. Bold Renewables advised replacing the AC contactor, which was replaced on 01/29, and the inverter was brought back online.</t>
  </si>
  <si>
    <t>1. 	SR093905</t>
  </si>
  <si>
    <t>1. As per the meter, 1 inverter is offline and also according to the meter, some trackers do appear to be stuck.</t>
  </si>
  <si>
    <t>1. SR096263</t>
  </si>
  <si>
    <t>1. Inverter 1 is derating by 1000kW due to Impulsion fan comms issue from 11/20</t>
  </si>
  <si>
    <t>1. SR093458</t>
  </si>
  <si>
    <t>1. Inverter 57 was offline throughout the month due to fault permanent power module failure. 
2.  Inverters 29, 30, 32, 64, 68, 69, 78, and 80 are offline due to a hunt. The LOTO has been applied to the inverters, and all trackers are stuck.</t>
  </si>
  <si>
    <t>1. SR094033
2. SR095849</t>
  </si>
  <si>
    <t>SR095849</t>
  </si>
  <si>
    <t>1.  Trackers group A to J are currently in wind stow status for whole month.</t>
  </si>
  <si>
    <t>1. SR096181</t>
  </si>
  <si>
    <t>1. Site tripped offline on 12/30 due to a squirrel climbing the utility pole and shorting the phase B fuse after installing cut out fuse on 01/21 the site was back online at 11:00am on 01/21.
2. Site was tripped offline at 14:15 on 01/29 due to inverter voltages was dropped &amp; reported "Grid Phase Voltage Out of Range" and site was back online at 16:20 on 01/21.
3. Inverter 23 is underproducing due to FTC tracker - network control unit 2: tracker motor 7 is not tracking.</t>
  </si>
  <si>
    <t>1. SR095130
2. SR096122
3. SR096074</t>
  </si>
  <si>
    <t>SR096122</t>
  </si>
  <si>
    <t>SR096074</t>
  </si>
  <si>
    <t>1.Trackers D28, A27, and C26 are stuck for whole month due to defective batteries.</t>
  </si>
  <si>
    <t>1. 	SR091277</t>
  </si>
  <si>
    <t>1. Site was not communicated for whole month due to bad modem.</t>
  </si>
  <si>
    <t>1. SR094062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</si>
  <si>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</si>
  <si>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</si>
  <si>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</si>
  <si>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</si>
  <si>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</si>
  <si>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</si>
  <si>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</si>
  <si>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</si>
  <si>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</si>
  <si>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</si>
  <si>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</si>
  <si>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</si>
  <si>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</si>
  <si>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</si>
  <si>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</si>
  <si>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</si>
  <si>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</si>
  <si>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</si>
  <si>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</si>
  <si>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</si>
  <si>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Portfolio:</t>
  </si>
  <si>
    <t>Ecofin</t>
  </si>
  <si>
    <t>Site DAS Name</t>
  </si>
  <si>
    <t>Update</t>
  </si>
  <si>
    <t>DAS</t>
  </si>
  <si>
    <t>003 - Alamosa School District</t>
  </si>
  <si>
    <t>Alamosa School District</t>
  </si>
  <si>
    <t>CO</t>
  </si>
  <si>
    <t>002 - San Luis Valley Regional MC</t>
  </si>
  <si>
    <t>San Luis Valley</t>
  </si>
  <si>
    <t>002 - NREL 2</t>
  </si>
  <si>
    <t>Golden NREL 2</t>
  </si>
  <si>
    <t>004 - NREL Wind 3</t>
  </si>
  <si>
    <t>Golden NREL Wind 3</t>
  </si>
  <si>
    <t>Kenyon Energy KS Solar</t>
  </si>
  <si>
    <t>Pratt Solar Farm</t>
  </si>
  <si>
    <t>KS</t>
  </si>
  <si>
    <t>MN WestSide Solar</t>
  </si>
  <si>
    <t>Rochester - 5516 Valleyhigh NW</t>
  </si>
  <si>
    <t>MN</t>
  </si>
  <si>
    <t>Hemings (VA) - ODEC</t>
  </si>
  <si>
    <t>Warsaw - 2201 Richmond</t>
  </si>
  <si>
    <t>VA</t>
  </si>
  <si>
    <t>AEF</t>
  </si>
  <si>
    <t>Randolf (VA) - ODEC</t>
  </si>
  <si>
    <t>Mount Jackson - Randolf</t>
  </si>
  <si>
    <t>Monroe Solar (MEC) - ODEC</t>
  </si>
  <si>
    <t>Callands Gretna - Monroe</t>
  </si>
  <si>
    <t>Smallmouth Bass (BARC) - ODEC</t>
  </si>
  <si>
    <t>Rockbridge Baths - Small Mouth Bass</t>
  </si>
  <si>
    <t>December Actual v. Expected</t>
  </si>
  <si>
    <t>December Actual v. Forecasted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</si>
</sst>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6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3" fillId="0" borderId="0" xfId="0" applyFont="1"/>
    <xf numFmtId="0" fontId="36" fillId="0" borderId="0" xfId="0" applyFont="1"/>
    <xf numFmtId="49" fontId="37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Border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center" wrapText="1"/>
    </xf>
    <xf numFmtId="49" fontId="31" fillId="38" borderId="0" xfId="2" applyNumberFormat="1" applyFont="1" applyFill="1" applyBorder="1" applyAlignment="1">
      <alignment horizontal="left" vertical="top" wrapText="1"/>
    </xf>
    <xf numFmtId="0" fontId="35" fillId="40" borderId="0" xfId="0" applyFont="1" applyFill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Fill="1" applyBorder="1" applyAlignment="1">
      <alignment vertical="center" wrapText="1"/>
    </xf>
    <xf numFmtId="49" fontId="29" fillId="0" borderId="0" xfId="0" applyNumberFormat="1" applyFont="1" applyAlignment="1">
      <alignment vertical="top" wrapText="1"/>
    </xf>
    <xf numFmtId="9" fontId="31" fillId="37" borderId="0" xfId="2" applyFont="1" applyFill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6" fillId="45" borderId="1" xfId="0" applyFont="1" applyFill="1" applyBorder="1" applyAlignment="1">
      <alignment horizontal="left" vertical="top"/>
    </xf>
    <xf numFmtId="49" fontId="39" fillId="38" borderId="0" xfId="45" applyNumberFormat="1" applyFill="1" applyBorder="1" applyAlignment="1">
      <alignment horizontal="left" vertical="top" wrapText="1"/>
    </xf>
    <xf numFmtId="49" fontId="39" fillId="0" borderId="0" xfId="45" applyNumberFormat="1" applyAlignment="1">
      <alignment horizontal="left" vertical="top" wrapText="1"/>
    </xf>
    <xf numFmtId="0" fontId="39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3" totalsRowShown="0">
  <autoFilter ref="A3:E1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6" dataCellStyle="Normal 2"/>
    <tableColumn id="1" xr3:uid="{9A753695-C18C-437C-AD9C-C2CE5C1A806E}" name="Site" dataDxfId="5" dataCellStyle="Normal 2"/>
    <tableColumn id="2" xr3:uid="{250F229D-34D2-4043-BE8F-6D9C210E223F}" name="State" dataDxfId="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181" TargetMode="External"/><Relationship Id="rId13" Type="http://schemas.openxmlformats.org/officeDocument/2006/relationships/hyperlink" Target="https://us3.assetplanner.com/service_request?ID=094062" TargetMode="External"/><Relationship Id="rId3" Type="http://schemas.openxmlformats.org/officeDocument/2006/relationships/hyperlink" Target="https://us3.assetplanner.com/service_request?ID=093905" TargetMode="External"/><Relationship Id="rId7" Type="http://schemas.openxmlformats.org/officeDocument/2006/relationships/hyperlink" Target="https://us3.assetplanner.com/service_request?ID=095849" TargetMode="External"/><Relationship Id="rId12" Type="http://schemas.openxmlformats.org/officeDocument/2006/relationships/hyperlink" Target="https://us3.assetplanner.com/service_request?ID=091277" TargetMode="External"/><Relationship Id="rId2" Type="http://schemas.openxmlformats.org/officeDocument/2006/relationships/hyperlink" Target="https://us3.assetplanner.com/service_request?ID=095824" TargetMode="External"/><Relationship Id="rId1" Type="http://schemas.openxmlformats.org/officeDocument/2006/relationships/hyperlink" Target="https://us3.assetplanner.com/service_request?ID=095491" TargetMode="External"/><Relationship Id="rId6" Type="http://schemas.openxmlformats.org/officeDocument/2006/relationships/hyperlink" Target="https://us3.assetplanner.com/service_request?ID=094033" TargetMode="External"/><Relationship Id="rId11" Type="http://schemas.openxmlformats.org/officeDocument/2006/relationships/hyperlink" Target="https://us3.assetplanner.com/service_request?ID=096074" TargetMode="External"/><Relationship Id="rId5" Type="http://schemas.openxmlformats.org/officeDocument/2006/relationships/hyperlink" Target="https://us3.assetplanner.com/service_request?ID=093458" TargetMode="External"/><Relationship Id="rId10" Type="http://schemas.openxmlformats.org/officeDocument/2006/relationships/hyperlink" Target="https://us3.assetplanner.com/service_request?ID=096122" TargetMode="External"/><Relationship Id="rId4" Type="http://schemas.openxmlformats.org/officeDocument/2006/relationships/hyperlink" Target="https://us3.assetplanner.com/service_request?ID=096263" TargetMode="External"/><Relationship Id="rId9" Type="http://schemas.openxmlformats.org/officeDocument/2006/relationships/hyperlink" Target="https://us3.assetplanner.com/service_request?ID=095130" TargetMode="External"/><Relationship Id="rId14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Ecofin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9" ht="19.5" customHeight="1">
      <c r="A2" s="66" t="s">
        <v>2</v>
      </c>
      <c r="B2" s="66"/>
      <c r="C2" s="6">
        <f>SUM(C4:C91)</f>
        <v>2501712.4954186738</v>
      </c>
      <c r="D2" s="6">
        <f>SUM(D4:D91)</f>
        <v>3032066.6599999997</v>
      </c>
      <c r="E2" s="6">
        <f>C2-D2</f>
        <v>-530354.16458132584</v>
      </c>
      <c r="F2" s="7">
        <f>IFERROR(E2/D2, 0)</f>
        <v>-0.17491507412351082</v>
      </c>
      <c r="G2" s="6">
        <f>SUM(G4:G91)</f>
        <v>3048208</v>
      </c>
      <c r="H2" s="8">
        <f>C2-G2</f>
        <v>-546495.50458132615</v>
      </c>
      <c r="I2" s="7">
        <f>IFERROR(H2/G2, 0)</f>
        <v>-0.17928419077088117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13">Sites[Site]</f>
        <v>Alamosa School District</v>
      </c>
      <c r="B4" s="10" t="str" cm="1">
        <f t="array" ref="B4:B13">Sites[State]</f>
        <v>CO</v>
      </c>
      <c r="C4" s="25">
        <f>SUM('1st Qtr'!C4, '2nd Qtr'!C4, '3rd Qtr'!C4, '4th Qtr'!C4)</f>
        <v>57157</v>
      </c>
      <c r="D4" s="14">
        <f>SUM('1st Qtr'!D4, '2nd Qtr'!D4, '3rd Qtr'!D4, '4th Qtr'!D4)</f>
        <v>78953</v>
      </c>
      <c r="E4" s="14">
        <f>IF(AND(ISNUMBER(C4),ISNUMBER(D4)), C4-D4, "")</f>
        <v>-21796</v>
      </c>
      <c r="F4" s="15">
        <f>IFERROR(E4/D4, "")</f>
        <v>-0.27606297417450887</v>
      </c>
      <c r="G4" s="16">
        <f>SUM('1st Qtr'!G4, '2nd Qtr'!G4, '3rd Qtr'!G4, '4th Qtr'!G4)</f>
        <v>92539.7</v>
      </c>
      <c r="H4" s="16">
        <f>SUM('1st Qtr'!H4, '2nd Qtr'!H4, '3rd Qtr'!H4, '4th Qtr'!H4)</f>
        <v>-35382.699999999997</v>
      </c>
      <c r="I4" s="56">
        <f>IFERROR(H4/G4, "")</f>
        <v>-0.38235157451342505</v>
      </c>
    </row>
    <row r="5" spans="1:9" ht="15.6">
      <c r="A5" s="18" t="str">
        <v>San Luis Valley</v>
      </c>
      <c r="B5" s="11" t="str">
        <v>CO</v>
      </c>
      <c r="C5" s="19">
        <f>SUM('1st Qtr'!C5, '2nd Qtr'!C5, '3rd Qtr'!C5, '4th Qtr'!C5)</f>
        <v>144650.5</v>
      </c>
      <c r="D5" s="19">
        <f>SUM('1st Qtr'!D5, '2nd Qtr'!D5, '3rd Qtr'!D5, '4th Qtr'!D5)</f>
        <v>160327.5</v>
      </c>
      <c r="E5" s="19">
        <f t="shared" ref="E5:E6" si="0">IF(AND(ISNUMBER(C5),ISNUMBER(D5)), C5-D5, "")</f>
        <v>-15677</v>
      </c>
      <c r="F5" s="20">
        <f>IFERROR(E5/D5, "")</f>
        <v>-9.7781104302131577E-2</v>
      </c>
      <c r="G5" s="21">
        <f>SUM('1st Qtr'!G5, '2nd Qtr'!G5, '3rd Qtr'!G5, '4th Qtr'!G5)</f>
        <v>0</v>
      </c>
      <c r="H5" s="57">
        <f>SUM('1st Qtr'!H5, '2nd Qtr'!H5, '3rd Qtr'!H5, '4th Qtr'!H5)</f>
        <v>325262.19070000004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SUM('1st Qtr'!C6, '2nd Qtr'!C6, '3rd Qtr'!C6, '4th Qtr'!C6)</f>
        <v>5628</v>
      </c>
      <c r="D6" s="14">
        <f>SUM('1st Qtr'!D6, '2nd Qtr'!D6, '3rd Qtr'!D6, '4th Qtr'!D6)</f>
        <v>5616.3</v>
      </c>
      <c r="E6" s="14">
        <f t="shared" si="0"/>
        <v>11.699999999999818</v>
      </c>
      <c r="F6" s="15">
        <f t="shared" ref="F6:F13" si="1">IFERROR(E6/D6, "")</f>
        <v>2.0832220501041288E-3</v>
      </c>
      <c r="G6" s="16">
        <f>SUM('1st Qtr'!G6, '2nd Qtr'!G6, '3rd Qtr'!G6, '4th Qtr'!G6)</f>
        <v>7739.1</v>
      </c>
      <c r="H6" s="16">
        <f>SUM('1st Qtr'!H6, '2nd Qtr'!H6, '3rd Qtr'!H6, '4th Qtr'!H6)</f>
        <v>-2111.1000000000004</v>
      </c>
      <c r="I6" s="17">
        <f t="shared" ref="I6:I13" si="2">IFERROR(H6/G6, "")</f>
        <v>-0.27278365701438156</v>
      </c>
    </row>
    <row r="7" spans="1:9" ht="15.6">
      <c r="A7" s="18" t="str">
        <v>Golden NREL Wind 3</v>
      </c>
      <c r="B7" s="11" t="str">
        <v>CO</v>
      </c>
      <c r="C7" s="19">
        <f>SUM('1st Qtr'!C7, '2nd Qtr'!C7, '3rd Qtr'!C7, '4th Qtr'!C7)</f>
        <v>45016.592187499999</v>
      </c>
      <c r="D7" s="19">
        <f>SUM('1st Qtr'!D7, '2nd Qtr'!D7, '3rd Qtr'!D7, '4th Qtr'!D7)</f>
        <v>65286.76</v>
      </c>
      <c r="E7" s="19">
        <f t="shared" ref="E7:E13" si="3">IF(AND(ISNUMBER(C7),ISNUMBER(D7)), C7-D7, "")</f>
        <v>-20270.167812500003</v>
      </c>
      <c r="F7" s="20">
        <f t="shared" si="1"/>
        <v>-0.31047899777075783</v>
      </c>
      <c r="G7" s="21">
        <f>SUM('1st Qtr'!G7, '2nd Qtr'!G7, '3rd Qtr'!G7, '4th Qtr'!G7)</f>
        <v>0</v>
      </c>
      <c r="H7" s="21">
        <f>SUM('1st Qtr'!H7, '2nd Qtr'!H7, '3rd Qtr'!H7, '4th Qtr'!H7)</f>
        <v>45016.592187499999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SUM('1st Qtr'!C8, '2nd Qtr'!C8, '3rd Qtr'!C8, '4th Qtr'!C8)</f>
        <v>641110</v>
      </c>
      <c r="D8" s="14">
        <f>SUM('1st Qtr'!D8, '2nd Qtr'!D8, '3rd Qtr'!D8, '4th Qtr'!D8)</f>
        <v>959485.1</v>
      </c>
      <c r="E8" s="14">
        <f t="shared" si="3"/>
        <v>-318375.09999999998</v>
      </c>
      <c r="F8" s="15">
        <f t="shared" si="1"/>
        <v>-0.33181870150979936</v>
      </c>
      <c r="G8" s="16">
        <f>SUM('1st Qtr'!G8, '2nd Qtr'!G8, '3rd Qtr'!G8, '4th Qtr'!G8)</f>
        <v>865991.1</v>
      </c>
      <c r="H8" s="16">
        <f>SUM('1st Qtr'!H8, '2nd Qtr'!H8, '3rd Qtr'!H8, '4th Qtr'!H8)</f>
        <v>-224881.09999999998</v>
      </c>
      <c r="I8" s="17">
        <f t="shared" si="2"/>
        <v>-0.25968061334579534</v>
      </c>
    </row>
    <row r="9" spans="1:9" ht="12.75" customHeight="1">
      <c r="A9" s="18" t="str">
        <v>Rochester - 5516 Valleyhigh NW</v>
      </c>
      <c r="B9" s="11" t="str">
        <v>MN</v>
      </c>
      <c r="C9" s="19">
        <f>SUM('1st Qtr'!C9, '2nd Qtr'!C9, '3rd Qtr'!C9, '4th Qtr'!C9)</f>
        <v>748299</v>
      </c>
      <c r="D9" s="19">
        <f>SUM('1st Qtr'!D9, '2nd Qtr'!D9, '3rd Qtr'!D9, '4th Qtr'!D9)</f>
        <v>805370.6</v>
      </c>
      <c r="E9" s="19">
        <f t="shared" si="3"/>
        <v>-57071.599999999977</v>
      </c>
      <c r="F9" s="20">
        <f t="shared" si="1"/>
        <v>-7.0863773770733593E-2</v>
      </c>
      <c r="G9" s="21">
        <f>SUM('1st Qtr'!G9, '2nd Qtr'!G9, '3rd Qtr'!G9, '4th Qtr'!G9)</f>
        <v>885341.6</v>
      </c>
      <c r="H9" s="21">
        <f>SUM('1st Qtr'!H9, '2nd Qtr'!H9, '3rd Qtr'!H9, '4th Qtr'!H9)</f>
        <v>-137042.59999999998</v>
      </c>
      <c r="I9" s="20">
        <f t="shared" si="2"/>
        <v>-0.15479064803912973</v>
      </c>
    </row>
    <row r="10" spans="1:9" ht="15.6">
      <c r="A10" s="13" t="str">
        <v>Warsaw - 2201 Richmond</v>
      </c>
      <c r="B10" s="10" t="str">
        <v>VA</v>
      </c>
      <c r="C10" s="25">
        <f>SUM('1st Qtr'!C10, '2nd Qtr'!C10, '3rd Qtr'!C10, '4th Qtr'!C10)</f>
        <v>479142.19999999902</v>
      </c>
      <c r="D10" s="14">
        <f>SUM('1st Qtr'!D10, '2nd Qtr'!D10, '3rd Qtr'!D10, '4th Qtr'!D10)</f>
        <v>554593.9</v>
      </c>
      <c r="E10" s="14">
        <f t="shared" si="3"/>
        <v>-75451.700000001001</v>
      </c>
      <c r="F10" s="15">
        <f t="shared" si="1"/>
        <v>-0.13604855733177196</v>
      </c>
      <c r="G10" s="16">
        <f>SUM('1st Qtr'!G10, '2nd Qtr'!G10, '3rd Qtr'!G10, '4th Qtr'!G10)</f>
        <v>548915</v>
      </c>
      <c r="H10" s="16">
        <f>SUM('1st Qtr'!H10, '2nd Qtr'!H10, '3rd Qtr'!H10, '4th Qtr'!H10)</f>
        <v>-69772.800000000978</v>
      </c>
      <c r="I10" s="17">
        <f t="shared" si="2"/>
        <v>-0.1271103904976198</v>
      </c>
    </row>
    <row r="11" spans="1:9" ht="15.6">
      <c r="A11" s="18" t="str">
        <v>Mount Jackson - Randolf</v>
      </c>
      <c r="B11" s="11" t="str">
        <v>VA</v>
      </c>
      <c r="C11" s="19">
        <f>SUM('1st Qtr'!C11, '2nd Qtr'!C11, '3rd Qtr'!C11, '4th Qtr'!C11)</f>
        <v>127473.20323117499</v>
      </c>
      <c r="D11" s="19">
        <f>SUM('1st Qtr'!D11, '2nd Qtr'!D11, '3rd Qtr'!D11, '4th Qtr'!D11)</f>
        <v>147694.20000000001</v>
      </c>
      <c r="E11" s="19">
        <f t="shared" si="3"/>
        <v>-20220.996768825018</v>
      </c>
      <c r="F11" s="20">
        <f t="shared" si="1"/>
        <v>-0.13691124478026231</v>
      </c>
      <c r="G11" s="21">
        <f>SUM('1st Qtr'!G11, '2nd Qtr'!G11, '3rd Qtr'!G11, '4th Qtr'!G11)</f>
        <v>364481.5</v>
      </c>
      <c r="H11" s="21">
        <f>SUM('1st Qtr'!H11, '2nd Qtr'!H11, '3rd Qtr'!H11, '4th Qtr'!H11)</f>
        <v>-237008.29676882501</v>
      </c>
      <c r="I11" s="20">
        <f t="shared" si="2"/>
        <v>-0.65026152704273055</v>
      </c>
    </row>
    <row r="12" spans="1:9" ht="15.6">
      <c r="A12" s="13" t="str">
        <v>Callands Gretna - Monroe</v>
      </c>
      <c r="B12" s="10" t="str">
        <v>VA</v>
      </c>
      <c r="C12" s="25">
        <f>SUM('1st Qtr'!C12, '2nd Qtr'!C12, '3rd Qtr'!C12, '4th Qtr'!C12)</f>
        <v>253236</v>
      </c>
      <c r="D12" s="14">
        <f>SUM('1st Qtr'!D12, '2nd Qtr'!D12, '3rd Qtr'!D12, '4th Qtr'!D12)</f>
        <v>254739.3</v>
      </c>
      <c r="E12" s="14">
        <f t="shared" si="3"/>
        <v>-1503.2999999999884</v>
      </c>
      <c r="F12" s="15">
        <f t="shared" si="1"/>
        <v>-5.9013273570273153E-3</v>
      </c>
      <c r="G12" s="16">
        <f>SUM('1st Qtr'!G12, '2nd Qtr'!G12, '3rd Qtr'!G12, '4th Qtr'!G12)</f>
        <v>283200</v>
      </c>
      <c r="H12" s="16">
        <f>SUM('1st Qtr'!H12, '2nd Qtr'!H12, '3rd Qtr'!H12, '4th Qtr'!H12)</f>
        <v>-29964</v>
      </c>
      <c r="I12" s="17">
        <f t="shared" si="2"/>
        <v>-0.10580508474576271</v>
      </c>
    </row>
    <row r="13" spans="1:9" ht="15.6">
      <c r="A13" s="18" t="str">
        <v>Rockbridge Baths - Small Mouth Bass</v>
      </c>
      <c r="B13" s="11" t="str">
        <v>VA</v>
      </c>
      <c r="C13" s="19">
        <f>SUM('1st Qtr'!C13, '2nd Qtr'!C13, '3rd Qtr'!C13, '4th Qtr'!C13)</f>
        <v>0</v>
      </c>
      <c r="D13" s="19">
        <f>SUM('1st Qtr'!D13, '2nd Qtr'!D13, '3rd Qtr'!D13, '4th Qtr'!D13)</f>
        <v>0</v>
      </c>
      <c r="E13" s="19">
        <f t="shared" si="3"/>
        <v>0</v>
      </c>
      <c r="F13" s="20" t="str">
        <f t="shared" si="1"/>
        <v/>
      </c>
      <c r="G13" s="21">
        <f>SUM('1st Qtr'!G13, '2nd Qtr'!G13, '3rd Qtr'!G13, '4th Qtr'!G13)</f>
        <v>0</v>
      </c>
      <c r="H13" s="21">
        <f>SUM('1st Qtr'!H13, '2nd Qtr'!H13, '3rd Qtr'!H13, '4th Qtr'!H13)</f>
        <v>0</v>
      </c>
      <c r="I13" s="20" t="str">
        <f t="shared" si="2"/>
        <v/>
      </c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K14" sqref="K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Ecofin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>
      <c r="A2" s="66" t="s">
        <v>2</v>
      </c>
      <c r="B2" s="66"/>
      <c r="C2" s="6">
        <f>SUM(C4:C91)</f>
        <v>2501712.4954186738</v>
      </c>
      <c r="D2" s="6">
        <f>SUM(D4:D91)</f>
        <v>3032066.6599999997</v>
      </c>
      <c r="E2" s="6">
        <f>C2-D2</f>
        <v>-530354.16458132584</v>
      </c>
      <c r="F2" s="7">
        <f>IFERROR(E2/D2, 0)</f>
        <v>-0.17491507412351082</v>
      </c>
      <c r="G2" s="6">
        <f>SUM(G4:G91)</f>
        <v>3048208</v>
      </c>
      <c r="H2" s="8">
        <f>C2-G2</f>
        <v>-546495.50458132615</v>
      </c>
      <c r="I2" s="7">
        <f>IFERROR(H2/G2, 0)</f>
        <v>-0.17928419077088117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13">Sites[Site]</f>
        <v>Alamosa School District</v>
      </c>
      <c r="B4" s="10" t="str" cm="1">
        <f t="array" ref="B4:B13">Sites[State]</f>
        <v>CO</v>
      </c>
      <c r="C4" s="25">
        <f>SUM(Jan!C4, Feb!C4, Mar!C4)</f>
        <v>57157</v>
      </c>
      <c r="D4" s="14">
        <f>SUM(Jan!D4, Feb!D4, Mar!D4)</f>
        <v>78953</v>
      </c>
      <c r="E4" s="14">
        <f>IF(AND(ISNUMBER(C4),ISNUMBER(D4)), C4-D4, "")</f>
        <v>-21796</v>
      </c>
      <c r="F4" s="15">
        <f>IFERROR(E4/D4, "")</f>
        <v>-0.27606297417450887</v>
      </c>
      <c r="G4" s="16">
        <f>SUM(Jan!G4, Feb!G4, Mar!G4)</f>
        <v>92539.7</v>
      </c>
      <c r="H4" s="16">
        <f>SUM(Jan!H4, Feb!H4, Mar!H4)</f>
        <v>-35382.699999999997</v>
      </c>
      <c r="I4" s="17">
        <f>IFERROR(H4/G4, "")</f>
        <v>-0.38235157451342505</v>
      </c>
    </row>
    <row r="5" spans="1:9" ht="15.6">
      <c r="A5" s="18" t="str">
        <v>San Luis Valley</v>
      </c>
      <c r="B5" s="11" t="str">
        <v>CO</v>
      </c>
      <c r="C5" s="12">
        <f>SUM(Jan!C5, Feb!C5, Mar!C5)</f>
        <v>144650.5</v>
      </c>
      <c r="D5" s="19">
        <f>SUM(Jan!D5, Feb!D5, Mar!D5)</f>
        <v>160327.5</v>
      </c>
      <c r="E5" s="19">
        <f t="shared" ref="E5:E6" si="0">IF(AND(ISNUMBER(C5),ISNUMBER(D5)), C5-D5, "")</f>
        <v>-15677</v>
      </c>
      <c r="F5" s="20">
        <f>IFERROR(E5/D5, "")</f>
        <v>-9.7781104302131577E-2</v>
      </c>
      <c r="G5" s="21">
        <f>SUM(Jan!G5, Feb!G5, Mar!G5)</f>
        <v>0</v>
      </c>
      <c r="H5" s="21">
        <f>SUM(Jan!H5, Feb!H5, Mar!H5)</f>
        <v>144650.5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SUM(Jan!C6, Feb!C6, Mar!C6)</f>
        <v>5628</v>
      </c>
      <c r="D6" s="14">
        <f>SUM(Jan!D6, Feb!D6, Mar!D6)</f>
        <v>5616.3</v>
      </c>
      <c r="E6" s="14">
        <f t="shared" si="0"/>
        <v>11.699999999999818</v>
      </c>
      <c r="F6" s="15">
        <f t="shared" ref="F6:F13" si="1">IFERROR(E6/D6, "")</f>
        <v>2.0832220501041288E-3</v>
      </c>
      <c r="G6" s="16">
        <f>SUM(Jan!G6, Feb!G6, Mar!G6)</f>
        <v>7739.1</v>
      </c>
      <c r="H6" s="16">
        <f>SUM(Jan!H6, Feb!H6, Mar!H6)</f>
        <v>-2111.1000000000004</v>
      </c>
      <c r="I6" s="17">
        <f t="shared" ref="I6:I13" si="2">IFERROR(H6/G6, "")</f>
        <v>-0.27278365701438156</v>
      </c>
    </row>
    <row r="7" spans="1:9" ht="15.6">
      <c r="A7" s="18" t="str">
        <v>Golden NREL Wind 3</v>
      </c>
      <c r="B7" s="11" t="str">
        <v>CO</v>
      </c>
      <c r="C7" s="12">
        <f>SUM(Jan!C7, Feb!C7, Mar!C7)</f>
        <v>45016.592187499999</v>
      </c>
      <c r="D7" s="19">
        <f>SUM(Jan!D7, Feb!D7, Mar!D7)</f>
        <v>65286.76</v>
      </c>
      <c r="E7" s="19">
        <f t="shared" ref="E7:E13" si="3">IF(AND(ISNUMBER(C7),ISNUMBER(D7)), C7-D7, "")</f>
        <v>-20270.167812500003</v>
      </c>
      <c r="F7" s="20">
        <f t="shared" si="1"/>
        <v>-0.31047899777075783</v>
      </c>
      <c r="G7" s="21">
        <f>SUM(Jan!G7, Feb!G7, Mar!G7)</f>
        <v>0</v>
      </c>
      <c r="H7" s="21">
        <f>SUM(Jan!H7, Feb!H7, Mar!H7)</f>
        <v>45016.592187499999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SUM(Jan!C8, Feb!C8, Mar!C8)</f>
        <v>641110</v>
      </c>
      <c r="D8" s="14">
        <f>SUM(Jan!D8, Feb!D8, Mar!D8)</f>
        <v>959485.1</v>
      </c>
      <c r="E8" s="14">
        <f t="shared" si="3"/>
        <v>-318375.09999999998</v>
      </c>
      <c r="F8" s="15">
        <f t="shared" si="1"/>
        <v>-0.33181870150979936</v>
      </c>
      <c r="G8" s="16">
        <f>SUM(Jan!G8, Feb!G8, Mar!G8)</f>
        <v>865991.1</v>
      </c>
      <c r="H8" s="16">
        <f>SUM(Jan!H8, Feb!H8, Mar!H8)</f>
        <v>-224881.09999999998</v>
      </c>
      <c r="I8" s="17">
        <f t="shared" si="2"/>
        <v>-0.25968061334579534</v>
      </c>
    </row>
    <row r="9" spans="1:9" ht="12.75" customHeight="1">
      <c r="A9" s="18" t="str">
        <v>Rochester - 5516 Valleyhigh NW</v>
      </c>
      <c r="B9" s="11" t="str">
        <v>MN</v>
      </c>
      <c r="C9" s="12">
        <f>SUM(Jan!C9, Feb!C9, Mar!C9)</f>
        <v>748299</v>
      </c>
      <c r="D9" s="19">
        <f>SUM(Jan!D9, Feb!D9, Mar!D9)</f>
        <v>805370.6</v>
      </c>
      <c r="E9" s="19">
        <f t="shared" si="3"/>
        <v>-57071.599999999977</v>
      </c>
      <c r="F9" s="20">
        <f t="shared" si="1"/>
        <v>-7.0863773770733593E-2</v>
      </c>
      <c r="G9" s="21">
        <f>SUM(Jan!G9, Feb!G9, Mar!G9)</f>
        <v>885341.6</v>
      </c>
      <c r="H9" s="21">
        <f>SUM(Jan!H9, Feb!H9, Mar!H9)</f>
        <v>-137042.59999999998</v>
      </c>
      <c r="I9" s="20">
        <f t="shared" si="2"/>
        <v>-0.15479064803912973</v>
      </c>
    </row>
    <row r="10" spans="1:9" ht="15.6">
      <c r="A10" s="13" t="str">
        <v>Warsaw - 2201 Richmond</v>
      </c>
      <c r="B10" s="10" t="str">
        <v>VA</v>
      </c>
      <c r="C10" s="25">
        <f>SUM(Jan!C10, Feb!C10, Mar!C10)</f>
        <v>479142.19999999902</v>
      </c>
      <c r="D10" s="14">
        <f>SUM(Jan!D10, Feb!D10, Mar!D10)</f>
        <v>554593.9</v>
      </c>
      <c r="E10" s="14">
        <f t="shared" si="3"/>
        <v>-75451.700000001001</v>
      </c>
      <c r="F10" s="15">
        <f t="shared" si="1"/>
        <v>-0.13604855733177196</v>
      </c>
      <c r="G10" s="16">
        <f>SUM(Jan!G10, Feb!G10, Mar!G10)</f>
        <v>548915</v>
      </c>
      <c r="H10" s="16">
        <f>SUM(Jan!H10, Feb!H10, Mar!H10)</f>
        <v>-69772.800000000978</v>
      </c>
      <c r="I10" s="17">
        <f t="shared" si="2"/>
        <v>-0.1271103904976198</v>
      </c>
    </row>
    <row r="11" spans="1:9" ht="15.6">
      <c r="A11" s="18" t="str">
        <v>Mount Jackson - Randolf</v>
      </c>
      <c r="B11" s="11" t="str">
        <v>VA</v>
      </c>
      <c r="C11" s="12">
        <f>SUM(Jan!C11, Feb!C11, Mar!C11)</f>
        <v>127473.20323117499</v>
      </c>
      <c r="D11" s="19">
        <f>SUM(Jan!D11, Feb!D11, Mar!D11)</f>
        <v>147694.20000000001</v>
      </c>
      <c r="E11" s="19">
        <f t="shared" si="3"/>
        <v>-20220.996768825018</v>
      </c>
      <c r="F11" s="20">
        <f t="shared" si="1"/>
        <v>-0.13691124478026231</v>
      </c>
      <c r="G11" s="21">
        <f>SUM(Jan!G11, Feb!G11, Mar!G11)</f>
        <v>364481.5</v>
      </c>
      <c r="H11" s="21">
        <f>SUM(Jan!H11, Feb!H11, Mar!H11)</f>
        <v>-237008.29676882501</v>
      </c>
      <c r="I11" s="20">
        <f t="shared" si="2"/>
        <v>-0.65026152704273055</v>
      </c>
    </row>
    <row r="12" spans="1:9" ht="15.6">
      <c r="A12" s="13" t="str">
        <v>Callands Gretna - Monroe</v>
      </c>
      <c r="B12" s="10" t="str">
        <v>VA</v>
      </c>
      <c r="C12" s="25">
        <f>SUM(Jan!C12, Feb!C12, Mar!C12)</f>
        <v>253236</v>
      </c>
      <c r="D12" s="14">
        <f>SUM(Jan!D12, Feb!D12, Mar!D12)</f>
        <v>254739.3</v>
      </c>
      <c r="E12" s="14">
        <f t="shared" si="3"/>
        <v>-1503.2999999999884</v>
      </c>
      <c r="F12" s="15">
        <f t="shared" si="1"/>
        <v>-5.9013273570273153E-3</v>
      </c>
      <c r="G12" s="16">
        <f>SUM(Jan!G12, Feb!G12, Mar!G12)</f>
        <v>283200</v>
      </c>
      <c r="H12" s="16">
        <f>SUM(Jan!H12, Feb!H12, Mar!H12)</f>
        <v>-29964</v>
      </c>
      <c r="I12" s="17">
        <f t="shared" si="2"/>
        <v>-0.10580508474576271</v>
      </c>
    </row>
    <row r="13" spans="1:9" ht="15.6">
      <c r="A13" s="18" t="str">
        <v>Rockbridge Baths - Small Mouth Bass</v>
      </c>
      <c r="B13" s="11" t="str">
        <v>VA</v>
      </c>
      <c r="C13" s="12">
        <f>SUM(Jan!C13, Feb!C13, Mar!C13)</f>
        <v>0</v>
      </c>
      <c r="D13" s="19">
        <f>SUM(Jan!D13, Feb!D13, Mar!D13)</f>
        <v>0</v>
      </c>
      <c r="E13" s="19">
        <f t="shared" si="3"/>
        <v>0</v>
      </c>
      <c r="F13" s="20" t="str">
        <f t="shared" si="1"/>
        <v/>
      </c>
      <c r="G13" s="21">
        <f>SUM(Jan!G13, Feb!G13, Mar!G13)</f>
        <v>0</v>
      </c>
      <c r="H13" s="21">
        <f>SUM(Jan!H13, Feb!H13, Mar!H13)</f>
        <v>0</v>
      </c>
      <c r="I13" s="20" t="str">
        <f t="shared" si="2"/>
        <v/>
      </c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G11" sqref="G11"/>
      <selection pane="bottomLeft" activeCell="D12" sqref="D12"/>
      <selection pane="topRight" activeCell="D12" sqref="D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Ecofin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>
      <c r="A2" s="66" t="s">
        <v>2</v>
      </c>
      <c r="B2" s="6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13">Sites[Site]</f>
        <v>Alamosa School District</v>
      </c>
      <c r="B4" s="10" t="str" cm="1">
        <f t="array" ref="B4:B13">Sites[State]</f>
        <v>CO</v>
      </c>
      <c r="C4" s="25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SUM(Apr!C5, May!C5, Jun!C5)</f>
        <v>0</v>
      </c>
      <c r="D5" s="19">
        <f>SUM(Apr!D5, May!D5, Jun!D5)</f>
        <v>0</v>
      </c>
      <c r="E5" s="19">
        <f t="shared" ref="E5:E6" si="0">IF(AND(ISNUMBER(C5),ISNUMBER(D5)), C5-D5, "")</f>
        <v>0</v>
      </c>
      <c r="F5" s="20" t="str">
        <f>IFERROR(E5/D5, "")</f>
        <v/>
      </c>
      <c r="G5" s="21">
        <f>SUM(Apr!G5+May!G5+Jun!G5)</f>
        <v>0</v>
      </c>
      <c r="H5" s="21">
        <f>SUM(Apr!H5, May!H5, Jun!H5)</f>
        <v>180611.69070000001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3" si="1">IFERROR(E6/D6, "")</f>
        <v/>
      </c>
      <c r="G6" s="16">
        <f>SUM(Apr!G6+May!G6+Jun!G6)</f>
        <v>0</v>
      </c>
      <c r="H6" s="16">
        <f>SUM(Apr!H6, May!H6, Jun!H6)</f>
        <v>0</v>
      </c>
      <c r="I6" s="17" t="str">
        <f t="shared" ref="I6:I13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SUM(Apr!C7, May!C7, Jun!C7)</f>
        <v>0</v>
      </c>
      <c r="D7" s="19">
        <f>SUM(Apr!D7, May!D7, Jun!D7)</f>
        <v>0</v>
      </c>
      <c r="E7" s="19">
        <f t="shared" ref="E7:E13" si="3">IF(AND(ISNUMBER(C7),ISNUMBER(D7)), C7-D7, "")</f>
        <v>0</v>
      </c>
      <c r="F7" s="20" t="str">
        <f t="shared" si="1"/>
        <v/>
      </c>
      <c r="G7" s="21">
        <f>SUM(Apr!G7+May!G7+Jun!G7)</f>
        <v>0</v>
      </c>
      <c r="H7" s="21">
        <f>SUM(Apr!H7, May!H7, Jun!H7)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SUM(Apr!C8, May!C8, Jun!C8)</f>
        <v>0</v>
      </c>
      <c r="D8" s="14">
        <f>SUM(Apr!D8, May!D8, Jun!D8)</f>
        <v>0</v>
      </c>
      <c r="E8" s="14">
        <f t="shared" si="3"/>
        <v>0</v>
      </c>
      <c r="F8" s="15" t="str">
        <f t="shared" si="1"/>
        <v/>
      </c>
      <c r="G8" s="16">
        <f>SUM(Apr!G8+May!G8+Jun!G8)</f>
        <v>0</v>
      </c>
      <c r="H8" s="16">
        <f>SUM(Apr!H8, May!H8, Jun!H8)</f>
        <v>0</v>
      </c>
      <c r="I8" s="17" t="str">
        <f t="shared" si="2"/>
        <v/>
      </c>
    </row>
    <row r="9" spans="1:9" ht="12.75" customHeight="1">
      <c r="A9" s="18" t="str">
        <v>Rochester - 5516 Valleyhigh NW</v>
      </c>
      <c r="B9" s="11" t="str">
        <v>MN</v>
      </c>
      <c r="C9" s="12">
        <f>SUM(Apr!C9, May!C9, Jun!C9)</f>
        <v>0</v>
      </c>
      <c r="D9" s="19">
        <f>SUM(Apr!D9, May!D9, Jun!D9)</f>
        <v>0</v>
      </c>
      <c r="E9" s="19">
        <f t="shared" si="3"/>
        <v>0</v>
      </c>
      <c r="F9" s="20" t="str">
        <f t="shared" si="1"/>
        <v/>
      </c>
      <c r="G9" s="21">
        <f>SUM(Apr!G9+May!G9+Jun!G9)</f>
        <v>0</v>
      </c>
      <c r="H9" s="21">
        <f>SUM(Apr!H9, May!H9, Jun!H9)</f>
        <v>0</v>
      </c>
      <c r="I9" s="20" t="str">
        <f t="shared" si="2"/>
        <v/>
      </c>
    </row>
    <row r="10" spans="1:9" ht="15.6">
      <c r="A10" s="13" t="str">
        <v>Warsaw - 2201 Richmond</v>
      </c>
      <c r="B10" s="10" t="str">
        <v>VA</v>
      </c>
      <c r="C10" s="25">
        <f>SUM(Apr!C10, May!C10, Jun!C10)</f>
        <v>0</v>
      </c>
      <c r="D10" s="14">
        <f>SUM(Apr!D10, May!D10, Jun!D10)</f>
        <v>0</v>
      </c>
      <c r="E10" s="14">
        <f t="shared" si="3"/>
        <v>0</v>
      </c>
      <c r="F10" s="15" t="str">
        <f t="shared" si="1"/>
        <v/>
      </c>
      <c r="G10" s="16">
        <f>SUM(Apr!G10+May!G10+Jun!G10)</f>
        <v>0</v>
      </c>
      <c r="H10" s="16">
        <f>SUM(Apr!H10, May!H10, Jun!H10)</f>
        <v>0</v>
      </c>
      <c r="I10" s="17" t="str">
        <f t="shared" si="2"/>
        <v/>
      </c>
    </row>
    <row r="11" spans="1:9" ht="15.6">
      <c r="A11" s="18" t="str">
        <v>Mount Jackson - Randolf</v>
      </c>
      <c r="B11" s="11" t="str">
        <v>VA</v>
      </c>
      <c r="C11" s="12">
        <f>SUM(Apr!C11, May!C11, Jun!C11)</f>
        <v>0</v>
      </c>
      <c r="D11" s="19">
        <f>SUM(Apr!D11, May!D11, Jun!D11)</f>
        <v>0</v>
      </c>
      <c r="E11" s="19">
        <f t="shared" si="3"/>
        <v>0</v>
      </c>
      <c r="F11" s="20" t="str">
        <f t="shared" si="1"/>
        <v/>
      </c>
      <c r="G11" s="21">
        <f>SUM(Apr!G11+May!G11+Jun!G11)</f>
        <v>0</v>
      </c>
      <c r="H11" s="21">
        <f>SUM(Apr!H11, May!H11, Jun!H11)</f>
        <v>0</v>
      </c>
      <c r="I11" s="20" t="str">
        <f t="shared" si="2"/>
        <v/>
      </c>
    </row>
    <row r="12" spans="1:9" ht="15.6">
      <c r="A12" s="13" t="str">
        <v>Callands Gretna - Monroe</v>
      </c>
      <c r="B12" s="10" t="str">
        <v>VA</v>
      </c>
      <c r="C12" s="25">
        <f>SUM(Apr!C12, May!C12, Jun!C12)</f>
        <v>0</v>
      </c>
      <c r="D12" s="14">
        <f>SUM(Apr!D12, May!D12, Jun!D12)</f>
        <v>0</v>
      </c>
      <c r="E12" s="14">
        <f t="shared" si="3"/>
        <v>0</v>
      </c>
      <c r="F12" s="15" t="str">
        <f t="shared" si="1"/>
        <v/>
      </c>
      <c r="G12" s="16">
        <f>SUM(Apr!G12+May!G12+Jun!G12)</f>
        <v>0</v>
      </c>
      <c r="H12" s="16">
        <f>SUM(Apr!H12, May!H12, Jun!H12)</f>
        <v>0</v>
      </c>
      <c r="I12" s="17" t="str">
        <f t="shared" si="2"/>
        <v/>
      </c>
    </row>
    <row r="13" spans="1:9" ht="15.6">
      <c r="A13" s="18" t="str">
        <v>Rockbridge Baths - Small Mouth Bass</v>
      </c>
      <c r="B13" s="11" t="str">
        <v>VA</v>
      </c>
      <c r="C13" s="12">
        <f>SUM(Apr!C13, May!C13, Jun!C13)</f>
        <v>0</v>
      </c>
      <c r="D13" s="19">
        <f>SUM(Apr!D13, May!D13, Jun!D13)</f>
        <v>0</v>
      </c>
      <c r="E13" s="19">
        <f t="shared" si="3"/>
        <v>0</v>
      </c>
      <c r="F13" s="20" t="str">
        <f t="shared" si="1"/>
        <v/>
      </c>
      <c r="G13" s="21">
        <f>SUM(Apr!G13+May!G13+Jun!G13)</f>
        <v>0</v>
      </c>
      <c r="H13" s="21">
        <f>SUM(Apr!H13, May!H13, Jun!H13)</f>
        <v>0</v>
      </c>
      <c r="I13" s="20" t="str">
        <f t="shared" si="2"/>
        <v/>
      </c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C7" sqref="C7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Ecofin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>
      <c r="A2" s="66" t="s">
        <v>2</v>
      </c>
      <c r="B2" s="6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13">Sites[Site]</f>
        <v>Alamosa School District</v>
      </c>
      <c r="B4" s="10" t="str" cm="1">
        <f t="array" ref="B4:B13">Sites[State]</f>
        <v>CO</v>
      </c>
      <c r="C4" s="25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SUM(Jul!C5, Aug!C5, Sep!C5)</f>
        <v>0</v>
      </c>
      <c r="D5" s="19">
        <f>SUM(Jul!D5, Aug!D5, Sep!D5)</f>
        <v>0</v>
      </c>
      <c r="E5" s="19">
        <f t="shared" ref="E5:E6" si="0">IF(AND(ISNUMBER(C5),ISNUMBER(D5)), C5-D5, "")</f>
        <v>0</v>
      </c>
      <c r="F5" s="20" t="str">
        <f>IFERROR(E5/D5, "")</f>
        <v/>
      </c>
      <c r="G5" s="57">
        <f>SUM(Jul!G5,Aug!G5,Sep!G5)</f>
        <v>0</v>
      </c>
      <c r="H5" s="21">
        <f>SUM(Jul!H5, Aug!H5, Sep!H5)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3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13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SUM(Jul!C7, Aug!C7, Sep!C7)</f>
        <v>0</v>
      </c>
      <c r="D7" s="19">
        <f>SUM(Jul!D7, Aug!D7, Sep!D7)</f>
        <v>0</v>
      </c>
      <c r="E7" s="19">
        <f t="shared" ref="E7:E13" si="3">IF(AND(ISNUMBER(C7),ISNUMBER(D7)), C7-D7, "")</f>
        <v>0</v>
      </c>
      <c r="F7" s="20" t="str">
        <f t="shared" si="1"/>
        <v/>
      </c>
      <c r="G7" s="57">
        <f>SUM(Jul!G7,Aug!G7,Sep!G7)</f>
        <v>0</v>
      </c>
      <c r="H7" s="21">
        <f>SUM(Jul!H7, Aug!H7, Sep!H7)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SUM(Jul!C8, Aug!C8, Sep!C8)</f>
        <v>0</v>
      </c>
      <c r="D8" s="14">
        <f>SUM(Jul!D8, Aug!D8, Sep!D8)</f>
        <v>0</v>
      </c>
      <c r="E8" s="14">
        <f t="shared" si="3"/>
        <v>0</v>
      </c>
      <c r="F8" s="15" t="str">
        <f t="shared" si="1"/>
        <v/>
      </c>
      <c r="G8" s="16">
        <f>SUM(Jul!G8,Aug!G8,Sep!G8)</f>
        <v>0</v>
      </c>
      <c r="H8" s="16">
        <f>SUM(Jul!H8, Aug!H8, Sep!H8)</f>
        <v>0</v>
      </c>
      <c r="I8" s="17" t="str">
        <f t="shared" si="2"/>
        <v/>
      </c>
    </row>
    <row r="9" spans="1:9" ht="12.75" customHeight="1">
      <c r="A9" s="18" t="str">
        <v>Rochester - 5516 Valleyhigh NW</v>
      </c>
      <c r="B9" s="11" t="str">
        <v>MN</v>
      </c>
      <c r="C9" s="12">
        <f>SUM(Jul!C9, Aug!C9, Sep!C9)</f>
        <v>0</v>
      </c>
      <c r="D9" s="19">
        <f>SUM(Jul!D9, Aug!D9, Sep!D9)</f>
        <v>0</v>
      </c>
      <c r="E9" s="19">
        <f t="shared" si="3"/>
        <v>0</v>
      </c>
      <c r="F9" s="20" t="str">
        <f t="shared" si="1"/>
        <v/>
      </c>
      <c r="G9" s="57">
        <f>SUM(Jul!G9,Aug!G9,Sep!G9)</f>
        <v>0</v>
      </c>
      <c r="H9" s="21">
        <f>SUM(Jul!H9, Aug!H9, Sep!H9)</f>
        <v>0</v>
      </c>
      <c r="I9" s="20" t="str">
        <f t="shared" si="2"/>
        <v/>
      </c>
    </row>
    <row r="10" spans="1:9" ht="15.6">
      <c r="A10" s="13" t="str">
        <v>Warsaw - 2201 Richmond</v>
      </c>
      <c r="B10" s="10" t="str">
        <v>VA</v>
      </c>
      <c r="C10" s="25">
        <f>SUM(Jul!C10, Aug!C10, Sep!C10)</f>
        <v>0</v>
      </c>
      <c r="D10" s="14">
        <f>SUM(Jul!D10, Aug!D10, Sep!D10)</f>
        <v>0</v>
      </c>
      <c r="E10" s="14">
        <f t="shared" si="3"/>
        <v>0</v>
      </c>
      <c r="F10" s="15" t="str">
        <f t="shared" si="1"/>
        <v/>
      </c>
      <c r="G10" s="16">
        <f>SUM(Jul!G10,Aug!G10,Sep!G10)</f>
        <v>0</v>
      </c>
      <c r="H10" s="16">
        <f>SUM(Jul!H10, Aug!H10, Sep!H10)</f>
        <v>0</v>
      </c>
      <c r="I10" s="17" t="str">
        <f t="shared" si="2"/>
        <v/>
      </c>
    </row>
    <row r="11" spans="1:9" ht="15.6">
      <c r="A11" s="18" t="str">
        <v>Mount Jackson - Randolf</v>
      </c>
      <c r="B11" s="11" t="str">
        <v>VA</v>
      </c>
      <c r="C11" s="12">
        <f>SUM(Jul!C11, Aug!C11, Sep!C11)</f>
        <v>0</v>
      </c>
      <c r="D11" s="19">
        <f>SUM(Jul!D11, Aug!D11, Sep!D11)</f>
        <v>0</v>
      </c>
      <c r="E11" s="19">
        <f t="shared" si="3"/>
        <v>0</v>
      </c>
      <c r="F11" s="20" t="str">
        <f t="shared" si="1"/>
        <v/>
      </c>
      <c r="G11" s="57">
        <f>SUM(Jul!G11,Aug!G11,Sep!G11)</f>
        <v>0</v>
      </c>
      <c r="H11" s="21">
        <f>SUM(Jul!H11, Aug!H11, Sep!H11)</f>
        <v>0</v>
      </c>
      <c r="I11" s="20" t="str">
        <f t="shared" si="2"/>
        <v/>
      </c>
    </row>
    <row r="12" spans="1:9" ht="15.6">
      <c r="A12" s="13" t="str">
        <v>Callands Gretna - Monroe</v>
      </c>
      <c r="B12" s="10" t="str">
        <v>VA</v>
      </c>
      <c r="C12" s="25">
        <f>SUM(Jul!C12, Aug!C12, Sep!C12)</f>
        <v>0</v>
      </c>
      <c r="D12" s="14">
        <f>SUM(Jul!D12, Aug!D12, Sep!D12)</f>
        <v>0</v>
      </c>
      <c r="E12" s="14">
        <f t="shared" si="3"/>
        <v>0</v>
      </c>
      <c r="F12" s="15" t="str">
        <f t="shared" si="1"/>
        <v/>
      </c>
      <c r="G12" s="16">
        <f>SUM(Jul!G12,Aug!G12,Sep!G12)</f>
        <v>0</v>
      </c>
      <c r="H12" s="16">
        <f>SUM(Jul!H12, Aug!H12, Sep!H12)</f>
        <v>0</v>
      </c>
      <c r="I12" s="17" t="str">
        <f t="shared" si="2"/>
        <v/>
      </c>
    </row>
    <row r="13" spans="1:9" ht="15.6">
      <c r="A13" s="18" t="str">
        <v>Rockbridge Baths - Small Mouth Bass</v>
      </c>
      <c r="B13" s="11" t="str">
        <v>VA</v>
      </c>
      <c r="C13" s="12">
        <f>SUM(Jul!C13, Aug!C13, Sep!C13)</f>
        <v>0</v>
      </c>
      <c r="D13" s="19">
        <f>SUM(Jul!D13, Aug!D13, Sep!D13)</f>
        <v>0</v>
      </c>
      <c r="E13" s="19">
        <f t="shared" si="3"/>
        <v>0</v>
      </c>
      <c r="F13" s="20" t="str">
        <f t="shared" si="1"/>
        <v/>
      </c>
      <c r="G13" s="57">
        <f>SUM(Jul!G13,Aug!G13,Sep!G13)</f>
        <v>0</v>
      </c>
      <c r="H13" s="21">
        <f>SUM(Jul!H13, Aug!H13, Sep!H13)</f>
        <v>0</v>
      </c>
      <c r="I13" s="20" t="str">
        <f t="shared" si="2"/>
        <v/>
      </c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4" priority="5" stopIfTrue="1" operator="lessThanOrEqual">
      <formula>-0.1</formula>
    </cfRule>
    <cfRule type="expression" dxfId="43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C7" sqref="C7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4" t="str" cm="1">
        <f t="array" ref="A1">portfolio</f>
        <v>Ecofin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>
      <c r="A2" s="66" t="s">
        <v>2</v>
      </c>
      <c r="B2" s="6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3" t="str" cm="1">
        <f t="array" ref="A4:A13">Sites[Site]</f>
        <v>Alamosa School District</v>
      </c>
      <c r="B4" s="10" t="str" cm="1">
        <f t="array" ref="B4:B13">Sites[State]</f>
        <v>CO</v>
      </c>
      <c r="C4" s="25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SUM(Oct!C5, Nov!C5, Dec!C5)</f>
        <v>0</v>
      </c>
      <c r="D5" s="19">
        <f>SUM(Oct!D5, Nov!D5, Dec!D5)</f>
        <v>0</v>
      </c>
      <c r="E5" s="19">
        <f t="shared" ref="E5:E6" si="0">IF(AND(ISNUMBER(C5),ISNUMBER(D5)), C5-D5, "")</f>
        <v>0</v>
      </c>
      <c r="F5" s="20" t="str">
        <f>IFERROR(E5/D5, "")</f>
        <v/>
      </c>
      <c r="G5" s="21">
        <f>SUM(Oct!G5,Nov!G5,Dec!G5)</f>
        <v>0</v>
      </c>
      <c r="H5" s="21">
        <f>SUM(Oct!H5, Nov!H5, Dec!H5)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3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13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SUM(Oct!C7, Nov!C7, Dec!C7)</f>
        <v>0</v>
      </c>
      <c r="D7" s="19">
        <f>SUM(Oct!D7, Nov!D7, Dec!D7)</f>
        <v>0</v>
      </c>
      <c r="E7" s="19">
        <f t="shared" ref="E7:E13" si="3">IF(AND(ISNUMBER(C7),ISNUMBER(D7)), C7-D7, "")</f>
        <v>0</v>
      </c>
      <c r="F7" s="20" t="str">
        <f t="shared" si="1"/>
        <v/>
      </c>
      <c r="G7" s="21">
        <f>SUM(Oct!G7,Nov!G7,Dec!G7)</f>
        <v>0</v>
      </c>
      <c r="H7" s="21">
        <f>SUM(Oct!H7, Nov!H7, Dec!H7)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SUM(Oct!C8, Nov!C8, Dec!C8)</f>
        <v>0</v>
      </c>
      <c r="D8" s="14">
        <f>SUM(Oct!D8, Nov!D8, Dec!D8)</f>
        <v>0</v>
      </c>
      <c r="E8" s="14">
        <f t="shared" si="3"/>
        <v>0</v>
      </c>
      <c r="F8" s="15" t="str">
        <f t="shared" si="1"/>
        <v/>
      </c>
      <c r="G8" s="16">
        <f>SUM(Oct!G8,Nov!G8,Dec!G8)</f>
        <v>0</v>
      </c>
      <c r="H8" s="16">
        <f>SUM(Oct!H8, Nov!H8, Dec!H8)</f>
        <v>0</v>
      </c>
      <c r="I8" s="17" t="str">
        <f t="shared" si="2"/>
        <v/>
      </c>
    </row>
    <row r="9" spans="1:9" ht="12.75" customHeight="1">
      <c r="A9" s="18" t="str">
        <v>Rochester - 5516 Valleyhigh NW</v>
      </c>
      <c r="B9" s="11" t="str">
        <v>MN</v>
      </c>
      <c r="C9" s="12">
        <f>SUM(Oct!C9, Nov!C9, Dec!C9)</f>
        <v>0</v>
      </c>
      <c r="D9" s="19">
        <f>SUM(Oct!D9, Nov!D9, Dec!D9)</f>
        <v>0</v>
      </c>
      <c r="E9" s="19">
        <f t="shared" si="3"/>
        <v>0</v>
      </c>
      <c r="F9" s="20" t="str">
        <f t="shared" si="1"/>
        <v/>
      </c>
      <c r="G9" s="21">
        <f>SUM(Oct!G9,Nov!G9,Dec!G9)</f>
        <v>0</v>
      </c>
      <c r="H9" s="21">
        <f>SUM(Oct!H9, Nov!H9, Dec!H9)</f>
        <v>0</v>
      </c>
      <c r="I9" s="20" t="str">
        <f t="shared" si="2"/>
        <v/>
      </c>
    </row>
    <row r="10" spans="1:9" ht="15.6">
      <c r="A10" s="13" t="str">
        <v>Warsaw - 2201 Richmond</v>
      </c>
      <c r="B10" s="10" t="str">
        <v>VA</v>
      </c>
      <c r="C10" s="25">
        <f>SUM(Oct!C10, Nov!C10, Dec!C10)</f>
        <v>0</v>
      </c>
      <c r="D10" s="14">
        <f>SUM(Oct!D10, Nov!D10, Dec!D10)</f>
        <v>0</v>
      </c>
      <c r="E10" s="14">
        <f t="shared" si="3"/>
        <v>0</v>
      </c>
      <c r="F10" s="15" t="str">
        <f t="shared" si="1"/>
        <v/>
      </c>
      <c r="G10" s="16">
        <f>SUM(Oct!G10,Nov!G10,Dec!G10)</f>
        <v>0</v>
      </c>
      <c r="H10" s="16">
        <f>SUM(Oct!H10, Nov!H10, Dec!H10)</f>
        <v>0</v>
      </c>
      <c r="I10" s="17" t="str">
        <f t="shared" si="2"/>
        <v/>
      </c>
    </row>
    <row r="11" spans="1:9" ht="15.6">
      <c r="A11" s="18" t="str">
        <v>Mount Jackson - Randolf</v>
      </c>
      <c r="B11" s="11" t="str">
        <v>VA</v>
      </c>
      <c r="C11" s="12">
        <f>SUM(Oct!C11, Nov!C11, Dec!C11)</f>
        <v>0</v>
      </c>
      <c r="D11" s="19">
        <f>SUM(Oct!D11, Nov!D11, Dec!D11)</f>
        <v>0</v>
      </c>
      <c r="E11" s="19">
        <f t="shared" si="3"/>
        <v>0</v>
      </c>
      <c r="F11" s="20" t="str">
        <f t="shared" si="1"/>
        <v/>
      </c>
      <c r="G11" s="21">
        <f>SUM(Oct!G11,Nov!G11,Dec!G11)</f>
        <v>0</v>
      </c>
      <c r="H11" s="21">
        <f>SUM(Oct!H11, Nov!H11, Dec!H11)</f>
        <v>0</v>
      </c>
      <c r="I11" s="20" t="str">
        <f t="shared" si="2"/>
        <v/>
      </c>
    </row>
    <row r="12" spans="1:9" ht="15.6">
      <c r="A12" s="13" t="str">
        <v>Callands Gretna - Monroe</v>
      </c>
      <c r="B12" s="10" t="str">
        <v>VA</v>
      </c>
      <c r="C12" s="25">
        <f>SUM(Oct!C12, Nov!C12, Dec!C12)</f>
        <v>0</v>
      </c>
      <c r="D12" s="14">
        <f>SUM(Oct!D12, Nov!D12, Dec!D12)</f>
        <v>0</v>
      </c>
      <c r="E12" s="14">
        <f t="shared" si="3"/>
        <v>0</v>
      </c>
      <c r="F12" s="15" t="str">
        <f t="shared" si="1"/>
        <v/>
      </c>
      <c r="G12" s="16">
        <f>SUM(Oct!G12,Nov!G12,Dec!G12)</f>
        <v>0</v>
      </c>
      <c r="H12" s="16">
        <f>SUM(Oct!H12, Nov!H12, Dec!H12)</f>
        <v>0</v>
      </c>
      <c r="I12" s="17" t="str">
        <f t="shared" si="2"/>
        <v/>
      </c>
    </row>
    <row r="13" spans="1:9" ht="15.6">
      <c r="A13" s="18" t="str">
        <v>Rockbridge Baths - Small Mouth Bass</v>
      </c>
      <c r="B13" s="11" t="str">
        <v>VA</v>
      </c>
      <c r="C13" s="12">
        <f>SUM(Oct!C13, Nov!C13, Dec!C13)</f>
        <v>0</v>
      </c>
      <c r="D13" s="19">
        <f>SUM(Oct!D13, Nov!D13, Dec!D13)</f>
        <v>0</v>
      </c>
      <c r="E13" s="19">
        <f t="shared" si="3"/>
        <v>0</v>
      </c>
      <c r="F13" s="20" t="str">
        <f t="shared" si="1"/>
        <v/>
      </c>
      <c r="G13" s="21">
        <f>SUM(Oct!G13,Nov!G13,Dec!G13)</f>
        <v>0</v>
      </c>
      <c r="H13" s="21">
        <f>SUM(Oct!H13, Nov!H13, Dec!H13)</f>
        <v>0</v>
      </c>
      <c r="I13" s="20" t="str">
        <f t="shared" si="2"/>
        <v/>
      </c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4"/>
  <sheetViews>
    <sheetView tabSelected="1" workbookViewId="0">
      <pane xSplit="2" ySplit="3" topLeftCell="C4" activePane="bottomRight" state="frozen"/>
      <selection pane="bottomRight" activeCell="N9" sqref="N9"/>
      <selection pane="bottomLeft" activeCell="A16" sqref="A16"/>
      <selection pane="topRight" activeCell="A16" sqref="A1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36.5703125" customWidth="1"/>
    <col min="12" max="12" width="10.7109375" customWidth="1"/>
    <col min="13" max="13" width="12.140625" customWidth="1"/>
  </cols>
  <sheetData>
    <row r="1" spans="1:13" ht="19.5" customHeight="1">
      <c r="A1" s="64" t="str" cm="1">
        <f t="array" ref="A1">portfolio</f>
        <v>Ecofin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5"/>
      <c r="K1" s="5"/>
    </row>
    <row r="2" spans="1:13" ht="19.5" customHeight="1">
      <c r="A2" s="66" t="s">
        <v>2</v>
      </c>
      <c r="B2" s="66"/>
      <c r="C2" s="6">
        <f>SUM(C4:C82)</f>
        <v>2501712.4954186738</v>
      </c>
      <c r="D2" s="6">
        <f>SUM(D4:D82)</f>
        <v>3032066.6599999997</v>
      </c>
      <c r="E2" s="6">
        <f>C2-D2</f>
        <v>-530354.16458132584</v>
      </c>
      <c r="F2" s="7">
        <f>IFERROR(E2/D2, 0)</f>
        <v>-0.17491507412351082</v>
      </c>
      <c r="G2" s="6">
        <f>SUM(G4:G82)</f>
        <v>3048208</v>
      </c>
      <c r="H2" s="8">
        <f>C2-G2</f>
        <v>-546495.50458132615</v>
      </c>
      <c r="I2" s="7">
        <f>IFERROR(H2/G2, 0)</f>
        <v>-0.17928419077088117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28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58" t="s">
        <v>20</v>
      </c>
      <c r="K3" s="58" t="s">
        <v>21</v>
      </c>
    </row>
    <row r="4" spans="1:13" ht="60.75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>
        <v>57157</v>
      </c>
      <c r="D4" s="14">
        <v>78953</v>
      </c>
      <c r="E4" s="14">
        <f>IF(AND(ISNUMBER(C4),ISNUMBER(D4)), C4-D4, "")</f>
        <v>-21796</v>
      </c>
      <c r="F4" s="15">
        <f>IFERROR(E4/D4, "")</f>
        <v>-0.27606297417450887</v>
      </c>
      <c r="G4" s="16">
        <v>92539.7</v>
      </c>
      <c r="H4" s="16">
        <f>IF(AND(ISNUMBER(C4),ISNUMBER(G4)), C4-G4, "")</f>
        <v>-35382.699999999997</v>
      </c>
      <c r="I4" s="17">
        <f>IFERROR(H4/G4, "")</f>
        <v>-0.38235157451342505</v>
      </c>
      <c r="J4" s="50" t="s">
        <v>22</v>
      </c>
      <c r="K4" s="59" t="s">
        <v>23</v>
      </c>
      <c r="L4" s="61" t="s">
        <v>24</v>
      </c>
      <c r="M4" s="62"/>
    </row>
    <row r="5" spans="1:13" ht="43.15">
      <c r="A5" s="30" t="str">
        <v>San Luis Valley</v>
      </c>
      <c r="B5" s="31" t="str">
        <v>CO</v>
      </c>
      <c r="C5" s="12">
        <v>144650.5</v>
      </c>
      <c r="D5" s="19">
        <v>160327.5</v>
      </c>
      <c r="E5" s="19">
        <f t="shared" ref="E5:E13" si="0">IF(AND(ISNUMBER(C5),ISNUMBER(D5)), C5-D5, "")</f>
        <v>-15677</v>
      </c>
      <c r="F5" s="20">
        <f>IFERROR(E5/D5, "")</f>
        <v>-9.7781104302131577E-2</v>
      </c>
      <c r="G5" s="21">
        <v>0</v>
      </c>
      <c r="H5" s="21">
        <f t="shared" ref="H5:H6" si="1">IF(AND(ISNUMBER(C5),ISNUMBER(G5)), C5-G5, "")</f>
        <v>144650.5</v>
      </c>
      <c r="I5" s="20" t="str">
        <f t="shared" ref="I5:I6" si="2">IFERROR(H5/G5, "")</f>
        <v/>
      </c>
      <c r="J5" s="48" t="s">
        <v>25</v>
      </c>
      <c r="K5" s="60" t="s">
        <v>26</v>
      </c>
      <c r="L5" s="62"/>
      <c r="M5" s="62"/>
    </row>
    <row r="6" spans="1:13" ht="15.6">
      <c r="A6" s="32" t="str">
        <v>Golden NREL 2</v>
      </c>
      <c r="B6" s="29" t="str">
        <v>CO</v>
      </c>
      <c r="C6" s="25">
        <v>5628</v>
      </c>
      <c r="D6" s="14">
        <v>5616.3</v>
      </c>
      <c r="E6" s="14">
        <f t="shared" si="0"/>
        <v>11.699999999999818</v>
      </c>
      <c r="F6" s="15">
        <f t="shared" ref="F6:F13" si="3">IFERROR(E6/D6, "")</f>
        <v>2.0832220501041288E-3</v>
      </c>
      <c r="G6" s="16">
        <v>7739.1</v>
      </c>
      <c r="H6" s="16">
        <f t="shared" si="1"/>
        <v>-2111.1000000000004</v>
      </c>
      <c r="I6" s="17">
        <f t="shared" si="2"/>
        <v>-0.27278365701438156</v>
      </c>
      <c r="J6" s="50"/>
      <c r="K6" s="50"/>
      <c r="L6" s="62"/>
      <c r="M6" s="62"/>
    </row>
    <row r="7" spans="1:13" ht="30.75">
      <c r="A7" s="30" t="str">
        <v>Golden NREL Wind 3</v>
      </c>
      <c r="B7" s="31" t="str">
        <v>CO</v>
      </c>
      <c r="C7" s="12">
        <v>45016.592187499999</v>
      </c>
      <c r="D7" s="19">
        <v>65286.76</v>
      </c>
      <c r="E7" s="19">
        <f t="shared" si="0"/>
        <v>-20270.167812500003</v>
      </c>
      <c r="F7" s="20">
        <f t="shared" si="3"/>
        <v>-0.31047899777075783</v>
      </c>
      <c r="G7" s="21">
        <v>0</v>
      </c>
      <c r="H7" s="21">
        <f t="shared" ref="H7:H13" si="4">IF(AND(ISNUMBER(C7),ISNUMBER(G7)), C7-G7, "")</f>
        <v>45016.592187499999</v>
      </c>
      <c r="I7" s="20" t="str">
        <f t="shared" ref="I7:I13" si="5">IFERROR(H7/G7, "")</f>
        <v/>
      </c>
      <c r="J7" s="48" t="s">
        <v>27</v>
      </c>
      <c r="K7" s="60" t="s">
        <v>28</v>
      </c>
      <c r="L7" s="62"/>
      <c r="M7" s="62"/>
    </row>
    <row r="8" spans="1:13" ht="15.6">
      <c r="A8" s="32" t="str">
        <v>Pratt Solar Farm</v>
      </c>
      <c r="B8" s="29" t="str">
        <v>KS</v>
      </c>
      <c r="C8" s="25">
        <v>641110</v>
      </c>
      <c r="D8" s="14">
        <v>959485.1</v>
      </c>
      <c r="E8" s="14">
        <f t="shared" si="0"/>
        <v>-318375.09999999998</v>
      </c>
      <c r="F8" s="15">
        <f t="shared" si="3"/>
        <v>-0.33181870150979936</v>
      </c>
      <c r="G8" s="16">
        <v>865991.1</v>
      </c>
      <c r="H8" s="16">
        <f t="shared" si="4"/>
        <v>-224881.09999999998</v>
      </c>
      <c r="I8" s="17">
        <f t="shared" si="5"/>
        <v>-0.25968061334579534</v>
      </c>
      <c r="J8" s="50" t="s">
        <v>29</v>
      </c>
      <c r="K8" s="59" t="s">
        <v>30</v>
      </c>
      <c r="L8" s="62"/>
      <c r="M8" s="62"/>
    </row>
    <row r="9" spans="1:13" ht="57.6">
      <c r="A9" s="30" t="str">
        <v>Rochester - 5516 Valleyhigh NW</v>
      </c>
      <c r="B9" s="31" t="str">
        <v>MN</v>
      </c>
      <c r="C9" s="12">
        <v>748299</v>
      </c>
      <c r="D9" s="19">
        <v>805370.6</v>
      </c>
      <c r="E9" s="19">
        <f t="shared" si="0"/>
        <v>-57071.599999999977</v>
      </c>
      <c r="F9" s="20">
        <f t="shared" si="3"/>
        <v>-7.0863773770733593E-2</v>
      </c>
      <c r="G9" s="21">
        <v>885341.6</v>
      </c>
      <c r="H9" s="21">
        <f t="shared" si="4"/>
        <v>-137042.59999999998</v>
      </c>
      <c r="I9" s="20">
        <f t="shared" si="5"/>
        <v>-0.15479064803912973</v>
      </c>
      <c r="J9" s="48" t="s">
        <v>31</v>
      </c>
      <c r="K9" s="60" t="s">
        <v>32</v>
      </c>
      <c r="L9" s="61" t="s">
        <v>33</v>
      </c>
      <c r="M9" s="62"/>
    </row>
    <row r="10" spans="1:13" ht="15.6">
      <c r="A10" s="32" t="str">
        <v>Warsaw - 2201 Richmond</v>
      </c>
      <c r="B10" s="29" t="str">
        <v>VA</v>
      </c>
      <c r="C10" s="25">
        <v>479142.19999999902</v>
      </c>
      <c r="D10" s="14">
        <v>554593.9</v>
      </c>
      <c r="E10" s="14">
        <f t="shared" si="0"/>
        <v>-75451.700000001001</v>
      </c>
      <c r="F10" s="15">
        <f t="shared" si="3"/>
        <v>-0.13604855733177196</v>
      </c>
      <c r="G10" s="16">
        <v>548915</v>
      </c>
      <c r="H10" s="16">
        <f t="shared" si="4"/>
        <v>-69772.800000000978</v>
      </c>
      <c r="I10" s="17">
        <f t="shared" si="5"/>
        <v>-0.1271103904976198</v>
      </c>
      <c r="J10" s="50" t="s">
        <v>34</v>
      </c>
      <c r="K10" s="59" t="s">
        <v>35</v>
      </c>
      <c r="L10" s="62"/>
      <c r="M10" s="62"/>
    </row>
    <row r="11" spans="1:13" ht="122.25" customHeight="1">
      <c r="A11" s="30" t="str">
        <v>Mount Jackson - Randolf</v>
      </c>
      <c r="B11" s="31" t="str">
        <v>VA</v>
      </c>
      <c r="C11" s="12">
        <v>127473.20323117499</v>
      </c>
      <c r="D11" s="19">
        <v>147694.20000000001</v>
      </c>
      <c r="E11" s="19">
        <f t="shared" si="0"/>
        <v>-20220.996768825018</v>
      </c>
      <c r="F11" s="20">
        <f t="shared" si="3"/>
        <v>-0.13691124478026231</v>
      </c>
      <c r="G11" s="21">
        <v>364481.5</v>
      </c>
      <c r="H11" s="21">
        <f t="shared" si="4"/>
        <v>-237008.29676882501</v>
      </c>
      <c r="I11" s="20">
        <f t="shared" si="5"/>
        <v>-0.65026152704273055</v>
      </c>
      <c r="J11" s="48" t="s">
        <v>36</v>
      </c>
      <c r="K11" s="60" t="s">
        <v>37</v>
      </c>
      <c r="L11" s="61" t="s">
        <v>38</v>
      </c>
      <c r="M11" s="61" t="s">
        <v>39</v>
      </c>
    </row>
    <row r="12" spans="1:13" ht="15.6">
      <c r="A12" s="32" t="str">
        <v>Callands Gretna - Monroe</v>
      </c>
      <c r="B12" s="29" t="str">
        <v>VA</v>
      </c>
      <c r="C12" s="25">
        <v>253236</v>
      </c>
      <c r="D12" s="14">
        <v>254739.3</v>
      </c>
      <c r="E12" s="14">
        <f t="shared" si="0"/>
        <v>-1503.2999999999884</v>
      </c>
      <c r="F12" s="15">
        <f t="shared" si="3"/>
        <v>-5.9013273570273153E-3</v>
      </c>
      <c r="G12" s="16">
        <v>283200</v>
      </c>
      <c r="H12" s="16">
        <f t="shared" si="4"/>
        <v>-29964</v>
      </c>
      <c r="I12" s="17">
        <f t="shared" si="5"/>
        <v>-0.10580508474576271</v>
      </c>
      <c r="J12" s="50" t="s">
        <v>40</v>
      </c>
      <c r="K12" s="59" t="s">
        <v>41</v>
      </c>
      <c r="L12" s="62"/>
      <c r="M12" s="62"/>
    </row>
    <row r="13" spans="1:13" ht="15.6">
      <c r="A13" s="30" t="str">
        <v>Rockbridge Baths - Small Mouth Bass</v>
      </c>
      <c r="B13" s="31" t="str">
        <v>VA</v>
      </c>
      <c r="C13" s="12">
        <v>0</v>
      </c>
      <c r="D13" s="19">
        <v>0</v>
      </c>
      <c r="E13" s="19">
        <f t="shared" si="0"/>
        <v>0</v>
      </c>
      <c r="F13" s="20" t="str">
        <f t="shared" si="3"/>
        <v/>
      </c>
      <c r="G13" s="21">
        <v>0</v>
      </c>
      <c r="H13" s="21">
        <f t="shared" si="4"/>
        <v>0</v>
      </c>
      <c r="I13" s="20" t="str">
        <f t="shared" si="5"/>
        <v/>
      </c>
      <c r="J13" s="48" t="s">
        <v>42</v>
      </c>
      <c r="K13" s="60" t="s">
        <v>43</v>
      </c>
      <c r="L13" s="62"/>
      <c r="M13" s="62"/>
    </row>
    <row r="14" spans="1:13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  <c r="L14" s="62"/>
      <c r="M14" s="62"/>
    </row>
    <row r="15" spans="1:13" ht="14.45">
      <c r="A15" s="22"/>
      <c r="B15" s="33"/>
      <c r="C15" s="22"/>
      <c r="D15" s="22"/>
      <c r="E15" s="22"/>
      <c r="F15" s="23"/>
      <c r="G15" s="22"/>
      <c r="H15" s="22"/>
      <c r="I15" s="23"/>
      <c r="J15" s="22"/>
      <c r="K15" s="22"/>
    </row>
    <row r="16" spans="1:13" ht="14.45">
      <c r="A16" s="22"/>
      <c r="B16" s="33"/>
      <c r="C16" s="22"/>
      <c r="D16" s="22"/>
      <c r="E16" s="22"/>
      <c r="F16" s="23"/>
      <c r="G16" s="22"/>
      <c r="H16" s="22"/>
      <c r="I16" s="23"/>
      <c r="J16" s="22"/>
      <c r="K16" s="22"/>
    </row>
    <row r="17" spans="1:11" ht="14.45">
      <c r="A17" s="22"/>
      <c r="B17" s="33"/>
      <c r="C17" s="22"/>
      <c r="D17" s="22"/>
      <c r="E17" s="22"/>
      <c r="F17" s="23"/>
      <c r="G17" s="22"/>
      <c r="H17" s="22"/>
      <c r="I17" s="23"/>
      <c r="J17" s="22"/>
      <c r="K17" s="22"/>
    </row>
    <row r="18" spans="1:11" ht="14.45">
      <c r="A18" s="22"/>
      <c r="B18" s="33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3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3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3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3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3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3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</sheetData>
  <mergeCells count="4">
    <mergeCell ref="D1:F1"/>
    <mergeCell ref="A1:C1"/>
    <mergeCell ref="G1:I1"/>
    <mergeCell ref="A2:B2"/>
  </mergeCells>
  <phoneticPr fontId="5" type="noConversion"/>
  <conditionalFormatting sqref="F2 I2 F4:F82 I4:I82">
    <cfRule type="cellIs" dxfId="40" priority="4" stopIfTrue="1" operator="lessThanOrEqual">
      <formula>-0.1</formula>
    </cfRule>
    <cfRule type="expression" dxfId="39" priority="5">
      <formula>AND(ISNUMBER(F2), F2&gt;=0.1)</formula>
    </cfRule>
  </conditionalFormatting>
  <hyperlinks>
    <hyperlink ref="K4" r:id="rId1" display="https://us3.assetplanner.com/service_request?ID=095491" xr:uid="{5940B625-444B-4823-88EE-56222C9072EE}"/>
    <hyperlink ref="L4" r:id="rId2" display="https://us3.assetplanner.com/service_request?ID=095824" xr:uid="{7ADCB564-FEB5-4BE6-AA78-48ADCDD1A4D2}"/>
    <hyperlink ref="K5" r:id="rId3" display="https://us3.assetplanner.com/service_request?ID=093905" xr:uid="{F54AD888-9EFE-4712-9D2A-738DA0EA507C}"/>
    <hyperlink ref="K7" r:id="rId4" display="https://us3.assetplanner.com/service_request?ID=096263" xr:uid="{FC157595-6CE6-45B6-8F9D-0C99F5429DC0}"/>
    <hyperlink ref="K8" r:id="rId5" display="https://us3.assetplanner.com/service_request?ID=093458" xr:uid="{8261A5E9-B459-4994-9A6C-ACEB3C8FDF66}"/>
    <hyperlink ref="K9" r:id="rId6" display="https://us3.assetplanner.com/service_request?ID=094033" xr:uid="{E4A28255-A87F-4028-9A6E-9E382EF56033}"/>
    <hyperlink ref="L9" r:id="rId7" display="https://us3.assetplanner.com/service_request?ID=095849" xr:uid="{D0599B1F-063E-4CFA-98E1-117E548D1E79}"/>
    <hyperlink ref="K10" r:id="rId8" display="https://us3.assetplanner.com/service_request?ID=096181" xr:uid="{5FCF1054-1E2A-4E6E-928A-E1CB562A2B88}"/>
    <hyperlink ref="K11" r:id="rId9" display="https://us3.assetplanner.com/service_request?ID=095130" xr:uid="{2C492312-C80F-4F92-A6FF-306912090297}"/>
    <hyperlink ref="L11" r:id="rId10" display="https://us3.assetplanner.com/service_request?ID=096122" xr:uid="{4B6F55BF-A4C2-4444-A8D5-8DB6AD4A5888}"/>
    <hyperlink ref="M11" r:id="rId11" display="https://us3.assetplanner.com/service_request?ID=096074" xr:uid="{53D84153-AD4B-462C-86DE-F25090E169D3}"/>
    <hyperlink ref="K12" r:id="rId12" display="https://us3.assetplanner.com/service_request?ID=091277" xr:uid="{56F88AC4-E46B-4785-A872-18D6C13D64A6}"/>
    <hyperlink ref="K13" r:id="rId13" display="https://us3.assetplanner.com/service_request?ID=094062" xr:uid="{6C09063B-B6F1-4C4C-8D77-A6B0263E9635}"/>
  </hyperlinks>
  <pageMargins left="0.4" right="0.7" top="0.25" bottom="0.25" header="0.3" footer="0.3"/>
  <pageSetup fitToHeight="99" orientation="landscape"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xSplit="2" ySplit="3" topLeftCell="D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Ecofin</v>
      </c>
      <c r="B1" s="64"/>
      <c r="C1" s="64"/>
      <c r="D1" s="65" t="s">
        <v>44</v>
      </c>
      <c r="E1" s="65"/>
      <c r="F1" s="65"/>
      <c r="G1" s="63" t="s">
        <v>45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1" ht="15.6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5"/>
      <c r="K4" s="45"/>
    </row>
    <row r="5" spans="1:11" ht="15.6">
      <c r="A5" s="30" t="str">
        <v>San Luis Valley</v>
      </c>
      <c r="B5" s="31" t="str">
        <v>CO</v>
      </c>
      <c r="C5" s="12"/>
      <c r="D5" s="44"/>
      <c r="E5" s="19">
        <v>0</v>
      </c>
      <c r="F5" s="20" t="str">
        <f>IFERROR(E5/D5, "")</f>
        <v/>
      </c>
      <c r="G5" s="44"/>
      <c r="H5" s="21" t="str">
        <f t="shared" ref="H5:H8" si="0">IF(AND(ISNUMBER(C5),ISNUMBER(G5)), C5-G5, "")</f>
        <v/>
      </c>
      <c r="I5" s="20" t="str">
        <f t="shared" ref="I5:I8" si="1">IFERROR(H5/G5, "")</f>
        <v/>
      </c>
      <c r="J5" s="49"/>
      <c r="K5" s="49"/>
    </row>
    <row r="6" spans="1:11" ht="15.6">
      <c r="A6" s="32" t="str">
        <v>Golden NREL 2</v>
      </c>
      <c r="B6" s="29" t="str">
        <v>CO</v>
      </c>
      <c r="C6" s="25"/>
      <c r="D6" s="14"/>
      <c r="E6" s="14" t="str">
        <f t="shared" ref="E6:E8" si="2">IF(AND(ISNUMBER(C6),ISNUMBER(D6)), C6-D6, "")</f>
        <v/>
      </c>
      <c r="F6" s="15" t="str">
        <f t="shared" ref="F6:F8" si="3">IFERROR(E6/D6, "")</f>
        <v/>
      </c>
      <c r="G6" s="16"/>
      <c r="H6" s="16" t="str">
        <f t="shared" si="0"/>
        <v/>
      </c>
      <c r="I6" s="17" t="str">
        <f t="shared" si="1"/>
        <v/>
      </c>
      <c r="J6" s="45"/>
      <c r="K6" s="45"/>
    </row>
    <row r="7" spans="1:11" ht="15.6">
      <c r="A7" s="30" t="str">
        <v>Golden NREL Wind 3</v>
      </c>
      <c r="B7" s="31" t="str">
        <v>CO</v>
      </c>
      <c r="C7" s="12"/>
      <c r="D7" s="44"/>
      <c r="E7" s="19" t="str">
        <f t="shared" si="2"/>
        <v/>
      </c>
      <c r="F7" s="20" t="str">
        <f t="shared" si="3"/>
        <v/>
      </c>
      <c r="G7" s="44"/>
      <c r="H7" s="21" t="str">
        <f t="shared" si="0"/>
        <v/>
      </c>
      <c r="I7" s="20" t="str">
        <f t="shared" si="1"/>
        <v/>
      </c>
      <c r="J7" s="49"/>
      <c r="K7" s="49"/>
    </row>
    <row r="8" spans="1:11" ht="15.6">
      <c r="A8" s="32" t="str">
        <v>Pratt Solar Farm</v>
      </c>
      <c r="B8" s="29" t="str">
        <v>KS</v>
      </c>
      <c r="C8" s="25"/>
      <c r="D8" s="14"/>
      <c r="E8" s="14" t="str">
        <f t="shared" si="2"/>
        <v/>
      </c>
      <c r="F8" s="15" t="str">
        <f t="shared" si="3"/>
        <v/>
      </c>
      <c r="G8" s="16"/>
      <c r="H8" s="16" t="str">
        <f t="shared" si="0"/>
        <v/>
      </c>
      <c r="I8" s="17" t="str">
        <f t="shared" si="1"/>
        <v/>
      </c>
      <c r="J8" s="45"/>
      <c r="K8" s="45"/>
    </row>
    <row r="9" spans="1:11" ht="12.75" customHeight="1">
      <c r="A9" s="30" t="str">
        <v>Rochester - 5516 Valleyhigh NW</v>
      </c>
      <c r="B9" s="31" t="str">
        <v>MN</v>
      </c>
      <c r="C9" s="12"/>
      <c r="D9" s="44"/>
      <c r="E9" s="19"/>
      <c r="F9" s="20"/>
      <c r="G9" s="44"/>
      <c r="H9" s="21"/>
      <c r="I9" s="20"/>
      <c r="J9" s="49"/>
      <c r="K9" s="49"/>
    </row>
    <row r="10" spans="1:11" ht="15.6">
      <c r="A10" s="32" t="str">
        <v>Warsaw - 2201 Richmond</v>
      </c>
      <c r="B10" s="29" t="str">
        <v>VA</v>
      </c>
      <c r="C10" s="25"/>
      <c r="D10" s="14"/>
      <c r="E10" s="14"/>
      <c r="F10" s="15"/>
      <c r="G10" s="16"/>
      <c r="H10" s="16"/>
      <c r="I10" s="17"/>
      <c r="J10" s="45"/>
      <c r="K10" s="45"/>
    </row>
    <row r="11" spans="1:11" ht="15.6">
      <c r="A11" s="30" t="str">
        <v>Mount Jackson - Randolf</v>
      </c>
      <c r="B11" s="31" t="str">
        <v>VA</v>
      </c>
      <c r="C11" s="12"/>
      <c r="D11" s="44"/>
      <c r="E11" s="19"/>
      <c r="F11" s="20"/>
      <c r="G11" s="44"/>
      <c r="H11" s="21"/>
      <c r="I11" s="20"/>
      <c r="J11" s="49"/>
      <c r="K11" s="49"/>
    </row>
    <row r="12" spans="1:11" ht="15.6">
      <c r="A12" s="32" t="str">
        <v>Callands Gretna - Monroe</v>
      </c>
      <c r="B12" s="29" t="str">
        <v>VA</v>
      </c>
      <c r="C12" s="25"/>
      <c r="D12" s="14"/>
      <c r="E12" s="14"/>
      <c r="F12" s="15"/>
      <c r="G12" s="16"/>
      <c r="H12" s="16"/>
      <c r="I12" s="17"/>
      <c r="J12" s="45"/>
      <c r="K12" s="45"/>
    </row>
    <row r="13" spans="1:11" ht="15.6">
      <c r="A13" s="30" t="str">
        <v>Rockbridge Baths - Small Mouth Bass</v>
      </c>
      <c r="B13" s="31" t="str">
        <v>VA</v>
      </c>
      <c r="C13" s="12"/>
      <c r="D13" s="44"/>
      <c r="E13" s="19"/>
      <c r="F13" s="20"/>
      <c r="G13" s="44"/>
      <c r="H13" s="21"/>
      <c r="I13" s="20"/>
      <c r="J13" s="49"/>
      <c r="K13" s="49"/>
    </row>
    <row r="14" spans="1:11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4"/>
  <sheetViews>
    <sheetView workbookViewId="0">
      <pane xSplit="2" ySplit="3" topLeftCell="D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Ecofin</v>
      </c>
      <c r="B1" s="64"/>
      <c r="C1" s="64"/>
      <c r="D1" s="65" t="s">
        <v>46</v>
      </c>
      <c r="E1" s="65"/>
      <c r="F1" s="65"/>
      <c r="G1" s="63" t="s">
        <v>47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SUM(C4:C92)</f>
        <v>0</v>
      </c>
      <c r="D2" s="6">
        <f>SUM(D4:D92)</f>
        <v>0</v>
      </c>
      <c r="E2" s="6">
        <f>C2-D2</f>
        <v>0</v>
      </c>
      <c r="F2" s="7">
        <f>IFERROR(E2/D2, 0)</f>
        <v>0</v>
      </c>
      <c r="G2" s="6">
        <f>SUM(G4:G92)</f>
        <v>0</v>
      </c>
      <c r="H2" s="8">
        <f>C2-G2</f>
        <v>0</v>
      </c>
      <c r="I2" s="7">
        <f>IFERROR(H2/G2, 0)</f>
        <v>0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1" ht="15.6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46"/>
      <c r="D4" s="14"/>
      <c r="E4" s="14" t="str">
        <f>IF(AND(ISNUMBER(C4),ISNUMBER(D4)), C4-D4, "")</f>
        <v/>
      </c>
      <c r="F4" s="15" t="str">
        <f>IFERROR(E4/D4, "")</f>
        <v/>
      </c>
      <c r="G4" s="47"/>
      <c r="H4" s="16" t="str">
        <f>IF(AND(ISNUMBER(C4),ISNUMBER(G4)), C4-G4, "")</f>
        <v/>
      </c>
      <c r="I4" s="17" t="str">
        <f>IFERROR(H4/G4, "")</f>
        <v/>
      </c>
      <c r="J4" s="41"/>
      <c r="K4" s="41"/>
    </row>
    <row r="5" spans="1:11" ht="15.6">
      <c r="A5" s="30" t="str">
        <v>San Luis Valley</v>
      </c>
      <c r="B5" s="31" t="str">
        <v>CO</v>
      </c>
      <c r="C5" s="12"/>
      <c r="D5" s="19"/>
      <c r="E5" s="19" t="str">
        <f t="shared" ref="E5:E9" si="0">IF(AND(ISNUMBER(C5),ISNUMBER(D5)), C5-D5, "")</f>
        <v/>
      </c>
      <c r="F5" s="20" t="str">
        <f>IFERROR(E5/D5, "")</f>
        <v/>
      </c>
      <c r="G5" s="21"/>
      <c r="H5" s="21" t="str">
        <f t="shared" ref="H5:H9" si="1">IF(AND(ISNUMBER(C5),ISNUMBER(G5)), C5-G5, "")</f>
        <v/>
      </c>
      <c r="I5" s="20" t="str">
        <f t="shared" ref="I5:I9" si="2">IFERROR(H5/G5, "")</f>
        <v/>
      </c>
      <c r="J5" s="48"/>
      <c r="K5" s="48"/>
    </row>
    <row r="6" spans="1:11" ht="15.6">
      <c r="A6" s="32" t="str">
        <v>Golden NREL 2</v>
      </c>
      <c r="B6" s="29" t="str">
        <v>CO</v>
      </c>
      <c r="C6" s="46"/>
      <c r="D6" s="14"/>
      <c r="E6" s="14" t="str">
        <f t="shared" si="0"/>
        <v/>
      </c>
      <c r="F6" s="15" t="str">
        <f t="shared" ref="F6:F9" si="3">IFERROR(E6/D6, "")</f>
        <v/>
      </c>
      <c r="G6" s="47"/>
      <c r="H6" s="16" t="str">
        <f t="shared" si="1"/>
        <v/>
      </c>
      <c r="I6" s="17" t="str">
        <f t="shared" si="2"/>
        <v/>
      </c>
      <c r="J6" s="41"/>
      <c r="K6" s="41"/>
    </row>
    <row r="7" spans="1:11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8"/>
      <c r="K7" s="48"/>
    </row>
    <row r="8" spans="1:11" ht="15.6">
      <c r="A8" s="32" t="str">
        <v>Pratt Solar Farm</v>
      </c>
      <c r="B8" s="29" t="str">
        <v>KS</v>
      </c>
      <c r="C8" s="46"/>
      <c r="D8" s="14"/>
      <c r="E8" s="14" t="str">
        <f t="shared" si="0"/>
        <v/>
      </c>
      <c r="F8" s="15" t="str">
        <f t="shared" si="3"/>
        <v/>
      </c>
      <c r="G8" s="47"/>
      <c r="H8" s="16" t="str">
        <f t="shared" si="1"/>
        <v/>
      </c>
      <c r="I8" s="17" t="str">
        <f t="shared" si="2"/>
        <v/>
      </c>
      <c r="J8" s="41"/>
      <c r="K8" s="41"/>
    </row>
    <row r="9" spans="1:11" ht="15.6">
      <c r="A9" s="30" t="str">
        <v>Rochester - 5516 Valleyhigh NW</v>
      </c>
      <c r="B9" s="31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8"/>
      <c r="K9" s="48"/>
    </row>
    <row r="10" spans="1:11" ht="12.75" customHeight="1">
      <c r="A10" s="32" t="str">
        <v>Warsaw - 2201 Richmond</v>
      </c>
      <c r="B10" s="29" t="str">
        <v>VA</v>
      </c>
      <c r="C10" s="46"/>
      <c r="D10" s="14"/>
      <c r="E10" s="14"/>
      <c r="F10" s="15"/>
      <c r="G10" s="47"/>
      <c r="H10" s="16"/>
      <c r="I10" s="17"/>
      <c r="J10" s="41"/>
      <c r="K10" s="41"/>
    </row>
    <row r="11" spans="1:11" ht="15.6">
      <c r="A11" s="30" t="str">
        <v>Mount Jackson - Randolf</v>
      </c>
      <c r="B11" s="31" t="str">
        <v>VA</v>
      </c>
      <c r="C11" s="12"/>
      <c r="D11" s="19"/>
      <c r="E11" s="19"/>
      <c r="F11" s="20"/>
      <c r="G11" s="21"/>
      <c r="H11" s="21"/>
      <c r="I11" s="20"/>
      <c r="J11" s="48"/>
      <c r="K11" s="48"/>
    </row>
    <row r="12" spans="1:11" ht="15.6">
      <c r="A12" s="32" t="str">
        <v>Callands Gretna - Monroe</v>
      </c>
      <c r="B12" s="29" t="str">
        <v>VA</v>
      </c>
      <c r="C12" s="46"/>
      <c r="D12" s="14"/>
      <c r="E12" s="14"/>
      <c r="F12" s="15"/>
      <c r="G12" s="47"/>
      <c r="H12" s="16"/>
      <c r="I12" s="17"/>
      <c r="J12" s="41"/>
      <c r="K12" s="41"/>
    </row>
    <row r="13" spans="1:11" ht="15.6">
      <c r="A13" s="30" t="str">
        <v>Rockbridge Baths - Small Mouth Bass</v>
      </c>
      <c r="B13" s="31" t="str">
        <v>VA</v>
      </c>
      <c r="C13" s="12"/>
      <c r="D13" s="19"/>
      <c r="E13" s="19"/>
      <c r="F13" s="20"/>
      <c r="G13" s="21"/>
      <c r="H13" s="21"/>
      <c r="I13" s="20"/>
      <c r="J13" s="48"/>
      <c r="K13" s="48"/>
    </row>
    <row r="14" spans="1:11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C334" s="22"/>
      <c r="D334" s="22"/>
      <c r="E334" s="22"/>
      <c r="F334" s="23"/>
      <c r="G334" s="22"/>
      <c r="H334" s="22"/>
      <c r="I334" s="23"/>
      <c r="J334" s="22"/>
      <c r="K334" s="22"/>
    </row>
  </sheetData>
  <mergeCells count="4">
    <mergeCell ref="G1:I1"/>
    <mergeCell ref="A1:C1"/>
    <mergeCell ref="D1:F1"/>
    <mergeCell ref="A2:B2"/>
  </mergeCells>
  <conditionalFormatting sqref="F2 I2 F4:F92 I4:I9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Ecofin</v>
      </c>
      <c r="B1" s="64"/>
      <c r="C1" s="64"/>
      <c r="D1" s="65" t="s">
        <v>48</v>
      </c>
      <c r="E1" s="65"/>
      <c r="F1" s="65"/>
      <c r="G1" s="63" t="s">
        <v>49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1" ht="15.6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1"/>
      <c r="K4" s="41"/>
    </row>
    <row r="5" spans="1:11" ht="15.6">
      <c r="A5" s="30" t="str">
        <v>San Luis Valley</v>
      </c>
      <c r="B5" s="31" t="str">
        <v>CO</v>
      </c>
      <c r="C5" s="12"/>
      <c r="D5" s="19"/>
      <c r="E5" s="19" t="str">
        <f t="shared" ref="E5:E12" si="0">IF(AND(ISNUMBER(C5),ISNUMBER(D5)), C5-D5, "")</f>
        <v/>
      </c>
      <c r="F5" s="20" t="str">
        <f>IFERROR(E5/D5, "")</f>
        <v/>
      </c>
      <c r="G5" s="21"/>
      <c r="H5" s="21" t="str">
        <f t="shared" ref="H5:H8" si="1">IF(AND(ISNUMBER(C5),ISNUMBER(G5)), C5-G5, "")</f>
        <v/>
      </c>
      <c r="I5" s="20" t="str">
        <f t="shared" ref="I5:I8" si="2">IFERROR(H5/G5, "")</f>
        <v/>
      </c>
      <c r="J5" s="48"/>
      <c r="K5" s="48"/>
    </row>
    <row r="6" spans="1:11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2" si="3">IFERROR(E6/D6, "")</f>
        <v/>
      </c>
      <c r="G6" s="16"/>
      <c r="H6" s="16" t="str">
        <f t="shared" si="1"/>
        <v/>
      </c>
      <c r="I6" s="17" t="str">
        <f t="shared" si="2"/>
        <v/>
      </c>
      <c r="J6" s="50"/>
      <c r="K6" s="50"/>
    </row>
    <row r="7" spans="1:11" ht="15.6">
      <c r="A7" s="30" t="str">
        <v>Golden NREL Wind 3</v>
      </c>
      <c r="B7" s="31" t="str">
        <v>CO</v>
      </c>
      <c r="C7" s="12"/>
      <c r="D7" s="19"/>
      <c r="E7" s="19"/>
      <c r="F7" s="20">
        <v>0</v>
      </c>
      <c r="G7" s="21"/>
      <c r="H7" s="21" t="str">
        <f t="shared" si="1"/>
        <v/>
      </c>
      <c r="I7" s="20" t="str">
        <f t="shared" si="2"/>
        <v/>
      </c>
      <c r="J7" s="48"/>
      <c r="K7" s="48"/>
    </row>
    <row r="8" spans="1:11" ht="15.6">
      <c r="A8" s="32" t="str">
        <v>Pratt Solar Farm</v>
      </c>
      <c r="B8" s="29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50"/>
      <c r="K8" s="50"/>
    </row>
    <row r="9" spans="1:11" ht="97.35" customHeight="1">
      <c r="A9" s="30" t="str">
        <v>Rochester - 5516 Valleyhigh NW</v>
      </c>
      <c r="B9" s="31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ref="H9:H12" si="4">IF(AND(ISNUMBER(C9),ISNUMBER(G9)), C9-G9, "")</f>
        <v/>
      </c>
      <c r="I9" s="20" t="str">
        <f t="shared" ref="I9:I12" si="5">IFERROR(H9/G9, "")</f>
        <v/>
      </c>
      <c r="J9" s="48"/>
      <c r="K9" s="48"/>
    </row>
    <row r="10" spans="1:11" ht="15.6">
      <c r="A10" s="32" t="str">
        <v>Warsaw - 2201 Richmond</v>
      </c>
      <c r="B10" s="29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4"/>
        <v/>
      </c>
      <c r="I10" s="17" t="str">
        <f t="shared" si="5"/>
        <v/>
      </c>
      <c r="J10" s="50"/>
      <c r="K10" s="50"/>
    </row>
    <row r="11" spans="1:11" ht="15.6">
      <c r="A11" s="30" t="str">
        <v>Mount Jackson - Randolf</v>
      </c>
      <c r="B11" s="31" t="str">
        <v>VA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4"/>
        <v/>
      </c>
      <c r="I11" s="20" t="str">
        <f t="shared" si="5"/>
        <v/>
      </c>
      <c r="J11" s="48"/>
      <c r="K11" s="48"/>
    </row>
    <row r="12" spans="1:11" ht="15.6">
      <c r="A12" s="32" t="str">
        <v>Callands Gretna - Monroe</v>
      </c>
      <c r="B12" s="29" t="str">
        <v>VA</v>
      </c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4"/>
        <v/>
      </c>
      <c r="I12" s="17" t="str">
        <f t="shared" si="5"/>
        <v/>
      </c>
      <c r="J12" s="50"/>
      <c r="K12" s="50"/>
    </row>
    <row r="13" spans="1:11" ht="15.6">
      <c r="A13" s="30" t="str">
        <v>Rockbridge Baths - Small Mouth Bass</v>
      </c>
      <c r="B13" s="31" t="str">
        <v>VA</v>
      </c>
      <c r="C13" s="12"/>
      <c r="D13" s="19"/>
      <c r="E13" s="19"/>
      <c r="F13" s="20"/>
      <c r="G13" s="21"/>
      <c r="H13" s="21"/>
      <c r="I13" s="20"/>
      <c r="J13" s="42"/>
      <c r="K13" s="42"/>
    </row>
    <row r="14" spans="1:11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3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4" t="str" cm="1">
        <f t="array" ref="A1">portfolio</f>
        <v>Ecofin</v>
      </c>
      <c r="B1" s="64"/>
      <c r="C1" s="64"/>
      <c r="D1" s="65" t="s">
        <v>50</v>
      </c>
      <c r="E1" s="65"/>
      <c r="F1" s="65"/>
      <c r="G1" s="63" t="s">
        <v>51</v>
      </c>
      <c r="H1" s="63"/>
      <c r="I1" s="63"/>
      <c r="J1" s="5"/>
      <c r="K1" s="5"/>
    </row>
    <row r="2" spans="1:11" ht="19.5" customHeight="1">
      <c r="A2" s="66" t="s">
        <v>2</v>
      </c>
      <c r="B2" s="6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1" ht="15.6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50"/>
      <c r="K4" s="50"/>
    </row>
    <row r="5" spans="1:11" ht="15.6">
      <c r="A5" s="30" t="str">
        <v>San Luis Valley</v>
      </c>
      <c r="B5" s="31" t="str">
        <v>CO</v>
      </c>
      <c r="C5" s="12"/>
      <c r="D5" s="19"/>
      <c r="E5" s="19" t="str">
        <f t="shared" ref="E5:E10" si="0">IF(AND(ISNUMBER(C5),ISNUMBER(D5)), C5-D5, "")</f>
        <v/>
      </c>
      <c r="F5" s="20" t="str">
        <f t="shared" ref="F5:F10" si="1">IFERROR(E5/D5, "")</f>
        <v/>
      </c>
      <c r="G5" s="21"/>
      <c r="H5" s="21" t="str">
        <f t="shared" ref="H5:H10" si="2">IF(AND(ISNUMBER(C5),ISNUMBER(G5)), C5-G5, "")</f>
        <v/>
      </c>
      <c r="I5" s="20" t="str">
        <f t="shared" ref="I5:I10" si="3">IFERROR(H5/G5, "")</f>
        <v/>
      </c>
      <c r="J5" s="48"/>
      <c r="K5" s="48"/>
    </row>
    <row r="6" spans="1:11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si="1"/>
        <v/>
      </c>
      <c r="G6" s="16"/>
      <c r="H6" s="16" t="str">
        <f t="shared" si="2"/>
        <v/>
      </c>
      <c r="I6" s="17" t="str">
        <f t="shared" si="3"/>
        <v/>
      </c>
      <c r="J6" s="50"/>
      <c r="K6" s="50"/>
    </row>
    <row r="7" spans="1:11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1"/>
        <v/>
      </c>
      <c r="G7" s="21"/>
      <c r="H7" s="21" t="str">
        <f t="shared" si="2"/>
        <v/>
      </c>
      <c r="I7" s="20" t="str">
        <f t="shared" si="3"/>
        <v/>
      </c>
      <c r="J7" s="48"/>
      <c r="K7" s="48"/>
    </row>
    <row r="8" spans="1:11" ht="15.6">
      <c r="A8" s="32" t="str">
        <v>Pratt Solar Farm</v>
      </c>
      <c r="B8" s="29" t="str">
        <v>KS</v>
      </c>
      <c r="C8" s="25"/>
      <c r="D8" s="14"/>
      <c r="E8" s="14" t="str">
        <f t="shared" si="0"/>
        <v/>
      </c>
      <c r="F8" s="15" t="str">
        <f t="shared" si="1"/>
        <v/>
      </c>
      <c r="G8" s="16"/>
      <c r="H8" s="16" t="str">
        <f t="shared" si="2"/>
        <v/>
      </c>
      <c r="I8" s="17" t="str">
        <f t="shared" si="3"/>
        <v/>
      </c>
      <c r="J8" s="50"/>
      <c r="K8" s="50"/>
    </row>
    <row r="9" spans="1:11" ht="178.5" customHeight="1">
      <c r="A9" s="30" t="str">
        <v>Rochester - 5516 Valleyhigh NW</v>
      </c>
      <c r="B9" s="31" t="str">
        <v>MN</v>
      </c>
      <c r="C9" s="12"/>
      <c r="D9" s="19"/>
      <c r="E9" s="19" t="str">
        <f t="shared" si="0"/>
        <v/>
      </c>
      <c r="F9" s="20" t="str">
        <f t="shared" si="1"/>
        <v/>
      </c>
      <c r="G9" s="21"/>
      <c r="H9" s="21" t="str">
        <f t="shared" si="2"/>
        <v/>
      </c>
      <c r="I9" s="20" t="str">
        <f t="shared" si="3"/>
        <v/>
      </c>
      <c r="J9" s="48"/>
      <c r="K9" s="48"/>
    </row>
    <row r="10" spans="1:11" ht="15.6">
      <c r="A10" s="32" t="str">
        <v>Warsaw - 2201 Richmond</v>
      </c>
      <c r="B10" s="29" t="str">
        <v>VA</v>
      </c>
      <c r="C10" s="25"/>
      <c r="D10" s="14"/>
      <c r="E10" s="14" t="str">
        <f t="shared" si="0"/>
        <v/>
      </c>
      <c r="F10" s="15" t="str">
        <f t="shared" si="1"/>
        <v/>
      </c>
      <c r="G10" s="16"/>
      <c r="H10" s="16" t="str">
        <f t="shared" si="2"/>
        <v/>
      </c>
      <c r="I10" s="17" t="str">
        <f t="shared" si="3"/>
        <v/>
      </c>
      <c r="J10" s="50"/>
      <c r="K10" s="50"/>
    </row>
    <row r="11" spans="1:11" ht="15.6">
      <c r="A11" s="30" t="str">
        <v>Mount Jackson - Randolf</v>
      </c>
      <c r="B11" s="31" t="str">
        <v>VA</v>
      </c>
      <c r="C11" s="12"/>
      <c r="D11" s="19"/>
      <c r="E11" s="19"/>
      <c r="F11" s="20"/>
      <c r="G11" s="21"/>
      <c r="H11" s="21"/>
      <c r="I11" s="20"/>
      <c r="J11" s="48"/>
      <c r="K11" s="48"/>
    </row>
    <row r="12" spans="1:11" ht="15.6">
      <c r="A12" s="32" t="str">
        <v>Callands Gretna - Monroe</v>
      </c>
      <c r="B12" s="29" t="str">
        <v>VA</v>
      </c>
      <c r="C12" s="25"/>
      <c r="D12" s="14"/>
      <c r="E12" s="14"/>
      <c r="F12" s="15"/>
      <c r="G12" s="16"/>
      <c r="H12" s="16"/>
      <c r="I12" s="17"/>
      <c r="J12" s="50"/>
      <c r="K12" s="50"/>
    </row>
    <row r="13" spans="1:11" ht="15.6">
      <c r="A13" s="30" t="str">
        <v>Rockbridge Baths - Small Mouth Bass</v>
      </c>
      <c r="B13" s="31" t="str">
        <v>VA</v>
      </c>
      <c r="C13" s="12"/>
      <c r="D13" s="19"/>
      <c r="E13" s="19"/>
      <c r="F13" s="20"/>
      <c r="G13" s="21"/>
      <c r="H13" s="21"/>
      <c r="I13" s="20"/>
      <c r="J13" s="42"/>
      <c r="K13" s="42"/>
    </row>
    <row r="14" spans="1:11" ht="14.45">
      <c r="A14" s="22"/>
      <c r="B14" s="33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3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3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3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3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3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3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3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3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3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3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3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3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3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C332" s="22"/>
      <c r="D332" s="22"/>
      <c r="E332" s="22"/>
      <c r="F332" s="23"/>
      <c r="G332" s="22"/>
      <c r="H332" s="22"/>
      <c r="I332" s="23"/>
      <c r="J332" s="22"/>
      <c r="K332" s="22"/>
    </row>
  </sheetData>
  <mergeCells count="4">
    <mergeCell ref="G1:I1"/>
    <mergeCell ref="A1:C1"/>
    <mergeCell ref="D1:F1"/>
    <mergeCell ref="A2:B2"/>
  </mergeCells>
  <conditionalFormatting sqref="F2 I2 F4:F90 I4:I9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zoomScale="70" zoomScaleNormal="70" workbookViewId="0">
      <pane xSplit="2" ySplit="3" topLeftCell="C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7109375" customWidth="1"/>
  </cols>
  <sheetData>
    <row r="1" spans="1:14" ht="19.5" customHeight="1">
      <c r="A1" s="64" t="str" cm="1">
        <f t="array" ref="A1">portfolio</f>
        <v>Ecofin</v>
      </c>
      <c r="B1" s="64"/>
      <c r="C1" s="64"/>
      <c r="D1" s="65" t="s">
        <v>52</v>
      </c>
      <c r="E1" s="65"/>
      <c r="F1" s="65"/>
      <c r="G1" s="63" t="s">
        <v>53</v>
      </c>
      <c r="H1" s="63"/>
      <c r="I1" s="63"/>
      <c r="J1" s="5"/>
      <c r="K1" s="5"/>
    </row>
    <row r="2" spans="1:14" ht="19.5" customHeight="1">
      <c r="A2" s="66" t="s">
        <v>2</v>
      </c>
      <c r="B2" s="6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4" ht="15.6">
      <c r="A4" s="51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/>
      <c r="F4" s="15"/>
      <c r="G4" s="16"/>
      <c r="H4" s="16"/>
      <c r="I4" s="17" t="str">
        <f>IFERROR(H4/G4, "")</f>
        <v/>
      </c>
      <c r="J4" s="50"/>
      <c r="K4" s="50"/>
    </row>
    <row r="5" spans="1:14" ht="15.6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>
        <v>180611.69070000001</v>
      </c>
      <c r="I5" s="20" t="str">
        <f t="shared" ref="I5:I17" si="1">IFERROR(H5/G5, "")</f>
        <v/>
      </c>
      <c r="J5" s="48"/>
      <c r="K5" s="48"/>
    </row>
    <row r="6" spans="1:14" ht="15.6">
      <c r="A6" s="51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7" si="2">IFERROR(E6/D6, "")</f>
        <v/>
      </c>
      <c r="G6" s="16"/>
      <c r="H6" s="16" t="str">
        <f t="shared" ref="H6:H17" si="3">IF(AND(ISNUMBER(C6),ISNUMBER(G6)), C6-G6, "")</f>
        <v/>
      </c>
      <c r="I6" s="17" t="str">
        <f t="shared" si="1"/>
        <v/>
      </c>
      <c r="J6" s="50"/>
      <c r="K6" s="50"/>
    </row>
    <row r="7" spans="1:14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2"/>
        <v/>
      </c>
      <c r="G7" s="21"/>
      <c r="H7" s="21" t="str">
        <f t="shared" si="3"/>
        <v/>
      </c>
      <c r="I7" s="20" t="str">
        <f t="shared" si="1"/>
        <v/>
      </c>
      <c r="J7" s="48"/>
      <c r="K7" s="48"/>
    </row>
    <row r="8" spans="1:14" ht="110.25" customHeight="1">
      <c r="A8" s="51" t="str">
        <v>Pratt Solar Farm</v>
      </c>
      <c r="B8" s="29" t="str">
        <v>KS</v>
      </c>
      <c r="C8" s="25"/>
      <c r="D8" s="14"/>
      <c r="E8" s="14" t="str">
        <f t="shared" si="0"/>
        <v/>
      </c>
      <c r="F8" s="15" t="str">
        <f t="shared" si="2"/>
        <v/>
      </c>
      <c r="G8" s="16"/>
      <c r="H8" s="16" t="str">
        <f t="shared" si="3"/>
        <v/>
      </c>
      <c r="I8" s="17" t="str">
        <f t="shared" si="1"/>
        <v/>
      </c>
      <c r="J8" s="50"/>
      <c r="K8" s="50"/>
    </row>
    <row r="9" spans="1:14" ht="191.25" customHeight="1">
      <c r="A9" s="30" t="str">
        <v>Rochester - 5516 Valleyhigh NW</v>
      </c>
      <c r="B9" s="31" t="str">
        <v>MN</v>
      </c>
      <c r="C9" s="12"/>
      <c r="D9" s="19"/>
      <c r="E9" s="19" t="str">
        <f t="shared" si="0"/>
        <v/>
      </c>
      <c r="F9" s="20" t="str">
        <f t="shared" si="2"/>
        <v/>
      </c>
      <c r="G9" s="21"/>
      <c r="H9" s="21" t="str">
        <f t="shared" si="3"/>
        <v/>
      </c>
      <c r="I9" s="20" t="str">
        <f t="shared" si="1"/>
        <v/>
      </c>
      <c r="J9" s="48"/>
      <c r="K9" s="48"/>
      <c r="L9" s="22"/>
      <c r="M9" s="22"/>
      <c r="N9" s="22"/>
    </row>
    <row r="10" spans="1:14" ht="67.5" customHeight="1">
      <c r="A10" s="51" t="str">
        <v>Warsaw - 2201 Richmond</v>
      </c>
      <c r="B10" s="29" t="str">
        <v>VA</v>
      </c>
      <c r="C10" s="25"/>
      <c r="D10" s="14"/>
      <c r="E10" s="14" t="str">
        <f t="shared" si="0"/>
        <v/>
      </c>
      <c r="F10" s="15" t="str">
        <f t="shared" si="2"/>
        <v/>
      </c>
      <c r="G10" s="16"/>
      <c r="H10" s="16" t="str">
        <f t="shared" si="3"/>
        <v/>
      </c>
      <c r="I10" s="17" t="str">
        <f t="shared" si="1"/>
        <v/>
      </c>
      <c r="J10" s="50"/>
      <c r="K10" s="50"/>
      <c r="L10" s="22"/>
      <c r="M10" s="22"/>
      <c r="N10" s="22"/>
    </row>
    <row r="11" spans="1:14" ht="165.75" customHeight="1">
      <c r="A11" s="30" t="str">
        <v>Mount Jackson - Randolf</v>
      </c>
      <c r="B11" s="31" t="str">
        <v>VA</v>
      </c>
      <c r="C11" s="12"/>
      <c r="D11" s="19"/>
      <c r="E11" s="19" t="str">
        <f t="shared" si="0"/>
        <v/>
      </c>
      <c r="F11" s="20" t="str">
        <f t="shared" si="2"/>
        <v/>
      </c>
      <c r="G11" s="21"/>
      <c r="H11" s="21" t="str">
        <f t="shared" si="3"/>
        <v/>
      </c>
      <c r="I11" s="20" t="str">
        <f t="shared" si="1"/>
        <v/>
      </c>
      <c r="J11" s="48"/>
      <c r="K11" s="48"/>
      <c r="L11" s="22"/>
      <c r="M11" s="22"/>
      <c r="N11" s="22"/>
    </row>
    <row r="12" spans="1:14" ht="81" customHeight="1">
      <c r="A12" s="51" t="str">
        <v>Callands Gretna - Monroe</v>
      </c>
      <c r="B12" s="29" t="str">
        <v>VA</v>
      </c>
      <c r="C12" s="25"/>
      <c r="D12" s="14"/>
      <c r="E12" s="14" t="str">
        <f t="shared" si="0"/>
        <v/>
      </c>
      <c r="F12" s="15" t="str">
        <f t="shared" si="2"/>
        <v/>
      </c>
      <c r="G12" s="16"/>
      <c r="H12" s="16" t="str">
        <f t="shared" si="3"/>
        <v/>
      </c>
      <c r="I12" s="17" t="str">
        <f t="shared" si="1"/>
        <v/>
      </c>
      <c r="J12" s="50"/>
      <c r="K12" s="50"/>
      <c r="L12" s="22"/>
      <c r="M12" s="22"/>
      <c r="N12" s="22"/>
    </row>
    <row r="13" spans="1:14" ht="51" customHeight="1">
      <c r="A13" s="30" t="str">
        <v>Rockbridge Baths - Small Mouth Bass</v>
      </c>
      <c r="B13" s="31" t="str">
        <v>VA</v>
      </c>
      <c r="C13" s="12"/>
      <c r="D13" s="19"/>
      <c r="E13" s="19" t="str">
        <f t="shared" si="0"/>
        <v/>
      </c>
      <c r="F13" s="20" t="str">
        <f t="shared" si="2"/>
        <v/>
      </c>
      <c r="G13" s="21"/>
      <c r="H13" s="21" t="str">
        <f t="shared" si="3"/>
        <v/>
      </c>
      <c r="I13" s="20" t="str">
        <f t="shared" si="1"/>
        <v/>
      </c>
      <c r="J13" s="48"/>
      <c r="K13" s="48"/>
      <c r="L13" s="22"/>
      <c r="M13" s="22"/>
      <c r="N13" s="22"/>
    </row>
    <row r="14" spans="1:14">
      <c r="A14" s="22"/>
      <c r="B14" s="22"/>
      <c r="C14" s="22"/>
      <c r="D14" s="22"/>
      <c r="E14" s="22" t="str">
        <f t="shared" si="0"/>
        <v/>
      </c>
      <c r="F14" s="22" t="str">
        <f t="shared" si="2"/>
        <v/>
      </c>
      <c r="G14" s="22"/>
      <c r="H14" s="22" t="str">
        <f t="shared" si="3"/>
        <v/>
      </c>
      <c r="I14" s="22" t="str">
        <f t="shared" si="1"/>
        <v/>
      </c>
      <c r="J14" s="22"/>
      <c r="K14" s="22"/>
      <c r="L14" s="22"/>
      <c r="M14" s="22"/>
      <c r="N14" s="22"/>
    </row>
    <row r="15" spans="1:14">
      <c r="A15" s="22"/>
      <c r="B15" s="22"/>
      <c r="C15" s="22"/>
      <c r="D15" s="22"/>
      <c r="E15" s="22" t="str">
        <f t="shared" si="0"/>
        <v/>
      </c>
      <c r="F15" s="22" t="str">
        <f t="shared" si="2"/>
        <v/>
      </c>
      <c r="G15" s="22"/>
      <c r="H15" s="22" t="str">
        <f t="shared" si="3"/>
        <v/>
      </c>
      <c r="I15" s="22" t="str">
        <f t="shared" si="1"/>
        <v/>
      </c>
      <c r="J15" s="22"/>
      <c r="K15" s="22"/>
      <c r="L15" s="22"/>
      <c r="M15" s="22"/>
      <c r="N15" s="22"/>
    </row>
    <row r="16" spans="1:14">
      <c r="A16" s="22"/>
      <c r="B16" s="22"/>
      <c r="C16" s="22"/>
      <c r="D16" s="22"/>
      <c r="E16" s="22" t="str">
        <f t="shared" si="0"/>
        <v/>
      </c>
      <c r="F16" s="22" t="str">
        <f t="shared" si="2"/>
        <v/>
      </c>
      <c r="G16" s="22"/>
      <c r="H16" s="22" t="str">
        <f t="shared" si="3"/>
        <v/>
      </c>
      <c r="I16" s="22" t="str">
        <f t="shared" si="1"/>
        <v/>
      </c>
      <c r="J16" s="22"/>
      <c r="K16" s="22"/>
      <c r="L16" s="22"/>
      <c r="M16" s="22"/>
      <c r="N16" s="22"/>
    </row>
    <row r="17" spans="1:14">
      <c r="A17" s="22"/>
      <c r="B17" s="22"/>
      <c r="C17" s="22"/>
      <c r="D17" s="22"/>
      <c r="E17" s="22" t="str">
        <f t="shared" si="0"/>
        <v/>
      </c>
      <c r="F17" s="22" t="str">
        <f t="shared" si="2"/>
        <v/>
      </c>
      <c r="G17" s="22"/>
      <c r="H17" s="22" t="str">
        <f t="shared" si="3"/>
        <v/>
      </c>
      <c r="I17" s="22" t="str">
        <f t="shared" si="1"/>
        <v/>
      </c>
      <c r="J17" s="22"/>
      <c r="K17" s="22"/>
      <c r="L17" s="22"/>
      <c r="M17" s="22"/>
      <c r="N17" s="22"/>
    </row>
    <row r="18" spans="1:14" ht="12.75" customHeight="1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4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4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3 I4:I13 F18:F100 I18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42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4" t="str" cm="1">
        <f t="array" ref="A1">portfolio</f>
        <v>Ecofin</v>
      </c>
      <c r="B1" s="64"/>
      <c r="C1" s="64"/>
      <c r="D1" s="65" t="s">
        <v>54</v>
      </c>
      <c r="E1" s="65"/>
      <c r="F1" s="65"/>
      <c r="G1" s="63" t="s">
        <v>55</v>
      </c>
      <c r="H1" s="63"/>
      <c r="I1" s="63"/>
      <c r="J1" s="5"/>
      <c r="K1" s="5"/>
    </row>
    <row r="2" spans="1:15" ht="19.5" customHeight="1">
      <c r="A2" s="66" t="s">
        <v>2</v>
      </c>
      <c r="B2" s="6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5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5" ht="15.6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1"/>
      <c r="K4" s="41"/>
    </row>
    <row r="5" spans="1:15" ht="15.6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2"/>
      <c r="K5" s="42"/>
    </row>
    <row r="6" spans="1:15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1"/>
      <c r="K6" s="41"/>
    </row>
    <row r="7" spans="1:15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8"/>
      <c r="K7" s="48"/>
    </row>
    <row r="8" spans="1:15" ht="15.6">
      <c r="A8" s="32" t="str">
        <v>Pratt Solar Farm</v>
      </c>
      <c r="B8" s="29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1"/>
      <c r="K8" s="41"/>
    </row>
    <row r="9" spans="1:15" ht="111.75" customHeight="1">
      <c r="A9" s="30" t="str">
        <v>Rochester - 5516 Valleyhigh NW</v>
      </c>
      <c r="B9" s="31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8"/>
      <c r="K9" s="48"/>
      <c r="L9" s="22"/>
      <c r="M9" s="22"/>
      <c r="N9" s="22"/>
      <c r="O9" s="22"/>
    </row>
    <row r="10" spans="1:15" ht="15.6">
      <c r="A10" s="32" t="str">
        <v>Warsaw - 2201 Richmond</v>
      </c>
      <c r="B10" s="29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1"/>
      <c r="K10" s="41"/>
      <c r="L10" s="22"/>
      <c r="M10" s="22"/>
      <c r="N10" s="22"/>
      <c r="O10" s="22"/>
    </row>
    <row r="11" spans="1:15" ht="15.6">
      <c r="A11" s="30" t="str">
        <v>Mount Jackson - Randolf</v>
      </c>
      <c r="B11" s="31" t="str">
        <v>VA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2"/>
      <c r="K11" s="48"/>
      <c r="L11" s="22"/>
      <c r="M11" s="22"/>
      <c r="N11" s="22"/>
      <c r="O11" s="22"/>
    </row>
    <row r="12" spans="1:15" ht="15.6">
      <c r="A12" s="32" t="str">
        <v>Callands Gretna - Monroe</v>
      </c>
      <c r="B12" s="29" t="str">
        <v>VA</v>
      </c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1"/>
      <c r="K12" s="41"/>
      <c r="L12" s="22"/>
      <c r="M12" s="22"/>
      <c r="N12" s="22"/>
      <c r="O12" s="22"/>
    </row>
    <row r="13" spans="1:15" ht="15.6">
      <c r="A13" s="30" t="str">
        <v>Rockbridge Baths - Small Mouth Bass</v>
      </c>
      <c r="B13" s="31" t="str">
        <v>VA</v>
      </c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2"/>
      <c r="K13" s="42"/>
      <c r="L13" s="22"/>
      <c r="M13" s="22"/>
      <c r="N13" s="22"/>
      <c r="O13" s="22"/>
    </row>
    <row r="14" spans="1:15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  <c r="O14" s="22"/>
    </row>
    <row r="15" spans="1:15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  <c r="O15" s="22"/>
    </row>
    <row r="16" spans="1:15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  <c r="O16" s="22"/>
    </row>
    <row r="17" spans="1:15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  <c r="O17" s="22"/>
    </row>
    <row r="18" spans="1:15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5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5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5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5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5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5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5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5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5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5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5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5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3 I4:I13 A14:K19 F20:F100 I20:I100">
    <cfRule type="cellIs" dxfId="24" priority="1" stopIfTrue="1" operator="lessThanOrEqual">
      <formula>-0.1</formula>
    </cfRule>
    <cfRule type="expression" dxfId="23" priority="2">
      <formula>AND(ISNUMBER(A4), A4&gt;=0.1)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zoomScale="80" zoomScaleNormal="80" workbookViewId="0">
      <pane xSplit="2" ySplit="3" topLeftCell="F8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4" t="str" cm="1">
        <f t="array" ref="A1">portfolio</f>
        <v>Ecofin</v>
      </c>
      <c r="B1" s="64"/>
      <c r="C1" s="64"/>
      <c r="D1" s="65" t="s">
        <v>56</v>
      </c>
      <c r="E1" s="65"/>
      <c r="F1" s="65"/>
      <c r="G1" s="63" t="s">
        <v>57</v>
      </c>
      <c r="H1" s="63"/>
      <c r="I1" s="63"/>
      <c r="J1" s="5"/>
      <c r="K1" s="5"/>
    </row>
    <row r="2" spans="1:12" ht="19.5" customHeight="1">
      <c r="A2" s="66" t="s">
        <v>2</v>
      </c>
      <c r="B2" s="6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2" ht="15.6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 t="shared" ref="I4:I13" si="0">IFERROR(H4/G4, "")</f>
        <v/>
      </c>
      <c r="J4" s="41"/>
      <c r="K4" s="41"/>
    </row>
    <row r="5" spans="1:12" ht="15.6">
      <c r="A5" s="30" t="str">
        <v>San Luis Valley</v>
      </c>
      <c r="B5" s="31" t="str">
        <v>CO</v>
      </c>
      <c r="C5" s="12"/>
      <c r="D5" s="19"/>
      <c r="E5" s="19" t="str">
        <f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53" t="str">
        <f t="shared" si="0"/>
        <v/>
      </c>
      <c r="J5" s="42"/>
      <c r="K5" s="42"/>
    </row>
    <row r="6" spans="1:12" ht="15.6">
      <c r="A6" s="32" t="str">
        <v>Golden NREL 2</v>
      </c>
      <c r="B6" s="29" t="str">
        <v>CO</v>
      </c>
      <c r="C6" s="25"/>
      <c r="D6" s="14"/>
      <c r="E6" s="14" t="str">
        <f t="shared" ref="E6:E17" si="2">IF(AND(ISNUMBER(C6),ISNUMBER(D6)), C6-D6, "")</f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0"/>
        <v/>
      </c>
      <c r="J6" s="41"/>
      <c r="K6" s="41"/>
    </row>
    <row r="7" spans="1:12" ht="15.6">
      <c r="A7" s="30" t="str">
        <v>Golden NREL Wind 3</v>
      </c>
      <c r="B7" s="31" t="str">
        <v>CO</v>
      </c>
      <c r="C7" s="12"/>
      <c r="D7" s="19"/>
      <c r="E7" s="19" t="str">
        <f t="shared" si="2"/>
        <v/>
      </c>
      <c r="F7" s="20" t="str">
        <f t="shared" si="3"/>
        <v/>
      </c>
      <c r="G7" s="21"/>
      <c r="H7" s="21" t="str">
        <f t="shared" si="1"/>
        <v/>
      </c>
      <c r="I7" s="53" t="str">
        <f t="shared" si="0"/>
        <v/>
      </c>
      <c r="J7" s="48"/>
      <c r="K7" s="48"/>
    </row>
    <row r="8" spans="1:12" ht="15.6">
      <c r="A8" s="32" t="str">
        <v>Pratt Solar Farm</v>
      </c>
      <c r="B8" s="29" t="str">
        <v>KS</v>
      </c>
      <c r="C8" s="46"/>
      <c r="D8" s="14"/>
      <c r="E8" s="14" t="str">
        <f t="shared" si="2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0"/>
        <v/>
      </c>
      <c r="J8" s="41"/>
      <c r="K8" s="41"/>
    </row>
    <row r="9" spans="1:12" ht="15.6">
      <c r="A9" s="30" t="str">
        <v>Rochester - 5516 Valleyhigh NW</v>
      </c>
      <c r="B9" s="31" t="str">
        <v>MN</v>
      </c>
      <c r="C9" s="52"/>
      <c r="D9" s="19"/>
      <c r="E9" s="19" t="str">
        <f t="shared" si="2"/>
        <v/>
      </c>
      <c r="F9" s="20" t="str">
        <f t="shared" si="3"/>
        <v/>
      </c>
      <c r="G9" s="21"/>
      <c r="H9" s="21" t="str">
        <f t="shared" si="1"/>
        <v/>
      </c>
      <c r="I9" s="53" t="str">
        <f t="shared" si="0"/>
        <v/>
      </c>
      <c r="J9" s="48"/>
      <c r="K9" s="48"/>
      <c r="L9" s="22"/>
    </row>
    <row r="10" spans="1:12" ht="15.6">
      <c r="A10" s="32" t="str">
        <v>Warsaw - 2201 Richmond</v>
      </c>
      <c r="B10" s="29" t="str">
        <v>VA</v>
      </c>
      <c r="C10" s="25"/>
      <c r="D10" s="14"/>
      <c r="E10" s="14" t="str">
        <f t="shared" si="2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0"/>
        <v/>
      </c>
      <c r="J10" s="41"/>
      <c r="K10" s="41"/>
      <c r="L10" s="22"/>
    </row>
    <row r="11" spans="1:12" ht="15.6">
      <c r="A11" s="30" t="str">
        <v>Mount Jackson - Randolf</v>
      </c>
      <c r="B11" s="31" t="str">
        <v>VA</v>
      </c>
      <c r="C11" s="12"/>
      <c r="D11" s="19"/>
      <c r="E11" s="19" t="str">
        <f t="shared" si="2"/>
        <v/>
      </c>
      <c r="F11" s="20" t="str">
        <f t="shared" si="3"/>
        <v/>
      </c>
      <c r="G11" s="21"/>
      <c r="H11" s="21" t="str">
        <f t="shared" si="1"/>
        <v/>
      </c>
      <c r="I11" s="53" t="str">
        <f t="shared" si="0"/>
        <v/>
      </c>
      <c r="J11" s="42"/>
      <c r="K11" s="42"/>
      <c r="L11" s="22"/>
    </row>
    <row r="12" spans="1:12" ht="15.6">
      <c r="A12" s="32" t="str">
        <v>Callands Gretna - Monroe</v>
      </c>
      <c r="B12" s="29" t="str">
        <v>VA</v>
      </c>
      <c r="C12" s="25"/>
      <c r="D12" s="14"/>
      <c r="E12" s="14" t="str">
        <f>IF(AND(ISNUMBER(C12),ISNUMBER(D12)), C12-D12, "")</f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0"/>
        <v/>
      </c>
      <c r="J12" s="41"/>
      <c r="K12" s="41"/>
      <c r="L12" s="22"/>
    </row>
    <row r="13" spans="1:12" ht="15.6">
      <c r="A13" s="30" t="str">
        <v>Rockbridge Baths - Small Mouth Bass</v>
      </c>
      <c r="B13" s="31" t="str">
        <v>VA</v>
      </c>
      <c r="C13" s="12"/>
      <c r="D13" s="19"/>
      <c r="E13" s="19" t="str">
        <f t="shared" si="2"/>
        <v/>
      </c>
      <c r="F13" s="20" t="str">
        <f t="shared" si="3"/>
        <v/>
      </c>
      <c r="G13" s="21"/>
      <c r="H13" s="21" t="str">
        <f t="shared" si="1"/>
        <v/>
      </c>
      <c r="I13" s="53" t="str">
        <f t="shared" si="0"/>
        <v/>
      </c>
      <c r="J13" s="42"/>
      <c r="K13" s="42"/>
      <c r="L13" s="22"/>
    </row>
    <row r="14" spans="1:12">
      <c r="A14" s="22"/>
      <c r="B14" s="22"/>
      <c r="C14" s="22"/>
      <c r="D14" s="22"/>
      <c r="E14" s="22" t="str">
        <f t="shared" si="2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ref="I14:I17" si="4">IFERROR(H14/G14, "")</f>
        <v/>
      </c>
      <c r="J14" s="22"/>
      <c r="K14" s="22"/>
      <c r="L14" s="22"/>
    </row>
    <row r="15" spans="1:12">
      <c r="A15" s="22"/>
      <c r="B15" s="22"/>
      <c r="C15" s="22"/>
      <c r="D15" s="22"/>
      <c r="E15" s="22" t="str">
        <f t="shared" si="2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4"/>
        <v/>
      </c>
      <c r="J15" s="22"/>
      <c r="K15" s="22"/>
      <c r="L15" s="22"/>
    </row>
    <row r="16" spans="1:12">
      <c r="A16" s="22"/>
      <c r="B16" s="22"/>
      <c r="C16" s="22"/>
      <c r="D16" s="22"/>
      <c r="E16" s="22" t="str">
        <f t="shared" si="2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4"/>
        <v/>
      </c>
      <c r="J16" s="22"/>
      <c r="K16" s="22"/>
      <c r="L16" s="22"/>
    </row>
    <row r="17" spans="1:12">
      <c r="A17" s="22"/>
      <c r="B17" s="22"/>
      <c r="C17" s="22"/>
      <c r="D17" s="22"/>
      <c r="E17" s="22" t="str">
        <f t="shared" si="2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4"/>
        <v/>
      </c>
      <c r="J17" s="22"/>
      <c r="K17" s="22"/>
      <c r="L17" s="22"/>
    </row>
    <row r="18" spans="1:12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2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2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2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42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4" t="str" cm="1">
        <f t="array" ref="A1">portfolio</f>
        <v>Ecofin</v>
      </c>
      <c r="B1" s="64"/>
      <c r="C1" s="64"/>
      <c r="D1" s="65" t="s">
        <v>58</v>
      </c>
      <c r="E1" s="65"/>
      <c r="F1" s="65"/>
      <c r="G1" s="63" t="s">
        <v>59</v>
      </c>
      <c r="H1" s="63"/>
      <c r="I1" s="63"/>
      <c r="J1" s="5"/>
      <c r="K1" s="5"/>
    </row>
    <row r="2" spans="1:13" ht="19.5" customHeight="1">
      <c r="A2" s="66" t="s">
        <v>2</v>
      </c>
      <c r="B2" s="6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3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3" ht="15.6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1"/>
      <c r="K4" s="41"/>
    </row>
    <row r="5" spans="1:13" ht="47.25" customHeight="1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55"/>
      <c r="K5" s="55"/>
    </row>
    <row r="6" spans="1:13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1"/>
      <c r="K6" s="41"/>
    </row>
    <row r="7" spans="1:13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2"/>
      <c r="K7" s="42"/>
    </row>
    <row r="8" spans="1:13" ht="15.6">
      <c r="A8" s="32" t="str">
        <v>Pratt Solar Farm</v>
      </c>
      <c r="B8" s="29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1"/>
      <c r="K8" s="41"/>
    </row>
    <row r="9" spans="1:13" ht="96.75" customHeight="1">
      <c r="A9" s="30" t="str">
        <v>Rochester - 5516 Valleyhigh NW</v>
      </c>
      <c r="B9" s="31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54"/>
      <c r="H9" s="21" t="str">
        <f t="shared" si="1"/>
        <v/>
      </c>
      <c r="I9" s="20" t="str">
        <f t="shared" si="2"/>
        <v/>
      </c>
      <c r="J9" s="55"/>
      <c r="K9" s="55"/>
      <c r="L9" s="22"/>
      <c r="M9" s="22"/>
    </row>
    <row r="10" spans="1:13" ht="15.6">
      <c r="A10" s="32" t="str">
        <v>Warsaw - 2201 Richmond</v>
      </c>
      <c r="B10" s="29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1"/>
      <c r="K10" s="41"/>
      <c r="L10" s="22"/>
      <c r="M10" s="22"/>
    </row>
    <row r="11" spans="1:13" ht="15.6">
      <c r="A11" s="30" t="str">
        <v>Mount Jackson - Randolf</v>
      </c>
      <c r="B11" s="31" t="str">
        <v>VA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2"/>
      <c r="K11" s="42"/>
      <c r="L11" s="22"/>
      <c r="M11" s="22"/>
    </row>
    <row r="12" spans="1:13" ht="15.6">
      <c r="A12" s="32" t="str">
        <v>Callands Gretna - Monroe</v>
      </c>
      <c r="B12" s="29" t="str">
        <v>VA</v>
      </c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41"/>
      <c r="K12" s="41"/>
      <c r="L12" s="22"/>
      <c r="M12" s="22"/>
    </row>
    <row r="13" spans="1:13" ht="15.6">
      <c r="A13" s="30" t="str">
        <v>Rockbridge Baths - Small Mouth Bass</v>
      </c>
      <c r="B13" s="31" t="str">
        <v>VA</v>
      </c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2"/>
      <c r="K13" s="55"/>
      <c r="L13" s="22"/>
      <c r="M13" s="22"/>
    </row>
    <row r="14" spans="1:13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</row>
    <row r="15" spans="1:13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</row>
    <row r="16" spans="1:13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</row>
    <row r="17" spans="1:13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</row>
    <row r="18" spans="1:13" ht="12.75" customHeight="1">
      <c r="A18" s="22"/>
      <c r="B18" s="33"/>
      <c r="C18" s="22"/>
      <c r="D18" s="22"/>
      <c r="E18" s="22"/>
      <c r="F18" s="22"/>
      <c r="G18" s="22"/>
      <c r="H18" s="22"/>
      <c r="I18" s="22"/>
      <c r="J18" s="22"/>
      <c r="K18" s="22"/>
    </row>
    <row r="19" spans="1:13" ht="14.45">
      <c r="A19" s="22"/>
      <c r="B19" s="33"/>
      <c r="C19" s="22"/>
      <c r="D19" s="22"/>
      <c r="E19" s="22"/>
      <c r="F19" s="22"/>
      <c r="G19" s="22"/>
      <c r="H19" s="22"/>
      <c r="I19" s="22"/>
      <c r="J19" s="22"/>
      <c r="K19" s="22"/>
    </row>
    <row r="20" spans="1:13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3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3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3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3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3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3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3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3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3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3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3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3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3 I4:I13 F18:F100 I18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zoomScale="70" zoomScaleNormal="70" workbookViewId="0">
      <pane xSplit="2" ySplit="3" topLeftCell="C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5703125" customWidth="1"/>
  </cols>
  <sheetData>
    <row r="1" spans="1:12" ht="19.5" customHeight="1">
      <c r="A1" s="64" t="str" cm="1">
        <f t="array" ref="A1">portfolio</f>
        <v>Ecofin</v>
      </c>
      <c r="B1" s="64"/>
      <c r="C1" s="64"/>
      <c r="D1" s="65" t="s">
        <v>60</v>
      </c>
      <c r="E1" s="65"/>
      <c r="F1" s="65"/>
      <c r="G1" s="63" t="s">
        <v>61</v>
      </c>
      <c r="H1" s="63"/>
      <c r="I1" s="63"/>
      <c r="J1" s="5"/>
      <c r="K1" s="5"/>
    </row>
    <row r="2" spans="1:12" ht="19.5" customHeight="1">
      <c r="A2" s="66" t="s">
        <v>2</v>
      </c>
      <c r="B2" s="6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2" ht="15.6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50"/>
      <c r="K4" s="50"/>
    </row>
    <row r="5" spans="1:12" ht="15.6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6" si="1">IF(AND(ISNUMBER(C5),ISNUMBER(G5)), C5-G5, "")</f>
        <v/>
      </c>
      <c r="I5" s="20" t="str">
        <f t="shared" ref="I5:I16" si="2">IFERROR(H5/G5, "")</f>
        <v/>
      </c>
      <c r="J5" s="48"/>
      <c r="K5" s="48"/>
    </row>
    <row r="6" spans="1:12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50"/>
      <c r="K6" s="50"/>
    </row>
    <row r="7" spans="1:12" ht="15.6">
      <c r="A7" s="30" t="str">
        <v>Golden NREL Wind 3</v>
      </c>
      <c r="B7" s="31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8"/>
      <c r="K7" s="48"/>
    </row>
    <row r="8" spans="1:12" ht="15.6">
      <c r="A8" s="32" t="str">
        <v>Pratt Solar Farm</v>
      </c>
      <c r="B8" s="29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50"/>
      <c r="K8" s="50"/>
    </row>
    <row r="9" spans="1:12" ht="100.5" customHeight="1">
      <c r="A9" s="30" t="str">
        <v>Rochester - 5516 Valleyhigh NW</v>
      </c>
      <c r="B9" s="31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8"/>
      <c r="K9" s="48"/>
      <c r="L9" s="22"/>
    </row>
    <row r="10" spans="1:12" ht="15.6">
      <c r="A10" s="32" t="str">
        <v>Warsaw - 2201 Richmond</v>
      </c>
      <c r="B10" s="29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50"/>
      <c r="K10" s="50"/>
      <c r="L10" s="22"/>
    </row>
    <row r="11" spans="1:12" ht="15.6">
      <c r="A11" s="30" t="str">
        <v>Mount Jackson - Randolf</v>
      </c>
      <c r="B11" s="31" t="str">
        <v>VA</v>
      </c>
      <c r="C11" s="12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8"/>
      <c r="K11" s="48"/>
      <c r="L11" s="22"/>
    </row>
    <row r="12" spans="1:12" ht="15.6">
      <c r="A12" s="32" t="str">
        <v>Callands Gretna - Monroe</v>
      </c>
      <c r="B12" s="29" t="str">
        <v>VA</v>
      </c>
      <c r="C12" s="25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50"/>
      <c r="K12" s="50"/>
      <c r="L12" s="22"/>
    </row>
    <row r="13" spans="1:12" ht="15.6">
      <c r="A13" s="30" t="str">
        <v>Rockbridge Baths - Small Mouth Bass</v>
      </c>
      <c r="B13" s="31" t="str">
        <v>VA</v>
      </c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8"/>
      <c r="K13" s="48"/>
      <c r="L13" s="22"/>
    </row>
    <row r="14" spans="1:12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</row>
    <row r="15" spans="1:12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</row>
    <row r="16" spans="1:12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</row>
    <row r="17" spans="1:12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>IF(AND(ISNUMBER(C17),ISNUMBER(G17)), C17-G17, "")</f>
        <v/>
      </c>
      <c r="I17" s="22" t="str">
        <f>IFERROR(H17/G17, "")</f>
        <v/>
      </c>
      <c r="J17" s="22"/>
      <c r="K17" s="22"/>
      <c r="L17" s="22"/>
    </row>
    <row r="18" spans="1:12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2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2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2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2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3 I4:I13 F20:F100 I20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zoomScale="80" zoomScaleNormal="80" workbookViewId="0">
      <pane xSplit="2" ySplit="3" topLeftCell="J8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4" t="str" cm="1">
        <f t="array" ref="A1">portfolio</f>
        <v>Ecofin</v>
      </c>
      <c r="B1" s="64"/>
      <c r="C1" s="64"/>
      <c r="D1" s="65" t="s">
        <v>62</v>
      </c>
      <c r="E1" s="65"/>
      <c r="F1" s="65"/>
      <c r="G1" s="63" t="s">
        <v>63</v>
      </c>
      <c r="H1" s="63"/>
      <c r="I1" s="63"/>
      <c r="J1" s="5"/>
      <c r="K1" s="5"/>
    </row>
    <row r="2" spans="1:12" ht="19.5" customHeight="1">
      <c r="A2" s="66" t="s">
        <v>2</v>
      </c>
      <c r="B2" s="6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2" ht="80.25" customHeight="1">
      <c r="A4" s="51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50"/>
      <c r="K4" s="50"/>
    </row>
    <row r="5" spans="1:12" ht="15.6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8"/>
      <c r="K5" s="48"/>
    </row>
    <row r="6" spans="1:12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3" si="3">IFERROR(E6/D6, "")</f>
        <v/>
      </c>
      <c r="G6" s="16"/>
      <c r="H6" s="16" t="str">
        <f t="shared" si="1"/>
        <v/>
      </c>
      <c r="I6" s="17" t="str">
        <f t="shared" si="2"/>
        <v/>
      </c>
      <c r="J6" s="50"/>
      <c r="K6" s="50"/>
    </row>
    <row r="7" spans="1:12" ht="15.6">
      <c r="A7" s="30" t="str">
        <v>Golden NREL Wind 3</v>
      </c>
      <c r="B7" s="31" t="str">
        <v>CO</v>
      </c>
      <c r="C7" s="12"/>
      <c r="D7" s="19"/>
      <c r="E7" s="19" t="str">
        <f t="shared" ref="E7:E13" si="4">IF(AND(ISNUMBER(C7),ISNUMBER(D7)), C7-D7, "")</f>
        <v/>
      </c>
      <c r="F7" s="20" t="str">
        <f t="shared" si="3"/>
        <v/>
      </c>
      <c r="G7" s="21"/>
      <c r="H7" s="21" t="str">
        <f t="shared" ref="H7:H13" si="5">IF(AND(ISNUMBER(C7),ISNUMBER(G7)), C7-G7, "")</f>
        <v/>
      </c>
      <c r="I7" s="20" t="str">
        <f t="shared" ref="I7:I13" si="6">IFERROR(H7/G7, "")</f>
        <v/>
      </c>
      <c r="J7" s="48"/>
      <c r="K7" s="48"/>
    </row>
    <row r="8" spans="1:12" ht="50.25" customHeight="1">
      <c r="A8" s="51" t="str">
        <v>Pratt Solar Farm</v>
      </c>
      <c r="B8" s="29" t="str">
        <v>KS</v>
      </c>
      <c r="C8" s="25"/>
      <c r="D8" s="14"/>
      <c r="E8" s="14" t="str">
        <f t="shared" si="4"/>
        <v/>
      </c>
      <c r="F8" s="15" t="str">
        <f t="shared" si="3"/>
        <v/>
      </c>
      <c r="G8" s="16"/>
      <c r="H8" s="16" t="str">
        <f t="shared" si="5"/>
        <v/>
      </c>
      <c r="I8" s="17" t="str">
        <f t="shared" si="6"/>
        <v/>
      </c>
      <c r="J8" s="50"/>
      <c r="K8" s="50"/>
    </row>
    <row r="9" spans="1:12" ht="22.5" customHeight="1">
      <c r="A9" s="30" t="str">
        <v>Rochester - 5516 Valleyhigh NW</v>
      </c>
      <c r="B9" s="31" t="str">
        <v>MN</v>
      </c>
      <c r="C9" s="12"/>
      <c r="D9" s="19"/>
      <c r="E9" s="19" t="str">
        <f t="shared" si="4"/>
        <v/>
      </c>
      <c r="F9" s="20" t="str">
        <f t="shared" si="3"/>
        <v/>
      </c>
      <c r="G9" s="21"/>
      <c r="H9" s="21" t="str">
        <f t="shared" si="5"/>
        <v/>
      </c>
      <c r="I9" s="20" t="str">
        <f t="shared" si="6"/>
        <v/>
      </c>
      <c r="J9" s="48"/>
      <c r="K9" s="48"/>
      <c r="L9" s="30"/>
    </row>
    <row r="10" spans="1:12" ht="15.6">
      <c r="A10" s="32" t="str">
        <v>Warsaw - 2201 Richmond</v>
      </c>
      <c r="B10" s="29" t="str">
        <v>VA</v>
      </c>
      <c r="C10" s="25"/>
      <c r="D10" s="14"/>
      <c r="E10" s="14" t="str">
        <f t="shared" si="4"/>
        <v/>
      </c>
      <c r="F10" s="15" t="str">
        <f t="shared" si="3"/>
        <v/>
      </c>
      <c r="G10" s="16"/>
      <c r="H10" s="16" t="str">
        <f t="shared" si="5"/>
        <v/>
      </c>
      <c r="I10" s="17" t="str">
        <f t="shared" si="6"/>
        <v/>
      </c>
      <c r="J10" s="50"/>
      <c r="K10" s="50"/>
      <c r="L10" s="30"/>
    </row>
    <row r="11" spans="1:12" ht="15.6">
      <c r="A11" s="30" t="str">
        <v>Mount Jackson - Randolf</v>
      </c>
      <c r="B11" s="31" t="str">
        <v>VA</v>
      </c>
      <c r="C11" s="12"/>
      <c r="D11" s="19"/>
      <c r="E11" s="19" t="str">
        <f t="shared" si="4"/>
        <v/>
      </c>
      <c r="F11" s="20" t="str">
        <f t="shared" si="3"/>
        <v/>
      </c>
      <c r="G11" s="21"/>
      <c r="H11" s="21" t="str">
        <f t="shared" si="5"/>
        <v/>
      </c>
      <c r="I11" s="20" t="str">
        <f t="shared" si="6"/>
        <v/>
      </c>
      <c r="J11" s="48"/>
      <c r="K11" s="48"/>
      <c r="L11" s="30"/>
    </row>
    <row r="12" spans="1:12" ht="15.6">
      <c r="A12" s="32" t="str">
        <v>Callands Gretna - Monroe</v>
      </c>
      <c r="B12" s="29" t="str">
        <v>VA</v>
      </c>
      <c r="C12" s="25"/>
      <c r="D12" s="14"/>
      <c r="E12" s="14" t="str">
        <f t="shared" si="4"/>
        <v/>
      </c>
      <c r="F12" s="15" t="str">
        <f t="shared" si="3"/>
        <v/>
      </c>
      <c r="G12" s="16"/>
      <c r="H12" s="16" t="str">
        <f t="shared" si="5"/>
        <v/>
      </c>
      <c r="I12" s="17" t="str">
        <f t="shared" si="6"/>
        <v/>
      </c>
      <c r="J12" s="50"/>
      <c r="K12" s="50"/>
      <c r="L12" s="30"/>
    </row>
    <row r="13" spans="1:12" ht="15.6">
      <c r="A13" s="30" t="str">
        <v>Rockbridge Baths - Small Mouth Bass</v>
      </c>
      <c r="B13" s="31" t="str">
        <v>VA</v>
      </c>
      <c r="C13" s="12"/>
      <c r="D13" s="19"/>
      <c r="E13" s="19" t="str">
        <f t="shared" si="4"/>
        <v/>
      </c>
      <c r="F13" s="20" t="str">
        <f t="shared" si="3"/>
        <v/>
      </c>
      <c r="G13" s="21"/>
      <c r="H13" s="21" t="str">
        <f t="shared" si="5"/>
        <v/>
      </c>
      <c r="I13" s="20" t="str">
        <f t="shared" si="6"/>
        <v/>
      </c>
      <c r="J13" s="42"/>
      <c r="K13" s="42"/>
      <c r="L13" s="30"/>
    </row>
    <row r="14" spans="1:12" ht="15.6">
      <c r="A14" s="30"/>
      <c r="B14" s="30"/>
      <c r="C14" s="30"/>
      <c r="D14" s="30"/>
      <c r="E14" s="30" t="str">
        <f t="shared" si="0"/>
        <v/>
      </c>
      <c r="F14" s="30" t="str">
        <f t="shared" ref="F14:F17" si="7">IFERROR(E14/D14, "")</f>
        <v/>
      </c>
      <c r="G14" s="30"/>
      <c r="H14" s="30" t="str">
        <f t="shared" si="1"/>
        <v/>
      </c>
      <c r="I14" s="30" t="str">
        <f t="shared" si="2"/>
        <v/>
      </c>
      <c r="J14" s="30"/>
      <c r="K14" s="30"/>
      <c r="L14" s="30"/>
    </row>
    <row r="15" spans="1:12" ht="15.6">
      <c r="A15" s="30"/>
      <c r="B15" s="30"/>
      <c r="C15" s="30"/>
      <c r="D15" s="30"/>
      <c r="E15" s="30" t="str">
        <f t="shared" si="0"/>
        <v/>
      </c>
      <c r="F15" s="30" t="str">
        <f t="shared" si="7"/>
        <v/>
      </c>
      <c r="G15" s="30"/>
      <c r="H15" s="30" t="str">
        <f t="shared" si="1"/>
        <v/>
      </c>
      <c r="I15" s="30" t="str">
        <f t="shared" si="2"/>
        <v/>
      </c>
      <c r="J15" s="30"/>
      <c r="K15" s="30"/>
      <c r="L15" s="30"/>
    </row>
    <row r="16" spans="1:12" ht="15.6">
      <c r="A16" s="30"/>
      <c r="B16" s="30"/>
      <c r="C16" s="30"/>
      <c r="D16" s="30"/>
      <c r="E16" s="30" t="str">
        <f t="shared" si="0"/>
        <v/>
      </c>
      <c r="F16" s="30" t="str">
        <f t="shared" si="7"/>
        <v/>
      </c>
      <c r="G16" s="30"/>
      <c r="H16" s="30" t="str">
        <f t="shared" si="1"/>
        <v/>
      </c>
      <c r="I16" s="30" t="str">
        <f t="shared" si="2"/>
        <v/>
      </c>
      <c r="J16" s="30"/>
      <c r="K16" s="30"/>
      <c r="L16" s="30"/>
    </row>
    <row r="17" spans="1:12" ht="15.6">
      <c r="A17" s="30"/>
      <c r="B17" s="30"/>
      <c r="C17" s="30"/>
      <c r="D17" s="30"/>
      <c r="E17" s="30" t="str">
        <f t="shared" si="0"/>
        <v/>
      </c>
      <c r="F17" s="30" t="str">
        <f t="shared" si="7"/>
        <v/>
      </c>
      <c r="G17" s="30"/>
      <c r="H17" s="30" t="str">
        <f t="shared" si="1"/>
        <v/>
      </c>
      <c r="I17" s="30" t="str">
        <f t="shared" si="2"/>
        <v/>
      </c>
      <c r="J17" s="30"/>
      <c r="K17" s="30"/>
      <c r="L17" s="30"/>
    </row>
    <row r="18" spans="1:12" ht="12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ht="15.6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15.6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1:12" ht="15.6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ht="15.6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spans="1:12" ht="15.6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2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3"/>
  <sheetViews>
    <sheetView workbookViewId="0">
      <pane ySplit="3" topLeftCell="A4" activePane="bottomLeft" state="frozen"/>
      <selection pane="bottomLeft" activeCell="B24" sqref="B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64</v>
      </c>
      <c r="B1" s="43" t="s">
        <v>65</v>
      </c>
    </row>
    <row r="3" spans="1:7" ht="13.15">
      <c r="A3" t="s">
        <v>66</v>
      </c>
      <c r="B3" t="s">
        <v>3</v>
      </c>
      <c r="C3" t="s">
        <v>4</v>
      </c>
      <c r="D3" t="s">
        <v>67</v>
      </c>
      <c r="E3" s="2" t="s">
        <v>68</v>
      </c>
    </row>
    <row r="4" spans="1:7" ht="14.45">
      <c r="A4" s="3" t="s">
        <v>69</v>
      </c>
      <c r="B4" t="s">
        <v>70</v>
      </c>
      <c r="C4" s="4" t="s">
        <v>71</v>
      </c>
      <c r="G4" s="3"/>
    </row>
    <row r="5" spans="1:7" ht="14.45">
      <c r="A5" s="3" t="s">
        <v>72</v>
      </c>
      <c r="B5" t="s">
        <v>73</v>
      </c>
      <c r="C5" s="4" t="s">
        <v>71</v>
      </c>
      <c r="G5" s="3"/>
    </row>
    <row r="6" spans="1:7" ht="14.45">
      <c r="A6" s="43" t="s">
        <v>74</v>
      </c>
      <c r="B6" t="s">
        <v>75</v>
      </c>
      <c r="C6" t="s">
        <v>71</v>
      </c>
      <c r="G6" s="3"/>
    </row>
    <row r="7" spans="1:7" ht="12.75" customHeight="1">
      <c r="A7" s="43" t="s">
        <v>76</v>
      </c>
      <c r="B7" t="s">
        <v>77</v>
      </c>
      <c r="C7" t="s">
        <v>71</v>
      </c>
    </row>
    <row r="8" spans="1:7" ht="12.75" customHeight="1">
      <c r="A8" s="4" t="s">
        <v>78</v>
      </c>
      <c r="B8" s="4" t="s">
        <v>79</v>
      </c>
      <c r="C8" s="4" t="s">
        <v>80</v>
      </c>
    </row>
    <row r="9" spans="1:7" ht="12.75" customHeight="1">
      <c r="A9" s="43" t="s">
        <v>81</v>
      </c>
      <c r="B9" t="s">
        <v>82</v>
      </c>
      <c r="C9" t="s">
        <v>83</v>
      </c>
    </row>
    <row r="10" spans="1:7" ht="12.75" customHeight="1">
      <c r="A10" s="4" t="s">
        <v>84</v>
      </c>
      <c r="B10" s="4" t="s">
        <v>85</v>
      </c>
      <c r="C10" s="4" t="s">
        <v>86</v>
      </c>
      <c r="D10" t="s">
        <v>87</v>
      </c>
    </row>
    <row r="11" spans="1:7" ht="12.75" customHeight="1">
      <c r="A11" s="4" t="s">
        <v>88</v>
      </c>
      <c r="B11" s="4" t="s">
        <v>89</v>
      </c>
      <c r="C11" s="4" t="s">
        <v>86</v>
      </c>
      <c r="D11" t="s">
        <v>87</v>
      </c>
    </row>
    <row r="12" spans="1:7" ht="12.75" customHeight="1">
      <c r="A12" s="4" t="s">
        <v>90</v>
      </c>
      <c r="B12" s="4" t="s">
        <v>91</v>
      </c>
      <c r="C12" s="4" t="s">
        <v>86</v>
      </c>
    </row>
    <row r="13" spans="1:7" ht="12.75" customHeight="1">
      <c r="A13" s="4" t="s">
        <v>92</v>
      </c>
      <c r="B13" s="4" t="s">
        <v>93</v>
      </c>
      <c r="C13" s="4" t="s">
        <v>86</v>
      </c>
    </row>
  </sheetData>
  <phoneticPr fontId="38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42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D13" sqref="D13"/>
      <selection pane="topRight" activeCell="D13" sqref="D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4" t="str" cm="1">
        <f t="array" ref="A1">portfolio</f>
        <v>Ecofin</v>
      </c>
      <c r="B1" s="64"/>
      <c r="C1" s="64"/>
      <c r="D1" s="65" t="s">
        <v>94</v>
      </c>
      <c r="E1" s="65"/>
      <c r="F1" s="65"/>
      <c r="G1" s="63" t="s">
        <v>95</v>
      </c>
      <c r="H1" s="63"/>
      <c r="I1" s="63"/>
      <c r="J1" s="5"/>
      <c r="K1" s="5"/>
    </row>
    <row r="2" spans="1:14" ht="19.5" customHeight="1">
      <c r="A2" s="66" t="s">
        <v>2</v>
      </c>
      <c r="B2" s="6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20</v>
      </c>
      <c r="K3" s="26" t="s">
        <v>21</v>
      </c>
    </row>
    <row r="4" spans="1:14" ht="24.75" customHeight="1">
      <c r="A4" s="32" t="str" cm="1">
        <f t="array" ref="A4:A13">Sites[Site]</f>
        <v>Alamosa School District</v>
      </c>
      <c r="B4" s="29" t="str" cm="1">
        <f t="array" ref="B4:B13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50"/>
      <c r="K4" s="50"/>
    </row>
    <row r="5" spans="1:14" ht="15.6">
      <c r="A5" s="30" t="str">
        <v>San Luis Valley</v>
      </c>
      <c r="B5" s="31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8"/>
      <c r="K5" s="48"/>
    </row>
    <row r="6" spans="1:14" ht="15.6">
      <c r="A6" s="32" t="str">
        <v>Golden NREL 2</v>
      </c>
      <c r="B6" s="29" t="str">
        <v>CO</v>
      </c>
      <c r="C6" s="25"/>
      <c r="D6" s="14"/>
      <c r="E6" s="14" t="str">
        <f t="shared" si="0"/>
        <v/>
      </c>
      <c r="F6" s="15" t="str">
        <f t="shared" ref="F6:F13" si="3">IFERROR(E6/D6, "")</f>
        <v/>
      </c>
      <c r="G6" s="16"/>
      <c r="H6" s="16" t="str">
        <f t="shared" si="1"/>
        <v/>
      </c>
      <c r="I6" s="17" t="str">
        <f t="shared" si="2"/>
        <v/>
      </c>
      <c r="J6" s="50"/>
      <c r="K6" s="50"/>
    </row>
    <row r="7" spans="1:14" ht="15.6">
      <c r="A7" s="30" t="str">
        <v>Golden NREL Wind 3</v>
      </c>
      <c r="B7" s="31" t="str">
        <v>CO</v>
      </c>
      <c r="C7" s="12"/>
      <c r="D7" s="19"/>
      <c r="E7" s="19" t="str">
        <f t="shared" ref="E7:E13" si="4">IF(AND(ISNUMBER(C7),ISNUMBER(D7)), C7-D7, "")</f>
        <v/>
      </c>
      <c r="F7" s="20" t="str">
        <f t="shared" si="3"/>
        <v/>
      </c>
      <c r="G7" s="21"/>
      <c r="H7" s="21" t="str">
        <f t="shared" ref="H7:H13" si="5">IF(AND(ISNUMBER(C7),ISNUMBER(G7)), C7-G7, "")</f>
        <v/>
      </c>
      <c r="I7" s="20" t="str">
        <f t="shared" ref="I7:I13" si="6">IFERROR(H7/G7, "")</f>
        <v/>
      </c>
      <c r="J7" s="48"/>
      <c r="K7" s="48"/>
    </row>
    <row r="8" spans="1:14" ht="15.6">
      <c r="A8" s="32" t="str">
        <v>Pratt Solar Farm</v>
      </c>
      <c r="B8" s="29" t="str">
        <v>KS</v>
      </c>
      <c r="C8" s="25"/>
      <c r="D8" s="14"/>
      <c r="E8" s="14" t="str">
        <f t="shared" si="4"/>
        <v/>
      </c>
      <c r="F8" s="15" t="str">
        <f t="shared" si="3"/>
        <v/>
      </c>
      <c r="G8" s="16"/>
      <c r="H8" s="16" t="str">
        <f t="shared" si="5"/>
        <v/>
      </c>
      <c r="I8" s="17" t="str">
        <f t="shared" si="6"/>
        <v/>
      </c>
      <c r="J8" s="50"/>
      <c r="K8" s="50"/>
    </row>
    <row r="9" spans="1:14" ht="15.6">
      <c r="A9" s="30" t="str">
        <v>Rochester - 5516 Valleyhigh NW</v>
      </c>
      <c r="B9" s="31" t="str">
        <v>MN</v>
      </c>
      <c r="C9" s="12"/>
      <c r="D9" s="19"/>
      <c r="E9" s="19" t="str">
        <f t="shared" si="4"/>
        <v/>
      </c>
      <c r="F9" s="20" t="str">
        <f t="shared" si="3"/>
        <v/>
      </c>
      <c r="G9" s="21"/>
      <c r="H9" s="21" t="str">
        <f t="shared" si="5"/>
        <v/>
      </c>
      <c r="I9" s="20" t="str">
        <f t="shared" si="6"/>
        <v/>
      </c>
      <c r="J9" s="48"/>
      <c r="K9" s="48"/>
      <c r="L9" s="22"/>
      <c r="M9" s="22"/>
      <c r="N9" s="22"/>
    </row>
    <row r="10" spans="1:14" ht="15.6">
      <c r="A10" s="32" t="str">
        <v>Warsaw - 2201 Richmond</v>
      </c>
      <c r="B10" s="29" t="str">
        <v>VA</v>
      </c>
      <c r="C10" s="25"/>
      <c r="D10" s="14"/>
      <c r="E10" s="14" t="str">
        <f t="shared" si="4"/>
        <v/>
      </c>
      <c r="F10" s="15" t="str">
        <f t="shared" si="3"/>
        <v/>
      </c>
      <c r="G10" s="16"/>
      <c r="H10" s="16" t="str">
        <f t="shared" si="5"/>
        <v/>
      </c>
      <c r="I10" s="17" t="str">
        <f t="shared" si="6"/>
        <v/>
      </c>
      <c r="J10" s="50"/>
      <c r="K10" s="50"/>
      <c r="L10" s="22"/>
      <c r="M10" s="22"/>
      <c r="N10" s="22"/>
    </row>
    <row r="11" spans="1:14" ht="15.6">
      <c r="A11" s="30" t="str">
        <v>Mount Jackson - Randolf</v>
      </c>
      <c r="B11" s="31" t="str">
        <v>VA</v>
      </c>
      <c r="C11" s="12"/>
      <c r="D11" s="19"/>
      <c r="E11" s="19" t="str">
        <f t="shared" si="4"/>
        <v/>
      </c>
      <c r="F11" s="20" t="str">
        <f t="shared" si="3"/>
        <v/>
      </c>
      <c r="G11" s="21"/>
      <c r="H11" s="21" t="str">
        <f t="shared" si="5"/>
        <v/>
      </c>
      <c r="I11" s="20" t="str">
        <f t="shared" si="6"/>
        <v/>
      </c>
      <c r="J11" s="48"/>
      <c r="K11" s="48"/>
      <c r="L11" s="22"/>
      <c r="M11" s="22"/>
      <c r="N11" s="22"/>
    </row>
    <row r="12" spans="1:14" ht="15.6">
      <c r="A12" s="32" t="str">
        <v>Callands Gretna - Monroe</v>
      </c>
      <c r="B12" s="29" t="str">
        <v>VA</v>
      </c>
      <c r="C12" s="25"/>
      <c r="D12" s="14"/>
      <c r="E12" s="14" t="str">
        <f t="shared" si="4"/>
        <v/>
      </c>
      <c r="F12" s="15" t="str">
        <f t="shared" si="3"/>
        <v/>
      </c>
      <c r="G12" s="16"/>
      <c r="H12" s="16" t="str">
        <f t="shared" si="5"/>
        <v/>
      </c>
      <c r="I12" s="17" t="str">
        <f t="shared" si="6"/>
        <v/>
      </c>
      <c r="J12" s="50"/>
      <c r="K12" s="50"/>
      <c r="L12" s="22"/>
      <c r="M12" s="22"/>
      <c r="N12" s="22"/>
    </row>
    <row r="13" spans="1:14" ht="15.6">
      <c r="A13" s="30" t="str">
        <v>Rockbridge Baths - Small Mouth Bass</v>
      </c>
      <c r="B13" s="31" t="str">
        <v>VA</v>
      </c>
      <c r="C13" s="12"/>
      <c r="D13" s="19"/>
      <c r="E13" s="19" t="str">
        <f t="shared" si="4"/>
        <v/>
      </c>
      <c r="F13" s="20" t="str">
        <f t="shared" si="3"/>
        <v/>
      </c>
      <c r="G13" s="21"/>
      <c r="H13" s="21" t="str">
        <f t="shared" si="5"/>
        <v/>
      </c>
      <c r="I13" s="20" t="str">
        <f t="shared" si="6"/>
        <v/>
      </c>
      <c r="J13" s="48"/>
      <c r="K13" s="48"/>
      <c r="L13" s="22"/>
      <c r="M13" s="22"/>
      <c r="N13" s="22"/>
    </row>
    <row r="14" spans="1:14">
      <c r="A14" s="22"/>
      <c r="B14" s="22"/>
      <c r="C14" s="22"/>
      <c r="D14" s="22"/>
      <c r="E14" s="22" t="str">
        <f t="shared" si="0"/>
        <v/>
      </c>
      <c r="F14" s="22" t="str">
        <f t="shared" ref="F14:F17" si="7">IFERROR(E14/D14, "")</f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</row>
    <row r="15" spans="1:14">
      <c r="A15" s="22"/>
      <c r="B15" s="22"/>
      <c r="C15" s="22"/>
      <c r="D15" s="22"/>
      <c r="E15" s="22" t="str">
        <f t="shared" si="0"/>
        <v/>
      </c>
      <c r="F15" s="22" t="str">
        <f t="shared" si="7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</row>
    <row r="16" spans="1:14">
      <c r="A16" s="22"/>
      <c r="B16" s="22"/>
      <c r="C16" s="22"/>
      <c r="D16" s="22"/>
      <c r="E16" s="22" t="str">
        <f t="shared" si="0"/>
        <v/>
      </c>
      <c r="F16" s="22" t="str">
        <f t="shared" si="7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</row>
    <row r="17" spans="1:14">
      <c r="A17" s="22"/>
      <c r="B17" s="22"/>
      <c r="C17" s="22"/>
      <c r="D17" s="22"/>
      <c r="E17" s="22" t="str">
        <f t="shared" si="0"/>
        <v/>
      </c>
      <c r="F17" s="22" t="str">
        <f t="shared" si="7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</row>
    <row r="18" spans="1:14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ht="14.45">
      <c r="A20" s="22"/>
      <c r="B20" s="33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3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3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3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3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3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3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3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3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3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3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3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3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3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3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3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3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3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3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3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3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3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3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3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3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3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3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3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3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3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3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3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3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3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3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3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3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3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3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3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3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3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3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3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3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3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3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3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3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3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3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3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3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3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3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3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3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3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3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3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3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3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3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3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3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3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3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3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3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3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3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3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3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3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3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3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3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3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3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3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3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3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3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3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3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3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3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3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3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3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3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3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3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3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3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3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3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3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3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3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3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3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3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3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3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3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3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3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3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3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3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3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3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3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3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3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3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3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3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3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3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3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3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3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3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3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3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3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3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3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3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3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3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3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3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3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3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3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3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3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3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3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3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3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3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3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3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3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3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3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3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3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3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3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3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3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3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3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3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3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3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3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3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3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3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3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3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3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3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3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3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3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3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3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3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3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3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3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3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3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3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3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3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3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3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3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3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3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3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3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3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3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3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3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3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3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3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3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3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3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3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3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3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3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3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3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3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3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3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3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3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3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3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3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3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3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3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3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3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3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3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3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3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3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3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3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3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3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3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3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3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3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3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3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3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3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3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3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3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3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3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3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3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3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3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3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3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3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3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3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3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3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3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3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3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3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3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3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3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3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3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3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3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3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3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3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3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3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3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3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3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3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3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3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3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3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3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3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3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3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3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3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3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3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3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3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3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3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3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3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3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3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3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3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3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3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3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3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3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3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3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3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3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3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3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3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3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3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3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3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3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3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3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3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3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3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3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3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3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3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3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3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conditionalFormatting sqref="F4:F13 I4:I13 F20:F100 I20:I100">
    <cfRule type="cellIs" dxfId="1" priority="1" stopIfTrue="1" operator="lessThanOrEqual">
      <formula>-0.1</formula>
    </cfRule>
    <cfRule type="expression" dxfId="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2025-02-10T09:42:22Z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de459e2a-2bc6-4866-836f-a6da970436d5</vt:lpwstr>
  </property>
  <property fmtid="{D5CDD505-2E9C-101B-9397-08002B2CF9AE}" pid="9" name="MSIP_Label_9d817c99-0b37-4a07-8277-96aa1f96b74b_ContentBits">
    <vt:lpwstr>0</vt:lpwstr>
  </property>
</Properties>
</file>