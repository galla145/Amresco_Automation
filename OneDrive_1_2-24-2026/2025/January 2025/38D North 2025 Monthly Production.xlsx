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ervice request file\"/>
    </mc:Choice>
  </mc:AlternateContent>
  <xr:revisionPtr revIDLastSave="0" documentId="13_ncr:1_{BEC539C8-5262-4498-A086-59D1DB4B146B}" xr6:coauthVersionLast="47" xr6:coauthVersionMax="47" xr10:uidLastSave="{00000000-0000-0000-0000-000000000000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72" l="1"/>
  <c r="F18" i="3"/>
  <c r="F19" i="3"/>
  <c r="F20" i="3"/>
  <c r="F21" i="3"/>
  <c r="F22" i="3"/>
  <c r="F23" i="3"/>
  <c r="F24" i="3"/>
  <c r="I17" i="3"/>
  <c r="I18" i="3"/>
  <c r="I19" i="3"/>
  <c r="I20" i="3"/>
  <c r="I21" i="3"/>
  <c r="I22" i="3"/>
  <c r="I23" i="3"/>
  <c r="I24" i="3"/>
  <c r="F17" i="72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I18" i="32"/>
  <c r="H18" i="32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F24" i="32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H18" i="31"/>
  <c r="I18" i="31" s="1"/>
  <c r="H19" i="31"/>
  <c r="I19" i="31" s="1"/>
  <c r="H20" i="31"/>
  <c r="I20" i="31"/>
  <c r="H21" i="31"/>
  <c r="I21" i="31" s="1"/>
  <c r="H22" i="31"/>
  <c r="I22" i="31" s="1"/>
  <c r="H23" i="31"/>
  <c r="I23" i="31" s="1"/>
  <c r="H24" i="31"/>
  <c r="I24" i="31" s="1"/>
  <c r="E18" i="31"/>
  <c r="F18" i="31" s="1"/>
  <c r="E19" i="31"/>
  <c r="F19" i="31" s="1"/>
  <c r="E20" i="31"/>
  <c r="F20" i="31"/>
  <c r="E21" i="31"/>
  <c r="F21" i="31"/>
  <c r="E22" i="31"/>
  <c r="F22" i="31" s="1"/>
  <c r="E23" i="31"/>
  <c r="F23" i="31" s="1"/>
  <c r="E24" i="31"/>
  <c r="F24" i="31"/>
  <c r="H18" i="28" l="1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F21" i="28"/>
  <c r="E18" i="28"/>
  <c r="F18" i="28" s="1"/>
  <c r="E19" i="28"/>
  <c r="F19" i="28" s="1"/>
  <c r="E20" i="28"/>
  <c r="F20" i="28" s="1"/>
  <c r="E21" i="28"/>
  <c r="E22" i="28"/>
  <c r="F22" i="28" s="1"/>
  <c r="E23" i="28"/>
  <c r="F23" i="28" s="1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23" i="27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H24" i="27"/>
  <c r="I24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I21" i="26"/>
  <c r="H18" i="26"/>
  <c r="I18" i="26" s="1"/>
  <c r="H19" i="26"/>
  <c r="I19" i="26" s="1"/>
  <c r="H20" i="26"/>
  <c r="I20" i="26" s="1"/>
  <c r="H21" i="26"/>
  <c r="H22" i="26"/>
  <c r="I22" i="26" s="1"/>
  <c r="H23" i="26"/>
  <c r="I23" i="26" s="1"/>
  <c r="H24" i="26"/>
  <c r="I24" i="26" s="1"/>
  <c r="F19" i="26"/>
  <c r="E18" i="26"/>
  <c r="F18" i="26" s="1"/>
  <c r="E19" i="26"/>
  <c r="E20" i="26"/>
  <c r="F20" i="26" s="1"/>
  <c r="E21" i="26"/>
  <c r="F21" i="26" s="1"/>
  <c r="E22" i="26"/>
  <c r="F22" i="26" s="1"/>
  <c r="E23" i="26"/>
  <c r="F23" i="26" s="1"/>
  <c r="E24" i="26"/>
  <c r="F24" i="26" s="1"/>
  <c r="I19" i="19"/>
  <c r="I20" i="19"/>
  <c r="I21" i="19"/>
  <c r="H18" i="19"/>
  <c r="I18" i="19" s="1"/>
  <c r="H19" i="19"/>
  <c r="H20" i="19"/>
  <c r="H21" i="19"/>
  <c r="H22" i="19"/>
  <c r="I22" i="19" s="1"/>
  <c r="H23" i="19"/>
  <c r="I23" i="19" s="1"/>
  <c r="H24" i="19"/>
  <c r="I24" i="19" s="1"/>
  <c r="F18" i="19"/>
  <c r="F19" i="19"/>
  <c r="F22" i="19"/>
  <c r="E18" i="19"/>
  <c r="E19" i="19"/>
  <c r="E20" i="19"/>
  <c r="F20" i="19" s="1"/>
  <c r="E21" i="19"/>
  <c r="F21" i="19" s="1"/>
  <c r="E22" i="19"/>
  <c r="E23" i="19"/>
  <c r="F23" i="19" s="1"/>
  <c r="E24" i="19"/>
  <c r="F24" i="19" s="1"/>
  <c r="I18" i="20"/>
  <c r="I19" i="20"/>
  <c r="I21" i="20"/>
  <c r="F20" i="20"/>
  <c r="F23" i="20"/>
  <c r="F24" i="20"/>
  <c r="H18" i="20"/>
  <c r="H19" i="20"/>
  <c r="H20" i="20"/>
  <c r="I20" i="20" s="1"/>
  <c r="H21" i="20"/>
  <c r="H22" i="20"/>
  <c r="I22" i="20" s="1"/>
  <c r="H23" i="20"/>
  <c r="I23" i="20" s="1"/>
  <c r="H24" i="20"/>
  <c r="I24" i="20" s="1"/>
  <c r="E18" i="20"/>
  <c r="F18" i="20" s="1"/>
  <c r="E19" i="20"/>
  <c r="F19" i="20" s="1"/>
  <c r="E20" i="20"/>
  <c r="E21" i="20"/>
  <c r="F21" i="20" s="1"/>
  <c r="E22" i="20"/>
  <c r="F22" i="20" s="1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8" i="21"/>
  <c r="I24" i="21"/>
  <c r="H18" i="2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F22" i="21"/>
  <c r="F23" i="21"/>
  <c r="E18" i="21"/>
  <c r="F18" i="21" s="1"/>
  <c r="E19" i="21"/>
  <c r="F19" i="21" s="1"/>
  <c r="E20" i="21"/>
  <c r="F20" i="21" s="1"/>
  <c r="E21" i="21"/>
  <c r="F21" i="21" s="1"/>
  <c r="E22" i="21"/>
  <c r="E23" i="21"/>
  <c r="E24" i="21"/>
  <c r="F24" i="21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24" i="3"/>
  <c r="H18" i="3"/>
  <c r="H19" i="3"/>
  <c r="H20" i="3"/>
  <c r="H21" i="3"/>
  <c r="H22" i="3"/>
  <c r="H23" i="3"/>
  <c r="E18" i="3"/>
  <c r="E19" i="3"/>
  <c r="E20" i="3"/>
  <c r="E21" i="3"/>
  <c r="E22" i="3"/>
  <c r="E23" i="3"/>
  <c r="E24" i="3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C19" i="34" s="1"/>
  <c r="D19" i="30"/>
  <c r="D19" i="34" s="1"/>
  <c r="H19" i="30"/>
  <c r="I19" i="30" s="1"/>
  <c r="C20" i="30"/>
  <c r="D20" i="30"/>
  <c r="H20" i="30"/>
  <c r="I20" i="30" s="1"/>
  <c r="C21" i="30"/>
  <c r="D21" i="30"/>
  <c r="H21" i="30"/>
  <c r="I21" i="30" s="1"/>
  <c r="C22" i="30"/>
  <c r="D22" i="30"/>
  <c r="H22" i="30"/>
  <c r="I22" i="30" s="1"/>
  <c r="C23" i="30"/>
  <c r="C23" i="34" s="1"/>
  <c r="D23" i="30"/>
  <c r="D23" i="34" s="1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9" i="72"/>
  <c r="H20" i="72"/>
  <c r="H21" i="72"/>
  <c r="I21" i="72" s="1"/>
  <c r="H22" i="72"/>
  <c r="H23" i="72"/>
  <c r="I23" i="72" s="1"/>
  <c r="H24" i="72"/>
  <c r="I24" i="72" s="1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F17" i="33"/>
  <c r="H16" i="33"/>
  <c r="I16" i="33" s="1"/>
  <c r="E16" i="33"/>
  <c r="F16" i="33" s="1"/>
  <c r="H17" i="32"/>
  <c r="I17" i="32" s="1"/>
  <c r="F17" i="32"/>
  <c r="H16" i="32"/>
  <c r="I16" i="32" s="1"/>
  <c r="E16" i="32"/>
  <c r="F16" i="32" s="1"/>
  <c r="H17" i="31"/>
  <c r="I17" i="31" s="1"/>
  <c r="F17" i="31"/>
  <c r="H16" i="31"/>
  <c r="I16" i="31" s="1"/>
  <c r="E16" i="31"/>
  <c r="F16" i="31" s="1"/>
  <c r="H17" i="28"/>
  <c r="I17" i="28" s="1"/>
  <c r="F17" i="28"/>
  <c r="H16" i="28"/>
  <c r="I16" i="28" s="1"/>
  <c r="E16" i="28"/>
  <c r="F16" i="28" s="1"/>
  <c r="H17" i="27"/>
  <c r="I17" i="27" s="1"/>
  <c r="F17" i="27"/>
  <c r="H16" i="27"/>
  <c r="I16" i="27" s="1"/>
  <c r="E16" i="27"/>
  <c r="F16" i="27" s="1"/>
  <c r="H17" i="26"/>
  <c r="I17" i="26" s="1"/>
  <c r="F17" i="26"/>
  <c r="H16" i="26"/>
  <c r="I16" i="26" s="1"/>
  <c r="E16" i="26"/>
  <c r="F16" i="26" s="1"/>
  <c r="H17" i="19"/>
  <c r="I17" i="19" s="1"/>
  <c r="F17" i="19"/>
  <c r="H16" i="19"/>
  <c r="I16" i="19" s="1"/>
  <c r="E16" i="19"/>
  <c r="F16" i="19" s="1"/>
  <c r="H17" i="20"/>
  <c r="I17" i="20" s="1"/>
  <c r="F17" i="20"/>
  <c r="H16" i="20"/>
  <c r="I16" i="20" s="1"/>
  <c r="E16" i="20"/>
  <c r="F16" i="20" s="1"/>
  <c r="H17" i="21"/>
  <c r="I17" i="21" s="1"/>
  <c r="F17" i="21"/>
  <c r="H16" i="21"/>
  <c r="I16" i="21" s="1"/>
  <c r="E16" i="21"/>
  <c r="F16" i="21" s="1"/>
  <c r="H17" i="4"/>
  <c r="I17" i="4" s="1"/>
  <c r="F17" i="4"/>
  <c r="H16" i="4"/>
  <c r="I16" i="4" s="1"/>
  <c r="E16" i="4"/>
  <c r="F16" i="4" s="1"/>
  <c r="E16" i="3"/>
  <c r="F16" i="3"/>
  <c r="H16" i="3"/>
  <c r="I16" i="3"/>
  <c r="F17" i="3"/>
  <c r="H17" i="3"/>
  <c r="E16" i="72"/>
  <c r="F16" i="72" s="1"/>
  <c r="H16" i="72"/>
  <c r="I16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C14" i="34" s="1"/>
  <c r="D13" i="29"/>
  <c r="C13" i="29"/>
  <c r="C13" i="34" s="1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24" i="34" l="1"/>
  <c r="H22" i="1"/>
  <c r="I22" i="72"/>
  <c r="H20" i="1"/>
  <c r="I20" i="72"/>
  <c r="H19" i="1"/>
  <c r="I19" i="72"/>
  <c r="H18" i="1"/>
  <c r="I18" i="72"/>
  <c r="C7" i="34"/>
  <c r="D5" i="34"/>
  <c r="C24" i="34"/>
  <c r="E24" i="34" s="1"/>
  <c r="F24" i="34" s="1"/>
  <c r="C20" i="34"/>
  <c r="C21" i="34"/>
  <c r="D11" i="34"/>
  <c r="C6" i="34"/>
  <c r="C12" i="34"/>
  <c r="E12" i="34" s="1"/>
  <c r="F12" i="34" s="1"/>
  <c r="C22" i="34"/>
  <c r="E22" i="34" s="1"/>
  <c r="F22" i="34" s="1"/>
  <c r="C18" i="34"/>
  <c r="D14" i="34"/>
  <c r="E14" i="34" s="1"/>
  <c r="F14" i="34" s="1"/>
  <c r="D21" i="34"/>
  <c r="D12" i="34"/>
  <c r="C15" i="34"/>
  <c r="D18" i="34"/>
  <c r="D9" i="34"/>
  <c r="E10" i="30"/>
  <c r="F10" i="30" s="1"/>
  <c r="C8" i="34"/>
  <c r="D22" i="34"/>
  <c r="E20" i="30"/>
  <c r="F20" i="30" s="1"/>
  <c r="E11" i="30"/>
  <c r="F11" i="30" s="1"/>
  <c r="E15" i="30"/>
  <c r="F15" i="30" s="1"/>
  <c r="E17" i="30"/>
  <c r="F17" i="30" s="1"/>
  <c r="D17" i="34"/>
  <c r="D15" i="34"/>
  <c r="D13" i="34"/>
  <c r="E13" i="34" s="1"/>
  <c r="F13" i="34" s="1"/>
  <c r="D10" i="34"/>
  <c r="C10" i="34"/>
  <c r="E10" i="34" s="1"/>
  <c r="F10" i="34" s="1"/>
  <c r="D6" i="34"/>
  <c r="D8" i="34"/>
  <c r="D7" i="34"/>
  <c r="C5" i="34"/>
  <c r="E5" i="34" s="1"/>
  <c r="F5" i="34" s="1"/>
  <c r="H19" i="34"/>
  <c r="I19" i="34" s="1"/>
  <c r="H20" i="34"/>
  <c r="H18" i="34"/>
  <c r="I18" i="34" s="1"/>
  <c r="H22" i="34"/>
  <c r="I22" i="34" s="1"/>
  <c r="E19" i="34"/>
  <c r="F19" i="34" s="1"/>
  <c r="D16" i="34"/>
  <c r="E8" i="30"/>
  <c r="F8" i="30" s="1"/>
  <c r="E12" i="30"/>
  <c r="F12" i="30" s="1"/>
  <c r="E23" i="34"/>
  <c r="F23" i="34" s="1"/>
  <c r="E13" i="30"/>
  <c r="F13" i="30" s="1"/>
  <c r="D20" i="34"/>
  <c r="C9" i="34"/>
  <c r="E9" i="34" s="1"/>
  <c r="F9" i="34" s="1"/>
  <c r="E16" i="30"/>
  <c r="F16" i="30" s="1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I4" i="18" s="1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H24" i="1"/>
  <c r="I24" i="1" s="1"/>
  <c r="H23" i="1"/>
  <c r="I23" i="1" s="1"/>
  <c r="H21" i="1"/>
  <c r="I21" i="1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7" i="1"/>
  <c r="F17" i="1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1" i="34" l="1"/>
  <c r="F21" i="34" s="1"/>
  <c r="E20" i="34"/>
  <c r="F20" i="34" s="1"/>
  <c r="E17" i="34"/>
  <c r="F17" i="34" s="1"/>
  <c r="E11" i="34"/>
  <c r="F11" i="34" s="1"/>
  <c r="E15" i="34"/>
  <c r="F15" i="34" s="1"/>
  <c r="E8" i="34"/>
  <c r="F8" i="34" s="1"/>
  <c r="E7" i="34"/>
  <c r="F7" i="34" s="1"/>
  <c r="E18" i="34"/>
  <c r="F18" i="34" s="1"/>
  <c r="H21" i="34"/>
  <c r="I21" i="34" s="1"/>
  <c r="H24" i="34"/>
  <c r="I24" i="34" s="1"/>
  <c r="H23" i="34"/>
  <c r="I23" i="34" s="1"/>
  <c r="D2" i="34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<sst xmlns="http://schemas.openxmlformats.org/spreadsheetml/2006/main" count="366" uniqueCount="100">
  <si>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</si>
  <si>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</si>
  <si>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</si>
  <si>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</si>
  <si>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</si>
  <si>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</si>
  <si>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</si>
  <si>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</si>
  <si>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</si>
  <si>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</si>
  <si>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</si>
  <si>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</si>
  <si>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</si>
  <si>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</si>
  <si>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</si>
  <si>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</si>
  <si>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</si>
  <si>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</si>
  <si>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</si>
  <si>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</si>
  <si>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</si>
  <si>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</si>
  <si>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PAD 2 inverters and Meter 2 tripped offline at 13:10 on 01/07 due to missing Phase A voltage. The technician found the main breaker open and closed it, restoring PAD 2 inverters at 09:00 on 01/08.
Additionally, Inverter 19 lost communication at 13:00 on 01/07 due to a thermal event in the power head control board. It was sent for RMA. A spare inverter was installed from storage, bringing the system back online at 13:15 on 01/08.
</t>
  </si>
  <si>
    <t>1.SR095378</t>
  </si>
  <si>
    <t>1.Site was taken offline from 9:00AM to 9:45AM on 01/27 as technician was onsite to collect DGA samples.</t>
  </si>
  <si>
    <t>1.SR095405</t>
  </si>
  <si>
    <t>1. Inverter 4 tripped offline at 07:45 AM on 01/06. The technician power cycled it, restoring operation at 13:00.
2. The site tripped offline at 22:00 on 01/29 and was restored at 07:00 on 01/30 after remotely closing the recloser.</t>
  </si>
  <si>
    <t>1.SR095329
2.SR096129</t>
  </si>
  <si>
    <t>SR096129</t>
  </si>
  <si>
    <t>1. The site tripped offline at 14:00 on 01/24 due to a utility outage. After power was restored, the technician re-energized the site, bringing it back online at 08:45 on 01/25.</t>
  </si>
  <si>
    <t>1.SR095966</t>
  </si>
  <si>
    <t>1. The site tripped offline at 06:45 AM and was restored at 08:30 AM on 01/04 after a remote recloser operation.
2. Inverter 2, Module 4 tripped offline at 10:15 on 01/26. PE replaced the fuse and re-energized the inverter. It was back online at 11:00 on 01/27.</t>
  </si>
  <si>
    <t>1.SR095306
2.SR095988</t>
  </si>
  <si>
    <t>SR095988</t>
  </si>
  <si>
    <t xml:space="preserve">1. The site was taken offline from 11:00 AM to 12:00 PM on 01/09 due to technicians was onsite to collect a DGA sample. </t>
  </si>
  <si>
    <t>1.SR095426</t>
  </si>
  <si>
    <t>1.Inverters tripped offline at 8:45AM on 01/08 due to Y3 bushing on the transformer has a leak and B phase BON fuse was blown and back online at 10:30AM on 01/09 after INCOM has been replaced the Bayonet Fuse and re-energized.
2. Inverter 2 did not start production on 01/26 due to a soft shutdown fault. The technician found the keypad bulging due to water and ice intrusion. It was replaced, and the inverter was re-energized and back online at 12:15 PM on the same day.</t>
  </si>
  <si>
    <t>1.SR095387
2.SR095983</t>
  </si>
  <si>
    <t>SR095983</t>
  </si>
  <si>
    <t>1. The site was taken offline from 10:45 AM to 12:00 PM on 01/09 as a technician was onsite to collect DGA samples</t>
  </si>
  <si>
    <t>1. SR095427</t>
  </si>
  <si>
    <t>1.Site was taken offline from 8:10 AM to 9:10 AM on 01/15 due to a technician checking in to replace the capacitors and SRV board in Inverter A.</t>
  </si>
  <si>
    <t>1.SR092409</t>
  </si>
  <si>
    <t>1.Site was tripped offline due to SEL relay open at 02:45 AM on 01/02. The technician stated that a utility pole was leaning on a tree. After being re-energized, the site was back online at 10:15 AM on 01/08.</t>
  </si>
  <si>
    <t>1.SR095216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</si>
  <si>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</si>
  <si>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</si>
  <si>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</si>
  <si>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</si>
  <si>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</si>
  <si>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</si>
  <si>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</si>
  <si>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</si>
  <si>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</si>
  <si>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</si>
  <si>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 xml:space="preserve"> </t>
  </si>
  <si>
    <t>July Actual v. Expected</t>
  </si>
  <si>
    <t>July Actual v. Forecasted</t>
  </si>
  <si>
    <t>August Actual v. Expected</t>
  </si>
  <si>
    <t>August Actual v. Forecasted</t>
  </si>
  <si>
    <t>s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</si>
  <si>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</si>
  <si>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</si>
  <si>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</si>
  <si>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</si>
  <si>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</si>
  <si>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</si>
  <si>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</si>
  <si>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</si>
  <si>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          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</si>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</sst>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name val="Calibri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41" fillId="0" borderId="0" applyNumberFormat="0" applyFill="0" applyBorder="0" applyAlignment="0" applyProtection="0"/>
  </cellStyleXfs>
  <cellXfs count="9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28" fillId="0" borderId="1" xfId="0" applyNumberFormat="1" applyFont="1" applyBorder="1" applyAlignment="1">
      <alignment wrapText="1"/>
    </xf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wrapText="1"/>
    </xf>
    <xf numFmtId="49" fontId="24" fillId="0" borderId="1" xfId="0" applyNumberFormat="1" applyFont="1" applyBorder="1" applyAlignment="1">
      <alignment vertical="center" wrapText="1"/>
    </xf>
    <xf numFmtId="49" fontId="39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49" fontId="40" fillId="38" borderId="1" xfId="2" applyNumberFormat="1" applyFont="1" applyFill="1" applyBorder="1" applyAlignment="1">
      <alignment vertical="top" wrapText="1"/>
    </xf>
    <xf numFmtId="0" fontId="40" fillId="0" borderId="0" xfId="0" applyFont="1"/>
    <xf numFmtId="0" fontId="37" fillId="45" borderId="1" xfId="0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41" fillId="38" borderId="1" xfId="45" applyNumberFormat="1" applyFill="1" applyBorder="1" applyAlignment="1">
      <alignment horizontal="left" vertical="top" wrapText="1"/>
    </xf>
    <xf numFmtId="49" fontId="41" fillId="0" borderId="1" xfId="45" applyNumberFormat="1" applyBorder="1" applyAlignment="1">
      <alignment horizontal="left" vertical="center" wrapText="1"/>
    </xf>
    <xf numFmtId="49" fontId="41" fillId="0" borderId="1" xfId="45" applyNumberFormat="1" applyBorder="1" applyAlignment="1">
      <alignment horizontal="left" vertical="top" wrapText="1"/>
    </xf>
    <xf numFmtId="0" fontId="41" fillId="0" borderId="0" xfId="45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426" TargetMode="External"/><Relationship Id="rId13" Type="http://schemas.openxmlformats.org/officeDocument/2006/relationships/hyperlink" Target="https://us3.assetplanner.com/service_request?ID=095216" TargetMode="External"/><Relationship Id="rId3" Type="http://schemas.openxmlformats.org/officeDocument/2006/relationships/hyperlink" Target="https://us3.assetplanner.com/service_request?ID=095329" TargetMode="External"/><Relationship Id="rId7" Type="http://schemas.openxmlformats.org/officeDocument/2006/relationships/hyperlink" Target="https://us3.assetplanner.com/service_request?ID=095988" TargetMode="External"/><Relationship Id="rId12" Type="http://schemas.openxmlformats.org/officeDocument/2006/relationships/hyperlink" Target="https://us3.assetplanner.com/service_request?ID=092409" TargetMode="External"/><Relationship Id="rId2" Type="http://schemas.openxmlformats.org/officeDocument/2006/relationships/hyperlink" Target="https://us3.assetplanner.com/service_request?ID=095405" TargetMode="External"/><Relationship Id="rId1" Type="http://schemas.openxmlformats.org/officeDocument/2006/relationships/hyperlink" Target="https://us3.assetplanner.com/service_request?ID=095378" TargetMode="External"/><Relationship Id="rId6" Type="http://schemas.openxmlformats.org/officeDocument/2006/relationships/hyperlink" Target="https://us3.assetplanner.com/service_request?ID=095306" TargetMode="External"/><Relationship Id="rId11" Type="http://schemas.openxmlformats.org/officeDocument/2006/relationships/hyperlink" Target="https://us3.assetplanner.com/service_request?ID=095427" TargetMode="External"/><Relationship Id="rId5" Type="http://schemas.openxmlformats.org/officeDocument/2006/relationships/hyperlink" Target="https://us3.assetplanner.com/service_request?ID=095966" TargetMode="External"/><Relationship Id="rId10" Type="http://schemas.openxmlformats.org/officeDocument/2006/relationships/hyperlink" Target="https://us3.assetplanner.com/service_request?ID=095983" TargetMode="External"/><Relationship Id="rId4" Type="http://schemas.openxmlformats.org/officeDocument/2006/relationships/hyperlink" Target="https://us3.assetplanner.com/service_request?ID=096129" TargetMode="External"/><Relationship Id="rId9" Type="http://schemas.openxmlformats.org/officeDocument/2006/relationships/hyperlink" Target="https://us3.assetplanner.com/service_request?ID=095387" TargetMode="External"/><Relationship Id="rId14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K20" sqref="K2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91" t="str" cm="1">
        <f t="array" ref="A1">portfolio</f>
        <v>38 DN</v>
      </c>
      <c r="B1" s="91"/>
      <c r="C1" s="91"/>
      <c r="D1" s="92" t="s">
        <v>0</v>
      </c>
      <c r="E1" s="92"/>
      <c r="F1" s="92"/>
      <c r="G1" s="90" t="s">
        <v>1</v>
      </c>
      <c r="H1" s="90"/>
      <c r="I1" s="90"/>
    </row>
    <row r="2" spans="1:12" ht="19.5" customHeight="1">
      <c r="A2" s="93" t="s">
        <v>2</v>
      </c>
      <c r="B2" s="93"/>
      <c r="C2" s="5">
        <f>SUM(C4:C99)</f>
        <v>1879993.2466777409</v>
      </c>
      <c r="D2" s="5">
        <f>SUM(D4:D99)</f>
        <v>3100330.8500000006</v>
      </c>
      <c r="E2" s="5">
        <f>C2-D2</f>
        <v>-1220337.6033222596</v>
      </c>
      <c r="F2" s="6">
        <f>IFERROR(E2/D2, 0)</f>
        <v>-0.39361528248582223</v>
      </c>
      <c r="G2" s="5">
        <f>SUM(G4:G99)</f>
        <v>2316666.0300000003</v>
      </c>
      <c r="H2" s="7">
        <f>C2-G2</f>
        <v>-436672.78332225932</v>
      </c>
      <c r="I2" s="6">
        <f>IFERROR(H2/G2, 0)</f>
        <v>-0.18849190071745442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129016</v>
      </c>
      <c r="D4" s="37">
        <f>SUM('1st Qtr'!D4, '2nd Qtr'!D4, '3rd Qtr'!D4, '4th Qtr'!D4)</f>
        <v>74840.77</v>
      </c>
      <c r="E4" s="37">
        <f>IF(AND(ISNUMBER(C4),ISNUMBER(D4)), C4-D4, "")</f>
        <v>54175.229999999996</v>
      </c>
      <c r="F4" s="38">
        <f>IFERROR(E4/D4, "")</f>
        <v>0.72387323112789981</v>
      </c>
      <c r="G4" s="39">
        <f>SUM('1st Qtr'!G4, '2nd Qtr'!G4, '3rd Qtr'!G4, '4th Qtr'!G4)</f>
        <v>144521</v>
      </c>
      <c r="H4" s="39">
        <f>SUM('1st Qtr'!H4, '2nd Qtr'!H4, '3rd Qtr'!H4, '4th Qtr'!H4)</f>
        <v>-15505</v>
      </c>
      <c r="I4" s="40">
        <f>IFERROR(H4/G4, "")</f>
        <v>-0.10728544640571266</v>
      </c>
    </row>
    <row r="5" spans="1:12" ht="15.75">
      <c r="A5" s="41" t="str">
        <v>Barton Acres</v>
      </c>
      <c r="B5" s="42" t="str">
        <v>MA</v>
      </c>
      <c r="C5" s="43">
        <f>SUM('1st Qtr'!C5, '2nd Qtr'!C5, '3rd Qtr'!C5, '4th Qtr'!C5)</f>
        <v>56999</v>
      </c>
      <c r="D5" s="44">
        <f>SUM('1st Qtr'!D5, '2nd Qtr'!D5, '3rd Qtr'!D5, '4th Qtr'!D5)</f>
        <v>142857.9</v>
      </c>
      <c r="E5" s="44">
        <f t="shared" ref="E5:E15" si="0">IF(AND(ISNUMBER(C5),ISNUMBER(D5)), C5-D5, "")</f>
        <v>-85858.9</v>
      </c>
      <c r="F5" s="45">
        <f>IFERROR(E5/D5, "")</f>
        <v>-0.60100911465169238</v>
      </c>
      <c r="G5" s="46">
        <f>SUM('1st Qtr'!G5, '2nd Qtr'!G5, '3rd Qtr'!G5, '4th Qtr'!G5)</f>
        <v>69105.149999999994</v>
      </c>
      <c r="H5" s="72">
        <f>SUM('1st Qtr'!H5, '2nd Qtr'!H5, '3rd Qtr'!H5, '4th Qtr'!H5)</f>
        <v>-12106.149999999994</v>
      </c>
      <c r="I5" s="45">
        <f>IFERROR(H5/G5, "")</f>
        <v>-0.1751844833561608</v>
      </c>
      <c r="K5" s="73"/>
    </row>
    <row r="6" spans="1:12" ht="15.75">
      <c r="A6" s="34" t="str">
        <v>Bowden</v>
      </c>
      <c r="B6" s="35" t="str">
        <v>MA</v>
      </c>
      <c r="C6" s="36">
        <f>SUM('1st Qtr'!C6, '2nd Qtr'!C6, '3rd Qtr'!C6, '4th Qtr'!C6)</f>
        <v>138818</v>
      </c>
      <c r="D6" s="37">
        <f>SUM('1st Qtr'!D6, '2nd Qtr'!D6, '3rd Qtr'!D6, '4th Qtr'!D6)</f>
        <v>194548.5</v>
      </c>
      <c r="E6" s="37">
        <f t="shared" si="0"/>
        <v>-55730.5</v>
      </c>
      <c r="F6" s="38">
        <f t="shared" ref="F6:F15" si="1">IFERROR(E6/D6, "")</f>
        <v>-0.28646070260115086</v>
      </c>
      <c r="G6" s="39">
        <f>SUM('1st Qtr'!G6, '2nd Qtr'!G6, '3rd Qtr'!G6, '4th Qtr'!G6)</f>
        <v>166837.29999999999</v>
      </c>
      <c r="H6" s="39">
        <f>SUM('1st Qtr'!H6, '2nd Qtr'!H6, '3rd Qtr'!H6, '4th Qtr'!H6)</f>
        <v>-28019.299999999988</v>
      </c>
      <c r="I6" s="40">
        <f t="shared" ref="I6:I15" si="2">IFERROR(H6/G6, "")</f>
        <v>-0.16794385907707682</v>
      </c>
    </row>
    <row r="7" spans="1:12" ht="15.75">
      <c r="A7" s="41" t="str">
        <v>Blair Wire Village</v>
      </c>
      <c r="B7" s="42" t="str">
        <v>MA</v>
      </c>
      <c r="C7" s="43">
        <f>SUM('1st Qtr'!C7, '2nd Qtr'!C7, '3rd Qtr'!C7, '4th Qtr'!C7)</f>
        <v>67575</v>
      </c>
      <c r="D7" s="44">
        <f>SUM('1st Qtr'!D7, '2nd Qtr'!D7, '3rd Qtr'!D7, '4th Qtr'!D7)</f>
        <v>148603.1</v>
      </c>
      <c r="E7" s="44">
        <f t="shared" si="0"/>
        <v>-81028.100000000006</v>
      </c>
      <c r="F7" s="45">
        <f t="shared" si="1"/>
        <v>-0.54526520644589516</v>
      </c>
      <c r="G7" s="46">
        <f>SUM('1st Qtr'!G7, '2nd Qtr'!G7, '3rd Qtr'!G7, '4th Qtr'!G7)</f>
        <v>82695.73</v>
      </c>
      <c r="H7" s="72">
        <f>SUM('1st Qtr'!H7, '2nd Qtr'!H7, '3rd Qtr'!H7, '4th Qtr'!H7)</f>
        <v>-15120.729999999996</v>
      </c>
      <c r="I7" s="45">
        <f t="shared" si="2"/>
        <v>-0.18284777218847933</v>
      </c>
      <c r="L7" s="73"/>
    </row>
    <row r="8" spans="1:12" ht="15.75">
      <c r="A8" s="34" t="str">
        <v>Boutilier</v>
      </c>
      <c r="B8" s="35" t="str">
        <v>MA</v>
      </c>
      <c r="C8" s="36">
        <f>SUM('1st Qtr'!C8, '2nd Qtr'!C8, '3rd Qtr'!C8, '4th Qtr'!C8)</f>
        <v>197770</v>
      </c>
      <c r="D8" s="37">
        <f>SUM('1st Qtr'!D8, '2nd Qtr'!D8, '3rd Qtr'!D8, '4th Qtr'!D8)</f>
        <v>316212.5</v>
      </c>
      <c r="E8" s="37">
        <f t="shared" si="0"/>
        <v>-118442.5</v>
      </c>
      <c r="F8" s="38">
        <f t="shared" si="1"/>
        <v>-0.37456615408941774</v>
      </c>
      <c r="G8" s="39">
        <f>SUM('1st Qtr'!G8, '2nd Qtr'!G8, '3rd Qtr'!G8, '4th Qtr'!G8)</f>
        <v>189703.5</v>
      </c>
      <c r="H8" s="39">
        <f>SUM('1st Qtr'!H8, '2nd Qtr'!H8, '3rd Qtr'!H8, '4th Qtr'!H8)</f>
        <v>8066.5</v>
      </c>
      <c r="I8" s="40">
        <f t="shared" si="2"/>
        <v>4.2521619263745793E-2</v>
      </c>
    </row>
    <row r="9" spans="1:12" ht="15.75">
      <c r="A9" s="41" t="str">
        <v>Cherry Valley</v>
      </c>
      <c r="B9" s="42" t="str">
        <v>MA</v>
      </c>
      <c r="C9" s="43">
        <f>SUM('1st Qtr'!C9, '2nd Qtr'!C9, '3rd Qtr'!C9, '4th Qtr'!C9)</f>
        <v>62784</v>
      </c>
      <c r="D9" s="44">
        <f>SUM('1st Qtr'!D9, '2nd Qtr'!D9, '3rd Qtr'!D9, '4th Qtr'!D9)</f>
        <v>141889.9</v>
      </c>
      <c r="E9" s="44">
        <f t="shared" si="0"/>
        <v>-79105.899999999994</v>
      </c>
      <c r="F9" s="45">
        <f t="shared" si="1"/>
        <v>-0.55751607408279236</v>
      </c>
      <c r="G9" s="46">
        <f>SUM('1st Qtr'!G9, '2nd Qtr'!G9, '3rd Qtr'!G9, '4th Qtr'!G9)</f>
        <v>77483</v>
      </c>
      <c r="H9" s="72">
        <f>SUM('1st Qtr'!H9, '2nd Qtr'!H9, '3rd Qtr'!H9, '4th Qtr'!H9)</f>
        <v>-14699</v>
      </c>
      <c r="I9" s="45">
        <f t="shared" si="2"/>
        <v>-0.18970612908638024</v>
      </c>
      <c r="K9" s="74"/>
    </row>
    <row r="10" spans="1:12" ht="15.75">
      <c r="A10" s="34" t="str">
        <v>Cohasse</v>
      </c>
      <c r="B10" s="35" t="str">
        <v>MA</v>
      </c>
      <c r="C10" s="36">
        <f>SUM('1st Qtr'!C10, '2nd Qtr'!C10, '3rd Qtr'!C10, '4th Qtr'!C10)</f>
        <v>68246</v>
      </c>
      <c r="D10" s="37">
        <f>SUM('1st Qtr'!D10, '2nd Qtr'!D10, '3rd Qtr'!D10, '4th Qtr'!D10)</f>
        <v>140408.6</v>
      </c>
      <c r="E10" s="37">
        <f t="shared" si="0"/>
        <v>-72162.600000000006</v>
      </c>
      <c r="F10" s="38">
        <f t="shared" si="1"/>
        <v>-0.51394715138531399</v>
      </c>
      <c r="G10" s="39">
        <f>SUM('1st Qtr'!G10, '2nd Qtr'!G10, '3rd Qtr'!G10, '4th Qtr'!G10)</f>
        <v>113608.5</v>
      </c>
      <c r="H10" s="39">
        <f>SUM('1st Qtr'!H10, '2nd Qtr'!H10, '3rd Qtr'!H10, '4th Qtr'!H10)</f>
        <v>-45362.5</v>
      </c>
      <c r="I10" s="40">
        <f t="shared" si="2"/>
        <v>-0.39928790539440273</v>
      </c>
    </row>
    <row r="11" spans="1:12" ht="15.75">
      <c r="A11" s="41" t="str">
        <v>ISM Dighton Solar 2</v>
      </c>
      <c r="B11" s="42" t="str">
        <v>MA</v>
      </c>
      <c r="C11" s="43">
        <f>SUM('1st Qtr'!C11, '2nd Qtr'!C11, '3rd Qtr'!C11, '4th Qtr'!C11)</f>
        <v>216783</v>
      </c>
      <c r="D11" s="44">
        <f>SUM('1st Qtr'!D11, '2nd Qtr'!D11, '3rd Qtr'!D11, '4th Qtr'!D11)</f>
        <v>272074.2</v>
      </c>
      <c r="E11" s="44">
        <f t="shared" si="0"/>
        <v>-55291.200000000012</v>
      </c>
      <c r="F11" s="45">
        <f t="shared" si="1"/>
        <v>-0.20322103308582737</v>
      </c>
      <c r="G11" s="46">
        <f>SUM('1st Qtr'!G11, '2nd Qtr'!G11, '3rd Qtr'!G11, '4th Qtr'!G11)</f>
        <v>194872.6</v>
      </c>
      <c r="H11" s="72">
        <f>SUM('1st Qtr'!H11, '2nd Qtr'!H11, '3rd Qtr'!H11, '4th Qtr'!H11)</f>
        <v>21910.399999999994</v>
      </c>
      <c r="I11" s="45">
        <f t="shared" si="2"/>
        <v>0.11243448283647878</v>
      </c>
    </row>
    <row r="12" spans="1:12" ht="15.75">
      <c r="A12" s="34" t="str">
        <v>Dudley River 1</v>
      </c>
      <c r="B12" s="35" t="str">
        <v>MA</v>
      </c>
      <c r="C12" s="36">
        <f>SUM('1st Qtr'!C12, '2nd Qtr'!C12, '3rd Qtr'!C12, '4th Qtr'!C12)</f>
        <v>81072</v>
      </c>
      <c r="D12" s="37">
        <f>SUM('1st Qtr'!D12, '2nd Qtr'!D12, '3rd Qtr'!D12, '4th Qtr'!D12)</f>
        <v>112668.6</v>
      </c>
      <c r="E12" s="37">
        <f t="shared" si="0"/>
        <v>-31596.600000000006</v>
      </c>
      <c r="F12" s="38">
        <f t="shared" si="1"/>
        <v>-0.28043838300999574</v>
      </c>
      <c r="G12" s="39">
        <f>SUM('1st Qtr'!G12, '2nd Qtr'!G12, '3rd Qtr'!G12, '4th Qtr'!G12)</f>
        <v>83342.55</v>
      </c>
      <c r="H12" s="39">
        <f>SUM('1st Qtr'!H12, '2nd Qtr'!H12, '3rd Qtr'!H12, '4th Qtr'!H12)</f>
        <v>-2270.5500000000029</v>
      </c>
      <c r="I12" s="40">
        <f t="shared" si="2"/>
        <v>-2.7243586859293397E-2</v>
      </c>
    </row>
    <row r="13" spans="1:12" ht="15.75">
      <c r="A13" s="41" t="str">
        <v>Dudley River 2</v>
      </c>
      <c r="B13" s="42" t="str">
        <v>MA</v>
      </c>
      <c r="C13" s="43">
        <f>SUM('1st Qtr'!C13, '2nd Qtr'!C13, '3rd Qtr'!C13, '4th Qtr'!C13)</f>
        <v>77646</v>
      </c>
      <c r="D13" s="44">
        <f>SUM('1st Qtr'!D13, '2nd Qtr'!D13, '3rd Qtr'!D13, '4th Qtr'!D13)</f>
        <v>116307.2</v>
      </c>
      <c r="E13" s="44">
        <f t="shared" si="0"/>
        <v>-38661.199999999997</v>
      </c>
      <c r="F13" s="45">
        <f t="shared" si="1"/>
        <v>-0.33240590436361633</v>
      </c>
      <c r="G13" s="46">
        <f>SUM('1st Qtr'!G13, '2nd Qtr'!G13, '3rd Qtr'!G13, '4th Qtr'!G13)</f>
        <v>81508.990000000005</v>
      </c>
      <c r="H13" s="72">
        <f>SUM('1st Qtr'!H13, '2nd Qtr'!H13, '3rd Qtr'!H13, '4th Qtr'!H13)</f>
        <v>-3862.9900000000052</v>
      </c>
      <c r="I13" s="45">
        <f t="shared" si="2"/>
        <v>-4.7393422492414704E-2</v>
      </c>
    </row>
    <row r="14" spans="1:12" ht="15.75">
      <c r="A14" s="34" t="str">
        <v>Dudley River 3</v>
      </c>
      <c r="B14" s="35" t="str">
        <v>MA</v>
      </c>
      <c r="C14" s="36">
        <f>SUM('1st Qtr'!C14, '2nd Qtr'!C14, '3rd Qtr'!C14, '4th Qtr'!C14)</f>
        <v>94540</v>
      </c>
      <c r="D14" s="37">
        <f>SUM('1st Qtr'!D14, '2nd Qtr'!D14, '3rd Qtr'!D14, '4th Qtr'!D14)</f>
        <v>117412.4</v>
      </c>
      <c r="E14" s="37">
        <f t="shared" si="0"/>
        <v>-22872.399999999994</v>
      </c>
      <c r="F14" s="38">
        <f t="shared" si="1"/>
        <v>-0.19480395597057887</v>
      </c>
      <c r="G14" s="39">
        <f>SUM('1st Qtr'!G14, '2nd Qtr'!G14, '3rd Qtr'!G14, '4th Qtr'!G14)</f>
        <v>83727.59</v>
      </c>
      <c r="H14" s="39">
        <f>SUM('1st Qtr'!H14, '2nd Qtr'!H14, '3rd Qtr'!H14, '4th Qtr'!H14)</f>
        <v>10812.410000000003</v>
      </c>
      <c r="I14" s="40">
        <f t="shared" si="2"/>
        <v>0.12913795798971406</v>
      </c>
    </row>
    <row r="15" spans="1:12" ht="15.75">
      <c r="A15" s="41" t="str">
        <v>Flint Pond</v>
      </c>
      <c r="B15" s="42" t="str">
        <v>MA</v>
      </c>
      <c r="C15" s="43">
        <f>SUM('1st Qtr'!C15, '2nd Qtr'!C15, '3rd Qtr'!C15, '4th Qtr'!C15)</f>
        <v>30334</v>
      </c>
      <c r="D15" s="44">
        <f>SUM('1st Qtr'!D15, '2nd Qtr'!D15, '3rd Qtr'!D15, '4th Qtr'!D15)</f>
        <v>62237.73</v>
      </c>
      <c r="E15" s="44">
        <f t="shared" si="0"/>
        <v>-31903.730000000003</v>
      </c>
      <c r="F15" s="45">
        <f t="shared" si="1"/>
        <v>-0.51261075877928075</v>
      </c>
      <c r="G15" s="46">
        <f>SUM('1st Qtr'!G15, '2nd Qtr'!G15, '3rd Qtr'!G15, '4th Qtr'!G15)</f>
        <v>33375.620000000003</v>
      </c>
      <c r="H15" s="72">
        <f>SUM('1st Qtr'!H15, '2nd Qtr'!H15, '3rd Qtr'!H15, '4th Qtr'!H15)</f>
        <v>-3041.6200000000026</v>
      </c>
      <c r="I15" s="45">
        <f t="shared" si="2"/>
        <v>-9.1132988690547242E-2</v>
      </c>
    </row>
    <row r="16" spans="1:12" ht="15.75">
      <c r="A16" s="34" t="str">
        <v>Incom</v>
      </c>
      <c r="B16" s="35" t="str">
        <v>MA</v>
      </c>
      <c r="C16" s="36">
        <f>SUM('1st Qtr'!C16, '2nd Qtr'!C16, '3rd Qtr'!C16, '4th Qtr'!C16)</f>
        <v>130021</v>
      </c>
      <c r="D16" s="37">
        <f>SUM('1st Qtr'!D16, '2nd Qtr'!D16, '3rd Qtr'!D16, '4th Qtr'!D16)</f>
        <v>227416.1</v>
      </c>
      <c r="E16" s="37">
        <f t="shared" ref="E16:E19" si="3">IF(AND(ISNUMBER(C16),ISNUMBER(D16)), C16-D16, "")</f>
        <v>-97395.1</v>
      </c>
      <c r="F16" s="38">
        <f t="shared" ref="F16:F19" si="4">IFERROR(E16/D16, "")</f>
        <v>-0.42826827124376859</v>
      </c>
      <c r="G16" s="39">
        <f>SUM('1st Qtr'!G16, '2nd Qtr'!G16, '3rd Qtr'!G16, '4th Qtr'!G16)</f>
        <v>219053.9</v>
      </c>
      <c r="H16" s="39">
        <f>SUM('1st Qtr'!H16, '2nd Qtr'!H16, '3rd Qtr'!H16, '4th Qtr'!H16)</f>
        <v>-89032.9</v>
      </c>
      <c r="I16" s="40">
        <f t="shared" ref="I16:I19" si="5">IFERROR(H16/G16, "")</f>
        <v>-0.40644288917019966</v>
      </c>
    </row>
    <row r="17" spans="1:9" ht="15.75">
      <c r="A17" s="41" t="str">
        <v>JH</v>
      </c>
      <c r="B17" s="42" t="str">
        <v>MA</v>
      </c>
      <c r="C17" s="43">
        <f>SUM('1st Qtr'!C17, '2nd Qtr'!C17, '3rd Qtr'!C17, '4th Qtr'!C17)</f>
        <v>61371</v>
      </c>
      <c r="D17" s="44">
        <f>SUM('1st Qtr'!D17, '2nd Qtr'!D17, '3rd Qtr'!D17, '4th Qtr'!D17)</f>
        <v>130704.5</v>
      </c>
      <c r="E17" s="44">
        <f t="shared" si="3"/>
        <v>-69333.5</v>
      </c>
      <c r="F17" s="45">
        <f t="shared" si="4"/>
        <v>-0.53045993060682683</v>
      </c>
      <c r="G17" s="46">
        <f>SUM('1st Qtr'!G17, '2nd Qtr'!G17, '3rd Qtr'!G17, '4th Qtr'!G17)</f>
        <v>105686.5</v>
      </c>
      <c r="H17" s="72">
        <f>SUM('1st Qtr'!H17, '2nd Qtr'!H17, '3rd Qtr'!H17, '4th Qtr'!H17)</f>
        <v>-44315.5</v>
      </c>
      <c r="I17" s="45">
        <f t="shared" si="5"/>
        <v>-0.41931088644245007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55084</v>
      </c>
      <c r="D18" s="37">
        <f>SUM('1st Qtr'!D18, '2nd Qtr'!D18, '3rd Qtr'!D18, '4th Qtr'!D18)</f>
        <v>97988.62</v>
      </c>
      <c r="E18" s="37">
        <f t="shared" si="3"/>
        <v>-42904.619999999995</v>
      </c>
      <c r="F18" s="38">
        <f t="shared" si="4"/>
        <v>-0.43785308947100182</v>
      </c>
      <c r="G18" s="39">
        <f>SUM('1st Qtr'!G18, '2nd Qtr'!G18, '3rd Qtr'!G18, '4th Qtr'!G18)</f>
        <v>98275.13</v>
      </c>
      <c r="H18" s="39">
        <f>SUM('1st Qtr'!H18, '2nd Qtr'!H18, '3rd Qtr'!H18, '4th Qtr'!H18)</f>
        <v>-43191.130000000005</v>
      </c>
      <c r="I18" s="40">
        <f t="shared" si="5"/>
        <v>-0.43949196505769061</v>
      </c>
    </row>
    <row r="19" spans="1:9" ht="15.75">
      <c r="A19" s="41" t="str">
        <v>Palombo A</v>
      </c>
      <c r="B19" s="41" t="str">
        <v>MA</v>
      </c>
      <c r="C19" s="43">
        <f>SUM('1st Qtr'!C19, '2nd Qtr'!C19, '3rd Qtr'!C19, '4th Qtr'!C19)</f>
        <v>160890.996677741</v>
      </c>
      <c r="D19" s="44">
        <f>SUM('1st Qtr'!D19, '2nd Qtr'!D19, '3rd Qtr'!D19, '4th Qtr'!D19)</f>
        <v>285170.7</v>
      </c>
      <c r="E19" s="44">
        <f t="shared" si="3"/>
        <v>-124279.70332225901</v>
      </c>
      <c r="F19" s="45">
        <f t="shared" si="4"/>
        <v>-0.43580810834443723</v>
      </c>
      <c r="G19" s="46">
        <f>SUM('1st Qtr'!G19, '2nd Qtr'!G19, '3rd Qtr'!G19, '4th Qtr'!G19)</f>
        <v>250093</v>
      </c>
      <c r="H19" s="72">
        <f>SUM('1st Qtr'!H19, '2nd Qtr'!H19, '3rd Qtr'!H19, '4th Qtr'!H19)</f>
        <v>-89202.003322258999</v>
      </c>
      <c r="I19" s="45">
        <f t="shared" si="5"/>
        <v>-0.35667533006625135</v>
      </c>
    </row>
    <row r="20" spans="1:9" ht="15.75">
      <c r="A20" s="34" t="str">
        <v>Palombo B</v>
      </c>
      <c r="B20" s="41" t="str">
        <v>MA</v>
      </c>
      <c r="C20" s="36">
        <f>SUM('1st Qtr'!C20, '2nd Qtr'!C20, '3rd Qtr'!C20, '4th Qtr'!C20)</f>
        <v>65753</v>
      </c>
      <c r="D20" s="37">
        <f>SUM('1st Qtr'!D20, '2nd Qtr'!D20, '3rd Qtr'!D20, '4th Qtr'!D20)</f>
        <v>144714.1</v>
      </c>
      <c r="E20" s="37">
        <f t="shared" ref="E20:E24" si="6">IF(AND(ISNUMBER(C20),ISNUMBER(D20)), C20-D20, "")</f>
        <v>-78961.100000000006</v>
      </c>
      <c r="F20" s="38">
        <f t="shared" ref="F20:F24" si="7">IFERROR(E20/D20, "")</f>
        <v>-0.54563515234521032</v>
      </c>
      <c r="G20" s="39">
        <f>SUM('1st Qtr'!G20, '2nd Qtr'!G20, '3rd Qtr'!G20, '4th Qtr'!G20)</f>
        <v>71408.820000000007</v>
      </c>
      <c r="H20" s="39">
        <f>SUM('1st Qtr'!H20, '2nd Qtr'!H20, '3rd Qtr'!H20, '4th Qtr'!H20)</f>
        <v>-5655.820000000007</v>
      </c>
      <c r="I20" s="40">
        <f t="shared" ref="I20:I24" si="8">IFERROR(H20/G20, "")</f>
        <v>-7.9203381319002425E-2</v>
      </c>
    </row>
    <row r="21" spans="1:9" ht="15.75">
      <c r="A21" s="41" t="str">
        <v>St Josephs Church</v>
      </c>
      <c r="B21" s="41" t="str">
        <v>MA</v>
      </c>
      <c r="C21" s="43">
        <f>SUM('1st Qtr'!C21, '2nd Qtr'!C21, '3rd Qtr'!C21, '4th Qtr'!C21)</f>
        <v>69927</v>
      </c>
      <c r="D21" s="44">
        <f>SUM('1st Qtr'!D21, '2nd Qtr'!D21, '3rd Qtr'!D21, '4th Qtr'!D21)</f>
        <v>146021.70000000001</v>
      </c>
      <c r="E21" s="44">
        <f t="shared" si="6"/>
        <v>-76094.700000000012</v>
      </c>
      <c r="F21" s="45">
        <f t="shared" si="7"/>
        <v>-0.52111912133607541</v>
      </c>
      <c r="G21" s="46">
        <f>SUM('1st Qtr'!G21, '2nd Qtr'!G21, '3rd Qtr'!G21, '4th Qtr'!G21)</f>
        <v>91072.42</v>
      </c>
      <c r="H21" s="72">
        <f>SUM('1st Qtr'!H21, '2nd Qtr'!H21, '3rd Qtr'!H21, '4th Qtr'!H21)</f>
        <v>-21145.42</v>
      </c>
      <c r="I21" s="45">
        <f t="shared" si="8"/>
        <v>-0.23218247631939504</v>
      </c>
    </row>
    <row r="22" spans="1:9" ht="15.75">
      <c r="A22" s="34" t="str">
        <v>Sunset A</v>
      </c>
      <c r="B22" s="41" t="str">
        <v>MA</v>
      </c>
      <c r="C22" s="36">
        <f>SUM('1st Qtr'!C22, '2nd Qtr'!C22, '3rd Qtr'!C22, '4th Qtr'!C22)</f>
        <v>27107</v>
      </c>
      <c r="D22" s="37">
        <f>SUM('1st Qtr'!D22, '2nd Qtr'!D22, '3rd Qtr'!D22, '4th Qtr'!D22)</f>
        <v>67386.600000000006</v>
      </c>
      <c r="E22" s="37">
        <f t="shared" si="6"/>
        <v>-40279.600000000006</v>
      </c>
      <c r="F22" s="38">
        <f t="shared" si="7"/>
        <v>-0.59773901636230353</v>
      </c>
      <c r="G22" s="39">
        <f>SUM('1st Qtr'!G22, '2nd Qtr'!G22, '3rd Qtr'!G22, '4th Qtr'!G22)</f>
        <v>32533.05</v>
      </c>
      <c r="H22" s="39">
        <f>SUM('1st Qtr'!H22, '2nd Qtr'!H22, '3rd Qtr'!H22, '4th Qtr'!H22)</f>
        <v>-5426.0499999999993</v>
      </c>
      <c r="I22" s="40">
        <f t="shared" si="8"/>
        <v>-0.16678577631055186</v>
      </c>
    </row>
    <row r="23" spans="1:9" ht="15.75">
      <c r="A23" s="41" t="str">
        <v>Sunset B</v>
      </c>
      <c r="B23" s="41" t="str">
        <v>MA</v>
      </c>
      <c r="C23" s="43">
        <f>SUM('1st Qtr'!C23, '2nd Qtr'!C23, '3rd Qtr'!C23, '4th Qtr'!C23)</f>
        <v>26946.25</v>
      </c>
      <c r="D23" s="44">
        <f>SUM('1st Qtr'!D23, '2nd Qtr'!D23, '3rd Qtr'!D23, '4th Qtr'!D23)</f>
        <v>49373.03</v>
      </c>
      <c r="E23" s="44">
        <f t="shared" si="6"/>
        <v>-22426.78</v>
      </c>
      <c r="F23" s="45">
        <f t="shared" si="7"/>
        <v>-0.45423138908023264</v>
      </c>
      <c r="G23" s="46">
        <f>SUM('1st Qtr'!G23, '2nd Qtr'!G23, '3rd Qtr'!G23, '4th Qtr'!G23)</f>
        <v>32145.45</v>
      </c>
      <c r="H23" s="72">
        <f>SUM('1st Qtr'!H23, '2nd Qtr'!H23, '3rd Qtr'!H23, '4th Qtr'!H23)</f>
        <v>-5199.2000000000007</v>
      </c>
      <c r="I23" s="45">
        <f t="shared" si="8"/>
        <v>-0.16173984187497767</v>
      </c>
    </row>
    <row r="24" spans="1:9" ht="15.75">
      <c r="A24" s="34" t="str">
        <v>Woodchuck</v>
      </c>
      <c r="B24" s="41" t="str">
        <v>MA</v>
      </c>
      <c r="C24" s="36">
        <f>SUM('1st Qtr'!C24, '2nd Qtr'!C24, '3rd Qtr'!C24, '4th Qtr'!C24)</f>
        <v>61310</v>
      </c>
      <c r="D24" s="37">
        <f>SUM('1st Qtr'!D24, '2nd Qtr'!D24, '3rd Qtr'!D24, '4th Qtr'!D24)</f>
        <v>111494.1</v>
      </c>
      <c r="E24" s="37">
        <f t="shared" si="6"/>
        <v>-50184.100000000006</v>
      </c>
      <c r="F24" s="38">
        <f t="shared" si="7"/>
        <v>-0.45010543158785982</v>
      </c>
      <c r="G24" s="39">
        <f>SUM('1st Qtr'!G24, '2nd Qtr'!G24, '3rd Qtr'!G24, '4th Qtr'!G24)</f>
        <v>95616.23</v>
      </c>
      <c r="H24" s="39">
        <f>SUM('1st Qtr'!H24, '2nd Qtr'!H24, '3rd Qtr'!H24, '4th Qtr'!H24)</f>
        <v>-34306.229999999996</v>
      </c>
      <c r="I24" s="40">
        <f t="shared" si="8"/>
        <v>-0.35879086636233198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G4" sqref="G4:G2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38 DN</v>
      </c>
      <c r="B1" s="91"/>
      <c r="C1" s="91"/>
      <c r="D1" s="92" t="s">
        <v>10</v>
      </c>
      <c r="E1" s="92"/>
      <c r="F1" s="92"/>
      <c r="G1" s="90" t="s">
        <v>11</v>
      </c>
      <c r="H1" s="90"/>
      <c r="I1" s="90"/>
    </row>
    <row r="2" spans="1:9" ht="19.5" customHeight="1">
      <c r="A2" s="93" t="s">
        <v>2</v>
      </c>
      <c r="B2" s="93"/>
      <c r="C2" s="5">
        <f>SUM(C4:C99)</f>
        <v>1879993.2466777409</v>
      </c>
      <c r="D2" s="5">
        <f>SUM(D4:D99)</f>
        <v>3100330.8500000006</v>
      </c>
      <c r="E2" s="5">
        <f>C2-D2</f>
        <v>-1220337.6033222596</v>
      </c>
      <c r="F2" s="6">
        <f>IFERROR(E2/D2, 0)</f>
        <v>-0.39361528248582223</v>
      </c>
      <c r="G2" s="5">
        <f>SUM(G4:G99)</f>
        <v>2316666.0300000003</v>
      </c>
      <c r="H2" s="7">
        <f>C2-G2</f>
        <v>-436672.78332225932</v>
      </c>
      <c r="I2" s="6">
        <f>IFERROR(H2/G2, 0)</f>
        <v>-0.18849190071745442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129016</v>
      </c>
      <c r="D4" s="37">
        <f>SUM(Jan!D4, Feb!D4, Mar!D4)</f>
        <v>74840.77</v>
      </c>
      <c r="E4" s="37">
        <f>IF(AND(ISNUMBER(C4),ISNUMBER(D4)), C4-D4, "")</f>
        <v>54175.229999999996</v>
      </c>
      <c r="F4" s="38">
        <f>IFERROR(E4/D4, "")</f>
        <v>0.72387323112789981</v>
      </c>
      <c r="G4" s="39">
        <f>SUM(Jan!G4, Feb!G4, Mar!G4)</f>
        <v>144521</v>
      </c>
      <c r="H4" s="39">
        <f>SUM(Jan!H4, Feb!H4, Mar!H4)</f>
        <v>-15505</v>
      </c>
      <c r="I4" s="40">
        <f>IFERROR(H4/G4, "")</f>
        <v>-0.10728544640571266</v>
      </c>
    </row>
    <row r="5" spans="1:9" ht="15.75">
      <c r="A5" s="56" t="str">
        <v>Barton Acres</v>
      </c>
      <c r="B5" s="42" t="str">
        <v>MA</v>
      </c>
      <c r="C5" s="43">
        <f>SUM(Jan!C5, Feb!C5, Mar!C5)</f>
        <v>56999</v>
      </c>
      <c r="D5" s="44">
        <f>SUM(Jan!D5, Feb!D5, Mar!D5)</f>
        <v>142857.9</v>
      </c>
      <c r="E5" s="44">
        <f t="shared" ref="E5:E15" si="0">IF(AND(ISNUMBER(C5),ISNUMBER(D5)), C5-D5, "")</f>
        <v>-85858.9</v>
      </c>
      <c r="F5" s="45">
        <f>IFERROR(E5/D5, "")</f>
        <v>-0.60100911465169238</v>
      </c>
      <c r="G5" s="46">
        <f>SUM(Jan!G5, Feb!G5, Mar!G5)</f>
        <v>69105.149999999994</v>
      </c>
      <c r="H5" s="46">
        <f>SUM(Jan!H5, Feb!H5, Mar!H5)</f>
        <v>-12106.149999999994</v>
      </c>
      <c r="I5" s="45">
        <f>IFERROR(H5/G5, "")</f>
        <v>-0.1751844833561608</v>
      </c>
    </row>
    <row r="6" spans="1:9" ht="15.75">
      <c r="A6" s="55" t="str">
        <v>Bowden</v>
      </c>
      <c r="B6" s="35" t="str">
        <v>MA</v>
      </c>
      <c r="C6" s="36">
        <f>SUM(Jan!C6, Feb!C6, Mar!C6)</f>
        <v>138818</v>
      </c>
      <c r="D6" s="37">
        <f>SUM(Jan!D6, Feb!D6, Mar!D6)</f>
        <v>194548.5</v>
      </c>
      <c r="E6" s="37">
        <f t="shared" si="0"/>
        <v>-55730.5</v>
      </c>
      <c r="F6" s="38">
        <f t="shared" ref="F6:F15" si="1">IFERROR(E6/D6, "")</f>
        <v>-0.28646070260115086</v>
      </c>
      <c r="G6" s="39">
        <f>SUM(Jan!G6, Feb!G6, Mar!G6)</f>
        <v>166837.29999999999</v>
      </c>
      <c r="H6" s="39">
        <f>SUM(Jan!H6, Feb!H6, Mar!H6)</f>
        <v>-28019.299999999988</v>
      </c>
      <c r="I6" s="40">
        <f t="shared" ref="I6:I15" si="2">IFERROR(H6/G6, "")</f>
        <v>-0.16794385907707682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67575</v>
      </c>
      <c r="D7" s="44">
        <f>SUM(Jan!D7, Feb!D7, Mar!D7)</f>
        <v>148603.1</v>
      </c>
      <c r="E7" s="44">
        <f t="shared" si="0"/>
        <v>-81028.100000000006</v>
      </c>
      <c r="F7" s="45">
        <f t="shared" si="1"/>
        <v>-0.54526520644589516</v>
      </c>
      <c r="G7" s="46">
        <f>SUM(Jan!G7, Feb!G7, Mar!G7)</f>
        <v>82695.73</v>
      </c>
      <c r="H7" s="46">
        <f>SUM(Jan!H7, Feb!H7, Mar!H7)</f>
        <v>-15120.729999999996</v>
      </c>
      <c r="I7" s="45">
        <f t="shared" si="2"/>
        <v>-0.18284777218847933</v>
      </c>
    </row>
    <row r="8" spans="1:9" ht="15.75">
      <c r="A8" s="55" t="str">
        <v>Boutilier</v>
      </c>
      <c r="B8" s="35" t="str">
        <v>MA</v>
      </c>
      <c r="C8" s="36">
        <f>SUM(Jan!C8, Feb!C8, Mar!C8)</f>
        <v>197770</v>
      </c>
      <c r="D8" s="37">
        <f>SUM(Jan!D8, Feb!D8, Mar!D8)</f>
        <v>316212.5</v>
      </c>
      <c r="E8" s="37">
        <f t="shared" si="0"/>
        <v>-118442.5</v>
      </c>
      <c r="F8" s="38">
        <f t="shared" si="1"/>
        <v>-0.37456615408941774</v>
      </c>
      <c r="G8" s="39">
        <f>SUM(Jan!G8, Feb!G8, Mar!G8)</f>
        <v>189703.5</v>
      </c>
      <c r="H8" s="39">
        <f>SUM(Jan!H8, Feb!H8, Mar!H8)</f>
        <v>8066.5</v>
      </c>
      <c r="I8" s="40">
        <f t="shared" si="2"/>
        <v>4.2521619263745793E-2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62784</v>
      </c>
      <c r="D9" s="44">
        <f>SUM(Jan!D9, Feb!D9, Mar!D9)</f>
        <v>141889.9</v>
      </c>
      <c r="E9" s="44">
        <f t="shared" si="0"/>
        <v>-79105.899999999994</v>
      </c>
      <c r="F9" s="45">
        <f t="shared" si="1"/>
        <v>-0.55751607408279236</v>
      </c>
      <c r="G9" s="46">
        <f>SUM(Jan!G9, Feb!G9, Mar!G9)</f>
        <v>77483</v>
      </c>
      <c r="H9" s="46">
        <f>SUM(Jan!H9, Feb!H9, Mar!H9)</f>
        <v>-14699</v>
      </c>
      <c r="I9" s="45">
        <f t="shared" si="2"/>
        <v>-0.18970612908638024</v>
      </c>
    </row>
    <row r="10" spans="1:9" ht="15.75">
      <c r="A10" s="55" t="str">
        <v>Cohasse</v>
      </c>
      <c r="B10" s="35" t="str">
        <v>MA</v>
      </c>
      <c r="C10" s="36">
        <f>SUM(Jan!C10, Feb!C10, Mar!C10)</f>
        <v>68246</v>
      </c>
      <c r="D10" s="37">
        <f>SUM(Jan!D10, Feb!D10, Mar!D10)</f>
        <v>140408.6</v>
      </c>
      <c r="E10" s="37">
        <f t="shared" si="0"/>
        <v>-72162.600000000006</v>
      </c>
      <c r="F10" s="38">
        <f t="shared" si="1"/>
        <v>-0.51394715138531399</v>
      </c>
      <c r="G10" s="39">
        <f>SUM(Jan!G10, Feb!G10, Mar!G10)</f>
        <v>113608.5</v>
      </c>
      <c r="H10" s="39">
        <f>SUM(Jan!H10, Feb!H10, Mar!H10)</f>
        <v>-45362.5</v>
      </c>
      <c r="I10" s="40">
        <f t="shared" si="2"/>
        <v>-0.39928790539440273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216783</v>
      </c>
      <c r="D11" s="44">
        <f>SUM(Jan!D11, Feb!D11, Mar!D11)</f>
        <v>272074.2</v>
      </c>
      <c r="E11" s="44">
        <f t="shared" si="0"/>
        <v>-55291.200000000012</v>
      </c>
      <c r="F11" s="45">
        <f t="shared" si="1"/>
        <v>-0.20322103308582737</v>
      </c>
      <c r="G11" s="46">
        <f>SUM(Jan!G11, Feb!G11, Mar!G11)</f>
        <v>194872.6</v>
      </c>
      <c r="H11" s="46">
        <f>SUM(Jan!H11, Feb!H11, Mar!H11)</f>
        <v>21910.399999999994</v>
      </c>
      <c r="I11" s="45">
        <f t="shared" si="2"/>
        <v>0.11243448283647878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81072</v>
      </c>
      <c r="D12" s="37">
        <f>SUM(Jan!D12, Feb!D12, Mar!D12)</f>
        <v>112668.6</v>
      </c>
      <c r="E12" s="37">
        <f t="shared" si="0"/>
        <v>-31596.600000000006</v>
      </c>
      <c r="F12" s="38">
        <f t="shared" si="1"/>
        <v>-0.28043838300999574</v>
      </c>
      <c r="G12" s="39">
        <f>SUM(Jan!G12, Feb!G12, Mar!G12)</f>
        <v>83342.55</v>
      </c>
      <c r="H12" s="39">
        <f>SUM(Jan!H12, Feb!H12, Mar!H12)</f>
        <v>-2270.5500000000029</v>
      </c>
      <c r="I12" s="40">
        <f t="shared" si="2"/>
        <v>-2.7243586859293397E-2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77646</v>
      </c>
      <c r="D13" s="44">
        <f>SUM(Jan!D13, Feb!D13, Mar!D13)</f>
        <v>116307.2</v>
      </c>
      <c r="E13" s="44">
        <f t="shared" si="0"/>
        <v>-38661.199999999997</v>
      </c>
      <c r="F13" s="45">
        <f t="shared" si="1"/>
        <v>-0.33240590436361633</v>
      </c>
      <c r="G13" s="46">
        <f>SUM(Jan!G13, Feb!G13, Mar!G13)</f>
        <v>81508.990000000005</v>
      </c>
      <c r="H13" s="46">
        <f>SUM(Jan!H13, Feb!H13, Mar!H13)</f>
        <v>-3862.9900000000052</v>
      </c>
      <c r="I13" s="45">
        <f t="shared" si="2"/>
        <v>-4.7393422492414704E-2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94540</v>
      </c>
      <c r="D14" s="37">
        <f>SUM(Jan!D14, Feb!D14, Mar!D14)</f>
        <v>117412.4</v>
      </c>
      <c r="E14" s="37">
        <f t="shared" si="0"/>
        <v>-22872.399999999994</v>
      </c>
      <c r="F14" s="38">
        <f t="shared" si="1"/>
        <v>-0.19480395597057887</v>
      </c>
      <c r="G14" s="39">
        <f>SUM(Jan!G14, Feb!G14, Mar!G14)</f>
        <v>83727.59</v>
      </c>
      <c r="H14" s="39">
        <f>SUM(Jan!H14, Feb!H14, Mar!H14)</f>
        <v>10812.410000000003</v>
      </c>
      <c r="I14" s="40">
        <f t="shared" si="2"/>
        <v>0.12913795798971406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30334</v>
      </c>
      <c r="D15" s="44">
        <f>SUM(Jan!D15, Feb!D15, Mar!D15)</f>
        <v>62237.73</v>
      </c>
      <c r="E15" s="44">
        <f t="shared" si="0"/>
        <v>-31903.730000000003</v>
      </c>
      <c r="F15" s="45">
        <f t="shared" si="1"/>
        <v>-0.51261075877928075</v>
      </c>
      <c r="G15" s="46">
        <f>SUM(Jan!G15, Feb!G15, Mar!G15)</f>
        <v>33375.620000000003</v>
      </c>
      <c r="H15" s="46">
        <f>SUM(Jan!H15, Feb!H15, Mar!H15)</f>
        <v>-3041.6200000000026</v>
      </c>
      <c r="I15" s="45">
        <f t="shared" si="2"/>
        <v>-9.1132988690547242E-2</v>
      </c>
    </row>
    <row r="16" spans="1:9" ht="15.75">
      <c r="A16" s="55" t="str">
        <v>Incom</v>
      </c>
      <c r="B16" s="35" t="str">
        <v>MA</v>
      </c>
      <c r="C16" s="36">
        <f>SUM(Jan!C16, Feb!C16, Mar!C16)</f>
        <v>130021</v>
      </c>
      <c r="D16" s="37">
        <f>SUM(Jan!D16, Feb!D16, Mar!D16)</f>
        <v>227416.1</v>
      </c>
      <c r="E16" s="37">
        <f t="shared" ref="E16:E18" si="3">IF(AND(ISNUMBER(C16),ISNUMBER(D16)), C16-D16, "")</f>
        <v>-97395.1</v>
      </c>
      <c r="F16" s="38">
        <f t="shared" ref="F16:F18" si="4">IFERROR(E16/D16, "")</f>
        <v>-0.42826827124376859</v>
      </c>
      <c r="G16" s="39">
        <f>SUM(Jan!G16, Feb!G16, Mar!G16)</f>
        <v>219053.9</v>
      </c>
      <c r="H16" s="39">
        <f>SUM(Jan!H16, Feb!H16, Mar!H16)</f>
        <v>-89032.9</v>
      </c>
      <c r="I16" s="40">
        <f t="shared" ref="I16:I18" si="5">IFERROR(H16/G16, "")</f>
        <v>-0.40644288917019966</v>
      </c>
    </row>
    <row r="17" spans="1:9" ht="15.75">
      <c r="A17" s="56" t="str">
        <v>JH</v>
      </c>
      <c r="B17" s="42" t="str">
        <v>MA</v>
      </c>
      <c r="C17" s="43">
        <f>SUM(Jan!C17, Feb!C17, Mar!C17)</f>
        <v>61371</v>
      </c>
      <c r="D17" s="44">
        <f>SUM(Jan!D17, Feb!D17, Mar!D17)</f>
        <v>130704.5</v>
      </c>
      <c r="E17" s="44">
        <f t="shared" si="3"/>
        <v>-69333.5</v>
      </c>
      <c r="F17" s="45">
        <f t="shared" si="4"/>
        <v>-0.53045993060682683</v>
      </c>
      <c r="G17" s="46">
        <f>SUM(Jan!G17, Feb!G17, Mar!G17)</f>
        <v>105686.5</v>
      </c>
      <c r="H17" s="46">
        <f>SUM(Jan!H17, Feb!H17, Mar!H17)</f>
        <v>-44315.5</v>
      </c>
      <c r="I17" s="45">
        <f t="shared" si="5"/>
        <v>-0.41931088644245007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55084</v>
      </c>
      <c r="D18" s="37">
        <f>SUM(Jan!D18, Feb!D18, Mar!D18)</f>
        <v>97988.62</v>
      </c>
      <c r="E18" s="37">
        <f t="shared" si="3"/>
        <v>-42904.619999999995</v>
      </c>
      <c r="F18" s="38">
        <f t="shared" si="4"/>
        <v>-0.43785308947100182</v>
      </c>
      <c r="G18" s="39">
        <f>SUM(Jan!G18, Feb!G18, Mar!G18)</f>
        <v>98275.13</v>
      </c>
      <c r="H18" s="39">
        <f>SUM(Jan!H18, Feb!H18, Mar!H18)</f>
        <v>-43191.130000000005</v>
      </c>
      <c r="I18" s="45">
        <f t="shared" si="5"/>
        <v>-0.43949196505769061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160890.996677741</v>
      </c>
      <c r="D19" s="44">
        <f>SUM(Jan!D19, Feb!D19, Mar!D19)</f>
        <v>285170.7</v>
      </c>
      <c r="E19" s="44">
        <f t="shared" ref="E19:E24" si="6">IF(AND(ISNUMBER(C19),ISNUMBER(D19)), C19-D19, "")</f>
        <v>-124279.70332225901</v>
      </c>
      <c r="F19" s="45">
        <f t="shared" ref="F19:F24" si="7">IFERROR(E19/D19, "")</f>
        <v>-0.43580810834443723</v>
      </c>
      <c r="G19" s="46">
        <f>SUM(Jan!G19, Feb!G19, Mar!G19)</f>
        <v>250093</v>
      </c>
      <c r="H19" s="46">
        <f>SUM(Jan!H19, Feb!H19, Mar!H19)</f>
        <v>-89202.003322258999</v>
      </c>
      <c r="I19" s="40">
        <f t="shared" ref="I19:I24" si="8">IFERROR(H19/G19, "")</f>
        <v>-0.35667533006625135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65753</v>
      </c>
      <c r="D20" s="37">
        <f>SUM(Jan!D20, Feb!D20, Mar!D20)</f>
        <v>144714.1</v>
      </c>
      <c r="E20" s="37">
        <f t="shared" si="6"/>
        <v>-78961.100000000006</v>
      </c>
      <c r="F20" s="38">
        <f t="shared" si="7"/>
        <v>-0.54563515234521032</v>
      </c>
      <c r="G20" s="39">
        <f>SUM(Jan!G20, Feb!G20, Mar!G20)</f>
        <v>71408.820000000007</v>
      </c>
      <c r="H20" s="39">
        <f>SUM(Jan!H20, Feb!H20, Mar!H20)</f>
        <v>-5655.820000000007</v>
      </c>
      <c r="I20" s="45">
        <f t="shared" si="8"/>
        <v>-7.9203381319002425E-2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69927</v>
      </c>
      <c r="D21" s="44">
        <f>SUM(Jan!D21, Feb!D21, Mar!D21)</f>
        <v>146021.70000000001</v>
      </c>
      <c r="E21" s="44">
        <f t="shared" si="6"/>
        <v>-76094.700000000012</v>
      </c>
      <c r="F21" s="45">
        <f t="shared" si="7"/>
        <v>-0.52111912133607541</v>
      </c>
      <c r="G21" s="46">
        <f>SUM(Jan!G21, Feb!G21, Mar!G21)</f>
        <v>91072.42</v>
      </c>
      <c r="H21" s="46">
        <f>SUM(Jan!H21, Feb!H21, Mar!H21)</f>
        <v>-21145.42</v>
      </c>
      <c r="I21" s="45">
        <f t="shared" si="8"/>
        <v>-0.23218247631939504</v>
      </c>
    </row>
    <row r="22" spans="1:9" ht="15.75">
      <c r="A22" s="55" t="str">
        <v>Sunset A</v>
      </c>
      <c r="B22" s="35" t="str">
        <v>MA</v>
      </c>
      <c r="C22" s="36">
        <f>SUM(Jan!C22, Feb!C22, Mar!C22)</f>
        <v>27107</v>
      </c>
      <c r="D22" s="37">
        <f>SUM(Jan!D22, Feb!D22, Mar!D22)</f>
        <v>67386.600000000006</v>
      </c>
      <c r="E22" s="37">
        <f t="shared" si="6"/>
        <v>-40279.600000000006</v>
      </c>
      <c r="F22" s="38">
        <f t="shared" si="7"/>
        <v>-0.59773901636230353</v>
      </c>
      <c r="G22" s="39">
        <f>SUM(Jan!G22, Feb!G22, Mar!G22)</f>
        <v>32533.05</v>
      </c>
      <c r="H22" s="39">
        <f>SUM(Jan!H22, Feb!H22, Mar!H22)</f>
        <v>-5426.0499999999993</v>
      </c>
      <c r="I22" s="40">
        <f t="shared" si="8"/>
        <v>-0.16678577631055186</v>
      </c>
    </row>
    <row r="23" spans="1:9" ht="15.75">
      <c r="A23" s="56" t="str">
        <v>Sunset B</v>
      </c>
      <c r="B23" s="42" t="str">
        <v>MA</v>
      </c>
      <c r="C23" s="43">
        <f>SUM(Jan!C23, Feb!C23, Mar!C23)</f>
        <v>26946.25</v>
      </c>
      <c r="D23" s="44">
        <f>SUM(Jan!D23, Feb!D23, Mar!D23)</f>
        <v>49373.03</v>
      </c>
      <c r="E23" s="44">
        <f t="shared" si="6"/>
        <v>-22426.78</v>
      </c>
      <c r="F23" s="45">
        <f t="shared" si="7"/>
        <v>-0.45423138908023264</v>
      </c>
      <c r="G23" s="46">
        <f>SUM(Jan!G23, Feb!G23, Mar!G23)</f>
        <v>32145.45</v>
      </c>
      <c r="H23" s="46">
        <f>SUM(Jan!H23, Feb!H23, Mar!H23)</f>
        <v>-5199.2000000000007</v>
      </c>
      <c r="I23" s="45">
        <f t="shared" si="8"/>
        <v>-0.16173984187497767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61310</v>
      </c>
      <c r="D24" s="37">
        <f>SUM(Jan!D24, Feb!D24, Mar!D24)</f>
        <v>111494.1</v>
      </c>
      <c r="E24" s="37">
        <f t="shared" si="6"/>
        <v>-50184.100000000006</v>
      </c>
      <c r="F24" s="38">
        <f t="shared" si="7"/>
        <v>-0.45010543158785982</v>
      </c>
      <c r="G24" s="39">
        <f>SUM(Jan!G24, Feb!G24, Mar!G24)</f>
        <v>95616.23</v>
      </c>
      <c r="H24" s="39">
        <f>SUM(Jan!H24, Feb!H24, Mar!H24)</f>
        <v>-34306.229999999996</v>
      </c>
      <c r="I24" s="45">
        <f t="shared" si="8"/>
        <v>-0.35879086636233198</v>
      </c>
    </row>
    <row r="25" spans="1:9" ht="14.2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G15" sqref="G1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38 DN</v>
      </c>
      <c r="B1" s="91"/>
      <c r="C1" s="91"/>
      <c r="D1" s="92" t="s">
        <v>12</v>
      </c>
      <c r="E1" s="92"/>
      <c r="F1" s="92"/>
      <c r="G1" s="90" t="s">
        <v>13</v>
      </c>
      <c r="H1" s="90"/>
      <c r="I1" s="90"/>
    </row>
    <row r="2" spans="1:9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>
        <f>SUM(Apr!G4, May!G4, Jun!G4)</f>
        <v>0</v>
      </c>
      <c r="H4" s="39">
        <f>SUM(Apr!H4, May!H4, Jun!H4)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>
        <f>SUM(Apr!G5, May!G5, Jun!G5)</f>
        <v>0</v>
      </c>
      <c r="H5" s="46">
        <f>SUM(Apr!H5, May!H5, Jun!H5)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>
        <f>SUM(Apr!G6, May!G6, Jun!G6)</f>
        <v>0</v>
      </c>
      <c r="H6" s="39">
        <f>SUM(Apr!H6, May!H6, Jun!H6)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>
        <f>SUM(Apr!G7, May!G7, Jun!G7)</f>
        <v>0</v>
      </c>
      <c r="H7" s="46">
        <f>SUM(Apr!H7, May!H7, Jun!H7)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>
        <f>SUM(Apr!G8, May!G8, Jun!G8)</f>
        <v>0</v>
      </c>
      <c r="H8" s="39">
        <f>SUM(Apr!H8, May!H8, Jun!H8)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>
        <f>SUM(Apr!G9, May!G9, Jun!G9)</f>
        <v>0</v>
      </c>
      <c r="H9" s="46">
        <f>SUM(Apr!H9, May!H9, Jun!H9)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>
        <f>SUM(Apr!G10, May!G10, Jun!G10)</f>
        <v>0</v>
      </c>
      <c r="H10" s="39">
        <f>SUM(Apr!H10, May!H10, Jun!H10)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>
        <f>SUM(Apr!G11, May!G11, Jun!G11)</f>
        <v>0</v>
      </c>
      <c r="H11" s="46">
        <f>SUM(Apr!H11, May!H11, Jun!H11)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>
        <f>SUM(Apr!G12, May!G12, Jun!G12)</f>
        <v>0</v>
      </c>
      <c r="H12" s="39">
        <f>SUM(Apr!H12, May!H12, Jun!H12)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>
        <f>SUM(Apr!G13, May!G13, Jun!G13)</f>
        <v>0</v>
      </c>
      <c r="H13" s="46">
        <f>SUM(Apr!H13, May!H13, Jun!H13)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>
        <f>SUM(Apr!G14, May!G14, Jun!G14)</f>
        <v>0</v>
      </c>
      <c r="H14" s="39">
        <f>SUM(Apr!H14, May!H14, Jun!H14)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>
        <f>SUM(Apr!G15, May!G15, Jun!G15)</f>
        <v>0</v>
      </c>
      <c r="H15" s="46">
        <f>SUM(Apr!H15, May!H15, Jun!H15)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SUM(Apr!C16, May!C16, Jun!C16)</f>
        <v>0</v>
      </c>
      <c r="D16" s="37">
        <f>SUM(Apr!D16, May!D16, Jun!D16)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>
        <f>SUM(Apr!G16, May!G16, Jun!G16)</f>
        <v>0</v>
      </c>
      <c r="H16" s="39">
        <f>SUM(Apr!H16, May!H16, Jun!H16)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46">
        <f>SUM(Apr!G17, May!G17, Jun!G17)</f>
        <v>0</v>
      </c>
      <c r="H17" s="39">
        <f>SUM(Apr!H17, May!H17, Jun!H17)</f>
        <v>0</v>
      </c>
      <c r="I17" s="40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0</v>
      </c>
      <c r="D18" s="44">
        <f>SUM(Apr!D18, May!D18, Jun!D18)</f>
        <v>0</v>
      </c>
      <c r="E18" s="44">
        <f t="shared" si="3"/>
        <v>0</v>
      </c>
      <c r="F18" s="45" t="str">
        <f t="shared" si="4"/>
        <v/>
      </c>
      <c r="G18" s="39">
        <f>SUM(Apr!G18, May!G18, Jun!G18)</f>
        <v>0</v>
      </c>
      <c r="H18" s="46">
        <f>SUM(Apr!H18, May!H18, Jun!H18)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SUM(Apr!C19, May!C19, Jun!C19)</f>
        <v>0</v>
      </c>
      <c r="D19" s="37">
        <f>SUM(Apr!D19, May!D19, Jun!D19)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46">
        <f>SUM(Apr!G19, May!G19, Jun!G19)</f>
        <v>0</v>
      </c>
      <c r="H19" s="39">
        <f>SUM(Apr!H19, May!H19, Jun!H19)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36">
        <f>SUM(Apr!C20, May!C20, Jun!C20)</f>
        <v>0</v>
      </c>
      <c r="D20" s="37">
        <f>SUM(Apr!D20, May!D20, Jun!D20)</f>
        <v>0</v>
      </c>
      <c r="E20" s="37">
        <f t="shared" si="6"/>
        <v>0</v>
      </c>
      <c r="F20" s="38" t="str">
        <f t="shared" si="7"/>
        <v/>
      </c>
      <c r="G20" s="39">
        <f>SUM(Apr!G20, May!G20, Jun!G20)</f>
        <v>0</v>
      </c>
      <c r="H20" s="39">
        <f>SUM(Apr!H20, May!H20, Jun!H20)</f>
        <v>0</v>
      </c>
      <c r="I20" s="40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0</v>
      </c>
      <c r="D21" s="44">
        <f>SUM(Apr!D21, May!D21, Jun!D21)</f>
        <v>0</v>
      </c>
      <c r="E21" s="44">
        <f t="shared" si="6"/>
        <v>0</v>
      </c>
      <c r="F21" s="45" t="str">
        <f t="shared" si="7"/>
        <v/>
      </c>
      <c r="G21" s="46">
        <f>SUM(Apr!G21, May!G21, Jun!G21)</f>
        <v>0</v>
      </c>
      <c r="H21" s="46">
        <f>SUM(Apr!H21, May!H21, Jun!H21)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SUM(Apr!C22, May!C22, Jun!C22)</f>
        <v>0</v>
      </c>
      <c r="D22" s="37">
        <f>SUM(Apr!D22, May!D22, Jun!D22)</f>
        <v>0</v>
      </c>
      <c r="E22" s="37">
        <f t="shared" si="6"/>
        <v>0</v>
      </c>
      <c r="F22" s="38" t="str">
        <f t="shared" si="7"/>
        <v/>
      </c>
      <c r="G22" s="39">
        <f>SUM(Apr!G22, May!G22, Jun!G22)</f>
        <v>0</v>
      </c>
      <c r="H22" s="39">
        <f>SUM(Apr!H22, May!H22, Jun!H22)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36">
        <f>SUM(Apr!C23, May!C23, Jun!C23)</f>
        <v>0</v>
      </c>
      <c r="D23" s="37">
        <f>SUM(Apr!D23, May!D23, Jun!D23)</f>
        <v>0</v>
      </c>
      <c r="E23" s="37">
        <f t="shared" si="6"/>
        <v>0</v>
      </c>
      <c r="F23" s="38" t="str">
        <f t="shared" si="7"/>
        <v/>
      </c>
      <c r="G23" s="46">
        <f>SUM(Apr!G23, May!G23, Jun!G23)</f>
        <v>0</v>
      </c>
      <c r="H23" s="39">
        <f>SUM(Apr!H23, May!H23, Jun!H23)</f>
        <v>0</v>
      </c>
      <c r="I23" s="40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SUM(Apr!C24, May!C24, Jun!C24)</f>
        <v>0</v>
      </c>
      <c r="D24" s="44">
        <f>SUM(Apr!D24, May!D24, Jun!D24)</f>
        <v>0</v>
      </c>
      <c r="E24" s="44">
        <f t="shared" si="6"/>
        <v>0</v>
      </c>
      <c r="F24" s="45" t="str">
        <f t="shared" si="7"/>
        <v/>
      </c>
      <c r="G24" s="39">
        <f>SUM(Apr!G24, May!G24, Jun!G24)</f>
        <v>0</v>
      </c>
      <c r="H24" s="46">
        <f>SUM(Apr!H24, May!H24, Jun!H24)</f>
        <v>0</v>
      </c>
      <c r="I24" s="45" t="str">
        <f t="shared" si="8"/>
        <v/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38 DN</v>
      </c>
      <c r="B1" s="91"/>
      <c r="C1" s="91"/>
      <c r="D1" s="92" t="s">
        <v>14</v>
      </c>
      <c r="E1" s="92"/>
      <c r="F1" s="92"/>
      <c r="G1" s="90" t="s">
        <v>15</v>
      </c>
      <c r="H1" s="90"/>
      <c r="I1" s="90"/>
    </row>
    <row r="2" spans="1:9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>
        <f>SUM(Jul!G4,Aug!G4,Sep!G4)</f>
        <v>0</v>
      </c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>
        <f>SUM(Jul!G5,Aug!G5,Sep!G5)</f>
        <v>0</v>
      </c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>
        <f>SUM(Jul!G6,Aug!G6,Sep!G6)</f>
        <v>0</v>
      </c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>
        <f>SUM(Jul!G7,Aug!G7,Sep!G7)</f>
        <v>0</v>
      </c>
      <c r="H7" s="46">
        <f>SUM(Jul!H7, Aug!H7, Sep!H7)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>
        <f>SUM(Jul!G8,Aug!G8,Sep!G8)</f>
        <v>0</v>
      </c>
      <c r="H8" s="39">
        <f>SUM(Jul!H8, Aug!H8, Sep!H8)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>
        <f>SUM(Jul!G9,Aug!G9,Sep!G9)</f>
        <v>0</v>
      </c>
      <c r="H9" s="46">
        <f>SUM(Jul!H9, Aug!H9, Sep!H9)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>
        <f>SUM(Jul!G10,Aug!G10,Sep!G10)</f>
        <v>0</v>
      </c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>
        <f>SUM(Jul!G11,Aug!G11,Sep!G11)</f>
        <v>0</v>
      </c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>
        <f>SUM(Jul!G12,Aug!G12,Sep!G12)</f>
        <v>0</v>
      </c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>
        <f>SUM(Jul!G13,Aug!G13,Sep!G13)</f>
        <v>0</v>
      </c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>
        <f>SUM(Jul!G14,Aug!G14,Sep!G14)</f>
        <v>0</v>
      </c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>
        <f>SUM(Jul!G15,Aug!G15,Sep!G15)</f>
        <v>0</v>
      </c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>
        <f>SUM(Jul!G16,Aug!G16,Sep!G16)</f>
        <v>0</v>
      </c>
      <c r="H16" s="39">
        <f>SUM(Jul!H16, Aug!H16, Sep!H16)</f>
        <v>0</v>
      </c>
      <c r="I16" s="40" t="str">
        <f t="shared" ref="I16:I19" si="5">IFERROR(H16/G16, "")</f>
        <v/>
      </c>
    </row>
    <row r="17" spans="1:9" ht="15.75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>
        <f>SUM(Jul!G17,Aug!G17,Sep!G17)</f>
        <v>0</v>
      </c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>
        <f>SUM(Jul!G18,Aug!G18,Sep!G18)</f>
        <v>0</v>
      </c>
      <c r="H18" s="39">
        <f>SUM(Jul!H18, Aug!H18, Sep!H18)</f>
        <v>0</v>
      </c>
      <c r="I18" s="40" t="str">
        <f t="shared" si="5"/>
        <v/>
      </c>
    </row>
    <row r="19" spans="1:9" ht="15.75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>
        <f>SUM(Jul!G19,Aug!G19,Sep!G19)</f>
        <v>0</v>
      </c>
      <c r="H19" s="46">
        <f>SUM(Jul!H19, Aug!H19, Sep!H19)</f>
        <v>0</v>
      </c>
      <c r="I19" s="45" t="str">
        <f t="shared" si="5"/>
        <v/>
      </c>
    </row>
    <row r="20" spans="1:9" ht="15.75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>
        <f>SUM(Jul!G20,Aug!G20,Sep!G20)</f>
        <v>0</v>
      </c>
      <c r="H20" s="39">
        <f>SUM(Jul!H20, Aug!H20, Sep!H20)</f>
        <v>0</v>
      </c>
      <c r="I20" s="40" t="str">
        <f t="shared" ref="I20:I24" si="8">IFERROR(H20/G20, "")</f>
        <v/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>
        <f>SUM(Jul!G21,Aug!G21,Sep!G21)</f>
        <v>0</v>
      </c>
      <c r="H21" s="46">
        <f>SUM(Jul!H21, Aug!H21, Sep!H21)</f>
        <v>0</v>
      </c>
      <c r="I21" s="45" t="str">
        <f t="shared" si="8"/>
        <v/>
      </c>
    </row>
    <row r="22" spans="1:9" ht="15.75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>
        <f>SUM(Jul!G22,Aug!G22,Sep!G22)</f>
        <v>0</v>
      </c>
      <c r="H22" s="39">
        <f>SUM(Jul!H22, Aug!H22, Sep!H22)</f>
        <v>0</v>
      </c>
      <c r="I22" s="40" t="str">
        <f t="shared" si="8"/>
        <v/>
      </c>
    </row>
    <row r="23" spans="1:9" ht="15.75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>
        <f>SUM(Jul!G23,Aug!G23,Sep!G23)</f>
        <v>0</v>
      </c>
      <c r="H23" s="46">
        <f>SUM(Jul!H23, Aug!H23, Sep!H23)</f>
        <v>0</v>
      </c>
      <c r="I23" s="45" t="str">
        <f t="shared" si="8"/>
        <v/>
      </c>
    </row>
    <row r="24" spans="1:9" ht="15.75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>
        <f>SUM(Jul!G24,Aug!G24,Sep!G24)</f>
        <v>0</v>
      </c>
      <c r="H24" s="39">
        <f>SUM(Jul!H24, Aug!H24, Sep!H24)</f>
        <v>0</v>
      </c>
      <c r="I24" s="40" t="str">
        <f t="shared" si="8"/>
        <v/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1" t="str" cm="1">
        <f t="array" ref="A1">portfolio</f>
        <v>38 DN</v>
      </c>
      <c r="B1" s="91"/>
      <c r="C1" s="91"/>
      <c r="D1" s="92" t="s">
        <v>16</v>
      </c>
      <c r="E1" s="92"/>
      <c r="F1" s="92"/>
      <c r="G1" s="90" t="s">
        <v>17</v>
      </c>
      <c r="H1" s="90"/>
      <c r="I1" s="90"/>
    </row>
    <row r="2" spans="1:9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2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2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2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2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0"/>
  <sheetViews>
    <sheetView tabSelected="1" zoomScale="60" zoomScaleNormal="60" workbookViewId="0">
      <pane xSplit="2" ySplit="3" topLeftCell="C4" activePane="bottomRight" state="frozen"/>
      <selection pane="bottomRight" activeCell="O9" sqref="O9"/>
      <selection pane="bottomLeft" activeCell="D28" sqref="D28"/>
      <selection pane="topRight" activeCell="D28" sqref="D28"/>
    </sheetView>
  </sheetViews>
  <sheetFormatPr defaultRowHeight="13.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2" ht="15">
      <c r="A1" s="91" t="str" cm="1">
        <f t="array" ref="A1">portfolio</f>
        <v>38 DN</v>
      </c>
      <c r="B1" s="91"/>
      <c r="C1" s="91"/>
      <c r="D1" s="92" t="s">
        <v>18</v>
      </c>
      <c r="E1" s="92"/>
      <c r="F1" s="92"/>
      <c r="G1" s="90" t="s">
        <v>19</v>
      </c>
      <c r="H1" s="90"/>
      <c r="I1" s="90"/>
      <c r="J1" s="4"/>
      <c r="K1" s="4"/>
    </row>
    <row r="2" spans="1:12" ht="15">
      <c r="A2" s="93" t="s">
        <v>2</v>
      </c>
      <c r="B2" s="93"/>
      <c r="C2" s="5">
        <f>SUM(C4:C98)</f>
        <v>1879993.2466777409</v>
      </c>
      <c r="D2" s="5">
        <f>SUM(D4:D98)</f>
        <v>3100330.8500000006</v>
      </c>
      <c r="E2" s="5">
        <f>C2-D2</f>
        <v>-1220337.6033222596</v>
      </c>
      <c r="F2" s="6">
        <f>IFERROR(E2/D2, 0)</f>
        <v>-0.39361528248582223</v>
      </c>
      <c r="G2" s="5">
        <f>SUM(G4:G98)</f>
        <v>2316666.0300000003</v>
      </c>
      <c r="H2" s="7">
        <f>C2-G2</f>
        <v>-436672.78332225932</v>
      </c>
      <c r="I2" s="6">
        <f>IFERROR(H2/G2, 0)</f>
        <v>-0.18849190071745442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2" ht="80.25" customHeight="1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129016</v>
      </c>
      <c r="D4" s="37">
        <v>74840.77</v>
      </c>
      <c r="E4" s="37">
        <f>IF(AND(ISNUMBER(C4),ISNUMBER(D4)), C4-D4, "")</f>
        <v>54175.229999999996</v>
      </c>
      <c r="F4" s="40">
        <f>IFERROR(E4/D4, "")</f>
        <v>0.72387323112789981</v>
      </c>
      <c r="G4" s="39">
        <v>144521</v>
      </c>
      <c r="H4" s="39">
        <f>IF(AND(ISNUMBER(C4),ISNUMBER(G4)), C4-G4, "")</f>
        <v>-15505</v>
      </c>
      <c r="I4" s="40">
        <f>IFERROR(H4/G4, "")</f>
        <v>-0.10728544640571266</v>
      </c>
      <c r="J4" s="66" t="s">
        <v>22</v>
      </c>
      <c r="K4" s="86" t="s">
        <v>23</v>
      </c>
    </row>
    <row r="5" spans="1:12" ht="15.75">
      <c r="A5" s="53" t="str">
        <v>Barton Acres</v>
      </c>
      <c r="B5" s="50" t="str">
        <v>MA</v>
      </c>
      <c r="C5" s="44">
        <v>56999</v>
      </c>
      <c r="D5" s="44">
        <v>142857.9</v>
      </c>
      <c r="E5" s="44">
        <f t="shared" ref="E5:E17" si="0">IF(AND(ISNUMBER(C5),ISNUMBER(D5)), C5-D5, "")</f>
        <v>-85858.9</v>
      </c>
      <c r="F5" s="45">
        <f t="shared" ref="F5:F24" si="1">IFERROR(E5/D5, "")</f>
        <v>-0.60100911465169238</v>
      </c>
      <c r="G5" s="46">
        <v>69105.149999999994</v>
      </c>
      <c r="H5" s="46">
        <f t="shared" ref="H5:H6" si="2">IF(AND(ISNUMBER(C5),ISNUMBER(G5)), C5-G5, "")</f>
        <v>-12106.149999999994</v>
      </c>
      <c r="I5" s="45">
        <f t="shared" ref="I5:I6" si="3">IFERROR(H5/G5, "")</f>
        <v>-0.1751844833561608</v>
      </c>
      <c r="J5" s="85" t="s">
        <v>24</v>
      </c>
      <c r="K5" s="87" t="s">
        <v>25</v>
      </c>
    </row>
    <row r="6" spans="1:12" ht="36" customHeight="1">
      <c r="A6" s="54" t="str">
        <v>Bowden</v>
      </c>
      <c r="B6" s="48" t="str">
        <v>MA</v>
      </c>
      <c r="C6" s="37">
        <v>138818</v>
      </c>
      <c r="D6" s="37">
        <v>194548.5</v>
      </c>
      <c r="E6" s="37">
        <f t="shared" si="0"/>
        <v>-55730.5</v>
      </c>
      <c r="F6" s="40">
        <f t="shared" si="1"/>
        <v>-0.28646070260115086</v>
      </c>
      <c r="G6" s="39">
        <v>166837.29999999999</v>
      </c>
      <c r="H6" s="39">
        <f t="shared" si="2"/>
        <v>-28019.299999999988</v>
      </c>
      <c r="I6" s="40">
        <f t="shared" si="3"/>
        <v>-0.16794385907707682</v>
      </c>
      <c r="J6" s="66" t="s">
        <v>26</v>
      </c>
      <c r="K6" s="86" t="s">
        <v>27</v>
      </c>
      <c r="L6" s="89" t="s">
        <v>28</v>
      </c>
    </row>
    <row r="7" spans="1:12" ht="15.75">
      <c r="A7" s="53" t="str">
        <v>Blair Wire Village</v>
      </c>
      <c r="B7" s="50" t="str">
        <v>MA</v>
      </c>
      <c r="C7" s="44">
        <v>67575</v>
      </c>
      <c r="D7" s="44">
        <v>148603.1</v>
      </c>
      <c r="E7" s="44">
        <f t="shared" si="0"/>
        <v>-81028.100000000006</v>
      </c>
      <c r="F7" s="45">
        <f t="shared" si="1"/>
        <v>-0.54526520644589516</v>
      </c>
      <c r="G7" s="46">
        <v>82695.73</v>
      </c>
      <c r="H7" s="46">
        <f t="shared" ref="H7:H15" si="4">IF(AND(ISNUMBER(C7),ISNUMBER(G7)), C7-G7, "")</f>
        <v>-15120.729999999996</v>
      </c>
      <c r="I7" s="45">
        <f t="shared" ref="I7:I24" si="5">IFERROR(H7/G7, "")</f>
        <v>-0.18284777218847933</v>
      </c>
      <c r="J7" s="85"/>
      <c r="K7" s="85"/>
    </row>
    <row r="8" spans="1:12" ht="15.75">
      <c r="A8" s="54" t="str">
        <v>Boutilier</v>
      </c>
      <c r="B8" s="48" t="str">
        <v>MA</v>
      </c>
      <c r="C8" s="37">
        <v>197770</v>
      </c>
      <c r="D8" s="37">
        <v>316212.5</v>
      </c>
      <c r="E8" s="37">
        <f t="shared" si="0"/>
        <v>-118442.5</v>
      </c>
      <c r="F8" s="40">
        <f t="shared" si="1"/>
        <v>-0.37456615408941774</v>
      </c>
      <c r="G8" s="39">
        <v>189703.5</v>
      </c>
      <c r="H8" s="39">
        <f t="shared" si="4"/>
        <v>8066.5</v>
      </c>
      <c r="I8" s="40">
        <f t="shared" si="5"/>
        <v>4.2521619263745793E-2</v>
      </c>
      <c r="J8" s="66"/>
      <c r="K8" s="66"/>
    </row>
    <row r="9" spans="1:12" ht="30.75">
      <c r="A9" s="53" t="str">
        <v>Cherry Valley</v>
      </c>
      <c r="B9" s="50" t="str">
        <v>MA</v>
      </c>
      <c r="C9" s="44">
        <v>62784</v>
      </c>
      <c r="D9" s="44">
        <v>141889.9</v>
      </c>
      <c r="E9" s="44">
        <f t="shared" si="0"/>
        <v>-79105.899999999994</v>
      </c>
      <c r="F9" s="45">
        <f t="shared" si="1"/>
        <v>-0.55751607408279236</v>
      </c>
      <c r="G9" s="46">
        <v>77483</v>
      </c>
      <c r="H9" s="46">
        <f t="shared" si="4"/>
        <v>-14699</v>
      </c>
      <c r="I9" s="45">
        <f t="shared" si="5"/>
        <v>-0.18970612908638024</v>
      </c>
      <c r="J9" s="85" t="s">
        <v>29</v>
      </c>
      <c r="K9" s="87" t="s">
        <v>30</v>
      </c>
    </row>
    <row r="10" spans="1:12" ht="15.75">
      <c r="A10" s="54" t="str">
        <v>Cohasse</v>
      </c>
      <c r="B10" s="48" t="str">
        <v>MA</v>
      </c>
      <c r="C10" s="37">
        <v>68246</v>
      </c>
      <c r="D10" s="37">
        <v>140408.6</v>
      </c>
      <c r="E10" s="37">
        <f t="shared" si="0"/>
        <v>-72162.600000000006</v>
      </c>
      <c r="F10" s="40">
        <f t="shared" si="1"/>
        <v>-0.51394715138531399</v>
      </c>
      <c r="G10" s="39">
        <v>113608.5</v>
      </c>
      <c r="H10" s="39">
        <f t="shared" si="4"/>
        <v>-45362.5</v>
      </c>
      <c r="I10" s="40">
        <f t="shared" si="5"/>
        <v>-0.39928790539440273</v>
      </c>
      <c r="J10" s="66"/>
      <c r="K10" s="66"/>
    </row>
    <row r="11" spans="1:12" ht="60.75">
      <c r="A11" s="53" t="str">
        <v>ISM Dighton Solar 2</v>
      </c>
      <c r="B11" s="50" t="str">
        <v>MA</v>
      </c>
      <c r="C11" s="44">
        <v>216783</v>
      </c>
      <c r="D11" s="44">
        <v>272074.2</v>
      </c>
      <c r="E11" s="44">
        <f t="shared" si="0"/>
        <v>-55291.200000000012</v>
      </c>
      <c r="F11" s="45">
        <f t="shared" si="1"/>
        <v>-0.20322103308582737</v>
      </c>
      <c r="G11" s="46">
        <v>194872.6</v>
      </c>
      <c r="H11" s="46">
        <f t="shared" si="4"/>
        <v>21910.399999999994</v>
      </c>
      <c r="I11" s="45">
        <f t="shared" si="5"/>
        <v>0.11243448283647878</v>
      </c>
      <c r="J11" s="85" t="s">
        <v>31</v>
      </c>
      <c r="K11" s="88" t="s">
        <v>32</v>
      </c>
      <c r="L11" s="89" t="s">
        <v>33</v>
      </c>
    </row>
    <row r="12" spans="1:12" ht="28.5">
      <c r="A12" s="54" t="str">
        <v>Dudley River 1</v>
      </c>
      <c r="B12" s="48" t="str">
        <v>MA</v>
      </c>
      <c r="C12" s="37">
        <v>81072</v>
      </c>
      <c r="D12" s="37">
        <v>112668.6</v>
      </c>
      <c r="E12" s="37">
        <f t="shared" si="0"/>
        <v>-31596.600000000006</v>
      </c>
      <c r="F12" s="40">
        <f t="shared" si="1"/>
        <v>-0.28043838300999574</v>
      </c>
      <c r="G12" s="39">
        <v>83342.55</v>
      </c>
      <c r="H12" s="39">
        <f t="shared" si="4"/>
        <v>-2270.5500000000029</v>
      </c>
      <c r="I12" s="40">
        <f t="shared" si="5"/>
        <v>-2.7243586859293397E-2</v>
      </c>
      <c r="J12" s="66" t="s">
        <v>34</v>
      </c>
      <c r="K12" s="86" t="s">
        <v>35</v>
      </c>
    </row>
    <row r="13" spans="1:12" ht="91.5">
      <c r="A13" s="53" t="str">
        <v>Dudley River 2</v>
      </c>
      <c r="B13" s="50" t="str">
        <v>MA</v>
      </c>
      <c r="C13" s="44">
        <v>77646</v>
      </c>
      <c r="D13" s="44">
        <v>116307.2</v>
      </c>
      <c r="E13" s="44">
        <f t="shared" si="0"/>
        <v>-38661.199999999997</v>
      </c>
      <c r="F13" s="45">
        <f t="shared" si="1"/>
        <v>-0.33240590436361633</v>
      </c>
      <c r="G13" s="46">
        <v>81508.990000000005</v>
      </c>
      <c r="H13" s="46">
        <f t="shared" si="4"/>
        <v>-3862.9900000000052</v>
      </c>
      <c r="I13" s="45">
        <f t="shared" si="5"/>
        <v>-4.7393422492414704E-2</v>
      </c>
      <c r="J13" s="85" t="s">
        <v>36</v>
      </c>
      <c r="K13" s="88" t="s">
        <v>37</v>
      </c>
      <c r="L13" s="89" t="s">
        <v>38</v>
      </c>
    </row>
    <row r="14" spans="1:12" ht="30.75">
      <c r="A14" s="54" t="str">
        <v>Dudley River 3</v>
      </c>
      <c r="B14" s="48" t="str">
        <v>MA</v>
      </c>
      <c r="C14" s="37">
        <v>94540</v>
      </c>
      <c r="D14" s="37">
        <v>117412.4</v>
      </c>
      <c r="E14" s="37">
        <f t="shared" si="0"/>
        <v>-22872.399999999994</v>
      </c>
      <c r="F14" s="40">
        <f t="shared" si="1"/>
        <v>-0.19480395597057887</v>
      </c>
      <c r="G14" s="39">
        <v>83727.59</v>
      </c>
      <c r="H14" s="39">
        <f t="shared" si="4"/>
        <v>10812.410000000003</v>
      </c>
      <c r="I14" s="40">
        <f t="shared" si="5"/>
        <v>0.12913795798971406</v>
      </c>
      <c r="J14" s="66" t="s">
        <v>39</v>
      </c>
      <c r="K14" s="86" t="s">
        <v>40</v>
      </c>
    </row>
    <row r="15" spans="1:12" ht="30.75">
      <c r="A15" s="53" t="str">
        <v>Flint Pond</v>
      </c>
      <c r="B15" s="50" t="str">
        <v>MA</v>
      </c>
      <c r="C15" s="44">
        <v>30334</v>
      </c>
      <c r="D15" s="44">
        <v>62237.73</v>
      </c>
      <c r="E15" s="44">
        <f t="shared" si="0"/>
        <v>-31903.730000000003</v>
      </c>
      <c r="F15" s="45">
        <f t="shared" si="1"/>
        <v>-0.51261075877928075</v>
      </c>
      <c r="G15" s="46">
        <v>33375.620000000003</v>
      </c>
      <c r="H15" s="46">
        <f t="shared" si="4"/>
        <v>-3041.6200000000026</v>
      </c>
      <c r="I15" s="45">
        <f t="shared" si="5"/>
        <v>-9.1132988690547242E-2</v>
      </c>
      <c r="J15" s="85" t="s">
        <v>41</v>
      </c>
      <c r="K15" s="87" t="s">
        <v>42</v>
      </c>
    </row>
    <row r="16" spans="1:12" ht="30.75">
      <c r="A16" s="54" t="str">
        <v>Incom</v>
      </c>
      <c r="B16" s="48" t="str">
        <v>MA</v>
      </c>
      <c r="C16" s="37">
        <v>130021</v>
      </c>
      <c r="D16" s="37">
        <v>227416.1</v>
      </c>
      <c r="E16" s="37">
        <f t="shared" ref="E16:E24" si="6">IF(AND(ISNUMBER(C16),ISNUMBER(D16)), C16-D16, "")</f>
        <v>-97395.1</v>
      </c>
      <c r="F16" s="40">
        <f t="shared" si="1"/>
        <v>-0.42826827124376859</v>
      </c>
      <c r="G16" s="39">
        <v>219053.9</v>
      </c>
      <c r="H16" s="39">
        <f t="shared" ref="H16:H17" si="7">IF(AND(ISNUMBER(C16),ISNUMBER(G16)), C16-G16, "")</f>
        <v>-89032.9</v>
      </c>
      <c r="I16" s="40">
        <f t="shared" si="5"/>
        <v>-0.40644288917019966</v>
      </c>
      <c r="J16" s="66" t="s">
        <v>43</v>
      </c>
      <c r="K16" s="86" t="s">
        <v>44</v>
      </c>
    </row>
    <row r="17" spans="1:11" ht="15.75">
      <c r="A17" s="53" t="str">
        <v>JH</v>
      </c>
      <c r="B17" s="49" t="str">
        <v>MA</v>
      </c>
      <c r="C17" s="44">
        <v>61371</v>
      </c>
      <c r="D17" s="44">
        <v>130704.5</v>
      </c>
      <c r="E17" s="44">
        <f t="shared" si="0"/>
        <v>-69333.5</v>
      </c>
      <c r="F17" s="45">
        <f t="shared" si="1"/>
        <v>-0.53045993060682683</v>
      </c>
      <c r="G17" s="46">
        <v>105686.5</v>
      </c>
      <c r="H17" s="46">
        <f t="shared" si="7"/>
        <v>-44315.5</v>
      </c>
      <c r="I17" s="45">
        <f t="shared" si="5"/>
        <v>-0.41931088644245007</v>
      </c>
      <c r="J17" s="58"/>
      <c r="K17" s="58"/>
    </row>
    <row r="18" spans="1:11" ht="15.75">
      <c r="A18" s="54" t="str">
        <v>Ledeaux</v>
      </c>
      <c r="B18" s="51" t="str">
        <v>MA</v>
      </c>
      <c r="C18" s="37">
        <v>55084</v>
      </c>
      <c r="D18" s="37">
        <v>97988.62</v>
      </c>
      <c r="E18" s="37">
        <f t="shared" si="6"/>
        <v>-42904.619999999995</v>
      </c>
      <c r="F18" s="40">
        <f t="shared" si="1"/>
        <v>-0.43785308947100182</v>
      </c>
      <c r="G18" s="39">
        <v>98275.13</v>
      </c>
      <c r="H18" s="39">
        <f t="shared" ref="H18:H24" si="8">IF(AND(ISNUMBER(C18),ISNUMBER(G18)), C18-G18, "")</f>
        <v>-43191.130000000005</v>
      </c>
      <c r="I18" s="40">
        <f t="shared" si="5"/>
        <v>-0.43949196505769061</v>
      </c>
      <c r="J18" s="57"/>
      <c r="K18" s="57"/>
    </row>
    <row r="19" spans="1:11" ht="15.75">
      <c r="A19" s="53" t="str">
        <v>Palombo A</v>
      </c>
      <c r="B19" s="49" t="str">
        <v>MA</v>
      </c>
      <c r="C19" s="44">
        <v>160890.996677741</v>
      </c>
      <c r="D19" s="44">
        <v>285170.7</v>
      </c>
      <c r="E19" s="44">
        <f t="shared" si="6"/>
        <v>-124279.70332225901</v>
      </c>
      <c r="F19" s="45">
        <f t="shared" si="1"/>
        <v>-0.43580810834443723</v>
      </c>
      <c r="G19" s="46">
        <v>250093</v>
      </c>
      <c r="H19" s="46">
        <f t="shared" si="8"/>
        <v>-89202.003322258999</v>
      </c>
      <c r="I19" s="45">
        <f t="shared" si="5"/>
        <v>-0.35667533006625135</v>
      </c>
      <c r="J19" s="58"/>
      <c r="K19" s="58"/>
    </row>
    <row r="20" spans="1:11" ht="15.75">
      <c r="A20" s="54" t="str">
        <v>Palombo B</v>
      </c>
      <c r="B20" s="51" t="str">
        <v>MA</v>
      </c>
      <c r="C20" s="37">
        <v>65753</v>
      </c>
      <c r="D20" s="37">
        <v>144714.1</v>
      </c>
      <c r="E20" s="37">
        <f t="shared" si="6"/>
        <v>-78961.100000000006</v>
      </c>
      <c r="F20" s="40">
        <f t="shared" si="1"/>
        <v>-0.54563515234521032</v>
      </c>
      <c r="G20" s="39">
        <v>71408.820000000007</v>
      </c>
      <c r="H20" s="39">
        <f t="shared" si="8"/>
        <v>-5655.820000000007</v>
      </c>
      <c r="I20" s="40">
        <f t="shared" si="5"/>
        <v>-7.9203381319002425E-2</v>
      </c>
      <c r="J20" s="57"/>
      <c r="K20" s="57"/>
    </row>
    <row r="21" spans="1:11" ht="15.75">
      <c r="A21" s="53" t="str">
        <v>St Josephs Church</v>
      </c>
      <c r="B21" s="49" t="str">
        <v>MA</v>
      </c>
      <c r="C21" s="44">
        <v>69927</v>
      </c>
      <c r="D21" s="44">
        <v>146021.70000000001</v>
      </c>
      <c r="E21" s="44">
        <f t="shared" si="6"/>
        <v>-76094.700000000012</v>
      </c>
      <c r="F21" s="45">
        <f t="shared" si="1"/>
        <v>-0.52111912133607541</v>
      </c>
      <c r="G21" s="46">
        <v>91072.42</v>
      </c>
      <c r="H21" s="46">
        <f t="shared" si="8"/>
        <v>-21145.42</v>
      </c>
      <c r="I21" s="45">
        <f t="shared" si="5"/>
        <v>-0.23218247631939504</v>
      </c>
      <c r="J21" s="58"/>
      <c r="K21" s="58"/>
    </row>
    <row r="22" spans="1:11" ht="15.75">
      <c r="A22" s="54" t="str">
        <v>Sunset A</v>
      </c>
      <c r="B22" s="51" t="str">
        <v>MA</v>
      </c>
      <c r="C22" s="37">
        <v>27107</v>
      </c>
      <c r="D22" s="37">
        <v>67386.600000000006</v>
      </c>
      <c r="E22" s="37">
        <f t="shared" si="6"/>
        <v>-40279.600000000006</v>
      </c>
      <c r="F22" s="40">
        <f t="shared" si="1"/>
        <v>-0.59773901636230353</v>
      </c>
      <c r="G22" s="39">
        <v>32533.05</v>
      </c>
      <c r="H22" s="39">
        <f t="shared" si="8"/>
        <v>-5426.0499999999993</v>
      </c>
      <c r="I22" s="40">
        <f t="shared" si="5"/>
        <v>-0.16678577631055186</v>
      </c>
      <c r="J22" s="57"/>
      <c r="K22" s="57"/>
    </row>
    <row r="23" spans="1:11" ht="15.75">
      <c r="A23" s="53" t="str">
        <v>Sunset B</v>
      </c>
      <c r="B23" s="49" t="str">
        <v>MA</v>
      </c>
      <c r="C23" s="44">
        <v>26946.25</v>
      </c>
      <c r="D23" s="44">
        <v>49373.03</v>
      </c>
      <c r="E23" s="44">
        <f t="shared" si="6"/>
        <v>-22426.78</v>
      </c>
      <c r="F23" s="45">
        <f t="shared" si="1"/>
        <v>-0.45423138908023264</v>
      </c>
      <c r="G23" s="46">
        <v>32145.45</v>
      </c>
      <c r="H23" s="46">
        <f t="shared" si="8"/>
        <v>-5199.2000000000007</v>
      </c>
      <c r="I23" s="45">
        <f t="shared" si="5"/>
        <v>-0.16173984187497767</v>
      </c>
      <c r="J23" s="58"/>
      <c r="K23" s="58"/>
    </row>
    <row r="24" spans="1:11" ht="15.75">
      <c r="A24" s="54" t="str">
        <v>Woodchuck</v>
      </c>
      <c r="B24" s="51" t="str">
        <v>MA</v>
      </c>
      <c r="C24" s="37">
        <v>61310</v>
      </c>
      <c r="D24" s="37">
        <v>111494.1</v>
      </c>
      <c r="E24" s="37">
        <f t="shared" si="6"/>
        <v>-50184.100000000006</v>
      </c>
      <c r="F24" s="40">
        <f t="shared" si="1"/>
        <v>-0.45010543158785982</v>
      </c>
      <c r="G24" s="39">
        <v>95616.23</v>
      </c>
      <c r="H24" s="39">
        <f t="shared" si="8"/>
        <v>-34306.229999999996</v>
      </c>
      <c r="I24" s="40">
        <f t="shared" si="5"/>
        <v>-0.35879086636233198</v>
      </c>
      <c r="J24" s="57"/>
      <c r="K24" s="57"/>
    </row>
    <row r="25" spans="1:11" ht="14.2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5378" xr:uid="{43AD1C65-EB2C-4C7E-9249-950E8B7142ED}"/>
    <hyperlink ref="K5" r:id="rId2" display="https://us3.assetplanner.com/service_request?ID=095405" xr:uid="{51302829-C319-4062-9CE8-2D4EAA373FA7}"/>
    <hyperlink ref="K6" r:id="rId3" display="https://us3.assetplanner.com/service_request?ID=095329" xr:uid="{899A955E-5DD1-4C12-9563-206C23772347}"/>
    <hyperlink ref="L6" r:id="rId4" display="https://us3.assetplanner.com/service_request?ID=096129" xr:uid="{6BE29F3D-B3A5-4480-8E14-F97270F1279F}"/>
    <hyperlink ref="K9" r:id="rId5" display="https://us3.assetplanner.com/service_request?ID=095966" xr:uid="{EE37A5CA-A8A4-46BD-A273-917BFE98B602}"/>
    <hyperlink ref="K11" r:id="rId6" display="https://us3.assetplanner.com/service_request?ID=095306" xr:uid="{2B5C4398-D5D1-4455-92C9-F4292E1D7C36}"/>
    <hyperlink ref="L11" r:id="rId7" display="https://us3.assetplanner.com/service_request?ID=095988" xr:uid="{F1540334-6D2F-48ED-B2AE-6811330D605F}"/>
    <hyperlink ref="K12" r:id="rId8" display="https://us3.assetplanner.com/service_request?ID=095426" xr:uid="{87174EDF-BFDC-4FDB-B718-42013D4CF3A0}"/>
    <hyperlink ref="K13" r:id="rId9" display="https://us3.assetplanner.com/service_request?ID=095387" xr:uid="{40A78E8B-664A-47CA-B6E3-3A9AEB77F536}"/>
    <hyperlink ref="L13" r:id="rId10" display="https://us3.assetplanner.com/service_request?ID=095983" xr:uid="{28BF1442-08EE-42A2-A190-CA16704B207C}"/>
    <hyperlink ref="K14" r:id="rId11" display="https://us3.assetplanner.com/service_request?ID=095427" xr:uid="{A0AD1E88-637A-47E7-9B22-057219AB6C2E}"/>
    <hyperlink ref="K15" r:id="rId12" display="https://us3.assetplanner.com/service_request?ID=092409" xr:uid="{D4B8005F-5311-4DCA-872F-5BDBC9FBE19E}"/>
    <hyperlink ref="K16" r:id="rId13" display="https://us3.assetplanner.com/service_request?ID=095216" xr:uid="{01079E08-FC8E-470D-8E4F-5373DA73711C}"/>
  </hyperlinks>
  <pageMargins left="0.4" right="0.7" top="0.25" bottom="0.25" header="0.3" footer="0.3"/>
  <pageSetup fitToHeight="99" orientation="landscape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9" sqref="J9"/>
      <selection pane="bottomLeft" activeCell="J14" sqref="J14"/>
      <selection pane="topRight" activeCell="J14" sqref="J1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45</v>
      </c>
      <c r="E1" s="92"/>
      <c r="F1" s="92"/>
      <c r="G1" s="90" t="s">
        <v>46</v>
      </c>
      <c r="H1" s="90"/>
      <c r="I1" s="90"/>
      <c r="J1" s="60"/>
      <c r="K1" s="60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84" t="s">
        <v>20</v>
      </c>
      <c r="K3" s="62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63"/>
      <c r="K4" s="63"/>
    </row>
    <row r="5" spans="1:11" ht="15.75">
      <c r="A5" s="53" t="str">
        <v>Barton Acres</v>
      </c>
      <c r="B5" s="50" t="str">
        <v>MA</v>
      </c>
      <c r="C5" s="43"/>
      <c r="D5" s="44"/>
      <c r="E5" s="44" t="str">
        <f t="shared" ref="E5:E15" si="0">IF(AND(ISNUMBER(C5),ISNUMBER(D5)), C5-D5, "")</f>
        <v/>
      </c>
      <c r="F5" s="45" t="str">
        <f>IFERROR(E5/D5, "")</f>
        <v/>
      </c>
      <c r="G5" s="46"/>
      <c r="H5" s="46" t="str">
        <f t="shared" ref="H5:H15" si="1">IF(AND(ISNUMBER(C5),ISNUMBER(G5)), C5-G5, "")</f>
        <v/>
      </c>
      <c r="I5" s="45" t="str">
        <f t="shared" ref="I5:I23" si="2">IFERROR(H5/G5, "")</f>
        <v/>
      </c>
      <c r="J5" s="65"/>
      <c r="K5" s="65"/>
    </row>
    <row r="6" spans="1:11" ht="15.75">
      <c r="A6" s="54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5" si="3">IFERROR(E6/D6, "")</f>
        <v/>
      </c>
      <c r="G6" s="39"/>
      <c r="H6" s="39" t="str">
        <f t="shared" si="1"/>
        <v/>
      </c>
      <c r="I6" s="40" t="str">
        <f t="shared" si="2"/>
        <v/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65"/>
      <c r="K7" s="65"/>
    </row>
    <row r="8" spans="1:11" ht="15.75">
      <c r="A8" s="54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63"/>
      <c r="K8" s="63"/>
    </row>
    <row r="9" spans="1:11" ht="15.75">
      <c r="A9" s="53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5"/>
      <c r="K9" s="65"/>
    </row>
    <row r="10" spans="1:11" ht="15.75">
      <c r="A10" s="54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63"/>
      <c r="K10" s="63"/>
    </row>
    <row r="11" spans="1:11" ht="15.75">
      <c r="A11" s="53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65"/>
      <c r="K11" s="65"/>
    </row>
    <row r="12" spans="1:11" ht="15.75">
      <c r="A12" s="54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63"/>
      <c r="K12" s="63"/>
    </row>
    <row r="13" spans="1:11" ht="15.75">
      <c r="A13" s="53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65"/>
      <c r="K13" s="65"/>
    </row>
    <row r="14" spans="1:11" ht="15.75">
      <c r="A14" s="54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63"/>
      <c r="K14" s="63"/>
    </row>
    <row r="15" spans="1:11" ht="15.75">
      <c r="A15" s="53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65"/>
      <c r="K15" s="65"/>
    </row>
    <row r="16" spans="1:11" ht="15.75">
      <c r="A16" s="54" t="str">
        <v>Incom</v>
      </c>
      <c r="B16" s="48" t="str">
        <v>MA</v>
      </c>
      <c r="C16" s="36"/>
      <c r="D16" s="37"/>
      <c r="E16" s="37" t="str">
        <f t="shared" ref="E16:E24" si="4">IF(AND(ISNUMBER(C16),ISNUMBER(D16)), C16-D16, "")</f>
        <v/>
      </c>
      <c r="F16" s="38" t="str">
        <f t="shared" ref="F16:F24" si="5">IFERROR(E16/D16, "")</f>
        <v/>
      </c>
      <c r="G16" s="39"/>
      <c r="H16" s="39" t="str">
        <f t="shared" ref="H16:H24" si="6">IF(AND(ISNUMBER(C16),ISNUMBER(G16)), C16-G16, "")</f>
        <v/>
      </c>
      <c r="I16" s="40" t="str">
        <f t="shared" ref="I16:I24" si="7">IFERROR(H16/G16, "")</f>
        <v/>
      </c>
      <c r="J16" s="63"/>
      <c r="K16" s="63"/>
    </row>
    <row r="17" spans="1:11" ht="15.75">
      <c r="A17" s="53" t="str">
        <v>JH</v>
      </c>
      <c r="B17" s="50" t="str">
        <v>MA</v>
      </c>
      <c r="C17" s="43"/>
      <c r="D17" s="44"/>
      <c r="E17" s="44"/>
      <c r="F17" s="45" t="str">
        <f t="shared" si="5"/>
        <v/>
      </c>
      <c r="G17" s="46"/>
      <c r="H17" s="46" t="str">
        <f t="shared" si="6"/>
        <v/>
      </c>
      <c r="I17" s="45" t="str">
        <f t="shared" si="2"/>
        <v/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/>
      <c r="D18" s="37"/>
      <c r="E18" s="37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63"/>
      <c r="K18" s="63"/>
    </row>
    <row r="19" spans="1:11" ht="15.75">
      <c r="A19" s="53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2"/>
        <v/>
      </c>
      <c r="J19" s="65"/>
      <c r="K19" s="65"/>
    </row>
    <row r="20" spans="1:11" ht="15.75">
      <c r="A20" s="54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63"/>
      <c r="K20" s="63"/>
    </row>
    <row r="21" spans="1:11" ht="15.75">
      <c r="A21" s="53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2"/>
        <v/>
      </c>
      <c r="J21" s="65"/>
      <c r="K21" s="65"/>
    </row>
    <row r="22" spans="1:11" ht="15.75">
      <c r="A22" s="54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63"/>
      <c r="K22" s="63"/>
    </row>
    <row r="23" spans="1:11" ht="15.75">
      <c r="A23" s="53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2"/>
        <v/>
      </c>
      <c r="J23" s="63"/>
      <c r="K23" s="65"/>
    </row>
    <row r="24" spans="1:11" ht="15.75">
      <c r="A24" s="54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63"/>
      <c r="K24" s="63"/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D11" sqref="D11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47</v>
      </c>
      <c r="E1" s="92"/>
      <c r="F1" s="92"/>
      <c r="G1" s="90" t="s">
        <v>48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44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66"/>
      <c r="K4" s="66"/>
    </row>
    <row r="5" spans="1:11" ht="15.75">
      <c r="A5" s="49" t="str">
        <v>Barton Acres</v>
      </c>
      <c r="B5" s="50" t="str">
        <v>MA</v>
      </c>
      <c r="C5" s="43"/>
      <c r="D5" s="37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67"/>
      <c r="K5" s="67"/>
    </row>
    <row r="6" spans="1:11" ht="15.75">
      <c r="A6" s="51" t="str">
        <v>Bowden</v>
      </c>
      <c r="B6" s="48" t="str">
        <v>MA</v>
      </c>
      <c r="C6" s="36"/>
      <c r="D6" s="44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66"/>
      <c r="K6" s="66"/>
    </row>
    <row r="7" spans="1:11" ht="15.75">
      <c r="A7" s="49" t="str">
        <v>Blair Wire Village</v>
      </c>
      <c r="B7" s="50" t="str">
        <v>MA</v>
      </c>
      <c r="C7" s="43"/>
      <c r="D7" s="37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67"/>
      <c r="K7" s="67"/>
    </row>
    <row r="8" spans="1:11" ht="15.75">
      <c r="A8" s="51" t="str">
        <v>Boutilier</v>
      </c>
      <c r="B8" s="48" t="str">
        <v>MA</v>
      </c>
      <c r="C8" s="36"/>
      <c r="D8" s="44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66"/>
      <c r="K8" s="66"/>
    </row>
    <row r="9" spans="1:11" ht="15.75">
      <c r="A9" s="49" t="str">
        <v>Cherry Valley</v>
      </c>
      <c r="B9" s="50" t="str">
        <v>MA</v>
      </c>
      <c r="C9" s="43"/>
      <c r="D9" s="37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67"/>
    </row>
    <row r="10" spans="1:11" ht="15.75">
      <c r="A10" s="51" t="str">
        <v>Cohasse</v>
      </c>
      <c r="B10" s="48" t="str">
        <v>MA</v>
      </c>
      <c r="C10" s="36"/>
      <c r="D10" s="44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66"/>
      <c r="K10" s="66"/>
    </row>
    <row r="11" spans="1:11" ht="15.75">
      <c r="A11" s="49" t="str">
        <v>ISM Dighton Solar 2</v>
      </c>
      <c r="B11" s="50" t="str">
        <v>MA</v>
      </c>
      <c r="C11" s="43"/>
      <c r="D11" s="37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67"/>
      <c r="K11" s="67"/>
    </row>
    <row r="12" spans="1:11" ht="15.75">
      <c r="A12" s="51" t="str">
        <v>Dudley River 1</v>
      </c>
      <c r="B12" s="48" t="str">
        <v>MA</v>
      </c>
      <c r="C12" s="36"/>
      <c r="D12" s="44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66"/>
      <c r="K12" s="66"/>
    </row>
    <row r="13" spans="1:11" ht="15.75">
      <c r="A13" s="49" t="str">
        <v>Dudley River 2</v>
      </c>
      <c r="B13" s="50" t="str">
        <v>MA</v>
      </c>
      <c r="C13" s="43"/>
      <c r="D13" s="37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67"/>
      <c r="K13" s="67"/>
    </row>
    <row r="14" spans="1:11" ht="15.75">
      <c r="A14" s="51" t="str">
        <v>Dudley River 3</v>
      </c>
      <c r="B14" s="48" t="str">
        <v>MA</v>
      </c>
      <c r="C14" s="36"/>
      <c r="D14" s="44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66"/>
      <c r="K14" s="66"/>
    </row>
    <row r="15" spans="1:11" ht="15.75">
      <c r="A15" s="49" t="str">
        <v>Flint Pond</v>
      </c>
      <c r="B15" s="50" t="str">
        <v>MA</v>
      </c>
      <c r="C15" s="43"/>
      <c r="D15" s="37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67"/>
      <c r="K15" s="67"/>
    </row>
    <row r="16" spans="1:11" ht="15.75">
      <c r="A16" s="51" t="str">
        <v>Incom</v>
      </c>
      <c r="B16" s="48" t="str">
        <v>MA</v>
      </c>
      <c r="C16" s="36"/>
      <c r="D16" s="44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66"/>
      <c r="K16" s="66"/>
    </row>
    <row r="17" spans="1:11" ht="15.75">
      <c r="A17" s="49" t="str">
        <v>JH</v>
      </c>
      <c r="B17" s="50" t="str">
        <v>MA</v>
      </c>
      <c r="C17" s="43"/>
      <c r="D17" s="37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67"/>
      <c r="K17" s="67"/>
    </row>
    <row r="18" spans="1:11" ht="15.75">
      <c r="A18" s="47" t="str">
        <v>Ledeaux</v>
      </c>
      <c r="B18" s="48" t="str">
        <v>MA</v>
      </c>
      <c r="C18" s="36"/>
      <c r="D18" s="44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66"/>
      <c r="K18" s="66"/>
    </row>
    <row r="19" spans="1:11" ht="15.75">
      <c r="A19" s="49" t="str">
        <v>Palombo A</v>
      </c>
      <c r="B19" s="50" t="str">
        <v>MA</v>
      </c>
      <c r="C19" s="43"/>
      <c r="D19" s="37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67"/>
      <c r="K19" s="67"/>
    </row>
    <row r="20" spans="1:11" ht="15.75">
      <c r="A20" s="51" t="str">
        <v>Palombo B</v>
      </c>
      <c r="B20" s="48" t="str">
        <v>MA</v>
      </c>
      <c r="C20" s="36"/>
      <c r="D20" s="44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66"/>
      <c r="K20" s="66"/>
    </row>
    <row r="21" spans="1:11" ht="15.75">
      <c r="A21" s="49" t="str">
        <v>St Josephs Church</v>
      </c>
      <c r="B21" s="50" t="str">
        <v>MA</v>
      </c>
      <c r="C21" s="43"/>
      <c r="D21" s="37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7"/>
    </row>
    <row r="22" spans="1:11" ht="15.75">
      <c r="A22" s="51" t="str">
        <v>Sunset A</v>
      </c>
      <c r="B22" s="48" t="str">
        <v>MA</v>
      </c>
      <c r="C22" s="36"/>
      <c r="D22" s="44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66"/>
      <c r="K22" s="66"/>
    </row>
    <row r="23" spans="1:11" ht="15.75">
      <c r="A23" s="49" t="str">
        <v>Sunset B</v>
      </c>
      <c r="B23" s="50" t="str">
        <v>MA</v>
      </c>
      <c r="C23" s="43"/>
      <c r="D23" s="37"/>
      <c r="E23" s="37" t="str">
        <f t="shared" si="0"/>
        <v/>
      </c>
      <c r="F23" s="38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67"/>
      <c r="K23" s="67"/>
    </row>
    <row r="24" spans="1:11" ht="15.75">
      <c r="A24" s="51" t="str">
        <v>Woodchuck</v>
      </c>
      <c r="B24" s="48" t="str">
        <v>MA</v>
      </c>
      <c r="C24" s="36"/>
      <c r="D24" s="44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66"/>
      <c r="K24" s="66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2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2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2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Normal="90" zoomScaleSheetLayoutView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49</v>
      </c>
      <c r="E1" s="92"/>
      <c r="F1" s="92"/>
      <c r="G1" s="90" t="s">
        <v>50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67"/>
      <c r="K7" s="68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69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.75">
      <c r="A18" s="47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8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51</v>
      </c>
      <c r="E1" s="92"/>
      <c r="F1" s="92"/>
      <c r="G1" s="90" t="s">
        <v>52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70"/>
      <c r="K7" s="70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8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8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8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8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8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Normal="100" workbookViewId="0">
      <pane xSplit="2" ySplit="3" topLeftCell="C11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1" t="str" cm="1">
        <f t="array" ref="A1">portfolio</f>
        <v>38 DN</v>
      </c>
      <c r="B1" s="91"/>
      <c r="C1" s="91"/>
      <c r="D1" s="92" t="s">
        <v>53</v>
      </c>
      <c r="E1" s="92"/>
      <c r="F1" s="92"/>
      <c r="G1" s="90" t="s">
        <v>54</v>
      </c>
      <c r="H1" s="90"/>
      <c r="I1" s="90"/>
      <c r="J1" s="4"/>
      <c r="K1" s="4"/>
    </row>
    <row r="2" spans="1:13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3" ht="15.75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3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3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70"/>
    </row>
    <row r="8" spans="1:13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3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3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0"/>
    </row>
    <row r="12" spans="1:13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  <c r="M12" t="s">
        <v>55</v>
      </c>
    </row>
    <row r="13" spans="1:13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70"/>
    </row>
    <row r="14" spans="1:13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3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8"/>
    </row>
    <row r="16" spans="1:13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71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71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71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70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71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8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Normal="100" workbookViewId="0">
      <pane xSplit="2" ySplit="3" topLeftCell="C9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56</v>
      </c>
      <c r="E1" s="92"/>
      <c r="F1" s="92"/>
      <c r="G1" s="90" t="s">
        <v>57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70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8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58</v>
      </c>
      <c r="E1" s="92"/>
      <c r="F1" s="92"/>
      <c r="G1" s="90" t="s">
        <v>59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 t="s">
        <v>60</v>
      </c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zoomScaleNormal="100" workbookViewId="0">
      <pane xSplit="2" ySplit="3" topLeftCell="C12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61</v>
      </c>
      <c r="E1" s="92"/>
      <c r="F1" s="92"/>
      <c r="G1" s="90" t="s">
        <v>62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67"/>
      <c r="K11" s="67"/>
    </row>
    <row r="12" spans="1:11" ht="55.5" customHeight="1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7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zoomScaleNormal="100" workbookViewId="0">
      <pane xSplit="2" ySplit="3" topLeftCell="C13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63</v>
      </c>
      <c r="E1" s="92"/>
      <c r="F1" s="92"/>
      <c r="G1" s="90" t="s">
        <v>64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36" customHeight="1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8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70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76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5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76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78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76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70"/>
      <c r="K15" s="77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76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1" t="str" cm="1">
        <f t="array" ref="A1">portfolio</f>
        <v>38 DN</v>
      </c>
      <c r="B1" s="91"/>
      <c r="C1" s="91"/>
      <c r="D1" s="92" t="s">
        <v>65</v>
      </c>
      <c r="E1" s="92"/>
      <c r="F1" s="92"/>
      <c r="G1" s="90" t="s">
        <v>66</v>
      </c>
      <c r="H1" s="90"/>
      <c r="I1" s="90"/>
      <c r="J1" s="4"/>
      <c r="K1" s="4"/>
    </row>
    <row r="2" spans="1:11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>IFERROR(E16/D16, "")</f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1"/>
  <sheetViews>
    <sheetView zoomScaleNormal="100" workbookViewId="0">
      <pane xSplit="2" ySplit="3" topLeftCell="C4" activePane="bottomRight" state="frozen"/>
      <selection pane="bottomRight" activeCell="G13" sqref="G13"/>
      <selection pane="bottomLeft" activeCell="J14" sqref="J14"/>
      <selection pane="topRight" activeCell="J14" sqref="J1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1" t="str" cm="1">
        <f t="array" ref="A1">portfolio</f>
        <v>38 DN</v>
      </c>
      <c r="B1" s="91"/>
      <c r="C1" s="91"/>
      <c r="D1" s="92" t="s">
        <v>67</v>
      </c>
      <c r="E1" s="92"/>
      <c r="F1" s="92"/>
      <c r="G1" s="90" t="s">
        <v>68</v>
      </c>
      <c r="H1" s="90"/>
      <c r="I1" s="90"/>
      <c r="J1" s="4"/>
      <c r="K1" s="4"/>
    </row>
    <row r="2" spans="1:13" ht="19.5" customHeight="1">
      <c r="A2" s="93" t="s">
        <v>2</v>
      </c>
      <c r="B2" s="9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3" ht="15.75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3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3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3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3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81"/>
    </row>
    <row r="10" spans="1:13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3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9"/>
      <c r="M11" t="s">
        <v>69</v>
      </c>
    </row>
    <row r="12" spans="1:13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66"/>
      <c r="K12" s="66"/>
    </row>
    <row r="13" spans="1:13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3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66"/>
      <c r="K14" s="66"/>
    </row>
    <row r="15" spans="1:13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83"/>
      <c r="K15" s="80"/>
    </row>
    <row r="16" spans="1:13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82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80"/>
    </row>
    <row r="18" spans="1:11" ht="16.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76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70"/>
      <c r="K23" s="77"/>
    </row>
    <row r="24" spans="1:11" ht="15.75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70</v>
      </c>
      <c r="B1" t="s">
        <v>71</v>
      </c>
    </row>
    <row r="3" spans="1:12">
      <c r="A3" t="s">
        <v>72</v>
      </c>
      <c r="B3" t="s">
        <v>3</v>
      </c>
      <c r="C3" t="s">
        <v>4</v>
      </c>
      <c r="D3" t="s">
        <v>73</v>
      </c>
      <c r="E3" s="2" t="s">
        <v>74</v>
      </c>
    </row>
    <row r="4" spans="1:12" ht="14.25">
      <c r="A4" s="26" t="s">
        <v>75</v>
      </c>
      <c r="B4" t="s">
        <v>75</v>
      </c>
      <c r="C4" s="25" t="s">
        <v>76</v>
      </c>
      <c r="D4" s="24" t="s">
        <v>77</v>
      </c>
      <c r="E4" t="s">
        <v>78</v>
      </c>
      <c r="G4" s="3"/>
    </row>
    <row r="5" spans="1:12" ht="14.25">
      <c r="A5" s="26" t="s">
        <v>79</v>
      </c>
      <c r="B5" t="s">
        <v>79</v>
      </c>
      <c r="C5" s="25" t="s">
        <v>80</v>
      </c>
      <c r="D5" s="24" t="s">
        <v>77</v>
      </c>
      <c r="E5" t="s">
        <v>78</v>
      </c>
      <c r="G5" s="3"/>
    </row>
    <row r="6" spans="1:12" ht="14.25">
      <c r="A6" s="26" t="s">
        <v>81</v>
      </c>
      <c r="B6" t="s">
        <v>81</v>
      </c>
      <c r="C6" s="25" t="s">
        <v>80</v>
      </c>
      <c r="D6" s="24" t="s">
        <v>77</v>
      </c>
      <c r="E6" t="s">
        <v>78</v>
      </c>
      <c r="G6" s="3"/>
    </row>
    <row r="7" spans="1:12" ht="12.75" customHeight="1">
      <c r="A7" s="26" t="s">
        <v>82</v>
      </c>
      <c r="B7" t="s">
        <v>82</v>
      </c>
      <c r="C7" s="25" t="s">
        <v>80</v>
      </c>
      <c r="D7" s="24" t="s">
        <v>77</v>
      </c>
      <c r="E7" t="s">
        <v>78</v>
      </c>
    </row>
    <row r="8" spans="1:12" ht="12.75" customHeight="1">
      <c r="A8" s="26" t="s">
        <v>83</v>
      </c>
      <c r="B8" t="s">
        <v>83</v>
      </c>
      <c r="C8" s="25" t="s">
        <v>80</v>
      </c>
      <c r="D8" s="24" t="s">
        <v>77</v>
      </c>
      <c r="E8" t="s">
        <v>78</v>
      </c>
    </row>
    <row r="9" spans="1:12" ht="12.75" customHeight="1">
      <c r="A9" s="26" t="s">
        <v>84</v>
      </c>
      <c r="B9" t="s">
        <v>84</v>
      </c>
      <c r="C9" s="25" t="s">
        <v>80</v>
      </c>
      <c r="D9" s="24" t="s">
        <v>77</v>
      </c>
      <c r="E9" t="s">
        <v>78</v>
      </c>
    </row>
    <row r="10" spans="1:12" ht="12.75" customHeight="1">
      <c r="A10" s="26" t="s">
        <v>85</v>
      </c>
      <c r="B10" t="s">
        <v>85</v>
      </c>
      <c r="C10" s="25" t="s">
        <v>80</v>
      </c>
      <c r="D10" s="24" t="s">
        <v>77</v>
      </c>
      <c r="E10" t="s">
        <v>78</v>
      </c>
      <c r="K10" s="21"/>
      <c r="L10" s="21"/>
    </row>
    <row r="11" spans="1:12" ht="12.75" customHeight="1">
      <c r="A11" s="26" t="s">
        <v>86</v>
      </c>
      <c r="B11" t="s">
        <v>86</v>
      </c>
      <c r="C11" s="25" t="s">
        <v>80</v>
      </c>
      <c r="D11" s="24" t="s">
        <v>77</v>
      </c>
      <c r="E11" t="s">
        <v>78</v>
      </c>
      <c r="K11" s="21"/>
      <c r="L11" s="21"/>
    </row>
    <row r="12" spans="1:12" ht="12.75" customHeight="1">
      <c r="A12" s="26" t="s">
        <v>87</v>
      </c>
      <c r="B12" t="s">
        <v>87</v>
      </c>
      <c r="C12" s="25" t="s">
        <v>80</v>
      </c>
      <c r="D12" s="24" t="s">
        <v>77</v>
      </c>
      <c r="E12" t="s">
        <v>78</v>
      </c>
      <c r="K12" s="21"/>
      <c r="L12" s="21"/>
    </row>
    <row r="13" spans="1:12" ht="12.75" customHeight="1">
      <c r="A13" s="26" t="s">
        <v>88</v>
      </c>
      <c r="B13" t="s">
        <v>88</v>
      </c>
      <c r="C13" s="25" t="s">
        <v>80</v>
      </c>
      <c r="D13" s="24" t="s">
        <v>77</v>
      </c>
      <c r="E13" t="s">
        <v>78</v>
      </c>
      <c r="K13" s="21"/>
      <c r="L13" s="21"/>
    </row>
    <row r="14" spans="1:12" ht="12.75" customHeight="1">
      <c r="A14" s="26" t="s">
        <v>89</v>
      </c>
      <c r="B14" t="s">
        <v>89</v>
      </c>
      <c r="C14" s="25" t="s">
        <v>80</v>
      </c>
      <c r="D14" s="24" t="s">
        <v>77</v>
      </c>
      <c r="E14" t="s">
        <v>78</v>
      </c>
      <c r="K14" s="21"/>
      <c r="L14" s="21"/>
    </row>
    <row r="15" spans="1:12" ht="12.75" customHeight="1">
      <c r="A15" s="26" t="s">
        <v>90</v>
      </c>
      <c r="B15" t="s">
        <v>90</v>
      </c>
      <c r="C15" s="25" t="s">
        <v>80</v>
      </c>
      <c r="D15" s="24" t="s">
        <v>77</v>
      </c>
      <c r="E15" t="s">
        <v>78</v>
      </c>
      <c r="K15" s="21"/>
      <c r="L15" s="21"/>
    </row>
    <row r="16" spans="1:12" ht="12.75" customHeight="1">
      <c r="A16" s="26" t="s">
        <v>91</v>
      </c>
      <c r="B16" t="s">
        <v>91</v>
      </c>
      <c r="C16" s="25" t="s">
        <v>80</v>
      </c>
      <c r="D16" s="24" t="s">
        <v>77</v>
      </c>
      <c r="E16" t="s">
        <v>78</v>
      </c>
      <c r="K16" s="21"/>
      <c r="L16" s="21"/>
    </row>
    <row r="17" spans="1:12" ht="12.75" customHeight="1">
      <c r="A17" s="26" t="s">
        <v>92</v>
      </c>
      <c r="B17" t="s">
        <v>92</v>
      </c>
      <c r="C17" s="25" t="s">
        <v>80</v>
      </c>
      <c r="D17" s="24" t="s">
        <v>77</v>
      </c>
      <c r="E17" t="s">
        <v>78</v>
      </c>
      <c r="K17" s="21"/>
      <c r="L17" s="21"/>
    </row>
    <row r="18" spans="1:12" ht="12.75" customHeight="1">
      <c r="A18" s="26" t="s">
        <v>93</v>
      </c>
      <c r="B18" t="s">
        <v>93</v>
      </c>
      <c r="C18" s="25" t="s">
        <v>80</v>
      </c>
      <c r="D18" s="24" t="s">
        <v>77</v>
      </c>
      <c r="E18" t="s">
        <v>78</v>
      </c>
      <c r="K18" s="21"/>
      <c r="L18" s="21"/>
    </row>
    <row r="19" spans="1:12" ht="12.75" customHeight="1">
      <c r="A19" s="26" t="s">
        <v>94</v>
      </c>
      <c r="B19" t="s">
        <v>94</v>
      </c>
      <c r="C19" s="25" t="s">
        <v>80</v>
      </c>
      <c r="D19" s="24" t="s">
        <v>77</v>
      </c>
      <c r="E19" t="s">
        <v>78</v>
      </c>
      <c r="K19" s="21"/>
      <c r="L19" s="21"/>
    </row>
    <row r="20" spans="1:12" ht="12.75" customHeight="1">
      <c r="A20" s="26" t="s">
        <v>95</v>
      </c>
      <c r="B20" t="s">
        <v>95</v>
      </c>
      <c r="C20" s="25" t="s">
        <v>80</v>
      </c>
      <c r="D20" s="24" t="s">
        <v>77</v>
      </c>
      <c r="E20" t="s">
        <v>78</v>
      </c>
      <c r="K20" s="21"/>
      <c r="L20" s="21"/>
    </row>
    <row r="21" spans="1:12" ht="12.75" customHeight="1">
      <c r="A21" s="26" t="s">
        <v>96</v>
      </c>
      <c r="B21" t="s">
        <v>96</v>
      </c>
      <c r="C21" s="25" t="s">
        <v>80</v>
      </c>
      <c r="D21" s="24" t="s">
        <v>77</v>
      </c>
      <c r="E21" t="s">
        <v>78</v>
      </c>
      <c r="K21" s="21"/>
      <c r="L21" s="21"/>
    </row>
    <row r="22" spans="1:12" ht="12.75" customHeight="1">
      <c r="A22" s="26" t="s">
        <v>97</v>
      </c>
      <c r="B22" t="s">
        <v>97</v>
      </c>
      <c r="C22" s="25" t="s">
        <v>80</v>
      </c>
      <c r="D22" s="24" t="s">
        <v>77</v>
      </c>
      <c r="E22" t="s">
        <v>78</v>
      </c>
      <c r="K22" s="21"/>
      <c r="L22" s="21"/>
    </row>
    <row r="23" spans="1:12" ht="12.75" customHeight="1">
      <c r="A23" s="26" t="s">
        <v>98</v>
      </c>
      <c r="B23" t="s">
        <v>98</v>
      </c>
      <c r="C23" s="25" t="s">
        <v>80</v>
      </c>
      <c r="D23" s="24" t="s">
        <v>77</v>
      </c>
      <c r="E23" t="s">
        <v>78</v>
      </c>
      <c r="K23" s="21"/>
      <c r="L23" s="21"/>
    </row>
    <row r="24" spans="1:12" ht="12.75" customHeight="1">
      <c r="A24" s="26" t="s">
        <v>99</v>
      </c>
      <c r="B24" t="s">
        <v>99</v>
      </c>
      <c r="C24" s="25" t="s">
        <v>80</v>
      </c>
      <c r="D24" s="24" t="s">
        <v>77</v>
      </c>
      <c r="E24" t="s">
        <v>78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5EDB282D-6860-4C17-B6AD-4DC3BEA733EC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2025-05-05T07:14:29Z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