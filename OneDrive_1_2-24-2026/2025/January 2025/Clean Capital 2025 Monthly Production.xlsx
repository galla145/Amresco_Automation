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56B02115-6AC6-4625-91BD-8EDFF7817291}" xr6:coauthVersionLast="47" xr6:coauthVersionMax="47" xr10:uidLastSave="{F24BA2A2-F065-47F1-9072-3993DBFAECDE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8" l="1"/>
  <c r="D5" i="18"/>
  <c r="D6" i="18"/>
  <c r="D7" i="18"/>
  <c r="C4" i="18"/>
  <c r="C5" i="18"/>
  <c r="C6" i="18"/>
  <c r="C7" i="18"/>
  <c r="G4" i="18"/>
  <c r="G5" i="18"/>
  <c r="G6" i="18"/>
  <c r="G7" i="18"/>
  <c r="H5" i="33"/>
  <c r="I5" i="33" s="1"/>
  <c r="H6" i="33"/>
  <c r="I6" i="33" s="1"/>
  <c r="H7" i="33"/>
  <c r="I7" i="33" s="1"/>
  <c r="H8" i="33"/>
  <c r="I8" i="33" s="1"/>
  <c r="H9" i="33"/>
  <c r="I9" i="33" s="1"/>
  <c r="H10" i="33"/>
  <c r="I10" i="33" s="1"/>
  <c r="H11" i="33"/>
  <c r="I11" i="33" s="1"/>
  <c r="H12" i="33"/>
  <c r="I12" i="33" s="1"/>
  <c r="E5" i="33"/>
  <c r="F5" i="33" s="1"/>
  <c r="E6" i="33"/>
  <c r="F6" i="33" s="1"/>
  <c r="E7" i="33"/>
  <c r="F7" i="33" s="1"/>
  <c r="E8" i="33"/>
  <c r="F8" i="33" s="1"/>
  <c r="E9" i="33"/>
  <c r="F9" i="33" s="1"/>
  <c r="E10" i="33"/>
  <c r="F10" i="33" s="1"/>
  <c r="E11" i="33"/>
  <c r="F11" i="33" s="1"/>
  <c r="E12" i="33"/>
  <c r="F12" i="33" s="1"/>
  <c r="G6" i="30" l="1"/>
  <c r="G7" i="30"/>
  <c r="G5" i="30"/>
  <c r="G4" i="30"/>
  <c r="E5" i="28"/>
  <c r="F5" i="28" s="1"/>
  <c r="E5" i="27"/>
  <c r="G5" i="29"/>
  <c r="G6" i="29"/>
  <c r="G7" i="29"/>
  <c r="G4" i="29"/>
  <c r="E12" i="19"/>
  <c r="E5" i="20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7" i="72" l="1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D5" i="34"/>
  <c r="C6" i="34"/>
  <c r="D6" i="34"/>
  <c r="C7" i="34"/>
  <c r="D7" i="34"/>
  <c r="H6" i="29"/>
  <c r="I6" i="29" s="1"/>
  <c r="E7" i="18"/>
  <c r="F7" i="18" s="1"/>
  <c r="D4" i="34"/>
  <c r="D2" i="18"/>
  <c r="H6" i="30"/>
  <c r="H7" i="29"/>
  <c r="I7" i="29" s="1"/>
  <c r="E4" i="18"/>
  <c r="F4" i="18" s="1"/>
  <c r="E4" i="30"/>
  <c r="F4" i="30" s="1"/>
  <c r="D2" i="29"/>
  <c r="I10" i="27"/>
  <c r="E5" i="18"/>
  <c r="F5" i="18" s="1"/>
  <c r="E5" i="29"/>
  <c r="F5" i="29" s="1"/>
  <c r="E5" i="30"/>
  <c r="F5" i="30" s="1"/>
  <c r="E6" i="18"/>
  <c r="F6" i="18" s="1"/>
  <c r="E6" i="29"/>
  <c r="F6" i="29" s="1"/>
  <c r="E6" i="30"/>
  <c r="F6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H5" i="30"/>
  <c r="E7" i="29"/>
  <c r="F7" i="29" s="1"/>
  <c r="I6" i="26"/>
  <c r="I9" i="26"/>
  <c r="I12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E6" i="34"/>
  <c r="F6" i="34" s="1"/>
  <c r="D2" i="34"/>
  <c r="I5" i="30"/>
  <c r="H5" i="34"/>
  <c r="I5" i="34" s="1"/>
  <c r="I7" i="30"/>
  <c r="H7" i="34"/>
  <c r="I7" i="34" s="1"/>
  <c r="I6" i="30"/>
  <c r="H6" i="34"/>
  <c r="I6" i="34" s="1"/>
  <c r="E2" i="29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<sst xmlns="http://schemas.openxmlformats.org/spreadsheetml/2006/main" count="259" uniqueCount="69">
  <si>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</si>
  <si>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</si>
  <si>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</si>
  <si>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</si>
  <si>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</si>
  <si>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</si>
  <si>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</si>
  <si>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</si>
  <si>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</si>
  <si>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</si>
  <si>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</si>
  <si>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</si>
  <si>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</si>
  <si>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</si>
  <si>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</si>
  <si>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</si>
  <si>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</si>
  <si>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</si>
  <si>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</si>
  <si>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</si>
  <si>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Notes1</t>
  </si>
  <si>
    <t>Service Requests</t>
  </si>
  <si>
    <t>1. Inverter 2 is offline from 01/01 due to several isolation errors.</t>
  </si>
  <si>
    <t>1.	SR095368</t>
  </si>
  <si>
    <t xml:space="preserve">1. Inverters D, I, and O were offline due to arc faults, while inverters L and Q had been offline since 12/08/23, and Inverter P had been offline since 06/14/24. On 01/17, a technician visited the site, troubleshot all inverters, and brought them back online except for inverter K, which remained out of service due to a non-functional LED screen. Inverter K has been RMA’d.
</t>
  </si>
  <si>
    <t>1.SR095501</t>
  </si>
  <si>
    <t>1. Site started derated at 12:30pm and later was offline at 15:00 on 01/29 through out the month.</t>
  </si>
  <si>
    <t>1.SR096179</t>
  </si>
  <si>
    <t>February Actual v. Expected</t>
  </si>
  <si>
    <t>February Actual v. Forecasted</t>
  </si>
  <si>
    <t>Notes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</si>
  <si>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</si>
  <si>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</si>
  <si>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</si>
  <si>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</si>
  <si>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</si>
  <si>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</si>
  <si>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</si>
  <si>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</si>
  <si>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</si>
  <si>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</si>
  <si>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</si>
  <si>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</si>
  <si>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</si>
  <si>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</si>
  <si>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</si>
  <si>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</si>
  <si>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</si>
  <si>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</si>
  <si>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</si>
  <si>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</si>
  <si>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</si>
  <si>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Clean Capital</t>
  </si>
  <si>
    <t>Site DAS Name</t>
  </si>
  <si>
    <t>Update</t>
  </si>
  <si>
    <t>DAS</t>
  </si>
  <si>
    <t>Cotting School</t>
  </si>
  <si>
    <t>Lexington - Cotting School</t>
  </si>
  <si>
    <t>MA</t>
  </si>
  <si>
    <t>AF</t>
  </si>
  <si>
    <t>IGS SolarLog</t>
  </si>
  <si>
    <t>2.01) KSI Solar Whiteman, LLC</t>
  </si>
  <si>
    <t>Pacoima - Whiteman Airport</t>
  </si>
  <si>
    <t>CA</t>
  </si>
  <si>
    <t>Advanced Energy SiteLink</t>
  </si>
  <si>
    <t>Hyannis - Sturgis Charter School</t>
  </si>
  <si>
    <t>PowerTrack</t>
  </si>
  <si>
    <t>Tony Kent Arena</t>
  </si>
  <si>
    <t>South Dennis - Tony Kent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</si>
</sst>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8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164" fontId="29" fillId="0" borderId="1" xfId="1" applyNumberFormat="1" applyFont="1" applyBorder="1" applyAlignment="1">
      <alignment horizontal="center" vertical="center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49" fontId="29" fillId="0" borderId="1" xfId="0" applyNumberFormat="1" applyFont="1" applyBorder="1" applyAlignment="1">
      <alignment vertical="top" wrapText="1"/>
    </xf>
    <xf numFmtId="49" fontId="38" fillId="38" borderId="1" xfId="45" applyNumberFormat="1" applyFill="1" applyBorder="1" applyAlignment="1">
      <alignment vertical="top" wrapText="1"/>
    </xf>
    <xf numFmtId="49" fontId="38" fillId="0" borderId="1" xfId="45" applyNumberFormat="1" applyBorder="1" applyAlignment="1">
      <alignment vertical="top" wrapText="1"/>
    </xf>
    <xf numFmtId="49" fontId="38" fillId="0" borderId="1" xfId="45" applyNumberForma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179" TargetMode="External"/><Relationship Id="rId2" Type="http://schemas.openxmlformats.org/officeDocument/2006/relationships/hyperlink" Target="https://us3.assetplanner.com/service_request?ID=095501" TargetMode="External"/><Relationship Id="rId1" Type="http://schemas.openxmlformats.org/officeDocument/2006/relationships/hyperlink" Target="https://us3.assetplanner.com/service_request?ID=095368" TargetMode="External"/><Relationship Id="rId4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bottomRight" activeCell="G6" sqref="G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Clean Capital</v>
      </c>
      <c r="B1" s="79"/>
      <c r="C1" s="79"/>
      <c r="D1" s="80" t="s">
        <v>0</v>
      </c>
      <c r="E1" s="80"/>
      <c r="F1" s="80"/>
      <c r="G1" s="78" t="s">
        <v>1</v>
      </c>
      <c r="H1" s="78"/>
      <c r="I1" s="78"/>
    </row>
    <row r="2" spans="1:9" ht="19.5" customHeight="1">
      <c r="A2" s="81" t="s">
        <v>2</v>
      </c>
      <c r="B2" s="81"/>
      <c r="C2" s="5">
        <f>SUM(C4:C71)</f>
        <v>52388.975010000002</v>
      </c>
      <c r="D2" s="5">
        <f>SUM(D4:D71)</f>
        <v>0</v>
      </c>
      <c r="E2" s="5">
        <f>C2-D2</f>
        <v>52388.975010000002</v>
      </c>
      <c r="F2" s="6">
        <f>IFERROR(E2/D2, 0)</f>
        <v>0</v>
      </c>
      <c r="G2" s="5">
        <f>SUM(G4:G71)</f>
        <v>40330</v>
      </c>
      <c r="H2" s="7">
        <f>C2-G2</f>
        <v>12058.975010000002</v>
      </c>
      <c r="I2" s="6">
        <f>IFERROR(H2/G2, 0)</f>
        <v>0.29900756285643448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2" t="str" cm="1">
        <f t="array" ref="A4:A7">Sites[Site]</f>
        <v>Lexington - Cotting School</v>
      </c>
      <c r="B4" s="33" t="str" cm="1">
        <f t="array" ref="B4:B7">Sites[State]</f>
        <v>MA</v>
      </c>
      <c r="C4" s="34">
        <f>SUM('1st Qtr'!C4, '2nd Qtr'!C4, '3rd Qtr'!C4, '4th Qtr'!C4)</f>
        <v>10561.04</v>
      </c>
      <c r="D4" s="35">
        <f>SUM('1st Qtr'!D4, '2nd Qtr'!D4, '3rd Qtr'!D4, '4th Qtr'!D4)</f>
        <v>0</v>
      </c>
      <c r="E4" s="35">
        <f>IF(AND(ISNUMBER(C4),ISNUMBER(D4)), C4-D4, "")</f>
        <v>10561.04</v>
      </c>
      <c r="F4" s="36" t="str">
        <f>IFERROR(E4/D4, "")</f>
        <v/>
      </c>
      <c r="G4" s="37">
        <f>SUM('1st Qtr'!G4, '2nd Qtr'!G4, '3rd Qtr'!G4, '4th Qtr'!G4)</f>
        <v>0</v>
      </c>
      <c r="H4" s="37">
        <f>SUM('1st Qtr'!H4, '2nd Qtr'!H4, '3rd Qtr'!H4, '4th Qtr'!H4)</f>
        <v>10561.04</v>
      </c>
      <c r="I4" s="38" t="str">
        <f>IFERROR(H4/G4, "")</f>
        <v/>
      </c>
    </row>
    <row r="5" spans="1:9" ht="15.6">
      <c r="A5" s="39" t="str">
        <v>Pacoima - Whiteman Airport</v>
      </c>
      <c r="B5" s="40" t="str">
        <v>CA</v>
      </c>
      <c r="C5" s="41">
        <f>SUM('1st Qtr'!C5, '2nd Qtr'!C5, '3rd Qtr'!C5, '4th Qtr'!C5)</f>
        <v>14475.1</v>
      </c>
      <c r="D5" s="41">
        <f>SUM('1st Qtr'!D5, '2nd Qtr'!D5, '3rd Qtr'!D5, '4th Qtr'!D5)</f>
        <v>0</v>
      </c>
      <c r="E5" s="42">
        <f t="shared" ref="E5:E7" si="0">IF(AND(ISNUMBER(C5),ISNUMBER(D5)), C5-D5, "")</f>
        <v>14475.1</v>
      </c>
      <c r="F5" s="43" t="str">
        <f>IFERROR(E5/D5, "")</f>
        <v/>
      </c>
      <c r="G5" s="44">
        <f>SUM('1st Qtr'!G5, '2nd Qtr'!G5, '3rd Qtr'!G5, '4th Qtr'!G5)</f>
        <v>28600</v>
      </c>
      <c r="H5" s="44">
        <f>SUM('1st Qtr'!H5, '2nd Qtr'!H5, '3rd Qtr'!H5, '4th Qtr'!H5)</f>
        <v>-14124.9</v>
      </c>
      <c r="I5" s="43">
        <f>IFERROR(H5/G5, "")</f>
        <v>-0.49387762237762234</v>
      </c>
    </row>
    <row r="6" spans="1:9" ht="15.6">
      <c r="A6" s="32" t="str">
        <v>Hyannis - Sturgis Charter School</v>
      </c>
      <c r="B6" s="33" t="str">
        <v>MA</v>
      </c>
      <c r="C6" s="34">
        <f>SUM('1st Qtr'!C6, '2nd Qtr'!C6, '3rd Qtr'!C6, '4th Qtr'!C6)</f>
        <v>13994.515009999999</v>
      </c>
      <c r="D6" s="35">
        <f>SUM('1st Qtr'!D6, '2nd Qtr'!D6, '3rd Qtr'!D6, '4th Qtr'!D6)</f>
        <v>0</v>
      </c>
      <c r="E6" s="35">
        <f t="shared" si="0"/>
        <v>13994.515009999999</v>
      </c>
      <c r="F6" s="36" t="str">
        <f t="shared" ref="F6:F7" si="1">IFERROR(E6/D6, "")</f>
        <v/>
      </c>
      <c r="G6" s="37">
        <f>SUM('1st Qtr'!G6, '2nd Qtr'!G6, '3rd Qtr'!G6, '4th Qtr'!G6)</f>
        <v>11730</v>
      </c>
      <c r="H6" s="37">
        <f>SUM('1st Qtr'!H6, '2nd Qtr'!H6, '3rd Qtr'!H6, '4th Qtr'!H6)</f>
        <v>2264.5150099999992</v>
      </c>
      <c r="I6" s="38">
        <f t="shared" ref="I6:I7" si="2">IFERROR(H6/G6, "")</f>
        <v>0.19305328303495303</v>
      </c>
    </row>
    <row r="7" spans="1:9" ht="15.6">
      <c r="A7" s="39" t="str">
        <v>South Dennis - Tony Kent Arena</v>
      </c>
      <c r="B7" s="40" t="str">
        <v>MA</v>
      </c>
      <c r="C7" s="41">
        <f>SUM('1st Qtr'!C7, '2nd Qtr'!C7, '3rd Qtr'!C7, '4th Qtr'!C7)</f>
        <v>13358.32</v>
      </c>
      <c r="D7" s="41">
        <f>SUM('1st Qtr'!D7, '2nd Qtr'!D7, '3rd Qtr'!D7, '4th Qtr'!D7)</f>
        <v>0</v>
      </c>
      <c r="E7" s="42">
        <f t="shared" si="0"/>
        <v>13358.32</v>
      </c>
      <c r="F7" s="43" t="str">
        <f t="shared" si="1"/>
        <v/>
      </c>
      <c r="G7" s="44">
        <f>SUM('1st Qtr'!G7, '2nd Qtr'!G7, '3rd Qtr'!G7, '4th Qtr'!G7)</f>
        <v>0</v>
      </c>
      <c r="H7" s="44">
        <f>SUM('1st Qtr'!H7, '2nd Qtr'!H7, '3rd Qtr'!H7, '4th Qtr'!H7)</f>
        <v>13358.32</v>
      </c>
      <c r="I7" s="43" t="str">
        <f t="shared" si="2"/>
        <v/>
      </c>
    </row>
    <row r="8" spans="1:9" ht="13.9">
      <c r="A8" s="13"/>
      <c r="B8" s="13"/>
      <c r="C8" s="13"/>
      <c r="D8" s="13"/>
      <c r="E8" s="13"/>
      <c r="F8" s="14"/>
      <c r="G8" s="13"/>
      <c r="H8" s="13"/>
      <c r="I8" s="14"/>
    </row>
    <row r="9" spans="1:9" ht="13.9">
      <c r="A9" s="13"/>
      <c r="B9" s="13"/>
      <c r="C9" s="13"/>
      <c r="D9" s="13"/>
      <c r="E9" s="13"/>
      <c r="F9" s="14"/>
      <c r="G9" s="13"/>
      <c r="H9" s="13"/>
      <c r="I9" s="14"/>
    </row>
    <row r="10" spans="1:9" ht="13.9">
      <c r="A10" s="13"/>
      <c r="B10" s="13"/>
      <c r="C10" s="13"/>
      <c r="D10" s="13"/>
      <c r="E10" s="13"/>
      <c r="F10" s="14"/>
      <c r="G10" s="13"/>
      <c r="H10" s="13"/>
      <c r="I10" s="14"/>
    </row>
    <row r="11" spans="1:9" ht="13.9">
      <c r="A11" s="13"/>
      <c r="B11" s="13"/>
      <c r="C11" s="13"/>
      <c r="D11" s="13"/>
      <c r="E11" s="13"/>
      <c r="F11" s="14"/>
      <c r="G11" s="13"/>
      <c r="H11" s="13"/>
      <c r="I11" s="14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13" sqref="E1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Clean Capital</v>
      </c>
      <c r="B1" s="79"/>
      <c r="C1" s="79"/>
      <c r="D1" s="80" t="s">
        <v>10</v>
      </c>
      <c r="E1" s="80"/>
      <c r="F1" s="80"/>
      <c r="G1" s="78" t="s">
        <v>11</v>
      </c>
      <c r="H1" s="78"/>
      <c r="I1" s="78"/>
    </row>
    <row r="2" spans="1:9" ht="19.5" customHeight="1">
      <c r="A2" s="81" t="s">
        <v>2</v>
      </c>
      <c r="B2" s="81"/>
      <c r="C2" s="5">
        <f>SUM(C4:C79)</f>
        <v>52388.975010000002</v>
      </c>
      <c r="D2" s="5">
        <f>SUM(D4:D79)</f>
        <v>0</v>
      </c>
      <c r="E2" s="5">
        <f>C2-D2</f>
        <v>52388.975010000002</v>
      </c>
      <c r="F2" s="6">
        <f>IFERROR(E2/D2, 0)</f>
        <v>0</v>
      </c>
      <c r="G2" s="5">
        <f>SUM(G4:G79)</f>
        <v>40330</v>
      </c>
      <c r="H2" s="7">
        <f>C2-G2</f>
        <v>12058.975010000002</v>
      </c>
      <c r="I2" s="6">
        <f>IFERROR(H2/G2, 0)</f>
        <v>0.29900756285643448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SUM(Jan!C4, Feb!C4, Mar!C4)</f>
        <v>10561.04</v>
      </c>
      <c r="D4" s="35">
        <f>SUM(Jan!D4, Feb!D4, Mar!D4)</f>
        <v>0</v>
      </c>
      <c r="E4" s="35">
        <f>IF(AND(ISNUMBER(C4),ISNUMBER(D4)), C4-D4, "")</f>
        <v>10561.04</v>
      </c>
      <c r="F4" s="36" t="str">
        <f>IFERROR(E4/D4, "")</f>
        <v/>
      </c>
      <c r="G4" s="37">
        <f>SUM(Jan!G4, Feb!G4, Mar!G4)</f>
        <v>0</v>
      </c>
      <c r="H4" s="37">
        <f>SUM(Jan!H4, Feb!H4, Mar!H4)</f>
        <v>10561.04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SUM(Jan!C5, Feb!C5, Mar!C5)</f>
        <v>14475.1</v>
      </c>
      <c r="D5" s="42">
        <f>SUM(Jan!D5, Feb!D5, Mar!D5)</f>
        <v>0</v>
      </c>
      <c r="E5" s="42">
        <f t="shared" ref="E5:E7" si="0">IF(AND(ISNUMBER(C5),ISNUMBER(D5)), C5-D5, "")</f>
        <v>14475.1</v>
      </c>
      <c r="F5" s="43" t="str">
        <f>IFERROR(E5/D5, "")</f>
        <v/>
      </c>
      <c r="G5" s="44">
        <f>SUM(Jan!G5, Feb!G5, Mar!G5)</f>
        <v>28600</v>
      </c>
      <c r="H5" s="44">
        <f>SUM(Jan!H5, Feb!H5, Mar!H5)</f>
        <v>-14124.9</v>
      </c>
      <c r="I5" s="43">
        <f>IFERROR(H5/G5, "")</f>
        <v>-0.49387762237762234</v>
      </c>
    </row>
    <row r="6" spans="1:9" ht="15.6">
      <c r="A6" s="53" t="str">
        <v>Hyannis - Sturgis Charter School</v>
      </c>
      <c r="B6" s="33" t="str">
        <v>MA</v>
      </c>
      <c r="C6" s="34">
        <f>SUM(Jan!C6, Feb!C6, Mar!C6)</f>
        <v>13994.515009999999</v>
      </c>
      <c r="D6" s="35">
        <f>SUM(Jan!D6, Feb!D6, Mar!D6)</f>
        <v>0</v>
      </c>
      <c r="E6" s="35">
        <f t="shared" si="0"/>
        <v>13994.515009999999</v>
      </c>
      <c r="F6" s="36" t="str">
        <f t="shared" ref="F6:F7" si="1">IFERROR(E6/D6, "")</f>
        <v/>
      </c>
      <c r="G6" s="37">
        <f>SUM(Jan!G6, Feb!G6, Mar!G6)</f>
        <v>11730</v>
      </c>
      <c r="H6" s="37">
        <f>SUM(Jan!H6, Feb!H6, Mar!H6)</f>
        <v>2264.5150099999992</v>
      </c>
      <c r="I6" s="38">
        <f t="shared" ref="I6:I7" si="2">IFERROR(H6/G6, "")</f>
        <v>0.19305328303495303</v>
      </c>
    </row>
    <row r="7" spans="1:9" ht="15.6">
      <c r="A7" s="54" t="str">
        <v>South Dennis - Tony Kent Arena</v>
      </c>
      <c r="B7" s="40" t="str">
        <v>MA</v>
      </c>
      <c r="C7" s="41">
        <f>SUM(Jan!C7, Feb!C7, Mar!C7)</f>
        <v>13358.32</v>
      </c>
      <c r="D7" s="42">
        <f>SUM(Jan!D7, Feb!D7, Mar!D7)</f>
        <v>0</v>
      </c>
      <c r="E7" s="42">
        <f t="shared" si="0"/>
        <v>13358.32</v>
      </c>
      <c r="F7" s="43" t="str">
        <f t="shared" si="1"/>
        <v/>
      </c>
      <c r="G7" s="44">
        <f>SUM(Jan!G7, Feb!G7, Mar!G7)</f>
        <v>0</v>
      </c>
      <c r="H7" s="44">
        <f>SUM(Jan!H7, Feb!H7, Mar!H7)</f>
        <v>13358.32</v>
      </c>
      <c r="I7" s="43" t="str">
        <f t="shared" si="2"/>
        <v/>
      </c>
    </row>
    <row r="8" spans="1:9" ht="13.9">
      <c r="A8" s="13"/>
      <c r="B8" s="13"/>
      <c r="C8" s="13"/>
      <c r="D8" s="13"/>
      <c r="E8" s="13"/>
      <c r="F8" s="13"/>
      <c r="G8" s="13"/>
      <c r="H8" s="13"/>
      <c r="I8" s="13"/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12" sqref="F12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Clean Capital</v>
      </c>
      <c r="B1" s="79"/>
      <c r="C1" s="79"/>
      <c r="D1" s="80" t="s">
        <v>12</v>
      </c>
      <c r="E1" s="80"/>
      <c r="F1" s="80"/>
      <c r="G1" s="78" t="s">
        <v>13</v>
      </c>
      <c r="H1" s="78"/>
      <c r="I1" s="78"/>
    </row>
    <row r="2" spans="1:9" ht="19.5" customHeight="1">
      <c r="A2" s="81" t="s">
        <v>2</v>
      </c>
      <c r="B2" s="8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SUM(Apr!C4, May!C4, Jun!C4)</f>
        <v>0</v>
      </c>
      <c r="D4" s="35">
        <f>SUM(Apr!D4, May!D4, Jun!D4)</f>
        <v>0</v>
      </c>
      <c r="E4" s="35">
        <f>IF(AND(ISNUMBER(C4),ISNUMBER(D4)), C4-D4, "")</f>
        <v>0</v>
      </c>
      <c r="F4" s="36" t="str">
        <f>IFERROR(E4/D4, "")</f>
        <v/>
      </c>
      <c r="G4" s="37">
        <f>SUM(Apr!G4+May!G4+Jun!G4)</f>
        <v>0</v>
      </c>
      <c r="H4" s="37">
        <f>SUM(Apr!H4, May!H4, Jun!H4)</f>
        <v>0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SUM(Apr!C5, May!C5, Jun!C5)</f>
        <v>0</v>
      </c>
      <c r="D5" s="42">
        <f>SUM(Apr!D5, May!D5, Jun!D5)</f>
        <v>0</v>
      </c>
      <c r="E5" s="42">
        <f t="shared" ref="E5:E7" si="0">IF(AND(ISNUMBER(C5),ISNUMBER(D5)), C5-D5, "")</f>
        <v>0</v>
      </c>
      <c r="F5" s="43" t="str">
        <f>IFERROR(E5/D5, "")</f>
        <v/>
      </c>
      <c r="G5" s="44">
        <f>SUM(Apr!G5+May!G5+Jun!G5)</f>
        <v>0</v>
      </c>
      <c r="H5" s="44">
        <f>SUM(Apr!H5, May!H5, Jun!H5)</f>
        <v>0</v>
      </c>
      <c r="I5" s="43" t="str">
        <f>IFERROR(H5/G5, "")</f>
        <v/>
      </c>
    </row>
    <row r="6" spans="1:9" ht="15.6">
      <c r="A6" s="53" t="str">
        <v>Hyannis - Sturgis Charter School</v>
      </c>
      <c r="B6" s="33" t="str">
        <v>MA</v>
      </c>
      <c r="C6" s="34">
        <f>SUM(Apr!C6, May!C6, Jun!C6)</f>
        <v>0</v>
      </c>
      <c r="D6" s="35">
        <f>SUM(Apr!D6, May!D6, Jun!D6)</f>
        <v>0</v>
      </c>
      <c r="E6" s="35">
        <f t="shared" si="0"/>
        <v>0</v>
      </c>
      <c r="F6" s="36" t="str">
        <f t="shared" ref="F6:F7" si="1">IFERROR(E6/D6, "")</f>
        <v/>
      </c>
      <c r="G6" s="37">
        <f>SUM(Apr!G6+May!G6+Jun!G6)</f>
        <v>0</v>
      </c>
      <c r="H6" s="37">
        <f>SUM(Apr!H6, May!H6, Jun!H6)</f>
        <v>0</v>
      </c>
      <c r="I6" s="38" t="str">
        <f t="shared" ref="I6:I7" si="2">IFERROR(H6/G6, "")</f>
        <v/>
      </c>
    </row>
    <row r="7" spans="1:9" ht="15.6">
      <c r="A7" s="54" t="str">
        <v>South Dennis - Tony Kent Arena</v>
      </c>
      <c r="B7" s="40" t="str">
        <v>MA</v>
      </c>
      <c r="C7" s="41">
        <f>SUM(Apr!C7, May!C7, Jun!C7)</f>
        <v>0</v>
      </c>
      <c r="D7" s="42">
        <f>SUM(Apr!D7, May!D7, Jun!D7)</f>
        <v>0</v>
      </c>
      <c r="E7" s="42">
        <f t="shared" si="0"/>
        <v>0</v>
      </c>
      <c r="F7" s="43" t="str">
        <f t="shared" si="1"/>
        <v/>
      </c>
      <c r="G7" s="44">
        <f>SUM(Apr!G7+May!G7+Jun!G7)</f>
        <v>0</v>
      </c>
      <c r="H7" s="44">
        <f>SUM(Apr!H7, May!H7, Jun!H7)</f>
        <v>0</v>
      </c>
      <c r="I7" s="43" t="str">
        <f t="shared" si="2"/>
        <v/>
      </c>
    </row>
    <row r="8" spans="1:9" ht="13.9">
      <c r="A8" s="13"/>
      <c r="B8" s="13"/>
      <c r="C8" s="13"/>
      <c r="D8" s="13"/>
      <c r="E8" s="13"/>
      <c r="F8" s="13"/>
      <c r="G8" s="13"/>
      <c r="H8" s="13"/>
      <c r="I8" s="13"/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23" sqref="D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Clean Capital</v>
      </c>
      <c r="B1" s="79"/>
      <c r="C1" s="79"/>
      <c r="D1" s="80" t="s">
        <v>14</v>
      </c>
      <c r="E1" s="80"/>
      <c r="F1" s="80"/>
      <c r="G1" s="78" t="s">
        <v>15</v>
      </c>
      <c r="H1" s="78"/>
      <c r="I1" s="78"/>
    </row>
    <row r="2" spans="1:9" ht="19.5" customHeight="1">
      <c r="A2" s="81" t="s">
        <v>2</v>
      </c>
      <c r="B2" s="8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>
        <f>SUM(Jul!G4,Aug!G4,Sep!G4)</f>
        <v>0</v>
      </c>
      <c r="H4" s="37">
        <f>SUM(Jul!H4, Aug!H4, Sep!H4)</f>
        <v>0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SUM(Jul!C5, Aug!C5, Sep!C5)</f>
        <v>0</v>
      </c>
      <c r="D5" s="42">
        <f>SUM(Jul!D5, Aug!D5, Sep!D5)</f>
        <v>0</v>
      </c>
      <c r="E5" s="42">
        <f t="shared" ref="E5:E7" si="0">IF(AND(ISNUMBER(C5),ISNUMBER(D5)), C5-D5, "")</f>
        <v>0</v>
      </c>
      <c r="F5" s="43" t="str">
        <f>IFERROR(E5/D5, "")</f>
        <v/>
      </c>
      <c r="G5" s="44">
        <f>SUM(Jul!G5,Aug!G5,Sep!G5)</f>
        <v>0</v>
      </c>
      <c r="H5" s="44">
        <f>SUM(Jul!H5, Aug!H5, Sep!H5)</f>
        <v>0</v>
      </c>
      <c r="I5" s="43" t="str">
        <f>IFERROR(H5/G5, "")</f>
        <v/>
      </c>
    </row>
    <row r="6" spans="1:9" ht="15.6">
      <c r="A6" s="53" t="str">
        <v>Hyannis - Sturgis Charter School</v>
      </c>
      <c r="B6" s="33" t="str">
        <v>MA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:F7" si="1">IFERROR(E6/D6, "")</f>
        <v/>
      </c>
      <c r="G6" s="37">
        <f>SUM(Jul!G6,Aug!G6,Sep!G6)</f>
        <v>0</v>
      </c>
      <c r="H6" s="37">
        <f>SUM(Jul!H6, Aug!H6, Sep!H6)</f>
        <v>0</v>
      </c>
      <c r="I6" s="38" t="str">
        <f t="shared" ref="I6:I7" si="2">IFERROR(H6/G6, "")</f>
        <v/>
      </c>
    </row>
    <row r="7" spans="1:9" ht="15.6">
      <c r="A7" s="54" t="str">
        <v>South Dennis - Tony Kent Arena</v>
      </c>
      <c r="B7" s="40" t="str">
        <v>MA</v>
      </c>
      <c r="C7" s="41">
        <f>SUM(Jul!C7, Aug!C7, Sep!C7)</f>
        <v>0</v>
      </c>
      <c r="D7" s="42">
        <f>SUM(Jul!D7, Aug!D7, Sep!D7)</f>
        <v>0</v>
      </c>
      <c r="E7" s="42">
        <f t="shared" si="0"/>
        <v>0</v>
      </c>
      <c r="F7" s="43" t="str">
        <f t="shared" si="1"/>
        <v/>
      </c>
      <c r="G7" s="44">
        <f>SUM(Jul!G7,Aug!G7,Sep!G7)</f>
        <v>0</v>
      </c>
      <c r="H7" s="44">
        <f>SUM(Jul!H7, Aug!H7, Sep!H7)</f>
        <v>0</v>
      </c>
      <c r="I7" s="43" t="str">
        <f t="shared" si="2"/>
        <v/>
      </c>
    </row>
    <row r="8" spans="1:9" ht="15.6">
      <c r="A8" s="9"/>
      <c r="B8" s="13"/>
      <c r="C8" s="13"/>
      <c r="D8" s="13"/>
      <c r="E8" s="13"/>
      <c r="F8" s="13"/>
      <c r="G8" s="13"/>
      <c r="H8" s="13"/>
      <c r="I8" s="13"/>
    </row>
    <row r="9" spans="1:9" ht="15.6">
      <c r="A9" s="9"/>
      <c r="B9" s="13"/>
      <c r="C9" s="13"/>
      <c r="D9" s="13"/>
      <c r="E9" s="13"/>
      <c r="F9" s="13"/>
      <c r="G9" s="13"/>
      <c r="H9" s="13"/>
      <c r="I9" s="13"/>
    </row>
    <row r="10" spans="1:9" ht="15.6">
      <c r="A10" s="9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E17" sqref="E17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9" t="str" cm="1">
        <f t="array" ref="A1">portfolio</f>
        <v>Clean Capital</v>
      </c>
      <c r="B1" s="79"/>
      <c r="C1" s="79"/>
      <c r="D1" s="80" t="s">
        <v>16</v>
      </c>
      <c r="E1" s="80"/>
      <c r="F1" s="80"/>
      <c r="G1" s="78" t="s">
        <v>17</v>
      </c>
      <c r="H1" s="78"/>
      <c r="I1" s="78"/>
    </row>
    <row r="2" spans="1:9" ht="19.5" customHeight="1">
      <c r="A2" s="81" t="s">
        <v>2</v>
      </c>
      <c r="B2" s="81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7">Sites[Site]</f>
        <v>Lexington - Cotting School</v>
      </c>
      <c r="B4" s="33" t="str" cm="1">
        <f t="array" ref="B4:B7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>
        <f>SUM(Oct!G4,Nov!G4,Dec!G4)</f>
        <v>0</v>
      </c>
      <c r="H4" s="37">
        <f>SUM(Oct!H4, Nov!H4, Dec!H4)</f>
        <v>0</v>
      </c>
      <c r="I4" s="38" t="str">
        <f>IFERROR(H4/G4, "")</f>
        <v/>
      </c>
    </row>
    <row r="5" spans="1:9" ht="15.6">
      <c r="A5" s="54" t="str">
        <v>Pacoima - Whiteman Airport</v>
      </c>
      <c r="B5" s="40" t="str">
        <v>CA</v>
      </c>
      <c r="C5" s="41">
        <f>SUM(Oct!C5, Nov!C5, Dec!C5)</f>
        <v>0</v>
      </c>
      <c r="D5" s="42">
        <f>SUM(Oct!D5, Nov!D5, Dec!D5)</f>
        <v>0</v>
      </c>
      <c r="E5" s="42">
        <f t="shared" ref="E5:E7" si="0">IF(AND(ISNUMBER(C5),ISNUMBER(D5)), C5-D5, "")</f>
        <v>0</v>
      </c>
      <c r="F5" s="43" t="str">
        <f>IFERROR(E5/D5, "")</f>
        <v/>
      </c>
      <c r="G5" s="42">
        <f>SUM(Oct!G5,Nov!G5,Dec!G5)</f>
        <v>0</v>
      </c>
      <c r="H5" s="44">
        <f>SUM(Oct!H5, Nov!H5, Dec!H5)</f>
        <v>0</v>
      </c>
      <c r="I5" s="43" t="str">
        <f>IFERROR(H5/G5, "")</f>
        <v/>
      </c>
    </row>
    <row r="6" spans="1:9" ht="15.6">
      <c r="A6" s="53" t="str">
        <v>Hyannis - Sturgis Charter School</v>
      </c>
      <c r="B6" s="33" t="str">
        <v>MA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:F7" si="1">IFERROR(E6/D6, "")</f>
        <v/>
      </c>
      <c r="G6" s="37">
        <f>SUM(Oct!G6,Nov!G6,Dec!G6)</f>
        <v>0</v>
      </c>
      <c r="H6" s="37">
        <f>SUM(Oct!H6, Nov!H6, Dec!H6)</f>
        <v>0</v>
      </c>
      <c r="I6" s="38" t="str">
        <f t="shared" ref="I6:I7" si="2">IFERROR(H6/G6, "")</f>
        <v/>
      </c>
    </row>
    <row r="7" spans="1:9" ht="15.6">
      <c r="A7" s="54" t="str">
        <v>South Dennis - Tony Kent Arena</v>
      </c>
      <c r="B7" s="40" t="str">
        <v>MA</v>
      </c>
      <c r="C7" s="41">
        <f>SUM(Oct!C7, Nov!C7, Dec!C7)</f>
        <v>0</v>
      </c>
      <c r="D7" s="42">
        <f>SUM(Oct!D7, Nov!D7, Dec!D7)</f>
        <v>0</v>
      </c>
      <c r="E7" s="42">
        <f t="shared" si="0"/>
        <v>0</v>
      </c>
      <c r="F7" s="43" t="str">
        <f t="shared" si="1"/>
        <v/>
      </c>
      <c r="G7" s="42">
        <f>SUM(Oct!G7,Nov!G7,Dec!G7)</f>
        <v>0</v>
      </c>
      <c r="H7" s="44">
        <f>SUM(Oct!H7, Nov!H7, Dec!H7)</f>
        <v>0</v>
      </c>
      <c r="I7" s="43" t="str">
        <f t="shared" si="2"/>
        <v/>
      </c>
    </row>
    <row r="8" spans="1:9" ht="14.45">
      <c r="A8" s="13"/>
      <c r="B8" s="8"/>
      <c r="C8" s="21"/>
      <c r="D8" s="10"/>
      <c r="E8" s="10"/>
      <c r="F8" s="11"/>
      <c r="G8" s="12"/>
      <c r="H8" s="12"/>
      <c r="I8" s="11"/>
    </row>
    <row r="9" spans="1:9" ht="13.9">
      <c r="A9" s="13"/>
      <c r="B9" s="13"/>
      <c r="C9" s="13"/>
      <c r="D9" s="13"/>
      <c r="E9" s="13"/>
      <c r="F9" s="13"/>
      <c r="G9" s="13"/>
      <c r="H9" s="13"/>
      <c r="I9" s="13"/>
    </row>
    <row r="10" spans="1:9" ht="13.9">
      <c r="A10" s="13"/>
      <c r="B10" s="13"/>
      <c r="C10" s="13"/>
      <c r="D10" s="13"/>
      <c r="E10" s="13"/>
      <c r="F10" s="13"/>
      <c r="G10" s="13"/>
      <c r="H10" s="13"/>
      <c r="I10" s="13"/>
    </row>
    <row r="11" spans="1:9" ht="13.9">
      <c r="A11" s="13"/>
      <c r="B11" s="13"/>
      <c r="C11" s="13"/>
      <c r="D11" s="13"/>
      <c r="E11" s="13"/>
      <c r="F11" s="14"/>
      <c r="G11" s="13"/>
      <c r="H11" s="13"/>
      <c r="I11" s="14"/>
    </row>
    <row r="12" spans="1:9" ht="13.9">
      <c r="A12" s="13"/>
      <c r="B12" s="13"/>
      <c r="C12" s="13"/>
      <c r="D12" s="13"/>
      <c r="E12" s="13"/>
      <c r="F12" s="14"/>
      <c r="G12" s="13"/>
      <c r="H12" s="13"/>
      <c r="I12" s="14"/>
    </row>
    <row r="13" spans="1:9" ht="13.9">
      <c r="A13" s="13"/>
      <c r="B13" s="13"/>
      <c r="C13" s="13"/>
      <c r="D13" s="13"/>
      <c r="E13" s="13"/>
      <c r="F13" s="14"/>
      <c r="G13" s="13"/>
      <c r="H13" s="13"/>
      <c r="I13" s="14"/>
    </row>
    <row r="14" spans="1:9" ht="13.9">
      <c r="A14" s="13"/>
      <c r="B14" s="13"/>
      <c r="C14" s="13"/>
      <c r="D14" s="13"/>
      <c r="E14" s="13"/>
      <c r="F14" s="14"/>
      <c r="G14" s="13"/>
      <c r="H14" s="13"/>
      <c r="I14" s="14"/>
    </row>
    <row r="15" spans="1:9" ht="13.9">
      <c r="A15" s="13"/>
      <c r="B15" s="13"/>
      <c r="C15" s="13"/>
      <c r="D15" s="13"/>
      <c r="E15" s="13"/>
      <c r="F15" s="14"/>
      <c r="G15" s="13"/>
      <c r="H15" s="13"/>
      <c r="I15" s="14"/>
    </row>
    <row r="16" spans="1:9" ht="13.9">
      <c r="A16" s="13"/>
      <c r="B16" s="13"/>
      <c r="C16" s="13"/>
      <c r="D16" s="13"/>
      <c r="E16" s="13"/>
      <c r="F16" s="14"/>
      <c r="G16" s="13"/>
      <c r="H16" s="13"/>
      <c r="I16" s="14"/>
    </row>
    <row r="17" spans="1:9" ht="13.9">
      <c r="A17" s="13"/>
      <c r="B17" s="13"/>
      <c r="C17" s="13"/>
      <c r="D17" s="13"/>
      <c r="E17" s="13"/>
      <c r="F17" s="14"/>
      <c r="G17" s="13"/>
      <c r="H17" s="13"/>
      <c r="I17" s="14"/>
    </row>
    <row r="18" spans="1:9" ht="13.9">
      <c r="A18" s="13"/>
      <c r="B18" s="13"/>
      <c r="C18" s="13"/>
      <c r="D18" s="13"/>
      <c r="E18" s="13"/>
      <c r="F18" s="14"/>
      <c r="G18" s="13"/>
      <c r="H18" s="13"/>
      <c r="I18" s="14"/>
    </row>
    <row r="19" spans="1:9" ht="13.9">
      <c r="A19" s="13"/>
      <c r="B19" s="13"/>
      <c r="C19" s="13"/>
      <c r="D19" s="13"/>
      <c r="E19" s="13"/>
      <c r="F19" s="14"/>
      <c r="G19" s="13"/>
      <c r="H19" s="13"/>
      <c r="I19" s="14"/>
    </row>
    <row r="20" spans="1:9" ht="13.9">
      <c r="A20" s="13"/>
      <c r="B20" s="13"/>
      <c r="C20" s="13"/>
      <c r="D20" s="13"/>
      <c r="E20" s="13"/>
      <c r="F20" s="14"/>
      <c r="G20" s="13"/>
      <c r="H20" s="13"/>
      <c r="I20" s="14"/>
    </row>
    <row r="21" spans="1:9" ht="13.9">
      <c r="A21" s="13"/>
      <c r="B21" s="13"/>
      <c r="C21" s="13"/>
      <c r="D21" s="13"/>
      <c r="E21" s="13"/>
      <c r="F21" s="14"/>
      <c r="G21" s="13"/>
      <c r="H21" s="13"/>
      <c r="I21" s="14"/>
    </row>
    <row r="22" spans="1:9" ht="13.9">
      <c r="A22" s="13"/>
      <c r="B22" s="13"/>
      <c r="C22" s="13"/>
      <c r="D22" s="13"/>
      <c r="E22" s="13"/>
      <c r="F22" s="14"/>
      <c r="G22" s="13"/>
      <c r="H22" s="13"/>
      <c r="I22" s="14"/>
    </row>
    <row r="23" spans="1:9" ht="13.9">
      <c r="A23" s="13"/>
      <c r="B23" s="13"/>
      <c r="C23" s="13"/>
      <c r="D23" s="13"/>
      <c r="E23" s="13"/>
      <c r="F23" s="14"/>
      <c r="G23" s="13"/>
      <c r="H23" s="13"/>
      <c r="I23" s="14"/>
    </row>
    <row r="24" spans="1:9" ht="13.9">
      <c r="A24" s="13"/>
      <c r="B24" s="13"/>
      <c r="C24" s="13"/>
      <c r="D24" s="13"/>
      <c r="E24" s="13"/>
      <c r="F24" s="14"/>
      <c r="G24" s="13"/>
      <c r="H24" s="13"/>
      <c r="I24" s="14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</sheetData>
  <mergeCells count="4">
    <mergeCell ref="G1:I1"/>
    <mergeCell ref="A1:C1"/>
    <mergeCell ref="D1:F1"/>
    <mergeCell ref="A2:B2"/>
  </mergeCells>
  <conditionalFormatting sqref="F2 I2 F4:F78 I4:I7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tabSelected="1" zoomScale="60" zoomScaleNormal="60" workbookViewId="0">
      <pane xSplit="2" ySplit="3" topLeftCell="C4" activePane="bottomRight" state="frozen"/>
      <selection pane="bottomRight" activeCell="G11" sqref="G11"/>
      <selection pane="bottomLeft" activeCell="E11" sqref="E11"/>
      <selection pane="topRight" activeCell="E11" sqref="E11"/>
    </sheetView>
  </sheetViews>
  <sheetFormatPr defaultRowHeight="13.9"/>
  <cols>
    <col min="1" max="1" width="36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79" t="str" cm="1">
        <f t="array" ref="A1">portfolio</f>
        <v>Clean Capital</v>
      </c>
      <c r="B1" s="79"/>
      <c r="C1" s="79"/>
      <c r="D1" s="80" t="s">
        <v>18</v>
      </c>
      <c r="E1" s="80"/>
      <c r="F1" s="80"/>
      <c r="G1" s="78" t="s">
        <v>19</v>
      </c>
      <c r="H1" s="78"/>
      <c r="I1" s="78"/>
      <c r="J1" s="4"/>
      <c r="K1" s="4"/>
    </row>
    <row r="2" spans="1:11" ht="15.6">
      <c r="A2" s="81" t="s">
        <v>2</v>
      </c>
      <c r="B2" s="81"/>
      <c r="C2" s="5">
        <f>SUM(C4:C78)</f>
        <v>52388.975010000002</v>
      </c>
      <c r="D2" s="5">
        <f>SUM(D4:D78)</f>
        <v>0</v>
      </c>
      <c r="E2" s="5">
        <f>C2-D2</f>
        <v>52388.975010000002</v>
      </c>
      <c r="F2" s="6">
        <f>IFERROR(E2/D2, 0)</f>
        <v>0</v>
      </c>
      <c r="G2" s="5">
        <f>SUM(G4:G78)</f>
        <v>40330</v>
      </c>
      <c r="H2" s="7">
        <f>C2-G2</f>
        <v>12058.975010000002</v>
      </c>
      <c r="I2" s="6">
        <f>IFERROR(H2/G2, 0)</f>
        <v>0.29900756285643448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50" t="str" cm="1">
        <f t="array" ref="A4:A7">Sites[Site]</f>
        <v>Lexington - Cotting School</v>
      </c>
      <c r="B4" s="46" t="str" cm="1">
        <f t="array" ref="B4:B7">Sites[State]</f>
        <v>MA</v>
      </c>
      <c r="C4" s="34">
        <v>10561.04</v>
      </c>
      <c r="D4" s="35">
        <v>0</v>
      </c>
      <c r="E4" s="35">
        <f>IF(AND(ISNUMBER(C4),ISNUMBER(D4)), C4-D4, "")</f>
        <v>10561.04</v>
      </c>
      <c r="F4" s="38" t="str">
        <f>IFERROR(E4/D4, "")</f>
        <v/>
      </c>
      <c r="G4" s="37">
        <v>0</v>
      </c>
      <c r="H4" s="37">
        <f>IF(AND(ISNUMBER(C4),ISNUMBER(G4)), C4-G4, "")</f>
        <v>10561.04</v>
      </c>
      <c r="I4" s="38" t="str">
        <f>IFERROR(H4/G4, "")</f>
        <v/>
      </c>
      <c r="J4" s="55" t="s">
        <v>22</v>
      </c>
      <c r="K4" s="75" t="s">
        <v>23</v>
      </c>
    </row>
    <row r="5" spans="1:11" ht="75" customHeight="1">
      <c r="A5" s="51" t="str">
        <v>Pacoima - Whiteman Airport</v>
      </c>
      <c r="B5" s="48" t="str">
        <v>CA</v>
      </c>
      <c r="C5" s="42">
        <v>14475.1</v>
      </c>
      <c r="D5" s="42">
        <v>0</v>
      </c>
      <c r="E5" s="42">
        <f t="shared" ref="E5:E7" si="0">IF(AND(ISNUMBER(C5),ISNUMBER(D5)), C5-D5, "")</f>
        <v>14475.1</v>
      </c>
      <c r="F5" s="43" t="str">
        <f t="shared" ref="F5:F7" si="1">IFERROR(E5/D5, "")</f>
        <v/>
      </c>
      <c r="G5" s="44">
        <v>28600</v>
      </c>
      <c r="H5" s="44">
        <f t="shared" ref="H5:H6" si="2">IF(AND(ISNUMBER(C5),ISNUMBER(G5)), C5-G5, "")</f>
        <v>-14124.9</v>
      </c>
      <c r="I5" s="43">
        <f t="shared" ref="I5:I6" si="3">IFERROR(H5/G5, "")</f>
        <v>-0.49387762237762234</v>
      </c>
      <c r="J5" s="74" t="s">
        <v>24</v>
      </c>
      <c r="K5" s="76" t="s">
        <v>25</v>
      </c>
    </row>
    <row r="6" spans="1:11" ht="15.6">
      <c r="A6" s="52" t="str">
        <v>Hyannis - Sturgis Charter School</v>
      </c>
      <c r="B6" s="46" t="str">
        <v>MA</v>
      </c>
      <c r="C6" s="34">
        <v>13994.515009999999</v>
      </c>
      <c r="D6" s="35">
        <v>0</v>
      </c>
      <c r="E6" s="35">
        <f t="shared" si="0"/>
        <v>13994.515009999999</v>
      </c>
      <c r="F6" s="38" t="str">
        <f t="shared" si="1"/>
        <v/>
      </c>
      <c r="G6" s="37">
        <v>11730</v>
      </c>
      <c r="H6" s="37">
        <f t="shared" si="2"/>
        <v>2264.5150099999992</v>
      </c>
      <c r="I6" s="38">
        <f t="shared" si="3"/>
        <v>0.19305328303495303</v>
      </c>
      <c r="J6" s="55"/>
      <c r="K6" s="55"/>
    </row>
    <row r="7" spans="1:11" ht="15.6">
      <c r="A7" s="51" t="str">
        <v>South Dennis - Tony Kent Arena</v>
      </c>
      <c r="B7" s="48" t="str">
        <v>MA</v>
      </c>
      <c r="C7" s="42">
        <v>13358.32</v>
      </c>
      <c r="D7" s="42">
        <v>0</v>
      </c>
      <c r="E7" s="42">
        <f t="shared" si="0"/>
        <v>13358.32</v>
      </c>
      <c r="F7" s="43" t="str">
        <f t="shared" si="1"/>
        <v/>
      </c>
      <c r="G7" s="44">
        <v>0</v>
      </c>
      <c r="H7" s="44">
        <f t="shared" ref="H7" si="4">IF(AND(ISNUMBER(C7),ISNUMBER(G7)), C7-G7, "")</f>
        <v>13358.32</v>
      </c>
      <c r="I7" s="43" t="str">
        <f t="shared" ref="I7" si="5">IFERROR(H7/G7, "")</f>
        <v/>
      </c>
      <c r="J7" s="56" t="s">
        <v>26</v>
      </c>
      <c r="K7" s="77" t="s">
        <v>27</v>
      </c>
    </row>
    <row r="8" spans="1:11" ht="14.45">
      <c r="A8" s="13"/>
      <c r="B8" s="18"/>
      <c r="C8" s="13"/>
      <c r="D8" s="13"/>
      <c r="E8" s="13"/>
      <c r="F8" s="13"/>
      <c r="G8" s="13"/>
      <c r="H8" s="13"/>
      <c r="I8" s="13"/>
      <c r="J8" s="13"/>
      <c r="K8" s="13"/>
    </row>
    <row r="9" spans="1:11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14"/>
      <c r="G11" s="13"/>
      <c r="H11" s="13"/>
      <c r="I11" s="14"/>
      <c r="J11" s="13"/>
      <c r="K11" s="13"/>
    </row>
    <row r="12" spans="1:11" ht="14.45">
      <c r="A12" s="13"/>
      <c r="B12" s="18"/>
      <c r="C12" s="13"/>
      <c r="D12" s="13"/>
      <c r="E12" s="13"/>
      <c r="F12" s="14"/>
      <c r="G12" s="13"/>
      <c r="H12" s="13"/>
      <c r="I12" s="14"/>
      <c r="J12" s="13"/>
      <c r="K12" s="13"/>
    </row>
    <row r="13" spans="1:11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8" stopIfTrue="1" operator="lessThanOrEqual">
      <formula>-0.1</formula>
    </cfRule>
    <cfRule type="expression" dxfId="25" priority="9">
      <formula>AND(ISNUMBER(F2), F2&gt;=0.1)</formula>
    </cfRule>
  </conditionalFormatting>
  <hyperlinks>
    <hyperlink ref="K4" r:id="rId1" display="https://us3.assetplanner.com/service_request?ID=095368" xr:uid="{B5207AF9-0E3D-4996-A55E-2E1A85C6F34D}"/>
    <hyperlink ref="K5" r:id="rId2" display="https://us3.assetplanner.com/service_request?ID=095501" xr:uid="{B81C90BE-9F0E-4FC5-A606-3FA6193536EC}"/>
    <hyperlink ref="K7" r:id="rId3" display="https://us3.assetplanner.com/service_request?ID=096179" xr:uid="{E3B1486E-D9D5-4C6D-94C2-1FA026C7161E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E14" sqref="E14"/>
      <selection pane="bottomLeft" activeCell="A14" sqref="A14"/>
      <selection pane="topRight" activeCell="A14" sqref="A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28</v>
      </c>
      <c r="E1" s="80"/>
      <c r="F1" s="80"/>
      <c r="G1" s="78" t="s">
        <v>29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50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51" t="str">
        <v>Pacoima - Whiteman Airport</v>
      </c>
      <c r="B5" s="48" t="str">
        <v>CA</v>
      </c>
      <c r="C5" s="41"/>
      <c r="D5" s="42"/>
      <c r="E5" s="42" t="str">
        <f t="shared" ref="E5:E7" si="0">IF(AND(ISNUMBER(C5),ISNUMBER(D5)), C5-D5, "")</f>
        <v/>
      </c>
      <c r="F5" s="43" t="str">
        <f>IFERROR(E5/D5, "")</f>
        <v/>
      </c>
      <c r="G5" s="44"/>
      <c r="H5" s="44" t="str">
        <f t="shared" ref="H5:H7" si="1">IF(AND(ISNUMBER(C5),ISNUMBER(G5)), C5-G5, "")</f>
        <v/>
      </c>
      <c r="I5" s="43" t="str">
        <f t="shared" ref="I5:I7" si="2">IFERROR(H5/G5, "")</f>
        <v/>
      </c>
      <c r="J5" s="56"/>
      <c r="K5" s="56"/>
    </row>
    <row r="6" spans="1:11" ht="15.6">
      <c r="A6" s="50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40.5" customHeight="1">
      <c r="A7" s="51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</row>
    <row r="8" spans="1:11" ht="14.45">
      <c r="A8" s="13"/>
      <c r="B8" s="18"/>
      <c r="C8" s="13"/>
      <c r="D8" s="13"/>
      <c r="E8" s="13"/>
      <c r="F8" s="13"/>
      <c r="G8" s="13"/>
      <c r="H8" s="13"/>
      <c r="I8" s="13"/>
      <c r="J8" s="13"/>
      <c r="K8" s="13"/>
    </row>
    <row r="9" spans="1:11" ht="14.45">
      <c r="A9" s="13"/>
      <c r="B9" s="18"/>
      <c r="C9" s="13"/>
      <c r="D9" s="13"/>
      <c r="E9" s="13"/>
      <c r="F9" s="13"/>
      <c r="G9" s="13"/>
      <c r="H9" s="13"/>
      <c r="I9" s="13"/>
      <c r="J9" s="13"/>
      <c r="K9" s="13"/>
    </row>
    <row r="10" spans="1:11" ht="14.45">
      <c r="A10" s="13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4.45">
      <c r="A11" s="13"/>
      <c r="B11" s="18"/>
      <c r="C11" s="13"/>
      <c r="D11" s="13"/>
      <c r="E11" s="13"/>
      <c r="F11" s="42"/>
      <c r="G11" s="13"/>
      <c r="H11" s="13"/>
      <c r="I11" s="13"/>
      <c r="J11" s="13"/>
      <c r="K11" s="13"/>
    </row>
    <row r="12" spans="1:11" ht="14.45">
      <c r="A12" s="13"/>
      <c r="B12" s="18"/>
      <c r="C12" s="13"/>
      <c r="D12" s="13"/>
      <c r="E12" s="13"/>
      <c r="F12" s="13"/>
      <c r="G12" s="13"/>
      <c r="H12" s="13"/>
      <c r="I12" s="13"/>
      <c r="J12" s="13"/>
      <c r="K12" s="13"/>
    </row>
    <row r="13" spans="1:11" ht="14.45">
      <c r="A13" s="13"/>
      <c r="B13" s="18"/>
      <c r="C13" s="13"/>
      <c r="D13" s="13"/>
      <c r="E13" s="13"/>
      <c r="F13" s="14"/>
      <c r="G13" s="13"/>
      <c r="H13" s="13"/>
      <c r="I13" s="14"/>
      <c r="J13" s="13"/>
      <c r="K13" s="13"/>
    </row>
    <row r="14" spans="1:11" ht="14.45">
      <c r="A14" s="13"/>
      <c r="B14" s="18"/>
      <c r="C14" s="13"/>
      <c r="D14" s="13"/>
      <c r="E14" s="13"/>
      <c r="F14" s="14"/>
      <c r="G14" s="13"/>
      <c r="H14" s="13"/>
      <c r="I14" s="14"/>
      <c r="J14" s="13"/>
      <c r="K14" s="13"/>
    </row>
    <row r="15" spans="1:11" ht="14.45">
      <c r="A15" s="13"/>
      <c r="B15" s="18"/>
      <c r="C15" s="13"/>
      <c r="D15" s="13"/>
      <c r="E15" s="13"/>
      <c r="F15" s="14"/>
      <c r="G15" s="13"/>
      <c r="H15" s="13"/>
      <c r="I15" s="14"/>
      <c r="J15" s="13"/>
      <c r="K15" s="13"/>
    </row>
    <row r="16" spans="1:11" ht="14.45">
      <c r="A16" s="13"/>
      <c r="B16" s="18"/>
      <c r="C16" s="13"/>
      <c r="D16" s="13"/>
      <c r="E16" s="13"/>
      <c r="F16" s="14"/>
      <c r="G16" s="13"/>
      <c r="H16" s="13"/>
      <c r="I16" s="14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C322" s="13"/>
      <c r="D322" s="13"/>
      <c r="E322" s="13"/>
      <c r="F322" s="14"/>
      <c r="G322" s="13"/>
      <c r="H322" s="13"/>
      <c r="I322" s="14"/>
      <c r="J322" s="13"/>
      <c r="K322" s="13"/>
    </row>
  </sheetData>
  <mergeCells count="4">
    <mergeCell ref="G1:I1"/>
    <mergeCell ref="A1:C1"/>
    <mergeCell ref="D1:F1"/>
    <mergeCell ref="A2:B2"/>
  </mergeCells>
  <conditionalFormatting sqref="F2 I2 F4:F10 I4:I80 F12:F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7"/>
  <sheetViews>
    <sheetView workbookViewId="0">
      <pane xSplit="2" ySplit="3" topLeftCell="H4" activePane="bottomRight" state="frozen"/>
      <selection pane="bottomRight" activeCell="A13" sqref="A13:XFD19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9" t="str" cm="1">
        <f t="array" ref="A1">portfolio</f>
        <v>Clean Capital</v>
      </c>
      <c r="B1" s="79"/>
      <c r="C1" s="79"/>
      <c r="D1" s="80" t="s">
        <v>31</v>
      </c>
      <c r="E1" s="80"/>
      <c r="F1" s="80"/>
      <c r="G1" s="78" t="s">
        <v>32</v>
      </c>
      <c r="H1" s="78"/>
      <c r="I1" s="78"/>
      <c r="J1" s="4"/>
      <c r="K1" s="4"/>
    </row>
    <row r="2" spans="1:13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3" ht="15.6">
      <c r="A4" s="50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9"/>
      <c r="K4" s="59"/>
      <c r="M4" s="58"/>
    </row>
    <row r="5" spans="1:13" ht="15.6">
      <c r="A5" s="51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0"/>
      <c r="K5" s="60"/>
      <c r="M5" s="58"/>
    </row>
    <row r="6" spans="1:13" ht="15.6">
      <c r="A6" s="52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9"/>
      <c r="K6" s="59"/>
      <c r="M6" s="58"/>
    </row>
    <row r="7" spans="1:13" ht="15.6">
      <c r="A7" s="51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0"/>
      <c r="K7" s="61"/>
      <c r="M7" s="58"/>
    </row>
    <row r="8" spans="1:13" ht="15.6">
      <c r="A8" s="52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9"/>
      <c r="K8" s="59"/>
      <c r="M8" s="58"/>
    </row>
    <row r="9" spans="1:13" ht="15.6">
      <c r="A9" s="51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0"/>
      <c r="K9" s="61"/>
      <c r="M9" s="58"/>
    </row>
    <row r="10" spans="1:13" ht="15.6">
      <c r="A10" s="52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9"/>
      <c r="K10" s="59"/>
      <c r="M10" s="58"/>
    </row>
    <row r="11" spans="1:13" ht="15.6">
      <c r="A11" s="51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0"/>
      <c r="K11" s="61"/>
      <c r="M11" s="58"/>
    </row>
    <row r="12" spans="1:13" ht="15.6">
      <c r="A12" s="52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9"/>
      <c r="K12" s="59"/>
      <c r="M12" s="58"/>
    </row>
    <row r="13" spans="1:13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  <c r="M13" s="58"/>
    </row>
    <row r="14" spans="1:13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  <c r="M14" s="58"/>
    </row>
    <row r="15" spans="1:13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  <c r="M15" s="58"/>
    </row>
    <row r="16" spans="1:13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  <c r="M16" s="58"/>
    </row>
    <row r="17" spans="1:13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  <c r="M17" s="58"/>
    </row>
    <row r="18" spans="1:13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  <c r="M18" s="58"/>
    </row>
    <row r="19" spans="1:13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  <c r="M19" s="58"/>
    </row>
    <row r="20" spans="1:13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  <c r="M20" s="58"/>
    </row>
    <row r="21" spans="1:13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  <c r="M21" s="58"/>
    </row>
    <row r="22" spans="1:13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  <c r="M22" s="58"/>
    </row>
    <row r="23" spans="1:13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  <c r="M23" s="58"/>
    </row>
    <row r="24" spans="1:13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  <c r="M24" s="58"/>
    </row>
    <row r="25" spans="1:13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58"/>
    </row>
    <row r="26" spans="1:13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58"/>
    </row>
    <row r="27" spans="1:13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58"/>
    </row>
    <row r="28" spans="1:13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58"/>
    </row>
    <row r="29" spans="1:13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58"/>
    </row>
    <row r="30" spans="1:13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58"/>
    </row>
    <row r="31" spans="1:13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58"/>
    </row>
    <row r="32" spans="1:13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58"/>
    </row>
    <row r="33" spans="1:13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58"/>
    </row>
    <row r="34" spans="1:13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58"/>
    </row>
    <row r="35" spans="1:13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3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3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3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3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3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3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3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xSplit="2" ySplit="3" topLeftCell="C4" activePane="bottomRight" state="frozen"/>
      <selection pane="bottomRight" activeCell="F23" sqref="F2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33</v>
      </c>
      <c r="E1" s="80"/>
      <c r="F1" s="80"/>
      <c r="G1" s="78" t="s">
        <v>34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62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56"/>
      <c r="K5" s="56"/>
    </row>
    <row r="6" spans="1:11" ht="30" customHeight="1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27.75" customHeight="1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xSplit="2" ySplit="3" topLeftCell="C4" activePane="bottomRight" state="frozen"/>
      <selection pane="bottomRight" activeCell="A13" sqref="A13:XFD19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35</v>
      </c>
      <c r="E1" s="80"/>
      <c r="F1" s="80"/>
      <c r="G1" s="78" t="s">
        <v>36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>IF(AND(ISNUMBER(C5),ISNUMBER(D5)), C5-D5, "")</f>
        <v/>
      </c>
      <c r="F5" s="43" t="str">
        <f>IFERROR(E5/D5, "")</f>
        <v/>
      </c>
      <c r="G5" s="44"/>
      <c r="H5" s="44" t="str">
        <f t="shared" ref="H5:H12" si="0">IF(AND(ISNUMBER(C5),ISNUMBER(G5)), C5-G5, "")</f>
        <v/>
      </c>
      <c r="I5" s="43" t="str">
        <f t="shared" ref="I5:I12" si="1">IFERROR(H5/G5, "")</f>
        <v/>
      </c>
      <c r="J5" s="56"/>
      <c r="K5" s="5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ref="E6:E12" si="2">IF(AND(ISNUMBER(C6),ISNUMBER(D6)), C6-D6, "")</f>
        <v/>
      </c>
      <c r="F6" s="36" t="str">
        <f t="shared" ref="F6:F12" si="3">IFERROR(E6/D6, "")</f>
        <v/>
      </c>
      <c r="G6" s="37"/>
      <c r="H6" s="37" t="str">
        <f t="shared" si="0"/>
        <v/>
      </c>
      <c r="I6" s="38" t="str">
        <f t="shared" si="1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2"/>
        <v/>
      </c>
      <c r="F7" s="43" t="str">
        <f t="shared" si="3"/>
        <v/>
      </c>
      <c r="G7" s="44"/>
      <c r="H7" s="44" t="str">
        <f t="shared" si="0"/>
        <v/>
      </c>
      <c r="I7" s="43" t="str">
        <f t="shared" si="1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2"/>
        <v/>
      </c>
      <c r="F8" s="36" t="str">
        <f t="shared" si="3"/>
        <v/>
      </c>
      <c r="G8" s="37"/>
      <c r="H8" s="37" t="str">
        <f t="shared" si="0"/>
        <v/>
      </c>
      <c r="I8" s="38" t="str">
        <f t="shared" si="1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2"/>
        <v/>
      </c>
      <c r="F9" s="43" t="str">
        <f t="shared" si="3"/>
        <v/>
      </c>
      <c r="G9" s="44"/>
      <c r="H9" s="44" t="str">
        <f t="shared" si="0"/>
        <v/>
      </c>
      <c r="I9" s="43" t="str">
        <f t="shared" si="1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2"/>
        <v/>
      </c>
      <c r="F10" s="36" t="str">
        <f t="shared" si="3"/>
        <v/>
      </c>
      <c r="G10" s="37"/>
      <c r="H10" s="37" t="str">
        <f t="shared" si="0"/>
        <v/>
      </c>
      <c r="I10" s="38" t="str">
        <f t="shared" si="1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2"/>
        <v/>
      </c>
      <c r="F11" s="43" t="str">
        <f t="shared" si="3"/>
        <v/>
      </c>
      <c r="G11" s="44"/>
      <c r="H11" s="44" t="str">
        <f t="shared" si="0"/>
        <v/>
      </c>
      <c r="I11" s="43" t="str">
        <f t="shared" si="1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2"/>
        <v/>
      </c>
      <c r="F12" s="36" t="str">
        <f t="shared" si="3"/>
        <v/>
      </c>
      <c r="G12" s="37"/>
      <c r="H12" s="37" t="str">
        <f t="shared" si="0"/>
        <v/>
      </c>
      <c r="I12" s="38" t="str">
        <f t="shared" si="1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37</v>
      </c>
      <c r="E1" s="80"/>
      <c r="F1" s="80"/>
      <c r="G1" s="78" t="s">
        <v>38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3"/>
      <c r="K4" s="63"/>
    </row>
    <row r="5" spans="1:11" ht="15.6">
      <c r="A5" s="47" t="str">
        <v>Pacoima - Whiteman Airport</v>
      </c>
      <c r="B5" s="48" t="str">
        <v>CA</v>
      </c>
      <c r="C5" s="41"/>
      <c r="D5" s="64"/>
      <c r="E5" s="42" t="str">
        <f t="shared" ref="E5:E12" si="0">IF(AND(ISNUMBER(C5),ISNUMBER(D5)), C5-D5, "")</f>
        <v/>
      </c>
      <c r="F5" s="43" t="str">
        <f>IFERROR(E5/D5, "")</f>
        <v/>
      </c>
      <c r="G5" s="6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9"/>
      <c r="K5" s="70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63"/>
      <c r="K6" s="63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9"/>
      <c r="K7" s="69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3"/>
      <c r="K8" s="63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9"/>
      <c r="K9" s="69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3"/>
      <c r="K10" s="63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9"/>
      <c r="K11" s="69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3"/>
      <c r="K12" s="63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39</v>
      </c>
      <c r="E1" s="80"/>
      <c r="F1" s="80"/>
      <c r="G1" s="78" t="s">
        <v>40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78" customHeight="1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42.75" customHeight="1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6"/>
      <c r="K5" s="5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85 I4:I85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zoomScale="90" zoomScaleNormal="9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41</v>
      </c>
      <c r="E1" s="80"/>
      <c r="F1" s="80"/>
      <c r="G1" s="78" t="s">
        <v>42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5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C327" s="13"/>
      <c r="D327" s="13"/>
      <c r="E327" s="13"/>
      <c r="F327" s="14"/>
      <c r="G327" s="13"/>
      <c r="H327" s="13"/>
      <c r="I327" s="14"/>
      <c r="J327" s="13"/>
      <c r="K327" s="1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5" stopIfTrue="1" operator="lessThanOrEqual">
      <formula>-0.1</formula>
    </cfRule>
    <cfRule type="expression" dxfId="11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6"/>
  <sheetViews>
    <sheetView zoomScale="70" zoomScaleNormal="7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43</v>
      </c>
      <c r="E1" s="80"/>
      <c r="F1" s="80"/>
      <c r="G1" s="78" t="s">
        <v>44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67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5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>IFERROR(H11/G11, "")</f>
        <v/>
      </c>
      <c r="J11" s="56"/>
      <c r="K11" s="57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6"/>
  <sheetViews>
    <sheetView zoomScale="80" zoomScaleNormal="80" workbookViewId="0">
      <pane xSplit="2" ySplit="3" topLeftCell="C6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45</v>
      </c>
      <c r="E1" s="80"/>
      <c r="F1" s="80"/>
      <c r="G1" s="78" t="s">
        <v>46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8"/>
      <c r="K4" s="68"/>
    </row>
    <row r="5" spans="1:11" ht="84" customHeight="1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68"/>
      <c r="K6" s="68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6"/>
      <c r="K7" s="65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8"/>
      <c r="K8" s="68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6"/>
      <c r="K9" s="65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8"/>
      <c r="K10" s="68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6"/>
      <c r="K11" s="65"/>
    </row>
    <row r="12" spans="1:11" ht="51" customHeight="1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8"/>
      <c r="K12" s="68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6"/>
  <sheetViews>
    <sheetView workbookViewId="0">
      <pane xSplit="2" ySplit="3" topLeftCell="C4" activePane="bottomRight" state="frozen"/>
      <selection pane="bottomRight" activeCell="A13" sqref="A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47</v>
      </c>
      <c r="E1" s="80"/>
      <c r="F1" s="80"/>
      <c r="G1" s="78" t="s">
        <v>48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8"/>
      <c r="K4" s="68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>IFERROR(E5/D5, "")</f>
        <v/>
      </c>
      <c r="G5" s="44"/>
      <c r="H5" s="44" t="str">
        <f t="shared" ref="H5:H12" si="1">IF(AND(ISNUMBER(C5),ISNUMBER(G5)), C5-G5, "")</f>
        <v/>
      </c>
      <c r="I5" s="43" t="str">
        <f t="shared" ref="I5:I12" si="2">IFERROR(H5/G5, "")</f>
        <v/>
      </c>
      <c r="J5" s="66"/>
      <c r="K5" s="66"/>
    </row>
    <row r="6" spans="1:11" ht="49.5" customHeight="1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ref="F6:F12" si="3">IFERROR(E6/D6, "")</f>
        <v/>
      </c>
      <c r="G6" s="37"/>
      <c r="H6" s="37" t="str">
        <f t="shared" si="1"/>
        <v/>
      </c>
      <c r="I6" s="38" t="str">
        <f t="shared" si="2"/>
        <v/>
      </c>
      <c r="J6" s="68"/>
      <c r="K6" s="68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6"/>
      <c r="K7" s="65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8"/>
      <c r="K8" s="68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6"/>
      <c r="K9" s="71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8"/>
      <c r="K10" s="68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6"/>
      <c r="K11" s="65"/>
    </row>
    <row r="12" spans="1:11" ht="123" customHeight="1">
      <c r="A12" s="49"/>
      <c r="B12" s="46"/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8"/>
      <c r="K12" s="68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6"/>
  <sheetViews>
    <sheetView workbookViewId="0">
      <pane xSplit="2" ySplit="3" topLeftCell="C4" activePane="bottomRight" state="frozen"/>
      <selection pane="bottomRight" activeCell="A13" sqref="A13:XFD20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9" t="str" cm="1">
        <f t="array" ref="A1">portfolio</f>
        <v>Clean Capital</v>
      </c>
      <c r="B1" s="79"/>
      <c r="C1" s="79"/>
      <c r="D1" s="80" t="s">
        <v>49</v>
      </c>
      <c r="E1" s="80"/>
      <c r="F1" s="80"/>
      <c r="G1" s="78" t="s">
        <v>50</v>
      </c>
      <c r="H1" s="78"/>
      <c r="I1" s="78"/>
      <c r="J1" s="4"/>
      <c r="K1" s="4"/>
    </row>
    <row r="2" spans="1:11" ht="19.5" customHeight="1">
      <c r="A2" s="81" t="s">
        <v>2</v>
      </c>
      <c r="B2" s="81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30</v>
      </c>
      <c r="K3" s="15" t="s">
        <v>21</v>
      </c>
    </row>
    <row r="4" spans="1:11" ht="15.6">
      <c r="A4" s="45" t="str" cm="1">
        <f t="array" ref="A4:A7">Sites[Site]</f>
        <v>Lexington - Cotting School</v>
      </c>
      <c r="B4" s="46" t="str" cm="1">
        <f t="array" ref="B4:B7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Pacoima - Whiteman Airport</v>
      </c>
      <c r="B5" s="48" t="str">
        <v>CA</v>
      </c>
      <c r="C5" s="41"/>
      <c r="D5" s="42"/>
      <c r="E5" s="42" t="str">
        <f t="shared" ref="E5:E12" si="0">IF(AND(ISNUMBER(C5),ISNUMBER(D5)), C5-D5, "")</f>
        <v/>
      </c>
      <c r="F5" s="43" t="str">
        <f t="shared" ref="F5:F12" si="1">IFERROR(E5/D5, "")</f>
        <v/>
      </c>
      <c r="G5" s="44"/>
      <c r="H5" s="44" t="str">
        <f t="shared" ref="H5:H12" si="2">IF(AND(ISNUMBER(C5),ISNUMBER(G5)), C5-G5, "")</f>
        <v/>
      </c>
      <c r="I5" s="43" t="str">
        <f t="shared" ref="I5:I12" si="3">IFERROR(H5/G5, "")</f>
        <v/>
      </c>
      <c r="J5" s="66"/>
      <c r="K5" s="66"/>
    </row>
    <row r="6" spans="1:11" ht="15.6">
      <c r="A6" s="49" t="str">
        <v>Hyannis - Sturgis Charter School</v>
      </c>
      <c r="B6" s="46" t="str">
        <v>MA</v>
      </c>
      <c r="C6" s="34"/>
      <c r="D6" s="35"/>
      <c r="E6" s="35" t="str">
        <f t="shared" si="0"/>
        <v/>
      </c>
      <c r="F6" s="36" t="str">
        <f t="shared" si="1"/>
        <v/>
      </c>
      <c r="G6" s="37"/>
      <c r="H6" s="37" t="str">
        <f t="shared" si="2"/>
        <v/>
      </c>
      <c r="I6" s="38" t="str">
        <f t="shared" si="3"/>
        <v/>
      </c>
      <c r="J6" s="55"/>
      <c r="K6" s="55"/>
    </row>
    <row r="7" spans="1:11" ht="15.6">
      <c r="A7" s="47" t="str">
        <v>South Dennis - Tony Kent Arena</v>
      </c>
      <c r="B7" s="48" t="str">
        <v>MA</v>
      </c>
      <c r="C7" s="41"/>
      <c r="D7" s="42"/>
      <c r="E7" s="42" t="str">
        <f t="shared" si="0"/>
        <v/>
      </c>
      <c r="F7" s="43" t="str">
        <f t="shared" si="1"/>
        <v/>
      </c>
      <c r="G7" s="44"/>
      <c r="H7" s="44" t="str">
        <f t="shared" si="2"/>
        <v/>
      </c>
      <c r="I7" s="43" t="str">
        <f t="shared" si="3"/>
        <v/>
      </c>
      <c r="J7" s="66"/>
      <c r="K7" s="66"/>
    </row>
    <row r="8" spans="1:11" ht="15.6">
      <c r="A8" s="49"/>
      <c r="B8" s="46"/>
      <c r="C8" s="34"/>
      <c r="D8" s="35"/>
      <c r="E8" s="35" t="str">
        <f t="shared" si="0"/>
        <v/>
      </c>
      <c r="F8" s="36" t="str">
        <f t="shared" si="1"/>
        <v/>
      </c>
      <c r="G8" s="37"/>
      <c r="H8" s="37" t="str">
        <f t="shared" si="2"/>
        <v/>
      </c>
      <c r="I8" s="38" t="str">
        <f t="shared" si="3"/>
        <v/>
      </c>
      <c r="J8" s="55"/>
      <c r="K8" s="55"/>
    </row>
    <row r="9" spans="1:11" ht="15.6">
      <c r="A9" s="47"/>
      <c r="B9" s="48"/>
      <c r="C9" s="41"/>
      <c r="D9" s="42"/>
      <c r="E9" s="42" t="str">
        <f t="shared" si="0"/>
        <v/>
      </c>
      <c r="F9" s="43" t="str">
        <f t="shared" si="1"/>
        <v/>
      </c>
      <c r="G9" s="44"/>
      <c r="H9" s="44" t="str">
        <f t="shared" si="2"/>
        <v/>
      </c>
      <c r="I9" s="43" t="str">
        <f t="shared" si="3"/>
        <v/>
      </c>
      <c r="J9" s="66"/>
      <c r="K9" s="66"/>
    </row>
    <row r="10" spans="1:11" ht="15.6">
      <c r="A10" s="49"/>
      <c r="B10" s="46"/>
      <c r="C10" s="34"/>
      <c r="D10" s="35"/>
      <c r="E10" s="35" t="str">
        <f t="shared" si="0"/>
        <v/>
      </c>
      <c r="F10" s="36" t="str">
        <f t="shared" si="1"/>
        <v/>
      </c>
      <c r="G10" s="37"/>
      <c r="H10" s="37" t="str">
        <f t="shared" si="2"/>
        <v/>
      </c>
      <c r="I10" s="38" t="str">
        <f t="shared" si="3"/>
        <v/>
      </c>
      <c r="J10" s="55"/>
      <c r="K10" s="55"/>
    </row>
    <row r="11" spans="1:11" ht="15.6">
      <c r="A11" s="47"/>
      <c r="B11" s="48"/>
      <c r="C11" s="41"/>
      <c r="D11" s="42"/>
      <c r="E11" s="42" t="str">
        <f t="shared" si="0"/>
        <v/>
      </c>
      <c r="F11" s="43" t="str">
        <f t="shared" si="1"/>
        <v/>
      </c>
      <c r="G11" s="44"/>
      <c r="H11" s="44" t="str">
        <f t="shared" si="2"/>
        <v/>
      </c>
      <c r="I11" s="43" t="str">
        <f t="shared" si="3"/>
        <v/>
      </c>
      <c r="J11" s="66"/>
      <c r="K11" s="66"/>
    </row>
    <row r="12" spans="1:11" ht="15.6">
      <c r="A12" s="49"/>
      <c r="B12" s="46"/>
      <c r="C12" s="34"/>
      <c r="D12" s="35"/>
      <c r="E12" s="35" t="str">
        <f t="shared" si="0"/>
        <v/>
      </c>
      <c r="F12" s="36" t="str">
        <f t="shared" si="1"/>
        <v/>
      </c>
      <c r="G12" s="37"/>
      <c r="H12" s="37" t="str">
        <f t="shared" si="2"/>
        <v/>
      </c>
      <c r="I12" s="38" t="str">
        <f t="shared" si="3"/>
        <v/>
      </c>
      <c r="J12" s="55"/>
      <c r="K12" s="55"/>
    </row>
    <row r="13" spans="1:11" ht="14.45">
      <c r="A13" s="13"/>
      <c r="B13" s="18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4.45">
      <c r="A14" s="13"/>
      <c r="B14" s="18"/>
      <c r="C14" s="13"/>
      <c r="D14" s="13"/>
      <c r="E14" s="13"/>
      <c r="F14" s="13"/>
      <c r="G14" s="13"/>
      <c r="H14" s="13"/>
      <c r="I14" s="13"/>
      <c r="J14" s="13"/>
      <c r="K14" s="13"/>
    </row>
    <row r="15" spans="1:11" ht="14.45">
      <c r="A15" s="13"/>
      <c r="B15" s="18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4.45">
      <c r="A16" s="13"/>
      <c r="B16" s="18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4.45">
      <c r="A17" s="13"/>
      <c r="B17" s="18"/>
      <c r="C17" s="13"/>
      <c r="D17" s="13"/>
      <c r="E17" s="13"/>
      <c r="F17" s="14"/>
      <c r="G17" s="13"/>
      <c r="H17" s="13"/>
      <c r="I17" s="14"/>
      <c r="J17" s="13"/>
      <c r="K17" s="13"/>
    </row>
    <row r="18" spans="1:11" ht="14.45">
      <c r="A18" s="13"/>
      <c r="B18" s="18"/>
      <c r="C18" s="13"/>
      <c r="D18" s="13"/>
      <c r="E18" s="13"/>
      <c r="F18" s="14"/>
      <c r="G18" s="13"/>
      <c r="H18" s="13"/>
      <c r="I18" s="14"/>
      <c r="J18" s="13"/>
      <c r="K18" s="13"/>
    </row>
    <row r="19" spans="1:11" ht="14.45">
      <c r="A19" s="13"/>
      <c r="B19" s="18"/>
      <c r="C19" s="13"/>
      <c r="D19" s="13"/>
      <c r="E19" s="13"/>
      <c r="F19" s="14"/>
      <c r="G19" s="13"/>
      <c r="H19" s="13"/>
      <c r="I19" s="14"/>
      <c r="J19" s="13"/>
      <c r="K19" s="13"/>
    </row>
    <row r="20" spans="1:11" ht="14.45">
      <c r="A20" s="13"/>
      <c r="B20" s="18"/>
      <c r="C20" s="13"/>
      <c r="D20" s="13"/>
      <c r="E20" s="13"/>
      <c r="F20" s="14"/>
      <c r="G20" s="13"/>
      <c r="H20" s="13"/>
      <c r="I20" s="14"/>
      <c r="J20" s="13"/>
      <c r="K20" s="13"/>
    </row>
    <row r="21" spans="1:11" ht="14.45">
      <c r="A21" s="13"/>
      <c r="B21" s="18"/>
      <c r="C21" s="13"/>
      <c r="D21" s="13"/>
      <c r="E21" s="13"/>
      <c r="F21" s="14"/>
      <c r="G21" s="13"/>
      <c r="H21" s="13"/>
      <c r="I21" s="14"/>
      <c r="J21" s="13"/>
      <c r="K21" s="13"/>
    </row>
    <row r="22" spans="1:11" ht="14.45">
      <c r="A22" s="13"/>
      <c r="B22" s="18"/>
      <c r="C22" s="13"/>
      <c r="D22" s="13"/>
      <c r="E22" s="13"/>
      <c r="F22" s="14"/>
      <c r="G22" s="13"/>
      <c r="H22" s="13"/>
      <c r="I22" s="14"/>
      <c r="J22" s="13"/>
      <c r="K22" s="13"/>
    </row>
    <row r="23" spans="1:11" ht="14.45">
      <c r="A23" s="13"/>
      <c r="B23" s="18"/>
      <c r="C23" s="13"/>
      <c r="D23" s="13"/>
      <c r="E23" s="13"/>
      <c r="F23" s="14"/>
      <c r="G23" s="13"/>
      <c r="H23" s="13"/>
      <c r="I23" s="14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C326" s="13"/>
      <c r="D326" s="13"/>
      <c r="E326" s="13"/>
      <c r="F326" s="14"/>
      <c r="G326" s="13"/>
      <c r="H326" s="13"/>
      <c r="I326" s="14"/>
      <c r="J326" s="13"/>
      <c r="K326" s="13"/>
    </row>
  </sheetData>
  <mergeCells count="4">
    <mergeCell ref="G1:I1"/>
    <mergeCell ref="A1:C1"/>
    <mergeCell ref="D1:F1"/>
    <mergeCell ref="A2:B2"/>
  </mergeCells>
  <conditionalFormatting sqref="F2 I2 F4:F84 I4:I84">
    <cfRule type="cellIs" dxfId="4" priority="19" stopIfTrue="1" operator="lessThanOrEqual">
      <formula>-0.1</formula>
    </cfRule>
    <cfRule type="expression" dxfId="3" priority="2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9"/>
  <sheetViews>
    <sheetView workbookViewId="0">
      <pane ySplit="3" topLeftCell="A4" activePane="bottomLeft" state="frozen"/>
      <selection pane="bottomLeft" activeCell="C13" sqref="C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s="24" t="s">
        <v>56</v>
      </c>
      <c r="B4" t="s">
        <v>57</v>
      </c>
      <c r="C4" s="23" t="s">
        <v>58</v>
      </c>
      <c r="D4" s="22" t="s">
        <v>59</v>
      </c>
      <c r="E4" t="s">
        <v>60</v>
      </c>
      <c r="G4" s="3"/>
    </row>
    <row r="5" spans="1:12" ht="14.45">
      <c r="A5" s="24" t="s">
        <v>61</v>
      </c>
      <c r="B5" t="s">
        <v>62</v>
      </c>
      <c r="C5" s="23" t="s">
        <v>63</v>
      </c>
      <c r="D5" s="22" t="s">
        <v>59</v>
      </c>
      <c r="E5" t="s">
        <v>64</v>
      </c>
      <c r="G5" s="3"/>
    </row>
    <row r="6" spans="1:12" ht="12.75" customHeight="1">
      <c r="A6" s="24" t="s">
        <v>65</v>
      </c>
      <c r="B6" t="s">
        <v>65</v>
      </c>
      <c r="C6" s="23" t="s">
        <v>58</v>
      </c>
      <c r="D6" s="22"/>
      <c r="E6" t="s">
        <v>66</v>
      </c>
      <c r="K6" s="20"/>
      <c r="L6" s="20"/>
    </row>
    <row r="7" spans="1:12" ht="12.75" customHeight="1">
      <c r="A7" s="72" t="s">
        <v>67</v>
      </c>
      <c r="B7" s="73" t="s">
        <v>68</v>
      </c>
      <c r="C7" s="23" t="s">
        <v>58</v>
      </c>
      <c r="E7" t="s">
        <v>60</v>
      </c>
      <c r="K7" s="20"/>
      <c r="L7" s="20"/>
    </row>
    <row r="8" spans="1:12" ht="12.75" customHeight="1">
      <c r="K8" s="20"/>
      <c r="L8" s="20"/>
    </row>
    <row r="9" spans="1:12" ht="12.75" customHeight="1">
      <c r="K9" s="20"/>
      <c r="L9" s="2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2025-03-04T14:56:38Z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2025-02-19T13:13:26Z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d8975808-c643-4fb8-ab79-3a8e3636f2c1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