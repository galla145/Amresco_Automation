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WF\"/>
    </mc:Choice>
  </mc:AlternateContent>
  <xr:revisionPtr revIDLastSave="103" documentId="13_ncr:1_{9744ED2F-A6E7-4511-A0A2-7AB4A6696479}" xr6:coauthVersionLast="47" xr6:coauthVersionMax="47" xr10:uidLastSave="{28C982E6-746B-40F8-AC8E-5E346132154C}"/>
  <bookViews>
    <workbookView xWindow="11424" yWindow="0" windowWidth="11712" windowHeight="12336" tabRatio="866" firstSheet="5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4" l="1"/>
  <c r="H11" i="34"/>
  <c r="H12" i="34"/>
  <c r="G11" i="34"/>
  <c r="G12" i="34"/>
  <c r="F11" i="34"/>
  <c r="E11" i="34"/>
  <c r="D11" i="34"/>
  <c r="D12" i="34"/>
  <c r="C11" i="34"/>
  <c r="C12" i="34"/>
  <c r="E12" i="34" s="1"/>
  <c r="F12" i="34" s="1"/>
  <c r="I12" i="72"/>
  <c r="H12" i="72"/>
  <c r="F12" i="72"/>
  <c r="E12" i="72"/>
  <c r="H12" i="1"/>
  <c r="I12" i="1" s="1"/>
  <c r="G12" i="1"/>
  <c r="F12" i="1"/>
  <c r="E12" i="1"/>
  <c r="D12" i="1"/>
  <c r="C12" i="1"/>
  <c r="I9" i="72"/>
  <c r="I11" i="72"/>
  <c r="H10" i="72"/>
  <c r="I10" i="72" s="1"/>
  <c r="H11" i="72"/>
  <c r="F9" i="72"/>
  <c r="F11" i="72"/>
  <c r="E10" i="72"/>
  <c r="F10" i="72" s="1"/>
  <c r="E11" i="72"/>
  <c r="H10" i="33"/>
  <c r="I10" i="33" s="1"/>
  <c r="H11" i="33"/>
  <c r="I11" i="33" s="1"/>
  <c r="E10" i="33"/>
  <c r="E11" i="33"/>
  <c r="F10" i="33"/>
  <c r="F11" i="33"/>
  <c r="H10" i="18"/>
  <c r="I10" i="18" s="1"/>
  <c r="H11" i="18"/>
  <c r="I11" i="18" s="1"/>
  <c r="G10" i="18"/>
  <c r="G11" i="18"/>
  <c r="D10" i="18"/>
  <c r="D11" i="18"/>
  <c r="C10" i="18"/>
  <c r="C11" i="18"/>
  <c r="H10" i="1"/>
  <c r="H11" i="1"/>
  <c r="G10" i="1"/>
  <c r="I10" i="1" s="1"/>
  <c r="G11" i="1"/>
  <c r="D10" i="1"/>
  <c r="D11" i="1"/>
  <c r="C10" i="1"/>
  <c r="E10" i="1" s="1"/>
  <c r="F10" i="1" s="1"/>
  <c r="C11" i="1"/>
  <c r="E11" i="1" s="1"/>
  <c r="F11" i="1" s="1"/>
  <c r="D8" i="1"/>
  <c r="G8" i="1"/>
  <c r="D9" i="1"/>
  <c r="G9" i="1"/>
  <c r="C10" i="30"/>
  <c r="C11" i="30"/>
  <c r="E8" i="29"/>
  <c r="F8" i="29" s="1"/>
  <c r="E10" i="29"/>
  <c r="F10" i="29" s="1"/>
  <c r="E11" i="29"/>
  <c r="F11" i="29" s="1"/>
  <c r="D7" i="29"/>
  <c r="E7" i="29" s="1"/>
  <c r="F7" i="29" s="1"/>
  <c r="D8" i="29"/>
  <c r="D9" i="29"/>
  <c r="D10" i="29"/>
  <c r="D11" i="29"/>
  <c r="C7" i="29"/>
  <c r="C8" i="29"/>
  <c r="C9" i="29"/>
  <c r="E9" i="29" s="1"/>
  <c r="F9" i="29" s="1"/>
  <c r="C10" i="29"/>
  <c r="C11" i="29"/>
  <c r="C2" i="29" s="1"/>
  <c r="H10" i="29"/>
  <c r="I10" i="29" s="1"/>
  <c r="H11" i="29"/>
  <c r="G7" i="29"/>
  <c r="G8" i="29"/>
  <c r="G9" i="29"/>
  <c r="G10" i="29"/>
  <c r="G11" i="29"/>
  <c r="H8" i="32"/>
  <c r="I8" i="32" s="1"/>
  <c r="E8" i="32"/>
  <c r="F8" i="32" s="1"/>
  <c r="H7" i="32"/>
  <c r="I7" i="32" s="1"/>
  <c r="E7" i="32"/>
  <c r="F7" i="32" s="1"/>
  <c r="H6" i="32"/>
  <c r="E6" i="32"/>
  <c r="H5" i="32"/>
  <c r="E5" i="32"/>
  <c r="H4" i="32"/>
  <c r="E4" i="32"/>
  <c r="H10" i="32"/>
  <c r="E10" i="32"/>
  <c r="F10" i="32" s="1"/>
  <c r="H9" i="32"/>
  <c r="I9" i="32" s="1"/>
  <c r="E9" i="32"/>
  <c r="F9" i="32" s="1"/>
  <c r="H11" i="30"/>
  <c r="D10" i="30"/>
  <c r="D11" i="30"/>
  <c r="G10" i="30"/>
  <c r="G11" i="30"/>
  <c r="C8" i="1"/>
  <c r="E8" i="1" s="1"/>
  <c r="F8" i="1" s="1"/>
  <c r="C9" i="1"/>
  <c r="E9" i="1" s="1"/>
  <c r="F9" i="1" s="1"/>
  <c r="C9" i="18"/>
  <c r="E9" i="18" s="1"/>
  <c r="F9" i="18" s="1"/>
  <c r="D9" i="18"/>
  <c r="G9" i="18"/>
  <c r="C7" i="18"/>
  <c r="E7" i="18" s="1"/>
  <c r="F7" i="18" s="1"/>
  <c r="D7" i="18"/>
  <c r="G7" i="18"/>
  <c r="C8" i="18"/>
  <c r="D8" i="18"/>
  <c r="E8" i="18"/>
  <c r="F8" i="18" s="1"/>
  <c r="G8" i="18"/>
  <c r="E8" i="72"/>
  <c r="F8" i="72"/>
  <c r="H8" i="72"/>
  <c r="I8" i="72" s="1"/>
  <c r="E9" i="72"/>
  <c r="H9" i="72"/>
  <c r="E8" i="3"/>
  <c r="F8" i="3"/>
  <c r="H8" i="3"/>
  <c r="I8" i="3" s="1"/>
  <c r="E9" i="3"/>
  <c r="F9" i="3"/>
  <c r="H9" i="3"/>
  <c r="I9" i="3" s="1"/>
  <c r="E8" i="4"/>
  <c r="F8" i="4"/>
  <c r="H8" i="4"/>
  <c r="I8" i="4"/>
  <c r="E9" i="4"/>
  <c r="F9" i="4"/>
  <c r="H9" i="4"/>
  <c r="I9" i="4" s="1"/>
  <c r="E8" i="21"/>
  <c r="F8" i="21"/>
  <c r="H8" i="21"/>
  <c r="I8" i="21" s="1"/>
  <c r="E9" i="21"/>
  <c r="F9" i="21"/>
  <c r="H9" i="21"/>
  <c r="I9" i="21"/>
  <c r="E8" i="20"/>
  <c r="F8" i="20"/>
  <c r="H8" i="20"/>
  <c r="I8" i="20" s="1"/>
  <c r="E9" i="20"/>
  <c r="F9" i="20"/>
  <c r="H9" i="20"/>
  <c r="I9" i="20" s="1"/>
  <c r="E8" i="19"/>
  <c r="F8" i="19"/>
  <c r="H8" i="19"/>
  <c r="I8" i="19"/>
  <c r="E9" i="19"/>
  <c r="F9" i="19"/>
  <c r="H9" i="19"/>
  <c r="I9" i="19" s="1"/>
  <c r="E8" i="26"/>
  <c r="F8" i="26"/>
  <c r="H8" i="26"/>
  <c r="I8" i="26" s="1"/>
  <c r="E9" i="26"/>
  <c r="F9" i="26"/>
  <c r="H9" i="26"/>
  <c r="H9" i="29" s="1"/>
  <c r="I9" i="29" s="1"/>
  <c r="I9" i="26"/>
  <c r="E8" i="27"/>
  <c r="F8" i="27"/>
  <c r="H8" i="27"/>
  <c r="I8" i="27" s="1"/>
  <c r="E9" i="27"/>
  <c r="F9" i="27"/>
  <c r="H9" i="27"/>
  <c r="I9" i="27" s="1"/>
  <c r="E8" i="33"/>
  <c r="F8" i="33"/>
  <c r="H8" i="33"/>
  <c r="I8" i="33" s="1"/>
  <c r="E9" i="33"/>
  <c r="F9" i="33" s="1"/>
  <c r="H9" i="33"/>
  <c r="G5" i="30"/>
  <c r="G6" i="30"/>
  <c r="G7" i="30"/>
  <c r="G8" i="30"/>
  <c r="G9" i="30"/>
  <c r="G4" i="29"/>
  <c r="C8" i="30"/>
  <c r="D8" i="30"/>
  <c r="C9" i="30"/>
  <c r="D9" i="30"/>
  <c r="D9" i="34" s="1"/>
  <c r="E9" i="30"/>
  <c r="F9" i="30" s="1"/>
  <c r="E8" i="28"/>
  <c r="F8" i="28" s="1"/>
  <c r="H8" i="28"/>
  <c r="I8" i="28"/>
  <c r="E9" i="28"/>
  <c r="F9" i="28"/>
  <c r="H9" i="28"/>
  <c r="I9" i="28"/>
  <c r="H7" i="31"/>
  <c r="I7" i="31" s="1"/>
  <c r="H8" i="31"/>
  <c r="H8" i="30" s="1"/>
  <c r="H9" i="31"/>
  <c r="I9" i="31" s="1"/>
  <c r="F7" i="31"/>
  <c r="E7" i="31"/>
  <c r="E8" i="31"/>
  <c r="F8" i="31" s="1"/>
  <c r="E9" i="31"/>
  <c r="F9" i="31" s="1"/>
  <c r="E7" i="33"/>
  <c r="F7" i="33"/>
  <c r="H7" i="33"/>
  <c r="I7" i="33"/>
  <c r="E7" i="28"/>
  <c r="F7" i="28"/>
  <c r="H7" i="28"/>
  <c r="I7" i="28"/>
  <c r="C7" i="30"/>
  <c r="D7" i="30"/>
  <c r="C7" i="1"/>
  <c r="C7" i="34" s="1"/>
  <c r="D7" i="1"/>
  <c r="D7" i="34" s="1"/>
  <c r="G7" i="1"/>
  <c r="H7" i="27"/>
  <c r="I7" i="27" s="1"/>
  <c r="E7" i="27"/>
  <c r="F7" i="27"/>
  <c r="E7" i="21"/>
  <c r="F7" i="21"/>
  <c r="H7" i="21"/>
  <c r="H7" i="18" s="1"/>
  <c r="I7" i="18" s="1"/>
  <c r="I7" i="21"/>
  <c r="E7" i="4"/>
  <c r="F7" i="4" s="1"/>
  <c r="H7" i="4"/>
  <c r="I7" i="4"/>
  <c r="E7" i="3"/>
  <c r="F7" i="3" s="1"/>
  <c r="H7" i="3"/>
  <c r="I7" i="3"/>
  <c r="E7" i="72"/>
  <c r="F7" i="72"/>
  <c r="H7" i="72"/>
  <c r="I7" i="72" s="1"/>
  <c r="E7" i="20"/>
  <c r="F7" i="20" s="1"/>
  <c r="H7" i="20"/>
  <c r="I7" i="20"/>
  <c r="E7" i="19"/>
  <c r="F7" i="19" s="1"/>
  <c r="H7" i="19"/>
  <c r="I7" i="19"/>
  <c r="E7" i="26"/>
  <c r="F7" i="26"/>
  <c r="H7" i="26"/>
  <c r="G5" i="29"/>
  <c r="G6" i="29"/>
  <c r="G2" i="29" s="1"/>
  <c r="D4" i="29"/>
  <c r="E4" i="29" s="1"/>
  <c r="F4" i="29" s="1"/>
  <c r="G6" i="18"/>
  <c r="G5" i="18"/>
  <c r="G4" i="18"/>
  <c r="E6" i="72"/>
  <c r="F6" i="72"/>
  <c r="E5" i="72"/>
  <c r="F5" i="72" s="1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F5" i="3"/>
  <c r="H5" i="3"/>
  <c r="I5" i="3"/>
  <c r="E6" i="3"/>
  <c r="F6" i="3"/>
  <c r="H6" i="3"/>
  <c r="I6" i="3" s="1"/>
  <c r="G6" i="1"/>
  <c r="G5" i="1"/>
  <c r="G4" i="1"/>
  <c r="G4" i="34" s="1"/>
  <c r="B4" i="34" a="1"/>
  <c r="B4" i="34"/>
  <c r="A4" i="34" a="1"/>
  <c r="A4" i="34"/>
  <c r="A1" i="34" a="1"/>
  <c r="A1" i="34"/>
  <c r="D6" i="30"/>
  <c r="C6" i="30"/>
  <c r="E6" i="30" s="1"/>
  <c r="F6" i="30" s="1"/>
  <c r="D5" i="30"/>
  <c r="C5" i="30"/>
  <c r="D4" i="30"/>
  <c r="C4" i="30"/>
  <c r="E4" i="30"/>
  <c r="F4" i="30" s="1"/>
  <c r="D6" i="29"/>
  <c r="C6" i="29"/>
  <c r="E6" i="29" s="1"/>
  <c r="F6" i="29" s="1"/>
  <c r="D5" i="29"/>
  <c r="C5" i="29"/>
  <c r="C4" i="29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6" i="1"/>
  <c r="C5" i="1"/>
  <c r="C5" i="34" s="1"/>
  <c r="C4" i="1"/>
  <c r="D6" i="1"/>
  <c r="D6" i="34" s="1"/>
  <c r="D5" i="1"/>
  <c r="D5" i="34" s="1"/>
  <c r="D4" i="1"/>
  <c r="B4" i="1" a="1"/>
  <c r="B4" i="1"/>
  <c r="A4" i="1" a="1"/>
  <c r="A4" i="1"/>
  <c r="A1" i="1" a="1"/>
  <c r="A1" i="1"/>
  <c r="H6" i="33"/>
  <c r="I6" i="33" s="1"/>
  <c r="E6" i="33"/>
  <c r="F6" i="33"/>
  <c r="H5" i="33"/>
  <c r="I5" i="33" s="1"/>
  <c r="E5" i="33"/>
  <c r="F5" i="33"/>
  <c r="E4" i="33"/>
  <c r="F4" i="33"/>
  <c r="D2" i="33"/>
  <c r="C2" i="33"/>
  <c r="E2" i="33" s="1"/>
  <c r="F2" i="33" s="1"/>
  <c r="A1" i="33" a="1"/>
  <c r="A1" i="33"/>
  <c r="I6" i="32"/>
  <c r="F6" i="32"/>
  <c r="I5" i="32"/>
  <c r="F5" i="32"/>
  <c r="I4" i="32"/>
  <c r="F4" i="32"/>
  <c r="G2" i="32"/>
  <c r="D2" i="32"/>
  <c r="C2" i="32"/>
  <c r="J2" i="32" s="1"/>
  <c r="A1" i="32" a="1"/>
  <c r="A1" i="32"/>
  <c r="H6" i="31"/>
  <c r="I6" i="31"/>
  <c r="E6" i="31"/>
  <c r="F6" i="31"/>
  <c r="H5" i="31"/>
  <c r="H5" i="30" s="1"/>
  <c r="I5" i="31"/>
  <c r="E5" i="31"/>
  <c r="F5" i="31"/>
  <c r="H4" i="31"/>
  <c r="I4" i="31"/>
  <c r="E4" i="31"/>
  <c r="F4" i="31" s="1"/>
  <c r="G2" i="31"/>
  <c r="D2" i="31"/>
  <c r="C2" i="31"/>
  <c r="H2" i="31" s="1"/>
  <c r="I2" i="31" s="1"/>
  <c r="A1" i="31" a="1"/>
  <c r="A1" i="31"/>
  <c r="H6" i="28"/>
  <c r="I6" i="28"/>
  <c r="E6" i="28"/>
  <c r="F6" i="28" s="1"/>
  <c r="H5" i="28"/>
  <c r="I5" i="28" s="1"/>
  <c r="E5" i="28"/>
  <c r="F5" i="28"/>
  <c r="H4" i="28"/>
  <c r="I4" i="28"/>
  <c r="E4" i="28"/>
  <c r="F4" i="28" s="1"/>
  <c r="B4" i="28" a="1"/>
  <c r="B4" i="28"/>
  <c r="A4" i="28" a="1"/>
  <c r="A4" i="28"/>
  <c r="G2" i="28"/>
  <c r="D2" i="28"/>
  <c r="C2" i="28"/>
  <c r="J2" i="28" s="1"/>
  <c r="A1" i="28" a="1"/>
  <c r="A1" i="28"/>
  <c r="H6" i="27"/>
  <c r="I6" i="27"/>
  <c r="E6" i="27"/>
  <c r="F6" i="27"/>
  <c r="H5" i="27"/>
  <c r="H5" i="29" s="1"/>
  <c r="I5" i="29" s="1"/>
  <c r="I5" i="27"/>
  <c r="E5" i="27"/>
  <c r="F5" i="27"/>
  <c r="H4" i="27"/>
  <c r="I4" i="27" s="1"/>
  <c r="E4" i="27"/>
  <c r="F4" i="27"/>
  <c r="G2" i="27"/>
  <c r="D2" i="27"/>
  <c r="C2" i="27"/>
  <c r="E2" i="27" s="1"/>
  <c r="F2" i="27" s="1"/>
  <c r="A1" i="27" a="1"/>
  <c r="A1" i="27"/>
  <c r="H6" i="26"/>
  <c r="I6" i="26" s="1"/>
  <c r="E6" i="26"/>
  <c r="F6" i="26"/>
  <c r="H5" i="26"/>
  <c r="I5" i="26" s="1"/>
  <c r="E5" i="26"/>
  <c r="F5" i="26"/>
  <c r="H4" i="26"/>
  <c r="H4" i="29" s="1"/>
  <c r="I4" i="29" s="1"/>
  <c r="I4" i="26"/>
  <c r="E4" i="26"/>
  <c r="F4" i="26"/>
  <c r="G2" i="26"/>
  <c r="D2" i="26"/>
  <c r="C2" i="26"/>
  <c r="H2" i="26" s="1"/>
  <c r="I2" i="26" s="1"/>
  <c r="A1" i="26" a="1"/>
  <c r="A1" i="26"/>
  <c r="H6" i="19"/>
  <c r="I6" i="19"/>
  <c r="E6" i="19"/>
  <c r="F6" i="19" s="1"/>
  <c r="H5" i="19"/>
  <c r="I5" i="19" s="1"/>
  <c r="E5" i="19"/>
  <c r="F5" i="19"/>
  <c r="H4" i="19"/>
  <c r="I4" i="19" s="1"/>
  <c r="E4" i="19"/>
  <c r="F4" i="19" s="1"/>
  <c r="G2" i="19"/>
  <c r="D2" i="19"/>
  <c r="C2" i="19"/>
  <c r="H2" i="19" s="1"/>
  <c r="I2" i="19" s="1"/>
  <c r="A1" i="19" a="1"/>
  <c r="A1" i="19"/>
  <c r="H6" i="20"/>
  <c r="H6" i="18" s="1"/>
  <c r="I6" i="18" s="1"/>
  <c r="I6" i="20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A1" i="20" a="1"/>
  <c r="A1" i="20"/>
  <c r="H6" i="21"/>
  <c r="I6" i="21" s="1"/>
  <c r="E6" i="21"/>
  <c r="F6" i="21"/>
  <c r="H5" i="21"/>
  <c r="I5" i="21"/>
  <c r="E5" i="21"/>
  <c r="F5" i="21" s="1"/>
  <c r="H4" i="21"/>
  <c r="H4" i="18" s="1"/>
  <c r="I4" i="18" s="1"/>
  <c r="I4" i="21"/>
  <c r="E4" i="21"/>
  <c r="F4" i="21" s="1"/>
  <c r="G2" i="21"/>
  <c r="H2" i="21" s="1"/>
  <c r="I2" i="21" s="1"/>
  <c r="D2" i="21"/>
  <c r="E2" i="21" s="1"/>
  <c r="F2" i="21" s="1"/>
  <c r="C2" i="21"/>
  <c r="A1" i="21" a="1"/>
  <c r="A1" i="21"/>
  <c r="H6" i="4"/>
  <c r="I6" i="4"/>
  <c r="E6" i="4"/>
  <c r="F6" i="4"/>
  <c r="H5" i="4"/>
  <c r="I5" i="4"/>
  <c r="E5" i="4"/>
  <c r="F5" i="4"/>
  <c r="H4" i="4"/>
  <c r="I4" i="4" s="1"/>
  <c r="E4" i="4"/>
  <c r="F4" i="4"/>
  <c r="G2" i="4"/>
  <c r="D2" i="4"/>
  <c r="C2" i="4"/>
  <c r="E2" i="4" s="1"/>
  <c r="F2" i="4" s="1"/>
  <c r="A1" i="4" a="1"/>
  <c r="A1" i="4"/>
  <c r="G2" i="3"/>
  <c r="D2" i="3"/>
  <c r="C2" i="3"/>
  <c r="J2" i="3" s="1"/>
  <c r="A1" i="3" a="1"/>
  <c r="A1" i="3"/>
  <c r="H6" i="72"/>
  <c r="H6" i="1" s="1"/>
  <c r="I6" i="1" s="1"/>
  <c r="I6" i="72"/>
  <c r="H5" i="72"/>
  <c r="H5" i="1" s="1"/>
  <c r="I5" i="1" s="1"/>
  <c r="H4" i="72"/>
  <c r="H4" i="1" s="1"/>
  <c r="I4" i="1" s="1"/>
  <c r="G2" i="72"/>
  <c r="D2" i="72"/>
  <c r="C2" i="72"/>
  <c r="J2" i="72" s="1"/>
  <c r="A1" i="72" a="1"/>
  <c r="A1" i="72"/>
  <c r="I7" i="26"/>
  <c r="E7" i="30"/>
  <c r="F7" i="30" s="1"/>
  <c r="E5" i="29"/>
  <c r="F5" i="29" s="1"/>
  <c r="D2" i="29"/>
  <c r="D4" i="34"/>
  <c r="E5" i="30"/>
  <c r="F5" i="30" s="1"/>
  <c r="H2" i="27"/>
  <c r="I2" i="27"/>
  <c r="J2" i="27"/>
  <c r="J2" i="21"/>
  <c r="E6" i="1"/>
  <c r="F6" i="1" s="1"/>
  <c r="H5" i="18"/>
  <c r="I5" i="18"/>
  <c r="E4" i="1"/>
  <c r="F4" i="1" s="1"/>
  <c r="H4" i="33"/>
  <c r="H4" i="30" s="1"/>
  <c r="I4" i="33"/>
  <c r="G2" i="33"/>
  <c r="G4" i="30"/>
  <c r="E2" i="29" l="1"/>
  <c r="F2" i="29" s="1"/>
  <c r="I12" i="34"/>
  <c r="I11" i="1"/>
  <c r="G5" i="34"/>
  <c r="E5" i="1"/>
  <c r="F5" i="1" s="1"/>
  <c r="G2" i="1"/>
  <c r="I4" i="72"/>
  <c r="H7" i="1"/>
  <c r="I7" i="1" s="1"/>
  <c r="D2" i="1"/>
  <c r="C8" i="34"/>
  <c r="E2" i="28"/>
  <c r="F2" i="28" s="1"/>
  <c r="I11" i="29"/>
  <c r="H2" i="28"/>
  <c r="I2" i="28" s="1"/>
  <c r="E11" i="18"/>
  <c r="F11" i="18" s="1"/>
  <c r="H2" i="3"/>
  <c r="I2" i="3" s="1"/>
  <c r="H2" i="72"/>
  <c r="I2" i="72" s="1"/>
  <c r="G2" i="18"/>
  <c r="E2" i="19"/>
  <c r="F2" i="19" s="1"/>
  <c r="J2" i="26"/>
  <c r="E2" i="72"/>
  <c r="F2" i="72" s="1"/>
  <c r="E2" i="26"/>
  <c r="F2" i="26" s="1"/>
  <c r="E2" i="3"/>
  <c r="F2" i="3" s="1"/>
  <c r="E2" i="20"/>
  <c r="F2" i="20" s="1"/>
  <c r="E10" i="18"/>
  <c r="F10" i="18" s="1"/>
  <c r="E7" i="34"/>
  <c r="F7" i="34" s="1"/>
  <c r="E5" i="34"/>
  <c r="F5" i="34" s="1"/>
  <c r="C2" i="1"/>
  <c r="H2" i="20"/>
  <c r="I2" i="20" s="1"/>
  <c r="I5" i="72"/>
  <c r="E7" i="1"/>
  <c r="F7" i="1" s="1"/>
  <c r="C9" i="34"/>
  <c r="E9" i="34" s="1"/>
  <c r="F9" i="34" s="1"/>
  <c r="H8" i="18"/>
  <c r="I8" i="18" s="1"/>
  <c r="H8" i="29"/>
  <c r="I8" i="29" s="1"/>
  <c r="H2" i="29"/>
  <c r="I2" i="29" s="1"/>
  <c r="H7" i="29"/>
  <c r="I7" i="29" s="1"/>
  <c r="H7" i="30"/>
  <c r="H9" i="18"/>
  <c r="I9" i="18" s="1"/>
  <c r="J2" i="20"/>
  <c r="I8" i="31"/>
  <c r="J2" i="19"/>
  <c r="J2" i="4"/>
  <c r="G9" i="34"/>
  <c r="E2" i="31"/>
  <c r="F2" i="31" s="1"/>
  <c r="C2" i="18"/>
  <c r="J2" i="31"/>
  <c r="G8" i="34"/>
  <c r="H6" i="29"/>
  <c r="I6" i="29" s="1"/>
  <c r="C4" i="34"/>
  <c r="E4" i="34" s="1"/>
  <c r="F4" i="34" s="1"/>
  <c r="D8" i="34"/>
  <c r="E8" i="34" s="1"/>
  <c r="F8" i="34" s="1"/>
  <c r="C10" i="34"/>
  <c r="G10" i="34"/>
  <c r="H8" i="1"/>
  <c r="I8" i="1" s="1"/>
  <c r="H9" i="1"/>
  <c r="I9" i="1" s="1"/>
  <c r="H2" i="4"/>
  <c r="I2" i="4" s="1"/>
  <c r="G6" i="34"/>
  <c r="H9" i="30"/>
  <c r="I9" i="30" s="1"/>
  <c r="I9" i="33"/>
  <c r="E10" i="30"/>
  <c r="F10" i="30" s="1"/>
  <c r="D10" i="34"/>
  <c r="E11" i="30"/>
  <c r="F11" i="30" s="1"/>
  <c r="J2" i="33"/>
  <c r="E8" i="30"/>
  <c r="F8" i="30" s="1"/>
  <c r="D2" i="30"/>
  <c r="H2" i="33"/>
  <c r="I2" i="33" s="1"/>
  <c r="I11" i="30"/>
  <c r="I7" i="30"/>
  <c r="I10" i="32"/>
  <c r="H10" i="30"/>
  <c r="G7" i="34"/>
  <c r="H6" i="30"/>
  <c r="C6" i="34"/>
  <c r="E6" i="34" s="1"/>
  <c r="F6" i="34" s="1"/>
  <c r="H5" i="34"/>
  <c r="I5" i="34" s="1"/>
  <c r="I5" i="30"/>
  <c r="C2" i="30"/>
  <c r="E2" i="30" s="1"/>
  <c r="F2" i="30" s="1"/>
  <c r="I8" i="30"/>
  <c r="G2" i="30"/>
  <c r="H2" i="32"/>
  <c r="I2" i="32" s="1"/>
  <c r="E2" i="32"/>
  <c r="F2" i="32" s="1"/>
  <c r="H4" i="34"/>
  <c r="I4" i="34" s="1"/>
  <c r="I4" i="30"/>
  <c r="H9" i="34" l="1"/>
  <c r="I9" i="34" s="1"/>
  <c r="D2" i="34"/>
  <c r="E10" i="34"/>
  <c r="F10" i="34" s="1"/>
  <c r="H2" i="18"/>
  <c r="I2" i="18" s="1"/>
  <c r="E2" i="18"/>
  <c r="F2" i="18" s="1"/>
  <c r="E2" i="1"/>
  <c r="F2" i="1" s="1"/>
  <c r="H2" i="1"/>
  <c r="I2" i="1" s="1"/>
  <c r="H7" i="34"/>
  <c r="I7" i="34" s="1"/>
  <c r="H8" i="34"/>
  <c r="I8" i="34" s="1"/>
  <c r="I10" i="30"/>
  <c r="H10" i="34"/>
  <c r="I10" i="34" s="1"/>
  <c r="G2" i="34"/>
  <c r="H6" i="34"/>
  <c r="I6" i="34" s="1"/>
  <c r="I6" i="30"/>
  <c r="C2" i="34"/>
  <c r="H2" i="30"/>
  <c r="I2" i="30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<sst xmlns="http://schemas.openxmlformats.org/spreadsheetml/2006/main" count="282" uniqueCount="79">
  <si>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</si>
  <si>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</si>
  <si>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</si>
  <si>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</si>
  <si>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</si>
  <si>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</si>
  <si>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</si>
  <si>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</si>
  <si>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</si>
  <si>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</si>
  <si>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</si>
  <si>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</si>
  <si>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</si>
  <si>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</si>
  <si>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</si>
  <si>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</si>
  <si>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</si>
  <si>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</si>
  <si>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</si>
  <si>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</si>
  <si>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</si>
  <si>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</si>
  <si>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at 19:46 on 01/25 due to recloser trip and again back online on 10:45am on 01/26</t>
  </si>
  <si>
    <t>1.SR095981</t>
  </si>
  <si>
    <t>1.Site tripped offline at 04:45 on 01/05 due to SEL tripped offline later technician was able to re-energize the site on 12:45pm on 01/06
2. Tracker TCU 39 is not configured after being replaced on 12/16 and requires further troubleshooting with Suntrack.</t>
  </si>
  <si>
    <t>1.SR095317
2.SR095762</t>
  </si>
  <si>
    <t>1.Site was taken offline for replacing the transformer fuses by United power on 01/22 from 14:54 to 15:41.
2.Tracker 11 has been stuck and reporting "Motor overcurrent detected" on 01/09 technician was able to blocking &amp; alarm and trackers are back online at 10:30 on 01/28</t>
  </si>
  <si>
    <t>1.SR094826
2.SR095434</t>
  </si>
  <si>
    <t>1.Inverter 10 has tripped at 11:45am on 01/10 while United renewables was onsite later technician has brought inverter back online on 01/14 at 11:15
2.Site was taken offline from 08:15am to 15:00 on 01/23 by Asplundh Electrical for transformer testing.
3.All trackers are no tracking due to Overcurrent and snow alarm on 01/24.</t>
  </si>
  <si>
    <t>1.SR095486
2.SR095884
3.SR095924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</si>
  <si>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</si>
  <si>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</si>
  <si>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</si>
  <si>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</si>
  <si>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</si>
  <si>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</si>
  <si>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</si>
  <si>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</si>
  <si>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</si>
  <si>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</si>
  <si>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</si>
  <si>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</si>
  <si>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</si>
  <si>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</si>
  <si>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</si>
  <si>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</si>
  <si>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</si>
  <si>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</si>
  <si>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</si>
  <si>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</si>
  <si>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</si>
  <si>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</si>
  <si>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</si>
  <si>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</si>
  <si>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</si>
  <si>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</si>
  <si>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</si>
  <si>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</si>
  <si>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</si>
  <si>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</si>
  <si>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</si>
  <si>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</si>
  <si>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</si>
  <si>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Rock Island NY (Renew Prop)</t>
  </si>
  <si>
    <t>Rock Island</t>
  </si>
  <si>
    <t>Roderick Road</t>
  </si>
  <si>
    <t>Winslow - Roderick</t>
  </si>
  <si>
    <t>ME</t>
  </si>
  <si>
    <t>AEF</t>
  </si>
  <si>
    <t>Clemons Road</t>
  </si>
  <si>
    <t>Minoa - Clemons Rd</t>
  </si>
  <si>
    <t>Western Ave Solar</t>
  </si>
  <si>
    <t>Manchester - Western</t>
  </si>
  <si>
    <t>AF</t>
  </si>
  <si>
    <t>Batavia - Pike Rd</t>
  </si>
  <si>
    <t xml:space="preserve"> Lockport - Slayton A &amp; B</t>
  </si>
  <si>
    <t>Slayton A &amp; B</t>
  </si>
  <si>
    <t>Alexander Road</t>
  </si>
  <si>
    <t>Batavia - Alexander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</si>
</sst>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22" fillId="0" borderId="0" xfId="43" applyFont="1" applyAlignment="1">
      <alignment horizontal="left" wrapText="1"/>
    </xf>
    <xf numFmtId="0" fontId="32" fillId="0" borderId="13" xfId="0" applyFont="1" applyBorder="1"/>
    <xf numFmtId="3" fontId="30" fillId="4" borderId="11" xfId="1" applyNumberFormat="1" applyFont="1" applyFill="1" applyBorder="1" applyAlignment="1">
      <alignment vertical="center"/>
    </xf>
    <xf numFmtId="9" fontId="30" fillId="0" borderId="12" xfId="2" applyFont="1" applyFill="1" applyBorder="1" applyAlignment="1">
      <alignment horizontal="center" vertical="center"/>
    </xf>
    <xf numFmtId="3" fontId="30" fillId="0" borderId="14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3" fontId="30" fillId="4" borderId="15" xfId="1" applyNumberFormat="1" applyFont="1" applyFill="1" applyBorder="1" applyAlignment="1">
      <alignment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A11" sqref="A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SUM(C4:C80)</f>
        <v>1597969.4684599999</v>
      </c>
      <c r="D2" s="5">
        <f>SUM(D4:D80)</f>
        <v>2242527.17</v>
      </c>
      <c r="E2" s="5">
        <f>C2-D2</f>
        <v>-644557.70154000004</v>
      </c>
      <c r="F2" s="6">
        <f>IFERROR(E2/D2, 0)</f>
        <v>-0.2874247010973785</v>
      </c>
      <c r="G2" s="5">
        <f>SUM(G4:G80)</f>
        <v>1857021.48</v>
      </c>
      <c r="H2" s="7">
        <f>C2-G2</f>
        <v>-259052.01154000009</v>
      </c>
      <c r="I2" s="6">
        <f>IFERROR(H2/G2, 0)</f>
        <v>-0.13949866187869842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25" t="str" cm="1">
        <f t="array" ref="A4:A12">Sites[Site]</f>
        <v>Cedar Swamp Rd</v>
      </c>
      <c r="B4" s="26" t="str" cm="1">
        <f t="array" ref="B4:B12">Sites[State]</f>
        <v>MA</v>
      </c>
      <c r="C4" s="27">
        <f>SUM('1st Qtr'!C4, '2nd Qtr'!C4, '3rd Qtr'!C4, '4th Qtr'!C4)</f>
        <v>61046</v>
      </c>
      <c r="D4" s="28">
        <f>SUM('1st Qtr'!D4, '2nd Qtr'!D4, '3rd Qtr'!D4, '4th Qtr'!D4)</f>
        <v>72282.67</v>
      </c>
      <c r="E4" s="28">
        <f>IF(AND(ISNUMBER(C4),ISNUMBER(D4)), C4-D4, "")</f>
        <v>-11236.669999999998</v>
      </c>
      <c r="F4" s="29">
        <f>IFERROR(E4/D4, "")</f>
        <v>-0.15545455086260646</v>
      </c>
      <c r="G4" s="30">
        <f>SUM('1st Qtr'!G4, '2nd Qtr'!G4, '3rd Qtr'!G4, '4th Qtr'!G4)</f>
        <v>41663.379999999997</v>
      </c>
      <c r="H4" s="30">
        <f>SUM('1st Qtr'!H4, '2nd Qtr'!H4, '3rd Qtr'!H4, '4th Qtr'!H4)</f>
        <v>19382.620000000003</v>
      </c>
      <c r="I4" s="31">
        <f>IFERROR(H4/G4, "")</f>
        <v>0.46521957652019602</v>
      </c>
    </row>
    <row r="5" spans="1:9" ht="15.6">
      <c r="A5" s="32" t="str">
        <v>Bullis</v>
      </c>
      <c r="B5" s="33" t="str">
        <v>NY</v>
      </c>
      <c r="C5" s="35">
        <f>SUM('1st Qtr'!C5, '2nd Qtr'!C5, '3rd Qtr'!C5, '4th Qtr'!C5)</f>
        <v>179917</v>
      </c>
      <c r="D5" s="35">
        <f>SUM('1st Qtr'!D5, '2nd Qtr'!D5, '3rd Qtr'!D5, '4th Qtr'!D5)</f>
        <v>269796.59999999998</v>
      </c>
      <c r="E5" s="35">
        <f t="shared" ref="E5:E6" si="0">IF(AND(ISNUMBER(C5),ISNUMBER(D5)), C5-D5, "")</f>
        <v>-89879.599999999977</v>
      </c>
      <c r="F5" s="36">
        <f>IFERROR(E5/D5, "")</f>
        <v>-0.33313837164738169</v>
      </c>
      <c r="G5" s="37">
        <f>SUM('1st Qtr'!G5, '2nd Qtr'!G5, '3rd Qtr'!G5, '4th Qtr'!G5)</f>
        <v>264056.90000000002</v>
      </c>
      <c r="H5" s="37">
        <f>SUM('1st Qtr'!H5, '2nd Qtr'!H5, '3rd Qtr'!H5, '4th Qtr'!H5)</f>
        <v>-84139.900000000023</v>
      </c>
      <c r="I5" s="36">
        <f>IFERROR(H5/G5, "")</f>
        <v>-0.31864306518784402</v>
      </c>
    </row>
    <row r="6" spans="1:9" ht="15.6">
      <c r="A6" s="25" t="str">
        <v>Rock Island</v>
      </c>
      <c r="B6" s="26" t="str">
        <v>NY</v>
      </c>
      <c r="C6" s="27">
        <f>SUM('1st Qtr'!C6, '2nd Qtr'!C6, '3rd Qtr'!C6, '4th Qtr'!C6)</f>
        <v>230466.5</v>
      </c>
      <c r="D6" s="28">
        <f>SUM('1st Qtr'!D6, '2nd Qtr'!D6, '3rd Qtr'!D6, '4th Qtr'!D6)</f>
        <v>342985.3</v>
      </c>
      <c r="E6" s="28">
        <f t="shared" si="0"/>
        <v>-112518.79999999999</v>
      </c>
      <c r="F6" s="29">
        <f t="shared" ref="F6" si="1">IFERROR(E6/D6, "")</f>
        <v>-0.32805720828268731</v>
      </c>
      <c r="G6" s="30">
        <f>SUM('1st Qtr'!G6, '2nd Qtr'!G6, '3rd Qtr'!G6, '4th Qtr'!G6)</f>
        <v>246331.8</v>
      </c>
      <c r="H6" s="30">
        <f>SUM('1st Qtr'!H6, '2nd Qtr'!H6, '3rd Qtr'!H6, '4th Qtr'!H6)</f>
        <v>-15865.299999999988</v>
      </c>
      <c r="I6" s="31">
        <f t="shared" ref="I6" si="2">IFERROR(H6/G6, "")</f>
        <v>-6.4406219578633322E-2</v>
      </c>
    </row>
    <row r="7" spans="1:9" ht="15.6">
      <c r="A7" s="32" t="str">
        <v>Winslow - Roderick</v>
      </c>
      <c r="B7" s="33" t="str">
        <v>ME</v>
      </c>
      <c r="C7" s="35">
        <f>SUM('1st Qtr'!C7, '2nd Qtr'!C7, '3rd Qtr'!C7, '4th Qtr'!C7)</f>
        <v>361423</v>
      </c>
      <c r="D7" s="35">
        <f>SUM('1st Qtr'!D7, '2nd Qtr'!D7, '3rd Qtr'!D7, '4th Qtr'!D7)</f>
        <v>473366.7</v>
      </c>
      <c r="E7" s="35">
        <f t="shared" ref="E7" si="3">IF(AND(ISNUMBER(C7),ISNUMBER(D7)), C7-D7, "")</f>
        <v>-111943.70000000001</v>
      </c>
      <c r="F7" s="36">
        <f t="shared" ref="F7:F11" si="4">IFERROR(E7/D7, "")</f>
        <v>-0.2364841041839234</v>
      </c>
      <c r="G7" s="37">
        <f>SUM('1st Qtr'!G7, '2nd Qtr'!G7, '3rd Qtr'!G7, '4th Qtr'!G7)</f>
        <v>385109</v>
      </c>
      <c r="H7" s="37">
        <f>SUM('1st Qtr'!H7, '2nd Qtr'!H7, '3rd Qtr'!H7, '4th Qtr'!H7)</f>
        <v>-23686</v>
      </c>
      <c r="I7" s="36">
        <f t="shared" ref="I7:I11" si="5">IFERROR(H7/G7, "")</f>
        <v>-6.1504664913050594E-2</v>
      </c>
    </row>
    <row r="8" spans="1:9" ht="15.6">
      <c r="A8" s="25" t="str">
        <v>Minoa - Clemons Rd</v>
      </c>
      <c r="B8" s="26" t="str">
        <v>NY</v>
      </c>
      <c r="C8" s="27">
        <f>SUM('1st Qtr'!C8, '2nd Qtr'!C8, '3rd Qtr'!C8, '4th Qtr'!C8)</f>
        <v>128703.75</v>
      </c>
      <c r="D8" s="28">
        <f>SUM('1st Qtr'!D8, '2nd Qtr'!D8, '3rd Qtr'!D8, '4th Qtr'!D8)</f>
        <v>206281.4</v>
      </c>
      <c r="E8" s="28">
        <f t="shared" ref="E8:E12" si="6">IF(AND(ISNUMBER(C8),ISNUMBER(D8)), C8-D8, "")</f>
        <v>-77577.649999999994</v>
      </c>
      <c r="F8" s="29">
        <f t="shared" ref="F8:F12" si="7">IFERROR(E8/D8, "")</f>
        <v>-0.37607680576145014</v>
      </c>
      <c r="G8" s="30">
        <f>SUM('1st Qtr'!G8, '2nd Qtr'!G8, '3rd Qtr'!G8, '4th Qtr'!G8)</f>
        <v>191393.5</v>
      </c>
      <c r="H8" s="30">
        <f>SUM('1st Qtr'!H8, '2nd Qtr'!H8, '3rd Qtr'!H8, '4th Qtr'!H8)</f>
        <v>-62689.75</v>
      </c>
      <c r="I8" s="31">
        <f t="shared" ref="I8:I12" si="8">IFERROR(H8/G8, "")</f>
        <v>-0.32754377761000242</v>
      </c>
    </row>
    <row r="9" spans="1:9" ht="15.6">
      <c r="A9" s="32" t="str">
        <v>Manchester - Western</v>
      </c>
      <c r="B9" s="33" t="str">
        <v>ME</v>
      </c>
      <c r="C9" s="35">
        <f>SUM('1st Qtr'!C9, '2nd Qtr'!C9, '3rd Qtr'!C9, '4th Qtr'!C9)</f>
        <v>47584.8125</v>
      </c>
      <c r="D9" s="35">
        <f>SUM('1st Qtr'!D9, '2nd Qtr'!D9, '3rd Qtr'!D9, '4th Qtr'!D9)</f>
        <v>0</v>
      </c>
      <c r="E9" s="35">
        <f t="shared" si="6"/>
        <v>47584.8125</v>
      </c>
      <c r="F9" s="36" t="str">
        <f t="shared" si="4"/>
        <v/>
      </c>
      <c r="G9" s="37">
        <f>SUM('1st Qtr'!G9, '2nd Qtr'!G9, '3rd Qtr'!G9, '4th Qtr'!G9)</f>
        <v>0</v>
      </c>
      <c r="H9" s="37">
        <f>SUM('1st Qtr'!H9, '2nd Qtr'!H9, '3rd Qtr'!H9, '4th Qtr'!H9)</f>
        <v>47584.8125</v>
      </c>
      <c r="I9" s="36" t="str">
        <f t="shared" si="5"/>
        <v/>
      </c>
    </row>
    <row r="10" spans="1:9" ht="15.6">
      <c r="A10" s="25" t="str">
        <v>Batavia - Pike Rd</v>
      </c>
      <c r="B10" s="26" t="str">
        <v>NY</v>
      </c>
      <c r="C10" s="27">
        <f>SUM('1st Qtr'!C10, '2nd Qtr'!C10, '3rd Qtr'!C10, '4th Qtr'!C10)</f>
        <v>159955.82375000001</v>
      </c>
      <c r="D10" s="28">
        <f>SUM('1st Qtr'!D10, '2nd Qtr'!D10, '3rd Qtr'!D10, '4th Qtr'!D10)</f>
        <v>246837.6</v>
      </c>
      <c r="E10" s="28">
        <f t="shared" si="6"/>
        <v>-86881.776249999995</v>
      </c>
      <c r="F10" s="29">
        <f t="shared" si="7"/>
        <v>-0.35197950494576186</v>
      </c>
      <c r="G10" s="30">
        <f>SUM('1st Qtr'!G10, '2nd Qtr'!G10, '3rd Qtr'!G10, '4th Qtr'!G10)</f>
        <v>219320.6</v>
      </c>
      <c r="H10" s="30">
        <f>SUM('1st Qtr'!H10, '2nd Qtr'!H10, '3rd Qtr'!H10, '4th Qtr'!H10)</f>
        <v>-59364.776249999995</v>
      </c>
      <c r="I10" s="31">
        <f t="shared" si="8"/>
        <v>-0.27067578809286491</v>
      </c>
    </row>
    <row r="11" spans="1:9" ht="15.6">
      <c r="A11" s="32" t="str">
        <v>Slayton A &amp; B</v>
      </c>
      <c r="B11" s="33" t="str">
        <v>NY</v>
      </c>
      <c r="C11" s="35">
        <f>SUM('1st Qtr'!C11, '2nd Qtr'!C11, '3rd Qtr'!C11, '4th Qtr'!C11)</f>
        <v>353338</v>
      </c>
      <c r="D11" s="35">
        <f>SUM('1st Qtr'!D11, '2nd Qtr'!D11, '3rd Qtr'!D11, '4th Qtr'!D11)</f>
        <v>494949.8</v>
      </c>
      <c r="E11" s="35">
        <f t="shared" si="6"/>
        <v>-141611.79999999999</v>
      </c>
      <c r="F11" s="36">
        <f t="shared" si="4"/>
        <v>-0.28611346039537744</v>
      </c>
      <c r="G11" s="37">
        <f>SUM('1st Qtr'!G11, '2nd Qtr'!G11, '3rd Qtr'!G11, '4th Qtr'!G11)</f>
        <v>398835.4</v>
      </c>
      <c r="H11" s="37">
        <f>SUM('1st Qtr'!H11, '2nd Qtr'!H11, '3rd Qtr'!H11, '4th Qtr'!H11)</f>
        <v>-45497.400000000023</v>
      </c>
      <c r="I11" s="36">
        <f t="shared" si="5"/>
        <v>-0.11407563120023954</v>
      </c>
    </row>
    <row r="12" spans="1:9" ht="15.75">
      <c r="A12" s="25" t="str">
        <v>Batavia - Alexander Rd</v>
      </c>
      <c r="B12" s="26" t="str">
        <v>NY</v>
      </c>
      <c r="C12" s="27">
        <f>SUM('1st Qtr'!C12, '2nd Qtr'!C12, '3rd Qtr'!C12, '4th Qtr'!C12)</f>
        <v>75534.582209999993</v>
      </c>
      <c r="D12" s="28">
        <f>SUM('1st Qtr'!D12, '2nd Qtr'!D12, '3rd Qtr'!D12, '4th Qtr'!D12)</f>
        <v>136027.1</v>
      </c>
      <c r="E12" s="28">
        <f t="shared" si="6"/>
        <v>-60492.517790000013</v>
      </c>
      <c r="F12" s="29">
        <f t="shared" si="7"/>
        <v>-0.44470931005659908</v>
      </c>
      <c r="G12" s="30">
        <f>SUM('1st Qtr'!G12, '2nd Qtr'!G12, '3rd Qtr'!G12, '4th Qtr'!G12)</f>
        <v>110310.9</v>
      </c>
      <c r="H12" s="30">
        <f>SUM('1st Qtr'!H12, '2nd Qtr'!H12, '3rd Qtr'!H12, '4th Qtr'!H12)</f>
        <v>-34776.317790000001</v>
      </c>
      <c r="I12" s="31">
        <f t="shared" si="8"/>
        <v>-0.31525731174344512</v>
      </c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N13" sqref="N13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SUM(C4:C80)</f>
        <v>1597969.4684599999</v>
      </c>
      <c r="D2" s="5">
        <f>SUM(D4:D80)</f>
        <v>2242527.17</v>
      </c>
      <c r="E2" s="5">
        <f>C2-D2</f>
        <v>-644557.70154000004</v>
      </c>
      <c r="F2" s="6">
        <f>IFERROR(E2/D2, 0)</f>
        <v>-0.2874247010973785</v>
      </c>
      <c r="G2" s="5">
        <f>SUM(G4:G80)</f>
        <v>1857021.48</v>
      </c>
      <c r="H2" s="7">
        <f>C2-G2</f>
        <v>-259052.01154000009</v>
      </c>
      <c r="I2" s="6">
        <f>IFERROR(H2/G2, 0)</f>
        <v>-0.13949866187869842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2">Sites[Site]</f>
        <v>Cedar Swamp Rd</v>
      </c>
      <c r="B4" s="26" t="str" cm="1">
        <f t="array" ref="B4:B12">Sites[State]</f>
        <v>MA</v>
      </c>
      <c r="C4" s="27">
        <f>SUM(Jan!C4, Feb!C4, Mar!C4)</f>
        <v>61046</v>
      </c>
      <c r="D4" s="28">
        <f>SUM(Jan!D4, Feb!D4, Mar!D4)</f>
        <v>72282.67</v>
      </c>
      <c r="E4" s="28">
        <f>IF(AND(ISNUMBER(C4),ISNUMBER(D4)), C4-D4, "")</f>
        <v>-11236.669999999998</v>
      </c>
      <c r="F4" s="29">
        <f>IFERROR(E4/D4, "")</f>
        <v>-0.15545455086260646</v>
      </c>
      <c r="G4" s="30">
        <f>SUM(Jan!G4, Feb!G4, Mar!G4)</f>
        <v>41663.379999999997</v>
      </c>
      <c r="H4" s="30">
        <f>SUM(Jan!H4, Feb!H4, Mar!H4)</f>
        <v>19382.620000000003</v>
      </c>
      <c r="I4" s="31">
        <f>IFERROR(H4/G4, "")</f>
        <v>0.46521957652019602</v>
      </c>
    </row>
    <row r="5" spans="1:9" ht="15.6">
      <c r="A5" s="39" t="str">
        <v>Bullis</v>
      </c>
      <c r="B5" s="33" t="str">
        <v>NY</v>
      </c>
      <c r="C5" s="34">
        <f>SUM(Jan!C5, Feb!C5, Mar!C5)</f>
        <v>179917</v>
      </c>
      <c r="D5" s="35">
        <f>SUM(Jan!D5, Feb!D5, Mar!D5)</f>
        <v>269796.59999999998</v>
      </c>
      <c r="E5" s="35">
        <f t="shared" ref="E5:E6" si="0">IF(AND(ISNUMBER(C5),ISNUMBER(D5)), C5-D5, "")</f>
        <v>-89879.599999999977</v>
      </c>
      <c r="F5" s="36">
        <f>IFERROR(E5/D5, "")</f>
        <v>-0.33313837164738169</v>
      </c>
      <c r="G5" s="37">
        <f>SUM(Jan!G5, Feb!G5, Mar!G5)</f>
        <v>264056.90000000002</v>
      </c>
      <c r="H5" s="37">
        <f>SUM(Jan!H5, Feb!H5, Mar!H5)</f>
        <v>-84139.900000000023</v>
      </c>
      <c r="I5" s="36">
        <f>IFERROR(H5/G5, "")</f>
        <v>-0.31864306518784402</v>
      </c>
    </row>
    <row r="6" spans="1:9" ht="15.6">
      <c r="A6" s="38" t="str">
        <v>Rock Island</v>
      </c>
      <c r="B6" s="26" t="str">
        <v>NY</v>
      </c>
      <c r="C6" s="27">
        <f>SUM(Jan!C6, Feb!C6, Mar!C6)</f>
        <v>230466.5</v>
      </c>
      <c r="D6" s="28">
        <f>SUM(Jan!D6, Feb!D6, Mar!D6)</f>
        <v>342985.3</v>
      </c>
      <c r="E6" s="28">
        <f t="shared" si="0"/>
        <v>-112518.79999999999</v>
      </c>
      <c r="F6" s="29">
        <f t="shared" ref="F6:F12" si="1">IFERROR(E6/D6, "")</f>
        <v>-0.32805720828268731</v>
      </c>
      <c r="G6" s="30">
        <f>SUM(Jan!G6, Feb!G6, Mar!G6)</f>
        <v>246331.8</v>
      </c>
      <c r="H6" s="30">
        <f>SUM(Jan!H6, Feb!H6, Mar!H6)</f>
        <v>-15865.299999999988</v>
      </c>
      <c r="I6" s="31">
        <f t="shared" ref="I6:I12" si="2">IFERROR(H6/G6, "")</f>
        <v>-6.4406219578633322E-2</v>
      </c>
    </row>
    <row r="7" spans="1:9" ht="15.6">
      <c r="A7" s="39" t="str">
        <v>Winslow - Roderick</v>
      </c>
      <c r="B7" s="33" t="str">
        <v>ME</v>
      </c>
      <c r="C7" s="34">
        <f>SUM(Jan!C7, Feb!C7, Mar!C7)</f>
        <v>361423</v>
      </c>
      <c r="D7" s="35">
        <f>SUM(Jan!D7, Feb!D7, Mar!D7)</f>
        <v>473366.7</v>
      </c>
      <c r="E7" s="35">
        <f t="shared" ref="E7:E12" si="3">IF(AND(ISNUMBER(C7),ISNUMBER(D7)), C7-D7, "")</f>
        <v>-111943.70000000001</v>
      </c>
      <c r="F7" s="36">
        <f t="shared" si="1"/>
        <v>-0.2364841041839234</v>
      </c>
      <c r="G7" s="37">
        <f>SUM(Jan!G7, Feb!G7, Mar!G7)</f>
        <v>385109</v>
      </c>
      <c r="H7" s="37">
        <f>SUM(Jan!H7, Feb!H7, Mar!H7)</f>
        <v>-23686</v>
      </c>
      <c r="I7" s="36">
        <f t="shared" si="2"/>
        <v>-6.1504664913050594E-2</v>
      </c>
    </row>
    <row r="8" spans="1:9" ht="15.6">
      <c r="A8" s="38" t="str">
        <v>Minoa - Clemons Rd</v>
      </c>
      <c r="B8" s="26" t="str">
        <v>NY</v>
      </c>
      <c r="C8" s="27">
        <f>SUM(Jan!C8, Feb!C8, Mar!C8)</f>
        <v>128703.75</v>
      </c>
      <c r="D8" s="28">
        <f>SUM(Jan!D8, Feb!D8, Mar!D8)</f>
        <v>206281.4</v>
      </c>
      <c r="E8" s="28">
        <f t="shared" si="3"/>
        <v>-77577.649999999994</v>
      </c>
      <c r="F8" s="29">
        <f t="shared" si="1"/>
        <v>-0.37607680576145014</v>
      </c>
      <c r="G8" s="30">
        <f>SUM(Jan!G8, Feb!G8, Mar!G8)</f>
        <v>191393.5</v>
      </c>
      <c r="H8" s="30">
        <f>SUM(Jan!H8, Feb!H8, Mar!H8)</f>
        <v>-62689.75</v>
      </c>
      <c r="I8" s="31">
        <f t="shared" si="2"/>
        <v>-0.32754377761000242</v>
      </c>
    </row>
    <row r="9" spans="1:9" ht="15.6">
      <c r="A9" s="39" t="str">
        <v>Manchester - Western</v>
      </c>
      <c r="B9" s="33" t="str">
        <v>ME</v>
      </c>
      <c r="C9" s="34">
        <f>SUM(Jan!C9, Feb!C9, Mar!C9)</f>
        <v>47584.8125</v>
      </c>
      <c r="D9" s="35">
        <f>SUM(Jan!D9, Feb!D9, Mar!D9)</f>
        <v>0</v>
      </c>
      <c r="E9" s="35">
        <f t="shared" ref="E9:E11" si="4">IF(AND(ISNUMBER(C9),ISNUMBER(D9)), C9-D9, "")</f>
        <v>47584.8125</v>
      </c>
      <c r="F9" s="36" t="str">
        <f t="shared" si="1"/>
        <v/>
      </c>
      <c r="G9" s="37">
        <f>SUM(Jan!G9, Feb!G9, Mar!G9)</f>
        <v>0</v>
      </c>
      <c r="H9" s="37">
        <f>SUM(Jan!H9, Feb!H9, Mar!H9)</f>
        <v>47584.8125</v>
      </c>
      <c r="I9" s="36" t="str">
        <f t="shared" si="2"/>
        <v/>
      </c>
    </row>
    <row r="10" spans="1:9" ht="15.6">
      <c r="A10" s="38" t="str">
        <v>Batavia - Pike Rd</v>
      </c>
      <c r="B10" s="26" t="str">
        <v>NY</v>
      </c>
      <c r="C10" s="27">
        <f>SUM(Jan!C10, Feb!C10, Mar!C10)</f>
        <v>159955.82375000001</v>
      </c>
      <c r="D10" s="28">
        <f>SUM(Jan!D10, Feb!D10, Mar!D10)</f>
        <v>246837.6</v>
      </c>
      <c r="E10" s="28">
        <f t="shared" si="3"/>
        <v>-86881.776249999995</v>
      </c>
      <c r="F10" s="29">
        <f t="shared" si="1"/>
        <v>-0.35197950494576186</v>
      </c>
      <c r="G10" s="30">
        <f>SUM(Jan!G10, Feb!G10, Mar!G10)</f>
        <v>219320.6</v>
      </c>
      <c r="H10" s="30">
        <f>SUM(Jan!H10, Feb!H10, Mar!H10)</f>
        <v>-59364.776249999995</v>
      </c>
      <c r="I10" s="31">
        <f t="shared" si="2"/>
        <v>-0.27067578809286491</v>
      </c>
    </row>
    <row r="11" spans="1:9" ht="15.6">
      <c r="A11" s="39" t="str">
        <v>Slayton A &amp; B</v>
      </c>
      <c r="B11" s="33" t="str">
        <v>NY</v>
      </c>
      <c r="C11" s="34">
        <f>SUM(Jan!C11, Feb!C11, Mar!C11)</f>
        <v>353338</v>
      </c>
      <c r="D11" s="35">
        <f>SUM(Jan!D11, Feb!D11, Mar!D11)</f>
        <v>494949.8</v>
      </c>
      <c r="E11" s="35">
        <f t="shared" si="4"/>
        <v>-141611.79999999999</v>
      </c>
      <c r="F11" s="36">
        <f t="shared" si="1"/>
        <v>-0.28611346039537744</v>
      </c>
      <c r="G11" s="37">
        <f>SUM(Jan!G11, Feb!G11, Mar!G11)</f>
        <v>398835.4</v>
      </c>
      <c r="H11" s="37">
        <f>SUM(Jan!H11, Feb!H11, Mar!H11)</f>
        <v>-45497.400000000023</v>
      </c>
      <c r="I11" s="36">
        <f t="shared" si="2"/>
        <v>-0.11407563120023954</v>
      </c>
    </row>
    <row r="12" spans="1:9" ht="15.75">
      <c r="A12" s="38" t="str">
        <v>Batavia - Alexander Rd</v>
      </c>
      <c r="B12" s="26" t="str">
        <v>NY</v>
      </c>
      <c r="C12" s="27">
        <f>SUM(Jan!C12, Feb!C12, Mar!C12)</f>
        <v>75534.582209999993</v>
      </c>
      <c r="D12" s="28">
        <f>SUM(Jan!D12, Feb!D12, Mar!D12)</f>
        <v>136027.1</v>
      </c>
      <c r="E12" s="28">
        <f t="shared" si="3"/>
        <v>-60492.517790000013</v>
      </c>
      <c r="F12" s="29">
        <f t="shared" si="1"/>
        <v>-0.44470931005659908</v>
      </c>
      <c r="G12" s="30">
        <f>SUM(Jan!G12, Feb!G12, Mar!G12)</f>
        <v>110310.9</v>
      </c>
      <c r="H12" s="30">
        <f>SUM(Jan!H12, Feb!H12, Mar!H12)</f>
        <v>-34776.317790000001</v>
      </c>
      <c r="I12" s="31">
        <f t="shared" si="2"/>
        <v>-0.31525731174344512</v>
      </c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D15" sqref="D15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2">Sites[Site]</f>
        <v>Cedar Swamp Rd</v>
      </c>
      <c r="B4" s="26" t="str" cm="1">
        <f t="array" ref="B4:B12">Sites[State]</f>
        <v>MA</v>
      </c>
      <c r="C4" s="27">
        <f>SUM(Apr!C4, May!C4, Jun!C4)</f>
        <v>0</v>
      </c>
      <c r="D4" s="28">
        <f>SUM(Apr!D4, May!D4, Jun!D4)</f>
        <v>0</v>
      </c>
      <c r="E4" s="28">
        <f>IF(AND(ISNUMBER(C4),ISNUMBER(D4)), C4-D4, "")</f>
        <v>0</v>
      </c>
      <c r="F4" s="29" t="str">
        <f>IFERROR(E4/D4, "")</f>
        <v/>
      </c>
      <c r="G4" s="30">
        <f>SUM(Apr!G4, May!G4, Jun!G4)</f>
        <v>0</v>
      </c>
      <c r="H4" s="30">
        <f>SUM(Apr!H4, May!H4, Jun!H4)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SUM(Apr!C5, May!C5, Jun!C5)</f>
        <v>0</v>
      </c>
      <c r="D5" s="35">
        <f>SUM(Apr!D5, May!D5, Jun!D5)</f>
        <v>0</v>
      </c>
      <c r="E5" s="35">
        <f t="shared" ref="E5:E6" si="0">IF(AND(ISNUMBER(C5),ISNUMBER(D5)), C5-D5, "")</f>
        <v>0</v>
      </c>
      <c r="F5" s="36" t="str">
        <f>IFERROR(E5/D5, "")</f>
        <v/>
      </c>
      <c r="G5" s="9">
        <f>SUM(Apr!G5, May!G5, Jun!G5)</f>
        <v>0</v>
      </c>
      <c r="H5" s="37">
        <f>SUM(Apr!H5, May!H5, Jun!H5)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SUM(Apr!C6, May!C6, Jun!C6)</f>
        <v>0</v>
      </c>
      <c r="D6" s="28">
        <f>SUM(Apr!D6, May!D6, Jun!D6)</f>
        <v>0</v>
      </c>
      <c r="E6" s="28">
        <f t="shared" si="0"/>
        <v>0</v>
      </c>
      <c r="F6" s="29" t="str">
        <f t="shared" ref="F6:F11" si="1">IFERROR(E6/D6, "")</f>
        <v/>
      </c>
      <c r="G6" s="30">
        <f>SUM(Apr!G6, May!G6, Jun!G6)</f>
        <v>0</v>
      </c>
      <c r="H6" s="30">
        <f>SUM(Apr!H6, May!H6, Jun!H6)</f>
        <v>0</v>
      </c>
      <c r="I6" s="31" t="str">
        <f t="shared" ref="I6:I11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SUM(Apr!C7, May!C7, Jun!C7)</f>
        <v>0</v>
      </c>
      <c r="D7" s="35">
        <f>SUM(Apr!D7, May!D7, Jun!D7)</f>
        <v>0</v>
      </c>
      <c r="E7" s="35">
        <f t="shared" ref="E7:E11" si="3">IF(AND(ISNUMBER(C7),ISNUMBER(D7)), C7-D7, "")</f>
        <v>0</v>
      </c>
      <c r="F7" s="36" t="str">
        <f t="shared" si="1"/>
        <v/>
      </c>
      <c r="G7" s="9">
        <f>SUM(Apr!G7, May!G7, Jun!G7)</f>
        <v>0</v>
      </c>
      <c r="H7" s="37">
        <f>SUM(Apr!H7, May!H7, Jun!H7)</f>
        <v>0</v>
      </c>
      <c r="I7" s="36" t="str">
        <f t="shared" si="2"/>
        <v/>
      </c>
    </row>
    <row r="8" spans="1:9" ht="15.6">
      <c r="A8" s="38" t="str">
        <v>Minoa - Clemons Rd</v>
      </c>
      <c r="B8" s="26" t="str">
        <v>NY</v>
      </c>
      <c r="C8" s="27">
        <f>SUM(Apr!C8, May!C8, Jun!C8)</f>
        <v>0</v>
      </c>
      <c r="D8" s="28">
        <f>SUM(Apr!D8, May!D8, Jun!D8)</f>
        <v>0</v>
      </c>
      <c r="E8" s="28">
        <f t="shared" si="3"/>
        <v>0</v>
      </c>
      <c r="F8" s="29" t="str">
        <f t="shared" si="1"/>
        <v/>
      </c>
      <c r="G8" s="30">
        <f>SUM(Apr!G8, May!G8, Jun!G8)</f>
        <v>0</v>
      </c>
      <c r="H8" s="30">
        <f>SUM(Apr!H8, May!H8, Jun!H8)</f>
        <v>0</v>
      </c>
      <c r="I8" s="31" t="str">
        <f t="shared" si="2"/>
        <v/>
      </c>
    </row>
    <row r="9" spans="1:9" ht="15.6">
      <c r="A9" s="39" t="str">
        <v>Manchester - Western</v>
      </c>
      <c r="B9" s="33" t="str">
        <v>ME</v>
      </c>
      <c r="C9" s="34">
        <f>SUM(Apr!C9, May!C9, Jun!C9)</f>
        <v>0</v>
      </c>
      <c r="D9" s="35">
        <f>SUM(Apr!D9, May!D9, Jun!D9)</f>
        <v>0</v>
      </c>
      <c r="E9" s="35">
        <f t="shared" si="3"/>
        <v>0</v>
      </c>
      <c r="F9" s="36" t="str">
        <f t="shared" si="1"/>
        <v/>
      </c>
      <c r="G9" s="9">
        <f>SUM(Apr!G9, May!G9, Jun!G9)</f>
        <v>0</v>
      </c>
      <c r="H9" s="37">
        <f>SUM(Apr!H9, May!H9, Jun!H9)</f>
        <v>0</v>
      </c>
      <c r="I9" s="36" t="str">
        <f t="shared" si="2"/>
        <v/>
      </c>
    </row>
    <row r="10" spans="1:9" ht="15.6">
      <c r="A10" s="38" t="str">
        <v>Batavia - Pike Rd</v>
      </c>
      <c r="B10" s="26" t="str">
        <v>NY</v>
      </c>
      <c r="C10" s="27">
        <f>SUM(Apr!C10, May!C10, Jun!C10)</f>
        <v>0</v>
      </c>
      <c r="D10" s="28">
        <f>SUM(Apr!D10, May!D10, Jun!D10)</f>
        <v>0</v>
      </c>
      <c r="E10" s="28">
        <f t="shared" si="3"/>
        <v>0</v>
      </c>
      <c r="F10" s="29" t="str">
        <f t="shared" si="1"/>
        <v/>
      </c>
      <c r="G10" s="69">
        <f>SUM(Apr!G10, May!G10, Jun!G10)</f>
        <v>0</v>
      </c>
      <c r="H10" s="30">
        <f>SUM(Apr!H10, May!H10, Jun!H10)</f>
        <v>0</v>
      </c>
      <c r="I10" s="31" t="str">
        <f t="shared" si="2"/>
        <v/>
      </c>
    </row>
    <row r="11" spans="1:9" ht="15.6">
      <c r="A11" s="39" t="str">
        <v>Slayton A &amp; B</v>
      </c>
      <c r="B11" s="33" t="str">
        <v>NY</v>
      </c>
      <c r="C11" s="34">
        <f>SUM(Apr!C11, May!C11, Jun!C11)</f>
        <v>0</v>
      </c>
      <c r="D11" s="35">
        <f>SUM(Apr!D11, May!D11, Jun!D11)</f>
        <v>0</v>
      </c>
      <c r="E11" s="35">
        <f t="shared" si="3"/>
        <v>0</v>
      </c>
      <c r="F11" s="70" t="str">
        <f t="shared" si="1"/>
        <v/>
      </c>
      <c r="G11" s="68">
        <f>SUM(Apr!G11, May!G11, Jun!G11)</f>
        <v>0</v>
      </c>
      <c r="H11" s="71">
        <f>SUM(Apr!H11, May!H11, Jun!H11)</f>
        <v>0</v>
      </c>
      <c r="I11" s="36" t="str">
        <f t="shared" si="2"/>
        <v/>
      </c>
    </row>
    <row r="12" spans="1:9" ht="15.75">
      <c r="A12" s="38" t="str">
        <v>Batavia - Alexander Rd</v>
      </c>
      <c r="B12" s="26" t="str">
        <v>NY</v>
      </c>
      <c r="C12" s="27"/>
      <c r="D12" s="28"/>
      <c r="E12" s="28"/>
      <c r="F12" s="29"/>
      <c r="G12" s="76"/>
      <c r="H12" s="30"/>
      <c r="I12" s="31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G12" sqref="G12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2">Sites[Site]</f>
        <v>Cedar Swamp Rd</v>
      </c>
      <c r="B4" s="26" t="str" cm="1">
        <f t="array" ref="B4:B12">Sites[State]</f>
        <v>MA</v>
      </c>
      <c r="C4" s="27">
        <f>SUM(Jul!C4, Aug!C4, Sep!C4)</f>
        <v>0</v>
      </c>
      <c r="D4" s="28">
        <f>SUM(Jul!D4, Aug!D4, Sep!D4)</f>
        <v>0</v>
      </c>
      <c r="E4" s="28">
        <f>IF(AND(ISNUMBER(C4),ISNUMBER(D4)), C4-D4, "")</f>
        <v>0</v>
      </c>
      <c r="F4" s="29" t="str">
        <f>IFERROR(E4/D4, "")</f>
        <v/>
      </c>
      <c r="G4" s="30">
        <f>SUM(Jul!G4, Aug!G4, Sep!G4)</f>
        <v>0</v>
      </c>
      <c r="H4" s="30">
        <f>SUM(Jul!H4, Aug!H4, Sep!H4)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SUM(Jul!C5, Aug!C5, Sep!C5)</f>
        <v>0</v>
      </c>
      <c r="D5" s="35">
        <f>SUM(Jul!D5, Aug!D5, Sep!D5)</f>
        <v>0</v>
      </c>
      <c r="E5" s="35">
        <f t="shared" ref="E5:E11" si="0">IF(AND(ISNUMBER(C5),ISNUMBER(D5)), C5-D5, "")</f>
        <v>0</v>
      </c>
      <c r="F5" s="36" t="str">
        <f>IFERROR(E5/D5, "")</f>
        <v/>
      </c>
      <c r="G5" s="9">
        <f>SUM(Jul!G5, Aug!G5, Sep!G5)</f>
        <v>0</v>
      </c>
      <c r="H5" s="37">
        <f>SUM(Jul!H5, Aug!H5, Sep!H5)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SUM(Jul!C6, Aug!C6, Sep!C6)</f>
        <v>0</v>
      </c>
      <c r="D6" s="28">
        <f>SUM(Jul!D6, Aug!D6, Sep!D6)</f>
        <v>0</v>
      </c>
      <c r="E6" s="28">
        <f t="shared" si="0"/>
        <v>0</v>
      </c>
      <c r="F6" s="29" t="str">
        <f t="shared" ref="F6:F11" si="1">IFERROR(E6/D6, "")</f>
        <v/>
      </c>
      <c r="G6" s="30">
        <f>SUM(Jul!G6, Aug!G6, Sep!G6)</f>
        <v>0</v>
      </c>
      <c r="H6" s="30">
        <f>SUM(Jul!H6, Aug!H6, Sep!H6)</f>
        <v>0</v>
      </c>
      <c r="I6" s="31" t="str">
        <f t="shared" ref="I6:I11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SUM(Jul!C7, Aug!C7, Sep!C7)</f>
        <v>0</v>
      </c>
      <c r="D7" s="35">
        <f>SUM(Jul!D7, Aug!D7, Sep!D7)</f>
        <v>0</v>
      </c>
      <c r="E7" s="35">
        <f t="shared" si="0"/>
        <v>0</v>
      </c>
      <c r="F7" s="36" t="str">
        <f t="shared" si="1"/>
        <v/>
      </c>
      <c r="G7" s="9">
        <f>SUM(Jul!G7, Aug!G7, Sep!G7)</f>
        <v>0</v>
      </c>
      <c r="H7" s="37">
        <f>SUM(Jul!H7, Aug!H7, Sep!H7)</f>
        <v>0</v>
      </c>
      <c r="I7" s="36" t="str">
        <f t="shared" si="2"/>
        <v/>
      </c>
    </row>
    <row r="8" spans="1:9" ht="15.6">
      <c r="A8" s="38" t="str">
        <v>Minoa - Clemons Rd</v>
      </c>
      <c r="B8" s="26" t="str">
        <v>NY</v>
      </c>
      <c r="C8" s="27">
        <f>SUM(Jul!C8, Aug!C8, Sep!C8)</f>
        <v>0</v>
      </c>
      <c r="D8" s="28">
        <f>SUM(Jul!D8, Aug!D8, Sep!D8)</f>
        <v>0</v>
      </c>
      <c r="E8" s="28">
        <f t="shared" si="0"/>
        <v>0</v>
      </c>
      <c r="F8" s="29" t="str">
        <f t="shared" si="1"/>
        <v/>
      </c>
      <c r="G8" s="30">
        <f>SUM(Jul!G8, Aug!G8, Sep!G8)</f>
        <v>0</v>
      </c>
      <c r="H8" s="30">
        <f>SUM(Jul!H8, Aug!H8, Sep!H8)</f>
        <v>0</v>
      </c>
      <c r="I8" s="31" t="str">
        <f t="shared" si="2"/>
        <v/>
      </c>
    </row>
    <row r="9" spans="1:9" ht="15.6">
      <c r="A9" s="39" t="str">
        <v>Manchester - Western</v>
      </c>
      <c r="B9" s="33" t="str">
        <v>ME</v>
      </c>
      <c r="C9" s="34">
        <f>SUM(Jul!C9, Aug!C9, Sep!C9)</f>
        <v>0</v>
      </c>
      <c r="D9" s="35">
        <f>SUM(Jul!D9, Aug!D9, Sep!D9)</f>
        <v>0</v>
      </c>
      <c r="E9" s="35">
        <f t="shared" si="0"/>
        <v>0</v>
      </c>
      <c r="F9" s="36" t="str">
        <f t="shared" si="1"/>
        <v/>
      </c>
      <c r="G9" s="9">
        <f>SUM(Jul!G9, Aug!G9, Sep!G9)</f>
        <v>0</v>
      </c>
      <c r="H9" s="37">
        <f>SUM(Jul!H9, Aug!H9, Sep!H9)</f>
        <v>0</v>
      </c>
      <c r="I9" s="36" t="str">
        <f t="shared" si="2"/>
        <v/>
      </c>
    </row>
    <row r="10" spans="1:9" ht="15.6">
      <c r="A10" s="38" t="str">
        <v>Batavia - Pike Rd</v>
      </c>
      <c r="B10" s="26" t="str">
        <v>NY</v>
      </c>
      <c r="C10" s="27">
        <f>SUM(Jul!C10, Aug!C10, Sep!C10)</f>
        <v>0</v>
      </c>
      <c r="D10" s="28">
        <f>SUM(Jul!D10, Aug!D10, Sep!D10)</f>
        <v>0</v>
      </c>
      <c r="E10" s="28">
        <f t="shared" si="0"/>
        <v>0</v>
      </c>
      <c r="F10" s="29" t="str">
        <f t="shared" si="1"/>
        <v/>
      </c>
      <c r="G10" s="69">
        <f>SUM(Jul!G10, Aug!G10, Sep!G10)</f>
        <v>0</v>
      </c>
      <c r="H10" s="30">
        <f>SUM(Jul!H10, Aug!H10, Sep!H10)</f>
        <v>0</v>
      </c>
      <c r="I10" s="31" t="str">
        <f t="shared" si="2"/>
        <v/>
      </c>
    </row>
    <row r="11" spans="1:9" ht="15.6">
      <c r="A11" s="39" t="str">
        <v>Slayton A &amp; B</v>
      </c>
      <c r="B11" s="33" t="str">
        <v>NY</v>
      </c>
      <c r="C11" s="34">
        <f>SUM(Jul!C11, Aug!C11, Sep!C11)</f>
        <v>0</v>
      </c>
      <c r="D11" s="35">
        <f>SUM(Jul!D11, Aug!D11, Sep!D11)</f>
        <v>0</v>
      </c>
      <c r="E11" s="35">
        <f t="shared" si="0"/>
        <v>0</v>
      </c>
      <c r="F11" s="36" t="str">
        <f t="shared" si="1"/>
        <v/>
      </c>
      <c r="G11" s="68">
        <f>SUM(Jul!G11, Aug!G11, Sep!G11)</f>
        <v>0</v>
      </c>
      <c r="H11" s="37">
        <f>SUM(Jul!H11, Aug!H11, Sep!H11)</f>
        <v>0</v>
      </c>
      <c r="I11" s="36" t="str">
        <f t="shared" si="2"/>
        <v/>
      </c>
    </row>
    <row r="12" spans="1:9" ht="15.75">
      <c r="A12" s="38" t="str">
        <v>Batavia - Alexander Rd</v>
      </c>
      <c r="B12" s="26" t="str">
        <v>NY</v>
      </c>
      <c r="C12" s="27"/>
      <c r="D12" s="28"/>
      <c r="E12" s="28"/>
      <c r="F12" s="29"/>
      <c r="G12" s="76"/>
      <c r="H12" s="30"/>
      <c r="I12" s="31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D17" sqref="D17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2">Sites[Site]</f>
        <v>Cedar Swamp Rd</v>
      </c>
      <c r="B4" s="26" t="str" cm="1">
        <f t="array" ref="B4:B12">Sites[State]</f>
        <v>MA</v>
      </c>
      <c r="C4" s="27">
        <f>SUM(Oct!C4, Nov!C4, Dec!C4)</f>
        <v>0</v>
      </c>
      <c r="D4" s="28">
        <f>SUM(Oct!D4, Nov!D4, Dec!D4)</f>
        <v>0</v>
      </c>
      <c r="E4" s="28">
        <f>IF(AND(ISNUMBER(C4),ISNUMBER(D4)), C4-D4, "")</f>
        <v>0</v>
      </c>
      <c r="F4" s="29" t="str">
        <f>IFERROR(E4/D4, "")</f>
        <v/>
      </c>
      <c r="G4" s="37">
        <f>SUM(Oct!G4, Nov!G4, Dec!G4)</f>
        <v>0</v>
      </c>
      <c r="H4" s="30">
        <f>SUM(Oct!H4, Nov!H4, Dec!H4)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SUM(Oct!C5, Nov!C5, Dec!C5)</f>
        <v>0</v>
      </c>
      <c r="D5" s="35">
        <f>SUM(Oct!D5, Nov!D5, Dec!D5)</f>
        <v>0</v>
      </c>
      <c r="E5" s="35">
        <f t="shared" ref="E5:E6" si="0">IF(AND(ISNUMBER(C5),ISNUMBER(D5)), C5-D5, "")</f>
        <v>0</v>
      </c>
      <c r="F5" s="36" t="str">
        <f>IFERROR(E5/D5, "")</f>
        <v/>
      </c>
      <c r="G5" s="37">
        <f>SUM(Oct!G5, Nov!G5, Dec!G5)</f>
        <v>0</v>
      </c>
      <c r="H5" s="37">
        <f>SUM(Oct!H5, Nov!H5, Dec!H5)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SUM(Oct!C6, Nov!C6, Dec!C6)</f>
        <v>0</v>
      </c>
      <c r="D6" s="28">
        <f>SUM(Oct!D6, Nov!D6, Dec!D6)</f>
        <v>0</v>
      </c>
      <c r="E6" s="28">
        <f t="shared" si="0"/>
        <v>0</v>
      </c>
      <c r="F6" s="29" t="str">
        <f t="shared" ref="F6" si="1">IFERROR(E6/D6, "")</f>
        <v/>
      </c>
      <c r="G6" s="30">
        <f>SUM(Oct!G6, Nov!G6, Dec!G6)</f>
        <v>0</v>
      </c>
      <c r="H6" s="30">
        <f>SUM(Oct!H6, Nov!H6, Dec!H6)</f>
        <v>0</v>
      </c>
      <c r="I6" s="31" t="str">
        <f t="shared" ref="I6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SUM(Oct!C7, Nov!C7, Dec!C7)</f>
        <v>0</v>
      </c>
      <c r="D7" s="35">
        <f>SUM(Oct!D7, Nov!D7, Dec!D7)</f>
        <v>0</v>
      </c>
      <c r="E7" s="35">
        <f t="shared" ref="E7" si="3">IF(AND(ISNUMBER(C7),ISNUMBER(D7)), C7-D7, "")</f>
        <v>0</v>
      </c>
      <c r="F7" s="36" t="str">
        <f t="shared" ref="F7:F11" si="4">IFERROR(E7/D7, "")</f>
        <v/>
      </c>
      <c r="G7" s="37">
        <f>SUM(Oct!G7, Nov!G7, Dec!G7)</f>
        <v>0</v>
      </c>
      <c r="H7" s="37">
        <f>SUM(Oct!H7, Nov!H7, Dec!H7)</f>
        <v>0</v>
      </c>
      <c r="I7" s="36" t="str">
        <f t="shared" ref="I7:I11" si="5">IFERROR(H7/G7, "")</f>
        <v/>
      </c>
    </row>
    <row r="8" spans="1:9" ht="15.6">
      <c r="A8" s="38" t="str">
        <v>Minoa - Clemons Rd</v>
      </c>
      <c r="B8" s="26" t="str">
        <v>NY</v>
      </c>
      <c r="C8" s="27">
        <f>SUM(Oct!C8, Nov!C8, Dec!C8)</f>
        <v>0</v>
      </c>
      <c r="D8" s="28">
        <f>SUM(Oct!D8, Nov!D8, Dec!D8)</f>
        <v>0</v>
      </c>
      <c r="E8" s="28">
        <f t="shared" ref="E8:E11" si="6">IF(AND(ISNUMBER(C8),ISNUMBER(D8)), C8-D8, "")</f>
        <v>0</v>
      </c>
      <c r="F8" s="29" t="str">
        <f t="shared" ref="F8:F10" si="7">IFERROR(E8/D8, "")</f>
        <v/>
      </c>
      <c r="G8" s="30">
        <f>SUM(Oct!G8, Nov!G8, Dec!G8)</f>
        <v>0</v>
      </c>
      <c r="H8" s="30">
        <f>SUM(Oct!H8, Nov!H8, Dec!H8)</f>
        <v>0</v>
      </c>
      <c r="I8" s="31" t="str">
        <f t="shared" ref="I8:I10" si="8">IFERROR(H8/G8, "")</f>
        <v/>
      </c>
    </row>
    <row r="9" spans="1:9" ht="15.6">
      <c r="A9" s="39" t="str">
        <v>Manchester - Western</v>
      </c>
      <c r="B9" s="33" t="str">
        <v>ME</v>
      </c>
      <c r="C9" s="34">
        <f>SUM(Oct!C9, Nov!C9, Dec!C9)</f>
        <v>0</v>
      </c>
      <c r="D9" s="35">
        <f>SUM(Oct!D9, Nov!D9, Dec!D9)</f>
        <v>0</v>
      </c>
      <c r="E9" s="35">
        <f t="shared" si="6"/>
        <v>0</v>
      </c>
      <c r="F9" s="36" t="str">
        <f t="shared" si="4"/>
        <v/>
      </c>
      <c r="G9" s="37">
        <f>SUM(Oct!G9, Nov!G9, Dec!G9)</f>
        <v>0</v>
      </c>
      <c r="H9" s="37">
        <f>SUM(Oct!H9, Nov!H9, Dec!H9)</f>
        <v>0</v>
      </c>
      <c r="I9" s="36" t="str">
        <f t="shared" si="5"/>
        <v/>
      </c>
    </row>
    <row r="10" spans="1:9" ht="15.6">
      <c r="A10" s="38" t="str">
        <v>Batavia - Pike Rd</v>
      </c>
      <c r="B10" s="26" t="str">
        <v>NY</v>
      </c>
      <c r="C10" s="27">
        <f>SUM(Oct!C10, Nov!C10, Dec!C10)</f>
        <v>0</v>
      </c>
      <c r="D10" s="28">
        <f>SUM(Oct!D10, Nov!D10, Dec!D10)</f>
        <v>0</v>
      </c>
      <c r="E10" s="28">
        <f t="shared" si="6"/>
        <v>0</v>
      </c>
      <c r="F10" s="29" t="str">
        <f t="shared" si="7"/>
        <v/>
      </c>
      <c r="G10" s="30">
        <f>SUM(Oct!G10, Nov!G10, Dec!G10)</f>
        <v>0</v>
      </c>
      <c r="H10" s="30">
        <f>SUM(Oct!H10, Nov!H10, Dec!H10)</f>
        <v>0</v>
      </c>
      <c r="I10" s="31" t="str">
        <f t="shared" si="8"/>
        <v/>
      </c>
    </row>
    <row r="11" spans="1:9" ht="15.6">
      <c r="A11" s="39" t="str">
        <v>Slayton A &amp; B</v>
      </c>
      <c r="B11" s="33" t="str">
        <v>NY</v>
      </c>
      <c r="C11" s="34">
        <f>SUM(Oct!C11, Nov!C11, Dec!C11)</f>
        <v>0</v>
      </c>
      <c r="D11" s="35">
        <f>SUM(Oct!D11, Nov!D11, Dec!D11)</f>
        <v>0</v>
      </c>
      <c r="E11" s="35">
        <f t="shared" si="6"/>
        <v>0</v>
      </c>
      <c r="F11" s="36" t="str">
        <f t="shared" si="4"/>
        <v/>
      </c>
      <c r="G11" s="37">
        <f>SUM(Oct!G11, Nov!G11, Dec!G11)</f>
        <v>0</v>
      </c>
      <c r="H11" s="37">
        <f>SUM(Oct!H11, Nov!H11, Dec!H11)</f>
        <v>0</v>
      </c>
      <c r="I11" s="36" t="str">
        <f t="shared" si="5"/>
        <v/>
      </c>
    </row>
    <row r="12" spans="1:9" ht="15.75">
      <c r="A12" s="38" t="str">
        <v>Batavia - Alexander Rd</v>
      </c>
      <c r="B12" s="26" t="str">
        <v>NY</v>
      </c>
      <c r="C12" s="27"/>
      <c r="D12" s="28"/>
      <c r="E12" s="28"/>
      <c r="F12" s="29"/>
      <c r="G12" s="30"/>
      <c r="H12" s="30"/>
      <c r="I12" s="31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J8" sqref="J8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710937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SUM(C4:C79)</f>
        <v>1597969.4684599999</v>
      </c>
      <c r="D2" s="5">
        <f>SUM(D4:D79)</f>
        <v>2242527.17</v>
      </c>
      <c r="E2" s="5">
        <f>C2-D2</f>
        <v>-644557.70154000004</v>
      </c>
      <c r="F2" s="6">
        <f>IFERROR(E2/D2, 0)</f>
        <v>-0.2874247010973785</v>
      </c>
      <c r="G2" s="5">
        <f>SUM(G4:G79)</f>
        <v>1857021.48</v>
      </c>
      <c r="H2" s="7">
        <f>C2-G2</f>
        <v>-259052.01154000009</v>
      </c>
      <c r="I2" s="6">
        <f>IFERROR(H2/G2, 0)</f>
        <v>-0.13949866187869842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48" t="str" cm="1">
        <f t="array" ref="A4:A12">Sites[Site]</f>
        <v>Cedar Swamp Rd</v>
      </c>
      <c r="B4" s="49" t="str" cm="1">
        <f t="array" ref="B4:B12">Sites[State]</f>
        <v>MA</v>
      </c>
      <c r="C4" s="27">
        <v>61046</v>
      </c>
      <c r="D4" s="28">
        <v>72282.67</v>
      </c>
      <c r="E4" s="28">
        <f>IF(AND(ISNUMBER(C4),ISNUMBER(D4)), C4-D4, "")</f>
        <v>-11236.669999999998</v>
      </c>
      <c r="F4" s="29">
        <f>IFERROR(E4/D4, "")</f>
        <v>-0.15545455086260646</v>
      </c>
      <c r="G4" s="30">
        <v>41663.379999999997</v>
      </c>
      <c r="H4" s="30">
        <f>IF(AND(ISNUMBER(C4),ISNUMBER(G4)), C4-G4, "")</f>
        <v>19382.620000000003</v>
      </c>
      <c r="I4" s="31">
        <f>IFERROR(H4/G4, "")</f>
        <v>0.46521957652019602</v>
      </c>
      <c r="J4" s="50"/>
      <c r="K4" s="50"/>
    </row>
    <row r="5" spans="1:11" ht="30.75">
      <c r="A5" s="51" t="str">
        <v>Bullis</v>
      </c>
      <c r="B5" s="52" t="str">
        <v>NY</v>
      </c>
      <c r="C5" s="35">
        <v>179917</v>
      </c>
      <c r="D5" s="35">
        <v>269796.59999999998</v>
      </c>
      <c r="E5" s="35">
        <f t="shared" ref="E5:E6" si="0">IF(AND(ISNUMBER(C5),ISNUMBER(D5)), C5-D5, "")</f>
        <v>-89879.599999999977</v>
      </c>
      <c r="F5" s="36">
        <f t="shared" ref="F5:F6" si="1">IFERROR(E5/D5, "")</f>
        <v>-0.33313837164738169</v>
      </c>
      <c r="G5" s="37">
        <v>264056.90000000002</v>
      </c>
      <c r="H5" s="37">
        <f t="shared" ref="H5:H6" si="2">IF(AND(ISNUMBER(C5),ISNUMBER(G5)), C5-G5, "")</f>
        <v>-84139.900000000023</v>
      </c>
      <c r="I5" s="36">
        <f t="shared" ref="I5:I6" si="3">IFERROR(H5/G5, "")</f>
        <v>-0.31864306518784402</v>
      </c>
      <c r="J5" s="53" t="s">
        <v>22</v>
      </c>
      <c r="K5" s="53" t="s">
        <v>23</v>
      </c>
    </row>
    <row r="6" spans="1:11" ht="15.75">
      <c r="A6" s="48" t="str">
        <v>Rock Island</v>
      </c>
      <c r="B6" s="49" t="str">
        <v>NY</v>
      </c>
      <c r="C6" s="27">
        <v>230466.5</v>
      </c>
      <c r="D6" s="28">
        <v>342985.3</v>
      </c>
      <c r="E6" s="28">
        <f t="shared" si="0"/>
        <v>-112518.79999999999</v>
      </c>
      <c r="F6" s="29">
        <f t="shared" si="1"/>
        <v>-0.32805720828268731</v>
      </c>
      <c r="G6" s="30">
        <v>246331.8</v>
      </c>
      <c r="H6" s="30">
        <f t="shared" si="2"/>
        <v>-15865.299999999988</v>
      </c>
      <c r="I6" s="31">
        <f t="shared" si="3"/>
        <v>-6.4406219578633322E-2</v>
      </c>
      <c r="J6" s="50"/>
      <c r="K6" s="50"/>
    </row>
    <row r="7" spans="1:11" ht="15.6">
      <c r="A7" s="51" t="str">
        <v>Winslow - Roderick</v>
      </c>
      <c r="B7" s="52" t="str">
        <v>ME</v>
      </c>
      <c r="C7" s="35">
        <v>361423</v>
      </c>
      <c r="D7" s="35">
        <v>473366.7</v>
      </c>
      <c r="E7" s="35">
        <f t="shared" ref="E7" si="4">IF(AND(ISNUMBER(C7),ISNUMBER(D7)), C7-D7, "")</f>
        <v>-111943.70000000001</v>
      </c>
      <c r="F7" s="36">
        <f t="shared" ref="F7:F11" si="5">IFERROR(E7/D7, "")</f>
        <v>-0.2364841041839234</v>
      </c>
      <c r="G7" s="37">
        <v>385109</v>
      </c>
      <c r="H7" s="37">
        <f t="shared" ref="H7" si="6">IF(AND(ISNUMBER(C7),ISNUMBER(G7)), C7-G7, "")</f>
        <v>-23686</v>
      </c>
      <c r="I7" s="36">
        <f t="shared" ref="I7:I11" si="7">IFERROR(H7/G7, "")</f>
        <v>-6.1504664913050594E-2</v>
      </c>
      <c r="J7" s="53"/>
      <c r="K7" s="53"/>
    </row>
    <row r="8" spans="1:11" ht="60.75">
      <c r="A8" s="48" t="str">
        <v>Minoa - Clemons Rd</v>
      </c>
      <c r="B8" s="49" t="str">
        <v>NY</v>
      </c>
      <c r="C8" s="27">
        <v>128703.75</v>
      </c>
      <c r="D8" s="28">
        <v>206281.4</v>
      </c>
      <c r="E8" s="28">
        <f t="shared" ref="E8:E12" si="8">IF(AND(ISNUMBER(C8),ISNUMBER(D8)), C8-D8, "")</f>
        <v>-77577.649999999994</v>
      </c>
      <c r="F8" s="29">
        <f t="shared" ref="F8:F12" si="9">IFERROR(E8/D8, "")</f>
        <v>-0.37607680576145014</v>
      </c>
      <c r="G8" s="30">
        <v>191393.5</v>
      </c>
      <c r="H8" s="30">
        <f t="shared" ref="H8:H12" si="10">IF(AND(ISNUMBER(C8),ISNUMBER(G8)), C8-G8, "")</f>
        <v>-62689.75</v>
      </c>
      <c r="I8" s="31">
        <f t="shared" ref="I8:I12" si="11">IFERROR(H8/G8, "")</f>
        <v>-0.32754377761000242</v>
      </c>
      <c r="J8" s="50" t="s">
        <v>24</v>
      </c>
      <c r="K8" s="50" t="s">
        <v>25</v>
      </c>
    </row>
    <row r="9" spans="1:11" ht="15.6">
      <c r="A9" s="51" t="str">
        <v>Manchester - Western</v>
      </c>
      <c r="B9" s="52" t="str">
        <v>ME</v>
      </c>
      <c r="C9" s="35">
        <v>47584.8125</v>
      </c>
      <c r="D9" s="35">
        <v>0</v>
      </c>
      <c r="E9" s="35">
        <f t="shared" si="8"/>
        <v>47584.8125</v>
      </c>
      <c r="F9" s="36" t="str">
        <f t="shared" si="5"/>
        <v/>
      </c>
      <c r="G9" s="37">
        <v>0</v>
      </c>
      <c r="H9" s="37">
        <f t="shared" si="10"/>
        <v>47584.8125</v>
      </c>
      <c r="I9" s="36" t="str">
        <f t="shared" si="7"/>
        <v/>
      </c>
      <c r="J9" s="53"/>
      <c r="K9" s="53"/>
    </row>
    <row r="10" spans="1:11" ht="76.5">
      <c r="A10" s="48" t="str">
        <v>Batavia - Pike Rd</v>
      </c>
      <c r="B10" s="49" t="str">
        <v>NY</v>
      </c>
      <c r="C10" s="27">
        <v>159955.82375000001</v>
      </c>
      <c r="D10" s="28">
        <v>246837.6</v>
      </c>
      <c r="E10" s="28">
        <f t="shared" si="8"/>
        <v>-86881.776249999995</v>
      </c>
      <c r="F10" s="29">
        <f t="shared" si="9"/>
        <v>-0.35197950494576186</v>
      </c>
      <c r="G10" s="30">
        <v>219320.6</v>
      </c>
      <c r="H10" s="30">
        <f t="shared" si="10"/>
        <v>-59364.776249999995</v>
      </c>
      <c r="I10" s="31">
        <f t="shared" si="11"/>
        <v>-0.27067578809286491</v>
      </c>
      <c r="J10" s="50" t="s">
        <v>26</v>
      </c>
      <c r="K10" s="50" t="s">
        <v>27</v>
      </c>
    </row>
    <row r="11" spans="1:11" ht="15.75">
      <c r="A11" s="51" t="str">
        <v>Slayton A &amp; B</v>
      </c>
      <c r="B11" s="52" t="str">
        <v>NY</v>
      </c>
      <c r="C11" s="35">
        <v>353338</v>
      </c>
      <c r="D11" s="35">
        <v>494949.8</v>
      </c>
      <c r="E11" s="35">
        <f t="shared" si="8"/>
        <v>-141611.79999999999</v>
      </c>
      <c r="F11" s="36">
        <f t="shared" si="5"/>
        <v>-0.28611346039537744</v>
      </c>
      <c r="G11" s="37">
        <v>398835.4</v>
      </c>
      <c r="H11" s="37">
        <f t="shared" si="10"/>
        <v>-45497.400000000023</v>
      </c>
      <c r="I11" s="36">
        <f t="shared" si="7"/>
        <v>-0.11407563120023954</v>
      </c>
      <c r="J11" s="53"/>
      <c r="K11" s="53"/>
    </row>
    <row r="12" spans="1:11" ht="76.5">
      <c r="A12" s="48" t="str">
        <v>Batavia - Alexander Rd</v>
      </c>
      <c r="B12" s="49" t="str">
        <v>NY</v>
      </c>
      <c r="C12" s="27">
        <v>75534.582209999993</v>
      </c>
      <c r="D12" s="28">
        <v>136027.1</v>
      </c>
      <c r="E12" s="28">
        <f t="shared" si="8"/>
        <v>-60492.517790000013</v>
      </c>
      <c r="F12" s="29">
        <f t="shared" si="9"/>
        <v>-0.44470931005659908</v>
      </c>
      <c r="G12" s="30">
        <v>110310.9</v>
      </c>
      <c r="H12" s="30">
        <f t="shared" si="10"/>
        <v>-34776.317790000001</v>
      </c>
      <c r="I12" s="31">
        <f t="shared" si="11"/>
        <v>-0.31525731174344512</v>
      </c>
      <c r="J12" s="50" t="s">
        <v>28</v>
      </c>
      <c r="K12" s="50" t="s">
        <v>29</v>
      </c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phoneticPr fontId="4" type="noConversion"/>
  <conditionalFormatting sqref="F2 I2 F5 I5 I7 F7 F9 I9 I11 F11 F13:F79 I13:I79">
    <cfRule type="cellIs" dxfId="36" priority="14" stopIfTrue="1" operator="lessThanOrEqual">
      <formula>-0.1</formula>
    </cfRule>
    <cfRule type="expression" dxfId="35" priority="15">
      <formula>AND(ISNUMBER(F2), F2&gt;=0.1)</formula>
    </cfRule>
  </conditionalFormatting>
  <conditionalFormatting sqref="F4 I4">
    <cfRule type="cellIs" dxfId="34" priority="9" stopIfTrue="1" operator="lessThanOrEqual">
      <formula>-0.1</formula>
    </cfRule>
    <cfRule type="expression" dxfId="33" priority="10">
      <formula>AND(ISNUMBER(F4), F4&gt;=0.1)</formula>
    </cfRule>
  </conditionalFormatting>
  <conditionalFormatting sqref="F6 I6">
    <cfRule type="cellIs" dxfId="32" priority="7" stopIfTrue="1" operator="lessThanOrEqual">
      <formula>-0.1</formula>
    </cfRule>
    <cfRule type="expression" dxfId="31" priority="8">
      <formula>AND(ISNUMBER(F6), F6&gt;=0.1)</formula>
    </cfRule>
  </conditionalFormatting>
  <conditionalFormatting sqref="F8 I8">
    <cfRule type="cellIs" dxfId="30" priority="5" stopIfTrue="1" operator="lessThanOrEqual">
      <formula>-0.1</formula>
    </cfRule>
    <cfRule type="expression" dxfId="29" priority="6">
      <formula>AND(ISNUMBER(F8), F8&gt;=0.1)</formula>
    </cfRule>
  </conditionalFormatting>
  <conditionalFormatting sqref="F10 I10 F12 I12">
    <cfRule type="cellIs" dxfId="28" priority="3" stopIfTrue="1" operator="lessThanOrEqual">
      <formula>-0.1</formula>
    </cfRule>
    <cfRule type="expression" dxfId="27" priority="4">
      <formula>AND(ISNUMBER(F10), F10&gt;=0.1)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4" sqref="A4:XFD4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30</v>
      </c>
      <c r="E1" s="74"/>
      <c r="F1" s="74"/>
      <c r="G1" s="72" t="s">
        <v>31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48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1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3"/>
    </row>
    <row r="6" spans="1:11" ht="15.6">
      <c r="A6" s="54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1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6">
      <c r="A8" s="54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1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5.6">
      <c r="A10" s="54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1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5.75">
      <c r="A12" s="54" t="str">
        <v>Batavia - Alexander Rd</v>
      </c>
      <c r="B12" s="49" t="str">
        <v>NY</v>
      </c>
      <c r="C12" s="27"/>
      <c r="D12" s="28"/>
      <c r="E12" s="28"/>
      <c r="F12" s="29"/>
      <c r="G12" s="30"/>
      <c r="H12" s="30"/>
      <c r="I12" s="31"/>
      <c r="J12" s="50"/>
      <c r="K12" s="50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32</v>
      </c>
      <c r="E1" s="74"/>
      <c r="F1" s="74"/>
      <c r="G1" s="72" t="s">
        <v>33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58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8"/>
      <c r="K7" s="58"/>
    </row>
    <row r="8" spans="1:11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8"/>
      <c r="K9" s="58"/>
    </row>
    <row r="10" spans="1:11" ht="15.6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8"/>
      <c r="K11" s="58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34</v>
      </c>
      <c r="E1" s="74"/>
      <c r="F1" s="74"/>
      <c r="G1" s="72" t="s">
        <v>35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5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3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6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5.6">
      <c r="A10" s="55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5"/>
      <c r="D11" s="35"/>
      <c r="E11" s="35"/>
      <c r="F11" s="36"/>
      <c r="G11" s="37"/>
      <c r="H11" s="37"/>
      <c r="I11" s="36"/>
      <c r="J11" s="53"/>
      <c r="K11" s="53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36</v>
      </c>
      <c r="E1" s="74"/>
      <c r="F1" s="74"/>
      <c r="G1" s="72" t="s">
        <v>37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3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6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5.6">
      <c r="A10" s="55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18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38</v>
      </c>
      <c r="E1" s="74"/>
      <c r="F1" s="74"/>
      <c r="G1" s="72" t="s">
        <v>39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9"/>
    </row>
    <row r="6" spans="1:11" ht="58.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6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5.6">
      <c r="A10" s="55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9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40</v>
      </c>
      <c r="E1" s="74"/>
      <c r="F1" s="74"/>
      <c r="G1" s="72" t="s">
        <v>41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9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7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5.6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9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42</v>
      </c>
      <c r="E1" s="74"/>
      <c r="F1" s="74"/>
      <c r="G1" s="72" t="s">
        <v>43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7" si="0">IF(AND(ISNUMBER(C5),ISNUMBER(D5)), C5-D5, "")</f>
        <v/>
      </c>
      <c r="F5" s="36" t="str">
        <f>IFERROR(E5/D5, "")</f>
        <v/>
      </c>
      <c r="G5" s="37"/>
      <c r="H5" s="37" t="str">
        <f t="shared" ref="H5:H7" si="1">IF(AND(ISNUMBER(C5),ISNUMBER(G5)), C5-G5, "")</f>
        <v/>
      </c>
      <c r="I5" s="36" t="str">
        <f t="shared" ref="I5:I7" si="2">IFERROR(H5/G5, "")</f>
        <v/>
      </c>
      <c r="J5" s="53"/>
      <c r="K5" s="58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61" t="str">
        <f t="shared" ref="F6:F7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64" t="str">
        <v>Winslow - Roderick</v>
      </c>
      <c r="B7" s="65" t="str">
        <v>ME</v>
      </c>
      <c r="C7" s="62"/>
      <c r="D7" s="62"/>
      <c r="E7" s="62" t="str">
        <f t="shared" si="0"/>
        <v/>
      </c>
      <c r="F7" s="61" t="str">
        <f t="shared" si="3"/>
        <v/>
      </c>
      <c r="G7" s="62"/>
      <c r="H7" s="37" t="str">
        <f t="shared" si="1"/>
        <v/>
      </c>
      <c r="I7" s="31" t="str">
        <f t="shared" si="2"/>
        <v/>
      </c>
      <c r="J7" s="62"/>
      <c r="K7" s="62"/>
    </row>
    <row r="8" spans="1:11" ht="15.6">
      <c r="A8" s="55" t="str">
        <v>Minoa - Clemons Rd</v>
      </c>
      <c r="B8" s="49" t="str">
        <v>NY</v>
      </c>
      <c r="C8" s="27"/>
      <c r="D8" s="28"/>
      <c r="E8" s="28" t="str">
        <f t="shared" ref="E8:E9" si="4">IF(AND(ISNUMBER(C8),ISNUMBER(D8)), C8-D8, "")</f>
        <v/>
      </c>
      <c r="F8" s="29" t="str">
        <f t="shared" ref="F8:F9" si="5">IFERROR(E8/D8, "")</f>
        <v/>
      </c>
      <c r="G8" s="30"/>
      <c r="H8" s="30" t="str">
        <f t="shared" ref="H8:H9" si="6">IF(AND(ISNUMBER(C8),ISNUMBER(G8)), C8-G8, "")</f>
        <v/>
      </c>
      <c r="I8" s="31" t="str">
        <f t="shared" ref="I8:I9" si="7">IFERROR(H8/G8, "")</f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4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7"/>
        <v/>
      </c>
      <c r="J9" s="53"/>
      <c r="K9" s="58"/>
    </row>
    <row r="10" spans="1:11" ht="15.6">
      <c r="A10" s="55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8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G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44</v>
      </c>
      <c r="E1" s="74"/>
      <c r="F1" s="74"/>
      <c r="G1" s="72" t="s">
        <v>45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3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66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5.6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66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46</v>
      </c>
      <c r="E1" s="74"/>
      <c r="F1" s="74"/>
      <c r="G1" s="72" t="s">
        <v>47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9" si="0">IF(AND(ISNUMBER(C5),ISNUMBER(D5)), C5-D5, "")</f>
        <v/>
      </c>
      <c r="F5" s="36" t="str">
        <f>IFERROR(E5/D5, "")</f>
        <v/>
      </c>
      <c r="G5" s="37"/>
      <c r="H5" s="37" t="str">
        <f t="shared" ref="H5:H9" si="1">IF(AND(ISNUMBER(C5),ISNUMBER(G5)), C5-G5, "")</f>
        <v/>
      </c>
      <c r="I5" s="36" t="str">
        <f t="shared" ref="I5:I9" si="2">IFERROR(H5/G5, "")</f>
        <v/>
      </c>
      <c r="J5" s="58"/>
      <c r="K5" s="58"/>
    </row>
    <row r="6" spans="1:11" ht="121.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:F9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si="3"/>
        <v/>
      </c>
      <c r="G7" s="37"/>
      <c r="H7" s="37" t="str">
        <f t="shared" si="1"/>
        <v/>
      </c>
      <c r="I7" s="36" t="str">
        <f t="shared" si="2"/>
        <v/>
      </c>
      <c r="J7" s="53"/>
      <c r="K7" s="53"/>
    </row>
    <row r="8" spans="1:11" ht="15.6">
      <c r="A8" s="57" t="str">
        <v>Minoa - Clemons Rd</v>
      </c>
      <c r="B8" s="49" t="str">
        <v>NY</v>
      </c>
      <c r="C8" s="27"/>
      <c r="D8" s="28"/>
      <c r="E8" s="28" t="str">
        <f t="shared" si="0"/>
        <v/>
      </c>
      <c r="F8" s="29" t="str">
        <f t="shared" si="3"/>
        <v/>
      </c>
      <c r="G8" s="30"/>
      <c r="H8" s="30" t="str">
        <f t="shared" si="1"/>
        <v/>
      </c>
      <c r="I8" s="31" t="str">
        <f t="shared" si="2"/>
        <v/>
      </c>
      <c r="J8" s="50"/>
      <c r="K8" s="50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0"/>
        <v/>
      </c>
      <c r="F9" s="36" t="str">
        <f t="shared" si="3"/>
        <v/>
      </c>
      <c r="G9" s="37"/>
      <c r="H9" s="37" t="str">
        <f t="shared" si="1"/>
        <v/>
      </c>
      <c r="I9" s="36" t="str">
        <f t="shared" si="2"/>
        <v/>
      </c>
      <c r="J9" s="53"/>
      <c r="K9" s="53"/>
    </row>
    <row r="10" spans="1:11" ht="15.6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zoomScale="80" zoomScaleNormal="80" workbookViewId="0">
      <pane xSplit="2" ySplit="3" topLeftCell="E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48</v>
      </c>
      <c r="E1" s="74"/>
      <c r="F1" s="74"/>
      <c r="G1" s="72" t="s">
        <v>49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66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58"/>
    </row>
    <row r="6" spans="1:11" ht="76.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66"/>
    </row>
    <row r="7" spans="1:11" ht="29.65" customHeight="1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>IFERROR(E7/D7, "")</f>
        <v/>
      </c>
      <c r="G7" s="37"/>
      <c r="H7" s="37" t="str">
        <f t="shared" ref="H7" si="5">IF(AND(ISNUMBER(C7),ISNUMBER(G7)), C7-G7, "")</f>
        <v/>
      </c>
      <c r="I7" s="36" t="str">
        <f t="shared" ref="I7" si="6">IFERROR(H7/G7, "")</f>
        <v/>
      </c>
      <c r="J7" s="58"/>
      <c r="K7" s="58"/>
    </row>
    <row r="8" spans="1:11" ht="75.400000000000006" customHeight="1">
      <c r="A8" s="57" t="str">
        <v>Minoa - Clemons Rd</v>
      </c>
      <c r="B8" s="49" t="str">
        <v>NY</v>
      </c>
      <c r="C8" s="27"/>
      <c r="D8" s="28"/>
      <c r="E8" s="28" t="str">
        <f t="shared" ref="E8" si="7">IF(AND(ISNUMBER(C8),ISNUMBER(D8)), C8-D8, "")</f>
        <v/>
      </c>
      <c r="F8" s="29" t="str">
        <f t="shared" ref="F8:F9" si="8">IFERROR(E8/D8, "")</f>
        <v/>
      </c>
      <c r="G8" s="30"/>
      <c r="H8" s="30" t="str">
        <f t="shared" ref="H8:H9" si="9">IF(AND(ISNUMBER(C8),ISNUMBER(G8)), C8-G8, "")</f>
        <v/>
      </c>
      <c r="I8" s="31" t="str">
        <f t="shared" ref="I8:I9" si="10">IFERROR(H8/G8, "")</f>
        <v/>
      </c>
      <c r="J8" s="66"/>
      <c r="K8" s="66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>IF(AND(ISNUMBER(C9),ISNUMBER(D9)), C9-D9, "")</f>
        <v/>
      </c>
      <c r="F9" s="36" t="str">
        <f t="shared" si="8"/>
        <v/>
      </c>
      <c r="G9" s="37"/>
      <c r="H9" s="37" t="str">
        <f t="shared" si="9"/>
        <v/>
      </c>
      <c r="I9" s="36" t="str">
        <f t="shared" si="10"/>
        <v/>
      </c>
      <c r="J9" s="58"/>
      <c r="K9" s="58"/>
    </row>
    <row r="10" spans="1:11" ht="75.400000000000006" customHeight="1">
      <c r="A10" s="57" t="str">
        <v>Batavia - Pike Rd</v>
      </c>
      <c r="B10" s="49" t="str">
        <v>NY</v>
      </c>
      <c r="C10" s="27"/>
      <c r="D10" s="28"/>
      <c r="E10" s="28" t="str">
        <f>IF(AND(ISNUMBER(C10),ISNUMBER(D10)), C10-D10, "")</f>
        <v/>
      </c>
      <c r="F10" s="29" t="str">
        <f>IFERROR(E10/D10, "")</f>
        <v/>
      </c>
      <c r="G10" s="30"/>
      <c r="H10" s="30" t="str">
        <f>IF(AND(ISNUMBER(C10),ISNUMBER(G10)), C10-G10, "")</f>
        <v/>
      </c>
      <c r="I10" s="31" t="str">
        <f>IFERROR(H10/G10, "")</f>
        <v/>
      </c>
      <c r="J10" s="66"/>
      <c r="K10" s="66"/>
    </row>
    <row r="11" spans="1:11" ht="15.6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8"/>
      <c r="K11" s="58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50</v>
      </c>
      <c r="E1" s="74"/>
      <c r="F1" s="74"/>
      <c r="G1" s="72" t="s">
        <v>51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6">
      <c r="A4" s="55" t="str" cm="1">
        <f t="array" ref="A4:A12">Sites[Site]</f>
        <v>Cedar Swamp Rd</v>
      </c>
      <c r="B4" s="49" t="str" cm="1">
        <f t="array" ref="B4:B12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53"/>
    </row>
    <row r="6" spans="1:11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66"/>
    </row>
    <row r="7" spans="1:11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" si="11">IFERROR(H8/G8, "")</f>
        <v/>
      </c>
      <c r="J8" s="66"/>
      <c r="K8" s="66"/>
    </row>
    <row r="9" spans="1:11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>IFERROR(E9/D9, "")</f>
        <v/>
      </c>
      <c r="G9" s="37"/>
      <c r="H9" s="37" t="str">
        <f t="shared" si="10"/>
        <v/>
      </c>
      <c r="I9" s="36" t="str">
        <f>IFERROR(H9/G9, "")</f>
        <v/>
      </c>
      <c r="J9" s="53"/>
      <c r="K9" s="53"/>
    </row>
    <row r="10" spans="1:11" ht="15.6">
      <c r="A10" s="57" t="str">
        <v>Batavia - Pike Rd</v>
      </c>
      <c r="B10" s="49" t="str">
        <v>NY</v>
      </c>
      <c r="C10" s="27"/>
      <c r="D10" s="28"/>
      <c r="E10" s="28" t="str">
        <f>IF(AND(ISNUMBER(C10),ISNUMBER(D10)), C10-D10, "")</f>
        <v/>
      </c>
      <c r="F10" s="29" t="str">
        <f>IFERROR(E10/D10, "")</f>
        <v/>
      </c>
      <c r="G10" s="30"/>
      <c r="H10" s="30" t="str">
        <f>IF(AND(ISNUMBER(C10),ISNUMBER(G10)), C10-G10, "")</f>
        <v/>
      </c>
      <c r="I10" s="31" t="str">
        <f>IFERROR(H10/G10, "")</f>
        <v/>
      </c>
      <c r="J10" s="66"/>
      <c r="K10" s="66"/>
    </row>
    <row r="11" spans="1:11" ht="15.6">
      <c r="A11" s="56" t="str">
        <v>Slayton A &amp; B</v>
      </c>
      <c r="B11" s="52" t="str">
        <v>NY</v>
      </c>
      <c r="C11" s="34"/>
      <c r="D11" s="35"/>
      <c r="E11" s="35" t="str">
        <f>IF(AND(ISNUMBER(C11),ISNUMBER(D11)), C11-D11, "")</f>
        <v/>
      </c>
      <c r="F11" s="36" t="str">
        <f>IFERROR(E11/D11, "")</f>
        <v/>
      </c>
      <c r="G11" s="37"/>
      <c r="H11" s="37" t="str">
        <f>IF(AND(ISNUMBER(C11),ISNUMBER(G11)), C11-G11, "")</f>
        <v/>
      </c>
      <c r="I11" s="36" t="str">
        <f>IFERROR(H11/G11, "")</f>
        <v/>
      </c>
      <c r="J11" s="53"/>
      <c r="K11" s="53"/>
    </row>
    <row r="12" spans="1:11" ht="14.45">
      <c r="A12" s="9" t="str">
        <v>Batavia - Alexander Rd</v>
      </c>
      <c r="B12" s="14" t="str">
        <v>NY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6"/>
  <sheetViews>
    <sheetView workbookViewId="0">
      <pane ySplit="3" topLeftCell="A4" activePane="bottomLeft" state="frozen"/>
      <selection pane="bottomLeft" activeCell="A19" sqref="A1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24" t="s">
        <v>57</v>
      </c>
      <c r="B4" t="s">
        <v>58</v>
      </c>
      <c r="C4" s="23" t="s">
        <v>59</v>
      </c>
      <c r="D4" s="22"/>
      <c r="E4" t="s">
        <v>60</v>
      </c>
      <c r="G4" s="3"/>
    </row>
    <row r="5" spans="1:12" ht="14.45">
      <c r="A5" s="24" t="s">
        <v>61</v>
      </c>
      <c r="B5" t="s">
        <v>61</v>
      </c>
      <c r="C5" s="23" t="s">
        <v>62</v>
      </c>
      <c r="D5" s="22"/>
      <c r="E5" t="s">
        <v>60</v>
      </c>
      <c r="G5" s="3"/>
    </row>
    <row r="6" spans="1:12" ht="14.45">
      <c r="A6" s="24" t="s">
        <v>63</v>
      </c>
      <c r="B6" t="s">
        <v>64</v>
      </c>
      <c r="C6" s="23" t="s">
        <v>62</v>
      </c>
      <c r="D6" s="22"/>
      <c r="E6" t="s">
        <v>60</v>
      </c>
      <c r="G6" s="3"/>
    </row>
    <row r="7" spans="1:12" ht="12.75" customHeight="1">
      <c r="A7" s="67" t="s">
        <v>65</v>
      </c>
      <c r="B7" s="60" t="s">
        <v>66</v>
      </c>
      <c r="C7" s="23" t="s">
        <v>67</v>
      </c>
      <c r="D7" t="s">
        <v>68</v>
      </c>
      <c r="E7" t="s">
        <v>60</v>
      </c>
      <c r="K7" s="21"/>
      <c r="L7" s="21"/>
    </row>
    <row r="8" spans="1:12" ht="12.75" customHeight="1">
      <c r="A8" s="67" t="s">
        <v>69</v>
      </c>
      <c r="B8" s="60" t="s">
        <v>70</v>
      </c>
      <c r="C8" s="23" t="s">
        <v>62</v>
      </c>
      <c r="D8" t="s">
        <v>68</v>
      </c>
      <c r="E8" t="s">
        <v>60</v>
      </c>
      <c r="K8" s="21"/>
      <c r="L8" s="21"/>
    </row>
    <row r="9" spans="1:12" ht="12.75" customHeight="1">
      <c r="A9" s="67" t="s">
        <v>71</v>
      </c>
      <c r="B9" s="60" t="s">
        <v>72</v>
      </c>
      <c r="C9" s="23" t="s">
        <v>67</v>
      </c>
      <c r="D9" t="s">
        <v>73</v>
      </c>
      <c r="E9" t="s">
        <v>60</v>
      </c>
      <c r="K9" s="21"/>
      <c r="L9" s="21"/>
    </row>
    <row r="10" spans="1:12" ht="12.75" customHeight="1">
      <c r="A10" s="67" t="s">
        <v>74</v>
      </c>
      <c r="B10" s="60" t="s">
        <v>74</v>
      </c>
      <c r="C10" s="23" t="s">
        <v>62</v>
      </c>
      <c r="E10" t="s">
        <v>60</v>
      </c>
      <c r="K10" s="21"/>
      <c r="L10" s="21"/>
    </row>
    <row r="11" spans="1:12" ht="12.75" customHeight="1">
      <c r="A11" s="63" t="s">
        <v>75</v>
      </c>
      <c r="B11" s="60" t="s">
        <v>76</v>
      </c>
      <c r="C11" s="23" t="s">
        <v>62</v>
      </c>
      <c r="E11" t="s">
        <v>60</v>
      </c>
      <c r="K11" s="21"/>
      <c r="L11" s="21"/>
    </row>
    <row r="12" spans="1:12" ht="12.75" customHeight="1">
      <c r="A12" s="67" t="s">
        <v>77</v>
      </c>
      <c r="B12" s="60" t="s">
        <v>78</v>
      </c>
      <c r="C12" s="23" t="s">
        <v>62</v>
      </c>
      <c r="E12" t="s">
        <v>60</v>
      </c>
      <c r="K12" s="21"/>
      <c r="L12" s="21"/>
    </row>
    <row r="16" spans="1:12" ht="12.75" customHeight="1">
      <c r="A16" s="63"/>
      <c r="B16" s="60"/>
      <c r="C16" s="23"/>
      <c r="K16" s="21"/>
      <c r="L16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Short, Michael</cp:lastModifiedBy>
  <cp:revision/>
  <dcterms:created xsi:type="dcterms:W3CDTF">2021-01-01T16:39:53Z</dcterms:created>
  <dcterms:modified xsi:type="dcterms:W3CDTF">2025-02-07T19:26:19Z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