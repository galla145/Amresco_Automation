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13_ncr:1_{CEAE1F5B-575C-4F68-85D0-DDDE067EFA0B}" xr6:coauthVersionLast="47" xr6:coauthVersionMax="47" xr10:uidLastSave="{00000000-0000-0000-0000-000000000000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72" l="1"/>
  <c r="I34" i="72"/>
  <c r="H33" i="72"/>
  <c r="H34" i="72"/>
  <c r="H31" i="72"/>
  <c r="F32" i="72"/>
  <c r="F33" i="72"/>
  <c r="F34" i="72"/>
  <c r="E34" i="72"/>
  <c r="I34" i="29"/>
  <c r="H34" i="29"/>
  <c r="G34" i="29"/>
  <c r="F34" i="29"/>
  <c r="E34" i="29"/>
  <c r="D34" i="29"/>
  <c r="C34" i="29"/>
  <c r="I34" i="18"/>
  <c r="H34" i="18"/>
  <c r="G33" i="18"/>
  <c r="G34" i="18"/>
  <c r="F34" i="18"/>
  <c r="E34" i="18"/>
  <c r="D34" i="18"/>
  <c r="C34" i="18"/>
  <c r="H34" i="1"/>
  <c r="G34" i="1"/>
  <c r="G34" i="34" s="1"/>
  <c r="D34" i="1"/>
  <c r="D34" i="34" s="1"/>
  <c r="C34" i="1"/>
  <c r="I33" i="30"/>
  <c r="I34" i="30"/>
  <c r="H33" i="30"/>
  <c r="H34" i="30"/>
  <c r="G34" i="30"/>
  <c r="F34" i="30"/>
  <c r="E34" i="30"/>
  <c r="D34" i="30"/>
  <c r="C34" i="30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 s="1"/>
  <c r="H22" i="72"/>
  <c r="I22" i="72" s="1"/>
  <c r="E23" i="72"/>
  <c r="F23" i="72" s="1"/>
  <c r="H23" i="72"/>
  <c r="I23" i="72" s="1"/>
  <c r="E24" i="72"/>
  <c r="F24" i="72"/>
  <c r="H24" i="72"/>
  <c r="I24" i="72" s="1"/>
  <c r="E25" i="72"/>
  <c r="F25" i="72" s="1"/>
  <c r="H25" i="72"/>
  <c r="I25" i="72" s="1"/>
  <c r="E26" i="72"/>
  <c r="F26" i="72"/>
  <c r="H26" i="72"/>
  <c r="I26" i="72" s="1"/>
  <c r="E27" i="72"/>
  <c r="F27" i="72"/>
  <c r="H27" i="72"/>
  <c r="I27" i="72" s="1"/>
  <c r="E28" i="72"/>
  <c r="F28" i="72" s="1"/>
  <c r="H28" i="72"/>
  <c r="I28" i="72" s="1"/>
  <c r="E29" i="72"/>
  <c r="F29" i="72"/>
  <c r="H29" i="72"/>
  <c r="I29" i="72" s="1"/>
  <c r="E30" i="72"/>
  <c r="F30" i="72"/>
  <c r="H30" i="72"/>
  <c r="I30" i="72" s="1"/>
  <c r="E31" i="72"/>
  <c r="F31" i="72" s="1"/>
  <c r="I31" i="72"/>
  <c r="E32" i="72"/>
  <c r="H32" i="72"/>
  <c r="I32" i="72" s="1"/>
  <c r="E33" i="72"/>
  <c r="E19" i="33"/>
  <c r="F19" i="33" s="1"/>
  <c r="H19" i="33"/>
  <c r="E20" i="33"/>
  <c r="F20" i="33"/>
  <c r="H20" i="33"/>
  <c r="E21" i="33"/>
  <c r="F21" i="33"/>
  <c r="H21" i="33"/>
  <c r="E22" i="33"/>
  <c r="F22" i="33" s="1"/>
  <c r="H22" i="33"/>
  <c r="E23" i="33"/>
  <c r="F23" i="33"/>
  <c r="H23" i="33"/>
  <c r="E24" i="33"/>
  <c r="F24" i="33"/>
  <c r="H24" i="33"/>
  <c r="E25" i="33"/>
  <c r="F25" i="33" s="1"/>
  <c r="H25" i="33"/>
  <c r="E26" i="33"/>
  <c r="F26" i="33"/>
  <c r="H26" i="33"/>
  <c r="E27" i="33"/>
  <c r="F27" i="33"/>
  <c r="H27" i="33"/>
  <c r="E28" i="33"/>
  <c r="F28" i="33" s="1"/>
  <c r="H28" i="33"/>
  <c r="E29" i="33"/>
  <c r="F29" i="33"/>
  <c r="H29" i="33"/>
  <c r="E30" i="33"/>
  <c r="F30" i="33"/>
  <c r="H30" i="33"/>
  <c r="E31" i="33"/>
  <c r="F31" i="33" s="1"/>
  <c r="H31" i="33"/>
  <c r="E32" i="33"/>
  <c r="F32" i="33"/>
  <c r="H32" i="33"/>
  <c r="E33" i="33"/>
  <c r="F33" i="33"/>
  <c r="H33" i="33"/>
  <c r="I33" i="33"/>
  <c r="E19" i="32"/>
  <c r="F19" i="32" s="1"/>
  <c r="H19" i="32"/>
  <c r="E20" i="32"/>
  <c r="F20" i="32"/>
  <c r="H20" i="32"/>
  <c r="E21" i="32"/>
  <c r="F21" i="32"/>
  <c r="H21" i="32"/>
  <c r="E22" i="32"/>
  <c r="F22" i="32" s="1"/>
  <c r="H22" i="32"/>
  <c r="E23" i="32"/>
  <c r="F23" i="32"/>
  <c r="H23" i="32"/>
  <c r="E24" i="32"/>
  <c r="F24" i="32"/>
  <c r="H24" i="32"/>
  <c r="E25" i="32"/>
  <c r="F25" i="32" s="1"/>
  <c r="H25" i="32"/>
  <c r="E26" i="32"/>
  <c r="F26" i="32"/>
  <c r="H26" i="32"/>
  <c r="E27" i="32"/>
  <c r="F27" i="32"/>
  <c r="H27" i="32"/>
  <c r="E28" i="32"/>
  <c r="F28" i="32" s="1"/>
  <c r="H28" i="32"/>
  <c r="E29" i="32"/>
  <c r="F29" i="32"/>
  <c r="H29" i="32"/>
  <c r="E30" i="32"/>
  <c r="F30" i="32"/>
  <c r="H30" i="32"/>
  <c r="E31" i="32"/>
  <c r="F31" i="32" s="1"/>
  <c r="H31" i="32"/>
  <c r="E32" i="32"/>
  <c r="F32" i="32"/>
  <c r="H32" i="32"/>
  <c r="E33" i="32"/>
  <c r="F33" i="32"/>
  <c r="H33" i="32"/>
  <c r="I33" i="32"/>
  <c r="E19" i="31"/>
  <c r="F19" i="31" s="1"/>
  <c r="H19" i="31"/>
  <c r="E20" i="31"/>
  <c r="F20" i="31"/>
  <c r="H20" i="31"/>
  <c r="E21" i="31"/>
  <c r="F21" i="31"/>
  <c r="H21" i="31"/>
  <c r="E22" i="31"/>
  <c r="F22" i="31" s="1"/>
  <c r="H22" i="31"/>
  <c r="E23" i="31"/>
  <c r="F23" i="31"/>
  <c r="H23" i="31"/>
  <c r="E24" i="31"/>
  <c r="F24" i="31"/>
  <c r="H24" i="31"/>
  <c r="E25" i="31"/>
  <c r="F25" i="31" s="1"/>
  <c r="H25" i="31"/>
  <c r="E26" i="31"/>
  <c r="F26" i="31"/>
  <c r="H26" i="31"/>
  <c r="E27" i="31"/>
  <c r="F27" i="31"/>
  <c r="H27" i="31"/>
  <c r="E28" i="31"/>
  <c r="F28" i="31" s="1"/>
  <c r="H28" i="31"/>
  <c r="E29" i="31"/>
  <c r="F29" i="31"/>
  <c r="H29" i="31"/>
  <c r="E30" i="31"/>
  <c r="F30" i="31"/>
  <c r="H30" i="31"/>
  <c r="E31" i="31"/>
  <c r="F31" i="31" s="1"/>
  <c r="H31" i="31"/>
  <c r="E32" i="31"/>
  <c r="F32" i="31"/>
  <c r="H32" i="31"/>
  <c r="E33" i="31"/>
  <c r="F33" i="31"/>
  <c r="H33" i="31"/>
  <c r="I33" i="31"/>
  <c r="E19" i="28"/>
  <c r="F19" i="28" s="1"/>
  <c r="H19" i="28"/>
  <c r="E20" i="28"/>
  <c r="F20" i="28"/>
  <c r="H20" i="28"/>
  <c r="E21" i="28"/>
  <c r="F21" i="28"/>
  <c r="H21" i="28"/>
  <c r="E22" i="28"/>
  <c r="F22" i="28" s="1"/>
  <c r="H22" i="28"/>
  <c r="E23" i="28"/>
  <c r="F23" i="28"/>
  <c r="H23" i="28"/>
  <c r="E24" i="28"/>
  <c r="F24" i="28"/>
  <c r="H24" i="28"/>
  <c r="E25" i="28"/>
  <c r="F25" i="28" s="1"/>
  <c r="H25" i="28"/>
  <c r="E26" i="28"/>
  <c r="F26" i="28"/>
  <c r="H26" i="28"/>
  <c r="E27" i="28"/>
  <c r="F27" i="28"/>
  <c r="E28" i="28"/>
  <c r="F28" i="28" s="1"/>
  <c r="H28" i="28"/>
  <c r="E29" i="28"/>
  <c r="F29" i="28"/>
  <c r="H29" i="28"/>
  <c r="E30" i="28"/>
  <c r="F30" i="28"/>
  <c r="H30" i="28"/>
  <c r="E31" i="28"/>
  <c r="F31" i="28" s="1"/>
  <c r="H31" i="28"/>
  <c r="E32" i="28"/>
  <c r="F32" i="28"/>
  <c r="H32" i="28"/>
  <c r="E33" i="28"/>
  <c r="F33" i="28"/>
  <c r="H33" i="28"/>
  <c r="I33" i="28"/>
  <c r="E19" i="27"/>
  <c r="F19" i="27" s="1"/>
  <c r="H19" i="27"/>
  <c r="E20" i="27"/>
  <c r="F20" i="27"/>
  <c r="H20" i="27"/>
  <c r="E21" i="27"/>
  <c r="F21" i="27"/>
  <c r="H21" i="27"/>
  <c r="E22" i="27"/>
  <c r="F22" i="27" s="1"/>
  <c r="H22" i="27"/>
  <c r="E23" i="27"/>
  <c r="F23" i="27"/>
  <c r="H23" i="27"/>
  <c r="E24" i="27"/>
  <c r="F24" i="27"/>
  <c r="H24" i="27"/>
  <c r="E25" i="27"/>
  <c r="F25" i="27" s="1"/>
  <c r="H25" i="27"/>
  <c r="E26" i="27"/>
  <c r="F26" i="27"/>
  <c r="H26" i="27"/>
  <c r="E27" i="27"/>
  <c r="F27" i="27"/>
  <c r="E28" i="27"/>
  <c r="F28" i="27"/>
  <c r="H28" i="27"/>
  <c r="E29" i="27"/>
  <c r="F29" i="27" s="1"/>
  <c r="H29" i="27"/>
  <c r="E30" i="27"/>
  <c r="F30" i="27"/>
  <c r="H30" i="27"/>
  <c r="E31" i="27"/>
  <c r="F31" i="27"/>
  <c r="H31" i="27"/>
  <c r="E32" i="27"/>
  <c r="F32" i="27" s="1"/>
  <c r="H32" i="27"/>
  <c r="E33" i="27"/>
  <c r="F33" i="27"/>
  <c r="H33" i="27"/>
  <c r="I33" i="27"/>
  <c r="E19" i="26"/>
  <c r="F19" i="26"/>
  <c r="H19" i="26"/>
  <c r="E20" i="26"/>
  <c r="F20" i="26" s="1"/>
  <c r="H20" i="26"/>
  <c r="E21" i="26"/>
  <c r="F21" i="26"/>
  <c r="H21" i="26"/>
  <c r="E22" i="26"/>
  <c r="F22" i="26"/>
  <c r="H22" i="26"/>
  <c r="E23" i="26"/>
  <c r="F23" i="26" s="1"/>
  <c r="H23" i="26"/>
  <c r="E24" i="26"/>
  <c r="F24" i="26"/>
  <c r="H24" i="26"/>
  <c r="E25" i="26"/>
  <c r="F25" i="26"/>
  <c r="H25" i="26"/>
  <c r="E26" i="26"/>
  <c r="F26" i="26" s="1"/>
  <c r="H26" i="26"/>
  <c r="E27" i="26"/>
  <c r="F27" i="26"/>
  <c r="H27" i="26"/>
  <c r="E28" i="26"/>
  <c r="F28" i="26"/>
  <c r="H28" i="26"/>
  <c r="E29" i="26"/>
  <c r="F29" i="26" s="1"/>
  <c r="H29" i="26"/>
  <c r="E30" i="26"/>
  <c r="F30" i="26"/>
  <c r="H30" i="26"/>
  <c r="E31" i="26"/>
  <c r="F31" i="26"/>
  <c r="H31" i="26"/>
  <c r="E32" i="26"/>
  <c r="F32" i="26" s="1"/>
  <c r="H32" i="26"/>
  <c r="E33" i="26"/>
  <c r="F33" i="26"/>
  <c r="H33" i="26"/>
  <c r="I33" i="26"/>
  <c r="E19" i="19"/>
  <c r="F19" i="19"/>
  <c r="H19" i="19"/>
  <c r="E20" i="19"/>
  <c r="F20" i="19" s="1"/>
  <c r="H20" i="19"/>
  <c r="E21" i="19"/>
  <c r="F21" i="19"/>
  <c r="H21" i="19"/>
  <c r="E22" i="19"/>
  <c r="F22" i="19"/>
  <c r="H22" i="19"/>
  <c r="E23" i="19"/>
  <c r="F23" i="19" s="1"/>
  <c r="H23" i="19"/>
  <c r="E24" i="19"/>
  <c r="F24" i="19"/>
  <c r="H24" i="19"/>
  <c r="E25" i="19"/>
  <c r="F25" i="19"/>
  <c r="H25" i="19"/>
  <c r="E26" i="19"/>
  <c r="F26" i="19" s="1"/>
  <c r="H26" i="19"/>
  <c r="E27" i="19"/>
  <c r="F27" i="19"/>
  <c r="H27" i="19"/>
  <c r="E28" i="19"/>
  <c r="F28" i="19"/>
  <c r="H28" i="19"/>
  <c r="E29" i="19"/>
  <c r="F29" i="19" s="1"/>
  <c r="H29" i="19"/>
  <c r="E30" i="19"/>
  <c r="F30" i="19"/>
  <c r="H30" i="19"/>
  <c r="E31" i="19"/>
  <c r="F31" i="19"/>
  <c r="H31" i="19"/>
  <c r="E32" i="19"/>
  <c r="F32" i="19" s="1"/>
  <c r="H32" i="19"/>
  <c r="E33" i="19"/>
  <c r="F33" i="19"/>
  <c r="H33" i="19"/>
  <c r="I33" i="19"/>
  <c r="E19" i="20"/>
  <c r="F19" i="20"/>
  <c r="H19" i="20"/>
  <c r="E20" i="20"/>
  <c r="F20" i="20" s="1"/>
  <c r="H20" i="20"/>
  <c r="E21" i="20"/>
  <c r="F21" i="20"/>
  <c r="H21" i="20"/>
  <c r="E22" i="20"/>
  <c r="F22" i="20"/>
  <c r="H22" i="20"/>
  <c r="E23" i="20"/>
  <c r="F23" i="20" s="1"/>
  <c r="H23" i="20"/>
  <c r="E24" i="20"/>
  <c r="F24" i="20"/>
  <c r="H24" i="20"/>
  <c r="E25" i="20"/>
  <c r="F25" i="20"/>
  <c r="H25" i="20"/>
  <c r="E26" i="20"/>
  <c r="F26" i="20" s="1"/>
  <c r="H26" i="20"/>
  <c r="E27" i="20"/>
  <c r="F27" i="20"/>
  <c r="H27" i="20"/>
  <c r="E28" i="20"/>
  <c r="F28" i="20"/>
  <c r="H28" i="20"/>
  <c r="E29" i="20"/>
  <c r="F29" i="20" s="1"/>
  <c r="H29" i="20"/>
  <c r="E30" i="20"/>
  <c r="F30" i="20"/>
  <c r="H30" i="20"/>
  <c r="E31" i="20"/>
  <c r="F31" i="20"/>
  <c r="H31" i="20"/>
  <c r="E32" i="20"/>
  <c r="F32" i="20" s="1"/>
  <c r="H32" i="20"/>
  <c r="E33" i="20"/>
  <c r="F33" i="20"/>
  <c r="H33" i="20"/>
  <c r="I33" i="20"/>
  <c r="E19" i="21"/>
  <c r="F19" i="21"/>
  <c r="H19" i="21"/>
  <c r="E20" i="21"/>
  <c r="F20" i="21" s="1"/>
  <c r="H20" i="21"/>
  <c r="E21" i="21"/>
  <c r="F21" i="21"/>
  <c r="H21" i="21"/>
  <c r="E22" i="21"/>
  <c r="F22" i="21"/>
  <c r="H22" i="21"/>
  <c r="E23" i="21"/>
  <c r="F23" i="21" s="1"/>
  <c r="H23" i="21"/>
  <c r="E24" i="21"/>
  <c r="F24" i="21"/>
  <c r="H24" i="21"/>
  <c r="E25" i="21"/>
  <c r="F25" i="21"/>
  <c r="H25" i="21"/>
  <c r="E26" i="21"/>
  <c r="F26" i="21" s="1"/>
  <c r="H26" i="21"/>
  <c r="E27" i="21"/>
  <c r="F27" i="21"/>
  <c r="H27" i="21"/>
  <c r="E28" i="21"/>
  <c r="F28" i="21"/>
  <c r="H28" i="21"/>
  <c r="E29" i="21"/>
  <c r="F29" i="21" s="1"/>
  <c r="H29" i="21"/>
  <c r="E30" i="21"/>
  <c r="F30" i="21"/>
  <c r="H30" i="21"/>
  <c r="E31" i="21"/>
  <c r="F31" i="21"/>
  <c r="H31" i="21"/>
  <c r="E32" i="21"/>
  <c r="F32" i="21" s="1"/>
  <c r="H32" i="21"/>
  <c r="E33" i="21"/>
  <c r="F33" i="21"/>
  <c r="H33" i="21"/>
  <c r="I33" i="21"/>
  <c r="E19" i="4"/>
  <c r="F19" i="4" s="1"/>
  <c r="H19" i="4"/>
  <c r="E20" i="4"/>
  <c r="F20" i="4" s="1"/>
  <c r="H20" i="4"/>
  <c r="E21" i="4"/>
  <c r="F21" i="4"/>
  <c r="H21" i="4"/>
  <c r="E22" i="4"/>
  <c r="F22" i="4"/>
  <c r="H22" i="4"/>
  <c r="E23" i="4"/>
  <c r="F23" i="4" s="1"/>
  <c r="H23" i="4"/>
  <c r="E24" i="4"/>
  <c r="F24" i="4"/>
  <c r="H24" i="4"/>
  <c r="E25" i="4"/>
  <c r="F25" i="4"/>
  <c r="H25" i="4"/>
  <c r="E26" i="4"/>
  <c r="F26" i="4" s="1"/>
  <c r="H26" i="4"/>
  <c r="E27" i="4"/>
  <c r="F27" i="4"/>
  <c r="H27" i="4"/>
  <c r="E28" i="4"/>
  <c r="F28" i="4"/>
  <c r="H28" i="4"/>
  <c r="E29" i="4"/>
  <c r="F29" i="4" s="1"/>
  <c r="H29" i="4"/>
  <c r="E30" i="4"/>
  <c r="F30" i="4"/>
  <c r="H30" i="4"/>
  <c r="E31" i="4"/>
  <c r="F31" i="4"/>
  <c r="H31" i="4"/>
  <c r="E32" i="4"/>
  <c r="F32" i="4" s="1"/>
  <c r="H32" i="4"/>
  <c r="E33" i="4"/>
  <c r="F33" i="4"/>
  <c r="H33" i="4"/>
  <c r="I33" i="4"/>
  <c r="E19" i="3"/>
  <c r="F19" i="3"/>
  <c r="H19" i="3"/>
  <c r="E20" i="3"/>
  <c r="F20" i="3" s="1"/>
  <c r="H20" i="3"/>
  <c r="E21" i="3"/>
  <c r="F21" i="3"/>
  <c r="H21" i="3"/>
  <c r="E22" i="3"/>
  <c r="F22" i="3"/>
  <c r="H22" i="3"/>
  <c r="E23" i="3"/>
  <c r="F23" i="3" s="1"/>
  <c r="H23" i="3"/>
  <c r="E24" i="3"/>
  <c r="F24" i="3"/>
  <c r="H24" i="3"/>
  <c r="E25" i="3"/>
  <c r="F25" i="3"/>
  <c r="H25" i="3"/>
  <c r="E26" i="3"/>
  <c r="F26" i="3" s="1"/>
  <c r="H26" i="3"/>
  <c r="E27" i="3"/>
  <c r="F27" i="3"/>
  <c r="H27" i="3"/>
  <c r="E28" i="3"/>
  <c r="F28" i="3"/>
  <c r="H28" i="3"/>
  <c r="E29" i="3"/>
  <c r="F29" i="3" s="1"/>
  <c r="H29" i="3"/>
  <c r="E30" i="3"/>
  <c r="F30" i="3"/>
  <c r="H30" i="3"/>
  <c r="E31" i="3"/>
  <c r="F31" i="3"/>
  <c r="H31" i="3"/>
  <c r="E32" i="3"/>
  <c r="F32" i="3" s="1"/>
  <c r="H32" i="3"/>
  <c r="E33" i="3"/>
  <c r="F33" i="3"/>
  <c r="H33" i="3"/>
  <c r="I33" i="3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5" i="30"/>
  <c r="G4" i="30"/>
  <c r="D26" i="30"/>
  <c r="D27" i="30"/>
  <c r="D28" i="30"/>
  <c r="D29" i="30"/>
  <c r="D30" i="30"/>
  <c r="D31" i="30"/>
  <c r="D32" i="30"/>
  <c r="D33" i="30"/>
  <c r="C26" i="30"/>
  <c r="C27" i="30"/>
  <c r="C28" i="30"/>
  <c r="C29" i="30"/>
  <c r="C30" i="30"/>
  <c r="C31" i="30"/>
  <c r="C32" i="30"/>
  <c r="C33" i="30"/>
  <c r="G33" i="29"/>
  <c r="E31" i="29"/>
  <c r="F31" i="29" s="1"/>
  <c r="E33" i="29"/>
  <c r="F33" i="29" s="1"/>
  <c r="D26" i="29"/>
  <c r="D27" i="29"/>
  <c r="D28" i="29"/>
  <c r="D29" i="29"/>
  <c r="D30" i="29"/>
  <c r="D31" i="29"/>
  <c r="D32" i="29"/>
  <c r="D33" i="29"/>
  <c r="C26" i="29"/>
  <c r="E26" i="29" s="1"/>
  <c r="F26" i="29" s="1"/>
  <c r="C27" i="29"/>
  <c r="E27" i="29" s="1"/>
  <c r="F27" i="29" s="1"/>
  <c r="C28" i="29"/>
  <c r="E28" i="29" s="1"/>
  <c r="F28" i="29" s="1"/>
  <c r="C29" i="29"/>
  <c r="E29" i="29" s="1"/>
  <c r="F29" i="29" s="1"/>
  <c r="C30" i="29"/>
  <c r="C31" i="29"/>
  <c r="C32" i="29"/>
  <c r="E32" i="29" s="1"/>
  <c r="F32" i="29" s="1"/>
  <c r="C33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4" i="29"/>
  <c r="H27" i="29"/>
  <c r="I27" i="29" s="1"/>
  <c r="D1" i="26"/>
  <c r="C34" i="34" l="1"/>
  <c r="E34" i="34" s="1"/>
  <c r="F34" i="34" s="1"/>
  <c r="E34" i="1"/>
  <c r="F34" i="1" s="1"/>
  <c r="H34" i="34"/>
  <c r="I34" i="34" s="1"/>
  <c r="I34" i="1"/>
  <c r="E30" i="29"/>
  <c r="F30" i="29" s="1"/>
  <c r="E32" i="30"/>
  <c r="F32" i="30" s="1"/>
  <c r="E31" i="30"/>
  <c r="F31" i="30" s="1"/>
  <c r="E30" i="30"/>
  <c r="F30" i="30" s="1"/>
  <c r="E29" i="30"/>
  <c r="F29" i="30" s="1"/>
  <c r="E28" i="30"/>
  <c r="F28" i="30" s="1"/>
  <c r="E27" i="30"/>
  <c r="F27" i="30" s="1"/>
  <c r="E26" i="30"/>
  <c r="F26" i="30" s="1"/>
  <c r="E33" i="30"/>
  <c r="F33" i="30" s="1"/>
  <c r="E10" i="27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4" i="18"/>
  <c r="E4" i="20"/>
  <c r="E10" i="21"/>
  <c r="E11" i="21"/>
  <c r="E12" i="21"/>
  <c r="E13" i="21"/>
  <c r="E14" i="21"/>
  <c r="E7" i="21"/>
  <c r="F7" i="21" s="1"/>
  <c r="D26" i="18"/>
  <c r="D27" i="18"/>
  <c r="D28" i="18"/>
  <c r="D29" i="18"/>
  <c r="D30" i="18"/>
  <c r="D31" i="18"/>
  <c r="D32" i="18"/>
  <c r="D33" i="18"/>
  <c r="C26" i="18"/>
  <c r="C27" i="18"/>
  <c r="C28" i="18"/>
  <c r="C29" i="18"/>
  <c r="C30" i="18"/>
  <c r="C31" i="18"/>
  <c r="C32" i="18"/>
  <c r="C33" i="18"/>
  <c r="D33" i="1"/>
  <c r="G26" i="1"/>
  <c r="G27" i="1"/>
  <c r="G28" i="1"/>
  <c r="G29" i="1"/>
  <c r="G30" i="1"/>
  <c r="G31" i="1"/>
  <c r="G32" i="1"/>
  <c r="G32" i="34" s="1"/>
  <c r="G33" i="1"/>
  <c r="G33" i="34" s="1"/>
  <c r="C26" i="1"/>
  <c r="C26" i="34" s="1"/>
  <c r="C27" i="1"/>
  <c r="C28" i="1"/>
  <c r="C29" i="1"/>
  <c r="C30" i="1"/>
  <c r="C31" i="1"/>
  <c r="C32" i="1"/>
  <c r="C32" i="34" s="1"/>
  <c r="C33" i="1"/>
  <c r="C33" i="34" s="1"/>
  <c r="D26" i="1"/>
  <c r="D27" i="1"/>
  <c r="D28" i="1"/>
  <c r="D29" i="1"/>
  <c r="E29" i="1" s="1"/>
  <c r="F29" i="1" s="1"/>
  <c r="D30" i="1"/>
  <c r="E30" i="1" s="1"/>
  <c r="F30" i="1" s="1"/>
  <c r="D31" i="1"/>
  <c r="D32" i="1"/>
  <c r="D32" i="34" s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E32" i="34" l="1"/>
  <c r="F32" i="34" s="1"/>
  <c r="D26" i="34"/>
  <c r="D27" i="34"/>
  <c r="G30" i="34"/>
  <c r="G29" i="34"/>
  <c r="G28" i="34"/>
  <c r="C31" i="34"/>
  <c r="C30" i="34"/>
  <c r="C29" i="34"/>
  <c r="D33" i="34"/>
  <c r="E33" i="34" s="1"/>
  <c r="F33" i="34" s="1"/>
  <c r="C28" i="34"/>
  <c r="D31" i="34"/>
  <c r="C27" i="34"/>
  <c r="E32" i="18"/>
  <c r="F32" i="18" s="1"/>
  <c r="D28" i="34"/>
  <c r="E26" i="34"/>
  <c r="F26" i="34" s="1"/>
  <c r="D30" i="34"/>
  <c r="G31" i="34"/>
  <c r="E33" i="1"/>
  <c r="F33" i="1" s="1"/>
  <c r="E26" i="18"/>
  <c r="F26" i="18" s="1"/>
  <c r="G27" i="34"/>
  <c r="G26" i="34"/>
  <c r="D29" i="34"/>
  <c r="E29" i="34" s="1"/>
  <c r="F29" i="34" s="1"/>
  <c r="E33" i="18"/>
  <c r="F33" i="18" s="1"/>
  <c r="E30" i="18"/>
  <c r="F30" i="18" s="1"/>
  <c r="E29" i="18"/>
  <c r="F29" i="18" s="1"/>
  <c r="E28" i="18"/>
  <c r="F28" i="18" s="1"/>
  <c r="E27" i="18"/>
  <c r="F27" i="18" s="1"/>
  <c r="E31" i="18"/>
  <c r="F31" i="18" s="1"/>
  <c r="E32" i="1"/>
  <c r="F32" i="1" s="1"/>
  <c r="E31" i="1"/>
  <c r="F31" i="1" s="1"/>
  <c r="E26" i="1"/>
  <c r="F26" i="1" s="1"/>
  <c r="E30" i="34"/>
  <c r="F30" i="34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28" i="34" l="1"/>
  <c r="F28" i="34" s="1"/>
  <c r="E31" i="34"/>
  <c r="F31" i="34" s="1"/>
  <c r="E27" i="34"/>
  <c r="F27" i="34" s="1"/>
  <c r="I10" i="19"/>
  <c r="I11" i="26"/>
  <c r="I12" i="26"/>
  <c r="I9" i="28"/>
  <c r="I13" i="28"/>
  <c r="I14" i="28"/>
  <c r="I16" i="3"/>
  <c r="I17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8" i="21"/>
  <c r="I8" i="21" s="1"/>
  <c r="H9" i="21"/>
  <c r="I9" i="21" s="1"/>
  <c r="H10" i="21"/>
  <c r="I10" i="21" s="1"/>
  <c r="H11" i="21"/>
  <c r="I11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8" i="19"/>
  <c r="I8" i="19" s="1"/>
  <c r="H9" i="19"/>
  <c r="I9" i="19" s="1"/>
  <c r="H10" i="19"/>
  <c r="H11" i="19"/>
  <c r="I11" i="19" s="1"/>
  <c r="H12" i="19"/>
  <c r="I12" i="19" s="1"/>
  <c r="H13" i="19"/>
  <c r="I13" i="19" s="1"/>
  <c r="H14" i="19"/>
  <c r="I14" i="19" s="1"/>
  <c r="H15" i="19"/>
  <c r="I15" i="19" s="1"/>
  <c r="H16" i="19"/>
  <c r="I16" i="19" s="1"/>
  <c r="H17" i="19"/>
  <c r="I17" i="19" s="1"/>
  <c r="H18" i="19"/>
  <c r="I18" i="19" s="1"/>
  <c r="H8" i="26"/>
  <c r="I8" i="26" s="1"/>
  <c r="H9" i="26"/>
  <c r="I9" i="26" s="1"/>
  <c r="H10" i="26"/>
  <c r="I10" i="26" s="1"/>
  <c r="H11" i="26"/>
  <c r="H12" i="26"/>
  <c r="H13" i="26"/>
  <c r="I13" i="26" s="1"/>
  <c r="H14" i="26"/>
  <c r="I14" i="26" s="1"/>
  <c r="H15" i="26"/>
  <c r="I15" i="26" s="1"/>
  <c r="H16" i="26"/>
  <c r="I16" i="26" s="1"/>
  <c r="H17" i="26"/>
  <c r="I17" i="26" s="1"/>
  <c r="H18" i="26"/>
  <c r="I18" i="26" s="1"/>
  <c r="H8" i="27"/>
  <c r="I8" i="27" s="1"/>
  <c r="H9" i="27"/>
  <c r="I9" i="27" s="1"/>
  <c r="H10" i="27"/>
  <c r="I10" i="27" s="1"/>
  <c r="H11" i="27"/>
  <c r="I11" i="27" s="1"/>
  <c r="H12" i="27"/>
  <c r="I12" i="27" s="1"/>
  <c r="H13" i="27"/>
  <c r="I13" i="27" s="1"/>
  <c r="H14" i="27"/>
  <c r="I14" i="27" s="1"/>
  <c r="H15" i="27"/>
  <c r="I15" i="27" s="1"/>
  <c r="H16" i="27"/>
  <c r="I16" i="27" s="1"/>
  <c r="H17" i="27"/>
  <c r="I17" i="27" s="1"/>
  <c r="H18" i="27"/>
  <c r="I18" i="27" s="1"/>
  <c r="H8" i="28"/>
  <c r="I8" i="28" s="1"/>
  <c r="H9" i="28"/>
  <c r="H10" i="28"/>
  <c r="I10" i="28" s="1"/>
  <c r="H11" i="28"/>
  <c r="I11" i="28" s="1"/>
  <c r="H12" i="28"/>
  <c r="I12" i="28" s="1"/>
  <c r="H13" i="28"/>
  <c r="H14" i="28"/>
  <c r="H15" i="28"/>
  <c r="I15" i="28" s="1"/>
  <c r="H16" i="28"/>
  <c r="I16" i="28" s="1"/>
  <c r="H17" i="28"/>
  <c r="I17" i="28" s="1"/>
  <c r="H18" i="28"/>
  <c r="I18" i="28" s="1"/>
  <c r="H8" i="31"/>
  <c r="I8" i="31" s="1"/>
  <c r="H9" i="31"/>
  <c r="I9" i="31" s="1"/>
  <c r="H10" i="31"/>
  <c r="I10" i="31" s="1"/>
  <c r="H11" i="31"/>
  <c r="I11" i="31" s="1"/>
  <c r="H12" i="31"/>
  <c r="I12" i="31" s="1"/>
  <c r="H13" i="31"/>
  <c r="I13" i="31" s="1"/>
  <c r="H14" i="31"/>
  <c r="I14" i="31" s="1"/>
  <c r="H15" i="31"/>
  <c r="I15" i="31" s="1"/>
  <c r="H16" i="31"/>
  <c r="I16" i="31" s="1"/>
  <c r="H17" i="31"/>
  <c r="I17" i="31" s="1"/>
  <c r="H18" i="31"/>
  <c r="I18" i="31" s="1"/>
  <c r="H8" i="32"/>
  <c r="I8" i="32" s="1"/>
  <c r="H9" i="32"/>
  <c r="I9" i="32" s="1"/>
  <c r="H10" i="32"/>
  <c r="I10" i="32" s="1"/>
  <c r="H11" i="32"/>
  <c r="I11" i="32" s="1"/>
  <c r="H12" i="32"/>
  <c r="I12" i="32" s="1"/>
  <c r="H13" i="32"/>
  <c r="I13" i="32" s="1"/>
  <c r="H14" i="32"/>
  <c r="I14" i="32" s="1"/>
  <c r="H15" i="32"/>
  <c r="I15" i="32" s="1"/>
  <c r="H16" i="32"/>
  <c r="I16" i="32" s="1"/>
  <c r="H17" i="32"/>
  <c r="I17" i="32" s="1"/>
  <c r="H18" i="32"/>
  <c r="I18" i="32" s="1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I16" i="33" s="1"/>
  <c r="H17" i="33"/>
  <c r="I17" i="33" s="1"/>
  <c r="H18" i="33"/>
  <c r="I18" i="33" s="1"/>
  <c r="H34" i="33"/>
  <c r="I34" i="33" s="1"/>
  <c r="H18" i="3"/>
  <c r="I18" i="3" s="1"/>
  <c r="F12" i="20"/>
  <c r="F13" i="20"/>
  <c r="F11" i="21"/>
  <c r="F12" i="21"/>
  <c r="F13" i="21"/>
  <c r="F14" i="21"/>
  <c r="F12" i="19"/>
  <c r="F11" i="27"/>
  <c r="F14" i="27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1" i="20"/>
  <c r="F11" i="20" s="1"/>
  <c r="E12" i="20"/>
  <c r="E13" i="20"/>
  <c r="E14" i="20"/>
  <c r="F14" i="20" s="1"/>
  <c r="E15" i="20"/>
  <c r="F15" i="20" s="1"/>
  <c r="E16" i="20"/>
  <c r="F16" i="20" s="1"/>
  <c r="E17" i="20"/>
  <c r="F17" i="20" s="1"/>
  <c r="E18" i="20"/>
  <c r="F18" i="20" s="1"/>
  <c r="E15" i="21"/>
  <c r="F15" i="21" s="1"/>
  <c r="E16" i="21"/>
  <c r="F16" i="21" s="1"/>
  <c r="E17" i="21"/>
  <c r="F17" i="21" s="1"/>
  <c r="E18" i="21"/>
  <c r="F18" i="21" s="1"/>
  <c r="E11" i="19"/>
  <c r="F11" i="19" s="1"/>
  <c r="E12" i="19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F18" i="19" s="1"/>
  <c r="E11" i="26"/>
  <c r="F11" i="26" s="1"/>
  <c r="E12" i="26"/>
  <c r="F12" i="26" s="1"/>
  <c r="E13" i="26"/>
  <c r="F13" i="26" s="1"/>
  <c r="E14" i="26"/>
  <c r="F14" i="26" s="1"/>
  <c r="E15" i="26"/>
  <c r="F15" i="26" s="1"/>
  <c r="E16" i="26"/>
  <c r="F16" i="26" s="1"/>
  <c r="E17" i="26"/>
  <c r="F17" i="26" s="1"/>
  <c r="E18" i="26"/>
  <c r="F18" i="26" s="1"/>
  <c r="E11" i="27"/>
  <c r="E12" i="27"/>
  <c r="F12" i="27" s="1"/>
  <c r="E13" i="27"/>
  <c r="F13" i="27" s="1"/>
  <c r="E14" i="27"/>
  <c r="E15" i="27"/>
  <c r="F15" i="27" s="1"/>
  <c r="E16" i="27"/>
  <c r="F16" i="27" s="1"/>
  <c r="E17" i="27"/>
  <c r="F17" i="27" s="1"/>
  <c r="E18" i="27"/>
  <c r="F18" i="27" s="1"/>
  <c r="E11" i="28"/>
  <c r="F11" i="28" s="1"/>
  <c r="E12" i="28"/>
  <c r="F12" i="28" s="1"/>
  <c r="E13" i="28"/>
  <c r="F13" i="28" s="1"/>
  <c r="E14" i="28"/>
  <c r="F14" i="28" s="1"/>
  <c r="E15" i="28"/>
  <c r="F15" i="28" s="1"/>
  <c r="E16" i="28"/>
  <c r="F16" i="28" s="1"/>
  <c r="E17" i="28"/>
  <c r="F17" i="28" s="1"/>
  <c r="E18" i="28"/>
  <c r="F18" i="28" s="1"/>
  <c r="E11" i="31"/>
  <c r="F11" i="31" s="1"/>
  <c r="E12" i="31"/>
  <c r="F12" i="31" s="1"/>
  <c r="E13" i="31"/>
  <c r="F13" i="31" s="1"/>
  <c r="E14" i="31"/>
  <c r="F14" i="31" s="1"/>
  <c r="E15" i="31"/>
  <c r="F15" i="31" s="1"/>
  <c r="E16" i="31"/>
  <c r="F16" i="31" s="1"/>
  <c r="E17" i="31"/>
  <c r="F17" i="31" s="1"/>
  <c r="E18" i="31"/>
  <c r="F18" i="31" s="1"/>
  <c r="E11" i="32"/>
  <c r="F11" i="32" s="1"/>
  <c r="E12" i="32"/>
  <c r="F12" i="32" s="1"/>
  <c r="E13" i="32"/>
  <c r="F13" i="32" s="1"/>
  <c r="E14" i="32"/>
  <c r="F14" i="32" s="1"/>
  <c r="E15" i="32"/>
  <c r="F15" i="32" s="1"/>
  <c r="E16" i="32"/>
  <c r="F16" i="32" s="1"/>
  <c r="E17" i="32"/>
  <c r="F17" i="32" s="1"/>
  <c r="E18" i="32"/>
  <c r="F18" i="32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34" i="33"/>
  <c r="F34" i="3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3" i="72"/>
  <c r="F13" i="72"/>
  <c r="H13" i="72"/>
  <c r="I13" i="72"/>
  <c r="H30" i="29" l="1"/>
  <c r="I30" i="29" s="1"/>
  <c r="H29" i="29"/>
  <c r="I29" i="29" s="1"/>
  <c r="H32" i="29"/>
  <c r="I32" i="29" s="1"/>
  <c r="H31" i="29"/>
  <c r="I31" i="29" s="1"/>
  <c r="H28" i="29"/>
  <c r="I28" i="29" s="1"/>
  <c r="H26" i="29"/>
  <c r="I26" i="29" s="1"/>
  <c r="H33" i="29"/>
  <c r="I33" i="29" s="1"/>
  <c r="H32" i="30"/>
  <c r="H31" i="30"/>
  <c r="H26" i="30"/>
  <c r="H30" i="30"/>
  <c r="H29" i="30"/>
  <c r="H28" i="30"/>
  <c r="H27" i="30"/>
  <c r="H33" i="18"/>
  <c r="I33" i="18" s="1"/>
  <c r="H30" i="18"/>
  <c r="I30" i="18" s="1"/>
  <c r="H29" i="18"/>
  <c r="I29" i="18" s="1"/>
  <c r="H32" i="18"/>
  <c r="I32" i="18" s="1"/>
  <c r="H28" i="18"/>
  <c r="I28" i="18" s="1"/>
  <c r="H27" i="18"/>
  <c r="I27" i="18" s="1"/>
  <c r="H26" i="18"/>
  <c r="I26" i="18" s="1"/>
  <c r="H31" i="18"/>
  <c r="I31" i="18" s="1"/>
  <c r="H31" i="1"/>
  <c r="I31" i="1" s="1"/>
  <c r="H32" i="1"/>
  <c r="I32" i="1" s="1"/>
  <c r="H26" i="1"/>
  <c r="I26" i="1" s="1"/>
  <c r="H30" i="1"/>
  <c r="I30" i="1" s="1"/>
  <c r="H29" i="1"/>
  <c r="I29" i="1" s="1"/>
  <c r="H28" i="1"/>
  <c r="I28" i="1" s="1"/>
  <c r="H33" i="1"/>
  <c r="H27" i="1"/>
  <c r="I27" i="1" s="1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H17" i="18"/>
  <c r="I17" i="18" s="1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I33" i="1" l="1"/>
  <c r="H33" i="34"/>
  <c r="I33" i="34" s="1"/>
  <c r="H26" i="34"/>
  <c r="I26" i="34" s="1"/>
  <c r="I26" i="30"/>
  <c r="H31" i="34"/>
  <c r="I31" i="34" s="1"/>
  <c r="I31" i="30"/>
  <c r="H32" i="34"/>
  <c r="I32" i="34" s="1"/>
  <c r="I32" i="30"/>
  <c r="H30" i="34"/>
  <c r="I30" i="34" s="1"/>
  <c r="I30" i="30"/>
  <c r="H29" i="34"/>
  <c r="I29" i="34" s="1"/>
  <c r="I29" i="30"/>
  <c r="H28" i="34"/>
  <c r="I28" i="34" s="1"/>
  <c r="I28" i="30"/>
  <c r="H27" i="34"/>
  <c r="I27" i="34" s="1"/>
  <c r="I27" i="30"/>
  <c r="E18" i="29"/>
  <c r="F18" i="29" s="1"/>
  <c r="E17" i="18"/>
  <c r="F17" i="18" s="1"/>
  <c r="E20" i="18"/>
  <c r="F20" i="18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C25" i="34" s="1"/>
  <c r="D25" i="30"/>
  <c r="D25" i="34" s="1"/>
  <c r="H25" i="30"/>
  <c r="C18" i="30"/>
  <c r="C18" i="34" s="1"/>
  <c r="D18" i="30"/>
  <c r="H18" i="30"/>
  <c r="C19" i="30"/>
  <c r="C19" i="34" s="1"/>
  <c r="D19" i="30"/>
  <c r="H19" i="30"/>
  <c r="C20" i="30"/>
  <c r="D20" i="30"/>
  <c r="D20" i="34" s="1"/>
  <c r="H20" i="30"/>
  <c r="C21" i="30"/>
  <c r="D21" i="30"/>
  <c r="H21" i="30"/>
  <c r="C22" i="30"/>
  <c r="C22" i="34" s="1"/>
  <c r="D22" i="30"/>
  <c r="H22" i="30"/>
  <c r="C23" i="30"/>
  <c r="C23" i="34" s="1"/>
  <c r="D23" i="30"/>
  <c r="D23" i="34" s="1"/>
  <c r="H23" i="30"/>
  <c r="C24" i="30"/>
  <c r="D24" i="30"/>
  <c r="D24" i="34" s="1"/>
  <c r="H24" i="30"/>
  <c r="E18" i="72"/>
  <c r="F18" i="72" s="1"/>
  <c r="H18" i="72"/>
  <c r="H18" i="1" s="1"/>
  <c r="H19" i="1"/>
  <c r="H20" i="1"/>
  <c r="H22" i="1"/>
  <c r="C16" i="30"/>
  <c r="D16" i="30"/>
  <c r="H16" i="30"/>
  <c r="C17" i="30"/>
  <c r="D17" i="30"/>
  <c r="H17" i="30"/>
  <c r="I17" i="30"/>
  <c r="C16" i="29"/>
  <c r="D16" i="29"/>
  <c r="H16" i="29"/>
  <c r="I16" i="29" s="1"/>
  <c r="C17" i="29"/>
  <c r="D17" i="29"/>
  <c r="H17" i="29"/>
  <c r="I17" i="29" s="1"/>
  <c r="C16" i="18"/>
  <c r="D16" i="18"/>
  <c r="E16" i="18" s="1"/>
  <c r="F16" i="18" s="1"/>
  <c r="H16" i="18"/>
  <c r="I16" i="18" s="1"/>
  <c r="C16" i="1"/>
  <c r="D16" i="1"/>
  <c r="G16" i="1"/>
  <c r="G16" i="34" s="1"/>
  <c r="C17" i="1"/>
  <c r="D17" i="1"/>
  <c r="G17" i="1"/>
  <c r="G17" i="34" s="1"/>
  <c r="E16" i="72"/>
  <c r="F16" i="72" s="1"/>
  <c r="H16" i="72"/>
  <c r="H16" i="1" s="1"/>
  <c r="E17" i="72"/>
  <c r="F17" i="72" s="1"/>
  <c r="H17" i="72"/>
  <c r="H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E10" i="32"/>
  <c r="F10" i="32" s="1"/>
  <c r="E9" i="32"/>
  <c r="F9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F10" i="27"/>
  <c r="E9" i="27"/>
  <c r="F9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F4" i="20"/>
  <c r="G2" i="20"/>
  <c r="D2" i="20"/>
  <c r="C2" i="20"/>
  <c r="A1" i="20" a="1"/>
  <c r="A1" i="20" s="1"/>
  <c r="F10" i="21"/>
  <c r="E9" i="21"/>
  <c r="F9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14" i="34" l="1"/>
  <c r="D18" i="34"/>
  <c r="D19" i="34"/>
  <c r="E19" i="34" s="1"/>
  <c r="F19" i="34" s="1"/>
  <c r="C24" i="34"/>
  <c r="E24" i="34" s="1"/>
  <c r="F24" i="34" s="1"/>
  <c r="C20" i="34"/>
  <c r="D21" i="34"/>
  <c r="D22" i="34"/>
  <c r="D5" i="34"/>
  <c r="D11" i="34"/>
  <c r="I16" i="1"/>
  <c r="E12" i="18"/>
  <c r="F12" i="18" s="1"/>
  <c r="E12" i="29"/>
  <c r="F12" i="29" s="1"/>
  <c r="C6" i="34"/>
  <c r="C12" i="34"/>
  <c r="D6" i="34"/>
  <c r="D12" i="34"/>
  <c r="E13" i="29"/>
  <c r="F13" i="29" s="1"/>
  <c r="C7" i="34"/>
  <c r="C13" i="34"/>
  <c r="E16" i="29"/>
  <c r="F16" i="29" s="1"/>
  <c r="C8" i="34"/>
  <c r="D8" i="34"/>
  <c r="D14" i="34"/>
  <c r="H17" i="34"/>
  <c r="D7" i="34"/>
  <c r="E7" i="34" s="1"/>
  <c r="F7" i="34" s="1"/>
  <c r="D13" i="34"/>
  <c r="E13" i="34" s="1"/>
  <c r="F13" i="34" s="1"/>
  <c r="C9" i="34"/>
  <c r="C15" i="34"/>
  <c r="D17" i="34"/>
  <c r="D9" i="34"/>
  <c r="C10" i="34"/>
  <c r="D10" i="34"/>
  <c r="I17" i="1"/>
  <c r="E5" i="18"/>
  <c r="F5" i="18" s="1"/>
  <c r="E11" i="18"/>
  <c r="F11" i="18" s="1"/>
  <c r="E11" i="29"/>
  <c r="F11" i="29" s="1"/>
  <c r="C5" i="34"/>
  <c r="C11" i="34"/>
  <c r="E11" i="34" s="1"/>
  <c r="F11" i="34" s="1"/>
  <c r="C16" i="34"/>
  <c r="E13" i="30"/>
  <c r="F13" i="30" s="1"/>
  <c r="E15" i="30"/>
  <c r="F15" i="30" s="1"/>
  <c r="D15" i="34"/>
  <c r="E17" i="30"/>
  <c r="F17" i="30" s="1"/>
  <c r="C17" i="34"/>
  <c r="I16" i="30"/>
  <c r="H16" i="34"/>
  <c r="I16" i="34" s="1"/>
  <c r="E16" i="30"/>
  <c r="F16" i="30" s="1"/>
  <c r="D16" i="34"/>
  <c r="I24" i="30"/>
  <c r="I23" i="30"/>
  <c r="E23" i="34"/>
  <c r="F23" i="34" s="1"/>
  <c r="I21" i="30"/>
  <c r="E21" i="30"/>
  <c r="F21" i="30" s="1"/>
  <c r="C21" i="34"/>
  <c r="E21" i="34" s="1"/>
  <c r="F21" i="34" s="1"/>
  <c r="I20" i="30"/>
  <c r="H20" i="34"/>
  <c r="E20" i="34"/>
  <c r="F20" i="34" s="1"/>
  <c r="I19" i="30"/>
  <c r="H19" i="34"/>
  <c r="I19" i="34" s="1"/>
  <c r="I25" i="30"/>
  <c r="E25" i="34"/>
  <c r="F25" i="34" s="1"/>
  <c r="E18" i="34"/>
  <c r="F18" i="34" s="1"/>
  <c r="E22" i="34"/>
  <c r="F22" i="34" s="1"/>
  <c r="I22" i="30"/>
  <c r="H22" i="34"/>
  <c r="I18" i="30"/>
  <c r="H18" i="34"/>
  <c r="I18" i="34" s="1"/>
  <c r="E20" i="30"/>
  <c r="F20" i="30" s="1"/>
  <c r="E14" i="30"/>
  <c r="F14" i="30" s="1"/>
  <c r="E19" i="30"/>
  <c r="F19" i="30" s="1"/>
  <c r="E25" i="30"/>
  <c r="F25" i="30" s="1"/>
  <c r="E12" i="30"/>
  <c r="F12" i="30" s="1"/>
  <c r="E11" i="30"/>
  <c r="F11" i="30" s="1"/>
  <c r="E10" i="30"/>
  <c r="F10" i="30" s="1"/>
  <c r="E9" i="30"/>
  <c r="F9" i="30" s="1"/>
  <c r="E8" i="30"/>
  <c r="F8" i="30" s="1"/>
  <c r="E6" i="30"/>
  <c r="F6" i="30" s="1"/>
  <c r="H6" i="30"/>
  <c r="E5" i="30"/>
  <c r="F5" i="30" s="1"/>
  <c r="E4" i="30"/>
  <c r="F4" i="30" s="1"/>
  <c r="E17" i="29"/>
  <c r="F17" i="29" s="1"/>
  <c r="E8" i="29"/>
  <c r="F8" i="29" s="1"/>
  <c r="H7" i="29"/>
  <c r="I7" i="29" s="1"/>
  <c r="E6" i="29"/>
  <c r="F6" i="29" s="1"/>
  <c r="H6" i="29"/>
  <c r="I6" i="29" s="1"/>
  <c r="E5" i="29"/>
  <c r="F5" i="29" s="1"/>
  <c r="E14" i="29"/>
  <c r="F14" i="29" s="1"/>
  <c r="E10" i="29"/>
  <c r="F10" i="29" s="1"/>
  <c r="D2" i="29"/>
  <c r="E15" i="18"/>
  <c r="F15" i="18" s="1"/>
  <c r="E7" i="18"/>
  <c r="F7" i="18" s="1"/>
  <c r="E13" i="18"/>
  <c r="F13" i="18" s="1"/>
  <c r="E9" i="18"/>
  <c r="F9" i="18" s="1"/>
  <c r="E14" i="18"/>
  <c r="F14" i="18" s="1"/>
  <c r="D2" i="18"/>
  <c r="E6" i="18"/>
  <c r="F6" i="18" s="1"/>
  <c r="D4" i="34"/>
  <c r="E24" i="1"/>
  <c r="F24" i="1" s="1"/>
  <c r="E23" i="1"/>
  <c r="F23" i="1" s="1"/>
  <c r="E21" i="1"/>
  <c r="F21" i="1" s="1"/>
  <c r="H24" i="1"/>
  <c r="I24" i="1" s="1"/>
  <c r="I22" i="34"/>
  <c r="H25" i="1"/>
  <c r="I25" i="1" s="1"/>
  <c r="H23" i="1"/>
  <c r="I23" i="1" s="1"/>
  <c r="H21" i="1"/>
  <c r="H21" i="34" s="1"/>
  <c r="I21" i="34" s="1"/>
  <c r="I18" i="72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7" i="1"/>
  <c r="F17" i="1" s="1"/>
  <c r="E16" i="1"/>
  <c r="F16" i="1" s="1"/>
  <c r="I17" i="72"/>
  <c r="I16" i="72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10" i="34"/>
  <c r="F10" i="34" s="1"/>
  <c r="E6" i="1"/>
  <c r="F6" i="1" s="1"/>
  <c r="E14" i="1"/>
  <c r="F14" i="1" s="1"/>
  <c r="H14" i="30"/>
  <c r="H9" i="30"/>
  <c r="H4" i="30"/>
  <c r="I4" i="30" s="1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7" i="34" l="1"/>
  <c r="F17" i="34" s="1"/>
  <c r="E15" i="34"/>
  <c r="F15" i="34" s="1"/>
  <c r="H24" i="34"/>
  <c r="I24" i="34" s="1"/>
  <c r="E12" i="34"/>
  <c r="F12" i="34" s="1"/>
  <c r="E9" i="34"/>
  <c r="F9" i="34" s="1"/>
  <c r="E6" i="34"/>
  <c r="F6" i="34" s="1"/>
  <c r="H23" i="34"/>
  <c r="I21" i="1"/>
  <c r="H25" i="34"/>
  <c r="I25" i="34" s="1"/>
  <c r="E16" i="34"/>
  <c r="F16" i="34" s="1"/>
  <c r="D2" i="34"/>
  <c r="I11" i="30"/>
  <c r="H11" i="34"/>
  <c r="I11" i="34" s="1"/>
  <c r="I8" i="30"/>
  <c r="H8" i="34"/>
  <c r="I8" i="34" s="1"/>
  <c r="I13" i="30"/>
  <c r="H13" i="34"/>
  <c r="I13" i="34" s="1"/>
  <c r="I5" i="30"/>
  <c r="H5" i="34"/>
  <c r="I5" i="34" s="1"/>
  <c r="I10" i="30"/>
  <c r="H10" i="34"/>
  <c r="I10" i="34" s="1"/>
  <c r="I7" i="30"/>
  <c r="H7" i="34"/>
  <c r="I7" i="34" s="1"/>
  <c r="I12" i="30"/>
  <c r="H12" i="34"/>
  <c r="I12" i="34" s="1"/>
  <c r="I9" i="30"/>
  <c r="H9" i="34"/>
  <c r="I9" i="34" s="1"/>
  <c r="I14" i="30"/>
  <c r="H14" i="34"/>
  <c r="I14" i="34" s="1"/>
  <c r="I6" i="30"/>
  <c r="H6" i="34"/>
  <c r="I6" i="34" s="1"/>
  <c r="I15" i="30"/>
  <c r="H15" i="34"/>
  <c r="I15" i="34" s="1"/>
  <c r="E2" i="29"/>
  <c r="F2" i="29" s="1"/>
  <c r="E4" i="34"/>
  <c r="F4" i="34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<sst xmlns="http://schemas.openxmlformats.org/spreadsheetml/2006/main" count="442" uniqueCount="174">
  <si>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</si>
  <si>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</si>
  <si>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</si>
  <si>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</si>
  <si>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</si>
  <si>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</si>
  <si>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</si>
  <si>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</si>
  <si>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</si>
  <si>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</si>
  <si>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</si>
  <si>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</si>
  <si>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</si>
  <si>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</si>
  <si>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</si>
  <si>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</si>
  <si>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</si>
  <si>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</si>
  <si>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</si>
  <si>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</si>
  <si>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</si>
  <si>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</si>
  <si>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1&amp;3 tripped offline at 12:45PM on 01/04 due to Grid Line Voltage Out of Range fault and back online at 11:45AM on 01/06 after technician re-energised, Inverter 2 stopped communicating at 12:30PM from 01/04, upon technician arrival he found inverter 2 was also offline and is being RMA'd.
</t>
  </si>
  <si>
    <t>1.SR095312</t>
  </si>
  <si>
    <t>1.Inverter 10 tripped offline from 06/18/24 due to Relay fault - Fault0100 and is being RMA'd.
2.Inverter 8 was offline on 01/18 and back online on 01/19.
3.Site was taken offline from 09:15AM to 10:15AM on 01/13 due to technicians checked-in to replace the SEL751a relay battery.</t>
  </si>
  <si>
    <t>1.SR089997
2.SR095693
3.SR094233</t>
  </si>
  <si>
    <t>SR095693</t>
  </si>
  <si>
    <t>SR094233</t>
  </si>
  <si>
    <t>1.Inverter 13 was RMA'd since 08/20/24 due to thermal event in powerhead of the inverter.</t>
  </si>
  <si>
    <t>1.SR089170, SR095220</t>
  </si>
  <si>
    <t>SR095220</t>
  </si>
  <si>
    <t>1.Inverter 9 was offline from 11/02/24 due to Protect 0010 fault and is being RMA'd .
2.The site was taken offline at 10:30 AM on 01/22 as the technician checked in to replace the SEL 751 UPS battery cluster and site was brought back online at 14:30 on 01/23.</t>
  </si>
  <si>
    <t>1.SR089564, SR093404
2.SR093406</t>
  </si>
  <si>
    <t>SR093404</t>
  </si>
  <si>
    <t>SR093406</t>
  </si>
  <si>
    <t xml:space="preserve">1.Inverter B3 is being RMA'd from 12/19/24.
2.Site was taken offfline from 08:30AM to 11:00AM on 01/13 due to technicians checked-in to examine Transformer-1.
3.Inverter C1 tripped offline at 9AM on 01/03 due to Bus hardware overvoltage fault and back online on 01/04,
Inverter C1 failed to restart post transformer inspection and was faulted with a "Fault 0020" fault code and after technician powercycled, inverter resumed its production.
4.Inverters C6 &amp; D5 tripped offline at 14:30 on 01/18 due to Steady state GFCI fault and self-resolved on 01/19.
5.Inverter C6 tripped offline at 12:15PM on 01/31.
</t>
  </si>
  <si>
    <t>1.SR093500
2.SR094025
3.SR094028,
SR095517
4.SR095697
5.SR096199</t>
  </si>
  <si>
    <t>SR094025</t>
  </si>
  <si>
    <t>SR094028</t>
  </si>
  <si>
    <t>SR095517</t>
  </si>
  <si>
    <t>SR095697</t>
  </si>
  <si>
    <t>SR096199</t>
  </si>
  <si>
    <t>1.Inverter 2 right unit has multiple tripping events throughout the month due to low irradiance days.</t>
  </si>
  <si>
    <t>1.SR095300, SR095690</t>
  </si>
  <si>
    <t>SR095690</t>
  </si>
  <si>
    <t>1.Site tripped offline on 04/01 at 16:00 and still offline. Ameresco received a Scope of Work to conduct repairs on the existing system to prepare it safely for partial re-energization.</t>
  </si>
  <si>
    <t>1.SR092249,SR093403 &amp; SR096031</t>
  </si>
  <si>
    <t>SR093403</t>
  </si>
  <si>
    <t>SR096031</t>
  </si>
  <si>
    <t>1.The site tripped offline at 22:54 on 01/29 due to an open SEL relay caused by a utility power under-voltage loss. It was brought back online at 13:30 on 01/30 after the technician closed the relay and re-energized the site.</t>
  </si>
  <si>
    <t>1.SR096132</t>
  </si>
  <si>
    <t>1. Inverter 34 tripped offline at 03:15 PM on 01/02 and was RMA'd. The technician brought it back online at 01:45 PM on 01/09 by replacing the inverter.
2. Inverter 12 started late for production on 01/04 and 01/05 and went offline on 01/06. On 01/07, technicians confirmed that the inverter had been RMA'd and brought it back online at 02:15 PM on 01/10 by replacing it with a new one.
3. Site tripped offline at 02:24 AM on 01/22 due to a missing Phase A voltage. The technician brought it back online at 08:27 AM on 01/22 by re-energizing the site.
4.Inverter 27 has been offline since 09/05/2024 and is currently being RMA'd.</t>
  </si>
  <si>
    <t>1.SR095279
2.SR095309,SR095058
3.SR095843
4.SR089983</t>
  </si>
  <si>
    <t>SR095309</t>
  </si>
  <si>
    <t>SR095058</t>
  </si>
  <si>
    <t>SR095843</t>
  </si>
  <si>
    <t>SR089983</t>
  </si>
  <si>
    <t>1. Inverters 11 and 12 tripped offline at 09:15 AM on 01/11 due to a generic inverter fault and came back online at 09:00 AM on 01/23.</t>
  </si>
  <si>
    <t>1. SR095497</t>
  </si>
  <si>
    <t xml:space="preserve">1. Inverter 12 has been RMA'D and offline.
2.Due to snow event, the site has performed very low on 01/11 to 01/30 </t>
  </si>
  <si>
    <t>1.SR094678
2.SR096154</t>
  </si>
  <si>
    <t>SR096154</t>
  </si>
  <si>
    <t xml:space="preserve">1.Inverter 17 is offline since 12/25/2024 due to reporting ARC Protection Fault and technician broought it back online at 08:15AM on 01/06 .
2.Inverter 2 tripped offline on 01/13 and is being RMA'd. The technician stated that the inverters are showing fault codes related to bus overvoltage and arc faults.
3.Inverter 17 tripped offline at 08:45 AM on 01/14, reporting an ARC protection fault. The technician brought it back online at 02:15 PM by clearing the faults.
4.Inverter 3 tripped offline at 07:54 AM on 01/15, reporting an ARC protection fault. The technician brought it back online at 09:00 AM on 01/16 by clearing the fault.
5.Inverter 17 tripped offline at 07:49 AM on 01/16, reporting an ARC protection fault. The technician brought it back online at 01:00 PM by clearing the faults.
6.Inverter 27 tripped offline at 07:46 AM on 01/25 due to an ARC protection fault. The technician brought it back online at 09:45 AM on 01/27 by clearing the fault.
</t>
  </si>
  <si>
    <t>1.SR095079
2.SR095518
3.SR095538
4.SR095579
5.SR095616
6.SR095972</t>
  </si>
  <si>
    <t>SR095518</t>
  </si>
  <si>
    <t>SR095538</t>
  </si>
  <si>
    <t>SR095579</t>
  </si>
  <si>
    <t>SR095616</t>
  </si>
  <si>
    <t>SR095972</t>
  </si>
  <si>
    <t>1.Inverters 1 to 8 are underperforming by 10KW possibly due to seasonal shading.</t>
  </si>
  <si>
    <t>1.SR092108</t>
  </si>
  <si>
    <t>1. Inverter 19 tripped offline at 12:30PM on 01/ 11 and back online at 07:00AM on 01/12 due to Generic inverter fault.
2. Inverter 02 tripped offline at 10:45 AM on 01/17 and back online at 07:00 AM on 01/18. Additionally, Inverters 2, 18, and 19 tripped offline at 12:45 PM on 01/18 and back online at 07:00 AM on 01/19 due to a generic fault.</t>
  </si>
  <si>
    <t>1. SR095495
2. SR095674</t>
  </si>
  <si>
    <t>SR095674</t>
  </si>
  <si>
    <t>1. Inverters 2, 5, 6, 12, and 24 tripped offline at 11:45 AM on 01/11 and back online at 07:00 AM on 01/12. Again, Inverters 1, 2, 5, 6, and 24 tripped offline at 10:30 AM on 01/17 and back online at 07:00 AM on 01/18. Then, Inverters 1, 2, 5, 6, 9, 12, 14, 15, and 24 tripped offline at 12:30 PM on 01/18 and back online at 07:00 AM on 01/19. Lastly, Inverters 2, 5, 6, and 24 tripped offline at 08:15 AM on 01/31 due to a "Generic Inverter Fault.</t>
  </si>
  <si>
    <t>1. SR095494</t>
  </si>
  <si>
    <t>1. Inverter 2 tripped offline at 11:45 AM on 01/07 and back online at 09:15 AM on 01/21. It tripped offline again at 12:15 PM on 01/23 and back online at 10:00 AM on 01/24 due to the grid line voltage over limit fault &amp; broken module and is being RMA'd.</t>
  </si>
  <si>
    <t>1. SR095360, SR092627, SR095903</t>
  </si>
  <si>
    <t>SR092627</t>
  </si>
  <si>
    <t>SR095903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</si>
  <si>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</si>
  <si>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</si>
  <si>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</si>
  <si>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</si>
  <si>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</si>
  <si>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</si>
  <si>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</si>
  <si>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</si>
  <si>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</si>
  <si>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</si>
  <si>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</si>
  <si>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</si>
  <si>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</si>
  <si>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</si>
  <si>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</si>
  <si>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</si>
  <si>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</si>
  <si>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</si>
  <si>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</si>
  <si>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</si>
  <si>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</si>
  <si>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</si>
  <si>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Greenbacker Capital</t>
  </si>
  <si>
    <t>Site DAS Name</t>
  </si>
  <si>
    <t>Update</t>
  </si>
  <si>
    <t>DAS</t>
  </si>
  <si>
    <t>10 Walpole Park South [0664]</t>
  </si>
  <si>
    <t>10 Walpole Park South</t>
  </si>
  <si>
    <t>MA</t>
  </si>
  <si>
    <t>AEF</t>
  </si>
  <si>
    <t>PowerTrack</t>
  </si>
  <si>
    <t>15 Walpole Park South [0668]</t>
  </si>
  <si>
    <t>15 Walpole Park South</t>
  </si>
  <si>
    <t>19 Walpole Park South [0670]</t>
  </si>
  <si>
    <t>19 Walpole Park South</t>
  </si>
  <si>
    <t>23 Walpole Park South [0676]</t>
  </si>
  <si>
    <t>23 Walpole Park South</t>
  </si>
  <si>
    <t>24 Walpole Park South [0667]</t>
  </si>
  <si>
    <t>24 Walpole Park South</t>
  </si>
  <si>
    <t>25 Walpole Park South [0665]</t>
  </si>
  <si>
    <t>25 Walpole Park South</t>
  </si>
  <si>
    <t>3 Walpole Park South [0666]</t>
  </si>
  <si>
    <t>3 Walpole Park South</t>
  </si>
  <si>
    <t>4 Walpole Park South [0669]</t>
  </si>
  <si>
    <t>4 Walpole Park South</t>
  </si>
  <si>
    <t>Brockton [0662]</t>
  </si>
  <si>
    <t>Brockton</t>
  </si>
  <si>
    <t>Canton [0672]</t>
  </si>
  <si>
    <t>Canton</t>
  </si>
  <si>
    <t>Chelsea [0663]</t>
  </si>
  <si>
    <t>Chelsea</t>
  </si>
  <si>
    <t>Hamilton MA Landfill</t>
  </si>
  <si>
    <t>Hamilton Landfill</t>
  </si>
  <si>
    <t>InAccess</t>
  </si>
  <si>
    <t>Holliston [0674]</t>
  </si>
  <si>
    <t>Holliston</t>
  </si>
  <si>
    <t>MA: Natick HS - Carports</t>
  </si>
  <si>
    <t>Natick HS - Carports</t>
  </si>
  <si>
    <t>Norton [0671]</t>
  </si>
  <si>
    <t>Norton</t>
  </si>
  <si>
    <t>Palmer - Boston Rd. [0637]</t>
  </si>
  <si>
    <t>Palmer - Boston Rd.</t>
  </si>
  <si>
    <t>Shirley Bartkus [0632]</t>
  </si>
  <si>
    <t>Shirley Bartkus</t>
  </si>
  <si>
    <t>AE</t>
  </si>
  <si>
    <t>Stoughton [0661]</t>
  </si>
  <si>
    <t>Stoughton</t>
  </si>
  <si>
    <t>MA: Wellfleet Landfill</t>
  </si>
  <si>
    <t>Wellfleet Landfill</t>
  </si>
  <si>
    <t>Wilmington Garage &amp; Building 7 [0675]</t>
  </si>
  <si>
    <t>Wilmington Garage &amp; Building 7</t>
  </si>
  <si>
    <t>Woburn [0673]</t>
  </si>
  <si>
    <t>Woburn</t>
  </si>
  <si>
    <t>Friendship Solar 1 [0569]</t>
  </si>
  <si>
    <t>Friendship Solar 1</t>
  </si>
  <si>
    <t>MD</t>
  </si>
  <si>
    <t>Friendship Solar 2 [0570]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</si>
  <si>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</si>
  <si>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</si>
  <si>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</si>
  <si>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</si>
  <si>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</si>
  <si>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</si>
  <si>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 [0470]</t>
  </si>
  <si>
    <t>Hudson County Correction</t>
  </si>
  <si>
    <t>ER Bison Solar [0371]</t>
  </si>
  <si>
    <t>ER Bison Solar</t>
  </si>
  <si>
    <t>PA</t>
  </si>
  <si>
    <t>Danville</t>
  </si>
  <si>
    <t>IL</t>
  </si>
  <si>
    <t>Camden - Campbell Soup HQ</t>
  </si>
  <si>
    <t>PowerFactor</t>
  </si>
  <si>
    <t>Pine Hill [0702]</t>
  </si>
  <si>
    <t>Westport - Pine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</si>
</sst>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</font>
    <font>
      <sz val="11"/>
      <name val="Calibri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9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22" fillId="0" borderId="0" xfId="43" applyFont="1"/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27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35" fillId="0" borderId="0" xfId="0" applyNumberFormat="1" applyFont="1" applyAlignment="1">
      <alignment vertical="top" wrapText="1"/>
    </xf>
    <xf numFmtId="0" fontId="30" fillId="46" borderId="0" xfId="0" applyFont="1" applyFill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3" fontId="30" fillId="0" borderId="0" xfId="1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0" fontId="37" fillId="0" borderId="0" xfId="0" applyFont="1"/>
    <xf numFmtId="49" fontId="23" fillId="0" borderId="0" xfId="0" applyNumberFormat="1" applyFont="1" applyAlignment="1">
      <alignment vertical="top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49" fontId="23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/>
    </xf>
    <xf numFmtId="0" fontId="23" fillId="0" borderId="0" xfId="43" applyFont="1" applyAlignment="1">
      <alignment horizontal="left"/>
    </xf>
    <xf numFmtId="0" fontId="22" fillId="0" borderId="0" xfId="43" applyFont="1" applyAlignment="1">
      <alignment horizontal="left" vertical="top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vertical="top" wrapText="1"/>
    </xf>
    <xf numFmtId="49" fontId="38" fillId="0" borderId="0" xfId="45" applyNumberFormat="1" applyAlignment="1">
      <alignment vertical="center" wrapText="1"/>
    </xf>
    <xf numFmtId="49" fontId="38" fillId="0" borderId="0" xfId="45" applyNumberFormat="1" applyAlignment="1">
      <alignment vertical="top" wrapText="1"/>
    </xf>
    <xf numFmtId="0" fontId="0" fillId="0" borderId="0" xfId="0" applyAlignment="1">
      <alignment horizontal="left" vertical="top"/>
    </xf>
    <xf numFmtId="0" fontId="38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5" totalsRowShown="0">
  <autoFilter ref="A3:E3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5517" TargetMode="External"/><Relationship Id="rId18" Type="http://schemas.openxmlformats.org/officeDocument/2006/relationships/hyperlink" Target="https://us3.assetplanner.com/service_request?ID=092249" TargetMode="External"/><Relationship Id="rId26" Type="http://schemas.openxmlformats.org/officeDocument/2006/relationships/hyperlink" Target="https://us3.assetplanner.com/service_request?ID=089983" TargetMode="External"/><Relationship Id="rId39" Type="http://schemas.openxmlformats.org/officeDocument/2006/relationships/hyperlink" Target="https://us3.assetplanner.com/service_request?ID=095494" TargetMode="External"/><Relationship Id="rId21" Type="http://schemas.openxmlformats.org/officeDocument/2006/relationships/hyperlink" Target="https://us3.assetplanner.com/service_request?ID=096132" TargetMode="External"/><Relationship Id="rId34" Type="http://schemas.openxmlformats.org/officeDocument/2006/relationships/hyperlink" Target="https://us3.assetplanner.com/service_request?ID=095616" TargetMode="External"/><Relationship Id="rId42" Type="http://schemas.openxmlformats.org/officeDocument/2006/relationships/hyperlink" Target="https://us3.assetplanner.com/service_request?ID=095903" TargetMode="External"/><Relationship Id="rId7" Type="http://schemas.openxmlformats.org/officeDocument/2006/relationships/hyperlink" Target="https://us3.assetplanner.com/service_request?ID=089564" TargetMode="External"/><Relationship Id="rId2" Type="http://schemas.openxmlformats.org/officeDocument/2006/relationships/hyperlink" Target="https://us3.assetplanner.com/service_request?ID=089997" TargetMode="External"/><Relationship Id="rId16" Type="http://schemas.openxmlformats.org/officeDocument/2006/relationships/hyperlink" Target="https://us3.assetplanner.com/service_request?ID=095300" TargetMode="External"/><Relationship Id="rId20" Type="http://schemas.openxmlformats.org/officeDocument/2006/relationships/hyperlink" Target="https://us3.assetplanner.com/service_request?ID=096031" TargetMode="External"/><Relationship Id="rId29" Type="http://schemas.openxmlformats.org/officeDocument/2006/relationships/hyperlink" Target="https://us3.assetplanner.com/service_request?ID=096154" TargetMode="External"/><Relationship Id="rId41" Type="http://schemas.openxmlformats.org/officeDocument/2006/relationships/hyperlink" Target="https://us3.assetplanner.com/service_request?ID=092627" TargetMode="External"/><Relationship Id="rId1" Type="http://schemas.openxmlformats.org/officeDocument/2006/relationships/hyperlink" Target="https://us3.assetplanner.com/service_request?ID=095312" TargetMode="External"/><Relationship Id="rId6" Type="http://schemas.openxmlformats.org/officeDocument/2006/relationships/hyperlink" Target="https://us3.assetplanner.com/service_request?ID=095220" TargetMode="External"/><Relationship Id="rId11" Type="http://schemas.openxmlformats.org/officeDocument/2006/relationships/hyperlink" Target="https://us3.assetplanner.com/service_request?ID=094025" TargetMode="External"/><Relationship Id="rId24" Type="http://schemas.openxmlformats.org/officeDocument/2006/relationships/hyperlink" Target="https://us3.assetplanner.com/service_request?ID=095058" TargetMode="External"/><Relationship Id="rId32" Type="http://schemas.openxmlformats.org/officeDocument/2006/relationships/hyperlink" Target="https://us3.assetplanner.com/service_request?ID=095538" TargetMode="External"/><Relationship Id="rId37" Type="http://schemas.openxmlformats.org/officeDocument/2006/relationships/hyperlink" Target="https://us3.assetplanner.com/service_request?ID=095495" TargetMode="External"/><Relationship Id="rId40" Type="http://schemas.openxmlformats.org/officeDocument/2006/relationships/hyperlink" Target="https://us3.assetplanner.com/service_request?ID=095360" TargetMode="External"/><Relationship Id="rId5" Type="http://schemas.openxmlformats.org/officeDocument/2006/relationships/hyperlink" Target="https://us3.assetplanner.com/service_request?ID=089170" TargetMode="External"/><Relationship Id="rId15" Type="http://schemas.openxmlformats.org/officeDocument/2006/relationships/hyperlink" Target="https://us3.assetplanner.com/service_request?ID=096199" TargetMode="External"/><Relationship Id="rId23" Type="http://schemas.openxmlformats.org/officeDocument/2006/relationships/hyperlink" Target="https://us3.assetplanner.com/service_request?ID=095309" TargetMode="External"/><Relationship Id="rId28" Type="http://schemas.openxmlformats.org/officeDocument/2006/relationships/hyperlink" Target="https://us3.assetplanner.com/service_request?ID=094678" TargetMode="External"/><Relationship Id="rId36" Type="http://schemas.openxmlformats.org/officeDocument/2006/relationships/hyperlink" Target="https://us3.assetplanner.com/service_request?ID=092108" TargetMode="External"/><Relationship Id="rId10" Type="http://schemas.openxmlformats.org/officeDocument/2006/relationships/hyperlink" Target="https://us3.assetplanner.com/service_request?ID=093500" TargetMode="External"/><Relationship Id="rId19" Type="http://schemas.openxmlformats.org/officeDocument/2006/relationships/hyperlink" Target="https://us3.assetplanner.com/service_request?ID=093403" TargetMode="External"/><Relationship Id="rId31" Type="http://schemas.openxmlformats.org/officeDocument/2006/relationships/hyperlink" Target="https://us3.assetplanner.com/service_request?ID=095518" TargetMode="External"/><Relationship Id="rId4" Type="http://schemas.openxmlformats.org/officeDocument/2006/relationships/hyperlink" Target="https://us3.assetplanner.com/service_request?ID=094233" TargetMode="External"/><Relationship Id="rId9" Type="http://schemas.openxmlformats.org/officeDocument/2006/relationships/hyperlink" Target="https://us3.assetplanner.com/service_request?ID=093406" TargetMode="External"/><Relationship Id="rId14" Type="http://schemas.openxmlformats.org/officeDocument/2006/relationships/hyperlink" Target="https://us3.assetplanner.com/service_request?ID=095697" TargetMode="External"/><Relationship Id="rId22" Type="http://schemas.openxmlformats.org/officeDocument/2006/relationships/hyperlink" Target="https://us3.assetplanner.com/service_request?ID=095279" TargetMode="External"/><Relationship Id="rId27" Type="http://schemas.openxmlformats.org/officeDocument/2006/relationships/hyperlink" Target="https://us3.assetplanner.com/service_request?ID=095497" TargetMode="External"/><Relationship Id="rId30" Type="http://schemas.openxmlformats.org/officeDocument/2006/relationships/hyperlink" Target="https://us3.assetplanner.com/service_request?ID=095079" TargetMode="External"/><Relationship Id="rId35" Type="http://schemas.openxmlformats.org/officeDocument/2006/relationships/hyperlink" Target="https://us3.assetplanner.com/service_request?ID=095972" TargetMode="External"/><Relationship Id="rId43" Type="http://schemas.openxmlformats.org/officeDocument/2006/relationships/printerSettings" Target="../printerSettings/printerSettings3.bin"/><Relationship Id="rId8" Type="http://schemas.openxmlformats.org/officeDocument/2006/relationships/hyperlink" Target="https://us3.assetplanner.com/service_request?ID=093404" TargetMode="External"/><Relationship Id="rId3" Type="http://schemas.openxmlformats.org/officeDocument/2006/relationships/hyperlink" Target="https://us3.assetplanner.com/service_request?ID=095693" TargetMode="External"/><Relationship Id="rId12" Type="http://schemas.openxmlformats.org/officeDocument/2006/relationships/hyperlink" Target="https://us3.assetplanner.com/service_request?ID=094028" TargetMode="External"/><Relationship Id="rId17" Type="http://schemas.openxmlformats.org/officeDocument/2006/relationships/hyperlink" Target="https://us3.assetplanner.com/service_request?ID=095690" TargetMode="External"/><Relationship Id="rId25" Type="http://schemas.openxmlformats.org/officeDocument/2006/relationships/hyperlink" Target="https://us3.assetplanner.com/service_request?ID=095843" TargetMode="External"/><Relationship Id="rId33" Type="http://schemas.openxmlformats.org/officeDocument/2006/relationships/hyperlink" Target="https://us3.assetplanner.com/service_request?ID=095579" TargetMode="External"/><Relationship Id="rId38" Type="http://schemas.openxmlformats.org/officeDocument/2006/relationships/hyperlink" Target="https://us3.assetplanner.com/service_request?ID=09567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14" activePane="bottomRight" state="frozen"/>
      <selection pane="bottomRight" activeCell="K21" sqref="K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Greenbacker Capital</v>
      </c>
      <c r="B1" s="88"/>
      <c r="C1" s="88"/>
      <c r="D1" s="89" t="s">
        <v>0</v>
      </c>
      <c r="E1" s="89"/>
      <c r="F1" s="89"/>
      <c r="G1" s="87" t="s">
        <v>1</v>
      </c>
      <c r="H1" s="87"/>
      <c r="I1" s="87"/>
    </row>
    <row r="2" spans="1:9" ht="19.5" customHeight="1">
      <c r="A2" s="90" t="s">
        <v>2</v>
      </c>
      <c r="B2" s="90"/>
      <c r="C2" s="5">
        <f>SUM(C4:C100)</f>
        <v>1979892.9447689694</v>
      </c>
      <c r="D2" s="5">
        <f>SUM(D4:D100)</f>
        <v>2263679.1919</v>
      </c>
      <c r="E2" s="5">
        <f>C2-D2</f>
        <v>-283786.24713103054</v>
      </c>
      <c r="F2" s="6">
        <f>IFERROR(E2/D2, 0)</f>
        <v>-0.12536504649001828</v>
      </c>
      <c r="G2" s="5">
        <f>SUM(G4:G100)</f>
        <v>1515375.4470000002</v>
      </c>
      <c r="H2" s="7">
        <f>C2-G2</f>
        <v>464517.49776896928</v>
      </c>
      <c r="I2" s="6">
        <f>IFERROR(H2/G2, 0)</f>
        <v>0.30653624399720741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5">Sites[Site]</f>
        <v>10 Walpole Park South</v>
      </c>
      <c r="B4" s="9" t="str" cm="1">
        <f t="array" ref="B4:B35">Sites[State]</f>
        <v>MA</v>
      </c>
      <c r="C4" s="24">
        <f>SUM('1st Qtr'!C4, '2nd Qtr'!C4, '3rd Qtr'!C4, '4th Qtr'!C4)</f>
        <v>6082.5625</v>
      </c>
      <c r="D4" s="13">
        <f>SUM('1st Qtr'!D4, '2nd Qtr'!D4, '3rd Qtr'!D4, '4th Qtr'!D4)</f>
        <v>6594.4369999999999</v>
      </c>
      <c r="E4" s="13">
        <f>IF(AND(ISNUMBER(C4),ISNUMBER(D4)), C4-D4, "")</f>
        <v>-511.8744999999999</v>
      </c>
      <c r="F4" s="14">
        <f>IFERROR(E4/D4, "")</f>
        <v>-7.7622168503543199E-2</v>
      </c>
      <c r="G4" s="15">
        <f>SUM('1st Qtr'!G4, '2nd Qtr'!G4, '3rd Qtr'!G4, '4th Qtr'!G4)</f>
        <v>6789.067</v>
      </c>
      <c r="H4" s="15">
        <f>SUM('1st Qtr'!H4, '2nd Qtr'!H4, '3rd Qtr'!H4, '4th Qtr'!H4)</f>
        <v>-706.50450000000001</v>
      </c>
      <c r="I4" s="16">
        <f>IFERROR(H4/G4, "")</f>
        <v>-0.10406503574055169</v>
      </c>
    </row>
    <row r="5" spans="1:9" ht="15.6">
      <c r="A5" s="17" t="str">
        <v>15 Walpole Park South</v>
      </c>
      <c r="B5" s="10" t="str">
        <v>MA</v>
      </c>
      <c r="C5" s="18">
        <f>SUM('1st Qtr'!C5, '2nd Qtr'!C5, '3rd Qtr'!C5, '4th Qtr'!C5)</f>
        <v>22096</v>
      </c>
      <c r="D5" s="18">
        <f>SUM('1st Qtr'!D5, '2nd Qtr'!D5, '3rd Qtr'!D5, '4th Qtr'!D5)</f>
        <v>34986.43</v>
      </c>
      <c r="E5" s="18">
        <f t="shared" ref="E5:E15" si="0">IF(AND(ISNUMBER(C5),ISNUMBER(D5)), C5-D5, "")</f>
        <v>-12890.43</v>
      </c>
      <c r="F5" s="19">
        <f>IFERROR(E5/D5, "")</f>
        <v>-0.36844084978090075</v>
      </c>
      <c r="G5" s="20">
        <f>SUM('1st Qtr'!G5, '2nd Qtr'!G5, '3rd Qtr'!G5, '4th Qtr'!G5)</f>
        <v>21495.47</v>
      </c>
      <c r="H5" s="67">
        <f>SUM('1st Qtr'!H5, '2nd Qtr'!H5, '3rd Qtr'!H5, '4th Qtr'!H5)</f>
        <v>600.52999999999884</v>
      </c>
      <c r="I5" s="19">
        <f>IFERROR(H5/G5, "")</f>
        <v>2.7937514276263734E-2</v>
      </c>
    </row>
    <row r="6" spans="1:9" ht="15.6">
      <c r="A6" s="12" t="str">
        <v>19 Walpole Park South</v>
      </c>
      <c r="B6" s="9" t="str">
        <v>MA</v>
      </c>
      <c r="C6" s="24">
        <f>SUM('1st Qtr'!C6, '2nd Qtr'!C6, '3rd Qtr'!C6, '4th Qtr'!C6)</f>
        <v>12286.625</v>
      </c>
      <c r="D6" s="13">
        <f>SUM('1st Qtr'!D6, '2nd Qtr'!D6, '3rd Qtr'!D6, '4th Qtr'!D6)</f>
        <v>18535.3</v>
      </c>
      <c r="E6" s="13">
        <f t="shared" si="0"/>
        <v>-6248.6749999999993</v>
      </c>
      <c r="F6" s="14">
        <f t="shared" ref="F6:F15" si="1">IFERROR(E6/D6, "")</f>
        <v>-0.33712294918344993</v>
      </c>
      <c r="G6" s="15">
        <f>SUM('1st Qtr'!G6, '2nd Qtr'!G6, '3rd Qtr'!G6, '4th Qtr'!G6)</f>
        <v>14377.87</v>
      </c>
      <c r="H6" s="15">
        <f>SUM('1st Qtr'!H6, '2nd Qtr'!H6, '3rd Qtr'!H6, '4th Qtr'!H6)</f>
        <v>-2091.2450000000008</v>
      </c>
      <c r="I6" s="16">
        <f t="shared" ref="I6:I15" si="2">IFERROR(H6/G6, "")</f>
        <v>-0.14544887385961902</v>
      </c>
    </row>
    <row r="7" spans="1:9" ht="15.6">
      <c r="A7" s="17" t="str">
        <v>23 Walpole Park South</v>
      </c>
      <c r="B7" s="10" t="str">
        <v>MA</v>
      </c>
      <c r="C7" s="18">
        <f>SUM('1st Qtr'!C7, '2nd Qtr'!C7, '3rd Qtr'!C7, '4th Qtr'!C7)</f>
        <v>17017.5</v>
      </c>
      <c r="D7" s="18">
        <f>SUM('1st Qtr'!D7, '2nd Qtr'!D7, '3rd Qtr'!D7, '4th Qtr'!D7)</f>
        <v>24815.119999999999</v>
      </c>
      <c r="E7" s="18">
        <f t="shared" si="0"/>
        <v>-7797.619999999999</v>
      </c>
      <c r="F7" s="19">
        <f t="shared" si="1"/>
        <v>-0.3142285832186183</v>
      </c>
      <c r="G7" s="20">
        <f>SUM('1st Qtr'!G7, '2nd Qtr'!G7, '3rd Qtr'!G7, '4th Qtr'!G7)</f>
        <v>18470.54</v>
      </c>
      <c r="H7" s="20">
        <f>SUM('1st Qtr'!H7, '2nd Qtr'!H7, '3rd Qtr'!H7, '4th Qtr'!H7)</f>
        <v>-1453.0400000000009</v>
      </c>
      <c r="I7" s="19">
        <f t="shared" si="2"/>
        <v>-7.8667976139300794E-2</v>
      </c>
    </row>
    <row r="8" spans="1:9" ht="15.6">
      <c r="A8" s="12" t="str">
        <v>24 Walpole Park South</v>
      </c>
      <c r="B8" s="9" t="str">
        <v>MA</v>
      </c>
      <c r="C8" s="24">
        <f>SUM('1st Qtr'!C8, '2nd Qtr'!C8, '3rd Qtr'!C8, '4th Qtr'!C8)</f>
        <v>23711.25</v>
      </c>
      <c r="D8" s="13">
        <f>SUM('1st Qtr'!D8, '2nd Qtr'!D8, '3rd Qtr'!D8, '4th Qtr'!D8)</f>
        <v>19088.14</v>
      </c>
      <c r="E8" s="13">
        <f t="shared" si="0"/>
        <v>4623.1100000000006</v>
      </c>
      <c r="F8" s="14">
        <f t="shared" si="1"/>
        <v>0.24219803501022105</v>
      </c>
      <c r="G8" s="15">
        <f>SUM('1st Qtr'!G8, '2nd Qtr'!G8, '3rd Qtr'!G8, '4th Qtr'!G8)</f>
        <v>28498.52</v>
      </c>
      <c r="H8" s="15">
        <f>SUM('1st Qtr'!H8, '2nd Qtr'!H8, '3rd Qtr'!H8, '4th Qtr'!H8)</f>
        <v>-4787.2700000000004</v>
      </c>
      <c r="I8" s="16">
        <f t="shared" si="2"/>
        <v>-0.16798310929830743</v>
      </c>
    </row>
    <row r="9" spans="1:9" ht="15.6">
      <c r="A9" s="17" t="str">
        <v>25 Walpole Park South</v>
      </c>
      <c r="B9" s="10" t="str">
        <v>MA</v>
      </c>
      <c r="C9" s="18">
        <f>SUM('1st Qtr'!C9, '2nd Qtr'!C9, '3rd Qtr'!C9, '4th Qtr'!C9)</f>
        <v>24218</v>
      </c>
      <c r="D9" s="18">
        <f>SUM('1st Qtr'!D9, '2nd Qtr'!D9, '3rd Qtr'!D9, '4th Qtr'!D9)</f>
        <v>32717.42</v>
      </c>
      <c r="E9" s="18">
        <f t="shared" si="0"/>
        <v>-8499.4199999999983</v>
      </c>
      <c r="F9" s="19">
        <f t="shared" si="1"/>
        <v>-0.25978270902779005</v>
      </c>
      <c r="G9" s="20">
        <f>SUM('1st Qtr'!G9, '2nd Qtr'!G9, '3rd Qtr'!G9, '4th Qtr'!G9)</f>
        <v>28984.84</v>
      </c>
      <c r="H9" s="20">
        <f>SUM('1st Qtr'!H9, '2nd Qtr'!H9, '3rd Qtr'!H9, '4th Qtr'!H9)</f>
        <v>-4766.84</v>
      </c>
      <c r="I9" s="19">
        <f t="shared" si="2"/>
        <v>-0.1644597658638102</v>
      </c>
    </row>
    <row r="10" spans="1:9" ht="15.6">
      <c r="A10" s="12" t="str">
        <v>3 Walpole Park South</v>
      </c>
      <c r="B10" s="9" t="str">
        <v>MA</v>
      </c>
      <c r="C10" s="24">
        <f>SUM('1st Qtr'!C10, '2nd Qtr'!C10, '3rd Qtr'!C10, '4th Qtr'!C10)</f>
        <v>32137.687499999101</v>
      </c>
      <c r="D10" s="13">
        <f>SUM('1st Qtr'!D10, '2nd Qtr'!D10, '3rd Qtr'!D10, '4th Qtr'!D10)</f>
        <v>51986.12</v>
      </c>
      <c r="E10" s="13">
        <f t="shared" si="0"/>
        <v>-19848.432500000901</v>
      </c>
      <c r="F10" s="14">
        <f t="shared" si="1"/>
        <v>-0.3818025369079458</v>
      </c>
      <c r="G10" s="15">
        <f>SUM('1st Qtr'!G10, '2nd Qtr'!G10, '3rd Qtr'!G10, '4th Qtr'!G10)</f>
        <v>34626.19</v>
      </c>
      <c r="H10" s="15">
        <f>SUM('1st Qtr'!H10, '2nd Qtr'!H10, '3rd Qtr'!H10, '4th Qtr'!H10)</f>
        <v>-2488.5025000009009</v>
      </c>
      <c r="I10" s="16">
        <f t="shared" si="2"/>
        <v>-7.1867638339675854E-2</v>
      </c>
    </row>
    <row r="11" spans="1:9" ht="15.6">
      <c r="A11" s="17" t="str">
        <v>4 Walpole Park South</v>
      </c>
      <c r="B11" s="10" t="str">
        <v>MA</v>
      </c>
      <c r="C11" s="18">
        <f>SUM('1st Qtr'!C11, '2nd Qtr'!C11, '3rd Qtr'!C11, '4th Qtr'!C11)</f>
        <v>18926.5</v>
      </c>
      <c r="D11" s="18">
        <f>SUM('1st Qtr'!D11, '2nd Qtr'!D11, '3rd Qtr'!D11, '4th Qtr'!D11)</f>
        <v>30719.42</v>
      </c>
      <c r="E11" s="18">
        <f t="shared" si="0"/>
        <v>-11792.919999999998</v>
      </c>
      <c r="F11" s="19">
        <f t="shared" si="1"/>
        <v>-0.38389136253223527</v>
      </c>
      <c r="G11" s="20">
        <f>SUM('1st Qtr'!G11, '2nd Qtr'!G11, '3rd Qtr'!G11, '4th Qtr'!G11)</f>
        <v>19589.080000000002</v>
      </c>
      <c r="H11" s="20">
        <f>SUM('1st Qtr'!H11, '2nd Qtr'!H11, '3rd Qtr'!H11, '4th Qtr'!H11)</f>
        <v>-662.58000000000175</v>
      </c>
      <c r="I11" s="19">
        <f t="shared" si="2"/>
        <v>-3.3823946811182642E-2</v>
      </c>
    </row>
    <row r="12" spans="1:9" ht="15.6">
      <c r="A12" s="12" t="str">
        <v>Brockton</v>
      </c>
      <c r="B12" s="9" t="str">
        <v>MA</v>
      </c>
      <c r="C12" s="24">
        <f>SUM('1st Qtr'!C12, '2nd Qtr'!C12, '3rd Qtr'!C12, '4th Qtr'!C12)</f>
        <v>35242.5</v>
      </c>
      <c r="D12" s="13">
        <f>SUM('1st Qtr'!D12, '2nd Qtr'!D12, '3rd Qtr'!D12, '4th Qtr'!D12)</f>
        <v>41958.95</v>
      </c>
      <c r="E12" s="13">
        <f t="shared" si="0"/>
        <v>-6716.4499999999971</v>
      </c>
      <c r="F12" s="14">
        <f t="shared" si="1"/>
        <v>-0.16007192744337018</v>
      </c>
      <c r="G12" s="15">
        <f>SUM('1st Qtr'!G12, '2nd Qtr'!G12, '3rd Qtr'!G12, '4th Qtr'!G12)</f>
        <v>35711.300000000003</v>
      </c>
      <c r="H12" s="15">
        <f>SUM('1st Qtr'!H12, '2nd Qtr'!H12, '3rd Qtr'!H12, '4th Qtr'!H12)</f>
        <v>-468.80000000000291</v>
      </c>
      <c r="I12" s="16">
        <f t="shared" si="2"/>
        <v>-1.3127497458787635E-2</v>
      </c>
    </row>
    <row r="13" spans="1:9" ht="15.6">
      <c r="A13" s="17" t="str">
        <v>Canton</v>
      </c>
      <c r="B13" s="10" t="str">
        <v>MA</v>
      </c>
      <c r="C13" s="18">
        <f>SUM('1st Qtr'!C13, '2nd Qtr'!C13, '3rd Qtr'!C13, '4th Qtr'!C13)</f>
        <v>30237.25</v>
      </c>
      <c r="D13" s="18">
        <f>SUM('1st Qtr'!D13, '2nd Qtr'!D13, '3rd Qtr'!D13, '4th Qtr'!D13)</f>
        <v>44905.17</v>
      </c>
      <c r="E13" s="18">
        <f t="shared" si="0"/>
        <v>-14667.919999999998</v>
      </c>
      <c r="F13" s="19">
        <f t="shared" si="1"/>
        <v>-0.32664212160871453</v>
      </c>
      <c r="G13" s="20">
        <f>SUM('1st Qtr'!G13, '2nd Qtr'!G13, '3rd Qtr'!G13, '4th Qtr'!G13)</f>
        <v>30749.97</v>
      </c>
      <c r="H13" s="20">
        <f>SUM('1st Qtr'!H13, '2nd Qtr'!H13, '3rd Qtr'!H13, '4th Qtr'!H13)</f>
        <v>-512.72000000000116</v>
      </c>
      <c r="I13" s="19">
        <f t="shared" si="2"/>
        <v>-1.6673837405369863E-2</v>
      </c>
    </row>
    <row r="14" spans="1:9" ht="15.6">
      <c r="A14" s="12" t="str">
        <v>Chelsea</v>
      </c>
      <c r="B14" s="9" t="str">
        <v>MA</v>
      </c>
      <c r="C14" s="24">
        <f>SUM('1st Qtr'!C14, '2nd Qtr'!C14, '3rd Qtr'!C14, '4th Qtr'!C14)</f>
        <v>66681</v>
      </c>
      <c r="D14" s="13">
        <f>SUM('1st Qtr'!D14, '2nd Qtr'!D14, '3rd Qtr'!D14, '4th Qtr'!D14)</f>
        <v>78143.31</v>
      </c>
      <c r="E14" s="13">
        <f t="shared" si="0"/>
        <v>-11462.309999999998</v>
      </c>
      <c r="F14" s="14">
        <f t="shared" si="1"/>
        <v>-0.14668319015408995</v>
      </c>
      <c r="G14" s="15">
        <f>SUM('1st Qtr'!G14, '2nd Qtr'!G14, '3rd Qtr'!G14, '4th Qtr'!G14)</f>
        <v>54727.88</v>
      </c>
      <c r="H14" s="15">
        <f>SUM('1st Qtr'!H14, '2nd Qtr'!H14, '3rd Qtr'!H14, '4th Qtr'!H14)</f>
        <v>11953.120000000003</v>
      </c>
      <c r="I14" s="16">
        <f t="shared" si="2"/>
        <v>0.21841006814077218</v>
      </c>
    </row>
    <row r="15" spans="1:9" ht="15.6">
      <c r="A15" s="17" t="str">
        <v>Hamilton Landfill</v>
      </c>
      <c r="B15" s="10" t="str">
        <v>MA</v>
      </c>
      <c r="C15" s="18">
        <f>SUM('1st Qtr'!C15, '2nd Qtr'!C15, '3rd Qtr'!C15, '4th Qtr'!C15)</f>
        <v>39385.699999999997</v>
      </c>
      <c r="D15" s="18">
        <f>SUM('1st Qtr'!D15, '2nd Qtr'!D15, '3rd Qtr'!D15, '4th Qtr'!D15)</f>
        <v>87354.4</v>
      </c>
      <c r="E15" s="18">
        <f t="shared" si="0"/>
        <v>-47968.7</v>
      </c>
      <c r="F15" s="19">
        <f t="shared" si="1"/>
        <v>-0.54912746238311982</v>
      </c>
      <c r="G15" s="20">
        <f>SUM('1st Qtr'!G15, '2nd Qtr'!G15, '3rd Qtr'!G15, '4th Qtr'!G15)</f>
        <v>0</v>
      </c>
      <c r="H15" s="20">
        <f>SUM('1st Qtr'!H15, '2nd Qtr'!H15, '3rd Qtr'!H15, '4th Qtr'!H15)</f>
        <v>39385.699999999997</v>
      </c>
      <c r="I15" s="19" t="str">
        <f t="shared" si="2"/>
        <v/>
      </c>
    </row>
    <row r="16" spans="1:9" ht="15.6">
      <c r="A16" s="12" t="str">
        <v>Holliston</v>
      </c>
      <c r="B16" s="9" t="str">
        <v>MA</v>
      </c>
      <c r="C16" s="24">
        <f>SUM('1st Qtr'!C16, '2nd Qtr'!C16, '3rd Qtr'!C16, '4th Qtr'!C16)</f>
        <v>79918</v>
      </c>
      <c r="D16" s="13">
        <f>SUM('1st Qtr'!D16, '2nd Qtr'!D16, '3rd Qtr'!D16, '4th Qtr'!D16)</f>
        <v>88133.87</v>
      </c>
      <c r="E16" s="13">
        <f t="shared" ref="E16:E19" si="3">IF(AND(ISNUMBER(C16),ISNUMBER(D16)), C16-D16, "")</f>
        <v>-8215.8699999999953</v>
      </c>
      <c r="F16" s="14">
        <f t="shared" ref="F16:F19" si="4">IFERROR(E16/D16, "")</f>
        <v>-9.3220347637066159E-2</v>
      </c>
      <c r="G16" s="15">
        <f>SUM('1st Qtr'!G16, '2nd Qtr'!G16, '3rd Qtr'!G16, '4th Qtr'!G16)</f>
        <v>84310.38</v>
      </c>
      <c r="H16" s="15">
        <f>SUM('1st Qtr'!H16, '2nd Qtr'!H16, '3rd Qtr'!H16, '4th Qtr'!H16)</f>
        <v>-4392.3800000000047</v>
      </c>
      <c r="I16" s="16">
        <f t="shared" ref="I16:I19" si="5">IFERROR(H16/G16, "")</f>
        <v>-5.2097736957181361E-2</v>
      </c>
    </row>
    <row r="17" spans="1:9" ht="15.6">
      <c r="A17" s="17" t="str">
        <v>Natick HS - Carports</v>
      </c>
      <c r="B17" s="10" t="str">
        <v>MA</v>
      </c>
      <c r="C17" s="18">
        <f>SUM('1st Qtr'!C17, '2nd Qtr'!C17, '3rd Qtr'!C17, '4th Qtr'!C17)</f>
        <v>23101.5</v>
      </c>
      <c r="D17" s="18">
        <f>SUM('1st Qtr'!D17, '2nd Qtr'!D17, '3rd Qtr'!D17, '4th Qtr'!D17)</f>
        <v>43562.15</v>
      </c>
      <c r="E17" s="18">
        <f t="shared" si="3"/>
        <v>-20460.650000000001</v>
      </c>
      <c r="F17" s="19">
        <f t="shared" si="4"/>
        <v>-0.46968870912018806</v>
      </c>
      <c r="G17" s="20">
        <f>SUM('1st Qtr'!G17, '2nd Qtr'!G17, '3rd Qtr'!G17, '4th Qtr'!G17)</f>
        <v>0</v>
      </c>
      <c r="H17" s="20">
        <f>SUM('1st Qtr'!H17, '2nd Qtr'!H17, '3rd Qtr'!H17, '4th Qtr'!H17)</f>
        <v>23101.5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si="3"/>
        <v>0</v>
      </c>
      <c r="F18" s="14" t="str">
        <f t="shared" si="4"/>
        <v/>
      </c>
      <c r="G18" s="15">
        <f>SUM('1st Qtr'!G18, '2nd Qtr'!G18, '3rd Qtr'!G18, '4th Qtr'!G18)</f>
        <v>0</v>
      </c>
      <c r="H18" s="15">
        <f>SUM('1st Qtr'!H18, '2nd Qtr'!H18, '3rd Qtr'!H18, '4th Qtr'!H18)</f>
        <v>0</v>
      </c>
      <c r="I18" s="16" t="str">
        <f t="shared" si="5"/>
        <v/>
      </c>
    </row>
    <row r="19" spans="1:9" ht="15.6">
      <c r="A19" s="17" t="str">
        <v>Palmer - Boston Rd.</v>
      </c>
      <c r="B19" s="10" t="str">
        <v>MA</v>
      </c>
      <c r="C19" s="18">
        <f>SUM('1st Qtr'!C19, '2nd Qtr'!C19, '3rd Qtr'!C19, '4th Qtr'!C19)</f>
        <v>34752</v>
      </c>
      <c r="D19" s="18">
        <f>SUM('1st Qtr'!D19, '2nd Qtr'!D19, '3rd Qtr'!D19, '4th Qtr'!D19)</f>
        <v>49692.76</v>
      </c>
      <c r="E19" s="18">
        <f t="shared" si="3"/>
        <v>-14940.760000000002</v>
      </c>
      <c r="F19" s="19">
        <f t="shared" si="4"/>
        <v>-0.30066271223413638</v>
      </c>
      <c r="G19" s="20">
        <f>SUM('1st Qtr'!G19, '2nd Qtr'!G19, '3rd Qtr'!G19, '4th Qtr'!G19)</f>
        <v>45090</v>
      </c>
      <c r="H19" s="20">
        <f>SUM('1st Qtr'!H19, '2nd Qtr'!H19, '3rd Qtr'!H19, '4th Qtr'!H19)</f>
        <v>-10338</v>
      </c>
      <c r="I19" s="19">
        <f t="shared" si="5"/>
        <v>-0.22927478376580174</v>
      </c>
    </row>
    <row r="20" spans="1:9" ht="15.6">
      <c r="A20" s="12" t="str">
        <v>Shirley Bartkus</v>
      </c>
      <c r="B20" s="9" t="str">
        <v>MA</v>
      </c>
      <c r="C20" s="24">
        <f>SUM('1st Qtr'!C20, '2nd Qtr'!C20, '3rd Qtr'!C20, '4th Qtr'!C20)</f>
        <v>52517.557775638103</v>
      </c>
      <c r="D20" s="13">
        <f>SUM('1st Qtr'!D20, '2nd Qtr'!D20, '3rd Qtr'!D20, '4th Qtr'!D20)</f>
        <v>87390.5</v>
      </c>
      <c r="E20" s="13">
        <f t="shared" ref="E20:E34" si="6">IF(AND(ISNUMBER(C20),ISNUMBER(D20)), C20-D20, "")</f>
        <v>-34872.942224361897</v>
      </c>
      <c r="F20" s="14">
        <f t="shared" ref="F20:F34" si="7">IFERROR(E20/D20, "")</f>
        <v>-0.39904729031601716</v>
      </c>
      <c r="G20" s="15">
        <f>SUM('1st Qtr'!G20, '2nd Qtr'!G20, '3rd Qtr'!G20, '4th Qtr'!G20)</f>
        <v>0</v>
      </c>
      <c r="H20" s="15">
        <f>SUM('1st Qtr'!H20, '2nd Qtr'!H20, '3rd Qtr'!H20, '4th Qtr'!H20)</f>
        <v>0</v>
      </c>
      <c r="I20" s="16" t="str">
        <f t="shared" ref="I20:I34" si="8">IFERROR(H20/G20, "")</f>
        <v/>
      </c>
    </row>
    <row r="21" spans="1:9" ht="15.6">
      <c r="A21" s="17" t="str">
        <v>Stoughton</v>
      </c>
      <c r="B21" s="10" t="str">
        <v>MA</v>
      </c>
      <c r="C21" s="18">
        <f>SUM('1st Qtr'!C21, '2nd Qtr'!C21, '3rd Qtr'!C21, '4th Qtr'!C21)</f>
        <v>42082</v>
      </c>
      <c r="D21" s="18">
        <f>SUM('1st Qtr'!D21, '2nd Qtr'!D21, '3rd Qtr'!D21, '4th Qtr'!D21)</f>
        <v>42134.57</v>
      </c>
      <c r="E21" s="18">
        <f t="shared" si="6"/>
        <v>-52.569999999999709</v>
      </c>
      <c r="F21" s="19">
        <f t="shared" si="7"/>
        <v>-1.2476690755358298E-3</v>
      </c>
      <c r="G21" s="20">
        <f>SUM('1st Qtr'!G21, '2nd Qtr'!G21, '3rd Qtr'!G21, '4th Qtr'!G21)</f>
        <v>35429.71</v>
      </c>
      <c r="H21" s="20">
        <f>SUM('1st Qtr'!H21, '2nd Qtr'!H21, '3rd Qtr'!H21, '4th Qtr'!H21)</f>
        <v>6652.2900000000009</v>
      </c>
      <c r="I21" s="19">
        <f t="shared" si="8"/>
        <v>0.18776021593177028</v>
      </c>
    </row>
    <row r="22" spans="1:9" ht="15.6">
      <c r="A22" s="12" t="str">
        <v>Wellfleet Landfill</v>
      </c>
      <c r="B22" s="9" t="str">
        <v>MA</v>
      </c>
      <c r="C22" s="24">
        <f>SUM('1st Qtr'!C22, '2nd Qtr'!C22, '3rd Qtr'!C22, '4th Qtr'!C22)</f>
        <v>37109.9</v>
      </c>
      <c r="D22" s="13">
        <f>SUM('1st Qtr'!D22, '2nd Qtr'!D22, '3rd Qtr'!D22, '4th Qtr'!D22)</f>
        <v>40845.199999999997</v>
      </c>
      <c r="E22" s="13">
        <f t="shared" si="6"/>
        <v>-3735.2999999999956</v>
      </c>
      <c r="F22" s="14">
        <f t="shared" si="7"/>
        <v>-9.1450158158118841E-2</v>
      </c>
      <c r="G22" s="15">
        <f>SUM('1st Qtr'!G22, '2nd Qtr'!G22, '3rd Qtr'!G22, '4th Qtr'!G22)</f>
        <v>0</v>
      </c>
      <c r="H22" s="15">
        <f>SUM('1st Qtr'!H22, '2nd Qtr'!H22, '3rd Qtr'!H22, '4th Qtr'!H22)</f>
        <v>37109.9</v>
      </c>
      <c r="I22" s="16" t="str">
        <f t="shared" si="8"/>
        <v/>
      </c>
    </row>
    <row r="23" spans="1:9" ht="15.6">
      <c r="A23" s="17" t="str">
        <v>Wilmington Garage &amp; Building 7</v>
      </c>
      <c r="B23" s="10" t="str">
        <v>MA</v>
      </c>
      <c r="C23" s="18">
        <f>SUM('1st Qtr'!C23, '2nd Qtr'!C23, '3rd Qtr'!C23, '4th Qtr'!C23)</f>
        <v>40128.75</v>
      </c>
      <c r="D23" s="18">
        <f>SUM('1st Qtr'!D23, '2nd Qtr'!D23, '3rd Qtr'!D23, '4th Qtr'!D23)</f>
        <v>74682.38</v>
      </c>
      <c r="E23" s="18">
        <f t="shared" si="6"/>
        <v>-34553.630000000005</v>
      </c>
      <c r="F23" s="19">
        <f t="shared" si="7"/>
        <v>-0.46267446216898822</v>
      </c>
      <c r="G23" s="20">
        <f>SUM('1st Qtr'!G23, '2nd Qtr'!G23, '3rd Qtr'!G23, '4th Qtr'!G23)</f>
        <v>51215.54</v>
      </c>
      <c r="H23" s="20">
        <f>SUM('1st Qtr'!H23, '2nd Qtr'!H23, '3rd Qtr'!H23, '4th Qtr'!H23)</f>
        <v>-11086.79</v>
      </c>
      <c r="I23" s="19">
        <f t="shared" si="8"/>
        <v>-0.21647316419977219</v>
      </c>
    </row>
    <row r="24" spans="1:9" ht="15.6">
      <c r="A24" s="12" t="str">
        <v>Woburn</v>
      </c>
      <c r="B24" s="9" t="str">
        <v>MA</v>
      </c>
      <c r="C24" s="24">
        <f>SUM('1st Qtr'!C24, '2nd Qtr'!C24, '3rd Qtr'!C24, '4th Qtr'!C24)</f>
        <v>70710.5</v>
      </c>
      <c r="D24" s="13">
        <f>SUM('1st Qtr'!D24, '2nd Qtr'!D24, '3rd Qtr'!D24, '4th Qtr'!D24)</f>
        <v>143603</v>
      </c>
      <c r="E24" s="13">
        <f t="shared" si="6"/>
        <v>-72892.5</v>
      </c>
      <c r="F24" s="14">
        <f t="shared" si="7"/>
        <v>-0.50759733431752818</v>
      </c>
      <c r="G24" s="15">
        <f>SUM('1st Qtr'!G24, '2nd Qtr'!G24, '3rd Qtr'!G24, '4th Qtr'!G24)</f>
        <v>69288.009999999995</v>
      </c>
      <c r="H24" s="15">
        <f>SUM('1st Qtr'!H24, '2nd Qtr'!H24, '3rd Qtr'!H24, '4th Qtr'!H24)</f>
        <v>1422.4900000000052</v>
      </c>
      <c r="I24" s="16">
        <f t="shared" si="8"/>
        <v>2.0530103260289988E-2</v>
      </c>
    </row>
    <row r="25" spans="1:9" ht="15.6">
      <c r="A25" s="17" t="str">
        <v>Friendship Solar 1</v>
      </c>
      <c r="B25" s="10" t="str">
        <v>MD</v>
      </c>
      <c r="C25" s="18">
        <f>SUM('1st Qtr'!C25, '2nd Qtr'!C25, '3rd Qtr'!C25, '4th Qtr'!C25)</f>
        <v>249779</v>
      </c>
      <c r="D25" s="18">
        <f>SUM('1st Qtr'!D25, '2nd Qtr'!D25, '3rd Qtr'!D25, '4th Qtr'!D25)</f>
        <v>269841.3</v>
      </c>
      <c r="E25" s="18">
        <f t="shared" si="6"/>
        <v>-20062.299999999988</v>
      </c>
      <c r="F25" s="19">
        <f t="shared" si="7"/>
        <v>-7.4348515219871791E-2</v>
      </c>
      <c r="G25" s="20">
        <f>SUM('1st Qtr'!G25, '2nd Qtr'!G25, '3rd Qtr'!G25, '4th Qtr'!G25)</f>
        <v>251554.7</v>
      </c>
      <c r="H25" s="20">
        <f>SUM('1st Qtr'!H25, '2nd Qtr'!H25, '3rd Qtr'!H25, '4th Qtr'!H25)</f>
        <v>-1775.7000000000116</v>
      </c>
      <c r="I25" s="19">
        <f t="shared" si="8"/>
        <v>-7.0589020996229112E-3</v>
      </c>
    </row>
    <row r="26" spans="1:9" ht="15.6">
      <c r="A26" s="12" t="str">
        <v>Friendship Solar 2</v>
      </c>
      <c r="B26" s="9" t="str">
        <v>MD</v>
      </c>
      <c r="C26" s="24">
        <f>SUM('1st Qtr'!C26, '2nd Qtr'!C26, '3rd Qtr'!C26, '4th Qtr'!C26)</f>
        <v>244225</v>
      </c>
      <c r="D26" s="13">
        <f>SUM('1st Qtr'!D26, '2nd Qtr'!D26, '3rd Qtr'!D26, '4th Qtr'!D26)</f>
        <v>284533.5</v>
      </c>
      <c r="E26" s="13">
        <f t="shared" si="6"/>
        <v>-40308.5</v>
      </c>
      <c r="F26" s="14">
        <f t="shared" si="7"/>
        <v>-0.14166521692524781</v>
      </c>
      <c r="G26" s="15">
        <f>SUM('1st Qtr'!G26, '2nd Qtr'!G26, '3rd Qtr'!G26, '4th Qtr'!G26)</f>
        <v>248916.6</v>
      </c>
      <c r="H26" s="15">
        <f>SUM('1st Qtr'!H26, '2nd Qtr'!H26, '3rd Qtr'!H26, '4th Qtr'!H26)</f>
        <v>-4691.6000000000058</v>
      </c>
      <c r="I26" s="16">
        <f t="shared" si="8"/>
        <v>-1.8848080039659893E-2</v>
      </c>
    </row>
    <row r="27" spans="1:9" ht="15.6">
      <c r="A27" s="17" t="str">
        <v>101 Carnegie Center</v>
      </c>
      <c r="B27" s="10" t="str">
        <v>NJ</v>
      </c>
      <c r="C27" s="18">
        <f>SUM('1st Qtr'!C27, '2nd Qtr'!C27, '3rd Qtr'!C27, '4th Qtr'!C27)</f>
        <v>67113.5</v>
      </c>
      <c r="D27" s="18">
        <f>SUM('1st Qtr'!D27, '2nd Qtr'!D27, '3rd Qtr'!D27, '4th Qtr'!D27)</f>
        <v>112416</v>
      </c>
      <c r="E27" s="18">
        <f t="shared" si="6"/>
        <v>-45302.5</v>
      </c>
      <c r="F27" s="19">
        <f t="shared" si="7"/>
        <v>-0.40298978793054369</v>
      </c>
      <c r="G27" s="20">
        <f>SUM('1st Qtr'!G27, '2nd Qtr'!G27, '3rd Qtr'!G27, '4th Qtr'!G27)</f>
        <v>0</v>
      </c>
      <c r="H27" s="20">
        <f>SUM('1st Qtr'!H27, '2nd Qtr'!H27, '3rd Qtr'!H27, '4th Qtr'!H27)</f>
        <v>67113.5</v>
      </c>
      <c r="I27" s="19" t="str">
        <f t="shared" si="8"/>
        <v/>
      </c>
    </row>
    <row r="28" spans="1:9" ht="15.6">
      <c r="A28" s="12" t="str">
        <v>302 Carnegie Center</v>
      </c>
      <c r="B28" s="9" t="str">
        <v>NJ</v>
      </c>
      <c r="C28" s="24">
        <f>SUM('1st Qtr'!C28, '2nd Qtr'!C28, '3rd Qtr'!C28, '4th Qtr'!C28)</f>
        <v>32360.799999999999</v>
      </c>
      <c r="D28" s="13">
        <f>SUM('1st Qtr'!D28, '2nd Qtr'!D28, '3rd Qtr'!D28, '4th Qtr'!D28)</f>
        <v>47003.55</v>
      </c>
      <c r="E28" s="13">
        <f t="shared" si="6"/>
        <v>-14642.750000000004</v>
      </c>
      <c r="F28" s="14">
        <f t="shared" si="7"/>
        <v>-0.31152434231031489</v>
      </c>
      <c r="G28" s="15">
        <f>SUM('1st Qtr'!G28, '2nd Qtr'!G28, '3rd Qtr'!G28, '4th Qtr'!G28)</f>
        <v>0</v>
      </c>
      <c r="H28" s="15">
        <f>SUM('1st Qtr'!H28, '2nd Qtr'!H28, '3rd Qtr'!H28, '4th Qtr'!H28)</f>
        <v>32360.799999999999</v>
      </c>
      <c r="I28" s="16" t="str">
        <f t="shared" si="8"/>
        <v/>
      </c>
    </row>
    <row r="29" spans="1:9" ht="15.6">
      <c r="A29" s="17" t="str">
        <v>510 Carnegie Center</v>
      </c>
      <c r="B29" s="10" t="str">
        <v>NJ</v>
      </c>
      <c r="C29" s="18">
        <f>SUM('1st Qtr'!C29, '2nd Qtr'!C29, '3rd Qtr'!C29, '4th Qtr'!C29)</f>
        <v>66360.399999999994</v>
      </c>
      <c r="D29" s="18">
        <f>SUM('1st Qtr'!D29, '2nd Qtr'!D29, '3rd Qtr'!D29, '4th Qtr'!D29)</f>
        <v>119861.4</v>
      </c>
      <c r="E29" s="18">
        <f t="shared" si="6"/>
        <v>-53501</v>
      </c>
      <c r="F29" s="19">
        <f t="shared" si="7"/>
        <v>-0.44635720924334277</v>
      </c>
      <c r="G29" s="20">
        <f>SUM('1st Qtr'!G29, '2nd Qtr'!G29, '3rd Qtr'!G29, '4th Qtr'!G29)</f>
        <v>0</v>
      </c>
      <c r="H29" s="20">
        <f>SUM('1st Qtr'!H29, '2nd Qtr'!H29, '3rd Qtr'!H29, '4th Qtr'!H29)</f>
        <v>66360.399999999994</v>
      </c>
      <c r="I29" s="19" t="str">
        <f t="shared" si="8"/>
        <v/>
      </c>
    </row>
    <row r="30" spans="1:9" ht="15.6">
      <c r="A30" s="12" t="str">
        <v>701 Carnegie Center</v>
      </c>
      <c r="B30" s="9" t="str">
        <v>NJ</v>
      </c>
      <c r="C30" s="24">
        <f>SUM('1st Qtr'!C30, '2nd Qtr'!C30, '3rd Qtr'!C30, '4th Qtr'!C30)</f>
        <v>61625.285000000003</v>
      </c>
      <c r="D30" s="13">
        <f>SUM('1st Qtr'!D30, '2nd Qtr'!D30, '3rd Qtr'!D30, '4th Qtr'!D30)</f>
        <v>91246.2</v>
      </c>
      <c r="E30" s="13">
        <f t="shared" si="6"/>
        <v>-29620.914999999994</v>
      </c>
      <c r="F30" s="14">
        <f t="shared" si="7"/>
        <v>-0.3246262858069705</v>
      </c>
      <c r="G30" s="15">
        <f>SUM('1st Qtr'!G30, '2nd Qtr'!G30, '3rd Qtr'!G30, '4th Qtr'!G30)</f>
        <v>0</v>
      </c>
      <c r="H30" s="15">
        <f>SUM('1st Qtr'!H30, '2nd Qtr'!H30, '3rd Qtr'!H30, '4th Qtr'!H30)</f>
        <v>61625.285000000003</v>
      </c>
      <c r="I30" s="16" t="str">
        <f t="shared" si="8"/>
        <v/>
      </c>
    </row>
    <row r="31" spans="1:9" ht="15.6">
      <c r="A31" s="17" t="str">
        <v>Hudson County Correction</v>
      </c>
      <c r="B31" s="10" t="str">
        <v>NJ</v>
      </c>
      <c r="C31" s="18">
        <f>SUM('1st Qtr'!C31, '2nd Qtr'!C31, '3rd Qtr'!C31, '4th Qtr'!C31)</f>
        <v>85632.076993332201</v>
      </c>
      <c r="D31" s="18">
        <f>SUM('1st Qtr'!D31, '2nd Qtr'!D31, '3rd Qtr'!D31, '4th Qtr'!D31)</f>
        <v>85344.2</v>
      </c>
      <c r="E31" s="18">
        <f t="shared" si="6"/>
        <v>287.87699333220371</v>
      </c>
      <c r="F31" s="19">
        <f t="shared" si="7"/>
        <v>3.3731289687196518E-3</v>
      </c>
      <c r="G31" s="20">
        <f>SUM('1st Qtr'!G31, '2nd Qtr'!G31, '3rd Qtr'!G31, '4th Qtr'!G31)</f>
        <v>86957.91</v>
      </c>
      <c r="H31" s="20">
        <f>SUM('1st Qtr'!H31, '2nd Qtr'!H31, '3rd Qtr'!H31, '4th Qtr'!H31)</f>
        <v>-1325.8330066678027</v>
      </c>
      <c r="I31" s="19">
        <f t="shared" si="8"/>
        <v>-1.524683616094042E-2</v>
      </c>
    </row>
    <row r="32" spans="1:9" ht="15.6">
      <c r="A32" s="12" t="str">
        <v>ER Bison Solar</v>
      </c>
      <c r="B32" s="9" t="str">
        <v>PA</v>
      </c>
      <c r="C32" s="24">
        <f>SUM('1st Qtr'!C32, '2nd Qtr'!C32, '3rd Qtr'!C32, '4th Qtr'!C32)</f>
        <v>93337</v>
      </c>
      <c r="D32" s="13">
        <f>SUM('1st Qtr'!D32, '2nd Qtr'!D32, '3rd Qtr'!D32, '4th Qtr'!D32)</f>
        <v>0</v>
      </c>
      <c r="E32" s="13">
        <f t="shared" si="6"/>
        <v>93337</v>
      </c>
      <c r="F32" s="14" t="str">
        <f t="shared" si="7"/>
        <v/>
      </c>
      <c r="G32" s="15">
        <f>SUM('1st Qtr'!G32, '2nd Qtr'!G32, '3rd Qtr'!G32, '4th Qtr'!G32)</f>
        <v>100651</v>
      </c>
      <c r="H32" s="15">
        <f>SUM('1st Qtr'!H32, '2nd Qtr'!H32, '3rd Qtr'!H32, '4th Qtr'!H32)</f>
        <v>-7314</v>
      </c>
      <c r="I32" s="16">
        <f t="shared" si="8"/>
        <v>-7.2666938232108971E-2</v>
      </c>
    </row>
    <row r="33" spans="1:9" ht="15.6">
      <c r="A33" s="17" t="str">
        <v>Danville</v>
      </c>
      <c r="B33" s="10" t="str">
        <v>IL</v>
      </c>
      <c r="C33" s="18">
        <f>SUM('1st Qtr'!C33, '2nd Qtr'!C33, '3rd Qtr'!C33, '4th Qtr'!C33)</f>
        <v>235052.1</v>
      </c>
      <c r="D33" s="18">
        <f>SUM('1st Qtr'!D33, '2nd Qtr'!D33, '3rd Qtr'!D33, '4th Qtr'!D33)</f>
        <v>0</v>
      </c>
      <c r="E33" s="18">
        <f t="shared" si="6"/>
        <v>235052.1</v>
      </c>
      <c r="F33" s="19" t="str">
        <f t="shared" si="7"/>
        <v/>
      </c>
      <c r="G33" s="20">
        <f>SUM('1st Qtr'!G33, '2nd Qtr'!G33, '3rd Qtr'!G33, '4th Qtr'!G33)</f>
        <v>0</v>
      </c>
      <c r="H33" s="20">
        <f>SUM('1st Qtr'!H33, '2nd Qtr'!H33, '3rd Qtr'!H33, '4th Qtr'!H33)</f>
        <v>235052.1</v>
      </c>
      <c r="I33" s="19" t="str">
        <f t="shared" si="8"/>
        <v/>
      </c>
    </row>
    <row r="34" spans="1:9" ht="15.6">
      <c r="A34" s="12" t="str">
        <v>Camden - Campbell Soup HQ</v>
      </c>
      <c r="B34" s="9" t="str">
        <v>NJ</v>
      </c>
      <c r="C34" s="24">
        <f>SUM('1st Qtr'!C34, '2nd Qtr'!C34, '3rd Qtr'!C34, '4th Qtr'!C34)</f>
        <v>136065</v>
      </c>
      <c r="D34" s="13">
        <f>SUM('1st Qtr'!D34, '2nd Qtr'!D34, '3rd Qtr'!D34, '4th Qtr'!D34)</f>
        <v>211584.39490000001</v>
      </c>
      <c r="E34" s="13">
        <f t="shared" si="6"/>
        <v>-75519.394900000014</v>
      </c>
      <c r="F34" s="14">
        <f t="shared" si="7"/>
        <v>-0.35692327373997662</v>
      </c>
      <c r="G34" s="15">
        <f>SUM('1st Qtr'!G34, '2nd Qtr'!G34, '3rd Qtr'!G34, '4th Qtr'!G34)</f>
        <v>247940.87</v>
      </c>
      <c r="H34" s="15">
        <f>SUM('1st Qtr'!H34, '2nd Qtr'!H34, '3rd Qtr'!H34, '4th Qtr'!H34)</f>
        <v>-111875.87</v>
      </c>
      <c r="I34" s="16">
        <f t="shared" si="8"/>
        <v>-0.45121996224341715</v>
      </c>
    </row>
    <row r="35" spans="1:9" ht="13.9">
      <c r="A35" s="21" t="str">
        <v>Westport - Pine Hill</v>
      </c>
      <c r="B35" s="21" t="str">
        <v>MA</v>
      </c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24" activePane="bottomRight" state="frozen"/>
      <selection pane="bottomRight" activeCell="I32" sqref="I32:I34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Greenbacker Capital</v>
      </c>
      <c r="B1" s="88"/>
      <c r="C1" s="88"/>
      <c r="D1" s="89" t="s">
        <v>10</v>
      </c>
      <c r="E1" s="89"/>
      <c r="F1" s="89"/>
      <c r="G1" s="87" t="s">
        <v>11</v>
      </c>
      <c r="H1" s="87"/>
      <c r="I1" s="87"/>
    </row>
    <row r="2" spans="1:9" ht="19.5" customHeight="1">
      <c r="A2" s="90" t="s">
        <v>2</v>
      </c>
      <c r="B2" s="90"/>
      <c r="C2" s="5">
        <f>SUM(C4:C100)</f>
        <v>1979892.9447689694</v>
      </c>
      <c r="D2" s="5">
        <f>SUM(D4:D100)</f>
        <v>2263679.1919</v>
      </c>
      <c r="E2" s="5">
        <f>C2-D2</f>
        <v>-283786.24713103054</v>
      </c>
      <c r="F2" s="6">
        <f>IFERROR(E2/D2, 0)</f>
        <v>-0.12536504649001828</v>
      </c>
      <c r="G2" s="5">
        <f>SUM(G4:G100)</f>
        <v>1515375.4470000002</v>
      </c>
      <c r="H2" s="7">
        <f>C2-G2</f>
        <v>464517.49776896928</v>
      </c>
      <c r="I2" s="6">
        <f>IFERROR(H2/G2, 0)</f>
        <v>0.30653624399720741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5">Sites[Site]</f>
        <v>10 Walpole Park South</v>
      </c>
      <c r="B4" s="9" t="str" cm="1">
        <f t="array" ref="B4:B35">Sites[State]</f>
        <v>MA</v>
      </c>
      <c r="C4" s="24">
        <f>SUM(Jan!C4, Feb!C4, Mar!C4)</f>
        <v>6082.5625</v>
      </c>
      <c r="D4" s="13">
        <f>SUM(Jan!D4, Feb!D4, Mar!D4)</f>
        <v>6594.4369999999999</v>
      </c>
      <c r="E4" s="13">
        <f>IF(AND(ISNUMBER(C4),ISNUMBER(D4)), C4-D4, "")</f>
        <v>-511.8744999999999</v>
      </c>
      <c r="F4" s="14">
        <f>IFERROR(E4/D4, "")</f>
        <v>-7.7622168503543199E-2</v>
      </c>
      <c r="G4" s="15">
        <f>SUM(Jan!G4, Feb!G4, Mar!G4)</f>
        <v>6789.067</v>
      </c>
      <c r="H4" s="15">
        <f>SUM(Jan!H4, Feb!H4, Mar!H4)</f>
        <v>-706.50450000000001</v>
      </c>
      <c r="I4" s="16">
        <f>IFERROR(H4/G4, "")</f>
        <v>-0.10406503574055169</v>
      </c>
    </row>
    <row r="5" spans="1:9" ht="15.6">
      <c r="A5" s="46" t="str">
        <v>15 Walpole Park South</v>
      </c>
      <c r="B5" s="10" t="str">
        <v>MA</v>
      </c>
      <c r="C5" s="11">
        <f>SUM(Jan!C5, Feb!C5, Mar!C5)</f>
        <v>22096</v>
      </c>
      <c r="D5" s="18">
        <f>SUM(Jan!D5, Feb!D5, Mar!D5)</f>
        <v>34986.43</v>
      </c>
      <c r="E5" s="18">
        <f t="shared" ref="E5:E15" si="0">IF(AND(ISNUMBER(C5),ISNUMBER(D5)), C5-D5, "")</f>
        <v>-12890.43</v>
      </c>
      <c r="F5" s="19">
        <f>IFERROR(E5/D5, "")</f>
        <v>-0.36844084978090075</v>
      </c>
      <c r="G5" s="20">
        <f>SUM(Jan!G5, Feb!G5, Mar!G5)</f>
        <v>21495.47</v>
      </c>
      <c r="H5" s="20">
        <f>SUM(Jan!H5, Feb!H5, Mar!H5)</f>
        <v>600.52999999999884</v>
      </c>
      <c r="I5" s="19">
        <f>IFERROR(H5/G5, "")</f>
        <v>2.7937514276263734E-2</v>
      </c>
    </row>
    <row r="6" spans="1:9" ht="15.6">
      <c r="A6" s="45" t="str">
        <v>19 Walpole Park South</v>
      </c>
      <c r="B6" s="9" t="str">
        <v>MA</v>
      </c>
      <c r="C6" s="24">
        <f>SUM(Jan!C6, Feb!C6, Mar!C6)</f>
        <v>12286.625</v>
      </c>
      <c r="D6" s="13">
        <f>SUM(Jan!D6, Feb!D6, Mar!D6)</f>
        <v>18535.3</v>
      </c>
      <c r="E6" s="13">
        <f t="shared" si="0"/>
        <v>-6248.6749999999993</v>
      </c>
      <c r="F6" s="14">
        <f t="shared" ref="F6:F15" si="1">IFERROR(E6/D6, "")</f>
        <v>-0.33712294918344993</v>
      </c>
      <c r="G6" s="15">
        <f>SUM(Jan!G6, Feb!G6, Mar!G6)</f>
        <v>14377.87</v>
      </c>
      <c r="H6" s="15">
        <f>SUM(Jan!H6, Feb!H6, Mar!H6)</f>
        <v>-2091.2450000000008</v>
      </c>
      <c r="I6" s="16">
        <f t="shared" ref="I6:I15" si="2">IFERROR(H6/G6, "")</f>
        <v>-0.14544887385961902</v>
      </c>
    </row>
    <row r="7" spans="1:9" ht="15.6">
      <c r="A7" s="46" t="str">
        <v>23 Walpole Park South</v>
      </c>
      <c r="B7" s="10" t="str">
        <v>MA</v>
      </c>
      <c r="C7" s="11">
        <f>SUM(Jan!C7, Feb!C7, Mar!C7)</f>
        <v>17017.5</v>
      </c>
      <c r="D7" s="18">
        <f>SUM(Jan!D7, Feb!D7, Mar!D7)</f>
        <v>24815.119999999999</v>
      </c>
      <c r="E7" s="18">
        <f t="shared" si="0"/>
        <v>-7797.619999999999</v>
      </c>
      <c r="F7" s="19">
        <f t="shared" si="1"/>
        <v>-0.3142285832186183</v>
      </c>
      <c r="G7" s="20">
        <f>SUM(Jan!G7, Feb!G7, Mar!G7)</f>
        <v>18470.54</v>
      </c>
      <c r="H7" s="20">
        <f>SUM(Jan!H7, Feb!H7, Mar!H7)</f>
        <v>-1453.0400000000009</v>
      </c>
      <c r="I7" s="19">
        <f t="shared" si="2"/>
        <v>-7.8667976139300794E-2</v>
      </c>
    </row>
    <row r="8" spans="1:9" ht="15.6">
      <c r="A8" s="45" t="str">
        <v>24 Walpole Park South</v>
      </c>
      <c r="B8" s="9" t="str">
        <v>MA</v>
      </c>
      <c r="C8" s="24">
        <f>SUM(Jan!C8, Feb!C8, Mar!C8)</f>
        <v>23711.25</v>
      </c>
      <c r="D8" s="13">
        <f>SUM(Jan!D8, Feb!D8, Mar!D8)</f>
        <v>19088.14</v>
      </c>
      <c r="E8" s="13">
        <f t="shared" si="0"/>
        <v>4623.1100000000006</v>
      </c>
      <c r="F8" s="14">
        <f t="shared" si="1"/>
        <v>0.24219803501022105</v>
      </c>
      <c r="G8" s="15">
        <f>SUM(Jan!G8, Feb!G8, Mar!G8)</f>
        <v>28498.52</v>
      </c>
      <c r="H8" s="15">
        <f>SUM(Jan!H8, Feb!H8, Mar!H8)</f>
        <v>-4787.2700000000004</v>
      </c>
      <c r="I8" s="16">
        <f t="shared" si="2"/>
        <v>-0.16798310929830743</v>
      </c>
    </row>
    <row r="9" spans="1:9" ht="15.6">
      <c r="A9" s="46" t="str">
        <v>25 Walpole Park South</v>
      </c>
      <c r="B9" s="10" t="str">
        <v>MA</v>
      </c>
      <c r="C9" s="11">
        <f>SUM(Jan!C9, Feb!C9, Mar!C9)</f>
        <v>24218</v>
      </c>
      <c r="D9" s="18">
        <f>SUM(Jan!D9, Feb!D9, Mar!D9)</f>
        <v>32717.42</v>
      </c>
      <c r="E9" s="18">
        <f t="shared" si="0"/>
        <v>-8499.4199999999983</v>
      </c>
      <c r="F9" s="19">
        <f t="shared" si="1"/>
        <v>-0.25978270902779005</v>
      </c>
      <c r="G9" s="20">
        <f>SUM(Jan!G9, Feb!G9, Mar!G9)</f>
        <v>28984.84</v>
      </c>
      <c r="H9" s="20">
        <f>SUM(Jan!H9, Feb!H9, Mar!H9)</f>
        <v>-4766.84</v>
      </c>
      <c r="I9" s="19">
        <f t="shared" si="2"/>
        <v>-0.1644597658638102</v>
      </c>
    </row>
    <row r="10" spans="1:9" ht="15.6">
      <c r="A10" s="45" t="str">
        <v>3 Walpole Park South</v>
      </c>
      <c r="B10" s="9" t="str">
        <v>MA</v>
      </c>
      <c r="C10" s="24">
        <f>SUM(Jan!C10, Feb!C10, Mar!C10)</f>
        <v>32137.687499999101</v>
      </c>
      <c r="D10" s="13">
        <f>SUM(Jan!D10, Feb!D10, Mar!D10)</f>
        <v>51986.12</v>
      </c>
      <c r="E10" s="13">
        <f t="shared" si="0"/>
        <v>-19848.432500000901</v>
      </c>
      <c r="F10" s="14">
        <f t="shared" si="1"/>
        <v>-0.3818025369079458</v>
      </c>
      <c r="G10" s="15">
        <f>SUM(Jan!G10, Feb!G10, Mar!G10)</f>
        <v>34626.19</v>
      </c>
      <c r="H10" s="15">
        <f>SUM(Jan!H10, Feb!H10, Mar!H10)</f>
        <v>-2488.5025000009009</v>
      </c>
      <c r="I10" s="16">
        <f t="shared" si="2"/>
        <v>-7.1867638339675854E-2</v>
      </c>
    </row>
    <row r="11" spans="1:9" ht="15.6">
      <c r="A11" s="46" t="str">
        <v>4 Walpole Park South</v>
      </c>
      <c r="B11" s="10" t="str">
        <v>MA</v>
      </c>
      <c r="C11" s="11">
        <f>SUM(Jan!C11, Feb!C11, Mar!C11)</f>
        <v>18926.5</v>
      </c>
      <c r="D11" s="18">
        <f>SUM(Jan!D11, Feb!D11, Mar!D11)</f>
        <v>30719.42</v>
      </c>
      <c r="E11" s="18">
        <f t="shared" si="0"/>
        <v>-11792.919999999998</v>
      </c>
      <c r="F11" s="19">
        <f t="shared" si="1"/>
        <v>-0.38389136253223527</v>
      </c>
      <c r="G11" s="20">
        <f>SUM(Jan!G11, Feb!G11, Mar!G11)</f>
        <v>19589.080000000002</v>
      </c>
      <c r="H11" s="20">
        <f>SUM(Jan!H11, Feb!H11, Mar!H11)</f>
        <v>-662.58000000000175</v>
      </c>
      <c r="I11" s="19">
        <f t="shared" si="2"/>
        <v>-3.3823946811182642E-2</v>
      </c>
    </row>
    <row r="12" spans="1:9" ht="15.6">
      <c r="A12" s="45" t="str">
        <v>Brockton</v>
      </c>
      <c r="B12" s="9" t="str">
        <v>MA</v>
      </c>
      <c r="C12" s="24">
        <f>SUM(Jan!C12, Feb!C12, Mar!C12)</f>
        <v>35242.5</v>
      </c>
      <c r="D12" s="13">
        <f>SUM(Jan!D12, Feb!D12, Mar!D12)</f>
        <v>41958.95</v>
      </c>
      <c r="E12" s="13">
        <f t="shared" si="0"/>
        <v>-6716.4499999999971</v>
      </c>
      <c r="F12" s="14">
        <f t="shared" si="1"/>
        <v>-0.16007192744337018</v>
      </c>
      <c r="G12" s="15">
        <f>SUM(Jan!G12, Feb!G12, Mar!G12)</f>
        <v>35711.300000000003</v>
      </c>
      <c r="H12" s="15">
        <f>SUM(Jan!H12, Feb!H12, Mar!H12)</f>
        <v>-468.80000000000291</v>
      </c>
      <c r="I12" s="16">
        <f t="shared" si="2"/>
        <v>-1.3127497458787635E-2</v>
      </c>
    </row>
    <row r="13" spans="1:9" ht="15.6">
      <c r="A13" s="46" t="str">
        <v>Canton</v>
      </c>
      <c r="B13" s="10" t="str">
        <v>MA</v>
      </c>
      <c r="C13" s="11">
        <f>SUM(Jan!C13, Feb!C13, Mar!C13)</f>
        <v>30237.25</v>
      </c>
      <c r="D13" s="18">
        <f>SUM(Jan!D13, Feb!D13, Mar!D13)</f>
        <v>44905.17</v>
      </c>
      <c r="E13" s="18">
        <f t="shared" si="0"/>
        <v>-14667.919999999998</v>
      </c>
      <c r="F13" s="19">
        <f t="shared" si="1"/>
        <v>-0.32664212160871453</v>
      </c>
      <c r="G13" s="20">
        <f>SUM(Jan!G13, Feb!G13, Mar!G13)</f>
        <v>30749.97</v>
      </c>
      <c r="H13" s="20">
        <f>SUM(Jan!H13, Feb!H13, Mar!H13)</f>
        <v>-512.72000000000116</v>
      </c>
      <c r="I13" s="19">
        <f t="shared" si="2"/>
        <v>-1.6673837405369863E-2</v>
      </c>
    </row>
    <row r="14" spans="1:9" ht="15.6">
      <c r="A14" s="45" t="str">
        <v>Chelsea</v>
      </c>
      <c r="B14" s="9" t="str">
        <v>MA</v>
      </c>
      <c r="C14" s="24">
        <f>SUM(Jan!C14, Feb!C14, Mar!C14)</f>
        <v>66681</v>
      </c>
      <c r="D14" s="13">
        <f>SUM(Jan!D14, Feb!D14, Mar!D14)</f>
        <v>78143.31</v>
      </c>
      <c r="E14" s="13">
        <f t="shared" si="0"/>
        <v>-11462.309999999998</v>
      </c>
      <c r="F14" s="14">
        <f t="shared" si="1"/>
        <v>-0.14668319015408995</v>
      </c>
      <c r="G14" s="15">
        <f>SUM(Jan!G14, Feb!G14, Mar!G14)</f>
        <v>54727.88</v>
      </c>
      <c r="H14" s="15">
        <f>SUM(Jan!H14, Feb!H14, Mar!H14)</f>
        <v>11953.120000000003</v>
      </c>
      <c r="I14" s="16">
        <f t="shared" si="2"/>
        <v>0.21841006814077218</v>
      </c>
    </row>
    <row r="15" spans="1:9" ht="15.6">
      <c r="A15" s="46" t="str">
        <v>Hamilton Landfill</v>
      </c>
      <c r="B15" s="10" t="str">
        <v>MA</v>
      </c>
      <c r="C15" s="11">
        <f>SUM(Jan!C15, Feb!C15, Mar!C15)</f>
        <v>39385.699999999997</v>
      </c>
      <c r="D15" s="18">
        <f>SUM(Jan!D15, Feb!D15, Mar!D15)</f>
        <v>87354.4</v>
      </c>
      <c r="E15" s="18">
        <f t="shared" si="0"/>
        <v>-47968.7</v>
      </c>
      <c r="F15" s="19">
        <f t="shared" si="1"/>
        <v>-0.54912746238311982</v>
      </c>
      <c r="G15" s="20">
        <f>SUM(Jan!G15, Feb!G15, Mar!G15)</f>
        <v>0</v>
      </c>
      <c r="H15" s="20">
        <f>SUM(Jan!H15, Feb!H15, Mar!H15)</f>
        <v>39385.699999999997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SUM(Jan!C16, Feb!C16, Mar!C16)</f>
        <v>79918</v>
      </c>
      <c r="D16" s="13">
        <f>SUM(Jan!D16, Feb!D16, Mar!D16)</f>
        <v>88133.87</v>
      </c>
      <c r="E16" s="13">
        <f t="shared" ref="E16:E18" si="3">IF(AND(ISNUMBER(C16),ISNUMBER(D16)), C16-D16, "")</f>
        <v>-8215.8699999999953</v>
      </c>
      <c r="F16" s="14">
        <f t="shared" ref="F16:F18" si="4">IFERROR(E16/D16, "")</f>
        <v>-9.3220347637066159E-2</v>
      </c>
      <c r="G16" s="15">
        <f>SUM(Jan!G16, Feb!G16, Mar!G16)</f>
        <v>84310.38</v>
      </c>
      <c r="H16" s="15">
        <f>SUM(Jan!H16, Feb!H16, Mar!H16)</f>
        <v>-4392.3800000000047</v>
      </c>
      <c r="I16" s="16">
        <f t="shared" ref="I16:I18" si="5">IFERROR(H16/G16, "")</f>
        <v>-5.2097736957181361E-2</v>
      </c>
    </row>
    <row r="17" spans="1:9" ht="15.6">
      <c r="A17" s="46" t="str">
        <v>Natick HS - Carports</v>
      </c>
      <c r="B17" s="10" t="str">
        <v>MA</v>
      </c>
      <c r="C17" s="11">
        <f>SUM(Jan!C17, Feb!C17, Mar!C17)</f>
        <v>23101.5</v>
      </c>
      <c r="D17" s="18">
        <f>SUM(Jan!D17, Feb!D17, Mar!D17)</f>
        <v>43562.15</v>
      </c>
      <c r="E17" s="18">
        <f t="shared" si="3"/>
        <v>-20460.650000000001</v>
      </c>
      <c r="F17" s="19">
        <f t="shared" si="4"/>
        <v>-0.46968870912018806</v>
      </c>
      <c r="G17" s="20">
        <f>SUM(Jan!G17, Feb!G17, Mar!G17)</f>
        <v>0</v>
      </c>
      <c r="H17" s="20">
        <f>SUM(Jan!H17, Feb!H17, Mar!H17)</f>
        <v>23101.5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SUM(Jan!C18, Feb!C18, Mar!C18)</f>
        <v>0</v>
      </c>
      <c r="D18" s="13">
        <f>SUM(Jan!D18, Feb!D18, Mar!D18)</f>
        <v>0</v>
      </c>
      <c r="E18" s="13">
        <f t="shared" si="3"/>
        <v>0</v>
      </c>
      <c r="F18" s="14" t="str">
        <f t="shared" si="4"/>
        <v/>
      </c>
      <c r="G18" s="15">
        <f>SUM(Jan!G18, Feb!G18, Mar!G18)</f>
        <v>0</v>
      </c>
      <c r="H18" s="15">
        <f>SUM(Jan!H18, Feb!H18, Mar!H18)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SUM(Jan!C19, Feb!C19, Mar!C19)</f>
        <v>34752</v>
      </c>
      <c r="D19" s="18">
        <f>SUM(Jan!D19, Feb!D19, Mar!D19)</f>
        <v>49692.76</v>
      </c>
      <c r="E19" s="18">
        <f t="shared" ref="E19:E34" si="6">IF(AND(ISNUMBER(C19),ISNUMBER(D19)), C19-D19, "")</f>
        <v>-14940.760000000002</v>
      </c>
      <c r="F19" s="19">
        <f t="shared" ref="F19:F34" si="7">IFERROR(E19/D19, "")</f>
        <v>-0.30066271223413638</v>
      </c>
      <c r="G19" s="20">
        <f>SUM(Jan!G19, Feb!G19, Mar!G19)</f>
        <v>45090</v>
      </c>
      <c r="H19" s="20">
        <f>SUM(Jan!H19, Feb!H19, Mar!H19)</f>
        <v>-10338</v>
      </c>
      <c r="I19" s="19">
        <f t="shared" ref="I19:I34" si="8">IFERROR(H19/G19, "")</f>
        <v>-0.22927478376580174</v>
      </c>
    </row>
    <row r="20" spans="1:9" ht="15.6">
      <c r="A20" s="45" t="str">
        <v>Shirley Bartkus</v>
      </c>
      <c r="B20" s="9" t="str">
        <v>MA</v>
      </c>
      <c r="C20" s="24">
        <f>SUM(Jan!C20, Feb!C20, Mar!C20)</f>
        <v>52517.557775638103</v>
      </c>
      <c r="D20" s="13">
        <f>SUM(Jan!D20, Feb!D20, Mar!D20)</f>
        <v>87390.5</v>
      </c>
      <c r="E20" s="13">
        <f t="shared" si="6"/>
        <v>-34872.942224361897</v>
      </c>
      <c r="F20" s="14">
        <f t="shared" si="7"/>
        <v>-0.39904729031601716</v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46" t="str">
        <v>Stoughton</v>
      </c>
      <c r="B21" s="10" t="str">
        <v>MA</v>
      </c>
      <c r="C21" s="11">
        <f>SUM(Jan!C21, Feb!C21, Mar!C21)</f>
        <v>42082</v>
      </c>
      <c r="D21" s="18">
        <f>SUM(Jan!D21, Feb!D21, Mar!D21)</f>
        <v>42134.57</v>
      </c>
      <c r="E21" s="18">
        <f t="shared" si="6"/>
        <v>-52.569999999999709</v>
      </c>
      <c r="F21" s="19">
        <f t="shared" si="7"/>
        <v>-1.2476690755358298E-3</v>
      </c>
      <c r="G21" s="20">
        <f>SUM(Jan!G21, Feb!G21, Mar!G21)</f>
        <v>35429.71</v>
      </c>
      <c r="H21" s="20">
        <f>SUM(Jan!H21, Feb!H21, Mar!H21)</f>
        <v>6652.2900000000009</v>
      </c>
      <c r="I21" s="19">
        <f t="shared" si="8"/>
        <v>0.18776021593177028</v>
      </c>
    </row>
    <row r="22" spans="1:9" ht="15.6">
      <c r="A22" s="45" t="str">
        <v>Wellfleet Landfill</v>
      </c>
      <c r="B22" s="9" t="str">
        <v>MA</v>
      </c>
      <c r="C22" s="24">
        <f>SUM(Jan!C22, Feb!C22, Mar!C22)</f>
        <v>37109.9</v>
      </c>
      <c r="D22" s="13">
        <f>SUM(Jan!D22, Feb!D22, Mar!D22)</f>
        <v>40845.199999999997</v>
      </c>
      <c r="E22" s="13">
        <f t="shared" si="6"/>
        <v>-3735.2999999999956</v>
      </c>
      <c r="F22" s="14">
        <f t="shared" si="7"/>
        <v>-9.1450158158118841E-2</v>
      </c>
      <c r="G22" s="15">
        <f>SUM(Jan!G22, Feb!G22, Mar!G22)</f>
        <v>0</v>
      </c>
      <c r="H22" s="15">
        <f>SUM(Jan!H22, Feb!H22, Mar!H22)</f>
        <v>37109.9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SUM(Jan!C23, Feb!C23, Mar!C23)</f>
        <v>40128.75</v>
      </c>
      <c r="D23" s="18">
        <f>SUM(Jan!D23, Feb!D23, Mar!D23)</f>
        <v>74682.38</v>
      </c>
      <c r="E23" s="18">
        <f t="shared" si="6"/>
        <v>-34553.630000000005</v>
      </c>
      <c r="F23" s="19">
        <f t="shared" si="7"/>
        <v>-0.46267446216898822</v>
      </c>
      <c r="G23" s="20">
        <f>SUM(Jan!G23, Feb!G23, Mar!G23)</f>
        <v>51215.54</v>
      </c>
      <c r="H23" s="20">
        <f>SUM(Jan!H23, Feb!H23, Mar!H23)</f>
        <v>-11086.79</v>
      </c>
      <c r="I23" s="19">
        <f t="shared" si="8"/>
        <v>-0.21647316419977219</v>
      </c>
    </row>
    <row r="24" spans="1:9" ht="15.6">
      <c r="A24" s="45" t="str">
        <v>Woburn</v>
      </c>
      <c r="B24" s="9" t="str">
        <v>MA</v>
      </c>
      <c r="C24" s="24">
        <f>SUM(Jan!C24, Feb!C24, Mar!C24)</f>
        <v>70710.5</v>
      </c>
      <c r="D24" s="13">
        <f>SUM(Jan!D24, Feb!D24, Mar!D24)</f>
        <v>143603</v>
      </c>
      <c r="E24" s="13">
        <f t="shared" si="6"/>
        <v>-72892.5</v>
      </c>
      <c r="F24" s="14">
        <f t="shared" si="7"/>
        <v>-0.50759733431752818</v>
      </c>
      <c r="G24" s="15">
        <f>SUM(Jan!G24, Feb!G24, Mar!G24)</f>
        <v>69288.009999999995</v>
      </c>
      <c r="H24" s="15">
        <f>SUM(Jan!H24, Feb!H24, Mar!H24)</f>
        <v>1422.4900000000052</v>
      </c>
      <c r="I24" s="16">
        <f t="shared" si="8"/>
        <v>2.0530103260289988E-2</v>
      </c>
    </row>
    <row r="25" spans="1:9" ht="15.6">
      <c r="A25" s="46" t="str">
        <v>Friendship Solar 1</v>
      </c>
      <c r="B25" s="10" t="str">
        <v>MD</v>
      </c>
      <c r="C25" s="11">
        <f>SUM(Jan!C25, Feb!C25, Mar!C25)</f>
        <v>249779</v>
      </c>
      <c r="D25" s="18">
        <f>SUM(Jan!D25, Feb!D25, Mar!D25)</f>
        <v>269841.3</v>
      </c>
      <c r="E25" s="18">
        <f t="shared" si="6"/>
        <v>-20062.299999999988</v>
      </c>
      <c r="F25" s="19">
        <f t="shared" si="7"/>
        <v>-7.4348515219871791E-2</v>
      </c>
      <c r="G25" s="20">
        <f>SUM(Jan!G25, Feb!G25, Mar!G25)</f>
        <v>251554.7</v>
      </c>
      <c r="H25" s="20">
        <f>SUM(Jan!H25, Feb!H25, Mar!H25)</f>
        <v>-1775.7000000000116</v>
      </c>
      <c r="I25" s="19">
        <f t="shared" si="8"/>
        <v>-7.0589020996229112E-3</v>
      </c>
    </row>
    <row r="26" spans="1:9" ht="15.6">
      <c r="A26" s="45" t="str">
        <v>Friendship Solar 2</v>
      </c>
      <c r="B26" s="9" t="str">
        <v>MD</v>
      </c>
      <c r="C26" s="24">
        <f>SUM(Jan!C26, Feb!C26, Mar!C26)</f>
        <v>244225</v>
      </c>
      <c r="D26" s="13">
        <f>SUM(Jan!D26, Feb!D26, Mar!D26)</f>
        <v>284533.5</v>
      </c>
      <c r="E26" s="13">
        <f t="shared" si="6"/>
        <v>-40308.5</v>
      </c>
      <c r="F26" s="14">
        <f t="shared" si="7"/>
        <v>-0.14166521692524781</v>
      </c>
      <c r="G26" s="15">
        <f>SUM(Jan!G26, Feb!G26, Mar!G26)</f>
        <v>248916.6</v>
      </c>
      <c r="H26" s="15">
        <f>SUM(Jan!H26, Feb!H26, Mar!H26)</f>
        <v>-4691.6000000000058</v>
      </c>
      <c r="I26" s="16">
        <f t="shared" si="8"/>
        <v>-1.8848080039659893E-2</v>
      </c>
    </row>
    <row r="27" spans="1:9" ht="15.6">
      <c r="A27" s="46" t="str">
        <v>101 Carnegie Center</v>
      </c>
      <c r="B27" s="10" t="str">
        <v>NJ</v>
      </c>
      <c r="C27" s="11">
        <f>SUM(Jan!C27, Feb!C27, Mar!C27)</f>
        <v>67113.5</v>
      </c>
      <c r="D27" s="18">
        <f>SUM(Jan!D27, Feb!D27, Mar!D27)</f>
        <v>112416</v>
      </c>
      <c r="E27" s="18">
        <f t="shared" si="6"/>
        <v>-45302.5</v>
      </c>
      <c r="F27" s="19">
        <f t="shared" si="7"/>
        <v>-0.40298978793054369</v>
      </c>
      <c r="G27" s="20">
        <f>SUM(Jan!G27, Feb!G27, Mar!G27)</f>
        <v>0</v>
      </c>
      <c r="H27" s="20">
        <f>SUM(Jan!H27, Feb!H27, Mar!H27)</f>
        <v>67113.5</v>
      </c>
      <c r="I27" s="19" t="str">
        <f t="shared" si="8"/>
        <v/>
      </c>
    </row>
    <row r="28" spans="1:9" ht="15.6">
      <c r="A28" s="45" t="str">
        <v>302 Carnegie Center</v>
      </c>
      <c r="B28" s="9" t="str">
        <v>NJ</v>
      </c>
      <c r="C28" s="24">
        <f>SUM(Jan!C28, Feb!C28, Mar!C28)</f>
        <v>32360.799999999999</v>
      </c>
      <c r="D28" s="13">
        <f>SUM(Jan!D28, Feb!D28, Mar!D28)</f>
        <v>47003.55</v>
      </c>
      <c r="E28" s="13">
        <f t="shared" si="6"/>
        <v>-14642.750000000004</v>
      </c>
      <c r="F28" s="14">
        <f t="shared" si="7"/>
        <v>-0.31152434231031489</v>
      </c>
      <c r="G28" s="15">
        <f>SUM(Jan!G28, Feb!G28, Mar!G28)</f>
        <v>0</v>
      </c>
      <c r="H28" s="15">
        <f>SUM(Jan!H28, Feb!H28, Mar!H28)</f>
        <v>32360.799999999999</v>
      </c>
      <c r="I28" s="16" t="str">
        <f t="shared" si="8"/>
        <v/>
      </c>
    </row>
    <row r="29" spans="1:9" ht="15.6">
      <c r="A29" s="46" t="str">
        <v>510 Carnegie Center</v>
      </c>
      <c r="B29" s="10" t="str">
        <v>NJ</v>
      </c>
      <c r="C29" s="11">
        <f>SUM(Jan!C29, Feb!C29, Mar!C29)</f>
        <v>66360.399999999994</v>
      </c>
      <c r="D29" s="18">
        <f>SUM(Jan!D29, Feb!D29, Mar!D29)</f>
        <v>119861.4</v>
      </c>
      <c r="E29" s="18">
        <f t="shared" si="6"/>
        <v>-53501</v>
      </c>
      <c r="F29" s="19">
        <f t="shared" si="7"/>
        <v>-0.44635720924334277</v>
      </c>
      <c r="G29" s="20">
        <f>SUM(Jan!G29, Feb!G29, Mar!G29)</f>
        <v>0</v>
      </c>
      <c r="H29" s="20">
        <f>SUM(Jan!H29, Feb!H29, Mar!H29)</f>
        <v>66360.399999999994</v>
      </c>
      <c r="I29" s="19" t="str">
        <f t="shared" si="8"/>
        <v/>
      </c>
    </row>
    <row r="30" spans="1:9" ht="15.6">
      <c r="A30" s="45" t="str">
        <v>701 Carnegie Center</v>
      </c>
      <c r="B30" s="9" t="str">
        <v>NJ</v>
      </c>
      <c r="C30" s="24">
        <f>SUM(Jan!C30, Feb!C30, Mar!C30)</f>
        <v>61625.285000000003</v>
      </c>
      <c r="D30" s="13">
        <f>SUM(Jan!D30, Feb!D30, Mar!D30)</f>
        <v>91246.2</v>
      </c>
      <c r="E30" s="13">
        <f t="shared" si="6"/>
        <v>-29620.914999999994</v>
      </c>
      <c r="F30" s="14">
        <f t="shared" si="7"/>
        <v>-0.3246262858069705</v>
      </c>
      <c r="G30" s="15">
        <f>SUM(Jan!G30, Feb!G30, Mar!G30)</f>
        <v>0</v>
      </c>
      <c r="H30" s="15">
        <f>SUM(Jan!H30, Feb!H30, Mar!H30)</f>
        <v>61625.285000000003</v>
      </c>
      <c r="I30" s="16" t="str">
        <f t="shared" si="8"/>
        <v/>
      </c>
    </row>
    <row r="31" spans="1:9" ht="15.6">
      <c r="A31" s="46" t="str">
        <v>Hudson County Correction</v>
      </c>
      <c r="B31" s="10" t="str">
        <v>NJ</v>
      </c>
      <c r="C31" s="11">
        <f>SUM(Jan!C31, Feb!C31, Mar!C31)</f>
        <v>85632.076993332201</v>
      </c>
      <c r="D31" s="18">
        <f>SUM(Jan!D31, Feb!D31, Mar!D31)</f>
        <v>85344.2</v>
      </c>
      <c r="E31" s="18">
        <f t="shared" si="6"/>
        <v>287.87699333220371</v>
      </c>
      <c r="F31" s="19">
        <f t="shared" si="7"/>
        <v>3.3731289687196518E-3</v>
      </c>
      <c r="G31" s="20">
        <f>SUM(Jan!G31, Feb!G31, Mar!G31)</f>
        <v>86957.91</v>
      </c>
      <c r="H31" s="20">
        <f>SUM(Jan!H31, Feb!H31, Mar!H31)</f>
        <v>-1325.8330066678027</v>
      </c>
      <c r="I31" s="19">
        <f t="shared" si="8"/>
        <v>-1.524683616094042E-2</v>
      </c>
    </row>
    <row r="32" spans="1:9" ht="15.6">
      <c r="A32" s="45" t="str">
        <v>ER Bison Solar</v>
      </c>
      <c r="B32" s="9" t="str">
        <v>PA</v>
      </c>
      <c r="C32" s="24">
        <f>SUM(Jan!C32, Feb!C32, Mar!C32)</f>
        <v>93337</v>
      </c>
      <c r="D32" s="13">
        <f>SUM(Jan!D32, Feb!D32, Mar!D32)</f>
        <v>0</v>
      </c>
      <c r="E32" s="13">
        <f t="shared" si="6"/>
        <v>93337</v>
      </c>
      <c r="F32" s="14" t="str">
        <f t="shared" si="7"/>
        <v/>
      </c>
      <c r="G32" s="15">
        <f>SUM(Jan!G32, Feb!G32, Mar!G32)</f>
        <v>100651</v>
      </c>
      <c r="H32" s="15">
        <f>SUM(Jan!H32, Feb!H32, Mar!H32)</f>
        <v>-7314</v>
      </c>
      <c r="I32" s="16">
        <f t="shared" si="8"/>
        <v>-7.2666938232108971E-2</v>
      </c>
    </row>
    <row r="33" spans="1:9" ht="15.6">
      <c r="A33" s="46" t="str">
        <v>Danville</v>
      </c>
      <c r="B33" s="10" t="str">
        <v>IL</v>
      </c>
      <c r="C33" s="11">
        <f>SUM(Jan!C33, Feb!C33, Mar!C33)</f>
        <v>235052.1</v>
      </c>
      <c r="D33" s="21">
        <f>SUM(Jan!D33, Feb!D33, Mar!D33)</f>
        <v>0</v>
      </c>
      <c r="E33" s="18">
        <f t="shared" si="6"/>
        <v>235052.1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235052.1</v>
      </c>
      <c r="I33" s="19" t="str">
        <f t="shared" si="8"/>
        <v/>
      </c>
    </row>
    <row r="34" spans="1:9" ht="15.6">
      <c r="A34" s="45" t="str">
        <v>Camden - Campbell Soup HQ</v>
      </c>
      <c r="B34" s="9" t="str">
        <v>NJ</v>
      </c>
      <c r="C34" s="24">
        <f>SUM(Jan!C34, Feb!C34, Mar!C34)</f>
        <v>136065</v>
      </c>
      <c r="D34" s="13">
        <f>SUM(Jan!D34, Feb!D34, Mar!D34)</f>
        <v>211584.39490000001</v>
      </c>
      <c r="E34" s="13">
        <f t="shared" si="6"/>
        <v>-75519.394900000014</v>
      </c>
      <c r="F34" s="14">
        <f t="shared" si="7"/>
        <v>-0.35692327373997662</v>
      </c>
      <c r="G34" s="15">
        <f>SUM(Jan!G34, Feb!G34, Mar!G34)</f>
        <v>247940.87</v>
      </c>
      <c r="H34" s="15">
        <f>SUM(Jan!H34, Feb!H34, Mar!H34)</f>
        <v>-111875.87</v>
      </c>
      <c r="I34" s="16">
        <f t="shared" si="8"/>
        <v>-0.45121996224341715</v>
      </c>
    </row>
    <row r="35" spans="1:9" ht="13.9">
      <c r="A35" s="21" t="str">
        <v>Westport - Pine Hill</v>
      </c>
      <c r="B35" s="21" t="str">
        <v>MA</v>
      </c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9" activePane="bottomRight" state="frozen"/>
      <selection pane="bottomRight" activeCell="I32" sqref="I32:I34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Greenbacker Capital</v>
      </c>
      <c r="B1" s="88"/>
      <c r="C1" s="88"/>
      <c r="D1" s="89" t="s">
        <v>12</v>
      </c>
      <c r="E1" s="89"/>
      <c r="F1" s="89"/>
      <c r="G1" s="87" t="s">
        <v>13</v>
      </c>
      <c r="H1" s="87"/>
      <c r="I1" s="87"/>
    </row>
    <row r="2" spans="1:9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5">Sites[Site]</f>
        <v>10 Walpole Park South</v>
      </c>
      <c r="B4" s="9" t="str" cm="1">
        <f t="array" ref="B4:B35">Sites[State]</f>
        <v>MA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6" t="str">
        <v>15 Walpole Park South</v>
      </c>
      <c r="B5" s="10" t="str">
        <v>MA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5" t="str">
        <v>19 Walpole Park South</v>
      </c>
      <c r="B6" s="9" t="str">
        <v>MA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SUM(Apr!G6,May!G6,Jun!G6)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46" t="str">
        <v>23 Walpole Park South</v>
      </c>
      <c r="B7" s="10" t="str">
        <v>MA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18">
        <f>SUM(Apr!G7,May!G7,Jun!G7)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5" t="str">
        <v>24 Walpole Park South</v>
      </c>
      <c r="B8" s="9" t="str">
        <v>MA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6" t="str">
        <v>25 Walpole Park South</v>
      </c>
      <c r="B9" s="10" t="str">
        <v>MA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18">
        <f>SUM(Apr!G9,May!G9,Jun!G9)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45" t="str">
        <v>3 Walpole Park South</v>
      </c>
      <c r="B10" s="9" t="str">
        <v>MA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>
        <f>SUM(Apr!G10,May!G10,Jun!G10)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46" t="str">
        <v>4 Walpole Park South</v>
      </c>
      <c r="B11" s="10" t="str">
        <v>MA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18">
        <f>SUM(Apr!G11,May!G11,Jun!G11)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45" t="str">
        <v>Brockton</v>
      </c>
      <c r="B12" s="9" t="str">
        <v>MA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>
        <f>SUM(Apr!G12,May!G12,Jun!G12)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46" t="str">
        <v>Canton</v>
      </c>
      <c r="B13" s="10" t="str">
        <v>MA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18">
        <f>SUM(Apr!G13,May!G13,Jun!G13)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45" t="str">
        <v>Chelsea</v>
      </c>
      <c r="B14" s="9" t="str">
        <v>MA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>
        <f>SUM(Apr!G14,May!G14,Jun!G14)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46" t="str">
        <v>Hamilton Landfill</v>
      </c>
      <c r="B15" s="10" t="str">
        <v>MA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18">
        <f>SUM(Apr!G15,May!G15,Jun!G15)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>
        <f>SUM(Apr!G16,May!G16,Jun!G16)</f>
        <v>0</v>
      </c>
      <c r="H16" s="15">
        <f>SUM(Apr!H16, May!H16, Jun!H16)</f>
        <v>0</v>
      </c>
      <c r="I16" s="16" t="str">
        <f t="shared" ref="I16:I18" si="5">IFERROR(H16/G16, "")</f>
        <v/>
      </c>
    </row>
    <row r="17" spans="1:9" ht="15.6">
      <c r="A17" s="46" t="str">
        <v>Natick HS - Carports</v>
      </c>
      <c r="B17" s="10" t="str">
        <v>MA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18">
        <f>SUM(Apr!G17,May!G17,Jun!G17)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>
        <f>SUM(Apr!G18,May!G18,Jun!G18)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SUM(Apr!C19, May!C19, Jun!C19)</f>
        <v>0</v>
      </c>
      <c r="D19" s="18">
        <f>SUM(Apr!D19, May!D19, Jun!D19)</f>
        <v>0</v>
      </c>
      <c r="E19" s="18">
        <f t="shared" ref="E19:E34" si="6">IF(AND(ISNUMBER(C19),ISNUMBER(D19)), C19-D19, "")</f>
        <v>0</v>
      </c>
      <c r="F19" s="19" t="str">
        <f t="shared" ref="F19:F34" si="7">IFERROR(E19/D19, "")</f>
        <v/>
      </c>
      <c r="G19" s="18">
        <f>SUM(Apr!G19,May!G19,Jun!G19)</f>
        <v>0</v>
      </c>
      <c r="H19" s="20">
        <f>SUM(Apr!H19, May!H19, Jun!H19)</f>
        <v>0</v>
      </c>
      <c r="I19" s="19" t="str">
        <f t="shared" ref="I19:I34" si="8">IFERROR(H19/G19, "")</f>
        <v/>
      </c>
    </row>
    <row r="20" spans="1:9" ht="15.6">
      <c r="A20" s="45" t="str">
        <v>Shirley Bartkus</v>
      </c>
      <c r="B20" s="9" t="str">
        <v>MA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>
        <f>SUM(Apr!G20,May!G20,Jun!G20)</f>
        <v>0</v>
      </c>
      <c r="H20" s="15">
        <f>SUM(Apr!H20, May!H20, Jun!H20)</f>
        <v>0</v>
      </c>
      <c r="I20" s="16" t="str">
        <f t="shared" si="8"/>
        <v/>
      </c>
    </row>
    <row r="21" spans="1:9" ht="15.6">
      <c r="A21" s="46" t="str">
        <v>Stoughton</v>
      </c>
      <c r="B21" s="10" t="str">
        <v>MA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18">
        <f>SUM(Apr!G21,May!G21,Jun!G21)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45" t="str">
        <v>Wellfleet Landfill</v>
      </c>
      <c r="B22" s="9" t="str">
        <v>MA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>
        <f>SUM(Apr!G22,May!G22,Jun!G22)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18">
        <f>SUM(Apr!G23,May!G23,Jun!G23)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45" t="str">
        <v>Woburn</v>
      </c>
      <c r="B24" s="9" t="str">
        <v>MA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>
        <f>SUM(Apr!G24,May!G24,Jun!G24)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46" t="str">
        <v>Friendship Solar 1</v>
      </c>
      <c r="B25" s="10" t="str">
        <v>MD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18">
        <f>SUM(Apr!G25,May!G25,Jun!G25)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45" t="str">
        <v>Friendship Solar 2</v>
      </c>
      <c r="B26" s="9" t="str">
        <v>MD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>
        <f>SUM(Apr!G26,May!G26,Jun!G26)</f>
        <v>0</v>
      </c>
      <c r="H26" s="15">
        <f>SUM(Apr!H26, May!H26, Jun!H26)</f>
        <v>0</v>
      </c>
      <c r="I26" s="16" t="str">
        <f t="shared" si="8"/>
        <v/>
      </c>
    </row>
    <row r="27" spans="1:9" ht="15.6">
      <c r="A27" s="46" t="str">
        <v>101 Carnegie Center</v>
      </c>
      <c r="B27" s="10" t="str">
        <v>NJ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18">
        <f>SUM(Apr!G27,May!G27,Jun!G27)</f>
        <v>0</v>
      </c>
      <c r="H27" s="20">
        <f>SUM(Apr!H27, May!H27, Jun!H27)</f>
        <v>0</v>
      </c>
      <c r="I27" s="19" t="str">
        <f t="shared" si="8"/>
        <v/>
      </c>
    </row>
    <row r="28" spans="1:9" ht="15.6">
      <c r="A28" s="45" t="str">
        <v>302 Carnegie Center</v>
      </c>
      <c r="B28" s="9" t="str">
        <v>NJ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>
        <f>SUM(Apr!G28,May!G28,Jun!G28)</f>
        <v>0</v>
      </c>
      <c r="H28" s="15">
        <f>SUM(Apr!H28, May!H28, Jun!H28)</f>
        <v>0</v>
      </c>
      <c r="I28" s="16" t="str">
        <f t="shared" si="8"/>
        <v/>
      </c>
    </row>
    <row r="29" spans="1:9" ht="15.6">
      <c r="A29" s="46" t="str">
        <v>510 Carnegie Center</v>
      </c>
      <c r="B29" s="10" t="str">
        <v>NJ</v>
      </c>
      <c r="C29" s="11">
        <f>SUM(Apr!C29, May!C29, Jun!C29)</f>
        <v>0</v>
      </c>
      <c r="D29" s="18">
        <f>SUM(Apr!D29, May!D29, Jun!D29)</f>
        <v>0</v>
      </c>
      <c r="E29" s="18">
        <f t="shared" si="6"/>
        <v>0</v>
      </c>
      <c r="F29" s="19" t="str">
        <f t="shared" si="7"/>
        <v/>
      </c>
      <c r="G29" s="18">
        <f>SUM(Apr!G29,May!G29,Jun!G29)</f>
        <v>0</v>
      </c>
      <c r="H29" s="20">
        <f>SUM(Apr!H29, May!H29, Jun!H29)</f>
        <v>0</v>
      </c>
      <c r="I29" s="19" t="str">
        <f t="shared" si="8"/>
        <v/>
      </c>
    </row>
    <row r="30" spans="1:9" ht="15.6">
      <c r="A30" s="45" t="str">
        <v>701 Carnegie Center</v>
      </c>
      <c r="B30" s="9" t="str">
        <v>NJ</v>
      </c>
      <c r="C30" s="24">
        <f>SUM(Apr!C30, May!C30, Jun!C30)</f>
        <v>0</v>
      </c>
      <c r="D30" s="13">
        <f>SUM(Apr!D30, May!D30, Jun!D30)</f>
        <v>0</v>
      </c>
      <c r="E30" s="13">
        <f t="shared" si="6"/>
        <v>0</v>
      </c>
      <c r="F30" s="14" t="str">
        <f t="shared" si="7"/>
        <v/>
      </c>
      <c r="G30" s="15">
        <f>SUM(Apr!G30,May!G30,Jun!G30)</f>
        <v>0</v>
      </c>
      <c r="H30" s="15">
        <f>SUM(Apr!H30, May!H30, Jun!H30)</f>
        <v>0</v>
      </c>
      <c r="I30" s="16" t="str">
        <f t="shared" si="8"/>
        <v/>
      </c>
    </row>
    <row r="31" spans="1:9" ht="15.6">
      <c r="A31" s="46" t="str">
        <v>Hudson County Correction</v>
      </c>
      <c r="B31" s="10" t="str">
        <v>NJ</v>
      </c>
      <c r="C31" s="11">
        <f>SUM(Apr!C31, May!C31, Jun!C31)</f>
        <v>0</v>
      </c>
      <c r="D31" s="18">
        <f>SUM(Apr!D31, May!D31, Jun!D31)</f>
        <v>0</v>
      </c>
      <c r="E31" s="18">
        <f t="shared" si="6"/>
        <v>0</v>
      </c>
      <c r="F31" s="19" t="str">
        <f t="shared" si="7"/>
        <v/>
      </c>
      <c r="G31" s="18">
        <f>SUM(Apr!G31,May!G31,Jun!G31)</f>
        <v>0</v>
      </c>
      <c r="H31" s="20">
        <f>SUM(Apr!H31, May!H31, Jun!H31)</f>
        <v>0</v>
      </c>
      <c r="I31" s="19" t="str">
        <f t="shared" si="8"/>
        <v/>
      </c>
    </row>
    <row r="32" spans="1:9" ht="15.6">
      <c r="A32" s="45" t="str">
        <v>ER Bison Solar</v>
      </c>
      <c r="B32" s="9" t="str">
        <v>PA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>
        <f>SUM(Apr!G32,May!G32,Jun!G32)</f>
        <v>0</v>
      </c>
      <c r="H32" s="15">
        <f>SUM(Apr!H32, May!H32, Jun!H32)</f>
        <v>0</v>
      </c>
      <c r="I32" s="16" t="str">
        <f t="shared" si="8"/>
        <v/>
      </c>
    </row>
    <row r="33" spans="1:9" ht="15.6">
      <c r="A33" s="46" t="str">
        <v>Danville</v>
      </c>
      <c r="B33" s="10" t="str">
        <v>IL</v>
      </c>
      <c r="C33" s="11">
        <f>SUM(Apr!C33, May!C33, Jun!C33)</f>
        <v>0</v>
      </c>
      <c r="D33" s="18">
        <f>SUM(Apr!D33, May!D33, Jun!D33)</f>
        <v>0</v>
      </c>
      <c r="E33" s="18">
        <f t="shared" si="6"/>
        <v>0</v>
      </c>
      <c r="F33" s="19" t="str">
        <f t="shared" si="7"/>
        <v/>
      </c>
      <c r="G33" s="18">
        <f>SUM(Apr!G33,May!G33,Jun!G33)</f>
        <v>0</v>
      </c>
      <c r="H33" s="20">
        <f>SUM(Apr!H33, May!H33, Jun!H33)</f>
        <v>0</v>
      </c>
      <c r="I33" s="19" t="str">
        <f t="shared" si="8"/>
        <v/>
      </c>
    </row>
    <row r="34" spans="1:9" ht="15.6">
      <c r="A34" s="45" t="str">
        <v>Camden - Campbell Soup HQ</v>
      </c>
      <c r="B34" s="9" t="str">
        <v>NJ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>
        <f>SUM(Apr!G34,May!G34,Jun!G34)</f>
        <v>0</v>
      </c>
      <c r="H34" s="15">
        <f>SUM(Apr!H34, May!H34, Jun!H34)</f>
        <v>0</v>
      </c>
      <c r="I34" s="16" t="str">
        <f t="shared" si="8"/>
        <v/>
      </c>
    </row>
    <row r="35" spans="1:9" ht="13.9">
      <c r="A35" s="21" t="str">
        <v>Westport - Pine Hill</v>
      </c>
      <c r="B35" s="21" t="str">
        <v>MA</v>
      </c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9" activePane="bottomRight" state="frozen"/>
      <selection pane="bottomRight" activeCell="K33" sqref="K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Greenbacker Capital</v>
      </c>
      <c r="B1" s="88"/>
      <c r="C1" s="88"/>
      <c r="D1" s="89" t="s">
        <v>14</v>
      </c>
      <c r="E1" s="89"/>
      <c r="F1" s="89"/>
      <c r="G1" s="87" t="s">
        <v>15</v>
      </c>
      <c r="H1" s="87"/>
      <c r="I1" s="87"/>
    </row>
    <row r="2" spans="1:9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5">Sites[Site]</f>
        <v>10 Walpole Park South</v>
      </c>
      <c r="B4" s="9" t="str" cm="1">
        <f t="array" ref="B4:B35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6" t="str">
        <v>15 Walpole Park South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5" t="str">
        <v>19 Walpole Park South</v>
      </c>
      <c r="B6" s="9" t="str">
        <v>MA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46" t="str">
        <v>23 Walpole Park South</v>
      </c>
      <c r="B7" s="10" t="str">
        <v>MA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18">
        <f>SUM(Jul!G7,Aug!G7,Sep!G7)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5" t="str">
        <v>24 Walpole Park South</v>
      </c>
      <c r="B8" s="9" t="str">
        <v>MA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SUM(Jul!G8,Aug!G8,Sep!G8)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46" t="str">
        <v>25 Walpole Park South</v>
      </c>
      <c r="B9" s="10" t="str">
        <v>MA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18">
        <f>SUM(Jul!G9,Aug!G9,Sep!G9)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45" t="str">
        <v>3 Walpole Park South</v>
      </c>
      <c r="B10" s="9" t="str">
        <v>MA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SUM(Jul!G10,Aug!G10,Sep!G10)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46" t="str">
        <v>4 Walpole Park South</v>
      </c>
      <c r="B11" s="10" t="str">
        <v>MA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18">
        <f>SUM(Jul!G11,Aug!G11,Sep!G11)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45" t="str">
        <v>Brockton</v>
      </c>
      <c r="B12" s="9" t="str">
        <v>MA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SUM(Jul!G12,Aug!G12,Sep!G12)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46" t="str">
        <v>Canton</v>
      </c>
      <c r="B13" s="10" t="str">
        <v>MA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18">
        <f>SUM(Jul!G13,Aug!G13,Sep!G13)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45" t="str">
        <v>Chelsea</v>
      </c>
      <c r="B14" s="9" t="str">
        <v>MA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SUM(Jul!G14,Aug!G14,Sep!G14)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46" t="str">
        <v>Hamilton Landfill</v>
      </c>
      <c r="B15" s="10" t="str">
        <v>MA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18">
        <f>SUM(Jul!G15,Aug!G15,Sep!G15)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SUM(Jul!G16,Aug!G16,Sep!G16)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46" t="str">
        <v>Natick HS - Carports</v>
      </c>
      <c r="B17" s="10" t="str">
        <v>MA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18">
        <f>SUM(Jul!G17,Aug!G17,Sep!G17)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SUM(Jul!G18,Aug!G18,Sep!G18)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18">
        <f>SUM(Jul!G19,Aug!G19,Sep!G19)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45" t="str">
        <v>Shirley Bartkus</v>
      </c>
      <c r="B20" s="9" t="str">
        <v>MA</v>
      </c>
      <c r="C20" s="24">
        <f>SUM(Jul!C20, Aug!C20, Sep!C20)</f>
        <v>0</v>
      </c>
      <c r="D20" s="13">
        <f>SUM(Jul!D20, Aug!D20, Sep!D20)</f>
        <v>0</v>
      </c>
      <c r="E20" s="13">
        <f t="shared" ref="E20:E34" si="6">IF(AND(ISNUMBER(C20),ISNUMBER(D20)), C20-D20, "")</f>
        <v>0</v>
      </c>
      <c r="F20" s="14" t="str">
        <f t="shared" ref="F20:F34" si="7">IFERROR(E20/D20, "")</f>
        <v/>
      </c>
      <c r="G20" s="15">
        <f>SUM(Jul!G20,Aug!G20,Sep!G20)</f>
        <v>0</v>
      </c>
      <c r="H20" s="15">
        <f>SUM(Jul!H20, Aug!H20, Sep!H20)</f>
        <v>0</v>
      </c>
      <c r="I20" s="16" t="str">
        <f t="shared" ref="I20:I34" si="8">IFERROR(H20/G20, "")</f>
        <v/>
      </c>
    </row>
    <row r="21" spans="1:9" ht="15.6">
      <c r="A21" s="46" t="str">
        <v>Stoughton</v>
      </c>
      <c r="B21" s="10" t="str">
        <v>MA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18">
        <f>SUM(Jul!G21,Aug!G21,Sep!G21)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45" t="str">
        <v>Wellfleet Landfill</v>
      </c>
      <c r="B22" s="9" t="str">
        <v>MA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SUM(Jul!G22,Aug!G22,Sep!G22)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18">
        <f>SUM(Jul!G23,Aug!G23,Sep!G23)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45" t="str">
        <v>Woburn</v>
      </c>
      <c r="B24" s="9" t="str">
        <v>MA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SUM(Jul!G24,Aug!G24,Sep!G24)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46" t="str">
        <v>Friendship Solar 1</v>
      </c>
      <c r="B25" s="10" t="str">
        <v>MD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18">
        <f>SUM(Jul!G25,Aug!G25,Sep!G25)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45" t="str">
        <v>Friendship Solar 2</v>
      </c>
      <c r="B26" s="9" t="str">
        <v>MD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>
        <f>SUM(Jul!G26,Aug!G26,Sep!G26)</f>
        <v>0</v>
      </c>
      <c r="H26" s="15">
        <f>SUM(Jul!H26, Aug!H26, Sep!H26)</f>
        <v>0</v>
      </c>
      <c r="I26" s="16" t="str">
        <f t="shared" si="8"/>
        <v/>
      </c>
    </row>
    <row r="27" spans="1:9" ht="15.6">
      <c r="A27" s="46" t="str">
        <v>101 Carnegie Center</v>
      </c>
      <c r="B27" s="10" t="str">
        <v>NJ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18">
        <f>SUM(Jul!G27,Aug!G27,Sep!G27)</f>
        <v>0</v>
      </c>
      <c r="H27" s="20">
        <f>SUM(Jul!H27, Aug!H27, Sep!H27)</f>
        <v>0</v>
      </c>
      <c r="I27" s="19" t="str">
        <f t="shared" si="8"/>
        <v/>
      </c>
    </row>
    <row r="28" spans="1:9" ht="15.6">
      <c r="A28" s="45" t="str">
        <v>302 Carnegie Center</v>
      </c>
      <c r="B28" s="9" t="str">
        <v>NJ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>
        <f>SUM(Jul!G28,Aug!G28,Sep!G28)</f>
        <v>0</v>
      </c>
      <c r="H28" s="15">
        <f>SUM(Jul!H28, Aug!H28, Sep!H28)</f>
        <v>0</v>
      </c>
      <c r="I28" s="16" t="str">
        <f t="shared" si="8"/>
        <v/>
      </c>
    </row>
    <row r="29" spans="1:9" ht="15.6">
      <c r="A29" s="46" t="str">
        <v>510 Carnegie Center</v>
      </c>
      <c r="B29" s="10" t="str">
        <v>NJ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18">
        <f>SUM(Jul!G29,Aug!G29,Sep!G29)</f>
        <v>0</v>
      </c>
      <c r="H29" s="20">
        <f>SUM(Jul!H29, Aug!H29, Sep!H29)</f>
        <v>0</v>
      </c>
      <c r="I29" s="19" t="str">
        <f t="shared" si="8"/>
        <v/>
      </c>
    </row>
    <row r="30" spans="1:9" ht="15.6">
      <c r="A30" s="45" t="str">
        <v>701 Carnegie Center</v>
      </c>
      <c r="B30" s="9" t="str">
        <v>NJ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>
        <f>SUM(Jul!G30,Aug!G30,Sep!G30)</f>
        <v>0</v>
      </c>
      <c r="H30" s="15">
        <f>SUM(Jul!H30, Aug!H30, Sep!H30)</f>
        <v>0</v>
      </c>
      <c r="I30" s="16" t="str">
        <f t="shared" si="8"/>
        <v/>
      </c>
    </row>
    <row r="31" spans="1:9" ht="15.6">
      <c r="A31" s="46" t="str">
        <v>Hudson County Correction</v>
      </c>
      <c r="B31" s="10" t="str">
        <v>NJ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18">
        <f>SUM(Jul!G31,Aug!G31,Sep!G31)</f>
        <v>0</v>
      </c>
      <c r="H31" s="20">
        <f>SUM(Jul!H31, Aug!H31, Sep!H31)</f>
        <v>0</v>
      </c>
      <c r="I31" s="19" t="str">
        <f t="shared" si="8"/>
        <v/>
      </c>
    </row>
    <row r="32" spans="1:9" ht="15.6">
      <c r="A32" s="45" t="str">
        <v>ER Bison Solar</v>
      </c>
      <c r="B32" s="9" t="str">
        <v>PA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>
        <f>SUM(Jul!G32,Aug!G32,Sep!G32)</f>
        <v>0</v>
      </c>
      <c r="H32" s="15">
        <f>SUM(Jul!H32, Aug!H32, Sep!H32)</f>
        <v>0</v>
      </c>
      <c r="I32" s="16" t="str">
        <f t="shared" si="8"/>
        <v/>
      </c>
    </row>
    <row r="33" spans="1:9" ht="15.6">
      <c r="A33" s="46" t="str">
        <v>Danville</v>
      </c>
      <c r="B33" s="10" t="str">
        <v>IL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18">
        <f>SUM(Jul!G33,Aug!G33,Sep!G33)</f>
        <v>0</v>
      </c>
      <c r="H33" s="20">
        <f>SUM(Jul!H33, Aug!H33, Sep!H33)</f>
        <v>0</v>
      </c>
      <c r="I33" s="19" t="str">
        <f t="shared" si="8"/>
        <v/>
      </c>
    </row>
    <row r="34" spans="1:9" ht="15.6">
      <c r="A34" s="45" t="str">
        <v>Camden - Campbell Soup HQ</v>
      </c>
      <c r="B34" s="9" t="str">
        <v>NJ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>
        <f>SUM(Jul!G34,Aug!G34,Sep!G34)</f>
        <v>0</v>
      </c>
      <c r="H34" s="15">
        <f>SUM(Jul!H34, Aug!H34, Sep!H34)</f>
        <v>0</v>
      </c>
      <c r="I34" s="16" t="str">
        <f t="shared" si="8"/>
        <v/>
      </c>
    </row>
    <row r="35" spans="1:9" ht="13.9">
      <c r="A35" s="21" t="str">
        <v>Westport - Pine Hill</v>
      </c>
      <c r="B35" s="21" t="str">
        <v>MA</v>
      </c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19" activePane="bottomRight" state="frozen"/>
      <selection pane="bottomRight" activeCell="K33" sqref="K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Greenbacker Capital</v>
      </c>
      <c r="B1" s="88"/>
      <c r="C1" s="88"/>
      <c r="D1" s="89" t="s">
        <v>16</v>
      </c>
      <c r="E1" s="89"/>
      <c r="F1" s="89"/>
      <c r="G1" s="87" t="s">
        <v>17</v>
      </c>
      <c r="H1" s="87"/>
      <c r="I1" s="87"/>
    </row>
    <row r="2" spans="1:9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35">Sites[Site]</f>
        <v>10 Walpole Park South</v>
      </c>
      <c r="B4" s="9" t="str" cm="1">
        <f t="array" ref="B4:B35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6" t="str">
        <v>15 Walpole Park South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5" t="str">
        <v>19 Walpole Park South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6" t="str">
        <v>23 Walpole Park South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18">
        <f>SUM(Oct!G7,Nov!G7,Dec!G7)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45" t="str">
        <v>24 Walpole Park South</v>
      </c>
      <c r="B8" s="9" t="str">
        <v>MA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46" t="str">
        <v>25 Walpole Park South</v>
      </c>
      <c r="B9" s="10" t="str">
        <v>MA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18">
        <f>SUM(Oct!G9,Nov!G9,Dec!G9)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45" t="str">
        <v>3 Walpole Park South</v>
      </c>
      <c r="B10" s="9" t="str">
        <v>MA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SUM(Oct!G10,Nov!G10,Dec!G10)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46" t="str">
        <v>4 Walpole Park South</v>
      </c>
      <c r="B11" s="10" t="str">
        <v>MA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18">
        <f>SUM(Oct!G11,Nov!G11,Dec!G11)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45" t="str">
        <v>Brockton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SUM(Oct!G12,Nov!G12,Dec!G12)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46" t="str">
        <v>Canton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18">
        <f>SUM(Oct!G13,Nov!G13,Dec!G13)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45" t="str">
        <v>Chelsea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SUM(Oct!G14,Nov!G14,Dec!G14)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46" t="str">
        <v>Hamilton Landfill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18">
        <f>SUM(Oct!G15,Nov!G15,Dec!G15)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45" t="str">
        <v>Holliston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>
        <f>SUM(Oct!G16,Nov!G16,Dec!G16)</f>
        <v>0</v>
      </c>
      <c r="H16" s="15">
        <f>SUM(Oct!H16, Nov!H16, Dec!H16)</f>
        <v>0</v>
      </c>
      <c r="I16" s="16" t="str">
        <f t="shared" ref="I16:I18" si="5">IFERROR(H16/G16, "")</f>
        <v/>
      </c>
    </row>
    <row r="17" spans="1:9" ht="15.6">
      <c r="A17" s="46" t="str">
        <v>Natick HS - Carports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18">
        <f>SUM(Oct!G17,Nov!G17,Dec!G17)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45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>
        <f>SUM(Oct!G18,Nov!G18,Dec!G18)</f>
        <v>0</v>
      </c>
      <c r="H18" s="15">
        <f>SUM(Oct!H18, Nov!H18, Dec!H18)</f>
        <v>0</v>
      </c>
      <c r="I18" s="16" t="str">
        <f t="shared" si="5"/>
        <v/>
      </c>
    </row>
    <row r="19" spans="1:9" ht="15.6">
      <c r="A19" s="46" t="str">
        <v>Palmer - Boston Rd.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5" si="6">IF(AND(ISNUMBER(C19),ISNUMBER(D19)), C19-D19, "")</f>
        <v>0</v>
      </c>
      <c r="F19" s="19" t="str">
        <f t="shared" ref="F19:F25" si="7">IFERROR(E19/D19, "")</f>
        <v/>
      </c>
      <c r="G19" s="18">
        <f>SUM(Oct!G19,Nov!G19,Dec!G19)</f>
        <v>0</v>
      </c>
      <c r="H19" s="20">
        <f>SUM(Oct!H19, Nov!H19, Dec!H19)</f>
        <v>0</v>
      </c>
      <c r="I19" s="19" t="str">
        <f t="shared" ref="I19:I25" si="8">IFERROR(H19/G19, "")</f>
        <v/>
      </c>
    </row>
    <row r="20" spans="1:9" ht="15.6">
      <c r="A20" s="45" t="str">
        <v>Shirley Bartkus</v>
      </c>
      <c r="B20" s="9" t="str">
        <v>MA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SUM(Oct!G20,Nov!G20,Dec!G20)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46" t="str">
        <v>Stoughton</v>
      </c>
      <c r="B21" s="10" t="str">
        <v>MA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18">
        <f>SUM(Oct!G21,Nov!G21,Dec!G21)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45" t="str">
        <v>Wellfleet Landfill</v>
      </c>
      <c r="B22" s="9" t="str">
        <v>MA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SUM(Oct!G22,Nov!G22,Dec!G22)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46" t="str">
        <v>Wilmington Garage &amp; Building 7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18">
        <f>SUM(Oct!G23,Nov!G23,Dec!G23)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45" t="str">
        <v>Woburn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SUM(Oct!G24,Nov!G24,Dec!G24)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46" t="str">
        <v>Friendship Solar 1</v>
      </c>
      <c r="B25" s="10" t="str">
        <v>MD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18">
        <f>SUM(Oct!G25,Nov!G25,Dec!G25)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45" t="str">
        <v>Friendship Solar 2</v>
      </c>
      <c r="B26" s="9" t="str">
        <v>MD</v>
      </c>
      <c r="C26" s="24">
        <f>SUM(Oct!C26, Nov!C26, Dec!C26)</f>
        <v>0</v>
      </c>
      <c r="D26" s="13">
        <f>SUM(Oct!D26, Nov!D26, Dec!D26)</f>
        <v>0</v>
      </c>
      <c r="E26" s="13">
        <f t="shared" ref="E26:E34" si="9">IF(AND(ISNUMBER(C26),ISNUMBER(D26)), C26-D26, "")</f>
        <v>0</v>
      </c>
      <c r="F26" s="14" t="str">
        <f t="shared" ref="F26:F34" si="10">IFERROR(E26/D26, "")</f>
        <v/>
      </c>
      <c r="G26" s="15">
        <f>SUM(Oct!G26,Nov!G26,Dec!G26)</f>
        <v>0</v>
      </c>
      <c r="H26" s="15">
        <f>SUM(Oct!H26, Nov!H26, Dec!H26)</f>
        <v>0</v>
      </c>
      <c r="I26" s="16" t="str">
        <f t="shared" ref="I26:I34" si="11">IFERROR(H26/G26, "")</f>
        <v/>
      </c>
    </row>
    <row r="27" spans="1:9" ht="15.6">
      <c r="A27" s="46" t="str">
        <v>101 Carnegie Center</v>
      </c>
      <c r="B27" s="10" t="str">
        <v>NJ</v>
      </c>
      <c r="C27" s="11">
        <f>SUM(Oct!C27, Nov!C27, Dec!C27)</f>
        <v>0</v>
      </c>
      <c r="D27" s="18">
        <f>SUM(Oct!D27, Nov!D27, Dec!D27)</f>
        <v>0</v>
      </c>
      <c r="E27" s="18">
        <f t="shared" si="9"/>
        <v>0</v>
      </c>
      <c r="F27" s="19" t="str">
        <f t="shared" si="10"/>
        <v/>
      </c>
      <c r="G27" s="18">
        <f>SUM(Oct!G27,Nov!G27,Dec!G27)</f>
        <v>0</v>
      </c>
      <c r="H27" s="20">
        <f>SUM(Oct!H27, Nov!H27, Dec!H27)</f>
        <v>0</v>
      </c>
      <c r="I27" s="19" t="str">
        <f t="shared" si="11"/>
        <v/>
      </c>
    </row>
    <row r="28" spans="1:9" ht="15.6">
      <c r="A28" s="45" t="str">
        <v>302 Carnegie Center</v>
      </c>
      <c r="B28" s="9" t="str">
        <v>NJ</v>
      </c>
      <c r="C28" s="24">
        <f>SUM(Oct!C28, Nov!C28, Dec!C28)</f>
        <v>0</v>
      </c>
      <c r="D28" s="13">
        <f>SUM(Oct!D28, Nov!D28, Dec!D28)</f>
        <v>0</v>
      </c>
      <c r="E28" s="13">
        <f t="shared" si="9"/>
        <v>0</v>
      </c>
      <c r="F28" s="14" t="str">
        <f t="shared" si="10"/>
        <v/>
      </c>
      <c r="G28" s="15">
        <f>SUM(Oct!G28,Nov!G28,Dec!G28)</f>
        <v>0</v>
      </c>
      <c r="H28" s="15">
        <f>SUM(Oct!H28, Nov!H28, Dec!H28)</f>
        <v>0</v>
      </c>
      <c r="I28" s="16" t="str">
        <f t="shared" si="11"/>
        <v/>
      </c>
    </row>
    <row r="29" spans="1:9" ht="15.6">
      <c r="A29" s="46" t="str">
        <v>510 Carnegie Center</v>
      </c>
      <c r="B29" s="10" t="str">
        <v>NJ</v>
      </c>
      <c r="C29" s="11">
        <f>SUM(Oct!C29, Nov!C29, Dec!C29)</f>
        <v>0</v>
      </c>
      <c r="D29" s="18">
        <f>SUM(Oct!D29, Nov!D29, Dec!D29)</f>
        <v>0</v>
      </c>
      <c r="E29" s="18">
        <f t="shared" si="9"/>
        <v>0</v>
      </c>
      <c r="F29" s="19" t="str">
        <f t="shared" si="10"/>
        <v/>
      </c>
      <c r="G29" s="18">
        <f>SUM(Oct!G29,Nov!G29,Dec!G29)</f>
        <v>0</v>
      </c>
      <c r="H29" s="20">
        <f>SUM(Oct!H29, Nov!H29, Dec!H29)</f>
        <v>0</v>
      </c>
      <c r="I29" s="19" t="str">
        <f t="shared" si="11"/>
        <v/>
      </c>
    </row>
    <row r="30" spans="1:9" ht="15.6">
      <c r="A30" s="45" t="str">
        <v>701 Carnegie Center</v>
      </c>
      <c r="B30" s="9" t="str">
        <v>NJ</v>
      </c>
      <c r="C30" s="24">
        <f>SUM(Oct!C30, Nov!C30, Dec!C31)</f>
        <v>0</v>
      </c>
      <c r="D30" s="13">
        <f>SUM(Oct!D30, Nov!D30, Dec!D31)</f>
        <v>0</v>
      </c>
      <c r="E30" s="13">
        <f t="shared" si="9"/>
        <v>0</v>
      </c>
      <c r="F30" s="14" t="str">
        <f t="shared" si="10"/>
        <v/>
      </c>
      <c r="G30" s="15">
        <f>SUM(Oct!G30,Nov!G30,Dec!G31)</f>
        <v>0</v>
      </c>
      <c r="H30" s="15">
        <f>SUM(Oct!H30, Nov!H30, Dec!H31)</f>
        <v>0</v>
      </c>
      <c r="I30" s="16" t="str">
        <f t="shared" si="11"/>
        <v/>
      </c>
    </row>
    <row r="31" spans="1:9" ht="15.6">
      <c r="A31" s="46" t="str">
        <v>Hudson County Correction</v>
      </c>
      <c r="B31" s="10" t="str">
        <v>NJ</v>
      </c>
      <c r="C31" s="11">
        <f>SUM(Oct!C31, Nov!C31, Dec!C32)</f>
        <v>0</v>
      </c>
      <c r="D31" s="18">
        <f>SUM(Oct!D31, Nov!D31, Dec!D32)</f>
        <v>0</v>
      </c>
      <c r="E31" s="18">
        <f t="shared" si="9"/>
        <v>0</v>
      </c>
      <c r="F31" s="19" t="str">
        <f t="shared" si="10"/>
        <v/>
      </c>
      <c r="G31" s="18">
        <f>SUM(Oct!G31,Nov!G31,Dec!G32)</f>
        <v>0</v>
      </c>
      <c r="H31" s="20">
        <f>SUM(Oct!H31, Nov!H31, Dec!H32)</f>
        <v>0</v>
      </c>
      <c r="I31" s="19" t="str">
        <f t="shared" si="11"/>
        <v/>
      </c>
    </row>
    <row r="32" spans="1:9" ht="15.6">
      <c r="A32" s="45" t="str">
        <v>ER Bison Solar</v>
      </c>
      <c r="B32" s="9" t="str">
        <v>PA</v>
      </c>
      <c r="C32" s="24">
        <f>SUM(Oct!C32, Nov!C32, Dec!C33)</f>
        <v>0</v>
      </c>
      <c r="D32" s="13">
        <f>SUM(Oct!D32, Nov!D32, Dec!D33)</f>
        <v>0</v>
      </c>
      <c r="E32" s="13">
        <f t="shared" si="9"/>
        <v>0</v>
      </c>
      <c r="F32" s="14" t="str">
        <f t="shared" si="10"/>
        <v/>
      </c>
      <c r="G32" s="15">
        <f>SUM(Oct!G32,Nov!G32,Dec!G33)</f>
        <v>0</v>
      </c>
      <c r="H32" s="15">
        <f>SUM(Oct!H32, Nov!H32, Dec!H33)</f>
        <v>0</v>
      </c>
      <c r="I32" s="16" t="str">
        <f t="shared" si="11"/>
        <v/>
      </c>
    </row>
    <row r="33" spans="1:9" ht="15.6">
      <c r="A33" s="46" t="str">
        <v>Danville</v>
      </c>
      <c r="B33" s="10" t="str">
        <v>IL</v>
      </c>
      <c r="C33" s="11">
        <f>SUM(Oct!C33, Nov!C33, Dec!C34)</f>
        <v>0</v>
      </c>
      <c r="D33" s="18">
        <f>SUM(Oct!D33, Nov!D33, Dec!D34)</f>
        <v>0</v>
      </c>
      <c r="E33" s="18">
        <f t="shared" si="9"/>
        <v>0</v>
      </c>
      <c r="F33" s="19" t="str">
        <f t="shared" si="10"/>
        <v/>
      </c>
      <c r="G33" s="18">
        <f>SUM(Oct!G33,Nov!G33,Dec!G34)</f>
        <v>0</v>
      </c>
      <c r="H33" s="20">
        <f>SUM(Oct!H33, Nov!H33, Dec!H34)</f>
        <v>0</v>
      </c>
      <c r="I33" s="19" t="str">
        <f t="shared" si="11"/>
        <v/>
      </c>
    </row>
    <row r="34" spans="1:9" ht="15.6">
      <c r="A34" s="45" t="str">
        <v>Camden - Campbell Soup HQ</v>
      </c>
      <c r="B34" s="9" t="str">
        <v>NJ</v>
      </c>
      <c r="C34" s="24">
        <f>SUM(Oct!C34, Nov!C34, Dec!C35)</f>
        <v>0</v>
      </c>
      <c r="D34" s="13">
        <f>SUM(Oct!D34, Nov!D34, Dec!D35)</f>
        <v>0</v>
      </c>
      <c r="E34" s="13">
        <f t="shared" si="9"/>
        <v>0</v>
      </c>
      <c r="F34" s="14" t="str">
        <f t="shared" si="10"/>
        <v/>
      </c>
      <c r="G34" s="15">
        <f>SUM(Oct!G34,Nov!G34,Dec!G35)</f>
        <v>0</v>
      </c>
      <c r="H34" s="15">
        <f>SUM(Oct!H34, Nov!H34, Dec!H35)</f>
        <v>0</v>
      </c>
      <c r="I34" s="16" t="str">
        <f t="shared" si="11"/>
        <v/>
      </c>
    </row>
    <row r="35" spans="1:9" ht="13.9">
      <c r="A35" s="21" t="str">
        <v>Westport - Pine Hill</v>
      </c>
      <c r="B35" s="21" t="str">
        <v>MA</v>
      </c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P341"/>
  <sheetViews>
    <sheetView tabSelected="1" zoomScale="85" zoomScaleNormal="85" workbookViewId="0">
      <pane xSplit="2" ySplit="3" topLeftCell="C4" activePane="bottomRight" state="frozen"/>
      <selection pane="bottomRight" activeCell="P8" sqref="P8"/>
      <selection pane="bottomLeft" activeCell="C4" sqref="C4"/>
      <selection pane="topRight" activeCell="C4" sqref="C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style="44" customWidth="1"/>
    <col min="4" max="4" width="13.28515625" style="44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88" t="str" cm="1">
        <f t="array" ref="A1">portfolio</f>
        <v>Greenbacker Capital</v>
      </c>
      <c r="B1" s="88"/>
      <c r="C1" s="88"/>
      <c r="D1" s="89" t="s">
        <v>18</v>
      </c>
      <c r="E1" s="89"/>
      <c r="F1" s="89"/>
      <c r="G1" s="87" t="s">
        <v>19</v>
      </c>
      <c r="H1" s="87"/>
      <c r="I1" s="87"/>
      <c r="J1" s="4"/>
      <c r="K1" s="4"/>
    </row>
    <row r="2" spans="1:16" ht="19.5" customHeight="1">
      <c r="A2" s="90" t="s">
        <v>2</v>
      </c>
      <c r="B2" s="90"/>
      <c r="C2" s="5">
        <f>SUM(C4:C99)</f>
        <v>1979892.9447689694</v>
      </c>
      <c r="D2" s="5">
        <f>SUM(D4:D99)</f>
        <v>2263679.1919</v>
      </c>
      <c r="E2" s="5">
        <f>C2-D2</f>
        <v>-283786.24713103054</v>
      </c>
      <c r="F2" s="6">
        <f>IFERROR(E2/D2, 0)</f>
        <v>-0.12536504649001828</v>
      </c>
      <c r="G2" s="5">
        <f>SUM(G4:G99)</f>
        <v>1515375.4470000002</v>
      </c>
      <c r="H2" s="7">
        <f>C2-G2</f>
        <v>464517.49776896928</v>
      </c>
      <c r="I2" s="6">
        <f>IFERROR(H2/G2, 0)</f>
        <v>0.30653624399720741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27" t="s">
        <v>3</v>
      </c>
      <c r="B3" s="8" t="s">
        <v>4</v>
      </c>
      <c r="C3" s="51" t="s">
        <v>5</v>
      </c>
      <c r="D3" s="52" t="s">
        <v>6</v>
      </c>
      <c r="E3" s="35" t="s">
        <v>7</v>
      </c>
      <c r="F3" s="36" t="s">
        <v>8</v>
      </c>
      <c r="G3" s="53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6" ht="15.6">
      <c r="A4" s="47" t="str" cm="1">
        <f t="array" ref="A4:A35">Sites[Site]</f>
        <v>10 Walpole Park South</v>
      </c>
      <c r="B4" s="29" t="str" cm="1">
        <f t="array" ref="B4:B35">Sites[State]</f>
        <v>MA</v>
      </c>
      <c r="C4" s="24">
        <v>6082.5625</v>
      </c>
      <c r="D4" s="13">
        <v>6594.4369999999999</v>
      </c>
      <c r="E4" s="13">
        <f>IF(AND(ISNUMBER(C4),ISNUMBER(D4)), C4-D4, "")</f>
        <v>-511.8744999999999</v>
      </c>
      <c r="F4" s="14">
        <f>IFERROR(E4/D4, "")</f>
        <v>-7.7622168503543199E-2</v>
      </c>
      <c r="G4" s="15">
        <v>6789.067</v>
      </c>
      <c r="H4" s="15">
        <f>IF(AND(ISNUMBER(C4),ISNUMBER(G4)), C4-G4, "")</f>
        <v>-706.50450000000001</v>
      </c>
      <c r="I4" s="16">
        <f>IFERROR(H4/G4, "")</f>
        <v>-0.10406503574055169</v>
      </c>
      <c r="J4" s="40"/>
      <c r="K4" s="40"/>
      <c r="L4" s="85"/>
      <c r="M4" s="85"/>
      <c r="N4" s="85"/>
      <c r="O4" s="85"/>
      <c r="P4" s="85"/>
    </row>
    <row r="5" spans="1:16" ht="15.6">
      <c r="A5" s="48" t="str">
        <v>15 Walpole Park South</v>
      </c>
      <c r="B5" s="31" t="str">
        <v>MA</v>
      </c>
      <c r="C5" s="11">
        <v>22096</v>
      </c>
      <c r="D5" s="18">
        <v>34986.43</v>
      </c>
      <c r="E5" s="18">
        <f t="shared" ref="E5:E15" si="0">IF(AND(ISNUMBER(C5),ISNUMBER(D5)), C5-D5, "")</f>
        <v>-12890.43</v>
      </c>
      <c r="F5" s="19">
        <f t="shared" ref="F5:F31" si="1">IFERROR(E5/D5, "")</f>
        <v>-0.36844084978090075</v>
      </c>
      <c r="G5" s="20">
        <v>21495.47</v>
      </c>
      <c r="H5" s="20">
        <f t="shared" ref="H5:H6" si="2">IF(AND(ISNUMBER(C5),ISNUMBER(G5)), C5-G5, "")</f>
        <v>600.52999999999884</v>
      </c>
      <c r="I5" s="19">
        <f t="shared" ref="I5:I6" si="3">IFERROR(H5/G5, "")</f>
        <v>2.7937514276263734E-2</v>
      </c>
      <c r="J5" s="41"/>
      <c r="K5" s="41"/>
      <c r="L5" s="85"/>
      <c r="M5" s="85"/>
      <c r="N5" s="85"/>
      <c r="O5" s="85"/>
      <c r="P5" s="85"/>
    </row>
    <row r="6" spans="1:16" ht="15.6">
      <c r="A6" s="47" t="str">
        <v>19 Walpole Park South</v>
      </c>
      <c r="B6" s="29" t="str">
        <v>MA</v>
      </c>
      <c r="C6" s="24">
        <v>12286.625</v>
      </c>
      <c r="D6" s="13">
        <v>18535.3</v>
      </c>
      <c r="E6" s="13">
        <f t="shared" si="0"/>
        <v>-6248.6749999999993</v>
      </c>
      <c r="F6" s="14">
        <f t="shared" si="1"/>
        <v>-0.33712294918344993</v>
      </c>
      <c r="G6" s="15">
        <v>14377.87</v>
      </c>
      <c r="H6" s="15">
        <f t="shared" si="2"/>
        <v>-2091.2450000000008</v>
      </c>
      <c r="I6" s="16">
        <f t="shared" si="3"/>
        <v>-0.14544887385961902</v>
      </c>
      <c r="J6" s="40"/>
      <c r="K6" s="40"/>
      <c r="L6" s="85"/>
      <c r="M6" s="85"/>
      <c r="N6" s="85"/>
      <c r="O6" s="85"/>
      <c r="P6" s="85"/>
    </row>
    <row r="7" spans="1:16" ht="86.45">
      <c r="A7" s="48" t="str">
        <v>23 Walpole Park South</v>
      </c>
      <c r="B7" s="31" t="str">
        <v>MA</v>
      </c>
      <c r="C7" s="11">
        <v>17017.5</v>
      </c>
      <c r="D7" s="18">
        <v>24815.119999999999</v>
      </c>
      <c r="E7" s="18">
        <f t="shared" si="0"/>
        <v>-7797.619999999999</v>
      </c>
      <c r="F7" s="19">
        <f t="shared" si="1"/>
        <v>-0.3142285832186183</v>
      </c>
      <c r="G7" s="20">
        <v>18470.54</v>
      </c>
      <c r="H7" s="20">
        <f t="shared" ref="H7:H15" si="4">IF(AND(ISNUMBER(C7),ISNUMBER(G7)), C7-G7, "")</f>
        <v>-1453.0400000000009</v>
      </c>
      <c r="I7" s="19">
        <f t="shared" ref="I7:I15" si="5">IFERROR(H7/G7, "")</f>
        <v>-7.8667976139300794E-2</v>
      </c>
      <c r="J7" s="41" t="s">
        <v>22</v>
      </c>
      <c r="K7" s="81" t="s">
        <v>23</v>
      </c>
      <c r="L7" s="85"/>
      <c r="M7" s="85"/>
      <c r="N7" s="85"/>
      <c r="O7" s="85"/>
      <c r="P7" s="85"/>
    </row>
    <row r="8" spans="1:16" ht="72">
      <c r="A8" s="47" t="str">
        <v>24 Walpole Park South</v>
      </c>
      <c r="B8" s="29" t="str">
        <v>MA</v>
      </c>
      <c r="C8" s="24">
        <v>23711.25</v>
      </c>
      <c r="D8" s="13">
        <v>19088.14</v>
      </c>
      <c r="E8" s="13">
        <f t="shared" si="0"/>
        <v>4623.1100000000006</v>
      </c>
      <c r="F8" s="14">
        <f t="shared" si="1"/>
        <v>0.24219803501022105</v>
      </c>
      <c r="G8" s="15">
        <v>28498.52</v>
      </c>
      <c r="H8" s="15">
        <f t="shared" si="4"/>
        <v>-4787.2700000000004</v>
      </c>
      <c r="I8" s="16">
        <f t="shared" si="5"/>
        <v>-0.16798310929830743</v>
      </c>
      <c r="J8" s="40" t="s">
        <v>24</v>
      </c>
      <c r="K8" s="82" t="s">
        <v>25</v>
      </c>
      <c r="L8" s="86" t="s">
        <v>26</v>
      </c>
      <c r="M8" s="86" t="s">
        <v>27</v>
      </c>
      <c r="N8" s="85"/>
      <c r="O8" s="85"/>
      <c r="P8" s="85"/>
    </row>
    <row r="9" spans="1:16" ht="28.9">
      <c r="A9" s="48" t="str">
        <v>25 Walpole Park South</v>
      </c>
      <c r="B9" s="31" t="str">
        <v>MA</v>
      </c>
      <c r="C9" s="11">
        <v>24218</v>
      </c>
      <c r="D9" s="18">
        <v>32717.42</v>
      </c>
      <c r="E9" s="18">
        <f t="shared" si="0"/>
        <v>-8499.4199999999983</v>
      </c>
      <c r="F9" s="19">
        <f t="shared" si="1"/>
        <v>-0.25978270902779005</v>
      </c>
      <c r="G9" s="20">
        <v>28984.84</v>
      </c>
      <c r="H9" s="20">
        <f t="shared" si="4"/>
        <v>-4766.84</v>
      </c>
      <c r="I9" s="19">
        <f t="shared" si="5"/>
        <v>-0.1644597658638102</v>
      </c>
      <c r="J9" s="41" t="s">
        <v>28</v>
      </c>
      <c r="K9" s="83" t="s">
        <v>29</v>
      </c>
      <c r="L9" s="86" t="s">
        <v>30</v>
      </c>
      <c r="M9" s="85"/>
      <c r="N9" s="85"/>
      <c r="O9" s="85"/>
      <c r="P9" s="85"/>
    </row>
    <row r="10" spans="1:16" ht="72">
      <c r="A10" s="47" t="str">
        <v>3 Walpole Park South</v>
      </c>
      <c r="B10" s="29" t="str">
        <v>MA</v>
      </c>
      <c r="C10" s="24">
        <v>32137.687499999101</v>
      </c>
      <c r="D10" s="13">
        <v>51986.12</v>
      </c>
      <c r="E10" s="13">
        <f t="shared" si="0"/>
        <v>-19848.432500000901</v>
      </c>
      <c r="F10" s="14">
        <f t="shared" si="1"/>
        <v>-0.3818025369079458</v>
      </c>
      <c r="G10" s="15">
        <v>34626.19</v>
      </c>
      <c r="H10" s="15">
        <f t="shared" si="4"/>
        <v>-2488.5025000009009</v>
      </c>
      <c r="I10" s="16">
        <f t="shared" si="5"/>
        <v>-7.1867638339675854E-2</v>
      </c>
      <c r="J10" s="40" t="s">
        <v>31</v>
      </c>
      <c r="K10" s="82" t="s">
        <v>32</v>
      </c>
      <c r="L10" s="86" t="s">
        <v>33</v>
      </c>
      <c r="M10" s="86" t="s">
        <v>34</v>
      </c>
      <c r="N10" s="85"/>
      <c r="O10" s="85"/>
      <c r="P10" s="85"/>
    </row>
    <row r="11" spans="1:16" ht="15.6">
      <c r="A11" s="48" t="str">
        <v>4 Walpole Park South</v>
      </c>
      <c r="B11" s="31" t="str">
        <v>MA</v>
      </c>
      <c r="C11" s="11">
        <v>18926.5</v>
      </c>
      <c r="D11" s="18">
        <v>30719.42</v>
      </c>
      <c r="E11" s="18">
        <f t="shared" si="0"/>
        <v>-11792.919999999998</v>
      </c>
      <c r="F11" s="19">
        <f t="shared" si="1"/>
        <v>-0.38389136253223527</v>
      </c>
      <c r="G11" s="20">
        <v>19589.080000000002</v>
      </c>
      <c r="H11" s="20">
        <f t="shared" si="4"/>
        <v>-662.58000000000175</v>
      </c>
      <c r="I11" s="19">
        <f t="shared" si="5"/>
        <v>-3.3823946811182642E-2</v>
      </c>
      <c r="J11" s="41"/>
      <c r="K11" s="41"/>
      <c r="L11" s="85"/>
      <c r="M11" s="85"/>
      <c r="N11" s="85"/>
      <c r="O11" s="85"/>
      <c r="P11" s="85"/>
    </row>
    <row r="12" spans="1:16" ht="15.6">
      <c r="A12" s="47" t="str">
        <v>Brockton</v>
      </c>
      <c r="B12" s="29" t="str">
        <v>MA</v>
      </c>
      <c r="C12" s="24">
        <v>35242.5</v>
      </c>
      <c r="D12" s="13">
        <v>41958.95</v>
      </c>
      <c r="E12" s="13">
        <f t="shared" si="0"/>
        <v>-6716.4499999999971</v>
      </c>
      <c r="F12" s="14">
        <f t="shared" si="1"/>
        <v>-0.16007192744337018</v>
      </c>
      <c r="G12" s="15">
        <v>35711.300000000003</v>
      </c>
      <c r="H12" s="15">
        <f t="shared" si="4"/>
        <v>-468.80000000000291</v>
      </c>
      <c r="I12" s="16">
        <f t="shared" si="5"/>
        <v>-1.3127497458787635E-2</v>
      </c>
      <c r="J12" s="40"/>
      <c r="K12" s="40"/>
      <c r="L12" s="85"/>
      <c r="M12" s="85"/>
      <c r="N12" s="85"/>
      <c r="O12" s="85"/>
      <c r="P12" s="85"/>
    </row>
    <row r="13" spans="1:16" ht="15.6">
      <c r="A13" s="48" t="str">
        <v>Canton</v>
      </c>
      <c r="B13" s="31" t="str">
        <v>MA</v>
      </c>
      <c r="C13" s="11">
        <v>30237.25</v>
      </c>
      <c r="D13" s="18">
        <v>44905.17</v>
      </c>
      <c r="E13" s="18">
        <f t="shared" si="0"/>
        <v>-14667.919999999998</v>
      </c>
      <c r="F13" s="19">
        <f t="shared" si="1"/>
        <v>-0.32664212160871453</v>
      </c>
      <c r="G13" s="20">
        <v>30749.97</v>
      </c>
      <c r="H13" s="20">
        <f t="shared" si="4"/>
        <v>-512.72000000000116</v>
      </c>
      <c r="I13" s="19">
        <f t="shared" si="5"/>
        <v>-1.6673837405369863E-2</v>
      </c>
      <c r="J13" s="41"/>
      <c r="K13" s="41"/>
      <c r="L13" s="85"/>
      <c r="M13" s="85"/>
      <c r="N13" s="85"/>
      <c r="O13" s="85"/>
      <c r="P13" s="85"/>
    </row>
    <row r="14" spans="1:16" ht="273.60000000000002">
      <c r="A14" s="47" t="str">
        <v>Chelsea</v>
      </c>
      <c r="B14" s="29" t="str">
        <v>MA</v>
      </c>
      <c r="C14" s="24">
        <v>66681</v>
      </c>
      <c r="D14" s="13">
        <v>78143.31</v>
      </c>
      <c r="E14" s="13">
        <f t="shared" si="0"/>
        <v>-11462.309999999998</v>
      </c>
      <c r="F14" s="14">
        <f t="shared" si="1"/>
        <v>-0.14668319015408995</v>
      </c>
      <c r="G14" s="15">
        <v>54727.88</v>
      </c>
      <c r="H14" s="15">
        <f t="shared" si="4"/>
        <v>11953.120000000003</v>
      </c>
      <c r="I14" s="16">
        <f t="shared" si="5"/>
        <v>0.21841006814077218</v>
      </c>
      <c r="J14" s="40" t="s">
        <v>35</v>
      </c>
      <c r="K14" s="82" t="s">
        <v>36</v>
      </c>
      <c r="L14" s="86" t="s">
        <v>37</v>
      </c>
      <c r="M14" s="86" t="s">
        <v>38</v>
      </c>
      <c r="N14" s="86" t="s">
        <v>39</v>
      </c>
      <c r="O14" s="86" t="s">
        <v>40</v>
      </c>
      <c r="P14" s="86" t="s">
        <v>41</v>
      </c>
    </row>
    <row r="15" spans="1:16" ht="15.6">
      <c r="A15" s="48" t="str">
        <v>Hamilton Landfill</v>
      </c>
      <c r="B15" s="31" t="str">
        <v>MA</v>
      </c>
      <c r="C15" s="11">
        <v>39385.699999999997</v>
      </c>
      <c r="D15" s="18">
        <v>87354.4</v>
      </c>
      <c r="E15" s="18">
        <f t="shared" si="0"/>
        <v>-47968.7</v>
      </c>
      <c r="F15" s="19">
        <f t="shared" si="1"/>
        <v>-0.54912746238311982</v>
      </c>
      <c r="G15" s="20">
        <v>0</v>
      </c>
      <c r="H15" s="20">
        <f t="shared" si="4"/>
        <v>39385.699999999997</v>
      </c>
      <c r="I15" s="19" t="str">
        <f t="shared" si="5"/>
        <v/>
      </c>
      <c r="J15" s="41"/>
      <c r="K15" s="41"/>
      <c r="L15" s="85"/>
      <c r="M15" s="85"/>
      <c r="N15" s="85"/>
      <c r="O15" s="85"/>
      <c r="P15" s="85"/>
    </row>
    <row r="16" spans="1:16" ht="28.9">
      <c r="A16" s="47" t="str">
        <v>Holliston</v>
      </c>
      <c r="B16" s="29" t="str">
        <v>MA</v>
      </c>
      <c r="C16" s="24">
        <v>79918</v>
      </c>
      <c r="D16" s="13">
        <v>88133.87</v>
      </c>
      <c r="E16" s="13">
        <f t="shared" ref="E16:E33" si="6">IF(AND(ISNUMBER(C16),ISNUMBER(D16)), C16-D16, "")</f>
        <v>-8215.8699999999953</v>
      </c>
      <c r="F16" s="14">
        <f t="shared" si="1"/>
        <v>-9.3220347637066159E-2</v>
      </c>
      <c r="G16" s="15">
        <v>84310.38</v>
      </c>
      <c r="H16" s="15">
        <f t="shared" ref="H16:H17" si="7">IF(AND(ISNUMBER(C16),ISNUMBER(G16)), C16-G16, "")</f>
        <v>-4392.3800000000047</v>
      </c>
      <c r="I16" s="16">
        <f t="shared" ref="I16:I31" si="8">IFERROR(H16/G16, "")</f>
        <v>-5.2097736957181361E-2</v>
      </c>
      <c r="J16" s="40" t="s">
        <v>42</v>
      </c>
      <c r="K16" s="82" t="s">
        <v>43</v>
      </c>
      <c r="L16" s="86" t="s">
        <v>44</v>
      </c>
      <c r="M16" s="85"/>
      <c r="N16" s="85"/>
      <c r="O16" s="85"/>
      <c r="P16" s="85"/>
    </row>
    <row r="17" spans="1:16" ht="15.6">
      <c r="A17" s="48" t="str">
        <v>Natick HS - Carports</v>
      </c>
      <c r="B17" s="31" t="str">
        <v>MA</v>
      </c>
      <c r="C17" s="11">
        <v>23101.5</v>
      </c>
      <c r="D17" s="18">
        <v>43562.15</v>
      </c>
      <c r="E17" s="18">
        <f t="shared" si="6"/>
        <v>-20460.650000000001</v>
      </c>
      <c r="F17" s="19">
        <f t="shared" si="1"/>
        <v>-0.46968870912018806</v>
      </c>
      <c r="G17" s="20">
        <v>0</v>
      </c>
      <c r="H17" s="20">
        <f t="shared" si="7"/>
        <v>23101.5</v>
      </c>
      <c r="I17" s="19" t="str">
        <f t="shared" si="8"/>
        <v/>
      </c>
      <c r="J17" s="41"/>
      <c r="K17" s="41"/>
      <c r="L17" s="85"/>
      <c r="M17" s="85"/>
      <c r="N17" s="85"/>
      <c r="O17" s="85"/>
      <c r="P17" s="85"/>
    </row>
    <row r="18" spans="1:16" ht="43.15">
      <c r="A18" s="47" t="str">
        <v>Norton</v>
      </c>
      <c r="B18" s="29" t="str">
        <v>MA</v>
      </c>
      <c r="C18" s="24">
        <v>0</v>
      </c>
      <c r="D18" s="13">
        <v>0</v>
      </c>
      <c r="E18" s="13">
        <f t="shared" si="6"/>
        <v>0</v>
      </c>
      <c r="F18" s="14" t="str">
        <f t="shared" si="1"/>
        <v/>
      </c>
      <c r="G18" s="15">
        <v>0</v>
      </c>
      <c r="H18" s="15">
        <f t="shared" ref="H18:H32" si="9">IF(AND(ISNUMBER(C18),ISNUMBER(G18)), C18-G18, "")</f>
        <v>0</v>
      </c>
      <c r="I18" s="16" t="str">
        <f t="shared" ref="I18:I32" si="10">IFERROR(H18/G18, "")</f>
        <v/>
      </c>
      <c r="J18" s="40" t="s">
        <v>45</v>
      </c>
      <c r="K18" s="82" t="s">
        <v>46</v>
      </c>
      <c r="L18" s="86" t="s">
        <v>47</v>
      </c>
      <c r="M18" s="86" t="s">
        <v>48</v>
      </c>
      <c r="N18" s="85"/>
      <c r="O18" s="85"/>
      <c r="P18" s="85"/>
    </row>
    <row r="19" spans="1:16" ht="43.15">
      <c r="A19" s="48" t="str">
        <v>Palmer - Boston Rd.</v>
      </c>
      <c r="B19" s="31" t="str">
        <v>MA</v>
      </c>
      <c r="C19" s="11">
        <v>34752</v>
      </c>
      <c r="D19" s="18">
        <v>49692.76</v>
      </c>
      <c r="E19" s="18">
        <f t="shared" si="6"/>
        <v>-14940.760000000002</v>
      </c>
      <c r="F19" s="19">
        <f t="shared" si="1"/>
        <v>-0.30066271223413638</v>
      </c>
      <c r="G19" s="20">
        <v>45090</v>
      </c>
      <c r="H19" s="20">
        <f t="shared" si="9"/>
        <v>-10338</v>
      </c>
      <c r="I19" s="19">
        <f t="shared" si="8"/>
        <v>-0.22927478376580174</v>
      </c>
      <c r="J19" s="41" t="s">
        <v>49</v>
      </c>
      <c r="K19" s="83" t="s">
        <v>50</v>
      </c>
      <c r="L19" s="85"/>
      <c r="M19" s="85"/>
      <c r="N19" s="85"/>
      <c r="O19" s="85"/>
      <c r="P19" s="85"/>
    </row>
    <row r="20" spans="1:16" ht="115.15">
      <c r="A20" s="47" t="str">
        <v>Shirley Bartkus</v>
      </c>
      <c r="B20" s="29" t="str">
        <v>MA</v>
      </c>
      <c r="C20" s="24">
        <v>52517.557775638103</v>
      </c>
      <c r="D20" s="13">
        <v>87390.5</v>
      </c>
      <c r="E20" s="13">
        <f t="shared" si="6"/>
        <v>-34872.942224361897</v>
      </c>
      <c r="F20" s="14">
        <f t="shared" si="1"/>
        <v>-0.39904729031601716</v>
      </c>
      <c r="G20" s="15"/>
      <c r="H20" s="15" t="str">
        <f t="shared" si="9"/>
        <v/>
      </c>
      <c r="I20" s="16" t="str">
        <f t="shared" si="10"/>
        <v/>
      </c>
      <c r="J20" s="40" t="s">
        <v>51</v>
      </c>
      <c r="K20" s="82" t="s">
        <v>52</v>
      </c>
      <c r="L20" s="86" t="s">
        <v>53</v>
      </c>
      <c r="M20" s="86" t="s">
        <v>54</v>
      </c>
      <c r="N20" s="86" t="s">
        <v>55</v>
      </c>
      <c r="O20" s="86" t="s">
        <v>56</v>
      </c>
      <c r="P20" s="85"/>
    </row>
    <row r="21" spans="1:16" ht="15.6">
      <c r="A21" s="48" t="str">
        <v>Stoughton</v>
      </c>
      <c r="B21" s="31" t="str">
        <v>MA</v>
      </c>
      <c r="C21" s="11">
        <v>42082</v>
      </c>
      <c r="D21" s="18">
        <v>42134.57</v>
      </c>
      <c r="E21" s="18">
        <f t="shared" si="6"/>
        <v>-52.569999999999709</v>
      </c>
      <c r="F21" s="19">
        <f t="shared" si="1"/>
        <v>-1.2476690755358298E-3</v>
      </c>
      <c r="G21" s="20">
        <v>35429.71</v>
      </c>
      <c r="H21" s="20">
        <f t="shared" si="9"/>
        <v>6652.2900000000009</v>
      </c>
      <c r="I21" s="19">
        <f t="shared" si="8"/>
        <v>0.18776021593177028</v>
      </c>
      <c r="J21" s="41"/>
      <c r="K21" s="41"/>
      <c r="L21" s="85"/>
      <c r="M21" s="85"/>
      <c r="N21" s="85"/>
      <c r="O21" s="85"/>
      <c r="P21" s="85"/>
    </row>
    <row r="22" spans="1:16" ht="28.9">
      <c r="A22" s="47" t="str">
        <v>Wellfleet Landfill</v>
      </c>
      <c r="B22" s="29" t="str">
        <v>MA</v>
      </c>
      <c r="C22" s="24">
        <v>37109.9</v>
      </c>
      <c r="D22" s="13">
        <v>40845.199999999997</v>
      </c>
      <c r="E22" s="13">
        <f t="shared" si="6"/>
        <v>-3735.2999999999956</v>
      </c>
      <c r="F22" s="14">
        <f t="shared" si="1"/>
        <v>-9.1450158158118841E-2</v>
      </c>
      <c r="G22" s="15">
        <v>0</v>
      </c>
      <c r="H22" s="15">
        <f t="shared" si="9"/>
        <v>37109.9</v>
      </c>
      <c r="I22" s="16" t="str">
        <f t="shared" si="10"/>
        <v/>
      </c>
      <c r="J22" s="40" t="s">
        <v>57</v>
      </c>
      <c r="K22" s="82" t="s">
        <v>58</v>
      </c>
      <c r="L22" s="85"/>
      <c r="M22" s="85"/>
      <c r="N22" s="85"/>
      <c r="O22" s="85"/>
      <c r="P22" s="85"/>
    </row>
    <row r="23" spans="1:16" ht="28.9">
      <c r="A23" s="48" t="str">
        <v>Wilmington Garage &amp; Building 7</v>
      </c>
      <c r="B23" s="31" t="str">
        <v>MA</v>
      </c>
      <c r="C23" s="11">
        <v>40128.75</v>
      </c>
      <c r="D23" s="18">
        <v>74682.38</v>
      </c>
      <c r="E23" s="18">
        <f t="shared" si="6"/>
        <v>-34553.630000000005</v>
      </c>
      <c r="F23" s="19">
        <f t="shared" si="1"/>
        <v>-0.46267446216898822</v>
      </c>
      <c r="G23" s="20">
        <v>51215.54</v>
      </c>
      <c r="H23" s="20">
        <f t="shared" si="9"/>
        <v>-11086.79</v>
      </c>
      <c r="I23" s="19">
        <f t="shared" si="8"/>
        <v>-0.21647316419977219</v>
      </c>
      <c r="J23" s="41" t="s">
        <v>59</v>
      </c>
      <c r="K23" s="83" t="s">
        <v>60</v>
      </c>
      <c r="L23" s="86" t="s">
        <v>61</v>
      </c>
      <c r="M23" s="85"/>
      <c r="N23" s="85"/>
      <c r="O23" s="85"/>
      <c r="P23" s="85"/>
    </row>
    <row r="24" spans="1:16" ht="213.75" customHeight="1">
      <c r="A24" s="47" t="str">
        <v>Woburn</v>
      </c>
      <c r="B24" s="29" t="str">
        <v>MA</v>
      </c>
      <c r="C24" s="24">
        <v>70710.5</v>
      </c>
      <c r="D24" s="13">
        <v>143603</v>
      </c>
      <c r="E24" s="13">
        <f t="shared" si="6"/>
        <v>-72892.5</v>
      </c>
      <c r="F24" s="14">
        <f t="shared" si="1"/>
        <v>-0.50759733431752818</v>
      </c>
      <c r="G24" s="15">
        <v>69288.009999999995</v>
      </c>
      <c r="H24" s="15">
        <f t="shared" si="9"/>
        <v>1422.4900000000052</v>
      </c>
      <c r="I24" s="16">
        <f t="shared" si="10"/>
        <v>2.0530103260289988E-2</v>
      </c>
      <c r="J24" s="40" t="s">
        <v>62</v>
      </c>
      <c r="K24" s="82" t="s">
        <v>63</v>
      </c>
      <c r="L24" s="86" t="s">
        <v>64</v>
      </c>
      <c r="M24" s="86" t="s">
        <v>65</v>
      </c>
      <c r="N24" s="86" t="s">
        <v>66</v>
      </c>
      <c r="O24" s="86" t="s">
        <v>67</v>
      </c>
      <c r="P24" s="86" t="s">
        <v>68</v>
      </c>
    </row>
    <row r="25" spans="1:16" ht="15.6">
      <c r="A25" s="48" t="str">
        <v>Friendship Solar 1</v>
      </c>
      <c r="B25" s="31" t="str">
        <v>MD</v>
      </c>
      <c r="C25" s="11">
        <v>249779</v>
      </c>
      <c r="D25" s="18">
        <v>269841.3</v>
      </c>
      <c r="E25" s="18">
        <f t="shared" si="6"/>
        <v>-20062.299999999988</v>
      </c>
      <c r="F25" s="19">
        <f t="shared" si="1"/>
        <v>-7.4348515219871791E-2</v>
      </c>
      <c r="G25" s="20">
        <v>251554.7</v>
      </c>
      <c r="H25" s="20">
        <f t="shared" si="9"/>
        <v>-1775.7000000000116</v>
      </c>
      <c r="I25" s="19">
        <f t="shared" si="8"/>
        <v>-7.0589020996229112E-3</v>
      </c>
      <c r="J25" s="41" t="s">
        <v>69</v>
      </c>
      <c r="K25" s="83" t="s">
        <v>70</v>
      </c>
      <c r="L25" s="85"/>
      <c r="M25" s="85"/>
      <c r="N25" s="85"/>
      <c r="O25" s="85"/>
      <c r="P25" s="85"/>
    </row>
    <row r="26" spans="1:16" ht="15.6">
      <c r="A26" s="47" t="str">
        <v>Friendship Solar 2</v>
      </c>
      <c r="B26" s="29" t="str">
        <v>MD</v>
      </c>
      <c r="C26" s="24">
        <v>244225</v>
      </c>
      <c r="D26" s="13">
        <v>284533.5</v>
      </c>
      <c r="E26" s="13">
        <f t="shared" si="6"/>
        <v>-40308.5</v>
      </c>
      <c r="F26" s="14">
        <f t="shared" si="1"/>
        <v>-0.14166521692524781</v>
      </c>
      <c r="G26" s="15">
        <v>248916.6</v>
      </c>
      <c r="H26" s="15">
        <f t="shared" si="9"/>
        <v>-4691.6000000000058</v>
      </c>
      <c r="I26" s="16">
        <f t="shared" si="10"/>
        <v>-1.8848080039659893E-2</v>
      </c>
      <c r="J26" s="40"/>
      <c r="K26" s="40"/>
      <c r="L26" s="85"/>
      <c r="M26" s="85"/>
      <c r="N26" s="85"/>
      <c r="O26" s="85"/>
      <c r="P26" s="85"/>
    </row>
    <row r="27" spans="1:16" ht="72">
      <c r="A27" s="48" t="str">
        <v>101 Carnegie Center</v>
      </c>
      <c r="B27" s="31" t="str">
        <v>NJ</v>
      </c>
      <c r="C27" s="11">
        <v>67113.5</v>
      </c>
      <c r="D27" s="18">
        <v>112416</v>
      </c>
      <c r="E27" s="18">
        <f t="shared" si="6"/>
        <v>-45302.5</v>
      </c>
      <c r="F27" s="19">
        <f t="shared" si="1"/>
        <v>-0.40298978793054369</v>
      </c>
      <c r="G27" s="20">
        <v>0</v>
      </c>
      <c r="H27" s="20">
        <f t="shared" si="9"/>
        <v>67113.5</v>
      </c>
      <c r="I27" s="19" t="str">
        <f t="shared" si="8"/>
        <v/>
      </c>
      <c r="J27" s="41" t="s">
        <v>71</v>
      </c>
      <c r="K27" s="84" t="s">
        <v>72</v>
      </c>
      <c r="L27" s="86" t="s">
        <v>73</v>
      </c>
      <c r="M27" s="85"/>
      <c r="N27" s="85"/>
      <c r="O27" s="85"/>
      <c r="P27" s="85"/>
    </row>
    <row r="28" spans="1:16" ht="15.6">
      <c r="A28" s="47" t="str">
        <v>302 Carnegie Center</v>
      </c>
      <c r="B28" s="29" t="str">
        <v>NJ</v>
      </c>
      <c r="C28" s="24">
        <v>32360.799999999999</v>
      </c>
      <c r="D28" s="13">
        <v>47003.55</v>
      </c>
      <c r="E28" s="13">
        <f t="shared" si="6"/>
        <v>-14642.750000000004</v>
      </c>
      <c r="F28" s="14">
        <f t="shared" si="1"/>
        <v>-0.31152434231031489</v>
      </c>
      <c r="G28" s="15">
        <v>0</v>
      </c>
      <c r="H28" s="15">
        <f t="shared" si="9"/>
        <v>32360.799999999999</v>
      </c>
      <c r="I28" s="16" t="str">
        <f t="shared" si="10"/>
        <v/>
      </c>
      <c r="J28" s="40"/>
      <c r="K28" s="40"/>
      <c r="L28" s="85"/>
      <c r="M28" s="85"/>
      <c r="N28" s="85"/>
      <c r="O28" s="85"/>
      <c r="P28" s="85"/>
    </row>
    <row r="29" spans="1:16" ht="94.5" customHeight="1">
      <c r="A29" s="48" t="str">
        <v>510 Carnegie Center</v>
      </c>
      <c r="B29" s="31" t="str">
        <v>NJ</v>
      </c>
      <c r="C29" s="11">
        <v>66360.399999999994</v>
      </c>
      <c r="D29" s="18">
        <v>119861.4</v>
      </c>
      <c r="E29" s="18">
        <f t="shared" si="6"/>
        <v>-53501</v>
      </c>
      <c r="F29" s="19">
        <f t="shared" si="1"/>
        <v>-0.44635720924334277</v>
      </c>
      <c r="G29" s="20">
        <v>0</v>
      </c>
      <c r="H29" s="20">
        <f t="shared" si="9"/>
        <v>66360.399999999994</v>
      </c>
      <c r="I29" s="19" t="str">
        <f t="shared" si="8"/>
        <v/>
      </c>
      <c r="J29" s="56" t="s">
        <v>74</v>
      </c>
      <c r="K29" s="84" t="s">
        <v>75</v>
      </c>
      <c r="L29" s="85"/>
      <c r="M29" s="85"/>
      <c r="N29" s="85"/>
      <c r="O29" s="85"/>
      <c r="P29" s="85"/>
    </row>
    <row r="30" spans="1:16" ht="15.6">
      <c r="A30" s="47" t="str">
        <v>701 Carnegie Center</v>
      </c>
      <c r="B30" s="29" t="str">
        <v>NJ</v>
      </c>
      <c r="C30" s="24">
        <v>61625.285000000003</v>
      </c>
      <c r="D30" s="13">
        <v>91246.2</v>
      </c>
      <c r="E30" s="13">
        <f t="shared" si="6"/>
        <v>-29620.914999999994</v>
      </c>
      <c r="F30" s="14">
        <f t="shared" si="1"/>
        <v>-0.3246262858069705</v>
      </c>
      <c r="G30" s="15">
        <v>0</v>
      </c>
      <c r="H30" s="15">
        <f t="shared" si="9"/>
        <v>61625.285000000003</v>
      </c>
      <c r="I30" s="16" t="str">
        <f t="shared" si="10"/>
        <v/>
      </c>
      <c r="J30" s="40"/>
      <c r="K30" s="40"/>
      <c r="L30" s="85"/>
      <c r="M30" s="85"/>
      <c r="N30" s="85"/>
      <c r="O30" s="85"/>
      <c r="P30" s="85"/>
    </row>
    <row r="31" spans="1:16" ht="15.6">
      <c r="A31" s="48" t="str">
        <v>Hudson County Correction</v>
      </c>
      <c r="B31" s="31" t="str">
        <v>NJ</v>
      </c>
      <c r="C31" s="11">
        <v>85632.076993332201</v>
      </c>
      <c r="D31" s="18">
        <v>85344.2</v>
      </c>
      <c r="E31" s="18">
        <f t="shared" si="6"/>
        <v>287.87699333220371</v>
      </c>
      <c r="F31" s="19">
        <f t="shared" si="1"/>
        <v>3.3731289687196518E-3</v>
      </c>
      <c r="G31" s="20">
        <v>86957.91</v>
      </c>
      <c r="H31" s="20">
        <f>IF(AND(ISNUMBER(C31),ISNUMBER(G31)), C31-G31, "")</f>
        <v>-1325.8330066678027</v>
      </c>
      <c r="I31" s="19">
        <f t="shared" si="8"/>
        <v>-1.524683616094042E-2</v>
      </c>
      <c r="J31" s="41"/>
      <c r="K31" s="41"/>
      <c r="L31" s="85"/>
      <c r="M31" s="85"/>
      <c r="N31" s="85"/>
      <c r="O31" s="85"/>
      <c r="P31" s="85"/>
    </row>
    <row r="32" spans="1:16" ht="57.6">
      <c r="A32" s="47" t="str">
        <v>ER Bison Solar</v>
      </c>
      <c r="B32" s="29" t="str">
        <v>PA</v>
      </c>
      <c r="C32" s="24">
        <v>93337</v>
      </c>
      <c r="D32" s="13">
        <v>0</v>
      </c>
      <c r="E32" s="13">
        <f t="shared" si="6"/>
        <v>93337</v>
      </c>
      <c r="F32" s="14" t="str">
        <f>IFERROR(E32/D32, "")</f>
        <v/>
      </c>
      <c r="G32" s="15">
        <v>100651</v>
      </c>
      <c r="H32" s="15">
        <f t="shared" si="9"/>
        <v>-7314</v>
      </c>
      <c r="I32" s="16">
        <f t="shared" si="10"/>
        <v>-7.2666938232108971E-2</v>
      </c>
      <c r="J32" s="40" t="s">
        <v>76</v>
      </c>
      <c r="K32" s="82" t="s">
        <v>77</v>
      </c>
      <c r="L32" s="86" t="s">
        <v>78</v>
      </c>
      <c r="M32" s="86" t="s">
        <v>79</v>
      </c>
      <c r="N32" s="85"/>
      <c r="O32" s="85"/>
      <c r="P32" s="85"/>
    </row>
    <row r="33" spans="1:16" ht="15.6">
      <c r="A33" s="48" t="str">
        <v>Danville</v>
      </c>
      <c r="B33" s="31" t="str">
        <v>IL</v>
      </c>
      <c r="C33" s="11">
        <v>235052.1</v>
      </c>
      <c r="D33" s="18">
        <v>0</v>
      </c>
      <c r="E33" s="18">
        <f t="shared" si="6"/>
        <v>235052.1</v>
      </c>
      <c r="F33" s="19" t="str">
        <f>IFERROR(E33/D33, "")</f>
        <v/>
      </c>
      <c r="G33" s="20">
        <v>0</v>
      </c>
      <c r="H33" s="20">
        <f>IF(AND(ISNUMBER(C33),ISNUMBER(G33)), C33-G33, "")</f>
        <v>235052.1</v>
      </c>
      <c r="I33" s="19" t="str">
        <f>IFERROR(H33/G33, "")</f>
        <v/>
      </c>
      <c r="J33" s="41"/>
      <c r="K33" s="41"/>
      <c r="L33" s="85"/>
      <c r="M33" s="85"/>
      <c r="N33" s="85"/>
      <c r="O33" s="85"/>
      <c r="P33" s="85"/>
    </row>
    <row r="34" spans="1:16" ht="15.6">
      <c r="A34" s="47" t="str">
        <v>Camden - Campbell Soup HQ</v>
      </c>
      <c r="B34" s="29" t="str">
        <v>NJ</v>
      </c>
      <c r="C34" s="24">
        <v>136065</v>
      </c>
      <c r="D34" s="13">
        <v>211584.39490000001</v>
      </c>
      <c r="E34" s="13">
        <f>IF(AND(ISNUMBER(C34),ISNUMBER(D34)), C34-D34, "")</f>
        <v>-75519.394900000014</v>
      </c>
      <c r="F34" s="14">
        <f>IFERROR(E34/D34, "")</f>
        <v>-0.35692327373997662</v>
      </c>
      <c r="G34" s="15">
        <v>247940.87</v>
      </c>
      <c r="H34" s="15">
        <f>IF(AND(ISNUMBER(C34),ISNUMBER(G34)), C34-G34, "")</f>
        <v>-111875.87</v>
      </c>
      <c r="I34" s="16">
        <f>IFERROR(H34/G34, "")</f>
        <v>-0.45121996224341715</v>
      </c>
      <c r="J34" s="40"/>
      <c r="K34" s="40"/>
      <c r="L34" s="85"/>
      <c r="M34" s="85"/>
      <c r="N34" s="85"/>
      <c r="O34" s="85"/>
      <c r="P34" s="85"/>
    </row>
    <row r="35" spans="1:16" ht="15.6">
      <c r="A35" s="48" t="str">
        <v>Westport - Pine Hill</v>
      </c>
      <c r="B35" s="31" t="str">
        <v>MA</v>
      </c>
      <c r="C35" s="75"/>
      <c r="D35" s="18"/>
      <c r="E35" s="18"/>
      <c r="F35" s="76"/>
      <c r="G35" s="67"/>
      <c r="H35" s="67"/>
      <c r="I35" s="76"/>
      <c r="J35" s="41"/>
      <c r="K35" s="41"/>
      <c r="L35" s="85"/>
      <c r="M35" s="85"/>
      <c r="N35" s="85"/>
      <c r="O35" s="85"/>
      <c r="P35" s="85"/>
    </row>
    <row r="36" spans="1:16" ht="14.45">
      <c r="A36" s="21"/>
      <c r="B36" s="33"/>
      <c r="C36" s="54"/>
      <c r="D36" s="54"/>
      <c r="E36" s="21"/>
      <c r="F36" s="22"/>
      <c r="G36" s="21"/>
      <c r="H36" s="21"/>
      <c r="I36" s="22"/>
      <c r="J36" s="21"/>
      <c r="K36" s="21"/>
    </row>
    <row r="37" spans="1:16" ht="14.45">
      <c r="A37" s="21"/>
      <c r="B37" s="33"/>
      <c r="C37" s="54"/>
      <c r="D37" s="54"/>
      <c r="E37" s="21"/>
      <c r="F37" s="22"/>
      <c r="G37" s="21"/>
      <c r="H37" s="21"/>
      <c r="I37" s="22"/>
      <c r="J37" s="21"/>
      <c r="K37" s="21"/>
    </row>
    <row r="38" spans="1:16" ht="14.45">
      <c r="A38" s="21"/>
      <c r="B38" s="33"/>
      <c r="C38" s="54"/>
      <c r="D38" s="54"/>
      <c r="E38" s="21"/>
      <c r="F38" s="22"/>
      <c r="G38" s="21"/>
      <c r="H38" s="21"/>
      <c r="I38" s="22"/>
      <c r="J38" s="21"/>
      <c r="K38" s="21"/>
    </row>
    <row r="39" spans="1:16" ht="14.45">
      <c r="A39" s="21"/>
      <c r="B39" s="33"/>
      <c r="C39" s="54"/>
      <c r="D39" s="54"/>
      <c r="E39" s="21"/>
      <c r="F39" s="22"/>
      <c r="G39" s="21"/>
      <c r="H39" s="21"/>
      <c r="I39" s="22"/>
      <c r="J39" s="21"/>
      <c r="K39" s="21"/>
    </row>
    <row r="40" spans="1:16" ht="14.45">
      <c r="A40" s="21"/>
      <c r="B40" s="33"/>
      <c r="C40" s="54"/>
      <c r="D40" s="54"/>
      <c r="E40" s="21"/>
      <c r="F40" s="22"/>
      <c r="G40" s="21"/>
      <c r="H40" s="21"/>
      <c r="I40" s="22"/>
      <c r="J40" s="21"/>
      <c r="K40" s="21"/>
    </row>
    <row r="41" spans="1:16" ht="14.45">
      <c r="A41" s="21"/>
      <c r="B41" s="33"/>
      <c r="C41" s="54"/>
      <c r="D41" s="54"/>
      <c r="E41" s="21"/>
      <c r="F41" s="22"/>
      <c r="G41" s="21"/>
      <c r="H41" s="21"/>
      <c r="I41" s="22"/>
      <c r="J41" s="21"/>
      <c r="K41" s="21"/>
    </row>
    <row r="42" spans="1:16" ht="14.45">
      <c r="A42" s="21"/>
      <c r="B42" s="33"/>
      <c r="C42" s="54"/>
      <c r="D42" s="54"/>
      <c r="E42" s="21"/>
      <c r="F42" s="22"/>
      <c r="G42" s="21"/>
      <c r="H42" s="21"/>
      <c r="I42" s="22"/>
      <c r="J42" s="21"/>
      <c r="K42" s="21"/>
    </row>
    <row r="43" spans="1:16" ht="14.45">
      <c r="A43" s="21"/>
      <c r="B43" s="33"/>
      <c r="C43" s="54"/>
      <c r="D43" s="54"/>
      <c r="E43" s="21"/>
      <c r="F43" s="22"/>
      <c r="G43" s="21"/>
      <c r="H43" s="21"/>
      <c r="I43" s="22"/>
      <c r="J43" s="21"/>
      <c r="K43" s="21"/>
    </row>
    <row r="44" spans="1:16" ht="14.45">
      <c r="A44" s="21"/>
      <c r="B44" s="33"/>
      <c r="C44" s="54"/>
      <c r="D44" s="54"/>
      <c r="E44" s="21"/>
      <c r="F44" s="22"/>
      <c r="G44" s="21"/>
      <c r="H44" s="21"/>
      <c r="I44" s="22"/>
      <c r="J44" s="21"/>
      <c r="K44" s="21"/>
    </row>
    <row r="45" spans="1:16" ht="14.45">
      <c r="A45" s="21"/>
      <c r="B45" s="33"/>
      <c r="C45" s="54"/>
      <c r="D45" s="54"/>
      <c r="E45" s="21"/>
      <c r="F45" s="22"/>
      <c r="G45" s="21"/>
      <c r="H45" s="21"/>
      <c r="I45" s="22"/>
      <c r="J45" s="21"/>
      <c r="K45" s="21"/>
    </row>
    <row r="46" spans="1:16" ht="14.45">
      <c r="A46" s="21"/>
      <c r="B46" s="33"/>
      <c r="C46" s="54"/>
      <c r="D46" s="54"/>
      <c r="E46" s="21"/>
      <c r="F46" s="22"/>
      <c r="G46" s="21"/>
      <c r="H46" s="21"/>
      <c r="I46" s="22"/>
      <c r="J46" s="21"/>
      <c r="K46" s="21"/>
    </row>
    <row r="47" spans="1:16" ht="14.45">
      <c r="A47" s="21"/>
      <c r="B47" s="33"/>
      <c r="C47" s="54"/>
      <c r="D47" s="54"/>
      <c r="E47" s="21"/>
      <c r="F47" s="22"/>
      <c r="G47" s="21"/>
      <c r="H47" s="21"/>
      <c r="I47" s="22"/>
      <c r="J47" s="21"/>
      <c r="K47" s="21"/>
    </row>
    <row r="48" spans="1:16" ht="14.45">
      <c r="A48" s="21"/>
      <c r="B48" s="33"/>
      <c r="C48" s="54"/>
      <c r="D48" s="54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4"/>
      <c r="D49" s="54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4"/>
      <c r="D50" s="54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4"/>
      <c r="D51" s="54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4"/>
      <c r="D52" s="54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4"/>
      <c r="D53" s="54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4"/>
      <c r="D54" s="54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4"/>
      <c r="D55" s="54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4"/>
      <c r="D56" s="54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4"/>
      <c r="D57" s="54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4"/>
      <c r="D58" s="54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4"/>
      <c r="D59" s="54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4"/>
      <c r="D60" s="54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4"/>
      <c r="D61" s="54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4"/>
      <c r="D62" s="54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4"/>
      <c r="D63" s="54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4"/>
      <c r="D64" s="54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4"/>
      <c r="D65" s="54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4"/>
      <c r="D66" s="54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4"/>
      <c r="D67" s="54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4"/>
      <c r="D68" s="54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4"/>
      <c r="D69" s="54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4"/>
      <c r="D70" s="54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4"/>
      <c r="D71" s="54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4"/>
      <c r="D72" s="54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4"/>
      <c r="D73" s="54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4"/>
      <c r="D74" s="54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4"/>
      <c r="D75" s="54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4"/>
      <c r="D76" s="54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4"/>
      <c r="D77" s="54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4"/>
      <c r="D78" s="54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4"/>
      <c r="D79" s="54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4"/>
      <c r="D80" s="54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4"/>
      <c r="D81" s="54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4"/>
      <c r="D82" s="54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4"/>
      <c r="D83" s="54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4"/>
      <c r="D84" s="54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4"/>
      <c r="D85" s="54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4"/>
      <c r="D86" s="54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4"/>
      <c r="D87" s="54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4"/>
      <c r="D88" s="54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4"/>
      <c r="D89" s="54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4"/>
      <c r="D90" s="54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4"/>
      <c r="D91" s="54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4"/>
      <c r="D92" s="54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4"/>
      <c r="D93" s="54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4"/>
      <c r="D94" s="54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4"/>
      <c r="D95" s="54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4"/>
      <c r="D96" s="54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4"/>
      <c r="D97" s="54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4"/>
      <c r="D98" s="54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4"/>
      <c r="D99" s="54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54"/>
      <c r="D100" s="54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54"/>
      <c r="D101" s="54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54"/>
      <c r="D102" s="54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54"/>
      <c r="D103" s="54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54"/>
      <c r="D104" s="54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54"/>
      <c r="D105" s="54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54"/>
      <c r="D106" s="54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54"/>
      <c r="D107" s="54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54"/>
      <c r="D108" s="54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54"/>
      <c r="D109" s="54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54"/>
      <c r="D110" s="54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54"/>
      <c r="D111" s="54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54"/>
      <c r="D112" s="54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54"/>
      <c r="D113" s="54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54"/>
      <c r="D114" s="54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54"/>
      <c r="D115" s="54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54"/>
      <c r="D116" s="54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54"/>
      <c r="D117" s="54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54"/>
      <c r="D118" s="54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54"/>
      <c r="D119" s="54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54"/>
      <c r="D120" s="54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54"/>
      <c r="D121" s="54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54"/>
      <c r="D122" s="54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54"/>
      <c r="D123" s="54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54"/>
      <c r="D124" s="54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54"/>
      <c r="D125" s="54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54"/>
      <c r="D126" s="54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54"/>
      <c r="D127" s="54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54"/>
      <c r="D128" s="54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54"/>
      <c r="D129" s="54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54"/>
      <c r="D130" s="54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54"/>
      <c r="D131" s="54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54"/>
      <c r="D132" s="54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54"/>
      <c r="D133" s="54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54"/>
      <c r="D134" s="54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54"/>
      <c r="D135" s="54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54"/>
      <c r="D136" s="54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54"/>
      <c r="D137" s="54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54"/>
      <c r="D138" s="54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54"/>
      <c r="D139" s="54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54"/>
      <c r="D140" s="54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54"/>
      <c r="D141" s="54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54"/>
      <c r="D142" s="54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54"/>
      <c r="D143" s="54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54"/>
      <c r="D144" s="54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54"/>
      <c r="D145" s="54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54"/>
      <c r="D146" s="54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54"/>
      <c r="D147" s="54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54"/>
      <c r="D148" s="54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54"/>
      <c r="D149" s="54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54"/>
      <c r="D150" s="54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54"/>
      <c r="D151" s="54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54"/>
      <c r="D152" s="54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54"/>
      <c r="D153" s="54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54"/>
      <c r="D154" s="54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54"/>
      <c r="D155" s="54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54"/>
      <c r="D156" s="54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54"/>
      <c r="D157" s="54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54"/>
      <c r="D158" s="54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54"/>
      <c r="D159" s="54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54"/>
      <c r="D160" s="54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54"/>
      <c r="D161" s="54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54"/>
      <c r="D162" s="54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54"/>
      <c r="D163" s="54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54"/>
      <c r="D164" s="54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54"/>
      <c r="D165" s="54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54"/>
      <c r="D166" s="54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54"/>
      <c r="D167" s="54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54"/>
      <c r="D168" s="54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54"/>
      <c r="D169" s="54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54"/>
      <c r="D170" s="54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54"/>
      <c r="D171" s="54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54"/>
      <c r="D172" s="54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54"/>
      <c r="D173" s="54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54"/>
      <c r="D174" s="54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54"/>
      <c r="D175" s="54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54"/>
      <c r="D176" s="54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54"/>
      <c r="D177" s="54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54"/>
      <c r="D178" s="54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54"/>
      <c r="D179" s="54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54"/>
      <c r="D180" s="54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54"/>
      <c r="D181" s="54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54"/>
      <c r="D182" s="54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54"/>
      <c r="D183" s="54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54"/>
      <c r="D184" s="54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54"/>
      <c r="D185" s="54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54"/>
      <c r="D186" s="54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54"/>
      <c r="D187" s="54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54"/>
      <c r="D188" s="54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54"/>
      <c r="D189" s="54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54"/>
      <c r="D190" s="54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54"/>
      <c r="D191" s="54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54"/>
      <c r="D192" s="54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54"/>
      <c r="D193" s="54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54"/>
      <c r="D194" s="54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54"/>
      <c r="D195" s="54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54"/>
      <c r="D196" s="54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54"/>
      <c r="D197" s="54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54"/>
      <c r="D198" s="54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54"/>
      <c r="D199" s="54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54"/>
      <c r="D200" s="54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54"/>
      <c r="D201" s="54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54"/>
      <c r="D202" s="54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54"/>
      <c r="D203" s="54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54"/>
      <c r="D204" s="54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54"/>
      <c r="D205" s="54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54"/>
      <c r="D206" s="54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54"/>
      <c r="D207" s="54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54"/>
      <c r="D208" s="54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54"/>
      <c r="D209" s="54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54"/>
      <c r="D210" s="54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54"/>
      <c r="D211" s="54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54"/>
      <c r="D212" s="54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54"/>
      <c r="D213" s="54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54"/>
      <c r="D214" s="54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54"/>
      <c r="D215" s="54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54"/>
      <c r="D216" s="54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54"/>
      <c r="D217" s="54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54"/>
      <c r="D218" s="54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54"/>
      <c r="D219" s="54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54"/>
      <c r="D220" s="54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54"/>
      <c r="D221" s="54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54"/>
      <c r="D222" s="54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54"/>
      <c r="D223" s="54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54"/>
      <c r="D224" s="54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54"/>
      <c r="D225" s="54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54"/>
      <c r="D226" s="54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54"/>
      <c r="D227" s="54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54"/>
      <c r="D228" s="54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54"/>
      <c r="D229" s="54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54"/>
      <c r="D230" s="54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54"/>
      <c r="D231" s="54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54"/>
      <c r="D232" s="54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54"/>
      <c r="D233" s="54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54"/>
      <c r="D234" s="54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54"/>
      <c r="D235" s="54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54"/>
      <c r="D236" s="54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54"/>
      <c r="D237" s="54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54"/>
      <c r="D238" s="54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54"/>
      <c r="D239" s="54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54"/>
      <c r="D240" s="54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54"/>
      <c r="D241" s="54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54"/>
      <c r="D242" s="54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54"/>
      <c r="D243" s="54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54"/>
      <c r="D244" s="54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54"/>
      <c r="D245" s="54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54"/>
      <c r="D246" s="54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54"/>
      <c r="D247" s="54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54"/>
      <c r="D248" s="54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54"/>
      <c r="D249" s="54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54"/>
      <c r="D250" s="54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54"/>
      <c r="D251" s="54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54"/>
      <c r="D252" s="54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54"/>
      <c r="D253" s="54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54"/>
      <c r="D254" s="54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54"/>
      <c r="D255" s="54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54"/>
      <c r="D256" s="54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54"/>
      <c r="D257" s="54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54"/>
      <c r="D258" s="54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54"/>
      <c r="D259" s="54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54"/>
      <c r="D260" s="54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54"/>
      <c r="D261" s="54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54"/>
      <c r="D262" s="54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54"/>
      <c r="D263" s="54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54"/>
      <c r="D264" s="54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54"/>
      <c r="D265" s="54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54"/>
      <c r="D266" s="54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54"/>
      <c r="D267" s="54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54"/>
      <c r="D268" s="54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54"/>
      <c r="D269" s="54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54"/>
      <c r="D270" s="54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54"/>
      <c r="D271" s="54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54"/>
      <c r="D272" s="54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54"/>
      <c r="D273" s="54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54"/>
      <c r="D274" s="54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54"/>
      <c r="D275" s="54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54"/>
      <c r="D276" s="54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54"/>
      <c r="D277" s="54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54"/>
      <c r="D278" s="54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54"/>
      <c r="D279" s="54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54"/>
      <c r="D280" s="54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54"/>
      <c r="D281" s="54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54"/>
      <c r="D282" s="54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54"/>
      <c r="D283" s="54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54"/>
      <c r="D284" s="54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54"/>
      <c r="D285" s="54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54"/>
      <c r="D286" s="54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54"/>
      <c r="D287" s="54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54"/>
      <c r="D288" s="54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54"/>
      <c r="D289" s="54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54"/>
      <c r="D290" s="54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54"/>
      <c r="D291" s="54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54"/>
      <c r="D292" s="54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54"/>
      <c r="D293" s="54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54"/>
      <c r="D294" s="54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54"/>
      <c r="D295" s="54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54"/>
      <c r="D296" s="54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54"/>
      <c r="D297" s="54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54"/>
      <c r="D298" s="54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54"/>
      <c r="D299" s="54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54"/>
      <c r="D300" s="54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54"/>
      <c r="D301" s="54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54"/>
      <c r="D302" s="54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54"/>
      <c r="D303" s="54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54"/>
      <c r="D304" s="54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54"/>
      <c r="D305" s="54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54"/>
      <c r="D306" s="54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54"/>
      <c r="D307" s="54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54"/>
      <c r="D308" s="54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54"/>
      <c r="D309" s="54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54"/>
      <c r="D310" s="54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54"/>
      <c r="D311" s="54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54"/>
      <c r="D312" s="54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54"/>
      <c r="D313" s="54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54"/>
      <c r="D314" s="54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54"/>
      <c r="D315" s="54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54"/>
      <c r="D316" s="54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54"/>
      <c r="D317" s="54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54"/>
      <c r="D318" s="54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54"/>
      <c r="D319" s="54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54"/>
      <c r="D320" s="54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54"/>
      <c r="D321" s="54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54"/>
      <c r="D322" s="54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54"/>
      <c r="D323" s="54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54"/>
      <c r="D324" s="54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54"/>
      <c r="D325" s="54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54"/>
      <c r="D326" s="54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54"/>
      <c r="D327" s="54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54"/>
      <c r="D328" s="54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54"/>
      <c r="D329" s="54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54"/>
      <c r="D330" s="54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54"/>
      <c r="D331" s="54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54"/>
      <c r="D332" s="54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54"/>
      <c r="D333" s="54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54"/>
      <c r="D334" s="54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54"/>
      <c r="D335" s="54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54"/>
      <c r="D336" s="54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54"/>
      <c r="D337" s="54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54"/>
      <c r="D338" s="54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54"/>
      <c r="D339" s="54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54"/>
      <c r="D340" s="54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54"/>
      <c r="D341" s="54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">
    <cfRule type="expression" dxfId="47" priority="69">
      <formula>AND(ISNUMBER(F2), F2&gt;=0.1)</formula>
    </cfRule>
    <cfRule type="cellIs" dxfId="46" priority="68" stopIfTrue="1" operator="lessThanOrEqual">
      <formula>-0.1</formula>
    </cfRule>
  </conditionalFormatting>
  <conditionalFormatting sqref="F4:F99 I4:I99">
    <cfRule type="cellIs" dxfId="45" priority="1" stopIfTrue="1" operator="lessThanOrEqual">
      <formula>-0.1</formula>
    </cfRule>
    <cfRule type="expression" dxfId="44" priority="2">
      <formula>AND(ISNUMBER(F4), F4&gt;=0.1)</formula>
    </cfRule>
  </conditionalFormatting>
  <hyperlinks>
    <hyperlink ref="K7" r:id="rId1" display="https://us3.assetplanner.com/service_request?ID=095312" xr:uid="{6907B3AA-CFC8-4831-91F1-145E82A27823}"/>
    <hyperlink ref="K8" r:id="rId2" display="https://us3.assetplanner.com/service_request?ID=089997" xr:uid="{7EB456F8-C42D-45DC-994E-9AAE7FB93951}"/>
    <hyperlink ref="L8" r:id="rId3" display="https://us3.assetplanner.com/service_request?ID=095693" xr:uid="{2DD5270D-2385-4F11-A97D-50FA73198A6D}"/>
    <hyperlink ref="M8" r:id="rId4" display="https://us3.assetplanner.com/service_request?ID=094233" xr:uid="{EDBF15C9-245A-4B5F-9255-2EFC9D78D5C5}"/>
    <hyperlink ref="K9" r:id="rId5" display="https://us3.assetplanner.com/service_request?ID=089170" xr:uid="{6ED4DEC8-F813-461F-AA5C-CC88CDBCF9B0}"/>
    <hyperlink ref="L9" r:id="rId6" display="https://us3.assetplanner.com/service_request?ID=095220" xr:uid="{F0692556-E063-43D2-ACF3-BB44C9B2CE69}"/>
    <hyperlink ref="K10" r:id="rId7" display="https://us3.assetplanner.com/service_request?ID=089564" xr:uid="{756953FD-5336-4FC8-AE3E-4683EBFD52FD}"/>
    <hyperlink ref="L10" r:id="rId8" display="https://us3.assetplanner.com/service_request?ID=093404" xr:uid="{E1C99063-CB53-4BCD-BD63-39F6413B37F6}"/>
    <hyperlink ref="M10" r:id="rId9" display="https://us3.assetplanner.com/service_request?ID=093406" xr:uid="{A857FEB4-924D-486B-8394-9B8CCC301715}"/>
    <hyperlink ref="K14" r:id="rId10" display="https://us3.assetplanner.com/service_request?ID=093500" xr:uid="{4EA386F9-53BE-4A9B-AB1D-EF694AD79208}"/>
    <hyperlink ref="L14" r:id="rId11" display="https://us3.assetplanner.com/service_request?ID=094025" xr:uid="{C8F14314-D4AB-4C44-993D-59E1294CC152}"/>
    <hyperlink ref="M14" r:id="rId12" display="https://us3.assetplanner.com/service_request?ID=094028" xr:uid="{CBE5C8FE-AB63-461C-B5E6-FDCA244F58EF}"/>
    <hyperlink ref="N14" r:id="rId13" display="https://us3.assetplanner.com/service_request?ID=095517" xr:uid="{461EF8D7-46A6-4A5C-8550-56D9DBD3A2F5}"/>
    <hyperlink ref="O14" r:id="rId14" display="https://us3.assetplanner.com/service_request?ID=095697" xr:uid="{49BDF839-0FA1-438A-98D9-3B437B4E1EF7}"/>
    <hyperlink ref="P14" r:id="rId15" display="https://us3.assetplanner.com/service_request?ID=096199" xr:uid="{93B6412D-B79A-4CA2-B68E-FFCD2BE620B9}"/>
    <hyperlink ref="K16" r:id="rId16" display="https://us3.assetplanner.com/service_request?ID=095300" xr:uid="{9CC1CEFB-F3A6-40CC-B668-F34A6D893E14}"/>
    <hyperlink ref="L16" r:id="rId17" display="https://us3.assetplanner.com/service_request?ID=095690" xr:uid="{CF845071-F702-441F-B286-70D0A3F232B8}"/>
    <hyperlink ref="K18" r:id="rId18" display="https://us3.assetplanner.com/service_request?ID=092249" xr:uid="{CFD452B4-F7B4-490F-9321-AD161652848F}"/>
    <hyperlink ref="L18" r:id="rId19" display="https://us3.assetplanner.com/service_request?ID=093403" xr:uid="{4E0250EA-4D7C-47D8-90D4-815DB7F54FA4}"/>
    <hyperlink ref="M18" r:id="rId20" display="https://us3.assetplanner.com/service_request?ID=096031" xr:uid="{56FA491C-6300-46CD-BD79-48961BBF9347}"/>
    <hyperlink ref="K19" r:id="rId21" display="https://us3.assetplanner.com/service_request?ID=096132" xr:uid="{1D0D862D-4802-4325-96B6-599EDA6A1F21}"/>
    <hyperlink ref="K20" r:id="rId22" display="https://us3.assetplanner.com/service_request?ID=095279" xr:uid="{91EC6225-380F-4F72-97FE-4CDD9C63DFD5}"/>
    <hyperlink ref="L20" r:id="rId23" display="https://us3.assetplanner.com/service_request?ID=095309" xr:uid="{040F34E5-B7E0-4CB2-8FF0-7658A625ED22}"/>
    <hyperlink ref="M20" r:id="rId24" display="https://us3.assetplanner.com/service_request?ID=095058" xr:uid="{A997705C-00B1-4D04-A6C6-A50317138A2C}"/>
    <hyperlink ref="N20" r:id="rId25" display="https://us3.assetplanner.com/service_request?ID=095843" xr:uid="{15D36DB6-00B8-480E-A02B-A0EDCB35054C}"/>
    <hyperlink ref="O20" r:id="rId26" display="https://us3.assetplanner.com/service_request?ID=089983" xr:uid="{FFCB6D8A-EF99-46CB-8CCF-B13BA796F225}"/>
    <hyperlink ref="K22" r:id="rId27" display="https://us3.assetplanner.com/service_request?ID=095497" xr:uid="{3045037B-B630-4370-B72C-819B5E6E7DC9}"/>
    <hyperlink ref="K23" r:id="rId28" display="https://us3.assetplanner.com/service_request?ID=094678" xr:uid="{36847EF9-4EDA-4855-ACD6-556BB84FDC86}"/>
    <hyperlink ref="L23" r:id="rId29" display="https://us3.assetplanner.com/service_request?ID=096154" xr:uid="{72167950-D9FD-430D-AC95-7E5D888A56EF}"/>
    <hyperlink ref="K24" r:id="rId30" display="https://us3.assetplanner.com/service_request?ID=095079" xr:uid="{76D2F976-7DFA-45B2-AAD3-1BBD9B69D56D}"/>
    <hyperlink ref="L24" r:id="rId31" display="https://us3.assetplanner.com/service_request?ID=095518" xr:uid="{CB157764-494C-4BA6-A487-EDD493C8ECB0}"/>
    <hyperlink ref="M24" r:id="rId32" display="https://us3.assetplanner.com/service_request?ID=095538" xr:uid="{7476B7B3-7B22-4FD1-A84D-9471EFE4B6F7}"/>
    <hyperlink ref="N24" r:id="rId33" display="https://us3.assetplanner.com/service_request?ID=095579" xr:uid="{86BF380E-A57F-40AC-ABA5-7922EFA1BAE2}"/>
    <hyperlink ref="O24" r:id="rId34" display="https://us3.assetplanner.com/service_request?ID=095616" xr:uid="{CBD521D9-9F2F-40BD-8656-9515C24B6997}"/>
    <hyperlink ref="P24" r:id="rId35" display="https://us3.assetplanner.com/service_request?ID=095972" xr:uid="{B99078BB-A609-4F2F-B8A5-BCFA59078771}"/>
    <hyperlink ref="K25" r:id="rId36" display="https://us3.assetplanner.com/service_request?ID=092108" xr:uid="{F86D28E7-5DDD-47DC-9187-F6C403058250}"/>
    <hyperlink ref="K27" r:id="rId37" display="https://us3.assetplanner.com/service_request?ID=095495" xr:uid="{370908B6-08A3-46B6-B3DB-C54B55B3292C}"/>
    <hyperlink ref="L27" r:id="rId38" display="https://us3.assetplanner.com/service_request?ID=095674" xr:uid="{93C66986-790D-4851-AF2F-3F9DCB34F35F}"/>
    <hyperlink ref="K29" r:id="rId39" display="https://us3.assetplanner.com/service_request?ID=095494" xr:uid="{8E3F0A26-9B27-46F3-AB17-84336D0EE53D}"/>
    <hyperlink ref="K32" r:id="rId40" display="https://us3.assetplanner.com/service_request?ID=095360" xr:uid="{395319AD-FD75-456E-85AD-6EE5D8108BDD}"/>
    <hyperlink ref="L32" r:id="rId41" display="https://us3.assetplanner.com/service_request?ID=092627" xr:uid="{CA45240E-D889-44CD-BD72-D6F88898EBD9}"/>
    <hyperlink ref="M32" r:id="rId42" display="https://us3.assetplanner.com/service_request?ID=095903" xr:uid="{701CB526-6040-44D7-AF13-741857884BF7}"/>
  </hyperlinks>
  <pageMargins left="0.4" right="0.7" top="0.25" bottom="0.25" header="0.3" footer="0.3"/>
  <pageSetup fitToHeight="99" orientation="landscape" r:id="rId4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A5" sqref="A5:XFD5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80</v>
      </c>
      <c r="E1" s="89"/>
      <c r="F1" s="89"/>
      <c r="G1" s="87" t="s">
        <v>81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 t="shared" ref="E4:E33" si="0">IF(AND(ISNUMBER(C4),ISNUMBER(D4)), C4-D4, "")</f>
        <v/>
      </c>
      <c r="F4" s="14" t="str">
        <f t="shared" ref="F4:F13" si="1">IFERROR(E4/D4, "")</f>
        <v/>
      </c>
      <c r="G4" s="15"/>
      <c r="H4" s="15" t="str">
        <f t="shared" ref="H4:H17" si="2">IF(AND(ISNUMBER(C4),ISNUMBER(G4)), C4-G4, "")</f>
        <v/>
      </c>
      <c r="I4" s="16" t="str">
        <f t="shared" ref="I4:I15" si="3">IFERROR(H4/G4, "")</f>
        <v/>
      </c>
      <c r="J4" s="40"/>
      <c r="K4" s="40"/>
    </row>
    <row r="5" spans="1:11" ht="15.6">
      <c r="A5" s="48" t="str">
        <v>15 Walpole Park South</v>
      </c>
      <c r="B5" s="31" t="str">
        <v>MA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1"/>
      <c r="K5" s="41"/>
    </row>
    <row r="6" spans="1:11" ht="15.6">
      <c r="A6" s="49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0"/>
      <c r="K6" s="40"/>
    </row>
    <row r="7" spans="1:11" ht="15.6">
      <c r="A7" s="48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1"/>
      <c r="K7" s="42"/>
    </row>
    <row r="8" spans="1:11" ht="15.6">
      <c r="A8" s="49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0"/>
      <c r="K8" s="40"/>
    </row>
    <row r="9" spans="1:11" ht="15.6">
      <c r="A9" s="48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1"/>
      <c r="K9" s="42"/>
    </row>
    <row r="10" spans="1:11" ht="15.6">
      <c r="A10" s="49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0"/>
      <c r="K10" s="40"/>
    </row>
    <row r="11" spans="1:11" ht="15.6">
      <c r="A11" s="48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1"/>
      <c r="K11" s="42"/>
    </row>
    <row r="12" spans="1:11" ht="15.6">
      <c r="A12" s="49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0"/>
      <c r="K12" s="40"/>
    </row>
    <row r="13" spans="1:11" ht="15.6">
      <c r="A13" s="48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1"/>
      <c r="K13" s="42"/>
    </row>
    <row r="14" spans="1:11" ht="15.6">
      <c r="A14" s="49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ref="F14:F33" si="4">IFERROR(E14/D14, "")</f>
        <v/>
      </c>
      <c r="G14" s="15"/>
      <c r="H14" s="15" t="str">
        <f t="shared" si="2"/>
        <v/>
      </c>
      <c r="I14" s="16" t="str">
        <f t="shared" si="3"/>
        <v/>
      </c>
      <c r="J14" s="40"/>
      <c r="K14" s="40"/>
    </row>
    <row r="15" spans="1:11" ht="15.6">
      <c r="A15" s="48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4"/>
        <v/>
      </c>
      <c r="G15" s="20"/>
      <c r="H15" s="20" t="str">
        <f t="shared" si="2"/>
        <v/>
      </c>
      <c r="I15" s="19" t="str">
        <f t="shared" si="3"/>
        <v/>
      </c>
      <c r="J15" s="41"/>
      <c r="K15" s="42"/>
    </row>
    <row r="16" spans="1:11" ht="15.6">
      <c r="A16" s="49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4"/>
        <v/>
      </c>
      <c r="G16" s="15"/>
      <c r="H16" s="15" t="str">
        <f t="shared" si="2"/>
        <v/>
      </c>
      <c r="I16" s="16" t="str">
        <f t="shared" ref="I16:I33" si="5">IFERROR(H16/G16, "")</f>
        <v/>
      </c>
      <c r="J16" s="40"/>
      <c r="K16" s="40"/>
    </row>
    <row r="17" spans="1:11" ht="15.6">
      <c r="A17" s="48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4"/>
        <v/>
      </c>
      <c r="G17" s="20"/>
      <c r="H17" s="20" t="str">
        <f t="shared" si="2"/>
        <v/>
      </c>
      <c r="I17" s="19" t="str">
        <f t="shared" si="5"/>
        <v/>
      </c>
      <c r="J17" s="41"/>
      <c r="K17" s="42"/>
    </row>
    <row r="18" spans="1:11" ht="12.75" customHeight="1">
      <c r="A18" s="47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4"/>
        <v/>
      </c>
      <c r="G18" s="15"/>
      <c r="H18" s="15" t="str">
        <f t="shared" ref="H18:H33" si="6">IF(AND(ISNUMBER(C18),ISNUMBER(G18)), C18-G18, "")</f>
        <v/>
      </c>
      <c r="I18" s="16" t="str">
        <f t="shared" si="5"/>
        <v/>
      </c>
      <c r="J18" s="40"/>
      <c r="K18" s="40"/>
    </row>
    <row r="19" spans="1:11" ht="15.6">
      <c r="A19" s="48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6"/>
        <v/>
      </c>
      <c r="I19" s="19" t="str">
        <f t="shared" si="5"/>
        <v/>
      </c>
      <c r="J19" s="41"/>
      <c r="K19" s="42"/>
    </row>
    <row r="20" spans="1:11" ht="15.6">
      <c r="A20" s="49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6"/>
        <v/>
      </c>
      <c r="I20" s="16" t="str">
        <f t="shared" si="5"/>
        <v/>
      </c>
      <c r="J20" s="40"/>
      <c r="K20" s="40"/>
    </row>
    <row r="21" spans="1:11" ht="15.6">
      <c r="A21" s="48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6"/>
        <v/>
      </c>
      <c r="I21" s="19" t="str">
        <f t="shared" si="5"/>
        <v/>
      </c>
      <c r="J21" s="56"/>
      <c r="K21" s="55"/>
    </row>
    <row r="22" spans="1:11" ht="15.6">
      <c r="A22" s="49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6"/>
        <v/>
      </c>
      <c r="I22" s="16" t="str">
        <f t="shared" si="5"/>
        <v/>
      </c>
      <c r="J22" s="40"/>
      <c r="K22" s="40"/>
    </row>
    <row r="23" spans="1:11" ht="15.6">
      <c r="A23" s="48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4"/>
        <v/>
      </c>
      <c r="G23" s="20"/>
      <c r="H23" s="20" t="str">
        <f t="shared" si="6"/>
        <v/>
      </c>
      <c r="I23" s="19" t="str">
        <f t="shared" si="5"/>
        <v/>
      </c>
      <c r="J23" s="41"/>
      <c r="K23" s="42"/>
    </row>
    <row r="24" spans="1:11" ht="15.6">
      <c r="A24" s="49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6"/>
        <v/>
      </c>
      <c r="I24" s="16" t="str">
        <f t="shared" si="5"/>
        <v/>
      </c>
      <c r="J24" s="40"/>
      <c r="K24" s="40"/>
    </row>
    <row r="25" spans="1:11" ht="15.6">
      <c r="A25" s="48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6"/>
        <v/>
      </c>
      <c r="I25" s="19" t="str">
        <f t="shared" si="5"/>
        <v/>
      </c>
      <c r="J25" s="41"/>
      <c r="K25" s="42"/>
    </row>
    <row r="26" spans="1:11" ht="15.6">
      <c r="A26" s="49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4"/>
        <v/>
      </c>
      <c r="G26" s="15"/>
      <c r="H26" s="15" t="str">
        <f t="shared" si="6"/>
        <v/>
      </c>
      <c r="I26" s="16" t="str">
        <f t="shared" si="5"/>
        <v/>
      </c>
      <c r="J26" s="40"/>
      <c r="K26" s="40"/>
    </row>
    <row r="27" spans="1:11" ht="15.6">
      <c r="A27" s="48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4"/>
        <v/>
      </c>
      <c r="G27" s="20"/>
      <c r="H27" s="20" t="str">
        <f t="shared" si="6"/>
        <v/>
      </c>
      <c r="I27" s="19" t="str">
        <f t="shared" si="5"/>
        <v/>
      </c>
      <c r="J27" s="41"/>
      <c r="K27" s="42"/>
    </row>
    <row r="28" spans="1:11" ht="15.6">
      <c r="A28" s="49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4"/>
        <v/>
      </c>
      <c r="G28" s="15"/>
      <c r="H28" s="15" t="str">
        <f t="shared" si="6"/>
        <v/>
      </c>
      <c r="I28" s="16" t="str">
        <f t="shared" si="5"/>
        <v/>
      </c>
      <c r="J28" s="40"/>
      <c r="K28" s="40"/>
    </row>
    <row r="29" spans="1:11" ht="15.6">
      <c r="A29" s="48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4"/>
        <v/>
      </c>
      <c r="G29" s="20"/>
      <c r="H29" s="20" t="str">
        <f t="shared" si="6"/>
        <v/>
      </c>
      <c r="I29" s="19" t="str">
        <f t="shared" si="5"/>
        <v/>
      </c>
      <c r="J29" s="41"/>
      <c r="K29" s="42"/>
    </row>
    <row r="30" spans="1:11" ht="15.6">
      <c r="A30" s="49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4"/>
        <v/>
      </c>
      <c r="G30" s="15"/>
      <c r="H30" s="15" t="str">
        <f t="shared" si="6"/>
        <v/>
      </c>
      <c r="I30" s="16" t="str">
        <f t="shared" si="5"/>
        <v/>
      </c>
      <c r="J30" s="40"/>
      <c r="K30" s="40"/>
    </row>
    <row r="31" spans="1:11" ht="15.6">
      <c r="A31" s="48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4"/>
        <v/>
      </c>
      <c r="G31" s="20"/>
      <c r="H31" s="20" t="str">
        <f t="shared" si="6"/>
        <v/>
      </c>
      <c r="I31" s="19" t="str">
        <f t="shared" si="5"/>
        <v/>
      </c>
      <c r="J31" s="41"/>
      <c r="K31" s="42"/>
    </row>
    <row r="32" spans="1:11" ht="15.6">
      <c r="A32" s="49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4"/>
        <v/>
      </c>
      <c r="G32" s="15"/>
      <c r="H32" s="15" t="str">
        <f t="shared" si="6"/>
        <v/>
      </c>
      <c r="I32" s="16" t="str">
        <f t="shared" si="5"/>
        <v/>
      </c>
      <c r="J32" s="40"/>
      <c r="K32" s="40"/>
    </row>
    <row r="33" spans="1:11" ht="15.6">
      <c r="A33" s="48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4"/>
        <v/>
      </c>
      <c r="G33" s="20"/>
      <c r="H33" s="20" t="str">
        <f t="shared" si="6"/>
        <v/>
      </c>
      <c r="I33" s="19" t="str">
        <f t="shared" si="5"/>
        <v/>
      </c>
      <c r="J33" s="41"/>
      <c r="K33" s="42"/>
    </row>
    <row r="34" spans="1:11" ht="15.6">
      <c r="A34" s="49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5.6">
      <c r="A35" s="48" t="str">
        <v>Westport - Pine Hill</v>
      </c>
      <c r="B35" s="31" t="str">
        <v>MA</v>
      </c>
      <c r="C35" s="75"/>
      <c r="D35" s="18"/>
      <c r="E35" s="18"/>
      <c r="F35" s="76"/>
      <c r="G35" s="67"/>
      <c r="H35" s="67"/>
      <c r="I35" s="76"/>
      <c r="J35" s="41"/>
      <c r="K35" s="42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34" sqref="A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82</v>
      </c>
      <c r="E1" s="89"/>
      <c r="F1" s="89"/>
      <c r="G1" s="87" t="s">
        <v>83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7"/>
      <c r="K7" s="58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1"/>
    </row>
    <row r="14" spans="1:11" ht="15.6">
      <c r="A14" s="28" t="str">
        <v>Chelsea</v>
      </c>
      <c r="B14" s="29" t="str">
        <v>MA</v>
      </c>
      <c r="C14" s="24"/>
      <c r="D14" s="13"/>
      <c r="E14" s="13" t="str">
        <f>IF(AND(ISNUMBER(C14),ISNUMBER(D14)), C14-D14, "")</f>
        <v/>
      </c>
      <c r="F14" s="14" t="str">
        <f>IFERROR(E14/D14, "")</f>
        <v/>
      </c>
      <c r="G14" s="15"/>
      <c r="H14" s="15" t="str">
        <f>IF(AND(ISNUMBER(C14),ISNUMBER(G14)), C14-G14, "")</f>
        <v/>
      </c>
      <c r="I14" s="16" t="str">
        <f>IFERROR(H14/G14, "")</f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60"/>
      <c r="K16" s="6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1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57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59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20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84</v>
      </c>
      <c r="E1" s="89"/>
      <c r="F1" s="89"/>
      <c r="G1" s="87" t="s">
        <v>85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33.75" customHeight="1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56"/>
      <c r="K13" s="55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31.5" customHeight="1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1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zoomScale="70" zoomScaleNormal="70" workbookViewId="0">
      <pane xSplit="2" ySplit="3" topLeftCell="C17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86</v>
      </c>
      <c r="E1" s="89"/>
      <c r="F1" s="89"/>
      <c r="G1" s="87" t="s">
        <v>87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33.75" customHeight="1">
      <c r="A18" s="61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56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1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56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70" zoomScaleNormal="70" workbookViewId="0">
      <pane xSplit="2" ySplit="3" topLeftCell="C14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88</v>
      </c>
      <c r="E1" s="89"/>
      <c r="F1" s="89"/>
      <c r="G1" s="87" t="s">
        <v>89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1"/>
    </row>
    <row r="8" spans="1:11" ht="33" customHeight="1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54" customHeight="1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56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1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1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56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1"/>
    </row>
    <row r="18" spans="1:11" ht="33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56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1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1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1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34.5" customHeight="1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56"/>
      <c r="K27" s="56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1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1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60" zoomScaleNormal="60" workbookViewId="0">
      <pane xSplit="2" ySplit="3" topLeftCell="C4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7" width="13.28515625" customWidth="1"/>
    <col min="8" max="8" width="20.710937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tr">
        <f>IF(AND(ISNUMBER(C27),ISNUMBER(G27)), C27-G27, "")</f>
        <v/>
      </c>
      <c r="E1" s="89"/>
      <c r="F1" s="89"/>
      <c r="G1" s="87" t="s">
        <v>90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>IF(AND(ISNUMBER(C26),ISNUMBER(G26)), C26-G26, "")</f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>IF(AND(ISNUMBER(C27),ISNUMBER(G27)), C27-G27, "")</f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ref="H28:H30" si="4">IF(AND(ISNUMBER(C28),ISNUMBER(G28)), C28-G28, "")</f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4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4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55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55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0 I4:I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70" zoomScaleNormal="70" workbookViewId="0">
      <pane xSplit="2" ySplit="3" topLeftCell="C9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91</v>
      </c>
      <c r="E1" s="89"/>
      <c r="F1" s="89"/>
      <c r="G1" s="87" t="s">
        <v>92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>IF(AND(ISNUMBER(C10),ISNUMBER(D10)), C10-D10, "")</f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56"/>
      <c r="K11" s="55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/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56"/>
      <c r="K33" s="55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70" zoomScaleNormal="70" workbookViewId="0">
      <pane xSplit="2" ySplit="3" topLeftCell="C21" activePane="bottomRight" state="frozen"/>
      <selection pane="bottomRight" activeCell="D38" sqref="D38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93</v>
      </c>
      <c r="E1" s="89"/>
      <c r="F1" s="89"/>
      <c r="G1" s="87" t="s">
        <v>94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6"/>
      <c r="K7" s="58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9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78" customHeight="1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8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56"/>
      <c r="K25" s="55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/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57"/>
      <c r="K33" s="56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4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60" zoomScaleNormal="60" workbookViewId="0">
      <pane xSplit="2" ySplit="3" topLeftCell="C17" activePane="bottomRight" state="frozen"/>
      <selection pane="bottomRight" activeCell="H37" sqref="H37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9.5703125" customWidth="1"/>
    <col min="11" max="11" width="22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95</v>
      </c>
      <c r="E1" s="89"/>
      <c r="F1" s="89"/>
      <c r="G1" s="87" t="s">
        <v>96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60"/>
      <c r="K4" s="6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57"/>
      <c r="K5" s="57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60"/>
      <c r="K6" s="6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7"/>
      <c r="K7" s="58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64"/>
      <c r="K8" s="64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5"/>
      <c r="K9" s="65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4"/>
      <c r="K10" s="64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57"/>
      <c r="K11" s="58"/>
    </row>
    <row r="12" spans="1:11" ht="94.5" customHeight="1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60"/>
      <c r="K12" s="6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57"/>
      <c r="K13" s="58"/>
    </row>
    <row r="14" spans="1:11" ht="51.75" customHeight="1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60"/>
      <c r="K14" s="6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7"/>
      <c r="K15" s="58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60"/>
      <c r="K16" s="6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57"/>
      <c r="K17" s="58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60"/>
      <c r="K18" s="6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57"/>
      <c r="K19" s="58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60"/>
      <c r="K20" s="6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57"/>
      <c r="K21" s="58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60"/>
      <c r="K22" s="6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57"/>
      <c r="K23" s="58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60"/>
      <c r="K24" s="6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57"/>
      <c r="K25" s="58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60"/>
      <c r="K26" s="6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57"/>
      <c r="K27" s="66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60"/>
      <c r="K28" s="6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57"/>
      <c r="K29" s="66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60"/>
      <c r="K30" s="6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57"/>
      <c r="K31" s="58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60"/>
      <c r="K32" s="60"/>
    </row>
    <row r="33" spans="1:11" ht="159" customHeight="1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57"/>
      <c r="K33" s="59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60"/>
      <c r="K34" s="6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C12" activePane="bottomRight" state="frozen"/>
      <selection pane="bottomRight" activeCell="A34" sqref="A34:XFD34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97</v>
      </c>
      <c r="E1" s="89"/>
      <c r="F1" s="89"/>
      <c r="G1" s="87" t="s">
        <v>98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39.75" customHeight="1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68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63.75" customHeight="1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85.5" customHeight="1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9.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2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56"/>
      <c r="K25" s="70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66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6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6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63"/>
    </row>
    <row r="34" spans="1:11" ht="15.6">
      <c r="A34" s="28" t="str">
        <v>Camden - Campbell Soup HQ</v>
      </c>
      <c r="B34" s="29" t="str">
        <v>NJ</v>
      </c>
      <c r="C34" s="24"/>
      <c r="D34" s="13"/>
      <c r="E34" s="13"/>
      <c r="F34" s="14"/>
      <c r="G34" s="15"/>
      <c r="H34" s="15"/>
      <c r="I34" s="16"/>
      <c r="J34" s="40"/>
      <c r="K34" s="40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3"/>
  <sheetViews>
    <sheetView workbookViewId="0">
      <pane xSplit="2" ySplit="3" topLeftCell="C4" activePane="bottomRight" state="frozen"/>
      <selection pane="bottomRight" activeCell="F40" sqref="F40"/>
      <selection pane="bottomLeft" activeCell="F38" sqref="F38"/>
      <selection pane="topRight" activeCell="F38" sqref="F3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Greenbacker Capital</v>
      </c>
      <c r="B1" s="88"/>
      <c r="C1" s="88"/>
      <c r="D1" s="89" t="s">
        <v>99</v>
      </c>
      <c r="E1" s="89"/>
      <c r="F1" s="89"/>
      <c r="G1" s="87" t="s">
        <v>100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SUM(C4:C101)</f>
        <v>0</v>
      </c>
      <c r="D2" s="5">
        <f>SUM(D4:D101)</f>
        <v>0</v>
      </c>
      <c r="E2" s="5">
        <f>C2-D2</f>
        <v>0</v>
      </c>
      <c r="F2" s="6">
        <f>IFERROR(E2/D2, 0)</f>
        <v>0</v>
      </c>
      <c r="G2" s="5">
        <f>SUM(G4:G101)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5">Sites[Site]</f>
        <v>10 Walpole Park South</v>
      </c>
      <c r="B4" s="29" t="str" cm="1">
        <f t="array" ref="B4:B3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4" si="0">IF(AND(ISNUMBER(C5),ISNUMBER(D5)), C5-D5, "")</f>
        <v/>
      </c>
      <c r="F5" s="19" t="str">
        <f>IFERROR(E5/D5, "")</f>
        <v/>
      </c>
      <c r="G5" s="20"/>
      <c r="H5" s="20" t="str">
        <f t="shared" ref="H5:H34" si="1">IF(AND(ISNUMBER(C5),ISNUMBER(G5)), C5-G5, "")</f>
        <v/>
      </c>
      <c r="I5" s="19" t="str">
        <f t="shared" ref="I5:I34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4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1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>IFERROR(H16/G16, "")</f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>IFERROR(H17/G17, "")</f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>IFERROR(H18/G18, "")</f>
        <v/>
      </c>
      <c r="J18" s="40"/>
      <c r="K18" s="78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ref="I19:I32" si="4">IFERROR(H19/G19, "")</f>
        <v/>
      </c>
      <c r="J19" s="41"/>
      <c r="K19" s="42"/>
    </row>
    <row r="20" spans="1:11" ht="96.75" customHeight="1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4"/>
        <v/>
      </c>
      <c r="J20" s="40"/>
      <c r="K20" s="6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4"/>
        <v/>
      </c>
      <c r="J21" s="41"/>
      <c r="K21" s="58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4"/>
        <v/>
      </c>
      <c r="J22" s="40"/>
      <c r="K22" s="6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4"/>
        <v/>
      </c>
      <c r="J23" s="41"/>
      <c r="K23" s="59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4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4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4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4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4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>IF(AND(ISNUMBER(C29),ISNUMBER(D29)), C29-D29, "")</f>
        <v/>
      </c>
      <c r="F29" s="19" t="str">
        <f>IFERROR(E29/D29, "")</f>
        <v/>
      </c>
      <c r="G29" s="20"/>
      <c r="H29" s="20" t="str">
        <f>IF(AND(ISNUMBER(C29),ISNUMBER(G29)), C29-G29, "")</f>
        <v/>
      </c>
      <c r="I29" s="19" t="str">
        <f t="shared" si="4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71"/>
      <c r="D30" s="13"/>
      <c r="E30" s="13" t="str">
        <f>IF(AND(ISNUMBER(C30),ISNUMBER(D30)), C30-D30, "")</f>
        <v/>
      </c>
      <c r="F30" s="72" t="str">
        <f>IFERROR(E30/D30, "")</f>
        <v/>
      </c>
      <c r="G30" s="73"/>
      <c r="H30" s="73" t="str">
        <f>IF(AND(ISNUMBER(C30),ISNUMBER(G30)), C30-G30, "")</f>
        <v/>
      </c>
      <c r="I30" s="16" t="str">
        <f t="shared" si="4"/>
        <v/>
      </c>
      <c r="J30" s="74"/>
      <c r="K30" s="74"/>
    </row>
    <row r="31" spans="1:11" ht="15.6">
      <c r="A31" s="30" t="str">
        <v>Hudson County Correction</v>
      </c>
      <c r="B31" s="31" t="str">
        <v>NJ</v>
      </c>
      <c r="C31" s="75"/>
      <c r="D31" s="18"/>
      <c r="E31" s="18" t="str">
        <f>IF(AND(ISNUMBER(C31),ISNUMBER(D31)), C31-D31, "")</f>
        <v/>
      </c>
      <c r="F31" s="76" t="str">
        <f>IFERROR(E31/D31, "")</f>
        <v/>
      </c>
      <c r="G31" s="67"/>
      <c r="H31" s="67" t="str">
        <f>IF(AND(ISNUMBER(C31),ISNUMBER(G31)), C31-G31, "")</f>
        <v/>
      </c>
      <c r="I31" s="19" t="str">
        <f t="shared" si="4"/>
        <v/>
      </c>
      <c r="J31" s="41"/>
      <c r="K31" s="77"/>
    </row>
    <row r="32" spans="1:11" ht="15.6">
      <c r="A32" s="28" t="str">
        <v>ER Bison Solar</v>
      </c>
      <c r="B32" s="29" t="str">
        <v>PA</v>
      </c>
      <c r="C32" s="71"/>
      <c r="D32" s="13"/>
      <c r="E32" s="13" t="str">
        <f>IF(AND(ISNUMBER(C32),ISNUMBER(D32)), C32-D32, "")</f>
        <v/>
      </c>
      <c r="F32" s="72" t="str">
        <f>IFERROR(E32/D32, "")</f>
        <v/>
      </c>
      <c r="G32" s="73"/>
      <c r="H32" s="73" t="str">
        <f>IF(AND(ISNUMBER(C32),ISNUMBER(G32)), C32-G32, "")</f>
        <v/>
      </c>
      <c r="I32" s="16" t="str">
        <f t="shared" si="4"/>
        <v/>
      </c>
      <c r="J32" s="74"/>
      <c r="K32" s="74"/>
    </row>
    <row r="33" spans="1:11" ht="15.6">
      <c r="A33" s="30" t="str">
        <v>Danville</v>
      </c>
      <c r="B33" s="31" t="str">
        <v>IL</v>
      </c>
      <c r="C33" s="75"/>
      <c r="D33" s="18"/>
      <c r="E33" s="18" t="str">
        <f>IF(AND(ISNUMBER(C33),ISNUMBER(D33)), C33-D33, "")</f>
        <v/>
      </c>
      <c r="F33" s="76" t="str">
        <f>IFERROR(E33/D33, "")</f>
        <v/>
      </c>
      <c r="G33" s="67"/>
      <c r="H33" s="67" t="str">
        <f>IF(AND(ISNUMBER(C33),ISNUMBER(G33)), C33-G33, "")</f>
        <v/>
      </c>
      <c r="I33" s="76" t="str">
        <f>IFERROR(H33/G33, "")</f>
        <v/>
      </c>
      <c r="J33" s="41"/>
      <c r="K33" s="42"/>
    </row>
    <row r="34" spans="1:11" ht="15.6">
      <c r="A34" s="28" t="str">
        <v>Camden - Campbell Soup HQ</v>
      </c>
      <c r="B34" s="29" t="str">
        <v>NJ</v>
      </c>
      <c r="C34" s="71"/>
      <c r="D34" s="13"/>
      <c r="E34" s="13" t="str">
        <f t="shared" si="0"/>
        <v/>
      </c>
      <c r="F34" s="72" t="str">
        <f t="shared" si="3"/>
        <v/>
      </c>
      <c r="G34" s="73"/>
      <c r="H34" s="73" t="str">
        <f t="shared" si="1"/>
        <v/>
      </c>
      <c r="I34" s="16" t="str">
        <f t="shared" si="2"/>
        <v/>
      </c>
      <c r="J34" s="74"/>
      <c r="K34" s="74"/>
    </row>
    <row r="35" spans="1:11" ht="14.45">
      <c r="A35" s="21" t="str">
        <v>Westport - Pine Hill</v>
      </c>
      <c r="B35" s="33" t="str">
        <v>MA</v>
      </c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3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C343" s="21"/>
      <c r="D343" s="21"/>
      <c r="E343" s="21"/>
      <c r="F343" s="22"/>
      <c r="G343" s="21"/>
      <c r="H343" s="21"/>
      <c r="I343" s="22"/>
      <c r="J343" s="21"/>
      <c r="K343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1 I4:I101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5"/>
  <sheetViews>
    <sheetView workbookViewId="0">
      <pane ySplit="3" topLeftCell="A4" activePane="bottomLeft" state="frozen"/>
      <selection pane="bottomLeft" activeCell="D42" sqref="D4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101</v>
      </c>
      <c r="B1" t="s">
        <v>102</v>
      </c>
    </row>
    <row r="3" spans="1:12" ht="13.15">
      <c r="A3" t="s">
        <v>103</v>
      </c>
      <c r="B3" t="s">
        <v>3</v>
      </c>
      <c r="C3" t="s">
        <v>4</v>
      </c>
      <c r="D3" t="s">
        <v>104</v>
      </c>
      <c r="E3" s="2" t="s">
        <v>105</v>
      </c>
    </row>
    <row r="4" spans="1:12" ht="14.45">
      <c r="A4" s="3" t="s">
        <v>106</v>
      </c>
      <c r="B4" t="s">
        <v>107</v>
      </c>
      <c r="C4" s="50" t="s">
        <v>108</v>
      </c>
      <c r="D4" t="s">
        <v>109</v>
      </c>
      <c r="E4" s="50" t="s">
        <v>110</v>
      </c>
      <c r="G4" s="3"/>
    </row>
    <row r="5" spans="1:12" ht="14.45">
      <c r="A5" s="3" t="s">
        <v>111</v>
      </c>
      <c r="B5" t="s">
        <v>112</v>
      </c>
      <c r="C5" s="50" t="s">
        <v>108</v>
      </c>
      <c r="D5" t="s">
        <v>109</v>
      </c>
      <c r="E5" s="50" t="s">
        <v>110</v>
      </c>
      <c r="G5" s="3"/>
    </row>
    <row r="6" spans="1:12" ht="14.45">
      <c r="A6" s="3" t="s">
        <v>113</v>
      </c>
      <c r="B6" t="s">
        <v>114</v>
      </c>
      <c r="C6" s="50" t="s">
        <v>108</v>
      </c>
      <c r="D6" t="s">
        <v>109</v>
      </c>
      <c r="E6" s="50" t="s">
        <v>110</v>
      </c>
      <c r="G6" s="3"/>
    </row>
    <row r="7" spans="1:12" ht="12.75" customHeight="1">
      <c r="A7" s="3" t="s">
        <v>115</v>
      </c>
      <c r="B7" t="s">
        <v>116</v>
      </c>
      <c r="C7" s="50" t="s">
        <v>108</v>
      </c>
      <c r="D7" t="s">
        <v>109</v>
      </c>
      <c r="E7" s="50" t="s">
        <v>110</v>
      </c>
    </row>
    <row r="8" spans="1:12" ht="12.75" customHeight="1">
      <c r="A8" s="3" t="s">
        <v>117</v>
      </c>
      <c r="B8" t="s">
        <v>118</v>
      </c>
      <c r="C8" s="50" t="s">
        <v>108</v>
      </c>
      <c r="D8" t="s">
        <v>109</v>
      </c>
      <c r="E8" s="50" t="s">
        <v>110</v>
      </c>
    </row>
    <row r="9" spans="1:12" ht="12.75" customHeight="1">
      <c r="A9" s="3" t="s">
        <v>119</v>
      </c>
      <c r="B9" t="s">
        <v>120</v>
      </c>
      <c r="C9" s="50" t="s">
        <v>108</v>
      </c>
      <c r="D9" t="s">
        <v>109</v>
      </c>
      <c r="E9" s="50" t="s">
        <v>110</v>
      </c>
    </row>
    <row r="10" spans="1:12" ht="12.75" customHeight="1">
      <c r="A10" s="3" t="s">
        <v>121</v>
      </c>
      <c r="B10" t="s">
        <v>122</v>
      </c>
      <c r="C10" s="50" t="s">
        <v>108</v>
      </c>
      <c r="D10" t="s">
        <v>109</v>
      </c>
      <c r="E10" s="50" t="s">
        <v>110</v>
      </c>
      <c r="K10" s="43"/>
      <c r="L10" s="43"/>
    </row>
    <row r="11" spans="1:12" ht="12.75" customHeight="1">
      <c r="A11" s="3" t="s">
        <v>123</v>
      </c>
      <c r="B11" t="s">
        <v>124</v>
      </c>
      <c r="C11" s="50" t="s">
        <v>108</v>
      </c>
      <c r="D11" t="s">
        <v>109</v>
      </c>
      <c r="E11" s="50" t="s">
        <v>110</v>
      </c>
      <c r="K11" s="43"/>
      <c r="L11" s="43"/>
    </row>
    <row r="12" spans="1:12" ht="12.75" customHeight="1">
      <c r="A12" s="3" t="s">
        <v>125</v>
      </c>
      <c r="B12" t="s">
        <v>126</v>
      </c>
      <c r="C12" s="50" t="s">
        <v>108</v>
      </c>
      <c r="D12" t="s">
        <v>109</v>
      </c>
      <c r="E12" s="50" t="s">
        <v>110</v>
      </c>
      <c r="K12" s="43"/>
      <c r="L12" s="43"/>
    </row>
    <row r="13" spans="1:12" ht="12.75" customHeight="1">
      <c r="A13" s="3" t="s">
        <v>127</v>
      </c>
      <c r="B13" t="s">
        <v>128</v>
      </c>
      <c r="C13" s="50" t="s">
        <v>108</v>
      </c>
      <c r="D13" t="s">
        <v>109</v>
      </c>
      <c r="E13" s="50" t="s">
        <v>110</v>
      </c>
      <c r="K13" s="43"/>
      <c r="L13" s="43"/>
    </row>
    <row r="14" spans="1:12" ht="12.75" customHeight="1">
      <c r="A14" s="3" t="s">
        <v>129</v>
      </c>
      <c r="B14" t="s">
        <v>130</v>
      </c>
      <c r="C14" s="50" t="s">
        <v>108</v>
      </c>
      <c r="D14" t="s">
        <v>109</v>
      </c>
      <c r="E14" s="50" t="s">
        <v>110</v>
      </c>
      <c r="K14" s="43"/>
      <c r="L14" s="43"/>
    </row>
    <row r="15" spans="1:12" ht="12.75" customHeight="1">
      <c r="A15" s="50" t="s">
        <v>131</v>
      </c>
      <c r="B15" t="s">
        <v>132</v>
      </c>
      <c r="C15" t="s">
        <v>108</v>
      </c>
      <c r="E15" t="s">
        <v>133</v>
      </c>
      <c r="K15" s="43"/>
      <c r="L15" s="43"/>
    </row>
    <row r="16" spans="1:12" ht="12.75" customHeight="1">
      <c r="A16" s="3" t="s">
        <v>134</v>
      </c>
      <c r="B16" t="s">
        <v>135</v>
      </c>
      <c r="C16" s="50" t="s">
        <v>108</v>
      </c>
      <c r="D16" t="s">
        <v>109</v>
      </c>
      <c r="E16" s="50" t="s">
        <v>110</v>
      </c>
      <c r="K16" s="43"/>
      <c r="L16" s="43"/>
    </row>
    <row r="17" spans="1:12" ht="12.75" customHeight="1">
      <c r="A17" s="50" t="s">
        <v>136</v>
      </c>
      <c r="B17" t="s">
        <v>137</v>
      </c>
      <c r="C17" t="s">
        <v>108</v>
      </c>
      <c r="E17" t="s">
        <v>133</v>
      </c>
      <c r="K17" s="43"/>
      <c r="L17" s="43"/>
    </row>
    <row r="18" spans="1:12" ht="12.75" customHeight="1">
      <c r="A18" s="3" t="s">
        <v>138</v>
      </c>
      <c r="B18" t="s">
        <v>139</v>
      </c>
      <c r="C18" s="50" t="s">
        <v>108</v>
      </c>
      <c r="D18" t="s">
        <v>109</v>
      </c>
      <c r="E18" s="50" t="s">
        <v>110</v>
      </c>
      <c r="K18" s="43"/>
      <c r="L18" s="43"/>
    </row>
    <row r="19" spans="1:12" ht="12.75" customHeight="1">
      <c r="A19" s="3" t="s">
        <v>140</v>
      </c>
      <c r="B19" t="s">
        <v>141</v>
      </c>
      <c r="C19" s="50" t="s">
        <v>108</v>
      </c>
      <c r="D19" t="s">
        <v>109</v>
      </c>
      <c r="E19" s="50" t="s">
        <v>110</v>
      </c>
      <c r="K19" s="43"/>
      <c r="L19" s="43"/>
    </row>
    <row r="20" spans="1:12" ht="12.75" customHeight="1">
      <c r="A20" s="3" t="s">
        <v>142</v>
      </c>
      <c r="B20" t="s">
        <v>143</v>
      </c>
      <c r="C20" s="50" t="s">
        <v>108</v>
      </c>
      <c r="D20" t="s">
        <v>144</v>
      </c>
      <c r="E20" s="50" t="s">
        <v>110</v>
      </c>
      <c r="K20" s="43"/>
      <c r="L20" s="43"/>
    </row>
    <row r="21" spans="1:12" ht="12.75" customHeight="1">
      <c r="A21" s="3" t="s">
        <v>145</v>
      </c>
      <c r="B21" t="s">
        <v>146</v>
      </c>
      <c r="C21" s="50" t="s">
        <v>108</v>
      </c>
      <c r="D21" t="s">
        <v>109</v>
      </c>
      <c r="E21" s="50" t="s">
        <v>110</v>
      </c>
      <c r="K21" s="43"/>
      <c r="L21" s="43"/>
    </row>
    <row r="22" spans="1:12" ht="12.75" customHeight="1">
      <c r="A22" s="50" t="s">
        <v>147</v>
      </c>
      <c r="B22" t="s">
        <v>148</v>
      </c>
      <c r="C22" t="s">
        <v>108</v>
      </c>
      <c r="E22" t="s">
        <v>133</v>
      </c>
      <c r="K22" s="43"/>
      <c r="L22" s="43"/>
    </row>
    <row r="23" spans="1:12" ht="12.75" customHeight="1">
      <c r="A23" s="3" t="s">
        <v>149</v>
      </c>
      <c r="B23" t="s">
        <v>150</v>
      </c>
      <c r="C23" s="50" t="s">
        <v>108</v>
      </c>
      <c r="D23" t="s">
        <v>109</v>
      </c>
      <c r="E23" s="50" t="s">
        <v>110</v>
      </c>
      <c r="K23" s="43"/>
      <c r="L23" s="43"/>
    </row>
    <row r="24" spans="1:12" ht="12.75" customHeight="1">
      <c r="A24" s="3" t="s">
        <v>151</v>
      </c>
      <c r="B24" t="s">
        <v>152</v>
      </c>
      <c r="C24" s="50" t="s">
        <v>108</v>
      </c>
      <c r="D24" t="s">
        <v>109</v>
      </c>
      <c r="E24" s="50" t="s">
        <v>110</v>
      </c>
      <c r="K24" s="43"/>
      <c r="L24" s="43"/>
    </row>
    <row r="25" spans="1:12" ht="12.75" customHeight="1">
      <c r="A25" s="3" t="s">
        <v>153</v>
      </c>
      <c r="B25" t="s">
        <v>154</v>
      </c>
      <c r="C25" s="50" t="s">
        <v>155</v>
      </c>
      <c r="D25" t="s">
        <v>109</v>
      </c>
      <c r="E25" s="50" t="s">
        <v>110</v>
      </c>
      <c r="K25" s="43"/>
      <c r="L25" s="43"/>
    </row>
    <row r="26" spans="1:12" ht="12.75" customHeight="1">
      <c r="A26" s="3" t="s">
        <v>156</v>
      </c>
      <c r="B26" t="s">
        <v>157</v>
      </c>
      <c r="C26" s="50" t="s">
        <v>155</v>
      </c>
      <c r="D26" t="s">
        <v>109</v>
      </c>
      <c r="E26" s="50" t="s">
        <v>110</v>
      </c>
      <c r="K26" s="43"/>
      <c r="L26" s="43"/>
    </row>
    <row r="27" spans="1:12" ht="12.75" customHeight="1">
      <c r="A27" s="50" t="s">
        <v>158</v>
      </c>
      <c r="B27" t="s">
        <v>158</v>
      </c>
      <c r="C27" t="s">
        <v>159</v>
      </c>
      <c r="E27" t="s">
        <v>133</v>
      </c>
      <c r="K27" s="43"/>
      <c r="L27" s="43"/>
    </row>
    <row r="28" spans="1:12" ht="12.75" customHeight="1">
      <c r="A28" s="50" t="s">
        <v>160</v>
      </c>
      <c r="B28" t="s">
        <v>160</v>
      </c>
      <c r="C28" t="s">
        <v>159</v>
      </c>
      <c r="E28" t="s">
        <v>133</v>
      </c>
      <c r="K28" s="43"/>
      <c r="L28" s="43"/>
    </row>
    <row r="29" spans="1:12" ht="12.75" customHeight="1">
      <c r="A29" s="50" t="s">
        <v>161</v>
      </c>
      <c r="B29" t="s">
        <v>161</v>
      </c>
      <c r="C29" t="s">
        <v>159</v>
      </c>
      <c r="E29" t="s">
        <v>133</v>
      </c>
      <c r="K29" s="43"/>
      <c r="L29" s="43"/>
    </row>
    <row r="30" spans="1:12" ht="12.75" customHeight="1">
      <c r="A30" s="50" t="s">
        <v>162</v>
      </c>
      <c r="B30" t="s">
        <v>162</v>
      </c>
      <c r="C30" t="s">
        <v>159</v>
      </c>
      <c r="E30" t="s">
        <v>133</v>
      </c>
      <c r="K30" s="43"/>
      <c r="L30" s="43"/>
    </row>
    <row r="31" spans="1:12" ht="12.75" customHeight="1">
      <c r="A31" s="3" t="s">
        <v>163</v>
      </c>
      <c r="B31" t="s">
        <v>164</v>
      </c>
      <c r="C31" s="50" t="s">
        <v>159</v>
      </c>
      <c r="D31" t="s">
        <v>109</v>
      </c>
      <c r="E31" s="50" t="s">
        <v>110</v>
      </c>
      <c r="K31" s="43"/>
      <c r="L31" s="43"/>
    </row>
    <row r="32" spans="1:12" ht="12.75" customHeight="1">
      <c r="A32" s="3" t="s">
        <v>165</v>
      </c>
      <c r="B32" t="s">
        <v>166</v>
      </c>
      <c r="C32" s="50" t="s">
        <v>167</v>
      </c>
      <c r="D32" t="s">
        <v>109</v>
      </c>
      <c r="E32" s="50" t="s">
        <v>110</v>
      </c>
    </row>
    <row r="33" spans="1:5" ht="12.75" customHeight="1">
      <c r="A33" s="50" t="s">
        <v>168</v>
      </c>
      <c r="B33" s="50" t="s">
        <v>168</v>
      </c>
      <c r="C33" s="50" t="s">
        <v>169</v>
      </c>
      <c r="E33" t="s">
        <v>133</v>
      </c>
    </row>
    <row r="34" spans="1:5" ht="12.75" customHeight="1">
      <c r="A34" s="79" t="s">
        <v>170</v>
      </c>
      <c r="B34" s="50" t="s">
        <v>170</v>
      </c>
      <c r="C34" s="80" t="s">
        <v>159</v>
      </c>
      <c r="E34" s="50" t="s">
        <v>171</v>
      </c>
    </row>
    <row r="35" spans="1:5" ht="12.75" customHeight="1">
      <c r="A35" s="79" t="s">
        <v>172</v>
      </c>
      <c r="B35" s="50" t="s">
        <v>173</v>
      </c>
      <c r="C35" s="50" t="s">
        <v>108</v>
      </c>
      <c r="E35" s="50" t="s">
        <v>110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2025-03-04T14:51:50Z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2024-10-30T16:11:49Z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717099d2-9be0-48e7-ae9d-820f670e5df6</vt:lpwstr>
  </property>
  <property fmtid="{D5CDD505-2E9C-101B-9397-08002B2CF9AE}" pid="9" name="MSIP_Label_9d817c99-0b37-4a07-8277-96aa1f96b74b_ContentBits">
    <vt:lpwstr>0</vt:lpwstr>
  </property>
</Properties>
</file>