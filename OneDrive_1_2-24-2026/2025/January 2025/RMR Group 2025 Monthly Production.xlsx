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jayasrigarapati_amgsol_com/Documents/Microsoft Teams Chat Files/"/>
    </mc:Choice>
  </mc:AlternateContent>
  <xr:revisionPtr revIDLastSave="3" documentId="13_ncr:1_{A7571F36-B2F4-4C72-92D7-9B0965654114}" xr6:coauthVersionLast="47" xr6:coauthVersionMax="47" xr10:uidLastSave="{223BD248-786F-4451-ABE1-338D98D4FF4E}"/>
  <bookViews>
    <workbookView xWindow="-98" yWindow="-98" windowWidth="21795" windowHeight="12975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H2" i="33"/>
  <c r="I2" i="33" s="1"/>
  <c r="H2" i="3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<sst xmlns="http://schemas.openxmlformats.org/spreadsheetml/2006/main" count="239" uniqueCount="52">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</sst>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tabSelected="1" workbookViewId="0">
      <pane ySplit="2" topLeftCell="A3" activePane="bottomLeft" state="frozen"/>
      <selection pane="bottomLeft" activeCell="A19" sqref="A19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9261.7929999999997</v>
      </c>
      <c r="D2" s="6">
        <f>SUM(D4:D60)</f>
        <v>15145.214</v>
      </c>
      <c r="E2" s="6">
        <f>C2-D2</f>
        <v>-5883.4210000000003</v>
      </c>
      <c r="F2" s="7">
        <f>IFERROR(E2/D2, 0)</f>
        <v>-0.38846734024359114</v>
      </c>
      <c r="G2" s="6">
        <f>SUM(G4:G60)</f>
        <v>0</v>
      </c>
      <c r="H2" s="8">
        <f>C2-G2</f>
        <v>9261.7929999999997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9261.7929999999997</v>
      </c>
      <c r="D4" s="14">
        <f>SUM('1st Qtr'!D4, '2nd Qtr'!D4, '3rd Qtr'!D4, '4th Qtr'!D4)</f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f>SUM('1st Qtr'!G4,'2nd Qtr'!G4,'3rd Qtr'!G4,'4th Qtr'!G4)</f>
        <v>0</v>
      </c>
      <c r="H4" s="16">
        <f>SUM('1st Qtr'!H4, '2nd Qtr'!H4, '3rd Qtr'!H4, '4th Qtr'!H4)</f>
        <v>9261.7929999999997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9261.7929999999997</v>
      </c>
      <c r="D2" s="6">
        <f>SUM(D4:D68)</f>
        <v>15145.214</v>
      </c>
      <c r="E2" s="6">
        <f>C2-D2</f>
        <v>-5883.4210000000003</v>
      </c>
      <c r="F2" s="7">
        <f>IFERROR(E2/D2, 0)</f>
        <v>-0.38846734024359114</v>
      </c>
      <c r="G2" s="6">
        <f>SUM(G4:G68)</f>
        <v>0</v>
      </c>
      <c r="H2" s="8">
        <f>C2-G2</f>
        <v>9261.7929999999997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9261.7929999999997</v>
      </c>
      <c r="D4" s="14">
        <f>SUM(Jan!D4, Feb!D4, Mar!D4)</f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f>SUM(Jan!G4, Feb!G4, Mar!G4)</f>
        <v>0</v>
      </c>
      <c r="H4" s="16">
        <f>SUM(Jan!H4, Feb!H4, Mar!H4)</f>
        <v>9261.7929999999997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F14" sqref="F1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9261.7929999999997</v>
      </c>
      <c r="D2" s="6">
        <f>SUM(D4:D89)</f>
        <v>15145.214</v>
      </c>
      <c r="E2" s="6">
        <f>C2-D2</f>
        <v>-5883.4210000000003</v>
      </c>
      <c r="F2" s="7">
        <f>IFERROR(E2/D2, 0)</f>
        <v>-0.38846734024359114</v>
      </c>
      <c r="G2" s="6">
        <f>SUM(G4:G89)</f>
        <v>0</v>
      </c>
      <c r="H2" s="8">
        <f>C2-G2</f>
        <v>9261.7929999999997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9261.7929999999997</v>
      </c>
      <c r="D4" s="14">
        <v>15145.214</v>
      </c>
      <c r="E4" s="14">
        <f>IF(AND(ISNUMBER(C4),ISNUMBER(D4)), C4-D4, "")</f>
        <v>-5883.4210000000003</v>
      </c>
      <c r="F4" s="15">
        <f>IFERROR(E4/D4, "")</f>
        <v>-0.38846734024359114</v>
      </c>
      <c r="G4" s="16">
        <v>0</v>
      </c>
      <c r="H4" s="16">
        <f>IF(AND(ISNUMBER(C4),ISNUMBER(G4)), C4-G4, "")</f>
        <v>9261.7929999999997</v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zoomScale="80" zoomScaleNormal="80"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H22" sqref="H22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E23" sqref="E23"/>
      <selection activeCell="E23" sqref="E23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2025-02-11T07:38:11Z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