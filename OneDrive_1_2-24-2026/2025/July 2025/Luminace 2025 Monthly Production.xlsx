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620BC615-AE2A-468C-82BA-4D2C1EA68775}" xr6:coauthVersionLast="47" xr6:coauthVersionMax="47" xr10:uidLastSave="{6C3B187D-C859-4BD6-A3EB-D5537FF1EC79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6" l="1"/>
  <c r="F7" i="26"/>
  <c r="F8" i="26"/>
  <c r="F10" i="26"/>
  <c r="F11" i="26"/>
  <c r="F12" i="26"/>
  <c r="F14" i="26"/>
  <c r="F15" i="26"/>
  <c r="E6" i="26"/>
  <c r="E7" i="26"/>
  <c r="E8" i="26"/>
  <c r="E9" i="26"/>
  <c r="F9" i="26" s="1"/>
  <c r="E10" i="26"/>
  <c r="E11" i="26"/>
  <c r="E12" i="26"/>
  <c r="E13" i="26"/>
  <c r="F13" i="26" s="1"/>
  <c r="E14" i="26"/>
  <c r="E15" i="26"/>
  <c r="I11" i="26"/>
  <c r="I12" i="26"/>
  <c r="I14" i="26"/>
  <c r="H6" i="26"/>
  <c r="H7" i="26"/>
  <c r="H8" i="26"/>
  <c r="H9" i="26"/>
  <c r="I9" i="26" s="1"/>
  <c r="H10" i="26"/>
  <c r="I10" i="26" s="1"/>
  <c r="H11" i="26"/>
  <c r="H12" i="26"/>
  <c r="H13" i="26"/>
  <c r="I13" i="26" s="1"/>
  <c r="H14" i="26"/>
  <c r="H15" i="26"/>
  <c r="I15" i="26" s="1"/>
  <c r="I11" i="19"/>
  <c r="I12" i="19"/>
  <c r="I14" i="19"/>
  <c r="H9" i="19"/>
  <c r="I9" i="19" s="1"/>
  <c r="H10" i="19"/>
  <c r="I10" i="19" s="1"/>
  <c r="H11" i="19"/>
  <c r="H12" i="19"/>
  <c r="H13" i="19"/>
  <c r="I13" i="19" s="1"/>
  <c r="H14" i="19"/>
  <c r="H15" i="19"/>
  <c r="I15" i="19" s="1"/>
  <c r="F11" i="19"/>
  <c r="F12" i="19"/>
  <c r="F14" i="19"/>
  <c r="E9" i="19"/>
  <c r="F9" i="19" s="1"/>
  <c r="E10" i="19"/>
  <c r="F10" i="19" s="1"/>
  <c r="E11" i="19"/>
  <c r="E12" i="19"/>
  <c r="E13" i="19"/>
  <c r="F13" i="19" s="1"/>
  <c r="E14" i="19"/>
  <c r="E15" i="19"/>
  <c r="F15" i="19" s="1"/>
  <c r="I9" i="30"/>
  <c r="I10" i="30"/>
  <c r="I11" i="30"/>
  <c r="I12" i="30"/>
  <c r="I13" i="30"/>
  <c r="I14" i="30"/>
  <c r="I15" i="30"/>
  <c r="H9" i="30"/>
  <c r="H10" i="30"/>
  <c r="H11" i="30"/>
  <c r="H12" i="30"/>
  <c r="H13" i="30"/>
  <c r="H14" i="30"/>
  <c r="H15" i="30"/>
  <c r="G9" i="30"/>
  <c r="G10" i="30"/>
  <c r="G11" i="30"/>
  <c r="G12" i="30"/>
  <c r="G13" i="30"/>
  <c r="G14" i="30"/>
  <c r="G15" i="30"/>
  <c r="F9" i="30"/>
  <c r="F10" i="30"/>
  <c r="E9" i="30"/>
  <c r="E10" i="30"/>
  <c r="E11" i="30"/>
  <c r="F11" i="30" s="1"/>
  <c r="E12" i="30"/>
  <c r="F12" i="30" s="1"/>
  <c r="E13" i="30"/>
  <c r="F13" i="30" s="1"/>
  <c r="E14" i="30"/>
  <c r="F14" i="30" s="1"/>
  <c r="E15" i="30"/>
  <c r="F15" i="30" s="1"/>
  <c r="D9" i="30"/>
  <c r="D10" i="30"/>
  <c r="D11" i="30"/>
  <c r="D12" i="30"/>
  <c r="D13" i="30"/>
  <c r="D14" i="30"/>
  <c r="D15" i="30"/>
  <c r="H9" i="29"/>
  <c r="H10" i="29"/>
  <c r="H11" i="29"/>
  <c r="H12" i="29"/>
  <c r="H13" i="29"/>
  <c r="H14" i="29"/>
  <c r="H15" i="29"/>
  <c r="G9" i="29"/>
  <c r="G10" i="29"/>
  <c r="G11" i="29"/>
  <c r="I11" i="29" s="1"/>
  <c r="G12" i="29"/>
  <c r="G12" i="34" s="1"/>
  <c r="G13" i="29"/>
  <c r="G14" i="29"/>
  <c r="I14" i="29" s="1"/>
  <c r="G15" i="29"/>
  <c r="D9" i="29"/>
  <c r="D10" i="29"/>
  <c r="D11" i="29"/>
  <c r="D11" i="34" s="1"/>
  <c r="D12" i="29"/>
  <c r="D12" i="34" s="1"/>
  <c r="D13" i="29"/>
  <c r="D14" i="29"/>
  <c r="D14" i="34" s="1"/>
  <c r="D15" i="29"/>
  <c r="C9" i="29"/>
  <c r="E9" i="29" s="1"/>
  <c r="F9" i="29" s="1"/>
  <c r="C10" i="29"/>
  <c r="E10" i="29" s="1"/>
  <c r="F10" i="29" s="1"/>
  <c r="C11" i="29"/>
  <c r="C11" i="34" s="1"/>
  <c r="C12" i="29"/>
  <c r="C13" i="29"/>
  <c r="E13" i="29" s="1"/>
  <c r="F13" i="29" s="1"/>
  <c r="C14" i="29"/>
  <c r="C14" i="34" s="1"/>
  <c r="C15" i="29"/>
  <c r="E15" i="29" s="1"/>
  <c r="F15" i="29" s="1"/>
  <c r="H11" i="18"/>
  <c r="H12" i="18"/>
  <c r="H13" i="18"/>
  <c r="H14" i="18"/>
  <c r="H15" i="18"/>
  <c r="G11" i="18"/>
  <c r="G12" i="18"/>
  <c r="G13" i="18"/>
  <c r="G13" i="34" s="1"/>
  <c r="G14" i="18"/>
  <c r="G15" i="18"/>
  <c r="G15" i="34" s="1"/>
  <c r="E11" i="18"/>
  <c r="F11" i="18" s="1"/>
  <c r="E12" i="18"/>
  <c r="F12" i="18" s="1"/>
  <c r="E14" i="18"/>
  <c r="F14" i="18" s="1"/>
  <c r="D11" i="18"/>
  <c r="D12" i="18"/>
  <c r="D13" i="18"/>
  <c r="D13" i="34" s="1"/>
  <c r="D14" i="18"/>
  <c r="D15" i="18"/>
  <c r="D15" i="34" s="1"/>
  <c r="C11" i="18"/>
  <c r="C12" i="18"/>
  <c r="C13" i="18"/>
  <c r="C14" i="18"/>
  <c r="C15" i="18"/>
  <c r="I11" i="1"/>
  <c r="I12" i="1"/>
  <c r="I13" i="1"/>
  <c r="I14" i="1"/>
  <c r="I15" i="1"/>
  <c r="H11" i="1"/>
  <c r="H12" i="1"/>
  <c r="H13" i="1"/>
  <c r="H14" i="1"/>
  <c r="H15" i="1"/>
  <c r="G11" i="1"/>
  <c r="G12" i="1"/>
  <c r="G13" i="1"/>
  <c r="G14" i="1"/>
  <c r="G15" i="1"/>
  <c r="F16" i="1"/>
  <c r="E11" i="1"/>
  <c r="F11" i="1" s="1"/>
  <c r="E12" i="1"/>
  <c r="F12" i="1" s="1"/>
  <c r="E13" i="1"/>
  <c r="F13" i="1" s="1"/>
  <c r="E14" i="1"/>
  <c r="F14" i="1" s="1"/>
  <c r="E15" i="1"/>
  <c r="F15" i="1" s="1"/>
  <c r="D11" i="1"/>
  <c r="D12" i="1"/>
  <c r="D13" i="1"/>
  <c r="D14" i="1"/>
  <c r="D15" i="1"/>
  <c r="C11" i="1"/>
  <c r="C12" i="1"/>
  <c r="C13" i="1"/>
  <c r="C14" i="1"/>
  <c r="C15" i="1"/>
  <c r="H9" i="20"/>
  <c r="H10" i="20"/>
  <c r="H11" i="20"/>
  <c r="I11" i="20" s="1"/>
  <c r="H12" i="20"/>
  <c r="H13" i="20"/>
  <c r="I13" i="20" s="1"/>
  <c r="H14" i="20"/>
  <c r="H15" i="20"/>
  <c r="I15" i="20" s="1"/>
  <c r="I9" i="20"/>
  <c r="I10" i="20"/>
  <c r="I12" i="20"/>
  <c r="I14" i="20"/>
  <c r="E9" i="20"/>
  <c r="E10" i="20"/>
  <c r="F10" i="20" s="1"/>
  <c r="E11" i="20"/>
  <c r="E12" i="20"/>
  <c r="F12" i="20" s="1"/>
  <c r="E13" i="20"/>
  <c r="E14" i="20"/>
  <c r="F14" i="20" s="1"/>
  <c r="E15" i="20"/>
  <c r="F15" i="20" s="1"/>
  <c r="F9" i="20"/>
  <c r="F11" i="20"/>
  <c r="F13" i="20"/>
  <c r="A4" i="21" a="1"/>
  <c r="A4" i="21"/>
  <c r="G9" i="18"/>
  <c r="H9" i="18"/>
  <c r="I9" i="18" s="1"/>
  <c r="H10" i="18"/>
  <c r="G10" i="18"/>
  <c r="D9" i="18"/>
  <c r="D10" i="18"/>
  <c r="C9" i="18"/>
  <c r="C10" i="18"/>
  <c r="C10" i="34" s="1"/>
  <c r="E9" i="21"/>
  <c r="F9" i="21" s="1"/>
  <c r="E10" i="21"/>
  <c r="F10" i="21" s="1"/>
  <c r="I9" i="21"/>
  <c r="I10" i="21"/>
  <c r="H9" i="21"/>
  <c r="H10" i="21"/>
  <c r="I10" i="4"/>
  <c r="H10" i="4"/>
  <c r="H10" i="1" s="1"/>
  <c r="E10" i="4"/>
  <c r="F10" i="4" s="1"/>
  <c r="H9" i="4"/>
  <c r="I9" i="4"/>
  <c r="E9" i="4"/>
  <c r="F9" i="4" s="1"/>
  <c r="G9" i="1"/>
  <c r="G9" i="34" s="1"/>
  <c r="G10" i="1"/>
  <c r="D9" i="1"/>
  <c r="D9" i="34" s="1"/>
  <c r="D10" i="1"/>
  <c r="C9" i="1"/>
  <c r="C10" i="1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C12" i="34" l="1"/>
  <c r="E12" i="29"/>
  <c r="F12" i="29" s="1"/>
  <c r="I15" i="29"/>
  <c r="I13" i="29"/>
  <c r="I12" i="29"/>
  <c r="I10" i="29"/>
  <c r="I9" i="29"/>
  <c r="G14" i="34"/>
  <c r="E14" i="34"/>
  <c r="F14" i="34" s="1"/>
  <c r="E14" i="29"/>
  <c r="F14" i="29" s="1"/>
  <c r="G11" i="34"/>
  <c r="E11" i="34"/>
  <c r="F11" i="34" s="1"/>
  <c r="E11" i="29"/>
  <c r="F11" i="29" s="1"/>
  <c r="E12" i="34"/>
  <c r="F12" i="34" s="1"/>
  <c r="C15" i="34"/>
  <c r="E15" i="34" s="1"/>
  <c r="F15" i="34" s="1"/>
  <c r="E15" i="18"/>
  <c r="F15" i="18" s="1"/>
  <c r="C13" i="34"/>
  <c r="E13" i="34" s="1"/>
  <c r="F13" i="34" s="1"/>
  <c r="E13" i="18"/>
  <c r="F13" i="18" s="1"/>
  <c r="H15" i="34"/>
  <c r="I15" i="34" s="1"/>
  <c r="I15" i="18"/>
  <c r="H14" i="34"/>
  <c r="I14" i="34" s="1"/>
  <c r="I14" i="18"/>
  <c r="H13" i="34"/>
  <c r="I13" i="34" s="1"/>
  <c r="I13" i="18"/>
  <c r="H12" i="34"/>
  <c r="I12" i="34" s="1"/>
  <c r="I12" i="18"/>
  <c r="H11" i="34"/>
  <c r="I11" i="18"/>
  <c r="C9" i="34"/>
  <c r="I10" i="18"/>
  <c r="E9" i="18"/>
  <c r="F9" i="18" s="1"/>
  <c r="G10" i="34"/>
  <c r="E10" i="18"/>
  <c r="F10" i="18" s="1"/>
  <c r="D10" i="34"/>
  <c r="E10" i="34" s="1"/>
  <c r="F10" i="34" s="1"/>
  <c r="I9" i="3"/>
  <c r="H9" i="1"/>
  <c r="H9" i="34" s="1"/>
  <c r="I9" i="34" s="1"/>
  <c r="I9" i="1"/>
  <c r="I10" i="1"/>
  <c r="E9" i="1"/>
  <c r="F9" i="1" s="1"/>
  <c r="E10" i="1"/>
  <c r="F10" i="1" s="1"/>
  <c r="H10" i="34"/>
  <c r="E9" i="34"/>
  <c r="F9" i="34" s="1"/>
  <c r="G6" i="30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I11" i="34" l="1"/>
  <c r="I10" i="34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I8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<sst xmlns="http://schemas.openxmlformats.org/spreadsheetml/2006/main" count="417" uniqueCount="157">
  <si>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</si>
  <si>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</si>
  <si>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</si>
  <si>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</si>
  <si>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</si>
  <si>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</si>
  <si>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</si>
  <si>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</si>
  <si>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</si>
  <si>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</si>
  <si>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</si>
  <si>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</si>
  <si>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</si>
  <si>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</si>
  <si>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</si>
  <si>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</si>
  <si>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</si>
  <si>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</si>
  <si>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</si>
  <si>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</si>
  <si>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</si>
  <si>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</si>
  <si>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</si>
  <si>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</si>
  <si>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</si>
  <si>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</si>
  <si>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</si>
  <si>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</si>
  <si>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</si>
  <si>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</si>
  <si>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</si>
  <si>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</si>
  <si>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</si>
  <si>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</si>
  <si>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</si>
  <si>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</si>
  <si>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</si>
  <si>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</si>
  <si>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</si>
  <si>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</si>
  <si>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</si>
  <si>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</si>
  <si>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</si>
  <si>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</si>
  <si>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</si>
  <si>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</si>
  <si>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</si>
  <si>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</si>
  <si>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</si>
  <si>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</si>
  <si>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</si>
  <si>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</si>
  <si>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</si>
  <si>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</si>
  <si>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</si>
  <si>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</si>
  <si>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</si>
  <si>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</si>
  <si>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</si>
  <si>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</si>
  <si>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</si>
  <si>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1. SR098409</t>
  </si>
  <si>
    <t>1. SR098411</t>
  </si>
  <si>
    <t xml:space="preserve">1.SR098408
2.SR086098
</t>
  </si>
  <si>
    <t>May Actual v. Expected</t>
  </si>
  <si>
    <t>May Actual v. Forecasted</t>
  </si>
  <si>
    <t>1. Low production due to rain</t>
  </si>
  <si>
    <t>1.SR098409</t>
  </si>
  <si>
    <t>1.The site was dealing with utility-related issues due to damaged CTs and PTs in their
 metering bank.Site was back online at 16:00EDT on 05/20.</t>
  </si>
  <si>
    <t>1.SR098411</t>
  </si>
  <si>
    <t>1.The site  communication was back at 10:15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</si>
  <si>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 Multiple trackers had been stuck since 04/03 and started tracking again on 05/22.
2. Inverters 7, 8, and 16 are experiencing morning shading, with inverter 8 in particular not reaching its full production until 09:45.</t>
  </si>
  <si>
    <t>1. SR101115
2. SR101155</t>
  </si>
  <si>
    <t>SR101155</t>
  </si>
  <si>
    <t>1. Multiple trackers had been stuck since 05/07 and started tracking again on 05/22.
2. The site tripped offline at 14:00 on 05/12 and came back online at 09:00 on 05/13.</t>
  </si>
  <si>
    <t>1. SR101126
2. SR101287</t>
  </si>
  <si>
    <t>SR101287</t>
  </si>
  <si>
    <t>1. All inverters are power limited to 85kW. Per As-Builts, they should be running at 122kW.
2. The site tripped offline at 10:00 on 05/23 and came back online at 11:15 on 05/29.</t>
  </si>
  <si>
    <t>1. SR101124
2. SR101894</t>
  </si>
  <si>
    <t>SR101894</t>
  </si>
  <si>
    <t>1. Site tripped offline at 16:07 on 05/15 and came back online at 08:30 on 05/20.</t>
  </si>
  <si>
    <t>1. SR101566</t>
  </si>
  <si>
    <t>June Actual v. Expected</t>
  </si>
  <si>
    <t>June Actual v. Forecasted</t>
  </si>
  <si>
    <t>1. Site has low production on 06/08, 06/26, 06/15, 06/16, 06/17, 06/27 due to low irradiance.</t>
  </si>
  <si>
    <t>1.Site was offline for whole month.</t>
  </si>
  <si>
    <t>1.Site tripped offline since 13:00 on 06/27.</t>
  </si>
  <si>
    <t>1.SR103839</t>
  </si>
  <si>
    <t>1.SR098408, SR086098</t>
  </si>
  <si>
    <t>1.Site tripped offline at 14:45 on 06/05 and was back online at 16:15 on 06/05,again tripped offline at 07:45 on 06/08 reporting reporting "Missing Phase A Voltage" and was back online at 10:00 on 06/09,again tripped offline at 23:45 on 06/10 and was back online at 08:15 on 06/12,again tripped offline at 20:00 on 06/14 and remained offline throughout the month.</t>
  </si>
  <si>
    <t>1.SR102671</t>
  </si>
  <si>
    <t xml:space="preserve">1.Inverter 2.3 was underperforming by 6KW since 06/01 during peak hours and remained the same throughout the month
</t>
  </si>
  <si>
    <t>1.SR103097</t>
  </si>
  <si>
    <t xml:space="preserve">1.Tracker motor 68 was struck at -58 degrees at 08:30 pdt on 06/10 and was back at 13:45 pdt on 06/24
</t>
  </si>
  <si>
    <t>1.SR103219</t>
  </si>
  <si>
    <t xml:space="preserve">1.All inverters are power limited to 85kW. Per As-Builts, they should be running at 122kW.
</t>
  </si>
  <si>
    <t>1.SR101124</t>
  </si>
  <si>
    <t>July Actual v. Expected</t>
  </si>
  <si>
    <t>July Actual v. Forecasted</t>
  </si>
  <si>
    <t>1. Inverter 8 tripped offline at 17:00 on 07/06 and back online on 07/07. Inverter again went offline at 9:15 on 07/07 and back online at 12:40 on the same day.  and inverter 8 started late on 07/21 at 10:45.</t>
  </si>
  <si>
    <t>1. SR104065</t>
  </si>
  <si>
    <t>1. The site had been offline for several months and came back online at 15:30 on 07/02.
2. Site was offline from 12:00 to 14:00 on 07/29 due to PM Event</t>
  </si>
  <si>
    <t>1. SR098409
2. PM11764</t>
  </si>
  <si>
    <t>1. SIte was offline since 06/27 and back online at 13:00 on 07/03.
2.  Inverter tripped offline 16:45 on 07/31 due to"Error Error" and remaied offline.</t>
  </si>
  <si>
    <t>1. SR103839
2. SR105463</t>
  </si>
  <si>
    <t>SR105463</t>
  </si>
  <si>
    <t>1. The site had been offline for several months and came back online at 15:00 on 07/21.</t>
  </si>
  <si>
    <t>1. Site started late on 07/17 at 08:30.</t>
  </si>
  <si>
    <t>1. SR102671</t>
  </si>
  <si>
    <t>1. Site tripped offline at 16:15 on 07/01 and back online at 8:00 on 07/09.</t>
  </si>
  <si>
    <t>1. SR103899</t>
  </si>
  <si>
    <t xml:space="preserve">1. Tracker motor 26.5 was strucked since 07/07. Tracker has not returned to service and will remain open for client visibility during ongoing EPC punch lists
2. Site tripped offline at 8:30 on 07/15.  This site has not returned to service and will remain open for client visibility during ongoing EPC punch lists
</t>
  </si>
  <si>
    <t>1. SR104276
2. SR104461</t>
  </si>
  <si>
    <t>SR104461</t>
  </si>
  <si>
    <t>1. Site was offline from 08:15 on 07/26 to 09:15 on 07/28 and again site was offline from 20:30 o 07/28 to end of month.
2. Since the meter did not communicate from 06/06 to 07/10, the total meter energy was backfilled on 07/10. Therefore, we used the inverter energy from 07/01 to 07/10 and added it with the production meter energy from 07/11 to 07/31.</t>
  </si>
  <si>
    <t>1. SR105123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</si>
  <si>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</si>
  <si>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</si>
  <si>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</si>
  <si>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</si>
  <si>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</si>
  <si>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</si>
  <si>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</si>
  <si>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</si>
  <si>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</si>
  <si>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</si>
  <si>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</si>
  <si>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</si>
  <si>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</si>
  <si>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</si>
  <si>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</si>
  <si>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</si>
  <si>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</si>
  <si>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</si>
  <si>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</si>
  <si>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</si>
  <si>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</si>
  <si>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</si>
  <si>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</si>
  <si>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</si>
  <si>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</si>
  <si>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</si>
  <si>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</si>
  <si>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</si>
  <si>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</si>
  <si>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</si>
  <si>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</si>
  <si>
    <t>OR-23-C003 Dover - SPI</t>
  </si>
  <si>
    <t>Canby - Dover - OR-23-C003</t>
  </si>
  <si>
    <t>OR</t>
  </si>
  <si>
    <t>OR-23-C001 SPI - Clayfield Solar</t>
  </si>
  <si>
    <t xml:space="preserve"> Estacada - Clayfield - OR-23-C001</t>
  </si>
  <si>
    <t>SPI - Waterford Solar</t>
  </si>
  <si>
    <t>Willamina - Waterford - OR-23-C006</t>
  </si>
  <si>
    <t>OR-23-C005  Solops  SPI - Belvedere Solar</t>
  </si>
  <si>
    <t>Molalla - Cork - OR-23-C002</t>
  </si>
  <si>
    <t>OR-23-C002  SPI - Cork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</si>
</sst>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u/>
      <sz val="10"/>
      <color theme="10"/>
      <name val="Arial"/>
    </font>
    <font>
      <sz val="11"/>
      <color rgb="FF242424"/>
      <name val="Aptos Narrow"/>
      <charset val="1"/>
    </font>
    <font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1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0" fontId="38" fillId="0" borderId="0" xfId="0" applyFont="1"/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center" wrapText="1"/>
    </xf>
    <xf numFmtId="0" fontId="39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/>
    <xf numFmtId="49" fontId="39" fillId="0" borderId="1" xfId="45" applyNumberFormat="1" applyBorder="1" applyAlignment="1">
      <alignment vertical="top" wrapText="1"/>
    </xf>
    <xf numFmtId="0" fontId="39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9" fillId="38" borderId="1" xfId="45" applyNumberFormat="1" applyFill="1" applyBorder="1" applyAlignment="1">
      <alignment horizontal="left" vertical="top" wrapText="1"/>
    </xf>
    <xf numFmtId="0" fontId="39" fillId="0" borderId="0" xfId="45"/>
    <xf numFmtId="49" fontId="39" fillId="0" borderId="1" xfId="45" applyNumberFormat="1" applyBorder="1" applyAlignment="1">
      <alignment horizontal="left" vertical="top" wrapText="1"/>
    </xf>
    <xf numFmtId="49" fontId="39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9" fillId="0" borderId="0" xfId="45" applyAlignment="1">
      <alignment horizontal="center" vertical="top"/>
    </xf>
    <xf numFmtId="49" fontId="31" fillId="46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right"/>
    </xf>
    <xf numFmtId="0" fontId="41" fillId="38" borderId="0" xfId="0" applyFont="1" applyFill="1" applyAlignment="1">
      <alignment horizontal="left" vertical="top" wrapText="1"/>
    </xf>
    <xf numFmtId="49" fontId="36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28" fillId="40" borderId="12" xfId="0" applyFont="1" applyFill="1" applyBorder="1" applyAlignment="1">
      <alignment horizontal="center" vertical="center"/>
    </xf>
    <xf numFmtId="0" fontId="29" fillId="40" borderId="12" xfId="0" applyFont="1" applyFill="1" applyBorder="1" applyAlignment="1">
      <alignment horizontal="center" vertical="center"/>
    </xf>
    <xf numFmtId="164" fontId="29" fillId="44" borderId="12" xfId="1" applyNumberFormat="1" applyFont="1" applyFill="1" applyBorder="1" applyAlignment="1">
      <alignment horizontal="center" vertical="center"/>
    </xf>
    <xf numFmtId="3" fontId="31" fillId="3" borderId="12" xfId="0" applyNumberFormat="1" applyFont="1" applyFill="1" applyBorder="1" applyAlignment="1">
      <alignment horizontal="right" vertical="center"/>
    </xf>
    <xf numFmtId="9" fontId="31" fillId="3" borderId="12" xfId="2" applyFont="1" applyFill="1" applyBorder="1" applyAlignment="1">
      <alignment horizontal="center" vertical="center"/>
    </xf>
    <xf numFmtId="3" fontId="31" fillId="4" borderId="12" xfId="1" applyNumberFormat="1" applyFont="1" applyFill="1" applyBorder="1" applyAlignment="1">
      <alignment vertical="center"/>
    </xf>
    <xf numFmtId="9" fontId="31" fillId="37" borderId="12" xfId="2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64" fontId="29" fillId="0" borderId="12" xfId="1" applyNumberFormat="1" applyFont="1" applyBorder="1" applyAlignment="1">
      <alignment horizontal="center" vertical="center"/>
    </xf>
    <xf numFmtId="3" fontId="37" fillId="0" borderId="12" xfId="0" applyNumberFormat="1" applyFont="1" applyBorder="1" applyAlignment="1">
      <alignment vertical="center"/>
    </xf>
    <xf numFmtId="3" fontId="31" fillId="0" borderId="12" xfId="0" applyNumberFormat="1" applyFont="1" applyBorder="1" applyAlignment="1">
      <alignment horizontal="right" vertical="center"/>
    </xf>
    <xf numFmtId="9" fontId="31" fillId="0" borderId="12" xfId="2" applyFont="1" applyFill="1" applyBorder="1" applyAlignment="1">
      <alignment horizontal="center" vertical="center"/>
    </xf>
    <xf numFmtId="3" fontId="31" fillId="0" borderId="12" xfId="1" applyNumberFormat="1" applyFont="1" applyFill="1" applyBorder="1" applyAlignment="1">
      <alignment vertical="center"/>
    </xf>
    <xf numFmtId="49" fontId="36" fillId="38" borderId="13" xfId="2" applyNumberFormat="1" applyFont="1" applyFill="1" applyBorder="1" applyAlignment="1">
      <alignment vertical="top" wrapText="1"/>
    </xf>
    <xf numFmtId="49" fontId="1" fillId="0" borderId="13" xfId="0" applyNumberFormat="1" applyFont="1" applyBorder="1" applyAlignment="1">
      <alignment vertical="top" wrapText="1"/>
    </xf>
    <xf numFmtId="0" fontId="2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64" fontId="29" fillId="0" borderId="11" xfId="1" applyNumberFormat="1" applyFont="1" applyBorder="1" applyAlignment="1">
      <alignment horizontal="center" vertical="center"/>
    </xf>
    <xf numFmtId="3" fontId="31" fillId="0" borderId="11" xfId="0" applyNumberFormat="1" applyFont="1" applyBorder="1" applyAlignment="1">
      <alignment horizontal="right" vertical="center"/>
    </xf>
    <xf numFmtId="9" fontId="31" fillId="0" borderId="11" xfId="2" applyFont="1" applyFill="1" applyBorder="1" applyAlignment="1">
      <alignment horizontal="center" vertical="center"/>
    </xf>
    <xf numFmtId="3" fontId="31" fillId="0" borderId="11" xfId="1" applyNumberFormat="1" applyFont="1" applyFill="1" applyBorder="1" applyAlignment="1">
      <alignment vertical="center"/>
    </xf>
    <xf numFmtId="3" fontId="37" fillId="0" borderId="0" xfId="0" applyNumberFormat="1" applyFont="1" applyAlignment="1">
      <alignment horizontal="right" vertical="center"/>
    </xf>
    <xf numFmtId="0" fontId="0" fillId="0" borderId="0" xfId="0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5" totalsRowShown="0">
  <autoFilter ref="A3:E1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4" Type="http://schemas.openxmlformats.org/officeDocument/2006/relationships/hyperlink" Target="https://us3.assetplanner.com/service_request?ID=08609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1287" TargetMode="External"/><Relationship Id="rId3" Type="http://schemas.openxmlformats.org/officeDocument/2006/relationships/hyperlink" Target="https://us3.assetplanner.com/service_request?ID=098408" TargetMode="External"/><Relationship Id="rId7" Type="http://schemas.openxmlformats.org/officeDocument/2006/relationships/hyperlink" Target="https://us3.assetplanner.com/service_request?ID=101126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6" Type="http://schemas.openxmlformats.org/officeDocument/2006/relationships/hyperlink" Target="https://us3.assetplanner.com/service_request?ID=101155" TargetMode="External"/><Relationship Id="rId11" Type="http://schemas.openxmlformats.org/officeDocument/2006/relationships/hyperlink" Target="https://us3.assetplanner.com/service_request?ID=101566" TargetMode="External"/><Relationship Id="rId5" Type="http://schemas.openxmlformats.org/officeDocument/2006/relationships/hyperlink" Target="https://us3.assetplanner.com/service_request?ID=101115" TargetMode="External"/><Relationship Id="rId10" Type="http://schemas.openxmlformats.org/officeDocument/2006/relationships/hyperlink" Target="https://us3.assetplanner.com/service_request?ID=101894" TargetMode="External"/><Relationship Id="rId4" Type="http://schemas.openxmlformats.org/officeDocument/2006/relationships/hyperlink" Target="https://us3.assetplanner.com/service_request?ID=086098" TargetMode="External"/><Relationship Id="rId9" Type="http://schemas.openxmlformats.org/officeDocument/2006/relationships/hyperlink" Target="https://us3.assetplanner.com/service_request?ID=10112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899" TargetMode="External"/><Relationship Id="rId3" Type="http://schemas.openxmlformats.org/officeDocument/2006/relationships/hyperlink" Target="https://us3.assetplanner.com/service_request?ID=103839" TargetMode="External"/><Relationship Id="rId7" Type="http://schemas.openxmlformats.org/officeDocument/2006/relationships/hyperlink" Target="https://us3.assetplanner.com/service_request?ID=102671" TargetMode="External"/><Relationship Id="rId2" Type="http://schemas.openxmlformats.org/officeDocument/2006/relationships/hyperlink" Target="https://us3.assetplanner.com/service_request?ID=098409" TargetMode="External"/><Relationship Id="rId1" Type="http://schemas.openxmlformats.org/officeDocument/2006/relationships/hyperlink" Target="https://us3.assetplanner.com/service_request?ID=104065" TargetMode="External"/><Relationship Id="rId6" Type="http://schemas.openxmlformats.org/officeDocument/2006/relationships/hyperlink" Target="https://us3.assetplanner.com/service_request?ID=086098" TargetMode="External"/><Relationship Id="rId11" Type="http://schemas.openxmlformats.org/officeDocument/2006/relationships/hyperlink" Target="https://us3.assetplanner.com/service_request?ID=105123" TargetMode="External"/><Relationship Id="rId5" Type="http://schemas.openxmlformats.org/officeDocument/2006/relationships/hyperlink" Target="https://us3.assetplanner.com/service_request?ID=098408" TargetMode="External"/><Relationship Id="rId10" Type="http://schemas.openxmlformats.org/officeDocument/2006/relationships/hyperlink" Target="https://us3.assetplanner.com/service_request?ID=104461" TargetMode="External"/><Relationship Id="rId4" Type="http://schemas.openxmlformats.org/officeDocument/2006/relationships/hyperlink" Target="https://us3.assetplanner.com/service_request?ID=105463" TargetMode="External"/><Relationship Id="rId9" Type="http://schemas.openxmlformats.org/officeDocument/2006/relationships/hyperlink" Target="https://us3.assetplanner.com/service_request?ID=1042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L8" sqref="L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2" t="str" cm="1">
        <f t="array" ref="A1">portfolio</f>
        <v>Luminace</v>
      </c>
      <c r="B1" s="112"/>
      <c r="C1" s="112"/>
      <c r="D1" s="113" t="s">
        <v>0</v>
      </c>
      <c r="E1" s="113"/>
      <c r="F1" s="113"/>
      <c r="G1" s="111" t="s">
        <v>1</v>
      </c>
      <c r="H1" s="111"/>
      <c r="I1" s="111"/>
    </row>
    <row r="2" spans="1:9" ht="19.5" customHeight="1">
      <c r="A2" s="114" t="s">
        <v>2</v>
      </c>
      <c r="B2" s="114"/>
      <c r="C2" s="5">
        <f>SUM(C4:C80)</f>
        <v>15197469.652706562</v>
      </c>
      <c r="D2" s="5">
        <f>SUM(D4:D80)</f>
        <v>16346965.354200002</v>
      </c>
      <c r="E2" s="5">
        <f>C2-D2</f>
        <v>-1149495.7014934402</v>
      </c>
      <c r="F2" s="6">
        <f>IFERROR(E2/D2, 0)</f>
        <v>-7.0318598992937978E-2</v>
      </c>
      <c r="G2" s="5">
        <f>SUM(G4:G80)</f>
        <v>25542814.623</v>
      </c>
      <c r="H2" s="7">
        <f>C2-G2</f>
        <v>-10345344.970293438</v>
      </c>
      <c r="I2" s="6">
        <f>IFERROR(H2/G2, 0)</f>
        <v>-0.40501977260477723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26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SUM('1st Qtr'!C4, '2nd Qtr'!C4, '3rd Qtr'!C4, '4th Qtr'!C4)</f>
        <v>341942.85043021757</v>
      </c>
      <c r="D4" s="29">
        <f>SUM('1st Qtr'!D4, '2nd Qtr'!D4, '3rd Qtr'!D4, '4th Qtr'!D4)</f>
        <v>245249.37</v>
      </c>
      <c r="E4" s="29">
        <f>IF(AND(ISNUMBER(C4),ISNUMBER(D4)), C4-D4, "")</f>
        <v>96693.480430217576</v>
      </c>
      <c r="F4" s="30">
        <f>IFERROR(E4/D4, "")</f>
        <v>0.39426596867595454</v>
      </c>
      <c r="G4" s="31">
        <f>SUM('1st Qtr'!G4, '2nd Qtr'!G4, '3rd Qtr'!G4, '4th Qtr'!G4)</f>
        <v>254913.38999999998</v>
      </c>
      <c r="H4" s="31">
        <f>SUM('1st Qtr'!H4, '2nd Qtr'!H4, '3rd Qtr'!H4, '4th Qtr'!H4)</f>
        <v>-28862.79</v>
      </c>
      <c r="I4" s="32">
        <f>IFERROR(H4/G4, "")</f>
        <v>-0.11322586859795793</v>
      </c>
    </row>
    <row r="5" spans="1:9" ht="15.6">
      <c r="A5" s="33" t="str">
        <v>Berkeley - NJ-22-C893 Berkeley I</v>
      </c>
      <c r="B5" s="34" t="str">
        <v>NJ</v>
      </c>
      <c r="C5" s="35">
        <f>SUM('1st Qtr'!C5, '2nd Qtr'!C5, '3rd Qtr'!C5, '4th Qtr'!C5)</f>
        <v>586285</v>
      </c>
      <c r="D5" s="35">
        <f>SUM('1st Qtr'!D5, '2nd Qtr'!D5, '3rd Qtr'!D5, '4th Qtr'!D5)</f>
        <v>594465.7452</v>
      </c>
      <c r="E5" s="36">
        <f t="shared" ref="E5:E15" si="0">IF(AND(ISNUMBER(C5),ISNUMBER(D5)), C5-D5, "")</f>
        <v>-8180.7452000000048</v>
      </c>
      <c r="F5" s="37">
        <f>IFERROR(E5/D5, "")</f>
        <v>-1.3761508154263292E-2</v>
      </c>
      <c r="G5" s="38">
        <f>SUM('1st Qtr'!G5, '2nd Qtr'!G5, '3rd Qtr'!G5, '4th Qtr'!G5)</f>
        <v>4350831.38</v>
      </c>
      <c r="H5" s="38">
        <f>SUM('1st Qtr'!H5, '2nd Qtr'!H5, '3rd Qtr'!H5, '4th Qtr'!H5)</f>
        <v>-3764546.38</v>
      </c>
      <c r="I5" s="37">
        <f>IFERROR(H5/G5, "")</f>
        <v>-0.86524759320826627</v>
      </c>
    </row>
    <row r="6" spans="1:9" ht="15.6">
      <c r="A6" s="26" t="str">
        <v>Berkeley - NJ-22-C894 Berkeley II</v>
      </c>
      <c r="B6" s="27" t="str">
        <v>NJ</v>
      </c>
      <c r="C6" s="28">
        <f>SUM('1st Qtr'!C6, '2nd Qtr'!C6, '3rd Qtr'!C6, '4th Qtr'!C6)</f>
        <v>2075132.3790752159</v>
      </c>
      <c r="D6" s="29">
        <f>SUM('1st Qtr'!D6, '2nd Qtr'!D6, '3rd Qtr'!D6, '4th Qtr'!D6)</f>
        <v>1758442.7000000002</v>
      </c>
      <c r="E6" s="29">
        <f t="shared" si="0"/>
        <v>316689.67907521571</v>
      </c>
      <c r="F6" s="30">
        <f t="shared" ref="F6:F15" si="1">IFERROR(E6/D6, "")</f>
        <v>0.18009667251325032</v>
      </c>
      <c r="G6" s="31">
        <f>SUM('1st Qtr'!G6, '2nd Qtr'!G6, '3rd Qtr'!G6, '4th Qtr'!G6)</f>
        <v>4358496</v>
      </c>
      <c r="H6" s="31">
        <f>SUM('1st Qtr'!H6, '2nd Qtr'!H6, '3rd Qtr'!H6, '4th Qtr'!H6)</f>
        <v>-2283363.6209247839</v>
      </c>
      <c r="I6" s="32">
        <f t="shared" ref="I6:I15" si="2">IFERROR(H6/G6, "")</f>
        <v>-0.52388796982371533</v>
      </c>
    </row>
    <row r="7" spans="1:9" ht="15.6">
      <c r="A7" s="33" t="str">
        <v xml:space="preserve"> BEMS Landfill East</v>
      </c>
      <c r="B7" s="34" t="str">
        <v>NJ</v>
      </c>
      <c r="C7" s="35">
        <f>SUM('1st Qtr'!C7, '2nd Qtr'!C7, '3rd Qtr'!C7, '4th Qtr'!C7)</f>
        <v>331151.15999999997</v>
      </c>
      <c r="D7" s="35">
        <f>SUM('1st Qtr'!D7, '2nd Qtr'!D7, '3rd Qtr'!D7, '4th Qtr'!D7)</f>
        <v>2032810.2009999999</v>
      </c>
      <c r="E7" s="36">
        <f t="shared" si="0"/>
        <v>-1701659.041</v>
      </c>
      <c r="F7" s="37">
        <f t="shared" si="1"/>
        <v>-0.8370968623449957</v>
      </c>
      <c r="G7" s="38">
        <f>SUM('1st Qtr'!G7, '2nd Qtr'!G7, '3rd Qtr'!G7, '4th Qtr'!G7)</f>
        <v>3900645.09</v>
      </c>
      <c r="H7" s="38">
        <f>SUM('1st Qtr'!H7, '2nd Qtr'!H7, '3rd Qtr'!H7, '4th Qtr'!H7)</f>
        <v>-3569493.9299999997</v>
      </c>
      <c r="I7" s="37">
        <f t="shared" si="2"/>
        <v>-0.91510348868986691</v>
      </c>
    </row>
    <row r="8" spans="1:9" ht="16.5" customHeight="1">
      <c r="A8" s="26" t="str">
        <v>Southampton - BEMS West NJ-22-C898</v>
      </c>
      <c r="B8" s="27" t="str">
        <v>NJ</v>
      </c>
      <c r="C8" s="28">
        <f>SUM('1st Qtr'!C8, '2nd Qtr'!C8, '3rd Qtr'!C8, '4th Qtr'!C8)</f>
        <v>3617613</v>
      </c>
      <c r="D8" s="29">
        <f>SUM('1st Qtr'!D8, '2nd Qtr'!D8, '3rd Qtr'!D8, '4th Qtr'!D8)</f>
        <v>4031265.2</v>
      </c>
      <c r="E8" s="29">
        <f t="shared" si="0"/>
        <v>-413652.20000000019</v>
      </c>
      <c r="F8" s="30">
        <f t="shared" si="1"/>
        <v>-0.1026110115504185</v>
      </c>
      <c r="G8" s="31">
        <f>SUM('1st Qtr'!G8, '2nd Qtr'!G8, '3rd Qtr'!G8, '4th Qtr'!G8)</f>
        <v>4209733</v>
      </c>
      <c r="H8" s="31">
        <f>SUM('1st Qtr'!H8, '2nd Qtr'!H8, '3rd Qtr'!H8, '4th Qtr'!H8)</f>
        <v>-592120</v>
      </c>
      <c r="I8" s="32">
        <f t="shared" si="2"/>
        <v>-0.14065500116040613</v>
      </c>
    </row>
    <row r="9" spans="1:9" ht="15.6">
      <c r="A9" s="33" t="str">
        <v>Lakewood Twp - Emergency Services Dev  - NJ-23-0008</v>
      </c>
      <c r="B9" s="34" t="str">
        <v>NJ</v>
      </c>
      <c r="C9" s="35">
        <f>SUM('1st Qtr'!C9, '2nd Qtr'!C9, '3rd Qtr'!C9, '4th Qtr'!C9)</f>
        <v>53905.252720855133</v>
      </c>
      <c r="D9" s="35">
        <f>SUM('1st Qtr'!D9, '2nd Qtr'!D9, '3rd Qtr'!D9, '4th Qtr'!D9)</f>
        <v>0</v>
      </c>
      <c r="E9" s="36">
        <f t="shared" si="0"/>
        <v>53905.252720855133</v>
      </c>
      <c r="F9" s="37" t="str">
        <f t="shared" si="1"/>
        <v/>
      </c>
      <c r="G9" s="38">
        <f>SUM('1st Qtr'!G9, '2nd Qtr'!G9, '3rd Qtr'!G9, '4th Qtr'!G9)</f>
        <v>0</v>
      </c>
      <c r="H9" s="38">
        <f>SUM('1st Qtr'!H9, '2nd Qtr'!H9, '3rd Qtr'!H9, '4th Qtr'!H9)</f>
        <v>0</v>
      </c>
      <c r="I9" s="37" t="str">
        <f t="shared" si="2"/>
        <v/>
      </c>
    </row>
    <row r="10" spans="1:9" ht="16.5" customHeight="1">
      <c r="A10" s="26" t="str">
        <v>Lakewood Township - Public Works</v>
      </c>
      <c r="B10" s="27" t="str">
        <v>NJ</v>
      </c>
      <c r="C10" s="28">
        <f>SUM('1st Qtr'!C10, '2nd Qtr'!C10, '3rd Qtr'!C10, '4th Qtr'!C10)</f>
        <v>867883.91248027608</v>
      </c>
      <c r="D10" s="29">
        <f>SUM('1st Qtr'!D10, '2nd Qtr'!D10, '3rd Qtr'!D10, '4th Qtr'!D10)</f>
        <v>195547.462</v>
      </c>
      <c r="E10" s="29">
        <f t="shared" si="0"/>
        <v>672336.45048027602</v>
      </c>
      <c r="F10" s="30">
        <f t="shared" si="1"/>
        <v>3.4382264213701532</v>
      </c>
      <c r="G10" s="31">
        <f>SUM('1st Qtr'!G10, '2nd Qtr'!G10, '3rd Qtr'!G10, '4th Qtr'!G10)</f>
        <v>460206</v>
      </c>
      <c r="H10" s="31">
        <f>SUM('1st Qtr'!H10, '2nd Qtr'!H10, '3rd Qtr'!H10, '4th Qtr'!H10)</f>
        <v>407677.91248027608</v>
      </c>
      <c r="I10" s="32">
        <f t="shared" si="2"/>
        <v>0.88585962043145039</v>
      </c>
    </row>
    <row r="11" spans="1:9" ht="15.6">
      <c r="A11" s="33" t="str">
        <v>Canby - Dover - OR-23-C003</v>
      </c>
      <c r="B11" s="34" t="str">
        <v>OR</v>
      </c>
      <c r="C11" s="35">
        <f>SUM('1st Qtr'!C11, '2nd Qtr'!C11, '3rd Qtr'!C11, '4th Qtr'!C11)</f>
        <v>1666181.602</v>
      </c>
      <c r="D11" s="35">
        <f>SUM('1st Qtr'!D11, '2nd Qtr'!D11, '3rd Qtr'!D11, '4th Qtr'!D11)</f>
        <v>1618106.3</v>
      </c>
      <c r="E11" s="36">
        <f t="shared" si="0"/>
        <v>48075.301999999909</v>
      </c>
      <c r="F11" s="37">
        <f t="shared" si="1"/>
        <v>2.9710842853772901E-2</v>
      </c>
      <c r="G11" s="38">
        <f>SUM('1st Qtr'!G11, '2nd Qtr'!G11, '3rd Qtr'!G11, '4th Qtr'!G11)</f>
        <v>1647407</v>
      </c>
      <c r="H11" s="38">
        <f>SUM('1st Qtr'!H11, '2nd Qtr'!H11, '3rd Qtr'!H11, '4th Qtr'!H11)</f>
        <v>18774.602000000072</v>
      </c>
      <c r="I11" s="37">
        <f t="shared" si="2"/>
        <v>1.1396456370526574E-2</v>
      </c>
    </row>
    <row r="12" spans="1:9" ht="15.6">
      <c r="A12" s="26" t="str">
        <v xml:space="preserve"> Estacada - Clayfield - OR-23-C001</v>
      </c>
      <c r="B12" s="27" t="str">
        <v>OR</v>
      </c>
      <c r="C12" s="28">
        <f>SUM('1st Qtr'!C12, '2nd Qtr'!C12, '3rd Qtr'!C12, '4th Qtr'!C12)</f>
        <v>1562849.8929999997</v>
      </c>
      <c r="D12" s="29">
        <f>SUM('1st Qtr'!D12, '2nd Qtr'!D12, '3rd Qtr'!D12, '4th Qtr'!D12)</f>
        <v>1515386.3</v>
      </c>
      <c r="E12" s="29">
        <f t="shared" si="0"/>
        <v>47463.592999999644</v>
      </c>
      <c r="F12" s="30">
        <f t="shared" si="1"/>
        <v>3.1321117922208777E-2</v>
      </c>
      <c r="G12" s="31">
        <f>SUM('1st Qtr'!G12, '2nd Qtr'!G12, '3rd Qtr'!G12, '4th Qtr'!G12)</f>
        <v>1832964</v>
      </c>
      <c r="H12" s="31">
        <f>SUM('1st Qtr'!H12, '2nd Qtr'!H12, '3rd Qtr'!H12, '4th Qtr'!H12)</f>
        <v>-270114.10700000008</v>
      </c>
      <c r="I12" s="32">
        <f t="shared" si="2"/>
        <v>-0.14736465473408103</v>
      </c>
    </row>
    <row r="13" spans="1:9" ht="15.6">
      <c r="A13" s="33" t="str">
        <v>Willamina - Waterford - OR-23-C006</v>
      </c>
      <c r="B13" s="34" t="str">
        <v>OR</v>
      </c>
      <c r="C13" s="35">
        <f>SUM('1st Qtr'!C13, '2nd Qtr'!C13, '3rd Qtr'!C13, '4th Qtr'!C13)</f>
        <v>895384.924</v>
      </c>
      <c r="D13" s="35">
        <f>SUM('1st Qtr'!D13, '2nd Qtr'!D13, '3rd Qtr'!D13, '4th Qtr'!D13)</f>
        <v>1327423.9010000001</v>
      </c>
      <c r="E13" s="36">
        <f t="shared" si="0"/>
        <v>-432038.97700000007</v>
      </c>
      <c r="F13" s="37">
        <f t="shared" si="1"/>
        <v>-0.32547174770209297</v>
      </c>
      <c r="G13" s="38">
        <f>SUM('1st Qtr'!G13, '2nd Qtr'!G13, '3rd Qtr'!G13, '4th Qtr'!G13)</f>
        <v>1485643.72</v>
      </c>
      <c r="H13" s="38">
        <f>SUM('1st Qtr'!H13, '2nd Qtr'!H13, '3rd Qtr'!H13, '4th Qtr'!H13)</f>
        <v>-590258.79599999997</v>
      </c>
      <c r="I13" s="37">
        <f t="shared" si="2"/>
        <v>-0.39730844485379035</v>
      </c>
    </row>
    <row r="14" spans="1:9" ht="15.6">
      <c r="A14" s="26" t="str">
        <v>OR-23-C005  Solops  SPI - Belvedere Solar</v>
      </c>
      <c r="B14" s="27" t="str">
        <v>OR</v>
      </c>
      <c r="C14" s="28">
        <f>SUM('1st Qtr'!C14, '2nd Qtr'!C14, '3rd Qtr'!C14, '4th Qtr'!C14)</f>
        <v>2253331.1699999981</v>
      </c>
      <c r="D14" s="29">
        <f>SUM('1st Qtr'!D14, '2nd Qtr'!D14, '3rd Qtr'!D14, '4th Qtr'!D14)</f>
        <v>2145021.0999999996</v>
      </c>
      <c r="E14" s="29">
        <f t="shared" si="0"/>
        <v>108310.06999999844</v>
      </c>
      <c r="F14" s="30">
        <f t="shared" si="1"/>
        <v>5.0493708430186753E-2</v>
      </c>
      <c r="G14" s="31">
        <f>SUM('1st Qtr'!G14, '2nd Qtr'!G14, '3rd Qtr'!G14, '4th Qtr'!G14)</f>
        <v>2186130</v>
      </c>
      <c r="H14" s="31">
        <f>SUM('1st Qtr'!H14, '2nd Qtr'!H14, '3rd Qtr'!H14, '4th Qtr'!H14)</f>
        <v>67201.169999998063</v>
      </c>
      <c r="I14" s="32">
        <f t="shared" si="2"/>
        <v>3.0739786746441459E-2</v>
      </c>
    </row>
    <row r="15" spans="1:9" ht="15.6">
      <c r="A15" s="33" t="str">
        <v>OR-23-C002  SPI - Cork Solar</v>
      </c>
      <c r="B15" s="34" t="str">
        <v>OR</v>
      </c>
      <c r="C15" s="35">
        <f>SUM('1st Qtr'!C15, '2nd Qtr'!C15, '3rd Qtr'!C15, '4th Qtr'!C15)</f>
        <v>945808.50900000008</v>
      </c>
      <c r="D15" s="35">
        <f>SUM('1st Qtr'!D15, '2nd Qtr'!D15, '3rd Qtr'!D15, '4th Qtr'!D15)</f>
        <v>883247.07499999995</v>
      </c>
      <c r="E15" s="36">
        <f t="shared" si="0"/>
        <v>62561.434000000125</v>
      </c>
      <c r="F15" s="37">
        <f t="shared" si="1"/>
        <v>7.0831181637369275E-2</v>
      </c>
      <c r="G15" s="38">
        <f>SUM('1st Qtr'!G15, '2nd Qtr'!G15, '3rd Qtr'!G15, '4th Qtr'!G15)</f>
        <v>855845.04300000006</v>
      </c>
      <c r="H15" s="38">
        <f>SUM('1st Qtr'!H15, '2nd Qtr'!H15, '3rd Qtr'!H15, '4th Qtr'!H15)</f>
        <v>89963.466000000015</v>
      </c>
      <c r="I15" s="37">
        <f t="shared" si="2"/>
        <v>0.10511653568109759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2" t="str" cm="1">
        <f t="array" ref="A1">portfolio</f>
        <v>Luminace</v>
      </c>
      <c r="B1" s="112"/>
      <c r="C1" s="112"/>
      <c r="D1" s="113" t="s">
        <v>10</v>
      </c>
      <c r="E1" s="113"/>
      <c r="F1" s="113"/>
      <c r="G1" s="111" t="s">
        <v>11</v>
      </c>
      <c r="H1" s="111"/>
      <c r="I1" s="111"/>
    </row>
    <row r="2" spans="1:9" ht="19.5" customHeight="1">
      <c r="A2" s="114" t="s">
        <v>2</v>
      </c>
      <c r="B2" s="114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SUM(Jan!C4, Feb!C4, Mar!C4)</f>
        <v>115892.25043021759</v>
      </c>
      <c r="D4" s="29">
        <f>SUM(Jan!D4, Feb!D4, Mar!D4)</f>
        <v>0</v>
      </c>
      <c r="E4" s="29">
        <f>IF(AND(ISNUMBER(C4),ISNUMBER(D4)), C4-D4, "")</f>
        <v>115892.25043021759</v>
      </c>
      <c r="F4" s="30" t="str">
        <f>IFERROR(E4/D4, "")</f>
        <v/>
      </c>
      <c r="G4" s="31">
        <f>SUM(Jan!G4, Feb!G4, Mar!G4)</f>
        <v>0</v>
      </c>
      <c r="H4" s="31">
        <f>SUM(Jan!H4, Feb!H4, Mar!H4)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SUM(Jan!C5, Feb!C5, Mar!C5)</f>
        <v>0</v>
      </c>
      <c r="D5" s="36">
        <f>SUM(Jan!D5, Feb!D5, Mar!D5)</f>
        <v>32042.456200000001</v>
      </c>
      <c r="E5" s="36">
        <f>IF(AND(ISNUMBER(C5),ISNUMBER(D5)), C5-D5, "")</f>
        <v>-32042.456200000001</v>
      </c>
      <c r="F5" s="37">
        <f>IFERROR(E5/D5, "")</f>
        <v>-1</v>
      </c>
      <c r="G5" s="38">
        <f>SUM(Jan!G5, Feb!G5, Mar!G5)</f>
        <v>1495580.21</v>
      </c>
      <c r="H5" s="38">
        <f>SUM(Jan!H5, Feb!H5, Mar!H5)</f>
        <v>-1495580.21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SUM(Jan!C6, Feb!C6, Mar!C6)</f>
        <v>109808.105457546</v>
      </c>
      <c r="D6" s="29">
        <f>SUM(Jan!D6, Feb!D6, Mar!D6)</f>
        <v>271422.90000000002</v>
      </c>
      <c r="E6" s="29">
        <f t="shared" ref="E6:E15" si="0">IF(AND(ISNUMBER(C6),ISNUMBER(D6)), C6-D6, "")</f>
        <v>-161614.79454245401</v>
      </c>
      <c r="F6" s="30">
        <f t="shared" ref="F6:F16" si="1">IFERROR(E6/D6, "")</f>
        <v>-0.59543536872700864</v>
      </c>
      <c r="G6" s="31">
        <f>SUM(Jan!G6, Feb!G6, Mar!G6)</f>
        <v>1480295</v>
      </c>
      <c r="H6" s="31">
        <f>SUM(Jan!H6, Feb!H6, Mar!H6)</f>
        <v>-1370486.894542454</v>
      </c>
      <c r="I6" s="32">
        <f t="shared" ref="I6:I15" si="2">IFERROR(H6/G6, "")</f>
        <v>-0.92582012000476532</v>
      </c>
    </row>
    <row r="7" spans="1:9" ht="15.6">
      <c r="A7" s="48" t="str">
        <v xml:space="preserve"> BEMS Landfill East</v>
      </c>
      <c r="B7" s="34" t="str">
        <v>NJ</v>
      </c>
      <c r="C7" s="35">
        <f>SUM(Jan!C7, Feb!C7, Mar!C7)</f>
        <v>0</v>
      </c>
      <c r="D7" s="36">
        <f>SUM(Jan!D7, Feb!D7, Mar!D7)</f>
        <v>13254.93</v>
      </c>
      <c r="E7" s="36">
        <f>IF(AND(ISNUMBER(C7),ISNUMBER(D7)), C7-D7, "")</f>
        <v>-13254.93</v>
      </c>
      <c r="F7" s="37">
        <f t="shared" si="1"/>
        <v>-1</v>
      </c>
      <c r="G7" s="38">
        <f>SUM(Jan!G7, Feb!G7, Mar!G7)</f>
        <v>1554068.3</v>
      </c>
      <c r="H7" s="38">
        <f>SUM(Jan!H7, Feb!H7, Mar!H7)</f>
        <v>-1554068.3</v>
      </c>
      <c r="I7" s="37">
        <f t="shared" si="2"/>
        <v>-1</v>
      </c>
    </row>
    <row r="8" spans="1:9" ht="15.6">
      <c r="A8" s="47" t="str">
        <v>Southampton - BEMS West NJ-22-C898</v>
      </c>
      <c r="B8" s="27" t="str">
        <v>NJ</v>
      </c>
      <c r="C8" s="28">
        <f>SUM(Jan!C8, Feb!C8, Mar!C8)</f>
        <v>1043156</v>
      </c>
      <c r="D8" s="29">
        <f>SUM(Jan!D8, Feb!D8, Mar!D8)</f>
        <v>1306755.2</v>
      </c>
      <c r="E8" s="29">
        <f t="shared" si="0"/>
        <v>-263599.19999999995</v>
      </c>
      <c r="F8" s="30">
        <f t="shared" si="1"/>
        <v>-0.20172041404541566</v>
      </c>
      <c r="G8" s="31">
        <f>SUM(Jan!G8, Feb!G8, Mar!G8)</f>
        <v>1352961</v>
      </c>
      <c r="H8" s="31">
        <f>SUM(Jan!H8, Feb!H8, Mar!H8)</f>
        <v>-309805</v>
      </c>
      <c r="I8" s="32">
        <f t="shared" si="2"/>
        <v>-0.22898294924983056</v>
      </c>
    </row>
    <row r="9" spans="1:9" ht="15.6">
      <c r="A9" s="48" t="str">
        <v>Lakewood Twp - Emergency Services Dev  - NJ-23-0008</v>
      </c>
      <c r="B9" s="34" t="str">
        <v>NJ</v>
      </c>
      <c r="C9" s="35">
        <f>SUM(Jan!C9, Feb!C9, Mar!C9)</f>
        <v>13246.358095703121</v>
      </c>
      <c r="D9" s="36">
        <f>SUM(Jan!D9, Feb!D9, Mar!D9)</f>
        <v>0</v>
      </c>
      <c r="E9" s="36">
        <f>IF(AND(ISNUMBER(C9),ISNUMBER(D9)), C9-D9, "")</f>
        <v>13246.358095703121</v>
      </c>
      <c r="F9" s="37" t="str">
        <f t="shared" si="1"/>
        <v/>
      </c>
      <c r="G9" s="38">
        <f>SUM(Jan!G9, Feb!G9, Mar!G9)</f>
        <v>0</v>
      </c>
      <c r="H9" s="38">
        <f>SUM(Jan!H9, Feb!H9, Mar!H9)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SUM(Jan!C10, Feb!C10, Mar!C10)</f>
        <v>244610.66243027602</v>
      </c>
      <c r="D10" s="29">
        <f>SUM(Jan!D10, Feb!D10, Mar!D10)</f>
        <v>0</v>
      </c>
      <c r="E10" s="29">
        <f t="shared" si="0"/>
        <v>244610.66243027602</v>
      </c>
      <c r="F10" s="30" t="str">
        <f t="shared" si="1"/>
        <v/>
      </c>
      <c r="G10" s="31">
        <f>SUM(Jan!G10, Feb!G10, Mar!G10)</f>
        <v>99458</v>
      </c>
      <c r="H10" s="31">
        <f>SUM(Jan!H10, Feb!H10, Mar!H10)</f>
        <v>145152.66243027602</v>
      </c>
      <c r="I10" s="32">
        <f t="shared" si="2"/>
        <v>1.4594367716048584</v>
      </c>
    </row>
    <row r="11" spans="1:9" ht="15.6">
      <c r="A11" s="48" t="str">
        <v>Canby - Dover - OR-23-C003</v>
      </c>
      <c r="B11" s="33" t="str">
        <v>OR</v>
      </c>
      <c r="C11" s="35">
        <f>SUM(Jan!C11, Feb!C11, Mar!C11)</f>
        <v>0</v>
      </c>
      <c r="D11" s="36">
        <f>SUM(Jan!D11, Feb!D11, Mar!D11)</f>
        <v>0</v>
      </c>
      <c r="E11" s="36">
        <f t="shared" si="0"/>
        <v>0</v>
      </c>
      <c r="F11" s="37" t="str">
        <f t="shared" si="1"/>
        <v/>
      </c>
      <c r="G11" s="38">
        <f>SUM(Jan!G11, Feb!G11, Mar!G11)</f>
        <v>0</v>
      </c>
      <c r="H11" s="38">
        <f>SUM(Jan!H11, Feb!H11, Mar!H11)</f>
        <v>0</v>
      </c>
      <c r="I11" s="37" t="str">
        <f t="shared" si="2"/>
        <v/>
      </c>
    </row>
    <row r="12" spans="1:9" ht="15.6">
      <c r="A12" s="47" t="str">
        <v xml:space="preserve"> Estacada - Clayfield - OR-23-C001</v>
      </c>
      <c r="B12" s="26" t="str">
        <v>OR</v>
      </c>
      <c r="C12" s="28">
        <f>SUM(Jan!C12, Feb!C12, Mar!C12)</f>
        <v>0</v>
      </c>
      <c r="D12" s="29">
        <f>SUM(Jan!D12, Feb!D12, Mar!D12)</f>
        <v>0</v>
      </c>
      <c r="E12" s="29">
        <f t="shared" si="0"/>
        <v>0</v>
      </c>
      <c r="F12" s="30" t="str">
        <f t="shared" si="1"/>
        <v/>
      </c>
      <c r="G12" s="31">
        <f>SUM(Jan!G12, Feb!G12, Mar!G12)</f>
        <v>0</v>
      </c>
      <c r="H12" s="31">
        <f>SUM(Jan!H12, Feb!H12, Mar!H12)</f>
        <v>0</v>
      </c>
      <c r="I12" s="32" t="str">
        <f t="shared" si="2"/>
        <v/>
      </c>
    </row>
    <row r="13" spans="1:9" ht="15.6">
      <c r="A13" s="48" t="str">
        <v>Willamina - Waterford - OR-23-C006</v>
      </c>
      <c r="B13" s="33" t="str">
        <v>OR</v>
      </c>
      <c r="C13" s="35">
        <f>SUM(Jan!C13, Feb!C13, Mar!C13)</f>
        <v>0</v>
      </c>
      <c r="D13" s="36">
        <f>SUM(Jan!D13, Feb!D13, Mar!D13)</f>
        <v>0</v>
      </c>
      <c r="E13" s="36">
        <f t="shared" si="0"/>
        <v>0</v>
      </c>
      <c r="F13" s="37" t="str">
        <f t="shared" si="1"/>
        <v/>
      </c>
      <c r="G13" s="38">
        <f>SUM(Jan!G13, Feb!G13, Mar!G13)</f>
        <v>0</v>
      </c>
      <c r="H13" s="38">
        <f>SUM(Jan!H13, Feb!H13, Mar!H13)</f>
        <v>0</v>
      </c>
      <c r="I13" s="37" t="str">
        <f t="shared" si="2"/>
        <v/>
      </c>
    </row>
    <row r="14" spans="1:9" ht="15.6">
      <c r="A14" s="47" t="str">
        <v>OR-23-C005  Solops  SPI - Belvedere Solar</v>
      </c>
      <c r="B14" s="26" t="str">
        <v>OR</v>
      </c>
      <c r="C14" s="28">
        <f>SUM(Jan!C14, Feb!C14, Mar!C14)</f>
        <v>0</v>
      </c>
      <c r="D14" s="29">
        <f>SUM(Jan!D14, Feb!D14, Mar!D14)</f>
        <v>0</v>
      </c>
      <c r="E14" s="29">
        <f t="shared" si="0"/>
        <v>0</v>
      </c>
      <c r="F14" s="30" t="str">
        <f t="shared" si="1"/>
        <v/>
      </c>
      <c r="G14" s="31">
        <f>SUM(Jan!G14, Feb!G14, Mar!G14)</f>
        <v>0</v>
      </c>
      <c r="H14" s="31">
        <f>SUM(Jan!H14, Feb!H14, Mar!H14)</f>
        <v>0</v>
      </c>
      <c r="I14" s="32" t="str">
        <f t="shared" si="2"/>
        <v/>
      </c>
    </row>
    <row r="15" spans="1:9" ht="15.6">
      <c r="A15" s="48" t="str">
        <v>OR-23-C002  SPI - Cork Solar</v>
      </c>
      <c r="B15" s="33" t="str">
        <v>OR</v>
      </c>
      <c r="C15" s="35">
        <f>SUM(Jan!C15, Feb!C15, Mar!C15)</f>
        <v>0</v>
      </c>
      <c r="D15" s="36">
        <f>SUM(Jan!D15, Feb!D15, Mar!D15)</f>
        <v>0</v>
      </c>
      <c r="E15" s="36">
        <f t="shared" si="0"/>
        <v>0</v>
      </c>
      <c r="F15" s="37" t="str">
        <f t="shared" si="1"/>
        <v/>
      </c>
      <c r="G15" s="38">
        <f>SUM(Jan!G15, Feb!G15, Mar!G15)</f>
        <v>0</v>
      </c>
      <c r="H15" s="38">
        <f>SUM(Jan!H15, Feb!H15, Mar!H15)</f>
        <v>0</v>
      </c>
      <c r="I15" s="37" t="str">
        <f t="shared" si="2"/>
        <v/>
      </c>
    </row>
    <row r="16" spans="1:9" ht="13.9">
      <c r="A16" s="8"/>
      <c r="B16" s="8"/>
      <c r="C16" s="8"/>
      <c r="D16" s="8"/>
      <c r="E16" s="8"/>
      <c r="F16" s="8" t="str">
        <f t="shared" si="1"/>
        <v/>
      </c>
      <c r="G16" s="8"/>
      <c r="H16" s="8"/>
      <c r="I16" s="8"/>
    </row>
    <row r="17" spans="1:9" ht="13.9">
      <c r="A17" s="8"/>
      <c r="B17" s="8"/>
      <c r="C17" s="8"/>
      <c r="D17" s="8"/>
      <c r="E17" s="8"/>
      <c r="F17" s="9"/>
      <c r="G17" s="8"/>
      <c r="H17" s="8"/>
      <c r="I17" s="8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5 I4:I15 F17:F80 I18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2" t="str" cm="1">
        <f t="array" ref="A1">portfolio</f>
        <v>Luminace</v>
      </c>
      <c r="B1" s="112"/>
      <c r="C1" s="112"/>
      <c r="D1" s="113" t="s">
        <v>12</v>
      </c>
      <c r="E1" s="113"/>
      <c r="F1" s="113"/>
      <c r="G1" s="111" t="s">
        <v>13</v>
      </c>
      <c r="H1" s="111"/>
      <c r="I1" s="111"/>
    </row>
    <row r="2" spans="1:9" ht="19.5" customHeight="1">
      <c r="A2" s="114" t="s">
        <v>2</v>
      </c>
      <c r="B2" s="114"/>
      <c r="C2" s="5">
        <f>SUM(C4:C80)</f>
        <v>8503548.1282928195</v>
      </c>
      <c r="D2" s="5">
        <f>SUM(D4:D80)</f>
        <v>9039653.0329999998</v>
      </c>
      <c r="E2" s="5">
        <f>C2-D2</f>
        <v>-536104.90470718034</v>
      </c>
      <c r="F2" s="6">
        <f>IFERROR(E2/D2, 0)</f>
        <v>-5.9305916139710799E-2</v>
      </c>
      <c r="G2" s="5">
        <f>SUM(G4:G80)</f>
        <v>13787020.76</v>
      </c>
      <c r="H2" s="7">
        <f>C2-G2</f>
        <v>-5283472.6317071803</v>
      </c>
      <c r="I2" s="6">
        <f>IFERROR(H2/G2, 0)</f>
        <v>-0.38322076420135748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SUM(Apr!C4, May!C4, Jun!C4)</f>
        <v>168345.60000000001</v>
      </c>
      <c r="D4" s="29">
        <f>SUM(Apr!D4, May!D4, Jun!D4)</f>
        <v>181763.78</v>
      </c>
      <c r="E4" s="29">
        <f>IF(AND(ISNUMBER(C4),ISNUMBER(D4)), C4-D4, "")</f>
        <v>-13418.179999999993</v>
      </c>
      <c r="F4" s="30">
        <f>IFERROR(E4/D4, "")</f>
        <v>-7.3822078304049313E-2</v>
      </c>
      <c r="G4" s="31">
        <f>SUM(Apr!G4+May!G4+Jun!G4)</f>
        <v>187096.3</v>
      </c>
      <c r="H4" s="31">
        <f>SUM(Apr!H4, May!H4, Jun!H4)</f>
        <v>-18750.700000000004</v>
      </c>
      <c r="I4" s="32">
        <f>IFERROR(H4/G4, "")</f>
        <v>-0.10021951262531652</v>
      </c>
    </row>
    <row r="5" spans="1:9" ht="15.6">
      <c r="A5" s="48" t="str">
        <v>Berkeley - NJ-22-C893 Berkeley I</v>
      </c>
      <c r="B5" s="34" t="str">
        <v>NJ</v>
      </c>
      <c r="C5" s="35">
        <f>SUM(Apr!C5, May!C5, Jun!C5)</f>
        <v>0</v>
      </c>
      <c r="D5" s="36">
        <f>SUM(Apr!D5, May!D5, Jun!D5)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8">
        <f>SUM(Apr!G5+May!G5+Jun!G5)</f>
        <v>2101906.67</v>
      </c>
      <c r="H5" s="38">
        <f>SUM(Apr!H5, May!H5, Jun!H5)</f>
        <v>-2101906.67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SUM(Apr!C6, May!C6, Jun!C6)</f>
        <v>1267343.2736176699</v>
      </c>
      <c r="D6" s="29">
        <f>SUM(Apr!D6, May!D6, Jun!D6)</f>
        <v>788162.70000000007</v>
      </c>
      <c r="E6" s="29">
        <f t="shared" si="0"/>
        <v>479180.57361766987</v>
      </c>
      <c r="F6" s="30">
        <f t="shared" ref="F6:F15" si="1">IFERROR(E6/D6, "")</f>
        <v>0.60797164547075089</v>
      </c>
      <c r="G6" s="31">
        <f>SUM(Apr!G6+May!G6+Jun!G6)</f>
        <v>2118046</v>
      </c>
      <c r="H6" s="31">
        <f>SUM(Apr!H6, May!H6, Jun!H6)</f>
        <v>-850702.72638232994</v>
      </c>
      <c r="I6" s="32">
        <f t="shared" ref="I6:I15" si="2">IFERROR(H6/G6, "")</f>
        <v>-0.40164506643497355</v>
      </c>
    </row>
    <row r="7" spans="1:9" ht="15.6">
      <c r="A7" s="48" t="str">
        <v xml:space="preserve"> BEMS Landfill East</v>
      </c>
      <c r="B7" s="34" t="str">
        <v>NJ</v>
      </c>
      <c r="C7" s="35">
        <f>SUM(Apr!C7, May!C7, Jun!C7)</f>
        <v>2909</v>
      </c>
      <c r="D7" s="36">
        <f>SUM(Apr!D7, May!D7, Jun!D7)</f>
        <v>1275699.5209999999</v>
      </c>
      <c r="E7" s="36">
        <f t="shared" si="0"/>
        <v>-1272790.5209999999</v>
      </c>
      <c r="F7" s="37">
        <f t="shared" si="1"/>
        <v>-0.99771968245490938</v>
      </c>
      <c r="G7" s="38">
        <f>SUM(Apr!G7+May!G7+Jun!G7)</f>
        <v>2062841.79</v>
      </c>
      <c r="H7" s="38">
        <f>SUM(Apr!H7, May!H7, Jun!H7)</f>
        <v>-2059932.79</v>
      </c>
      <c r="I7" s="37">
        <f t="shared" si="2"/>
        <v>-0.99858980944922582</v>
      </c>
    </row>
    <row r="8" spans="1:9" ht="15.6">
      <c r="A8" s="47" t="str">
        <v>Southampton - BEMS West NJ-22-C898</v>
      </c>
      <c r="B8" s="27" t="str">
        <v>NJ</v>
      </c>
      <c r="C8" s="28">
        <f>SUM(Apr!C8, May!C8, Jun!C8)</f>
        <v>1803228</v>
      </c>
      <c r="D8" s="29">
        <f>SUM(Apr!D8, May!D8, Jun!D8)</f>
        <v>1916638.5</v>
      </c>
      <c r="E8" s="29">
        <f t="shared" si="0"/>
        <v>-113410.5</v>
      </c>
      <c r="F8" s="30">
        <f t="shared" si="1"/>
        <v>-5.9171565216914926E-2</v>
      </c>
      <c r="G8" s="31">
        <f>SUM(Apr!G8+May!G8+Jun!G8)</f>
        <v>2092575</v>
      </c>
      <c r="H8" s="31">
        <f>SUM(Apr!H8, May!H8, Jun!H8)</f>
        <v>-289347</v>
      </c>
      <c r="I8" s="32">
        <f t="shared" si="2"/>
        <v>-0.13827318017275367</v>
      </c>
    </row>
    <row r="9" spans="1:9" ht="15.6">
      <c r="A9" s="48" t="str">
        <v>Lakewood Twp - Emergency Services Dev  - NJ-23-0008</v>
      </c>
      <c r="B9" s="34" t="str">
        <v>NJ</v>
      </c>
      <c r="C9" s="35">
        <f>SUM(Apr!C9, May!C9, Jun!C9)</f>
        <v>29075.453625152011</v>
      </c>
      <c r="D9" s="36">
        <f>SUM(Apr!D9, May!D9, Jun!D9)</f>
        <v>0</v>
      </c>
      <c r="E9" s="36">
        <f t="shared" si="0"/>
        <v>29075.453625152011</v>
      </c>
      <c r="F9" s="37" t="str">
        <f t="shared" si="1"/>
        <v/>
      </c>
      <c r="G9" s="38">
        <f>SUM(Apr!G9,May!G9,Jun!G9)</f>
        <v>0</v>
      </c>
      <c r="H9" s="38">
        <f>SUM(Apr!H9, May!H9, Jun!H9)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SUM(Apr!C10, May!C10, Jun!C10)</f>
        <v>484004.42605000001</v>
      </c>
      <c r="D10" s="29">
        <f>SUM(Apr!D10, May!D10, Jun!D10)</f>
        <v>0</v>
      </c>
      <c r="E10" s="29">
        <f t="shared" si="0"/>
        <v>484004.42605000001</v>
      </c>
      <c r="F10" s="30" t="str">
        <f t="shared" si="1"/>
        <v/>
      </c>
      <c r="G10" s="31">
        <f>SUM(Apr!G10+May!G10+Jun!G10)</f>
        <v>266490</v>
      </c>
      <c r="H10" s="31">
        <f>SUM(Apr!H10, May!H10, Jun!H10)</f>
        <v>217514.42605000001</v>
      </c>
      <c r="I10" s="32">
        <f t="shared" si="2"/>
        <v>0.81621984333370856</v>
      </c>
    </row>
    <row r="11" spans="1:9" ht="15.6">
      <c r="A11" s="48" t="str">
        <v>Canby - Dover - OR-23-C003</v>
      </c>
      <c r="B11" s="34" t="str">
        <v>OR</v>
      </c>
      <c r="C11" s="35">
        <f>SUM(Apr!C11, May!C11, Jun!C11)</f>
        <v>1059524.378</v>
      </c>
      <c r="D11" s="36">
        <f>SUM(Apr!D11, May!D11, Jun!D11)</f>
        <v>1010842.3</v>
      </c>
      <c r="E11" s="36">
        <f t="shared" si="0"/>
        <v>48682.07799999998</v>
      </c>
      <c r="F11" s="37">
        <f t="shared" si="1"/>
        <v>4.8159913766964421E-2</v>
      </c>
      <c r="G11" s="38">
        <f>SUM(Apr!G11+May!G11+Jun!G11)</f>
        <v>1019387</v>
      </c>
      <c r="H11" s="38">
        <f>SUM(Apr!H11, May!H11, Jun!H11)</f>
        <v>40137.378000000026</v>
      </c>
      <c r="I11" s="37">
        <f t="shared" si="2"/>
        <v>3.9374033610395293E-2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SUM(Apr!C12, May!C12, Jun!C12)</f>
        <v>1217604.4079999998</v>
      </c>
      <c r="D12" s="29">
        <f>SUM(Apr!D12, May!D12, Jun!D12)</f>
        <v>1107693.5</v>
      </c>
      <c r="E12" s="29">
        <f t="shared" si="0"/>
        <v>109910.90799999982</v>
      </c>
      <c r="F12" s="30">
        <f t="shared" si="1"/>
        <v>9.9225018473070234E-2</v>
      </c>
      <c r="G12" s="31">
        <f>SUM(Apr!G12+May!G12+Jun!G12)</f>
        <v>1101450</v>
      </c>
      <c r="H12" s="31">
        <f>SUM(Apr!H12, May!H12, Jun!H12)</f>
        <v>116154.40799999994</v>
      </c>
      <c r="I12" s="32">
        <f t="shared" si="2"/>
        <v>0.10545590630532474</v>
      </c>
    </row>
    <row r="13" spans="1:9" ht="15.6">
      <c r="A13" s="48" t="str">
        <v>Willamina - Waterford - OR-23-C006</v>
      </c>
      <c r="B13" s="34" t="str">
        <v>OR</v>
      </c>
      <c r="C13" s="35">
        <f>SUM(Apr!C13, May!C13, Jun!C13)</f>
        <v>449018.424</v>
      </c>
      <c r="D13" s="36">
        <f>SUM(Apr!D13, May!D13, Jun!D13)</f>
        <v>862021.17700000003</v>
      </c>
      <c r="E13" s="36">
        <f t="shared" si="0"/>
        <v>-413002.75300000003</v>
      </c>
      <c r="F13" s="37">
        <f t="shared" si="1"/>
        <v>-0.47910975277583001</v>
      </c>
      <c r="G13" s="38">
        <f>SUM(Apr!G13+May!G13+Jun!G13)</f>
        <v>938139</v>
      </c>
      <c r="H13" s="38">
        <f>SUM(Apr!H13, May!H13, Jun!H13)</f>
        <v>-489120.576</v>
      </c>
      <c r="I13" s="37">
        <f t="shared" si="2"/>
        <v>-0.52137324639525695</v>
      </c>
    </row>
    <row r="14" spans="1:9" ht="15.6">
      <c r="A14" s="47" t="str">
        <v>OR-23-C005  Solops  SPI - Belvedere Solar</v>
      </c>
      <c r="B14" s="27" t="str">
        <v>OR</v>
      </c>
      <c r="C14" s="28">
        <f>SUM(Apr!C14, May!C14, Jun!C14)</f>
        <v>1425196.6329999981</v>
      </c>
      <c r="D14" s="29">
        <f>SUM(Apr!D14, May!D14, Jun!D14)</f>
        <v>1339749.8999999999</v>
      </c>
      <c r="E14" s="29">
        <f t="shared" si="0"/>
        <v>85446.732999998145</v>
      </c>
      <c r="F14" s="30">
        <f t="shared" si="1"/>
        <v>6.3778122319694264E-2</v>
      </c>
      <c r="G14" s="31">
        <f>SUM(Apr!G14+May!G14+Jun!G14)</f>
        <v>1362976</v>
      </c>
      <c r="H14" s="31">
        <f>SUM(Apr!H14, May!H14, Jun!H14)</f>
        <v>62220.632999998052</v>
      </c>
      <c r="I14" s="32">
        <f t="shared" si="2"/>
        <v>4.565057124996922E-2</v>
      </c>
    </row>
    <row r="15" spans="1:9" ht="15.6">
      <c r="A15" s="48" t="str">
        <v>OR-23-C002  SPI - Cork Solar</v>
      </c>
      <c r="B15" s="34" t="str">
        <v>OR</v>
      </c>
      <c r="C15" s="35">
        <f>SUM(Apr!C15, May!C15, Jun!C15)</f>
        <v>597298.53200000001</v>
      </c>
      <c r="D15" s="36">
        <f>SUM(Apr!D15, May!D15, Jun!D15)</f>
        <v>557081.65500000003</v>
      </c>
      <c r="E15" s="36">
        <f t="shared" si="0"/>
        <v>40216.876999999979</v>
      </c>
      <c r="F15" s="37">
        <f t="shared" si="1"/>
        <v>7.2192068503853304E-2</v>
      </c>
      <c r="G15" s="38">
        <f>SUM(Apr!G15+May!G15+Jun!G15)</f>
        <v>536113</v>
      </c>
      <c r="H15" s="38">
        <f>SUM(Apr!H15, May!H15, Jun!H15)</f>
        <v>61185.532000000007</v>
      </c>
      <c r="I15" s="37">
        <f t="shared" si="2"/>
        <v>0.1141280513623061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1" sqref="F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2" t="str" cm="1">
        <f t="array" ref="A1">portfolio</f>
        <v>Luminace</v>
      </c>
      <c r="B1" s="112"/>
      <c r="C1" s="112"/>
      <c r="D1" s="113" t="s">
        <v>14</v>
      </c>
      <c r="E1" s="113"/>
      <c r="F1" s="113"/>
      <c r="G1" s="111" t="s">
        <v>15</v>
      </c>
      <c r="H1" s="111"/>
      <c r="I1" s="111"/>
    </row>
    <row r="2" spans="1:9" ht="19.5" customHeight="1">
      <c r="A2" s="114" t="s">
        <v>2</v>
      </c>
      <c r="B2" s="114"/>
      <c r="C2" s="5">
        <f>SUM(C4:C80)</f>
        <v>5167208.148</v>
      </c>
      <c r="D2" s="5">
        <f>SUM(D4:D80)</f>
        <v>5683836.835</v>
      </c>
      <c r="E2" s="5">
        <f>C2-D2</f>
        <v>-516628.68699999992</v>
      </c>
      <c r="F2" s="6">
        <f>IFERROR(E2/D2, 0)</f>
        <v>-9.089435569626092E-2</v>
      </c>
      <c r="G2" s="5">
        <f>SUM(G4:G80)</f>
        <v>5773431.3529999992</v>
      </c>
      <c r="H2" s="7">
        <f>C2-G2</f>
        <v>-606223.20499999914</v>
      </c>
      <c r="I2" s="6">
        <f>IFERROR(H2/G2, 0)</f>
        <v>-0.10500223661358553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SUM(Jul!C4, Aug!C4, Sep!C4)</f>
        <v>57705</v>
      </c>
      <c r="D4" s="29">
        <f>SUM(Jul!D4, Aug!D4, Sep!D4)</f>
        <v>63485.59</v>
      </c>
      <c r="E4" s="29">
        <f>IF(AND(ISNUMBER(C4),ISNUMBER(D4)), C4-D4, "")</f>
        <v>-5780.5899999999965</v>
      </c>
      <c r="F4" s="30">
        <f>IFERROR(E4/D4, "")</f>
        <v>-9.1053576094984656E-2</v>
      </c>
      <c r="G4" s="31">
        <f>SUM(Jul!G4,Aug!G4,Sep!G4)</f>
        <v>67817.09</v>
      </c>
      <c r="H4" s="31">
        <f>SUM(Jul!H4, Aug!H4, Sep!H4)</f>
        <v>-10112.089999999997</v>
      </c>
      <c r="I4" s="32">
        <f>IFERROR(H4/G4, "")</f>
        <v>-0.14910828524196479</v>
      </c>
    </row>
    <row r="5" spans="1:9" ht="15.6">
      <c r="A5" s="48" t="str">
        <v>Berkeley - NJ-22-C893 Berkeley I</v>
      </c>
      <c r="B5" s="34" t="str">
        <v>NJ</v>
      </c>
      <c r="C5" s="35">
        <f>SUM(Jul!C5, Aug!C5, Sep!C5)</f>
        <v>586285</v>
      </c>
      <c r="D5" s="36">
        <f>SUM(Jul!D5, Aug!D5, Sep!D5)</f>
        <v>562423.28899999999</v>
      </c>
      <c r="E5" s="36">
        <f t="shared" ref="E5:E15" si="0">IF(AND(ISNUMBER(C5),ISNUMBER(D5)), C5-D5, "")</f>
        <v>23861.71100000001</v>
      </c>
      <c r="F5" s="37">
        <f>IFERROR(E5/D5, "")</f>
        <v>4.2426605488593151E-2</v>
      </c>
      <c r="G5" s="38">
        <f>SUM(Jul!G5,Aug!G5,Sep!G5)</f>
        <v>753344.5</v>
      </c>
      <c r="H5" s="38">
        <f>SUM(Jul!H5, Aug!H5, Sep!H5)</f>
        <v>-167059.5</v>
      </c>
      <c r="I5" s="37">
        <f>IFERROR(H5/G5, "")</f>
        <v>-0.22175711112246788</v>
      </c>
    </row>
    <row r="6" spans="1:9" ht="15.6">
      <c r="A6" s="47" t="str">
        <v>Berkeley - NJ-22-C894 Berkeley II</v>
      </c>
      <c r="B6" s="27" t="str">
        <v>NJ</v>
      </c>
      <c r="C6" s="28">
        <f>SUM(Jul!C6, Aug!C6, Sep!C6)</f>
        <v>697981</v>
      </c>
      <c r="D6" s="29">
        <f>SUM(Jul!D6, Aug!D6, Sep!D6)</f>
        <v>698857.1</v>
      </c>
      <c r="E6" s="29">
        <f t="shared" si="0"/>
        <v>-876.09999999997672</v>
      </c>
      <c r="F6" s="30">
        <f t="shared" ref="F6:F15" si="1">IFERROR(E6/D6, "")</f>
        <v>-1.2536182289626546E-3</v>
      </c>
      <c r="G6" s="31">
        <f>SUM(Jul!G6,Aug!G6,Sep!G6)</f>
        <v>760155</v>
      </c>
      <c r="H6" s="31">
        <f>SUM(Jul!H6, Aug!H6, Sep!H6)</f>
        <v>-62174</v>
      </c>
      <c r="I6" s="32">
        <f t="shared" ref="I6:I15" si="2">IFERROR(H6/G6, "")</f>
        <v>-8.1791213634061471E-2</v>
      </c>
    </row>
    <row r="7" spans="1:9" ht="15.6">
      <c r="A7" s="48" t="str">
        <v xml:space="preserve"> BEMS Landfill East</v>
      </c>
      <c r="B7" s="34" t="str">
        <v>NJ</v>
      </c>
      <c r="C7" s="35">
        <f>SUM(Jul!C7, Aug!C7, Sep!C7)</f>
        <v>328242.15999999997</v>
      </c>
      <c r="D7" s="36">
        <f>SUM(Jul!D7, Aug!D7, Sep!D7)</f>
        <v>743855.75</v>
      </c>
      <c r="E7" s="36">
        <f t="shared" si="0"/>
        <v>-415613.59</v>
      </c>
      <c r="F7" s="37">
        <f t="shared" si="1"/>
        <v>-0.55872874545904905</v>
      </c>
      <c r="G7" s="38">
        <f>SUM(Jul!G7,Aug!G7,Sep!G7)</f>
        <v>283735</v>
      </c>
      <c r="H7" s="38">
        <f>SUM(Jul!H7, Aug!H7, Sep!H7)</f>
        <v>44507.159999999974</v>
      </c>
      <c r="I7" s="37">
        <f t="shared" si="2"/>
        <v>0.15686171956226752</v>
      </c>
    </row>
    <row r="8" spans="1:9" ht="15.6">
      <c r="A8" s="47" t="str">
        <v>Southampton - BEMS West NJ-22-C898</v>
      </c>
      <c r="B8" s="27" t="str">
        <v>NJ</v>
      </c>
      <c r="C8" s="28">
        <f>SUM(Jul!C8, Aug!C8, Sep!C8)</f>
        <v>771229</v>
      </c>
      <c r="D8" s="29">
        <f>SUM(Jul!D8, Aug!D8, Sep!D8)</f>
        <v>807871.5</v>
      </c>
      <c r="E8" s="29">
        <f t="shared" si="0"/>
        <v>-36642.5</v>
      </c>
      <c r="F8" s="30">
        <f t="shared" si="1"/>
        <v>-4.5356842022524622E-2</v>
      </c>
      <c r="G8" s="31">
        <f>SUM(Jul!G8,Aug!G8,Sep!G8)</f>
        <v>764197</v>
      </c>
      <c r="H8" s="31">
        <f>SUM(Jul!H8, Aug!H8, Sep!H8)</f>
        <v>7032</v>
      </c>
      <c r="I8" s="32">
        <f t="shared" si="2"/>
        <v>9.201815762166039E-3</v>
      </c>
    </row>
    <row r="9" spans="1:9" s="48" customFormat="1" ht="15.6">
      <c r="A9" s="48" t="str">
        <v>Lakewood Twp - Emergency Services Dev  - NJ-23-0008</v>
      </c>
      <c r="B9" s="34" t="str">
        <v>NJ</v>
      </c>
      <c r="C9" s="35">
        <f>SUM(Jul!C9, Aug!C9, Sep!C9)</f>
        <v>11583.441000000001</v>
      </c>
      <c r="D9" s="36">
        <f>SUM(Jul!D9, Aug!D9, Sep!D9)</f>
        <v>0</v>
      </c>
      <c r="E9" s="36">
        <f t="shared" si="0"/>
        <v>11583.441000000001</v>
      </c>
      <c r="F9" s="37" t="str">
        <f t="shared" si="1"/>
        <v/>
      </c>
      <c r="G9" s="38">
        <f>SUM(Jul!G9,Aug!G9,Sep!G9)</f>
        <v>0</v>
      </c>
      <c r="H9" s="38">
        <f>SUM(Jul!H9, Aug!H9, Sep!H9)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SUM(Jul!C10, Aug!C10, Sep!C10)</f>
        <v>139268.82399999999</v>
      </c>
      <c r="D10" s="29">
        <f>SUM(Jul!D10, Aug!D10, Sep!D10)</f>
        <v>195547.462</v>
      </c>
      <c r="E10" s="29">
        <f t="shared" si="0"/>
        <v>-56278.638000000006</v>
      </c>
      <c r="F10" s="30">
        <f t="shared" si="1"/>
        <v>-0.28780040111182831</v>
      </c>
      <c r="G10" s="31">
        <f>SUM(Jul!G10,Aug!G10,Sep!G10)</f>
        <v>94258</v>
      </c>
      <c r="H10" s="31">
        <f>SUM(Jul!H10, Aug!H10, Sep!H10)</f>
        <v>45010.823999999993</v>
      </c>
      <c r="I10" s="32">
        <f t="shared" si="2"/>
        <v>0.47752789153175318</v>
      </c>
    </row>
    <row r="11" spans="1:9" ht="15.6">
      <c r="A11" s="48" t="str">
        <v>Canby - Dover - OR-23-C003</v>
      </c>
      <c r="B11" s="34" t="str">
        <v>OR</v>
      </c>
      <c r="C11" s="35">
        <f>SUM(Jul!C11, Aug!C11, Sep!C11)</f>
        <v>606657.22400000005</v>
      </c>
      <c r="D11" s="36">
        <f>SUM(Jul!D11, Aug!D11, Sep!D11)</f>
        <v>607264</v>
      </c>
      <c r="E11" s="36">
        <f t="shared" si="0"/>
        <v>-606.77599999995437</v>
      </c>
      <c r="F11" s="37">
        <f t="shared" si="1"/>
        <v>-9.9919639563674834E-4</v>
      </c>
      <c r="G11" s="38">
        <f>SUM(Jul!G11,Aug!G11,Sep!G11)</f>
        <v>628020</v>
      </c>
      <c r="H11" s="38">
        <f>SUM(Jul!H11, Aug!H11, Sep!H11)</f>
        <v>-21362.775999999954</v>
      </c>
      <c r="I11" s="37">
        <f t="shared" si="2"/>
        <v>-3.4016075921148935E-2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SUM(Jul!C12, Aug!C12, Sep!C12)</f>
        <v>345245.48499999999</v>
      </c>
      <c r="D12" s="29">
        <f>SUM(Jul!D12, Aug!D12, Sep!D12)</f>
        <v>407692.79999999999</v>
      </c>
      <c r="E12" s="29">
        <f t="shared" si="0"/>
        <v>-62447.315000000002</v>
      </c>
      <c r="F12" s="30">
        <f t="shared" si="1"/>
        <v>-0.15317247447097423</v>
      </c>
      <c r="G12" s="31">
        <f>SUM(Jul!G12,Aug!G12,Sep!G12)</f>
        <v>731514</v>
      </c>
      <c r="H12" s="31">
        <f>SUM(Jul!H12, Aug!H12, Sep!H12)</f>
        <v>-386268.51500000001</v>
      </c>
      <c r="I12" s="32">
        <f t="shared" si="2"/>
        <v>-0.52803981195165095</v>
      </c>
    </row>
    <row r="13" spans="1:9" ht="15.6">
      <c r="A13" s="48" t="str">
        <v>Willamina - Waterford - OR-23-C006</v>
      </c>
      <c r="B13" s="34" t="str">
        <v>OR</v>
      </c>
      <c r="C13" s="35">
        <f>SUM(Jul!C13, Aug!C13, Sep!C13)</f>
        <v>446366.5</v>
      </c>
      <c r="D13" s="36">
        <f>SUM(Jul!D13, Aug!D13, Sep!D13)</f>
        <v>465402.72399999999</v>
      </c>
      <c r="E13" s="36">
        <f t="shared" si="0"/>
        <v>-19036.223999999987</v>
      </c>
      <c r="F13" s="37">
        <f t="shared" si="1"/>
        <v>-4.0902691407538876E-2</v>
      </c>
      <c r="G13" s="38">
        <f>SUM(Jul!G13,Aug!G13,Sep!G13)</f>
        <v>547504.72</v>
      </c>
      <c r="H13" s="38">
        <f>SUM(Jul!H13, Aug!H13, Sep!H13)</f>
        <v>-101138.21999999997</v>
      </c>
      <c r="I13" s="37">
        <f t="shared" si="2"/>
        <v>-0.18472574994421961</v>
      </c>
    </row>
    <row r="14" spans="1:9" ht="15.6">
      <c r="A14" s="47" t="str">
        <v>OR-23-C005  Solops  SPI - Belvedere Solar</v>
      </c>
      <c r="B14" s="27" t="str">
        <v>OR</v>
      </c>
      <c r="C14" s="28">
        <f>SUM(Jul!C14, Aug!C14, Sep!C14)</f>
        <v>828134.53700000001</v>
      </c>
      <c r="D14" s="29">
        <f>SUM(Jul!D14, Aug!D14, Sep!D14)</f>
        <v>805271.2</v>
      </c>
      <c r="E14" s="29">
        <f t="shared" si="0"/>
        <v>22863.337000000058</v>
      </c>
      <c r="F14" s="30">
        <f t="shared" si="1"/>
        <v>2.8392095731227019E-2</v>
      </c>
      <c r="G14" s="31">
        <f>SUM(Jul!G14,Aug!G14,Sep!G14)</f>
        <v>823154</v>
      </c>
      <c r="H14" s="31">
        <f>SUM(Jul!H14, Aug!H14, Sep!H14)</f>
        <v>4980.5370000000112</v>
      </c>
      <c r="I14" s="32">
        <f t="shared" si="2"/>
        <v>6.0505531164278025E-3</v>
      </c>
    </row>
    <row r="15" spans="1:9" ht="15.6">
      <c r="A15" s="48" t="str">
        <v>OR-23-C002  SPI - Cork Solar</v>
      </c>
      <c r="B15" s="34" t="str">
        <v>OR</v>
      </c>
      <c r="C15" s="35">
        <f>SUM(Jul!C15, Aug!C15, Sep!C15)</f>
        <v>348509.97700000001</v>
      </c>
      <c r="D15" s="36">
        <f>SUM(Jul!D15, Aug!D15, Sep!D15)</f>
        <v>326165.42</v>
      </c>
      <c r="E15" s="36">
        <f t="shared" si="0"/>
        <v>22344.55700000003</v>
      </c>
      <c r="F15" s="37">
        <f t="shared" si="1"/>
        <v>6.8506823930016961E-2</v>
      </c>
      <c r="G15" s="38">
        <f>SUM(Jul!G15,Aug!G15,Sep!G15)</f>
        <v>319732.04300000001</v>
      </c>
      <c r="H15" s="38">
        <f>SUM(Jul!H15, Aug!H15, Sep!H15)</f>
        <v>28777.934000000008</v>
      </c>
      <c r="I15" s="37">
        <f t="shared" si="2"/>
        <v>9.0006412025459726E-2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1" sqref="F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2" t="str" cm="1">
        <f t="array" ref="A1">portfolio</f>
        <v>Luminace</v>
      </c>
      <c r="B1" s="112"/>
      <c r="C1" s="112"/>
      <c r="D1" s="113" t="s">
        <v>16</v>
      </c>
      <c r="E1" s="113"/>
      <c r="F1" s="113"/>
      <c r="G1" s="111" t="s">
        <v>17</v>
      </c>
      <c r="H1" s="111"/>
      <c r="I1" s="111"/>
    </row>
    <row r="2" spans="1:9" ht="19.5" customHeight="1">
      <c r="A2" s="114" t="s">
        <v>2</v>
      </c>
      <c r="B2" s="114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SUM(Oct!C4, Nov!C4, Dec!C4)</f>
        <v>0</v>
      </c>
      <c r="D4" s="29">
        <f>SUM(Oct!D4, Nov!D4, Dec!D4)</f>
        <v>0</v>
      </c>
      <c r="E4" s="29">
        <f>IF(AND(ISNUMBER(C4),ISNUMBER(D4)), C4-D4, "")</f>
        <v>0</v>
      </c>
      <c r="F4" s="30" t="str">
        <f>IFERROR(E4/D4, "")</f>
        <v/>
      </c>
      <c r="G4" s="31">
        <f>SUM(Oct!G4,Nov!G4,Dec!G4)</f>
        <v>0</v>
      </c>
      <c r="H4" s="31">
        <f>SUM(Oct!H4, Nov!H4, Dec!H4)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SUM(Oct!C5, Nov!C5, Dec!C5)</f>
        <v>0</v>
      </c>
      <c r="D5" s="36">
        <f>SUM(Oct!D5, Nov!D5, Dec!D5)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6">
        <f>SUM(Oct!G5,Nov!G5,Dec!G5)</f>
        <v>0</v>
      </c>
      <c r="H5" s="38">
        <f>SUM(Oct!H5, Nov!H5, Dec!H5)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SUM(Oct!C6, Nov!C6, Dec!C6)</f>
        <v>0</v>
      </c>
      <c r="D6" s="29">
        <f>SUM(Oct!D6, Nov!D6, Dec!D6)</f>
        <v>0</v>
      </c>
      <c r="E6" s="29">
        <f t="shared" si="0"/>
        <v>0</v>
      </c>
      <c r="F6" s="30" t="str">
        <f t="shared" ref="F6:F15" si="1">IFERROR(E6/D6, "")</f>
        <v/>
      </c>
      <c r="G6" s="31">
        <f>SUM(Oct!G6,Nov!G6,Dec!G6)</f>
        <v>0</v>
      </c>
      <c r="H6" s="31">
        <f>SUM(Oct!H6, Nov!H6, Dec!H6)</f>
        <v>0</v>
      </c>
      <c r="I6" s="32" t="str">
        <f t="shared" ref="I6:I15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SUM(Oct!C7, Nov!C7, Dec!C7)</f>
        <v>0</v>
      </c>
      <c r="D7" s="36">
        <f>SUM(Oct!D7, Nov!D7, Dec!D7)</f>
        <v>0</v>
      </c>
      <c r="E7" s="36">
        <f t="shared" si="0"/>
        <v>0</v>
      </c>
      <c r="F7" s="37" t="str">
        <f t="shared" si="1"/>
        <v/>
      </c>
      <c r="G7" s="36">
        <f>SUM(Oct!G7,Nov!G7,Dec!G7)</f>
        <v>0</v>
      </c>
      <c r="H7" s="38">
        <f>SUM(Oct!H7, Nov!H7, Dec!H7)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SUM(Oct!C8, Nov!C8, Dec!C8)</f>
        <v>0</v>
      </c>
      <c r="D8" s="29">
        <f>SUM(Oct!D8, Nov!D8, Dec!D8)</f>
        <v>0</v>
      </c>
      <c r="E8" s="29">
        <f t="shared" si="0"/>
        <v>0</v>
      </c>
      <c r="F8" s="30" t="str">
        <f t="shared" si="1"/>
        <v/>
      </c>
      <c r="G8" s="31">
        <f>SUM(Oct!G8,Nov!G8,Dec!G8)</f>
        <v>0</v>
      </c>
      <c r="H8" s="31">
        <f>SUM(Oct!H8, Nov!H8, Dec!H8)</f>
        <v>0</v>
      </c>
      <c r="I8" s="32" t="str">
        <f t="shared" si="2"/>
        <v/>
      </c>
    </row>
    <row r="9" spans="1:9" ht="15.6">
      <c r="A9" s="48" t="str">
        <v>Lakewood Twp - Emergency Services Dev  - NJ-23-0008</v>
      </c>
      <c r="B9" s="34" t="str">
        <v>NJ</v>
      </c>
      <c r="C9" s="35"/>
      <c r="D9" s="29">
        <f>SUM(Oct!D9, Nov!D9, Dec!D9)</f>
        <v>0</v>
      </c>
      <c r="E9" s="29" t="str">
        <f t="shared" si="0"/>
        <v/>
      </c>
      <c r="F9" s="30" t="str">
        <f t="shared" si="1"/>
        <v/>
      </c>
      <c r="G9" s="31">
        <f>SUM(Oct!G9,Nov!G9,Dec!G9)</f>
        <v>0</v>
      </c>
      <c r="H9" s="31">
        <f>SUM(Oct!H9, Nov!H9, Dec!H9)</f>
        <v>0</v>
      </c>
      <c r="I9" s="32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/>
      <c r="D10" s="29">
        <f>SUM(Oct!D10, Nov!D10, Dec!D10)</f>
        <v>0</v>
      </c>
      <c r="E10" s="29" t="str">
        <f t="shared" si="0"/>
        <v/>
      </c>
      <c r="F10" s="30" t="str">
        <f t="shared" si="1"/>
        <v/>
      </c>
      <c r="G10" s="31">
        <f>SUM(Oct!G10,Nov!G10,Dec!G10)</f>
        <v>0</v>
      </c>
      <c r="H10" s="31">
        <f>SUM(Oct!H10, Nov!H10, Dec!H10)</f>
        <v>0</v>
      </c>
      <c r="I10" s="32" t="str">
        <f t="shared" si="2"/>
        <v/>
      </c>
    </row>
    <row r="11" spans="1:9" ht="15.6">
      <c r="A11" s="47" t="str">
        <v>Canby - Dover - OR-23-C003</v>
      </c>
      <c r="B11" s="27" t="str">
        <v>OR</v>
      </c>
      <c r="C11" s="28"/>
      <c r="D11" s="29">
        <f>SUM(Oct!D11, Nov!D11, Dec!D11)</f>
        <v>0</v>
      </c>
      <c r="E11" s="29" t="str">
        <f t="shared" si="0"/>
        <v/>
      </c>
      <c r="F11" s="30" t="str">
        <f t="shared" si="1"/>
        <v/>
      </c>
      <c r="G11" s="31">
        <f>SUM(Oct!G11,Nov!G11,Dec!G11)</f>
        <v>0</v>
      </c>
      <c r="H11" s="31">
        <f>SUM(Oct!H11, Nov!H11, Dec!H11)</f>
        <v>0</v>
      </c>
      <c r="I11" s="32" t="str">
        <f t="shared" si="2"/>
        <v/>
      </c>
    </row>
    <row r="12" spans="1:9" ht="15.6">
      <c r="A12" s="48" t="str">
        <v xml:space="preserve"> Estacada - Clayfield - OR-23-C001</v>
      </c>
      <c r="B12" s="34" t="str">
        <v>OR</v>
      </c>
      <c r="C12" s="35"/>
      <c r="D12" s="36">
        <f>SUM(Oct!D12, Nov!D12, Dec!D12)</f>
        <v>0</v>
      </c>
      <c r="E12" s="36" t="str">
        <f t="shared" si="0"/>
        <v/>
      </c>
      <c r="F12" s="37" t="str">
        <f t="shared" si="1"/>
        <v/>
      </c>
      <c r="G12" s="36">
        <f>SUM(Oct!G12,Nov!G12,Dec!G12)</f>
        <v>0</v>
      </c>
      <c r="H12" s="38">
        <f>SUM(Oct!H12, Nov!H12, Dec!H12)</f>
        <v>0</v>
      </c>
      <c r="I12" s="37" t="str">
        <f t="shared" si="2"/>
        <v/>
      </c>
    </row>
    <row r="13" spans="1:9" ht="15.6">
      <c r="A13" s="47" t="str">
        <v>Willamina - Waterford - OR-23-C006</v>
      </c>
      <c r="B13" s="27" t="str">
        <v>OR</v>
      </c>
      <c r="C13" s="28"/>
      <c r="D13" s="29">
        <f>SUM(Oct!D13, Nov!D13, Dec!D13)</f>
        <v>0</v>
      </c>
      <c r="E13" s="29" t="str">
        <f t="shared" si="0"/>
        <v/>
      </c>
      <c r="F13" s="30" t="str">
        <f t="shared" si="1"/>
        <v/>
      </c>
      <c r="G13" s="31">
        <f>SUM(Oct!G13,Nov!G13,Dec!G13)</f>
        <v>0</v>
      </c>
      <c r="H13" s="31">
        <f>SUM(Oct!H13, Nov!H13, Dec!H13)</f>
        <v>0</v>
      </c>
      <c r="I13" s="32" t="str">
        <f t="shared" si="2"/>
        <v/>
      </c>
    </row>
    <row r="14" spans="1:9" ht="15.6">
      <c r="A14" s="48" t="str">
        <v>OR-23-C005  Solops  SPI - Belvedere Solar</v>
      </c>
      <c r="B14" s="34" t="str">
        <v>OR</v>
      </c>
      <c r="C14" s="35"/>
      <c r="D14" s="36">
        <f>SUM(Oct!D14, Nov!D14, Dec!D14)</f>
        <v>0</v>
      </c>
      <c r="E14" s="36" t="str">
        <f t="shared" si="0"/>
        <v/>
      </c>
      <c r="F14" s="37" t="str">
        <f t="shared" si="1"/>
        <v/>
      </c>
      <c r="G14" s="36">
        <f>SUM(Oct!G14,Nov!G14,Dec!G14)</f>
        <v>0</v>
      </c>
      <c r="H14" s="38">
        <f>SUM(Oct!H14, Nov!H14, Dec!H14)</f>
        <v>0</v>
      </c>
      <c r="I14" s="37" t="str">
        <f t="shared" si="2"/>
        <v/>
      </c>
    </row>
    <row r="15" spans="1:9" ht="15.6">
      <c r="A15" s="47" t="str">
        <v>OR-23-C002  SPI - Cork Solar</v>
      </c>
      <c r="B15" s="27" t="str">
        <v>OR</v>
      </c>
      <c r="C15" s="28"/>
      <c r="D15" s="29">
        <f>SUM(Oct!D15, Nov!D15, Dec!D15)</f>
        <v>0</v>
      </c>
      <c r="E15" s="29" t="str">
        <f t="shared" si="0"/>
        <v/>
      </c>
      <c r="F15" s="30" t="str">
        <f t="shared" si="1"/>
        <v/>
      </c>
      <c r="G15" s="31">
        <f>SUM(Oct!G15,Nov!G15,Dec!G15)</f>
        <v>0</v>
      </c>
      <c r="H15" s="31">
        <f>SUM(Oct!H15, Nov!H15, Dec!H15)</f>
        <v>0</v>
      </c>
      <c r="I15" s="32" t="str">
        <f t="shared" si="2"/>
        <v/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E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4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112" t="str" cm="1">
        <f t="array" ref="A1">portfolio</f>
        <v>Luminace</v>
      </c>
      <c r="B1" s="112"/>
      <c r="C1" s="112"/>
      <c r="D1" s="113" t="s">
        <v>18</v>
      </c>
      <c r="E1" s="113"/>
      <c r="F1" s="113"/>
      <c r="G1" s="111" t="s">
        <v>19</v>
      </c>
      <c r="H1" s="111"/>
      <c r="I1" s="111"/>
      <c r="J1" s="4"/>
      <c r="K1" s="4"/>
    </row>
    <row r="2" spans="1:12" ht="15.6">
      <c r="A2" s="114" t="s">
        <v>2</v>
      </c>
      <c r="B2" s="114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1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5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55.5" customHeight="1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9">
        <v>14808.791999999999</v>
      </c>
      <c r="D4" s="29" t="s">
        <v>22</v>
      </c>
      <c r="E4" s="29" t="str">
        <f>IF(AND(ISNUMBER(C4),ISNUMBER(D4)), C4-D4, "")</f>
        <v/>
      </c>
      <c r="F4" s="32" t="str">
        <f>IFERROR(E4/D4, "")</f>
        <v/>
      </c>
      <c r="G4" s="71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23</v>
      </c>
      <c r="K4" s="63" t="s">
        <v>24</v>
      </c>
      <c r="L4" s="65" t="s">
        <v>25</v>
      </c>
    </row>
    <row r="5" spans="1:12" ht="15.6">
      <c r="A5" s="45" t="str">
        <v>Berkeley - NJ-22-C893 Berkeley I</v>
      </c>
      <c r="B5" s="42" t="str">
        <v>NJ</v>
      </c>
      <c r="C5" s="36">
        <v>0</v>
      </c>
      <c r="D5" s="36">
        <v>31205.78</v>
      </c>
      <c r="E5" s="36">
        <f t="shared" ref="E5:E8" si="0">IF(AND(ISNUMBER(C5),ISNUMBER(D5)), C5-D5, "")</f>
        <v>-31205.78</v>
      </c>
      <c r="F5" s="37">
        <f t="shared" ref="F5:F8" si="1">IFERROR(E5/D5, "")</f>
        <v>-1</v>
      </c>
      <c r="G5" s="38">
        <v>412354</v>
      </c>
      <c r="H5" s="38">
        <f t="shared" ref="H5:H6" si="2">IF(AND(ISNUMBER(C5),ISNUMBER(G5)), C5-G5, "")</f>
        <v>-412354</v>
      </c>
      <c r="I5" s="37">
        <f t="shared" ref="I5:I6" si="3">IFERROR(H5/G5, "")</f>
        <v>-1</v>
      </c>
      <c r="J5" s="62" t="s">
        <v>26</v>
      </c>
      <c r="K5" s="64" t="s">
        <v>27</v>
      </c>
    </row>
    <row r="6" spans="1:12" ht="15.6">
      <c r="A6" s="46" t="str">
        <v>Berkeley - NJ-22-C894 Berkeley II</v>
      </c>
      <c r="B6" s="40" t="str">
        <v>NJ</v>
      </c>
      <c r="C6" s="29">
        <v>109808.105457546</v>
      </c>
      <c r="D6" s="29">
        <v>271422.90000000002</v>
      </c>
      <c r="E6" s="29">
        <f t="shared" si="0"/>
        <v>-161614.79454245401</v>
      </c>
      <c r="F6" s="32">
        <f t="shared" si="1"/>
        <v>-0.59543536872700864</v>
      </c>
      <c r="G6" s="31">
        <v>406892</v>
      </c>
      <c r="H6" s="31">
        <f t="shared" si="2"/>
        <v>-297083.89454245399</v>
      </c>
      <c r="I6" s="32">
        <f t="shared" si="3"/>
        <v>-0.73012960329142373</v>
      </c>
      <c r="J6" s="49" t="s">
        <v>26</v>
      </c>
      <c r="K6" s="63" t="s">
        <v>27</v>
      </c>
    </row>
    <row r="7" spans="1:12" ht="15.6">
      <c r="A7" s="45" t="str">
        <v xml:space="preserve"> BEMS Landfill East</v>
      </c>
      <c r="B7" s="42" t="str">
        <v>NJ</v>
      </c>
      <c r="C7" s="36">
        <v>0</v>
      </c>
      <c r="D7" s="36">
        <v>0</v>
      </c>
      <c r="E7" s="36">
        <f t="shared" si="0"/>
        <v>0</v>
      </c>
      <c r="F7" s="37" t="str">
        <f t="shared" si="1"/>
        <v/>
      </c>
      <c r="G7" s="38">
        <v>435058</v>
      </c>
      <c r="H7" s="38">
        <f t="shared" ref="H7:H8" si="4">IF(AND(ISNUMBER(C7),ISNUMBER(G7)), C7-G7, "")</f>
        <v>-435058</v>
      </c>
      <c r="I7" s="37">
        <f t="shared" ref="I7:I8" si="5">IFERROR(H7/G7, "")</f>
        <v>-1</v>
      </c>
      <c r="J7" s="50" t="s">
        <v>28</v>
      </c>
      <c r="K7" s="64" t="s">
        <v>29</v>
      </c>
    </row>
    <row r="8" spans="1:12" ht="15.6">
      <c r="A8" s="46" t="str">
        <v>Southampton - BEMS West NJ-22-C898</v>
      </c>
      <c r="B8" s="40" t="str">
        <v>NJ</v>
      </c>
      <c r="C8" s="29">
        <v>267152</v>
      </c>
      <c r="D8" s="29">
        <v>357614.2</v>
      </c>
      <c r="E8" s="29">
        <f t="shared" si="0"/>
        <v>-90462.200000000012</v>
      </c>
      <c r="F8" s="32">
        <f t="shared" si="1"/>
        <v>-0.25296031309718686</v>
      </c>
      <c r="G8" s="31">
        <v>362238</v>
      </c>
      <c r="H8" s="31">
        <f t="shared" si="4"/>
        <v>-95086</v>
      </c>
      <c r="I8" s="32">
        <f t="shared" si="5"/>
        <v>-0.26249592809147576</v>
      </c>
      <c r="J8" s="49" t="s">
        <v>30</v>
      </c>
      <c r="K8" s="63" t="s">
        <v>31</v>
      </c>
    </row>
    <row r="9" spans="1:12" ht="15.6">
      <c r="A9" s="45" t="str">
        <v>Lakewood Twp - Emergency Services Dev  - NJ-23-0008</v>
      </c>
      <c r="B9" s="42" t="str">
        <v>NJ</v>
      </c>
      <c r="C9" s="36"/>
      <c r="D9" s="36"/>
      <c r="E9" s="36"/>
      <c r="F9" s="37"/>
      <c r="G9" s="38"/>
      <c r="H9" s="38"/>
      <c r="I9" s="37"/>
      <c r="J9" s="50"/>
      <c r="K9" s="64"/>
    </row>
    <row r="10" spans="1:12" ht="15.6">
      <c r="A10" s="46" t="str">
        <v>Lakewood Township - Public Works</v>
      </c>
      <c r="B10" s="40" t="str">
        <v>NJ</v>
      </c>
      <c r="C10" s="29"/>
      <c r="D10" s="29"/>
      <c r="E10" s="29"/>
      <c r="F10" s="32"/>
      <c r="G10" s="31"/>
      <c r="H10" s="31"/>
      <c r="I10" s="32"/>
      <c r="J10" s="49"/>
      <c r="K10" s="63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9"/>
      <c r="G12" s="8"/>
      <c r="H12" s="8"/>
      <c r="I12" s="9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J6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112" t="str" cm="1">
        <f t="array" ref="A1">portfolio</f>
        <v>Luminace</v>
      </c>
      <c r="B1" s="112"/>
      <c r="C1" s="112"/>
      <c r="D1" s="113" t="s">
        <v>32</v>
      </c>
      <c r="E1" s="113"/>
      <c r="F1" s="113"/>
      <c r="G1" s="111" t="s">
        <v>33</v>
      </c>
      <c r="H1" s="111"/>
      <c r="I1" s="111"/>
      <c r="J1" s="4"/>
      <c r="K1" s="4"/>
    </row>
    <row r="2" spans="1:13" ht="19.5" customHeight="1">
      <c r="A2" s="114" t="s">
        <v>2</v>
      </c>
      <c r="B2" s="114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103.5" customHeight="1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27512.156999999999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1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34</v>
      </c>
      <c r="K4" s="63" t="s">
        <v>35</v>
      </c>
      <c r="L4" s="70" t="s">
        <v>36</v>
      </c>
      <c r="M4" s="70" t="s">
        <v>37</v>
      </c>
    </row>
    <row r="5" spans="1:13" ht="28.9">
      <c r="A5" s="45" t="str">
        <v>Berkeley - NJ-22-C893 Berkeley I</v>
      </c>
      <c r="B5" s="42" t="str">
        <v>NJ</v>
      </c>
      <c r="C5" s="35">
        <v>0</v>
      </c>
      <c r="D5" s="36">
        <v>836.67619999999999</v>
      </c>
      <c r="E5" s="36">
        <f t="shared" ref="E5:E10" si="0">IF(AND(ISNUMBER(C5),ISNUMBER(D5)), C5-D5, "")</f>
        <v>-836.67619999999999</v>
      </c>
      <c r="F5" s="37">
        <f>IFERROR(E5/D5, "")</f>
        <v>-1</v>
      </c>
      <c r="G5" s="38">
        <v>461858.4</v>
      </c>
      <c r="H5" s="38">
        <f t="shared" ref="H5:H10" si="1">IF(AND(ISNUMBER(C5),ISNUMBER(G5)), C5-G5, "")</f>
        <v>-461858.4</v>
      </c>
      <c r="I5" s="37">
        <f t="shared" ref="I5:I10" si="2">IFERROR(H5/G5, "")</f>
        <v>-1</v>
      </c>
      <c r="J5" s="50" t="s">
        <v>26</v>
      </c>
      <c r="K5" s="64" t="s">
        <v>38</v>
      </c>
    </row>
    <row r="6" spans="1:13" ht="28.9">
      <c r="A6" s="44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456469</v>
      </c>
      <c r="H6" s="31">
        <f t="shared" si="1"/>
        <v>-456469</v>
      </c>
      <c r="I6" s="32">
        <f t="shared" si="2"/>
        <v>-1</v>
      </c>
      <c r="J6" s="49" t="s">
        <v>26</v>
      </c>
      <c r="K6" s="63" t="s">
        <v>39</v>
      </c>
    </row>
    <row r="7" spans="1:13" ht="36.75" customHeight="1">
      <c r="A7" s="45" t="str">
        <v xml:space="preserve"> BEMS Landfill East</v>
      </c>
      <c r="B7" s="42" t="str">
        <v>NJ</v>
      </c>
      <c r="C7" s="35">
        <v>0</v>
      </c>
      <c r="D7" s="36" t="s">
        <v>22</v>
      </c>
      <c r="E7" s="36" t="str">
        <f>IF(AND(ISNUMBER(C7),ISNUMBER(D7)), C7-D7, "")</f>
        <v/>
      </c>
      <c r="F7" s="37" t="str">
        <f t="shared" si="3"/>
        <v/>
      </c>
      <c r="G7" s="38">
        <v>498875</v>
      </c>
      <c r="H7" s="38">
        <f t="shared" si="1"/>
        <v>-498875</v>
      </c>
      <c r="I7" s="37">
        <f t="shared" si="2"/>
        <v>-1</v>
      </c>
      <c r="J7" s="50" t="s">
        <v>40</v>
      </c>
      <c r="K7" s="69" t="s">
        <v>29</v>
      </c>
    </row>
    <row r="8" spans="1:13" ht="28.9">
      <c r="A8" s="46" t="str">
        <v>Southampton - BEMS West NJ-22-C898</v>
      </c>
      <c r="B8" s="40" t="str">
        <v>NJ</v>
      </c>
      <c r="C8" s="28">
        <v>306069</v>
      </c>
      <c r="D8" s="29">
        <v>396317.8</v>
      </c>
      <c r="E8" s="29">
        <f t="shared" si="0"/>
        <v>-90248.799999999988</v>
      </c>
      <c r="F8" s="30">
        <f t="shared" si="3"/>
        <v>-0.22771826044654062</v>
      </c>
      <c r="G8" s="31">
        <v>403220</v>
      </c>
      <c r="H8" s="31">
        <f t="shared" si="1"/>
        <v>-97151</v>
      </c>
      <c r="I8" s="32">
        <f t="shared" si="2"/>
        <v>-0.2409379495064729</v>
      </c>
      <c r="J8" s="49" t="s">
        <v>41</v>
      </c>
      <c r="K8" s="63" t="s">
        <v>42</v>
      </c>
    </row>
    <row r="9" spans="1:13" ht="15.6">
      <c r="A9" s="45" t="str">
        <v>Lakewood Twp - Emergency Services Dev  - NJ-23-0008</v>
      </c>
      <c r="B9" s="41" t="str">
        <v>NJ</v>
      </c>
      <c r="C9" s="35">
        <v>4807.5</v>
      </c>
      <c r="D9" s="36" t="s">
        <v>22</v>
      </c>
      <c r="E9" s="36" t="str">
        <f>IF(AND(ISNUMBER(C9),ISNUMBER(D9)), C9-D9, "")</f>
        <v/>
      </c>
      <c r="F9" s="37" t="str">
        <f t="shared" si="3"/>
        <v/>
      </c>
      <c r="G9" s="72" t="s">
        <v>22</v>
      </c>
      <c r="H9" s="38" t="str">
        <f t="shared" si="1"/>
        <v/>
      </c>
      <c r="I9" s="37" t="str">
        <f t="shared" si="2"/>
        <v/>
      </c>
      <c r="J9" s="77" t="s">
        <v>43</v>
      </c>
      <c r="K9" s="45"/>
    </row>
    <row r="10" spans="1:13" ht="15.6">
      <c r="A10" s="46" t="str">
        <v>Lakewood Township - Public Works</v>
      </c>
      <c r="B10" s="40" t="str">
        <v>NJ</v>
      </c>
      <c r="C10" s="28">
        <v>93300.467000000004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31343</v>
      </c>
      <c r="H10" s="31">
        <f t="shared" si="1"/>
        <v>61957.467000000004</v>
      </c>
      <c r="I10" s="32">
        <f t="shared" si="2"/>
        <v>1.9767561177934467</v>
      </c>
      <c r="J10" s="49" t="s">
        <v>44</v>
      </c>
      <c r="K10" s="49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36"/>
      <c r="G12" s="8"/>
      <c r="H12" s="8"/>
      <c r="I12" s="8"/>
      <c r="J12" s="8"/>
      <c r="K12" s="8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68"/>
      <c r="I13" s="8"/>
      <c r="J13" s="8"/>
      <c r="K13" s="8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3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zoomScale="70" zoomScaleNormal="70" workbookViewId="0">
      <pane xSplit="2" ySplit="3" topLeftCell="J5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112" t="str" cm="1">
        <f t="array" ref="A1">portfolio</f>
        <v>Luminace</v>
      </c>
      <c r="B1" s="112"/>
      <c r="C1" s="112"/>
      <c r="D1" s="113" t="s">
        <v>45</v>
      </c>
      <c r="E1" s="113"/>
      <c r="F1" s="113"/>
      <c r="G1" s="111" t="s">
        <v>46</v>
      </c>
      <c r="H1" s="111"/>
      <c r="I1" s="111"/>
      <c r="J1" s="4"/>
      <c r="K1" s="4"/>
    </row>
    <row r="2" spans="1:13" ht="19.5" customHeight="1">
      <c r="A2" s="114" t="s">
        <v>2</v>
      </c>
      <c r="B2" s="114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1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28.9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73571.301430217602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1" t="s">
        <v>22</v>
      </c>
      <c r="H4" s="31" t="str">
        <f>IF(AND(ISNUMBER(C4),ISNUMBER(G4)), C4-G4, "")</f>
        <v/>
      </c>
      <c r="I4" s="32" t="str">
        <f>IFERROR(H4/G4, "")</f>
        <v/>
      </c>
      <c r="J4" s="53" t="s">
        <v>47</v>
      </c>
      <c r="K4" s="73" t="s">
        <v>48</v>
      </c>
      <c r="L4" s="74" t="s">
        <v>37</v>
      </c>
      <c r="M4" s="52"/>
    </row>
    <row r="5" spans="1:13" ht="43.15">
      <c r="A5" s="45" t="str">
        <v>Berkeley - NJ-22-C893 Berkeley I</v>
      </c>
      <c r="B5" s="42" t="str">
        <v>NJ</v>
      </c>
      <c r="C5" s="35">
        <v>0</v>
      </c>
      <c r="D5" s="36" t="s">
        <v>22</v>
      </c>
      <c r="E5" s="36" t="str">
        <f t="shared" ref="E5:E10" si="0">IF(AND(ISNUMBER(C5),ISNUMBER(D5)), C5-D5, "")</f>
        <v/>
      </c>
      <c r="F5" s="37" t="str">
        <f>IFERROR(E5/D5, "")</f>
        <v/>
      </c>
      <c r="G5" s="38">
        <v>621367.81000000006</v>
      </c>
      <c r="H5" s="38">
        <f t="shared" ref="H5:H10" si="1">IF(AND(ISNUMBER(C5),ISNUMBER(G5)), C5-G5, "")</f>
        <v>-621367.81000000006</v>
      </c>
      <c r="I5" s="37">
        <f t="shared" ref="I5:I10" si="2">IFERROR(H5/G5, "")</f>
        <v>-1</v>
      </c>
      <c r="J5" s="54" t="s">
        <v>49</v>
      </c>
      <c r="K5" s="75" t="s">
        <v>50</v>
      </c>
      <c r="L5" s="74" t="s">
        <v>51</v>
      </c>
      <c r="M5" s="52"/>
    </row>
    <row r="6" spans="1:13" ht="43.15">
      <c r="A6" s="46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616934</v>
      </c>
      <c r="H6" s="31">
        <f t="shared" si="1"/>
        <v>-616934</v>
      </c>
      <c r="I6" s="32">
        <f t="shared" si="2"/>
        <v>-1</v>
      </c>
      <c r="J6" s="53" t="s">
        <v>49</v>
      </c>
      <c r="K6" s="73" t="s">
        <v>52</v>
      </c>
      <c r="L6" s="74" t="s">
        <v>53</v>
      </c>
      <c r="M6" s="52"/>
    </row>
    <row r="7" spans="1:13" ht="86.45">
      <c r="A7" s="45" t="str">
        <v xml:space="preserve"> BEMS Landfill East</v>
      </c>
      <c r="B7" s="42" t="str">
        <v>NJ</v>
      </c>
      <c r="C7" s="35">
        <v>0</v>
      </c>
      <c r="D7" s="36">
        <v>13254.93</v>
      </c>
      <c r="E7" s="36">
        <f t="shared" si="0"/>
        <v>-13254.93</v>
      </c>
      <c r="F7" s="37">
        <f t="shared" si="3"/>
        <v>-1</v>
      </c>
      <c r="G7" s="38">
        <v>620135.30000000005</v>
      </c>
      <c r="H7" s="38">
        <f t="shared" si="1"/>
        <v>-620135.30000000005</v>
      </c>
      <c r="I7" s="37">
        <f t="shared" si="2"/>
        <v>-1</v>
      </c>
      <c r="J7" s="59" t="s">
        <v>54</v>
      </c>
      <c r="K7" s="75" t="s">
        <v>55</v>
      </c>
      <c r="L7" s="74" t="s">
        <v>56</v>
      </c>
      <c r="M7" s="52"/>
    </row>
    <row r="8" spans="1:13" ht="15.6">
      <c r="A8" s="46" t="str">
        <v>Southampton - BEMS West NJ-22-C898</v>
      </c>
      <c r="B8" s="40" t="str">
        <v>NJ</v>
      </c>
      <c r="C8" s="28">
        <v>469935</v>
      </c>
      <c r="D8" s="29">
        <v>552823.19999999995</v>
      </c>
      <c r="E8" s="29">
        <f t="shared" si="0"/>
        <v>-82888.199999999953</v>
      </c>
      <c r="F8" s="30">
        <f t="shared" si="3"/>
        <v>-0.14993618212839108</v>
      </c>
      <c r="G8" s="31">
        <v>587503</v>
      </c>
      <c r="H8" s="31">
        <f t="shared" si="1"/>
        <v>-117568</v>
      </c>
      <c r="I8" s="32">
        <f t="shared" si="2"/>
        <v>-0.20011472281843667</v>
      </c>
      <c r="J8" s="53" t="s">
        <v>57</v>
      </c>
      <c r="K8" s="76" t="s">
        <v>42</v>
      </c>
      <c r="M8" s="52"/>
    </row>
    <row r="9" spans="1:13" ht="15.6">
      <c r="A9" s="45" t="str">
        <v>Lakewood Twp - Emergency Services Dev  - NJ-23-0008</v>
      </c>
      <c r="B9" s="42" t="str">
        <v>NJ</v>
      </c>
      <c r="C9" s="35">
        <v>8438.8580957031209</v>
      </c>
      <c r="D9" s="36" t="s">
        <v>22</v>
      </c>
      <c r="E9" s="36" t="str">
        <f t="shared" si="0"/>
        <v/>
      </c>
      <c r="F9" s="37" t="str">
        <f t="shared" si="3"/>
        <v/>
      </c>
      <c r="G9" s="72" t="s">
        <v>22</v>
      </c>
      <c r="H9" s="38" t="str">
        <f t="shared" si="1"/>
        <v/>
      </c>
      <c r="I9" s="37" t="str">
        <f t="shared" si="2"/>
        <v/>
      </c>
      <c r="J9" s="54"/>
      <c r="K9" s="55"/>
      <c r="M9" s="52"/>
    </row>
    <row r="10" spans="1:13" ht="15.6">
      <c r="A10" s="46" t="str">
        <v>Lakewood Township - Public Works</v>
      </c>
      <c r="B10" s="40" t="str">
        <v>NJ</v>
      </c>
      <c r="C10" s="28">
        <v>151310.19543027601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68115</v>
      </c>
      <c r="H10" s="31">
        <f t="shared" si="1"/>
        <v>83195.195430276013</v>
      </c>
      <c r="I10" s="32">
        <f t="shared" si="2"/>
        <v>1.2213931649456951</v>
      </c>
      <c r="J10" s="53" t="s">
        <v>58</v>
      </c>
      <c r="K10" s="53"/>
      <c r="M10" s="52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  <c r="M11" s="52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  <c r="M12" s="52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  <c r="M13" s="52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  <c r="M14" s="52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  <c r="M15" s="52"/>
    </row>
    <row r="16" spans="1:13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  <c r="M16" s="52"/>
    </row>
    <row r="17" spans="1:13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  <c r="M17" s="52"/>
    </row>
    <row r="18" spans="1:13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  <c r="M18" s="52"/>
    </row>
    <row r="19" spans="1:13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  <c r="M19" s="52"/>
    </row>
    <row r="20" spans="1:13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M20" s="52"/>
    </row>
    <row r="21" spans="1:13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M21" s="52"/>
    </row>
    <row r="22" spans="1:13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M22" s="52"/>
    </row>
    <row r="23" spans="1:13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M23" s="52"/>
    </row>
    <row r="24" spans="1:13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M24" s="52"/>
    </row>
    <row r="25" spans="1:13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M25" s="52"/>
    </row>
    <row r="26" spans="1:13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M26" s="52"/>
    </row>
    <row r="27" spans="1:13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M27" s="52"/>
    </row>
    <row r="28" spans="1:13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M28" s="52"/>
    </row>
    <row r="29" spans="1:13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M29" s="52"/>
    </row>
    <row r="30" spans="1:13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M30" s="52"/>
    </row>
    <row r="31" spans="1:13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3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zoomScale="70" zoomScaleNormal="70" workbookViewId="0">
      <pane xSplit="2" ySplit="3" topLeftCell="J7" activePane="bottomRight" state="frozen"/>
      <selection pane="bottomRight" activeCell="J7" sqref="J7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78"/>
  </cols>
  <sheetData>
    <row r="1" spans="1:12" ht="19.5" customHeight="1">
      <c r="A1" s="112" t="str" cm="1">
        <f t="array" ref="A1">portfolio</f>
        <v>Luminace</v>
      </c>
      <c r="B1" s="112"/>
      <c r="C1" s="112"/>
      <c r="D1" s="113" t="s">
        <v>59</v>
      </c>
      <c r="E1" s="113"/>
      <c r="F1" s="113"/>
      <c r="G1" s="111" t="s">
        <v>60</v>
      </c>
      <c r="H1" s="111"/>
      <c r="I1" s="111"/>
      <c r="J1" s="4"/>
      <c r="K1" s="4"/>
    </row>
    <row r="2" spans="1:12" ht="19.5" customHeight="1">
      <c r="A2" s="114" t="s">
        <v>2</v>
      </c>
      <c r="B2" s="114"/>
      <c r="C2" s="5">
        <f>SUM(C4:C81)</f>
        <v>854032.015299152</v>
      </c>
      <c r="D2" s="5">
        <f>SUM(D4:D81)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SUM(G4:G81)</f>
        <v>2800077.9899999998</v>
      </c>
      <c r="H2" s="7">
        <f>C2-G2</f>
        <v>-1946045.9747008476</v>
      </c>
      <c r="I2" s="6">
        <f>IFERROR(H2/G2, 0)</f>
        <v>-0.69499706138572515</v>
      </c>
      <c r="J2" s="1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54203.1</v>
      </c>
      <c r="D4" s="29">
        <v>57596.35</v>
      </c>
      <c r="E4" s="29">
        <f>IF(AND(ISNUMBER(C4),ISNUMBER(D4)), C4-D4, "")</f>
        <v>-3393.25</v>
      </c>
      <c r="F4" s="30">
        <f>IFERROR(E4/D4, "")</f>
        <v>-5.8914323563906391E-2</v>
      </c>
      <c r="G4" s="31">
        <v>56794.59</v>
      </c>
      <c r="H4" s="31">
        <f>IF(AND(ISNUMBER(C4),ISNUMBER(G4)), C4-G4, "")</f>
        <v>-2591.489999999998</v>
      </c>
      <c r="I4" s="32">
        <f>IFERROR(H4/G4, "")</f>
        <v>-4.5629169961434672E-2</v>
      </c>
      <c r="J4" s="49"/>
      <c r="K4" s="49"/>
    </row>
    <row r="5" spans="1:12" ht="43.15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 t="shared" ref="E5:E10" si="0">IF(AND(ISNUMBER(C5),ISNUMBER(D5)), C5-D5, "")</f>
        <v>0</v>
      </c>
      <c r="F5" s="37" t="str">
        <f>IFERROR(E5/D5, "")</f>
        <v/>
      </c>
      <c r="G5" s="56">
        <v>676075</v>
      </c>
      <c r="H5" s="38">
        <f t="shared" ref="H5:H10" si="1">IF(AND(ISNUMBER(C5),ISNUMBER(G5)), C5-G5, "")</f>
        <v>-676075</v>
      </c>
      <c r="I5" s="37">
        <f t="shared" ref="I5:I10" si="2">IFERROR(H5/G5, "")</f>
        <v>-1</v>
      </c>
      <c r="J5" s="50" t="s">
        <v>49</v>
      </c>
      <c r="K5" s="75" t="s">
        <v>61</v>
      </c>
    </row>
    <row r="6" spans="1:12" ht="44.25" customHeight="1">
      <c r="A6" s="43" t="str">
        <v>Berkeley - NJ-22-C894 Berkeley II</v>
      </c>
      <c r="B6" s="40" t="str">
        <v>NJ</v>
      </c>
      <c r="C6" s="28">
        <v>0</v>
      </c>
      <c r="D6" s="29">
        <v>0</v>
      </c>
      <c r="E6" s="29">
        <f t="shared" si="0"/>
        <v>0</v>
      </c>
      <c r="F6" s="30" t="str">
        <f t="shared" ref="F6:F10" si="3">IFERROR(E6/D6, "")</f>
        <v/>
      </c>
      <c r="G6" s="31">
        <v>676850</v>
      </c>
      <c r="H6" s="31">
        <f t="shared" si="1"/>
        <v>-676850</v>
      </c>
      <c r="I6" s="32">
        <f t="shared" si="2"/>
        <v>-1</v>
      </c>
      <c r="J6" s="49" t="s">
        <v>49</v>
      </c>
      <c r="K6" s="63" t="s">
        <v>62</v>
      </c>
    </row>
    <row r="7" spans="1:12" ht="114" customHeight="1">
      <c r="A7" s="41" t="str">
        <v xml:space="preserve"> BEMS Landfill East</v>
      </c>
      <c r="B7" s="42" t="str">
        <v>NJ</v>
      </c>
      <c r="C7" s="35">
        <v>0</v>
      </c>
      <c r="D7" s="36">
        <v>12059.7</v>
      </c>
      <c r="E7" s="36">
        <f t="shared" si="0"/>
        <v>-12059.7</v>
      </c>
      <c r="F7" s="37">
        <f t="shared" si="3"/>
        <v>-1</v>
      </c>
      <c r="G7" s="38">
        <v>651557.4</v>
      </c>
      <c r="H7" s="38">
        <f t="shared" si="1"/>
        <v>-651557.4</v>
      </c>
      <c r="I7" s="37">
        <f t="shared" si="2"/>
        <v>-1</v>
      </c>
      <c r="J7" s="59" t="s">
        <v>54</v>
      </c>
      <c r="K7" s="75" t="s">
        <v>63</v>
      </c>
      <c r="L7" s="79" t="s">
        <v>56</v>
      </c>
    </row>
    <row r="8" spans="1:12" ht="15.6">
      <c r="A8" s="43" t="str">
        <v>Southampton - BEMS West NJ-22-C898</v>
      </c>
      <c r="B8" s="40" t="str">
        <v>NJ</v>
      </c>
      <c r="C8" s="28">
        <v>635861</v>
      </c>
      <c r="D8" s="29">
        <v>647641.9</v>
      </c>
      <c r="E8" s="29">
        <f t="shared" si="0"/>
        <v>-11780.900000000023</v>
      </c>
      <c r="F8" s="30">
        <f t="shared" si="3"/>
        <v>-1.8190453705975513E-2</v>
      </c>
      <c r="G8" s="31">
        <v>658293</v>
      </c>
      <c r="H8" s="31">
        <f t="shared" si="1"/>
        <v>-22432</v>
      </c>
      <c r="I8" s="32">
        <f t="shared" si="2"/>
        <v>-3.4076011745529725E-2</v>
      </c>
      <c r="J8" s="49"/>
      <c r="K8" s="49"/>
    </row>
    <row r="9" spans="1:12" ht="27.75" customHeight="1">
      <c r="A9" s="41" t="str">
        <v>Lakewood Twp - Emergency Services Dev  - NJ-23-0008</v>
      </c>
      <c r="B9" s="42" t="str">
        <v>NJ</v>
      </c>
      <c r="C9" s="35">
        <v>9269.4465491520095</v>
      </c>
      <c r="D9" s="36" t="s">
        <v>22</v>
      </c>
      <c r="E9" s="36" t="str">
        <f t="shared" si="0"/>
        <v/>
      </c>
      <c r="F9" s="37" t="str">
        <f t="shared" si="3"/>
        <v/>
      </c>
      <c r="G9" s="72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154698.46875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80508</v>
      </c>
      <c r="H10" s="31">
        <f t="shared" si="1"/>
        <v>74190.46875</v>
      </c>
      <c r="I10" s="32">
        <f t="shared" si="2"/>
        <v>0.92152914927709051</v>
      </c>
      <c r="J10" s="49" t="s">
        <v>58</v>
      </c>
      <c r="K10" s="49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hyperlinks>
    <hyperlink ref="K5" r:id="rId1" display="https://us3.assetplanner.com/service_request?ID=098409" xr:uid="{A1E36D3C-E845-4456-A9A9-75DF005D68B8}"/>
    <hyperlink ref="K6" r:id="rId2" display="https://us3.assetplanner.com/service_request?ID=098411" xr:uid="{20766415-39D3-4CAA-8E66-4271C0E5E737}"/>
    <hyperlink ref="K7" r:id="rId3" display="https://us3.assetplanner.com/service_request?ID=098408" xr:uid="{22C61412-9930-42CA-BBB2-75B5FC838B52}"/>
    <hyperlink ref="L7" r:id="rId4" display="https://us3.assetplanner.com/service_request?ID=086098" xr:uid="{CBD16C8F-83C2-48C7-9337-47F02C7A575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3"/>
  <sheetViews>
    <sheetView zoomScale="90" zoomScaleNormal="90" workbookViewId="0">
      <pane xSplit="2" ySplit="3" topLeftCell="C7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12.8554687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42578125" customWidth="1"/>
    <col min="11" max="11" width="20.5703125" bestFit="1" customWidth="1"/>
  </cols>
  <sheetData>
    <row r="1" spans="1:12" ht="19.5" customHeight="1">
      <c r="A1" s="112" t="str" cm="1">
        <f t="array" ref="A1">portfolio</f>
        <v>Luminace</v>
      </c>
      <c r="B1" s="112"/>
      <c r="C1" s="112"/>
      <c r="D1" s="113" t="s">
        <v>64</v>
      </c>
      <c r="E1" s="113"/>
      <c r="F1" s="113"/>
      <c r="G1" s="111" t="s">
        <v>65</v>
      </c>
      <c r="H1" s="111"/>
      <c r="I1" s="111"/>
      <c r="J1" s="4"/>
      <c r="K1" s="4"/>
    </row>
    <row r="2" spans="1:12" ht="19.5" customHeight="1">
      <c r="A2" s="114" t="s">
        <v>2</v>
      </c>
      <c r="B2" s="114"/>
      <c r="C2" s="5">
        <f>SUM(C4:C81)</f>
        <v>3877714.6429936686</v>
      </c>
      <c r="D2" s="5">
        <f>SUM(D4:D81)</f>
        <v>3723083.84</v>
      </c>
      <c r="E2" s="5">
        <f>C2-D2</f>
        <v>154630.80299366871</v>
      </c>
      <c r="F2" s="6">
        <f>IFERROR(E2/D2, 0)</f>
        <v>4.1532989757670544E-2</v>
      </c>
      <c r="G2" s="5">
        <f>SUM(G4:G81)</f>
        <v>5379743.7999999998</v>
      </c>
      <c r="H2" s="7">
        <f>C2-G2</f>
        <v>-1502029.1570063313</v>
      </c>
      <c r="I2" s="6">
        <f>IFERROR(H2/G2, 0)</f>
        <v>-0.27920087142557443</v>
      </c>
      <c r="J2" s="1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54648.5</v>
      </c>
      <c r="D4" s="29">
        <v>59815.54</v>
      </c>
      <c r="E4" s="29">
        <f>IF(AND(ISNUMBER(C4),ISNUMBER(D4)), C4-D4, "")</f>
        <v>-5167.0400000000009</v>
      </c>
      <c r="F4" s="30">
        <f>IFERROR(E4/D4, "")</f>
        <v>-8.638290317198509E-2</v>
      </c>
      <c r="G4" s="31">
        <v>63486.3</v>
      </c>
      <c r="H4" s="31">
        <f>IF(AND(ISNUMBER(C4),ISNUMBER(G4)), C4-G4, "")</f>
        <v>-8837.8000000000029</v>
      </c>
      <c r="I4" s="32">
        <f>IFERROR(H4/G4, "")</f>
        <v>-0.1392079866049841</v>
      </c>
      <c r="J4" s="49" t="s">
        <v>66</v>
      </c>
      <c r="K4" s="49"/>
    </row>
    <row r="5" spans="1:12" ht="48.75" customHeight="1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>IF(AND(ISNUMBER(C5),ISNUMBER(D5)), C5-D5, "")</f>
        <v>0</v>
      </c>
      <c r="F5" s="37" t="str">
        <f>IFERROR(E5/D5, "")</f>
        <v/>
      </c>
      <c r="G5" s="38">
        <v>710210</v>
      </c>
      <c r="H5" s="38">
        <f t="shared" ref="H5:H8" si="0">IF(AND(ISNUMBER(C5),ISNUMBER(G5)), C5-G5, "")</f>
        <v>-710210</v>
      </c>
      <c r="I5" s="37">
        <f t="shared" ref="I5:I8" si="1">IFERROR(H5/G5, "")</f>
        <v>-1</v>
      </c>
      <c r="J5" s="80" t="s">
        <v>49</v>
      </c>
      <c r="K5" s="75" t="s">
        <v>67</v>
      </c>
    </row>
    <row r="6" spans="1:12" ht="40.5" customHeight="1">
      <c r="A6" s="43" t="str">
        <v>Berkeley - NJ-22-C894 Berkeley II</v>
      </c>
      <c r="B6" s="40" t="str">
        <v>NJ</v>
      </c>
      <c r="C6" s="28">
        <v>701245.27361767006</v>
      </c>
      <c r="D6" s="29">
        <v>191085.9</v>
      </c>
      <c r="E6" s="29">
        <f t="shared" ref="E6:E8" si="2">IF(AND(ISNUMBER(C6),ISNUMBER(D6)), C6-D6, "")</f>
        <v>510159.37361767003</v>
      </c>
      <c r="F6" s="30">
        <f t="shared" ref="F6:F8" si="3">IFERROR(E6/D6, "")</f>
        <v>2.6697907779572958</v>
      </c>
      <c r="G6" s="31">
        <v>710606</v>
      </c>
      <c r="H6" s="31">
        <f t="shared" si="0"/>
        <v>-9360.7263823299436</v>
      </c>
      <c r="I6" s="32">
        <f t="shared" si="1"/>
        <v>-1.3172878335294022E-2</v>
      </c>
      <c r="J6" s="84" t="s">
        <v>68</v>
      </c>
      <c r="K6" s="63" t="s">
        <v>69</v>
      </c>
    </row>
    <row r="7" spans="1:12" ht="86.45">
      <c r="A7" s="41" t="str">
        <v xml:space="preserve"> BEMS Landfill East</v>
      </c>
      <c r="B7" s="42" t="str">
        <v>NJ</v>
      </c>
      <c r="C7" s="35">
        <v>0</v>
      </c>
      <c r="D7" s="36">
        <v>586005</v>
      </c>
      <c r="E7" s="36">
        <f t="shared" si="2"/>
        <v>-586005</v>
      </c>
      <c r="F7" s="37">
        <f t="shared" si="3"/>
        <v>-1</v>
      </c>
      <c r="G7" s="38">
        <v>695675.5</v>
      </c>
      <c r="H7" s="38">
        <f t="shared" si="0"/>
        <v>-695675.5</v>
      </c>
      <c r="I7" s="37">
        <f t="shared" si="1"/>
        <v>-1</v>
      </c>
      <c r="J7" s="50" t="s">
        <v>70</v>
      </c>
      <c r="K7" s="69" t="s">
        <v>55</v>
      </c>
      <c r="L7" s="74" t="s">
        <v>56</v>
      </c>
    </row>
    <row r="8" spans="1:12" ht="15.6">
      <c r="A8" s="43" t="str">
        <v>Southampton - BEMS West NJ-22-C898</v>
      </c>
      <c r="B8" s="40" t="str">
        <v>NJ</v>
      </c>
      <c r="C8" s="28">
        <v>628239</v>
      </c>
      <c r="D8" s="29">
        <v>645088.6</v>
      </c>
      <c r="E8" s="29">
        <f t="shared" si="2"/>
        <v>-16849.599999999977</v>
      </c>
      <c r="F8" s="30">
        <f t="shared" si="3"/>
        <v>-2.6119822920448413E-2</v>
      </c>
      <c r="G8" s="31">
        <v>704768</v>
      </c>
      <c r="H8" s="31">
        <f t="shared" si="0"/>
        <v>-76529</v>
      </c>
      <c r="I8" s="32">
        <f t="shared" si="1"/>
        <v>-0.10858750681075191</v>
      </c>
      <c r="J8" s="49" t="s">
        <v>66</v>
      </c>
      <c r="K8" s="49"/>
    </row>
    <row r="9" spans="1:12" ht="15.6">
      <c r="A9" s="41" t="str">
        <v>Lakewood Twp - Emergency Services Dev  - NJ-23-0008</v>
      </c>
      <c r="B9" s="42" t="str">
        <v>NJ</v>
      </c>
      <c r="C9" s="35">
        <v>9749.9440759999998</v>
      </c>
      <c r="D9" s="36" t="s">
        <v>22</v>
      </c>
      <c r="E9" s="36" t="str">
        <f t="shared" ref="E9:E15" si="4">IF(AND(ISNUMBER(C9),ISNUMBER(D9)), C9-D9, "")</f>
        <v/>
      </c>
      <c r="F9" s="82" t="str">
        <f t="shared" ref="F9:F15" si="5">IFERROR(E9/D9, "")</f>
        <v/>
      </c>
      <c r="G9" s="83" t="s">
        <v>22</v>
      </c>
      <c r="H9" s="38" t="str">
        <f t="shared" ref="H9:H15" si="6">IF(AND(ISNUMBER(C9),ISNUMBER(G9)), C9-G9, "")</f>
        <v/>
      </c>
      <c r="I9" s="37" t="str">
        <f t="shared" ref="I9:I15" si="7">IFERROR(H9/G9, "")</f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157465.6563</v>
      </c>
      <c r="D10" s="29" t="s">
        <v>22</v>
      </c>
      <c r="E10" s="29" t="str">
        <f t="shared" si="4"/>
        <v/>
      </c>
      <c r="F10" s="30" t="str">
        <f t="shared" si="5"/>
        <v/>
      </c>
      <c r="G10" s="31">
        <v>92403</v>
      </c>
      <c r="H10" s="31">
        <f t="shared" si="6"/>
        <v>65062.656300000002</v>
      </c>
      <c r="I10" s="32">
        <f t="shared" si="7"/>
        <v>0.7041184409597091</v>
      </c>
      <c r="J10" s="49" t="s">
        <v>58</v>
      </c>
      <c r="K10" s="49"/>
    </row>
    <row r="11" spans="1:12" ht="43.15">
      <c r="A11" s="41" t="str">
        <v>Canby - Dover - OR-23-C003</v>
      </c>
      <c r="B11" s="42" t="str">
        <v>OR</v>
      </c>
      <c r="C11" s="35">
        <v>499021.26899999997</v>
      </c>
      <c r="D11" s="36">
        <v>471441.3</v>
      </c>
      <c r="E11" s="36">
        <f t="shared" si="4"/>
        <v>27579.968999999983</v>
      </c>
      <c r="F11" s="82">
        <f t="shared" si="5"/>
        <v>5.8501385008059292E-2</v>
      </c>
      <c r="G11" s="38">
        <v>494897</v>
      </c>
      <c r="H11" s="38">
        <f t="shared" si="6"/>
        <v>4124.2689999999711</v>
      </c>
      <c r="I11" s="37">
        <f t="shared" si="7"/>
        <v>8.3335906259281653E-3</v>
      </c>
      <c r="J11" s="50" t="s">
        <v>71</v>
      </c>
      <c r="K11" s="75" t="s">
        <v>72</v>
      </c>
      <c r="L11" s="74" t="s">
        <v>73</v>
      </c>
    </row>
    <row r="12" spans="1:12" ht="28.9">
      <c r="A12" s="43" t="str">
        <v xml:space="preserve"> Estacada - Clayfield - OR-23-C001</v>
      </c>
      <c r="B12" s="40" t="str">
        <v>OR</v>
      </c>
      <c r="C12" s="28">
        <v>554193.00399999996</v>
      </c>
      <c r="D12" s="29">
        <v>515253.5</v>
      </c>
      <c r="E12" s="29">
        <f t="shared" si="4"/>
        <v>38939.503999999957</v>
      </c>
      <c r="F12" s="30">
        <f t="shared" si="5"/>
        <v>7.5573487613378579E-2</v>
      </c>
      <c r="G12" s="31">
        <v>532245</v>
      </c>
      <c r="H12" s="31">
        <f t="shared" si="6"/>
        <v>21948.003999999957</v>
      </c>
      <c r="I12" s="32">
        <f t="shared" si="7"/>
        <v>4.1236656051254511E-2</v>
      </c>
      <c r="J12" s="49" t="s">
        <v>74</v>
      </c>
      <c r="K12" s="63" t="s">
        <v>75</v>
      </c>
      <c r="L12" s="74" t="s">
        <v>76</v>
      </c>
    </row>
    <row r="13" spans="1:12" ht="45" customHeight="1">
      <c r="A13" s="41" t="str">
        <v>Willamina - Waterford - OR-23-C006</v>
      </c>
      <c r="B13" s="42" t="str">
        <v>OR</v>
      </c>
      <c r="C13" s="35">
        <v>345311.5</v>
      </c>
      <c r="D13" s="36">
        <v>387541.9</v>
      </c>
      <c r="E13" s="36">
        <f t="shared" si="4"/>
        <v>-42230.400000000023</v>
      </c>
      <c r="F13" s="37">
        <f t="shared" si="5"/>
        <v>-0.10896989461010544</v>
      </c>
      <c r="G13" s="38">
        <v>464151</v>
      </c>
      <c r="H13" s="38">
        <f t="shared" si="6"/>
        <v>-118839.5</v>
      </c>
      <c r="I13" s="37">
        <f t="shared" si="7"/>
        <v>-0.25603628991427357</v>
      </c>
      <c r="J13" s="81" t="s">
        <v>77</v>
      </c>
      <c r="K13" s="69" t="s">
        <v>78</v>
      </c>
      <c r="L13" s="74" t="s">
        <v>79</v>
      </c>
    </row>
    <row r="14" spans="1:12" ht="15.6">
      <c r="A14" s="43" t="str">
        <v>OR-23-C005  Solops  SPI - Belvedere Solar</v>
      </c>
      <c r="B14" s="40" t="str">
        <v>OR</v>
      </c>
      <c r="C14" s="28">
        <v>641330.01399999904</v>
      </c>
      <c r="D14" s="29">
        <v>599695.6</v>
      </c>
      <c r="E14" s="29">
        <f t="shared" si="4"/>
        <v>41634.413999999058</v>
      </c>
      <c r="F14" s="30">
        <f t="shared" si="5"/>
        <v>6.9425912079393373E-2</v>
      </c>
      <c r="G14" s="31">
        <v>653170</v>
      </c>
      <c r="H14" s="31">
        <f t="shared" si="6"/>
        <v>-11839.986000000965</v>
      </c>
      <c r="I14" s="32">
        <f t="shared" si="7"/>
        <v>-1.8126959290844596E-2</v>
      </c>
      <c r="J14" s="49" t="s">
        <v>80</v>
      </c>
      <c r="K14" s="63" t="s">
        <v>81</v>
      </c>
    </row>
    <row r="15" spans="1:12" ht="15.6">
      <c r="A15" s="41" t="str">
        <v>OR-23-C002  SPI - Cork Solar</v>
      </c>
      <c r="B15" s="42" t="str">
        <v>OR</v>
      </c>
      <c r="C15" s="35">
        <v>286510.48200000002</v>
      </c>
      <c r="D15" s="36">
        <v>267156.5</v>
      </c>
      <c r="E15" s="36">
        <f t="shared" si="4"/>
        <v>19353.982000000018</v>
      </c>
      <c r="F15" s="82">
        <f t="shared" si="5"/>
        <v>7.244436126390344E-2</v>
      </c>
      <c r="G15" s="38">
        <v>258132</v>
      </c>
      <c r="H15" s="38">
        <f t="shared" si="6"/>
        <v>28378.482000000018</v>
      </c>
      <c r="I15" s="37">
        <f t="shared" si="7"/>
        <v>0.10993786899725728</v>
      </c>
      <c r="J15" s="50"/>
      <c r="K15" s="51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hyperlinks>
    <hyperlink ref="K5" r:id="rId1" display="https://us3.assetplanner.com/service_request?ID=098409" xr:uid="{703A8C6A-22B0-4955-89A8-1A19D9BEA53A}"/>
    <hyperlink ref="K6" r:id="rId2" display="https://us3.assetplanner.com/service_request?ID=098411" xr:uid="{99CF9E46-822C-4ACC-9219-CC6693827F54}"/>
    <hyperlink ref="K7" r:id="rId3" display="https://us3.assetplanner.com/service_request?ID=098408" xr:uid="{BF05BFAE-56A6-4B9A-BF7B-A9C0DFFD0C73}"/>
    <hyperlink ref="L7" r:id="rId4" display="https://us3.assetplanner.com/service_request?ID=086098" xr:uid="{FE67F8AE-22DE-4192-8EF2-BB1CC72B1F8B}"/>
    <hyperlink ref="K11" r:id="rId5" display="https://us3.assetplanner.com/service_request?ID=101115" xr:uid="{9375ADD5-D3DB-426D-8E7B-482B37E8FA75}"/>
    <hyperlink ref="L11" r:id="rId6" display="https://us3.assetplanner.com/service_request?ID=101155" xr:uid="{51BF88AB-0CF7-4244-A748-575939DD06F0}"/>
    <hyperlink ref="K12" r:id="rId7" display="https://us3.assetplanner.com/service_request?ID=101126" xr:uid="{41F99F64-EAFA-40FF-9FA7-728F3134A81E}"/>
    <hyperlink ref="L12" r:id="rId8" display="https://us3.assetplanner.com/service_request?ID=101287" xr:uid="{8017FC2C-BE09-4350-80C7-CECB1B4B45BB}"/>
    <hyperlink ref="K13" r:id="rId9" display="https://us3.assetplanner.com/service_request?ID=101124" xr:uid="{5DF7D83F-7669-4469-8C72-D1DB2A5EEA59}"/>
    <hyperlink ref="L13" r:id="rId10" display="https://us3.assetplanner.com/service_request?ID=101894" xr:uid="{39EAC42B-1334-44BA-AD91-AAEE5ADF03E6}"/>
    <hyperlink ref="K14" r:id="rId11" display="https://us3.assetplanner.com/service_request?ID=101566" xr:uid="{F63617EF-D8A8-489D-813C-CBE4A3B86DF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4" activePane="bottomRight" state="frozen"/>
      <selection pane="bottomRight" activeCell="I10" sqref="I10"/>
      <selection pane="bottomLeft" activeCell="C19" sqref="C19"/>
      <selection pane="topRight" activeCell="C19" sqref="C19"/>
    </sheetView>
  </sheetViews>
  <sheetFormatPr defaultRowHeight="13.9"/>
  <cols>
    <col min="1" max="1" width="56.57031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2" t="str" cm="1">
        <f t="array" ref="A1">portfolio</f>
        <v>Luminace</v>
      </c>
      <c r="B1" s="112"/>
      <c r="C1" s="112"/>
      <c r="D1" s="113" t="s">
        <v>82</v>
      </c>
      <c r="E1" s="113"/>
      <c r="F1" s="113"/>
      <c r="G1" s="111" t="s">
        <v>83</v>
      </c>
      <c r="H1" s="111"/>
      <c r="I1" s="111"/>
      <c r="J1" s="4"/>
      <c r="K1" s="4"/>
    </row>
    <row r="2" spans="1:11" ht="19.5" customHeight="1">
      <c r="A2" s="114" t="s">
        <v>2</v>
      </c>
      <c r="B2" s="114"/>
      <c r="C2" s="5">
        <f>SUM(C4:C81)</f>
        <v>3771801.4699999993</v>
      </c>
      <c r="D2" s="5">
        <f>SUM(D4:D81)</f>
        <v>4599271.2429999998</v>
      </c>
      <c r="E2" s="5">
        <f>C2-D2</f>
        <v>-827469.77300000051</v>
      </c>
      <c r="F2" s="6">
        <f>IFERROR(E2/D2, 0)</f>
        <v>-0.17991323609352095</v>
      </c>
      <c r="G2" s="5">
        <f>SUM(G4:G81)</f>
        <v>5607198.9700000007</v>
      </c>
      <c r="H2" s="7">
        <f>C2-G2</f>
        <v>-1835397.5000000014</v>
      </c>
      <c r="I2" s="6">
        <f>IFERROR(H2/G2, 0)</f>
        <v>-0.32732876251045556</v>
      </c>
      <c r="J2" s="1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28.9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59494</v>
      </c>
      <c r="D4" s="29">
        <v>64351.89</v>
      </c>
      <c r="E4" s="29">
        <f>IF(AND(ISNUMBER(C4),ISNUMBER(D4)), C4-D4, "")</f>
        <v>-4857.8899999999994</v>
      </c>
      <c r="F4" s="30">
        <f>IFERROR(E4/D4, "")</f>
        <v>-7.5489468918473093E-2</v>
      </c>
      <c r="G4" s="31">
        <v>66815.41</v>
      </c>
      <c r="H4" s="31">
        <f>IF(AND(ISNUMBER(C4),ISNUMBER(G4)), C4-G4, "")</f>
        <v>-7321.4100000000035</v>
      </c>
      <c r="I4" s="32">
        <f>IFERROR(H4/G4, "")</f>
        <v>-0.10957666801715357</v>
      </c>
      <c r="J4" s="85" t="s">
        <v>84</v>
      </c>
      <c r="K4" s="85"/>
    </row>
    <row r="5" spans="1:11" ht="15.6">
      <c r="A5" s="41" t="str">
        <v>Berkeley - NJ-22-C893 Berkeley I</v>
      </c>
      <c r="B5" s="42" t="str">
        <v>NJ</v>
      </c>
      <c r="C5" s="35">
        <v>0</v>
      </c>
      <c r="D5" s="57">
        <v>0</v>
      </c>
      <c r="E5" s="36">
        <v>0</v>
      </c>
      <c r="F5" s="37"/>
      <c r="G5" s="57">
        <v>715621.67</v>
      </c>
      <c r="H5" s="38">
        <f t="shared" ref="H5:H15" si="0">IF(AND(ISNUMBER(C5),ISNUMBER(G5)), C5-G5, "")</f>
        <v>-715621.67</v>
      </c>
      <c r="I5" s="37">
        <f t="shared" ref="I5:I15" si="1">IFERROR(H5/G5, "")</f>
        <v>-1</v>
      </c>
      <c r="J5" s="86" t="s">
        <v>85</v>
      </c>
      <c r="K5" s="86" t="s">
        <v>67</v>
      </c>
    </row>
    <row r="6" spans="1:11" ht="15.6">
      <c r="A6" s="43" t="str">
        <v>Berkeley - NJ-22-C894 Berkeley II</v>
      </c>
      <c r="B6" s="40" t="str">
        <v>NJ</v>
      </c>
      <c r="C6" s="28">
        <v>566098</v>
      </c>
      <c r="D6" s="29">
        <v>597076.80000000005</v>
      </c>
      <c r="E6" s="29">
        <f t="shared" ref="E6:E15" si="2">IF(AND(ISNUMBER(C6),ISNUMBER(D6)), C6-D6, "")</f>
        <v>-30978.800000000047</v>
      </c>
      <c r="F6" s="30">
        <f t="shared" ref="F6:F15" si="3">IFERROR(E6/D6, "")</f>
        <v>-5.1884112730556681E-2</v>
      </c>
      <c r="G6" s="31">
        <v>730590</v>
      </c>
      <c r="H6" s="31">
        <f t="shared" si="0"/>
        <v>-164492</v>
      </c>
      <c r="I6" s="32">
        <f t="shared" si="1"/>
        <v>-0.22514953667583734</v>
      </c>
      <c r="J6" s="85" t="s">
        <v>86</v>
      </c>
      <c r="K6" s="85" t="s">
        <v>87</v>
      </c>
    </row>
    <row r="7" spans="1:11" ht="15.6">
      <c r="A7" s="41" t="str">
        <v xml:space="preserve"> BEMS Landfill East</v>
      </c>
      <c r="B7" s="42" t="str">
        <v>NJ</v>
      </c>
      <c r="C7" s="35">
        <v>2909</v>
      </c>
      <c r="D7" s="36">
        <v>677634.821</v>
      </c>
      <c r="E7" s="36">
        <f t="shared" si="2"/>
        <v>-674725.821</v>
      </c>
      <c r="F7" s="37">
        <f t="shared" si="3"/>
        <v>-0.99570712733488642</v>
      </c>
      <c r="G7" s="38">
        <v>715608.89</v>
      </c>
      <c r="H7" s="38">
        <f t="shared" si="0"/>
        <v>-712699.89</v>
      </c>
      <c r="I7" s="37">
        <f t="shared" si="1"/>
        <v>-0.99593493032206459</v>
      </c>
      <c r="J7" s="86" t="s">
        <v>85</v>
      </c>
      <c r="K7" s="86" t="s">
        <v>88</v>
      </c>
    </row>
    <row r="8" spans="1:11" ht="72">
      <c r="A8" s="43" t="str">
        <v>Southampton - BEMS West NJ-22-C898</v>
      </c>
      <c r="B8" s="40" t="str">
        <v>NJ</v>
      </c>
      <c r="C8" s="28">
        <v>539128</v>
      </c>
      <c r="D8" s="29">
        <v>623908</v>
      </c>
      <c r="E8" s="29">
        <f t="shared" si="2"/>
        <v>-84780</v>
      </c>
      <c r="F8" s="30">
        <f t="shared" si="3"/>
        <v>-0.13588541900408393</v>
      </c>
      <c r="G8" s="31">
        <v>729514</v>
      </c>
      <c r="H8" s="31">
        <f t="shared" si="0"/>
        <v>-190386</v>
      </c>
      <c r="I8" s="32">
        <f t="shared" si="1"/>
        <v>-0.26097648571514737</v>
      </c>
      <c r="J8" s="85" t="s">
        <v>89</v>
      </c>
      <c r="K8" s="85" t="s">
        <v>90</v>
      </c>
    </row>
    <row r="9" spans="1:11" ht="15.6">
      <c r="A9" s="41" t="str">
        <v>Lakewood Twp - Emergency Services Dev  - NJ-23-0008</v>
      </c>
      <c r="B9" s="42" t="str">
        <v>NJ</v>
      </c>
      <c r="C9" s="35">
        <v>10056.063</v>
      </c>
      <c r="D9" s="109" t="s">
        <v>22</v>
      </c>
      <c r="E9" s="36" t="str">
        <f t="shared" si="2"/>
        <v/>
      </c>
      <c r="F9" s="37" t="str">
        <f t="shared" si="3"/>
        <v/>
      </c>
      <c r="G9" s="109" t="s">
        <v>22</v>
      </c>
      <c r="H9" s="38" t="str">
        <f t="shared" si="0"/>
        <v/>
      </c>
      <c r="I9" s="37" t="str">
        <f t="shared" si="1"/>
        <v/>
      </c>
      <c r="J9" s="86"/>
      <c r="K9" s="86"/>
    </row>
    <row r="10" spans="1:11" ht="43.15">
      <c r="A10" s="43" t="str">
        <v>Lakewood Township - Public Works</v>
      </c>
      <c r="B10" s="40" t="str">
        <v>NJ</v>
      </c>
      <c r="C10" s="28">
        <v>171840.30100000001</v>
      </c>
      <c r="D10" s="29" t="s">
        <v>22</v>
      </c>
      <c r="E10" s="29" t="str">
        <f t="shared" si="2"/>
        <v/>
      </c>
      <c r="F10" s="30" t="str">
        <f t="shared" si="3"/>
        <v/>
      </c>
      <c r="G10" s="31">
        <v>93579</v>
      </c>
      <c r="H10" s="31">
        <f t="shared" si="0"/>
        <v>78261.301000000007</v>
      </c>
      <c r="I10" s="32">
        <f t="shared" si="1"/>
        <v>0.83631264493102087</v>
      </c>
      <c r="J10" s="85" t="s">
        <v>91</v>
      </c>
      <c r="K10" s="85" t="s">
        <v>92</v>
      </c>
    </row>
    <row r="11" spans="1:11" ht="15.6">
      <c r="A11" s="103" t="str">
        <v>Canby - Dover - OR-23-C003</v>
      </c>
      <c r="B11" s="104" t="str">
        <v>OR</v>
      </c>
      <c r="C11" s="105">
        <v>560503.10900000005</v>
      </c>
      <c r="D11" s="57">
        <v>539401</v>
      </c>
      <c r="E11" s="106">
        <f t="shared" si="2"/>
        <v>21102.109000000055</v>
      </c>
      <c r="F11" s="107">
        <f t="shared" si="3"/>
        <v>3.9121375377502182E-2</v>
      </c>
      <c r="G11" s="57">
        <v>524490</v>
      </c>
      <c r="H11" s="108">
        <f t="shared" si="0"/>
        <v>36013.109000000055</v>
      </c>
      <c r="I11" s="107">
        <f t="shared" si="1"/>
        <v>6.866309939179023E-2</v>
      </c>
      <c r="J11" s="86"/>
      <c r="K11" s="86"/>
    </row>
    <row r="12" spans="1:11" ht="43.15">
      <c r="A12" s="87" t="str">
        <v xml:space="preserve"> Estacada - Clayfield - OR-23-C001</v>
      </c>
      <c r="B12" s="88" t="str">
        <v>OR</v>
      </c>
      <c r="C12" s="89">
        <v>663411.40399999998</v>
      </c>
      <c r="D12" s="90">
        <v>592440</v>
      </c>
      <c r="E12" s="90">
        <f t="shared" si="2"/>
        <v>70971.40399999998</v>
      </c>
      <c r="F12" s="91">
        <f t="shared" si="3"/>
        <v>0.11979509148605763</v>
      </c>
      <c r="G12" s="92">
        <v>569205</v>
      </c>
      <c r="H12" s="92">
        <f t="shared" si="0"/>
        <v>94206.40399999998</v>
      </c>
      <c r="I12" s="93">
        <f t="shared" si="1"/>
        <v>0.16550522922321481</v>
      </c>
      <c r="J12" s="101" t="s">
        <v>93</v>
      </c>
      <c r="K12" s="85" t="s">
        <v>94</v>
      </c>
    </row>
    <row r="13" spans="1:11" ht="43.15">
      <c r="A13" s="94" t="str">
        <v>Willamina - Waterford - OR-23-C006</v>
      </c>
      <c r="B13" s="95" t="str">
        <v>OR</v>
      </c>
      <c r="C13" s="96">
        <v>103706.924</v>
      </c>
      <c r="D13" s="97">
        <v>474479.277</v>
      </c>
      <c r="E13" s="98">
        <f t="shared" si="2"/>
        <v>-370772.353</v>
      </c>
      <c r="F13" s="99">
        <f t="shared" si="3"/>
        <v>-0.78143002439282505</v>
      </c>
      <c r="G13" s="97">
        <v>473988</v>
      </c>
      <c r="H13" s="100">
        <f t="shared" si="0"/>
        <v>-370281.076</v>
      </c>
      <c r="I13" s="99">
        <f t="shared" si="1"/>
        <v>-0.78120348194469058</v>
      </c>
      <c r="J13" s="102" t="s">
        <v>95</v>
      </c>
      <c r="K13" s="86" t="s">
        <v>96</v>
      </c>
    </row>
    <row r="14" spans="1:11" ht="15.6">
      <c r="A14" s="87" t="str">
        <v>OR-23-C005  Solops  SPI - Belvedere Solar</v>
      </c>
      <c r="B14" s="88" t="str">
        <v>OR</v>
      </c>
      <c r="C14" s="89">
        <v>783866.61899999902</v>
      </c>
      <c r="D14" s="90">
        <v>740054.3</v>
      </c>
      <c r="E14" s="90">
        <f t="shared" si="2"/>
        <v>43812.31899999897</v>
      </c>
      <c r="F14" s="91">
        <f t="shared" si="3"/>
        <v>5.9201492376976889E-2</v>
      </c>
      <c r="G14" s="92">
        <v>709806</v>
      </c>
      <c r="H14" s="92">
        <f t="shared" si="0"/>
        <v>74060.618999999017</v>
      </c>
      <c r="I14" s="93">
        <f t="shared" si="1"/>
        <v>0.10433924058122786</v>
      </c>
      <c r="J14" s="101"/>
      <c r="K14" s="85"/>
    </row>
    <row r="15" spans="1:11" ht="15.6">
      <c r="A15" s="94" t="str">
        <v>OR-23-C002  SPI - Cork Solar</v>
      </c>
      <c r="B15" s="95" t="str">
        <v>OR</v>
      </c>
      <c r="C15" s="96">
        <v>310788.05</v>
      </c>
      <c r="D15" s="97">
        <v>289925.15500000003</v>
      </c>
      <c r="E15" s="98">
        <f t="shared" si="2"/>
        <v>20862.89499999996</v>
      </c>
      <c r="F15" s="99">
        <f t="shared" si="3"/>
        <v>7.195958901875886E-2</v>
      </c>
      <c r="G15" s="97">
        <v>277981</v>
      </c>
      <c r="H15" s="100">
        <f t="shared" si="0"/>
        <v>32807.049999999988</v>
      </c>
      <c r="I15" s="99">
        <f t="shared" si="1"/>
        <v>0.11801903727233153</v>
      </c>
      <c r="J15" s="102"/>
      <c r="K15" s="86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3"/>
  <sheetViews>
    <sheetView tabSelected="1" zoomScale="70" zoomScaleNormal="70" workbookViewId="0">
      <pane xSplit="2" ySplit="3" topLeftCell="I4" activePane="bottomRight" state="frozen"/>
      <selection pane="bottomRight" activeCell="O12" sqref="O12"/>
      <selection pane="bottomLeft" activeCell="C19" sqref="C19"/>
      <selection pane="topRight" activeCell="C19" sqref="C19"/>
    </sheetView>
  </sheetViews>
  <sheetFormatPr defaultRowHeight="14.25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110"/>
  </cols>
  <sheetData>
    <row r="1" spans="1:12" ht="19.5" customHeight="1">
      <c r="A1" s="112" t="str" cm="1">
        <f t="array" ref="A1">portfolio</f>
        <v>Luminace</v>
      </c>
      <c r="B1" s="112"/>
      <c r="C1" s="112"/>
      <c r="D1" s="113" t="s">
        <v>97</v>
      </c>
      <c r="E1" s="113"/>
      <c r="F1" s="113"/>
      <c r="G1" s="111" t="s">
        <v>98</v>
      </c>
      <c r="H1" s="111"/>
      <c r="I1" s="111"/>
      <c r="J1" s="4"/>
      <c r="K1" s="4"/>
    </row>
    <row r="2" spans="1:12" ht="19.5" customHeight="1">
      <c r="A2" s="114" t="s">
        <v>2</v>
      </c>
      <c r="B2" s="114"/>
      <c r="C2" s="5">
        <f>SUM(C4:C81)</f>
        <v>5167208.148</v>
      </c>
      <c r="D2" s="5">
        <f>SUM(D4:D81)</f>
        <v>5683836.835</v>
      </c>
      <c r="E2" s="5">
        <f>C2-D2</f>
        <v>-516628.68699999992</v>
      </c>
      <c r="F2" s="6">
        <f>IFERROR(E2/D2, 0)</f>
        <v>-9.089435569626092E-2</v>
      </c>
      <c r="G2" s="5">
        <f>SUM(G4:G81)</f>
        <v>5773431.3529999992</v>
      </c>
      <c r="H2" s="7">
        <f>C2-G2</f>
        <v>-606223.20499999914</v>
      </c>
      <c r="I2" s="6">
        <f>IFERROR(H2/G2, 0)</f>
        <v>-0.10500223661358553</v>
      </c>
      <c r="J2" s="1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67.5" customHeight="1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57705</v>
      </c>
      <c r="D4" s="29">
        <v>63485.59</v>
      </c>
      <c r="E4" s="29">
        <f>IF(AND(ISNUMBER(C4),ISNUMBER(D4)), C4-D4, "")</f>
        <v>-5780.5899999999965</v>
      </c>
      <c r="F4" s="30">
        <f>IFERROR(E4/D4, "")</f>
        <v>-9.1053576094984656E-2</v>
      </c>
      <c r="G4" s="31">
        <v>67817.09</v>
      </c>
      <c r="H4" s="31">
        <f>IF(AND(ISNUMBER(C4),ISNUMBER(G4)), C4-G4, "")</f>
        <v>-10112.089999999997</v>
      </c>
      <c r="I4" s="32">
        <f>IFERROR(H4/G4, "")</f>
        <v>-0.14910828524196479</v>
      </c>
      <c r="J4" s="49" t="s">
        <v>99</v>
      </c>
      <c r="K4" s="63" t="s">
        <v>100</v>
      </c>
    </row>
    <row r="5" spans="1:12" ht="54" customHeight="1">
      <c r="A5" s="41" t="str">
        <v>Berkeley - NJ-22-C893 Berkeley I</v>
      </c>
      <c r="B5" s="42" t="str">
        <v>NJ</v>
      </c>
      <c r="C5" s="35">
        <v>586285</v>
      </c>
      <c r="D5" s="36">
        <v>562423.28899999999</v>
      </c>
      <c r="E5" s="36">
        <f t="shared" ref="E5:E15" si="0">IF(AND(ISNUMBER(C5),ISNUMBER(D5)), C5-D5, "")</f>
        <v>23861.71100000001</v>
      </c>
      <c r="F5" s="37">
        <f>IFERROR(E5/D5, "")</f>
        <v>4.2426605488593151E-2</v>
      </c>
      <c r="G5" s="38">
        <v>753344.5</v>
      </c>
      <c r="H5" s="38">
        <f t="shared" ref="H5:H15" si="1">IF(AND(ISNUMBER(C5),ISNUMBER(G5)), C5-G5, "")</f>
        <v>-167059.5</v>
      </c>
      <c r="I5" s="37">
        <f t="shared" ref="I5:I15" si="2">IFERROR(H5/G5, "")</f>
        <v>-0.22175711112246788</v>
      </c>
      <c r="J5" s="59" t="s">
        <v>101</v>
      </c>
      <c r="K5" s="75" t="s">
        <v>102</v>
      </c>
    </row>
    <row r="6" spans="1:12" ht="45.75">
      <c r="A6" s="43" t="str">
        <v>Berkeley - NJ-22-C894 Berkeley II</v>
      </c>
      <c r="B6" s="40" t="str">
        <v>NJ</v>
      </c>
      <c r="C6" s="28">
        <v>697981</v>
      </c>
      <c r="D6" s="29">
        <v>698857.1</v>
      </c>
      <c r="E6" s="29">
        <f t="shared" si="0"/>
        <v>-876.09999999997672</v>
      </c>
      <c r="F6" s="30">
        <f t="shared" ref="F6:F15" si="3">IFERROR(E6/D6, "")</f>
        <v>-1.2536182289626546E-3</v>
      </c>
      <c r="G6" s="31">
        <v>760155</v>
      </c>
      <c r="H6" s="31">
        <f t="shared" si="1"/>
        <v>-62174</v>
      </c>
      <c r="I6" s="32">
        <f t="shared" si="2"/>
        <v>-8.1791213634061471E-2</v>
      </c>
      <c r="J6" s="49" t="s">
        <v>103</v>
      </c>
      <c r="K6" s="63" t="s">
        <v>104</v>
      </c>
      <c r="L6" s="70" t="s">
        <v>105</v>
      </c>
    </row>
    <row r="7" spans="1:12" ht="30" customHeight="1">
      <c r="A7" s="41" t="str">
        <v xml:space="preserve"> BEMS Landfill East</v>
      </c>
      <c r="B7" s="42" t="str">
        <v>NJ</v>
      </c>
      <c r="C7" s="35">
        <v>328242.15999999997</v>
      </c>
      <c r="D7" s="36">
        <v>743855.75</v>
      </c>
      <c r="E7" s="36">
        <f t="shared" si="0"/>
        <v>-415613.59</v>
      </c>
      <c r="F7" s="37">
        <f t="shared" si="3"/>
        <v>-0.55872874545904905</v>
      </c>
      <c r="G7" s="72">
        <v>283735</v>
      </c>
      <c r="H7" s="38">
        <f t="shared" si="1"/>
        <v>44507.159999999974</v>
      </c>
      <c r="I7" s="37">
        <f t="shared" si="2"/>
        <v>0.15686171956226752</v>
      </c>
      <c r="J7" s="59" t="s">
        <v>106</v>
      </c>
      <c r="K7" s="75" t="s">
        <v>88</v>
      </c>
      <c r="L7" s="70" t="s">
        <v>56</v>
      </c>
    </row>
    <row r="8" spans="1:12" ht="15.75">
      <c r="A8" s="43" t="str">
        <v>Southampton - BEMS West NJ-22-C898</v>
      </c>
      <c r="B8" s="40" t="str">
        <v>NJ</v>
      </c>
      <c r="C8" s="28">
        <v>771229</v>
      </c>
      <c r="D8" s="29">
        <v>807871.5</v>
      </c>
      <c r="E8" s="29">
        <f t="shared" si="0"/>
        <v>-36642.5</v>
      </c>
      <c r="F8" s="30">
        <f t="shared" si="3"/>
        <v>-4.5356842022524622E-2</v>
      </c>
      <c r="G8" s="31">
        <v>764197</v>
      </c>
      <c r="H8" s="31">
        <f t="shared" si="1"/>
        <v>7032</v>
      </c>
      <c r="I8" s="32">
        <f t="shared" si="2"/>
        <v>9.201815762166039E-3</v>
      </c>
      <c r="J8" s="49" t="s">
        <v>107</v>
      </c>
      <c r="K8" s="63" t="s">
        <v>108</v>
      </c>
    </row>
    <row r="9" spans="1:12" ht="15.75">
      <c r="A9" s="41" t="str">
        <v>Lakewood Twp - Emergency Services Dev  - NJ-23-0008</v>
      </c>
      <c r="B9" s="42" t="str">
        <v>NJ</v>
      </c>
      <c r="C9" s="35">
        <v>11583.441000000001</v>
      </c>
      <c r="D9" s="36" t="s">
        <v>22</v>
      </c>
      <c r="E9" s="36" t="str">
        <f t="shared" si="0"/>
        <v/>
      </c>
      <c r="F9" s="37" t="str">
        <f t="shared" si="3"/>
        <v/>
      </c>
      <c r="G9" s="72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75">
      <c r="A10" s="43" t="str">
        <v>Lakewood Township - Public Works</v>
      </c>
      <c r="B10" s="40" t="str">
        <v>NJ</v>
      </c>
      <c r="C10" s="28">
        <v>139268.82399999999</v>
      </c>
      <c r="D10" s="29">
        <v>195547.462</v>
      </c>
      <c r="E10" s="29">
        <f t="shared" si="0"/>
        <v>-56278.638000000006</v>
      </c>
      <c r="F10" s="30">
        <f t="shared" si="3"/>
        <v>-0.28780040111182831</v>
      </c>
      <c r="G10" s="31">
        <v>94258</v>
      </c>
      <c r="H10" s="31">
        <f t="shared" si="1"/>
        <v>45010.823999999993</v>
      </c>
      <c r="I10" s="32">
        <f t="shared" si="2"/>
        <v>0.47752789153175318</v>
      </c>
      <c r="J10" s="49" t="s">
        <v>109</v>
      </c>
      <c r="K10" s="63" t="s">
        <v>110</v>
      </c>
    </row>
    <row r="11" spans="1:12" ht="15.75">
      <c r="A11" s="41" t="str">
        <v>Canby - Dover - OR-23-C003</v>
      </c>
      <c r="B11" s="42" t="str">
        <v>OR</v>
      </c>
      <c r="C11" s="35">
        <v>606657.22400000005</v>
      </c>
      <c r="D11" s="36">
        <v>607264</v>
      </c>
      <c r="E11" s="36">
        <f t="shared" si="0"/>
        <v>-606.77599999995437</v>
      </c>
      <c r="F11" s="37">
        <f t="shared" si="3"/>
        <v>-9.9919639563674834E-4</v>
      </c>
      <c r="G11" s="38">
        <v>628020</v>
      </c>
      <c r="H11" s="38">
        <f t="shared" si="1"/>
        <v>-21362.775999999954</v>
      </c>
      <c r="I11" s="37">
        <f t="shared" si="2"/>
        <v>-3.4016075921148935E-2</v>
      </c>
      <c r="J11" s="50"/>
      <c r="K11" s="51"/>
    </row>
    <row r="12" spans="1:12" ht="76.5">
      <c r="A12" s="43" t="str">
        <v xml:space="preserve"> Estacada - Clayfield - OR-23-C001</v>
      </c>
      <c r="B12" s="40" t="str">
        <v>OR</v>
      </c>
      <c r="C12" s="28">
        <v>345245.48499999999</v>
      </c>
      <c r="D12" s="29">
        <v>407692.79999999999</v>
      </c>
      <c r="E12" s="29">
        <f t="shared" si="0"/>
        <v>-62447.315000000002</v>
      </c>
      <c r="F12" s="30">
        <f t="shared" si="3"/>
        <v>-0.15317247447097423</v>
      </c>
      <c r="G12" s="31">
        <v>731514</v>
      </c>
      <c r="H12" s="31">
        <f t="shared" si="1"/>
        <v>-386268.51500000001</v>
      </c>
      <c r="I12" s="32">
        <f t="shared" si="2"/>
        <v>-0.52803981195165095</v>
      </c>
      <c r="J12" s="49" t="s">
        <v>111</v>
      </c>
      <c r="K12" s="63" t="s">
        <v>112</v>
      </c>
      <c r="L12" s="70" t="s">
        <v>113</v>
      </c>
    </row>
    <row r="13" spans="1:12" ht="91.5">
      <c r="A13" s="41" t="str">
        <v>Willamina - Waterford - OR-23-C006</v>
      </c>
      <c r="B13" s="42" t="str">
        <v>OR</v>
      </c>
      <c r="C13" s="35">
        <v>446366.5</v>
      </c>
      <c r="D13" s="36">
        <v>465402.72399999999</v>
      </c>
      <c r="E13" s="36">
        <f t="shared" si="0"/>
        <v>-19036.223999999987</v>
      </c>
      <c r="F13" s="37">
        <f t="shared" si="3"/>
        <v>-4.0902691407538876E-2</v>
      </c>
      <c r="G13" s="38">
        <v>547504.72</v>
      </c>
      <c r="H13" s="38">
        <f t="shared" si="1"/>
        <v>-101138.21999999997</v>
      </c>
      <c r="I13" s="37">
        <f t="shared" si="2"/>
        <v>-0.18472574994421961</v>
      </c>
      <c r="J13" s="59" t="s">
        <v>114</v>
      </c>
      <c r="K13" s="75" t="s">
        <v>115</v>
      </c>
    </row>
    <row r="14" spans="1:12" ht="15.75">
      <c r="A14" s="43" t="str">
        <v>OR-23-C005  Solops  SPI - Belvedere Solar</v>
      </c>
      <c r="B14" s="40" t="str">
        <v>OR</v>
      </c>
      <c r="C14" s="28">
        <v>828134.53700000001</v>
      </c>
      <c r="D14" s="29">
        <v>805271.2</v>
      </c>
      <c r="E14" s="29">
        <f t="shared" si="0"/>
        <v>22863.337000000058</v>
      </c>
      <c r="F14" s="30">
        <f t="shared" si="3"/>
        <v>2.8392095731227019E-2</v>
      </c>
      <c r="G14" s="31">
        <v>823154</v>
      </c>
      <c r="H14" s="31">
        <f t="shared" si="1"/>
        <v>4980.5370000000112</v>
      </c>
      <c r="I14" s="32">
        <f t="shared" si="2"/>
        <v>6.0505531164278025E-3</v>
      </c>
      <c r="J14" s="49"/>
      <c r="K14" s="49"/>
    </row>
    <row r="15" spans="1:12" ht="15.75">
      <c r="A15" s="41" t="str">
        <v>OR-23-C002  SPI - Cork Solar</v>
      </c>
      <c r="B15" s="42" t="str">
        <v>OR</v>
      </c>
      <c r="C15" s="35">
        <v>348509.97700000001</v>
      </c>
      <c r="D15" s="36">
        <v>326165.42</v>
      </c>
      <c r="E15" s="36">
        <f t="shared" si="0"/>
        <v>22344.55700000003</v>
      </c>
      <c r="F15" s="37">
        <f t="shared" si="3"/>
        <v>6.8506823930016961E-2</v>
      </c>
      <c r="G15" s="38">
        <v>319732.04300000001</v>
      </c>
      <c r="H15" s="38">
        <f t="shared" si="1"/>
        <v>28777.934000000008</v>
      </c>
      <c r="I15" s="37">
        <f t="shared" si="2"/>
        <v>9.0006412025459726E-2</v>
      </c>
      <c r="J15" s="50"/>
      <c r="K15" s="51"/>
    </row>
    <row r="16" spans="1:12" ht="1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>
      <c r="C323" s="8"/>
      <c r="D323" s="8"/>
      <c r="E323" s="8"/>
      <c r="F323" s="9"/>
      <c r="G323" s="8"/>
      <c r="H323" s="8"/>
      <c r="I323" s="9"/>
      <c r="J323" s="8"/>
      <c r="K323" s="8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hyperlinks>
    <hyperlink ref="K4" r:id="rId1" display="https://us3.assetplanner.com/service_request?ID=104065" xr:uid="{BAFA736B-F5E8-4AE6-BFB8-91C2BA506896}"/>
    <hyperlink ref="K5" r:id="rId2" display="https://us3.assetplanner.com/service_request?ID=098409" xr:uid="{7B867EEC-281B-4C5E-A4CC-67D5947BA2A3}"/>
    <hyperlink ref="K6" r:id="rId3" display="https://us3.assetplanner.com/service_request?ID=103839" xr:uid="{2D599F1A-A379-4648-AC28-184E72D26029}"/>
    <hyperlink ref="L6" r:id="rId4" display="https://us3.assetplanner.com/service_request?ID=105463" xr:uid="{DF7E9016-9148-4DBA-8AD8-FBD5AA5A6602}"/>
    <hyperlink ref="K7" r:id="rId5" display="https://us3.assetplanner.com/service_request?ID=098408" xr:uid="{473B9925-5A1F-4981-9619-66D5C8C239AA}"/>
    <hyperlink ref="L7" r:id="rId6" display="https://us3.assetplanner.com/service_request?ID=086098" xr:uid="{7D2E9FE0-6B44-4A60-9D3D-7094DE0F3A29}"/>
    <hyperlink ref="K8" r:id="rId7" display="https://us3.assetplanner.com/service_request?ID=102671" xr:uid="{1FC4618B-146B-4520-B1C8-F7251EC85EF6}"/>
    <hyperlink ref="K10" r:id="rId8" display="https://us3.assetplanner.com/service_request?ID=103899" xr:uid="{E1CBDE74-240F-46D7-A966-A09454E55620}"/>
    <hyperlink ref="K12" r:id="rId9" display="https://us3.assetplanner.com/service_request?ID=104276" xr:uid="{FE2600DF-4191-4E2F-9C5C-8FB19459FD41}"/>
    <hyperlink ref="L12" r:id="rId10" display="https://us3.assetplanner.com/service_request?ID=104461" xr:uid="{CB3255F0-3740-41F7-9A51-E7C057BEE496}"/>
    <hyperlink ref="K13" r:id="rId11" display="https://us3.assetplanner.com/service_request?ID=105123" xr:uid="{F236CD6D-0F18-4647-8B8D-4D680C06F26B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3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2" t="str" cm="1">
        <f t="array" ref="A1">portfolio</f>
        <v>Luminace</v>
      </c>
      <c r="B1" s="112"/>
      <c r="C1" s="112"/>
      <c r="D1" s="113" t="s">
        <v>116</v>
      </c>
      <c r="E1" s="113"/>
      <c r="F1" s="113"/>
      <c r="G1" s="111" t="s">
        <v>117</v>
      </c>
      <c r="H1" s="111"/>
      <c r="I1" s="111"/>
      <c r="J1" s="4"/>
      <c r="K1" s="4"/>
    </row>
    <row r="2" spans="1:11" ht="19.5" customHeight="1">
      <c r="A2" s="114" t="s">
        <v>2</v>
      </c>
      <c r="B2" s="114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0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0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2" t="str" cm="1">
        <f t="array" ref="A1">portfolio</f>
        <v>Luminace</v>
      </c>
      <c r="B1" s="112"/>
      <c r="C1" s="112"/>
      <c r="D1" s="113" t="s">
        <v>118</v>
      </c>
      <c r="E1" s="113"/>
      <c r="F1" s="113"/>
      <c r="G1" s="111" t="s">
        <v>119</v>
      </c>
      <c r="H1" s="111"/>
      <c r="I1" s="111"/>
      <c r="J1" s="4"/>
      <c r="K1" s="4"/>
    </row>
    <row r="2" spans="1:11" ht="19.5" customHeight="1">
      <c r="A2" s="114" t="s">
        <v>2</v>
      </c>
      <c r="B2" s="114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60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0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1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112" t="str" cm="1">
        <f t="array" ref="A1">portfolio</f>
        <v>Luminace</v>
      </c>
      <c r="B1" s="112"/>
      <c r="C1" s="112"/>
      <c r="D1" s="113" t="s">
        <v>120</v>
      </c>
      <c r="E1" s="113"/>
      <c r="F1" s="113"/>
      <c r="G1" s="111" t="s">
        <v>121</v>
      </c>
      <c r="H1" s="111"/>
      <c r="I1" s="111"/>
      <c r="J1" s="4"/>
      <c r="K1" s="4"/>
    </row>
    <row r="2" spans="1:11" ht="19.5" customHeight="1">
      <c r="A2" s="114" t="s">
        <v>2</v>
      </c>
      <c r="B2" s="114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84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2" t="str" cm="1">
        <f t="array" ref="A1">portfolio</f>
        <v>Luminace</v>
      </c>
      <c r="B1" s="112"/>
      <c r="C1" s="112"/>
      <c r="D1" s="113" t="s">
        <v>122</v>
      </c>
      <c r="E1" s="113"/>
      <c r="F1" s="113"/>
      <c r="G1" s="111" t="s">
        <v>123</v>
      </c>
      <c r="H1" s="111"/>
      <c r="I1" s="111"/>
      <c r="J1" s="4"/>
      <c r="K1" s="4"/>
    </row>
    <row r="2" spans="1:11" ht="19.5" customHeight="1">
      <c r="A2" s="114" t="s">
        <v>2</v>
      </c>
      <c r="B2" s="114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49.5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2" t="str" cm="1">
        <f t="array" ref="A1">portfolio</f>
        <v>Luminace</v>
      </c>
      <c r="B1" s="112"/>
      <c r="C1" s="112"/>
      <c r="D1" s="113" t="s">
        <v>124</v>
      </c>
      <c r="E1" s="113"/>
      <c r="F1" s="113"/>
      <c r="G1" s="111" t="s">
        <v>125</v>
      </c>
      <c r="H1" s="111"/>
      <c r="I1" s="111"/>
      <c r="J1" s="4"/>
      <c r="K1" s="4"/>
    </row>
    <row r="2" spans="1:11" ht="19.5" customHeight="1">
      <c r="A2" s="114" t="s">
        <v>2</v>
      </c>
      <c r="B2" s="114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 t="shared" ref="F5:F8" si="1">IFERROR(E5/D5, "")</f>
        <v/>
      </c>
      <c r="G5" s="38"/>
      <c r="H5" s="38" t="str">
        <f t="shared" ref="H5:H8" si="2">IF(AND(ISNUMBER(C5),ISNUMBER(G5)), C5-G5, "")</f>
        <v/>
      </c>
      <c r="I5" s="37" t="str">
        <f t="shared" ref="I5:I8" si="3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si="1"/>
        <v/>
      </c>
      <c r="G6" s="31"/>
      <c r="H6" s="31" t="str">
        <f t="shared" si="2"/>
        <v/>
      </c>
      <c r="I6" s="32" t="str">
        <f t="shared" si="3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1"/>
        <v/>
      </c>
      <c r="G7" s="38"/>
      <c r="H7" s="38" t="str">
        <f t="shared" si="2"/>
        <v/>
      </c>
      <c r="I7" s="37" t="str">
        <f t="shared" si="3"/>
        <v/>
      </c>
      <c r="J7" s="59"/>
      <c r="K7" s="59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1"/>
        <v/>
      </c>
      <c r="G8" s="31"/>
      <c r="H8" s="31" t="str">
        <f t="shared" si="2"/>
        <v/>
      </c>
      <c r="I8" s="32" t="str">
        <f t="shared" si="3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5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126</v>
      </c>
      <c r="B1" t="s">
        <v>127</v>
      </c>
    </row>
    <row r="3" spans="1:12" ht="13.15">
      <c r="A3" t="s">
        <v>128</v>
      </c>
      <c r="B3" t="s">
        <v>3</v>
      </c>
      <c r="C3" t="s">
        <v>4</v>
      </c>
      <c r="D3" t="s">
        <v>129</v>
      </c>
      <c r="E3" s="2" t="s">
        <v>130</v>
      </c>
    </row>
    <row r="4" spans="1:12" ht="14.45">
      <c r="A4" s="18" t="s">
        <v>131</v>
      </c>
      <c r="B4" t="s">
        <v>132</v>
      </c>
      <c r="C4" s="17" t="s">
        <v>133</v>
      </c>
      <c r="D4" s="16" t="s">
        <v>134</v>
      </c>
      <c r="E4" t="s">
        <v>135</v>
      </c>
      <c r="G4" s="3"/>
    </row>
    <row r="5" spans="1:12" ht="14.45">
      <c r="A5" s="18" t="s">
        <v>136</v>
      </c>
      <c r="B5" t="s">
        <v>137</v>
      </c>
      <c r="C5" s="17" t="s">
        <v>138</v>
      </c>
      <c r="D5" s="16" t="s">
        <v>134</v>
      </c>
      <c r="E5" t="s">
        <v>135</v>
      </c>
      <c r="G5" s="3"/>
    </row>
    <row r="6" spans="1:12" ht="14.45">
      <c r="A6" s="18" t="s">
        <v>139</v>
      </c>
      <c r="B6" t="s">
        <v>140</v>
      </c>
      <c r="C6" s="17" t="s">
        <v>138</v>
      </c>
      <c r="D6" s="16" t="s">
        <v>134</v>
      </c>
      <c r="E6" t="s">
        <v>135</v>
      </c>
      <c r="G6" s="3"/>
    </row>
    <row r="7" spans="1:12" ht="12.75" customHeight="1">
      <c r="A7" s="18" t="s">
        <v>141</v>
      </c>
      <c r="B7" t="s">
        <v>142</v>
      </c>
      <c r="C7" s="17" t="s">
        <v>138</v>
      </c>
      <c r="D7" s="16"/>
      <c r="E7" t="s">
        <v>135</v>
      </c>
    </row>
    <row r="8" spans="1:12" ht="12.75" customHeight="1">
      <c r="A8" s="18" t="s">
        <v>143</v>
      </c>
      <c r="B8" t="s">
        <v>144</v>
      </c>
      <c r="C8" s="17" t="s">
        <v>138</v>
      </c>
      <c r="D8" s="16" t="s">
        <v>134</v>
      </c>
      <c r="E8" t="s">
        <v>135</v>
      </c>
    </row>
    <row r="9" spans="1:12" ht="12.75" customHeight="1">
      <c r="A9" s="66" t="s">
        <v>145</v>
      </c>
      <c r="B9" s="67" t="s">
        <v>145</v>
      </c>
      <c r="C9" s="17" t="s">
        <v>138</v>
      </c>
      <c r="E9" t="s">
        <v>135</v>
      </c>
      <c r="K9" s="15"/>
      <c r="L9" s="15"/>
    </row>
    <row r="10" spans="1:12" ht="12.75" customHeight="1">
      <c r="A10" s="66" t="s">
        <v>146</v>
      </c>
      <c r="B10" s="67" t="s">
        <v>146</v>
      </c>
      <c r="C10" s="17" t="s">
        <v>138</v>
      </c>
      <c r="E10" t="s">
        <v>135</v>
      </c>
      <c r="K10" s="15"/>
      <c r="L10" s="15"/>
    </row>
    <row r="11" spans="1:12" ht="12.75" customHeight="1">
      <c r="A11" s="66" t="s">
        <v>147</v>
      </c>
      <c r="B11" s="67" t="s">
        <v>148</v>
      </c>
      <c r="C11" s="17" t="s">
        <v>149</v>
      </c>
      <c r="D11" t="s">
        <v>134</v>
      </c>
      <c r="E11" t="s">
        <v>135</v>
      </c>
      <c r="K11" s="15"/>
      <c r="L11" s="15"/>
    </row>
    <row r="12" spans="1:12" ht="12.75" customHeight="1">
      <c r="A12" s="66" t="s">
        <v>150</v>
      </c>
      <c r="B12" s="67" t="s">
        <v>151</v>
      </c>
      <c r="C12" s="17" t="s">
        <v>149</v>
      </c>
      <c r="D12" t="s">
        <v>134</v>
      </c>
      <c r="E12" t="s">
        <v>135</v>
      </c>
    </row>
    <row r="13" spans="1:12" ht="12.75" customHeight="1">
      <c r="A13" s="66" t="s">
        <v>152</v>
      </c>
      <c r="B13" s="67" t="s">
        <v>153</v>
      </c>
      <c r="C13" s="17" t="s">
        <v>149</v>
      </c>
    </row>
    <row r="14" spans="1:12" ht="12.75" customHeight="1">
      <c r="A14" s="66" t="s">
        <v>154</v>
      </c>
      <c r="B14" s="67" t="s">
        <v>154</v>
      </c>
      <c r="C14" s="17" t="s">
        <v>149</v>
      </c>
      <c r="D14" t="s">
        <v>134</v>
      </c>
    </row>
    <row r="15" spans="1:12" ht="12.75" customHeight="1">
      <c r="A15" s="66" t="s">
        <v>155</v>
      </c>
      <c r="B15" s="67" t="s">
        <v>156</v>
      </c>
      <c r="C15" s="17" t="s">
        <v>149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86B234A5-D1F9-499E-939D-8E677C143D94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2025-08-13T13:38:03Z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