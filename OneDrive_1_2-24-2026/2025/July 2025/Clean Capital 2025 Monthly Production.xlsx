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F2522152-AF63-4B93-B6F8-B2741E9257F0}" xr6:coauthVersionLast="47" xr6:coauthVersionMax="47" xr10:uidLastSave="{6AD78A48-6EC9-4C4D-9F02-AE186C9DF0C8}"/>
  <bookViews>
    <workbookView xWindow="-108" yWindow="-108" windowWidth="23256" windowHeight="13896"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5" i="26" l="1"/>
  <c r="E85" i="26"/>
  <c r="C6" i="34"/>
  <c r="D6" i="34"/>
  <c r="E6" i="34"/>
  <c r="F6" i="34"/>
  <c r="G6" i="34"/>
  <c r="H6" i="34"/>
  <c r="I6" i="34"/>
  <c r="C7" i="34"/>
  <c r="D7" i="34"/>
  <c r="E7" i="34"/>
  <c r="F7" i="34"/>
  <c r="G7" i="34"/>
  <c r="H7" i="34"/>
  <c r="I7" i="34"/>
  <c r="C8" i="34"/>
  <c r="D8" i="34"/>
  <c r="E8" i="34"/>
  <c r="F8" i="34"/>
  <c r="G8" i="34"/>
  <c r="H8" i="34"/>
  <c r="I8" i="34"/>
  <c r="C9" i="34"/>
  <c r="D9" i="34"/>
  <c r="E9" i="34"/>
  <c r="F9" i="34"/>
  <c r="G9" i="34"/>
  <c r="H9" i="34"/>
  <c r="I9" i="34"/>
  <c r="C10" i="34"/>
  <c r="D10" i="34"/>
  <c r="E10" i="34"/>
  <c r="F10" i="34"/>
  <c r="G10" i="34"/>
  <c r="H10" i="34"/>
  <c r="I10" i="34"/>
  <c r="C11" i="34"/>
  <c r="D11" i="34"/>
  <c r="E11" i="34"/>
  <c r="F11" i="34"/>
  <c r="G11" i="34"/>
  <c r="H11" i="34"/>
  <c r="I11" i="34"/>
  <c r="C12" i="34"/>
  <c r="D12" i="34"/>
  <c r="E12" i="34"/>
  <c r="F12" i="34"/>
  <c r="G12" i="34"/>
  <c r="H12" i="34"/>
  <c r="I12" i="34"/>
  <c r="C13" i="34"/>
  <c r="D13" i="34"/>
  <c r="E13" i="34"/>
  <c r="F13" i="34"/>
  <c r="G13" i="34"/>
  <c r="H13" i="34"/>
  <c r="I13" i="34"/>
  <c r="C14" i="34"/>
  <c r="D14" i="34"/>
  <c r="E14" i="34"/>
  <c r="F14" i="34"/>
  <c r="G14" i="34"/>
  <c r="H14" i="34"/>
  <c r="I14" i="34"/>
  <c r="C15" i="34"/>
  <c r="D15" i="34"/>
  <c r="E15" i="34"/>
  <c r="F15" i="34"/>
  <c r="G15" i="34"/>
  <c r="H15" i="34"/>
  <c r="I15" i="34"/>
  <c r="C16" i="34"/>
  <c r="D16" i="34"/>
  <c r="E16" i="34"/>
  <c r="F16" i="34"/>
  <c r="G16" i="34"/>
  <c r="H16" i="34"/>
  <c r="I16" i="34"/>
  <c r="C17" i="34"/>
  <c r="D17" i="34"/>
  <c r="E17" i="34"/>
  <c r="F17" i="34"/>
  <c r="G17" i="34"/>
  <c r="H17" i="34"/>
  <c r="I17" i="34"/>
  <c r="C18" i="34"/>
  <c r="D18" i="34"/>
  <c r="E18" i="34"/>
  <c r="F18" i="34"/>
  <c r="G18" i="34"/>
  <c r="H18" i="34"/>
  <c r="I18" i="34"/>
  <c r="C19" i="34"/>
  <c r="D19" i="34"/>
  <c r="E19" i="34"/>
  <c r="F19" i="34"/>
  <c r="G19" i="34"/>
  <c r="H19" i="34"/>
  <c r="I19" i="34"/>
  <c r="C20" i="34"/>
  <c r="D20" i="34"/>
  <c r="E20" i="34"/>
  <c r="F20" i="34"/>
  <c r="G20" i="34"/>
  <c r="H20" i="34"/>
  <c r="I20" i="34"/>
  <c r="C21" i="34"/>
  <c r="D21" i="34"/>
  <c r="E21" i="34"/>
  <c r="F21" i="34"/>
  <c r="G21" i="34"/>
  <c r="H21" i="34"/>
  <c r="I21" i="34"/>
  <c r="C22" i="34"/>
  <c r="D22" i="34"/>
  <c r="E22" i="34"/>
  <c r="F22" i="34"/>
  <c r="G22" i="34"/>
  <c r="H22" i="34"/>
  <c r="I22" i="34"/>
  <c r="C23" i="34"/>
  <c r="D23" i="34"/>
  <c r="E23" i="34"/>
  <c r="F23" i="34"/>
  <c r="G23" i="34"/>
  <c r="H23" i="34"/>
  <c r="I23" i="34"/>
  <c r="C24" i="34"/>
  <c r="D24" i="34"/>
  <c r="E24" i="34"/>
  <c r="F24" i="34"/>
  <c r="G24" i="34"/>
  <c r="H24" i="34"/>
  <c r="I24" i="34"/>
  <c r="C25" i="34"/>
  <c r="D25" i="34"/>
  <c r="E25" i="34"/>
  <c r="F25" i="34"/>
  <c r="G25" i="34"/>
  <c r="H25" i="34"/>
  <c r="I25" i="34"/>
  <c r="C26" i="34"/>
  <c r="D26" i="34"/>
  <c r="E26" i="34"/>
  <c r="F26" i="34"/>
  <c r="G26" i="34"/>
  <c r="H26" i="34"/>
  <c r="I26" i="34"/>
  <c r="C27" i="34"/>
  <c r="D27" i="34"/>
  <c r="E27" i="34"/>
  <c r="F27" i="34"/>
  <c r="G27" i="34"/>
  <c r="H27" i="34"/>
  <c r="I27" i="34"/>
  <c r="C28" i="34"/>
  <c r="D28" i="34"/>
  <c r="E28" i="34"/>
  <c r="F28" i="34"/>
  <c r="G28" i="34"/>
  <c r="H28" i="34"/>
  <c r="I28" i="34"/>
  <c r="C29" i="34"/>
  <c r="D29" i="34"/>
  <c r="E29" i="34"/>
  <c r="F29" i="34"/>
  <c r="G29" i="34"/>
  <c r="H29" i="34"/>
  <c r="I29" i="34"/>
  <c r="C30" i="34"/>
  <c r="D30" i="34"/>
  <c r="E30" i="34"/>
  <c r="F30" i="34"/>
  <c r="G30" i="34"/>
  <c r="H30" i="34"/>
  <c r="I30" i="34"/>
  <c r="C31" i="34"/>
  <c r="D31" i="34"/>
  <c r="E31" i="34"/>
  <c r="F31" i="34"/>
  <c r="G31" i="34"/>
  <c r="H31" i="34"/>
  <c r="I31" i="34"/>
  <c r="C32" i="34"/>
  <c r="D32" i="34"/>
  <c r="E32" i="34"/>
  <c r="F32" i="34"/>
  <c r="G32" i="34"/>
  <c r="H32" i="34"/>
  <c r="I32" i="34"/>
  <c r="C33" i="34"/>
  <c r="D33" i="34"/>
  <c r="E33" i="34"/>
  <c r="F33" i="34"/>
  <c r="G33" i="34"/>
  <c r="H33" i="34"/>
  <c r="I33" i="34"/>
  <c r="C34" i="34"/>
  <c r="D34" i="34"/>
  <c r="E34" i="34"/>
  <c r="F34" i="34"/>
  <c r="G34" i="34"/>
  <c r="H34" i="34"/>
  <c r="I34" i="34"/>
  <c r="C35" i="34"/>
  <c r="D35" i="34"/>
  <c r="E35" i="34"/>
  <c r="F35" i="34"/>
  <c r="G35" i="34"/>
  <c r="H35" i="34"/>
  <c r="I35" i="34"/>
  <c r="C36" i="34"/>
  <c r="D36" i="34"/>
  <c r="E36" i="34"/>
  <c r="F36" i="34"/>
  <c r="G36" i="34"/>
  <c r="H36" i="34"/>
  <c r="I36" i="34"/>
  <c r="C37" i="34"/>
  <c r="D37" i="34"/>
  <c r="E37" i="34"/>
  <c r="F37" i="34"/>
  <c r="G37" i="34"/>
  <c r="H37" i="34"/>
  <c r="I37" i="34"/>
  <c r="C38" i="34"/>
  <c r="D38" i="34"/>
  <c r="E38" i="34"/>
  <c r="F38" i="34"/>
  <c r="G38" i="34"/>
  <c r="H38" i="34"/>
  <c r="I38" i="34"/>
  <c r="C39" i="34"/>
  <c r="D39" i="34"/>
  <c r="E39" i="34"/>
  <c r="F39" i="34"/>
  <c r="G39" i="34"/>
  <c r="H39" i="34"/>
  <c r="I39" i="34"/>
  <c r="C40" i="34"/>
  <c r="D40" i="34"/>
  <c r="E40" i="34"/>
  <c r="F40" i="34"/>
  <c r="G40" i="34"/>
  <c r="H40" i="34"/>
  <c r="I40" i="34"/>
  <c r="C41" i="34"/>
  <c r="D41" i="34"/>
  <c r="E41" i="34"/>
  <c r="F41" i="34"/>
  <c r="G41" i="34"/>
  <c r="H41" i="34"/>
  <c r="I41" i="34"/>
  <c r="C42" i="34"/>
  <c r="D42" i="34"/>
  <c r="E42" i="34"/>
  <c r="F42" i="34"/>
  <c r="G42" i="34"/>
  <c r="H42" i="34"/>
  <c r="I42" i="34"/>
  <c r="C43" i="34"/>
  <c r="D43" i="34"/>
  <c r="E43" i="34"/>
  <c r="F43" i="34"/>
  <c r="G43" i="34"/>
  <c r="H43" i="34"/>
  <c r="I43" i="34"/>
  <c r="C44" i="34"/>
  <c r="D44" i="34"/>
  <c r="E44" i="34"/>
  <c r="F44" i="34"/>
  <c r="G44" i="34"/>
  <c r="H44" i="34"/>
  <c r="I44" i="34"/>
  <c r="C45" i="34"/>
  <c r="D45" i="34"/>
  <c r="E45" i="34"/>
  <c r="F45" i="34"/>
  <c r="G45" i="34"/>
  <c r="H45" i="34"/>
  <c r="I45" i="34"/>
  <c r="C46" i="34"/>
  <c r="D46" i="34"/>
  <c r="E46" i="34"/>
  <c r="F46" i="34"/>
  <c r="G46" i="34"/>
  <c r="H46" i="34"/>
  <c r="I46" i="34"/>
  <c r="C47" i="34"/>
  <c r="D47" i="34"/>
  <c r="E47" i="34"/>
  <c r="F47" i="34"/>
  <c r="G47" i="34"/>
  <c r="H47" i="34"/>
  <c r="I47" i="34"/>
  <c r="C48" i="34"/>
  <c r="D48" i="34"/>
  <c r="E48" i="34"/>
  <c r="F48" i="34"/>
  <c r="G48" i="34"/>
  <c r="H48" i="34"/>
  <c r="I48" i="34"/>
  <c r="C49" i="34"/>
  <c r="D49" i="34"/>
  <c r="E49" i="34"/>
  <c r="F49" i="34"/>
  <c r="G49" i="34"/>
  <c r="H49" i="34"/>
  <c r="I49" i="34"/>
  <c r="C50" i="34"/>
  <c r="D50" i="34"/>
  <c r="E50" i="34"/>
  <c r="F50" i="34"/>
  <c r="G50" i="34"/>
  <c r="H50" i="34"/>
  <c r="I50" i="34"/>
  <c r="C51" i="34"/>
  <c r="D51" i="34"/>
  <c r="E51" i="34"/>
  <c r="F51" i="34"/>
  <c r="G51" i="34"/>
  <c r="H51" i="34"/>
  <c r="I51" i="34"/>
  <c r="C52" i="34"/>
  <c r="D52" i="34"/>
  <c r="E52" i="34"/>
  <c r="F52" i="34"/>
  <c r="G52" i="34"/>
  <c r="H52" i="34"/>
  <c r="I52" i="34"/>
  <c r="C53" i="34"/>
  <c r="D53" i="34"/>
  <c r="E53" i="34"/>
  <c r="F53" i="34"/>
  <c r="G53" i="34"/>
  <c r="H53" i="34"/>
  <c r="I53" i="34"/>
  <c r="C54" i="34"/>
  <c r="D54" i="34"/>
  <c r="E54" i="34"/>
  <c r="F54" i="34"/>
  <c r="G54" i="34"/>
  <c r="H54" i="34"/>
  <c r="I54" i="34"/>
  <c r="C55" i="34"/>
  <c r="D55" i="34"/>
  <c r="E55" i="34"/>
  <c r="F55" i="34"/>
  <c r="G55" i="34"/>
  <c r="H55" i="34"/>
  <c r="I55" i="34"/>
  <c r="C56" i="34"/>
  <c r="D56" i="34"/>
  <c r="E56" i="34"/>
  <c r="F56" i="34"/>
  <c r="G56" i="34"/>
  <c r="H56" i="34"/>
  <c r="I56" i="34"/>
  <c r="C57" i="34"/>
  <c r="D57" i="34"/>
  <c r="E57" i="34"/>
  <c r="F57" i="34"/>
  <c r="G57" i="34"/>
  <c r="H57" i="34"/>
  <c r="I57" i="34"/>
  <c r="C58" i="34"/>
  <c r="D58" i="34"/>
  <c r="E58" i="34"/>
  <c r="F58" i="34"/>
  <c r="G58" i="34"/>
  <c r="H58" i="34"/>
  <c r="I58" i="34"/>
  <c r="C59" i="34"/>
  <c r="D59" i="34"/>
  <c r="E59" i="34"/>
  <c r="F59" i="34"/>
  <c r="G59" i="34"/>
  <c r="H59" i="34"/>
  <c r="I59" i="34"/>
  <c r="C60" i="34"/>
  <c r="D60" i="34"/>
  <c r="E60" i="34"/>
  <c r="F60" i="34"/>
  <c r="G60" i="34"/>
  <c r="H60" i="34"/>
  <c r="I60" i="34"/>
  <c r="C61" i="34"/>
  <c r="D61" i="34"/>
  <c r="E61" i="34"/>
  <c r="F61" i="34"/>
  <c r="G61" i="34"/>
  <c r="H61" i="34"/>
  <c r="I61" i="34"/>
  <c r="C62" i="34"/>
  <c r="D62" i="34"/>
  <c r="E62" i="34"/>
  <c r="F62" i="34"/>
  <c r="G62" i="34"/>
  <c r="H62" i="34"/>
  <c r="I62" i="34"/>
  <c r="C63" i="34"/>
  <c r="D63" i="34"/>
  <c r="E63" i="34"/>
  <c r="F63" i="34"/>
  <c r="G63" i="34"/>
  <c r="H63" i="34"/>
  <c r="I63" i="34"/>
  <c r="C64" i="34"/>
  <c r="D64" i="34"/>
  <c r="E64" i="34"/>
  <c r="F64" i="34"/>
  <c r="G64" i="34"/>
  <c r="H64" i="34"/>
  <c r="I64" i="34"/>
  <c r="C65" i="34"/>
  <c r="D65" i="34"/>
  <c r="E65" i="34"/>
  <c r="F65" i="34"/>
  <c r="G65" i="34"/>
  <c r="H65" i="34"/>
  <c r="I65" i="34"/>
  <c r="C66" i="34"/>
  <c r="D66" i="34"/>
  <c r="E66" i="34"/>
  <c r="F66" i="34"/>
  <c r="G66" i="34"/>
  <c r="H66" i="34"/>
  <c r="I66" i="34"/>
  <c r="C67" i="34"/>
  <c r="D67" i="34"/>
  <c r="E67" i="34"/>
  <c r="F67" i="34"/>
  <c r="G67" i="34"/>
  <c r="H67" i="34"/>
  <c r="I67" i="34"/>
  <c r="C68" i="34"/>
  <c r="D68" i="34"/>
  <c r="E68" i="34"/>
  <c r="F68" i="34"/>
  <c r="G68" i="34"/>
  <c r="H68" i="34"/>
  <c r="I68" i="34"/>
  <c r="C69" i="34"/>
  <c r="D69" i="34"/>
  <c r="E69" i="34"/>
  <c r="F69" i="34"/>
  <c r="G69" i="34"/>
  <c r="H69" i="34"/>
  <c r="I69" i="34"/>
  <c r="C70" i="34"/>
  <c r="D70" i="34"/>
  <c r="E70" i="34"/>
  <c r="F70" i="34"/>
  <c r="G70" i="34"/>
  <c r="H70" i="34"/>
  <c r="I70" i="34"/>
  <c r="C71" i="34"/>
  <c r="D71" i="34"/>
  <c r="E71" i="34"/>
  <c r="F71" i="34"/>
  <c r="G71" i="34"/>
  <c r="H71" i="34"/>
  <c r="I71" i="34"/>
  <c r="C72" i="34"/>
  <c r="D72" i="34"/>
  <c r="E72" i="34"/>
  <c r="F72" i="34"/>
  <c r="G72" i="34"/>
  <c r="H72" i="34"/>
  <c r="I72" i="34"/>
  <c r="C73" i="34"/>
  <c r="D73" i="34"/>
  <c r="E73" i="34"/>
  <c r="F73" i="34"/>
  <c r="G73" i="34"/>
  <c r="H73" i="34"/>
  <c r="I73" i="34"/>
  <c r="C74" i="34"/>
  <c r="D74" i="34"/>
  <c r="E74" i="34"/>
  <c r="F74" i="34"/>
  <c r="G74" i="34"/>
  <c r="H74" i="34"/>
  <c r="I74" i="34"/>
  <c r="C75" i="34"/>
  <c r="D75" i="34"/>
  <c r="E75" i="34"/>
  <c r="F75" i="34"/>
  <c r="G75" i="34"/>
  <c r="H75" i="34"/>
  <c r="I75" i="34"/>
  <c r="C76" i="34"/>
  <c r="D76" i="34"/>
  <c r="E76" i="34"/>
  <c r="F76" i="34"/>
  <c r="G76" i="34"/>
  <c r="H76" i="34"/>
  <c r="I76" i="34"/>
  <c r="C77" i="34"/>
  <c r="D77" i="34"/>
  <c r="E77" i="34"/>
  <c r="F77" i="34"/>
  <c r="G77" i="34"/>
  <c r="H77" i="34"/>
  <c r="I77" i="34"/>
  <c r="C78" i="34"/>
  <c r="D78" i="34"/>
  <c r="E78" i="34"/>
  <c r="F78" i="34"/>
  <c r="G78" i="34"/>
  <c r="H78" i="34"/>
  <c r="I78" i="34"/>
  <c r="C79" i="34"/>
  <c r="D79" i="34"/>
  <c r="E79" i="34"/>
  <c r="F79" i="34"/>
  <c r="G79" i="34"/>
  <c r="H79" i="34"/>
  <c r="I79" i="34"/>
  <c r="C80" i="34"/>
  <c r="D80" i="34"/>
  <c r="E80" i="34"/>
  <c r="F80" i="34"/>
  <c r="G80" i="34"/>
  <c r="H80" i="34"/>
  <c r="I80" i="34"/>
  <c r="C81" i="34"/>
  <c r="D81" i="34"/>
  <c r="E81" i="34"/>
  <c r="F81" i="34"/>
  <c r="G81" i="34"/>
  <c r="H81" i="34"/>
  <c r="I81" i="34"/>
  <c r="C82" i="34"/>
  <c r="D82" i="34"/>
  <c r="E82" i="34"/>
  <c r="F82" i="34"/>
  <c r="G82" i="34"/>
  <c r="H82" i="34"/>
  <c r="I82" i="34"/>
  <c r="C83" i="34"/>
  <c r="D83" i="34"/>
  <c r="E83" i="34"/>
  <c r="F83" i="34"/>
  <c r="G83" i="34"/>
  <c r="H83" i="34"/>
  <c r="I83" i="34"/>
  <c r="C84" i="34"/>
  <c r="D84" i="34"/>
  <c r="E84" i="34"/>
  <c r="F84" i="34"/>
  <c r="G84" i="34"/>
  <c r="H84" i="34"/>
  <c r="I84" i="34"/>
  <c r="C85" i="34"/>
  <c r="D85" i="34"/>
  <c r="E85" i="34"/>
  <c r="F85" i="34"/>
  <c r="G85" i="34"/>
  <c r="H85" i="34"/>
  <c r="I85" i="34"/>
  <c r="C25" i="30"/>
  <c r="D25" i="30"/>
  <c r="E25" i="30"/>
  <c r="F25" i="30"/>
  <c r="G25" i="30"/>
  <c r="H25" i="30"/>
  <c r="I25" i="30"/>
  <c r="C26" i="30"/>
  <c r="D26" i="30"/>
  <c r="E26" i="30"/>
  <c r="F26" i="30"/>
  <c r="G26" i="30"/>
  <c r="H26" i="30"/>
  <c r="I26" i="30"/>
  <c r="C27" i="30"/>
  <c r="D27" i="30"/>
  <c r="E27" i="30"/>
  <c r="F27" i="30"/>
  <c r="G27" i="30"/>
  <c r="H27" i="30"/>
  <c r="I27" i="30"/>
  <c r="C28" i="30"/>
  <c r="D28" i="30"/>
  <c r="E28" i="30"/>
  <c r="F28" i="30"/>
  <c r="G28" i="30"/>
  <c r="H28" i="30"/>
  <c r="I28" i="30"/>
  <c r="C29" i="30"/>
  <c r="D29" i="30"/>
  <c r="E29" i="30"/>
  <c r="F29" i="30"/>
  <c r="G29" i="30"/>
  <c r="H29" i="30"/>
  <c r="I29" i="30"/>
  <c r="C30" i="30"/>
  <c r="D30" i="30"/>
  <c r="E30" i="30"/>
  <c r="F30" i="30"/>
  <c r="G30" i="30"/>
  <c r="H30" i="30"/>
  <c r="I30" i="30"/>
  <c r="C31" i="30"/>
  <c r="D31" i="30"/>
  <c r="E31" i="30"/>
  <c r="F31" i="30"/>
  <c r="G31" i="30"/>
  <c r="H31" i="30"/>
  <c r="I31" i="30"/>
  <c r="C32" i="30"/>
  <c r="D32" i="30"/>
  <c r="E32" i="30"/>
  <c r="F32" i="30"/>
  <c r="G32" i="30"/>
  <c r="H32" i="30"/>
  <c r="I32" i="30"/>
  <c r="C33" i="30"/>
  <c r="D33" i="30"/>
  <c r="E33" i="30"/>
  <c r="F33" i="30"/>
  <c r="G33" i="30"/>
  <c r="H33" i="30"/>
  <c r="I33" i="30"/>
  <c r="C34" i="30"/>
  <c r="D34" i="30"/>
  <c r="E34" i="30"/>
  <c r="F34" i="30"/>
  <c r="G34" i="30"/>
  <c r="H34" i="30"/>
  <c r="I34" i="30"/>
  <c r="C35" i="30"/>
  <c r="D35" i="30"/>
  <c r="E35" i="30"/>
  <c r="F35" i="30"/>
  <c r="G35" i="30"/>
  <c r="H35" i="30"/>
  <c r="I35" i="30"/>
  <c r="C36" i="30"/>
  <c r="D36" i="30"/>
  <c r="E36" i="30"/>
  <c r="F36" i="30"/>
  <c r="G36" i="30"/>
  <c r="H36" i="30"/>
  <c r="I36" i="30"/>
  <c r="C37" i="30"/>
  <c r="D37" i="30"/>
  <c r="E37" i="30"/>
  <c r="F37" i="30"/>
  <c r="G37" i="30"/>
  <c r="H37" i="30"/>
  <c r="I37" i="30"/>
  <c r="C38" i="30"/>
  <c r="D38" i="30"/>
  <c r="E38" i="30"/>
  <c r="F38" i="30"/>
  <c r="G38" i="30"/>
  <c r="H38" i="30"/>
  <c r="I38" i="30"/>
  <c r="C39" i="30"/>
  <c r="D39" i="30"/>
  <c r="E39" i="30"/>
  <c r="F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D43" i="30"/>
  <c r="E43" i="30"/>
  <c r="F43" i="30"/>
  <c r="G43" i="30"/>
  <c r="H43" i="30"/>
  <c r="I43" i="30"/>
  <c r="C44" i="30"/>
  <c r="D44" i="30"/>
  <c r="E44" i="30"/>
  <c r="F44" i="30"/>
  <c r="G44" i="30"/>
  <c r="H44" i="30"/>
  <c r="I44" i="30"/>
  <c r="C45" i="30"/>
  <c r="D45" i="30"/>
  <c r="E45" i="30"/>
  <c r="F45" i="30"/>
  <c r="G45" i="30"/>
  <c r="H45" i="30"/>
  <c r="I45" i="30"/>
  <c r="C46" i="30"/>
  <c r="D46" i="30"/>
  <c r="E46" i="30"/>
  <c r="F46" i="30"/>
  <c r="G46" i="30"/>
  <c r="H46" i="30"/>
  <c r="I46" i="30"/>
  <c r="C47" i="30"/>
  <c r="D47" i="30"/>
  <c r="E47" i="30"/>
  <c r="F47" i="30"/>
  <c r="G47" i="30"/>
  <c r="H47" i="30"/>
  <c r="I47" i="30"/>
  <c r="C48" i="30"/>
  <c r="D48" i="30"/>
  <c r="E48" i="30"/>
  <c r="F48" i="30"/>
  <c r="G48" i="30"/>
  <c r="H48" i="30"/>
  <c r="I48" i="30"/>
  <c r="C49" i="30"/>
  <c r="D49" i="30"/>
  <c r="E49" i="30"/>
  <c r="F49" i="30"/>
  <c r="G49" i="30"/>
  <c r="H49" i="30"/>
  <c r="I49" i="30"/>
  <c r="C50" i="30"/>
  <c r="D50" i="30"/>
  <c r="E50" i="30"/>
  <c r="F50" i="30"/>
  <c r="G50" i="30"/>
  <c r="H50" i="30"/>
  <c r="I50" i="30"/>
  <c r="C51" i="30"/>
  <c r="D51" i="30"/>
  <c r="E51" i="30"/>
  <c r="F51" i="30"/>
  <c r="G51" i="30"/>
  <c r="H51" i="30"/>
  <c r="I51" i="30"/>
  <c r="C52" i="30"/>
  <c r="D52" i="30"/>
  <c r="E52" i="30"/>
  <c r="F52" i="30"/>
  <c r="G52" i="30"/>
  <c r="H52" i="30"/>
  <c r="I52" i="30"/>
  <c r="C53" i="30"/>
  <c r="D53" i="30"/>
  <c r="E53" i="30"/>
  <c r="F53" i="30"/>
  <c r="G53" i="30"/>
  <c r="H53" i="30"/>
  <c r="I53" i="30"/>
  <c r="C54" i="30"/>
  <c r="D54" i="30"/>
  <c r="E54" i="30"/>
  <c r="F54" i="30"/>
  <c r="G54" i="30"/>
  <c r="H54" i="30"/>
  <c r="I54" i="30"/>
  <c r="C55" i="30"/>
  <c r="D55" i="30"/>
  <c r="E55" i="30"/>
  <c r="F55" i="30"/>
  <c r="G55" i="30"/>
  <c r="H55" i="30"/>
  <c r="I55" i="30"/>
  <c r="C56" i="30"/>
  <c r="D56" i="30"/>
  <c r="E56" i="30"/>
  <c r="F56" i="30"/>
  <c r="G56" i="30"/>
  <c r="H56" i="30"/>
  <c r="I56" i="30"/>
  <c r="C57" i="30"/>
  <c r="D57" i="30"/>
  <c r="E57" i="30"/>
  <c r="F57" i="30"/>
  <c r="G57" i="30"/>
  <c r="H57" i="30"/>
  <c r="I57" i="30"/>
  <c r="C58" i="30"/>
  <c r="D58" i="30"/>
  <c r="E58" i="30"/>
  <c r="F58" i="30"/>
  <c r="G58" i="30"/>
  <c r="H58" i="30"/>
  <c r="I58" i="30"/>
  <c r="C59" i="30"/>
  <c r="D59" i="30"/>
  <c r="E59" i="30"/>
  <c r="F59" i="30"/>
  <c r="G59" i="30"/>
  <c r="H59" i="30"/>
  <c r="I59" i="30"/>
  <c r="C60" i="30"/>
  <c r="D60" i="30"/>
  <c r="E60" i="30"/>
  <c r="F60" i="30"/>
  <c r="G60" i="30"/>
  <c r="H60" i="30"/>
  <c r="I60" i="30"/>
  <c r="C61" i="30"/>
  <c r="D61" i="30"/>
  <c r="E61" i="30"/>
  <c r="F61" i="30"/>
  <c r="G61" i="30"/>
  <c r="H61" i="30"/>
  <c r="I61" i="30"/>
  <c r="C62" i="30"/>
  <c r="D62" i="30"/>
  <c r="E62" i="30"/>
  <c r="F62" i="30"/>
  <c r="G62" i="30"/>
  <c r="H62" i="30"/>
  <c r="I62" i="30"/>
  <c r="C63" i="30"/>
  <c r="D63" i="30"/>
  <c r="E63" i="30"/>
  <c r="F63" i="30"/>
  <c r="G63" i="30"/>
  <c r="H63" i="30"/>
  <c r="I63" i="30"/>
  <c r="C64" i="30"/>
  <c r="D64" i="30"/>
  <c r="E64" i="30"/>
  <c r="F64" i="30"/>
  <c r="G64" i="30"/>
  <c r="H64" i="30"/>
  <c r="I64" i="30"/>
  <c r="C65" i="30"/>
  <c r="D65" i="30"/>
  <c r="E65" i="30"/>
  <c r="F65" i="30"/>
  <c r="G65" i="30"/>
  <c r="H65" i="30"/>
  <c r="I65" i="30"/>
  <c r="C66" i="30"/>
  <c r="D66" i="30"/>
  <c r="E66" i="30"/>
  <c r="F66" i="30"/>
  <c r="G66" i="30"/>
  <c r="H66" i="30"/>
  <c r="I66" i="30"/>
  <c r="C67" i="30"/>
  <c r="D67" i="30"/>
  <c r="E67" i="30"/>
  <c r="F67" i="30"/>
  <c r="G67" i="30"/>
  <c r="H67" i="30"/>
  <c r="I67" i="30"/>
  <c r="C68" i="30"/>
  <c r="D68" i="30"/>
  <c r="E68" i="30"/>
  <c r="F68" i="30"/>
  <c r="G68" i="30"/>
  <c r="H68" i="30"/>
  <c r="I68" i="30"/>
  <c r="C69" i="30"/>
  <c r="D69" i="30"/>
  <c r="E69" i="30"/>
  <c r="F69" i="30"/>
  <c r="G69" i="30"/>
  <c r="H69" i="30"/>
  <c r="I69" i="30"/>
  <c r="C70" i="30"/>
  <c r="D70" i="30"/>
  <c r="E70" i="30"/>
  <c r="F70" i="30"/>
  <c r="G70" i="30"/>
  <c r="H70" i="30"/>
  <c r="I70" i="30"/>
  <c r="C71" i="30"/>
  <c r="D71" i="30"/>
  <c r="E71" i="30"/>
  <c r="F71" i="30"/>
  <c r="G71" i="30"/>
  <c r="H71" i="30"/>
  <c r="I71" i="30"/>
  <c r="C72" i="30"/>
  <c r="D72" i="30"/>
  <c r="E72" i="30"/>
  <c r="F72" i="30"/>
  <c r="G72" i="30"/>
  <c r="H72" i="30"/>
  <c r="I72" i="30"/>
  <c r="C73" i="30"/>
  <c r="D73" i="30"/>
  <c r="E73" i="30"/>
  <c r="F73" i="30"/>
  <c r="G73" i="30"/>
  <c r="H73" i="30"/>
  <c r="I73" i="30"/>
  <c r="C74" i="30"/>
  <c r="D74" i="30"/>
  <c r="E74" i="30"/>
  <c r="F74" i="30"/>
  <c r="G74" i="30"/>
  <c r="H74" i="30"/>
  <c r="I74" i="30"/>
  <c r="C75" i="30"/>
  <c r="D75" i="30"/>
  <c r="E75" i="30"/>
  <c r="F75" i="30"/>
  <c r="G75" i="30"/>
  <c r="H75" i="30"/>
  <c r="I75" i="30"/>
  <c r="C76" i="30"/>
  <c r="D76" i="30"/>
  <c r="E76" i="30"/>
  <c r="F76" i="30"/>
  <c r="G76" i="30"/>
  <c r="H76" i="30"/>
  <c r="I76" i="30"/>
  <c r="C77" i="30"/>
  <c r="D77" i="30"/>
  <c r="E77" i="30"/>
  <c r="F77" i="30"/>
  <c r="G77" i="30"/>
  <c r="H77" i="30"/>
  <c r="I77" i="30"/>
  <c r="C78" i="30"/>
  <c r="D78" i="30"/>
  <c r="E78" i="30"/>
  <c r="F78" i="30"/>
  <c r="G78" i="30"/>
  <c r="H78" i="30"/>
  <c r="I78" i="30"/>
  <c r="C79" i="30"/>
  <c r="D79" i="30"/>
  <c r="E79" i="30"/>
  <c r="F79" i="30"/>
  <c r="G79" i="30"/>
  <c r="H79" i="30"/>
  <c r="I79" i="30"/>
  <c r="C80" i="30"/>
  <c r="D80" i="30"/>
  <c r="E80" i="30"/>
  <c r="F80" i="30"/>
  <c r="G80" i="30"/>
  <c r="H80" i="30"/>
  <c r="I80" i="30"/>
  <c r="C81" i="30"/>
  <c r="D81" i="30"/>
  <c r="E81" i="30"/>
  <c r="F81" i="30"/>
  <c r="G81" i="30"/>
  <c r="H81" i="30"/>
  <c r="I81" i="30"/>
  <c r="C82" i="30"/>
  <c r="D82" i="30"/>
  <c r="E82" i="30"/>
  <c r="F82" i="30"/>
  <c r="G82" i="30"/>
  <c r="H82" i="30"/>
  <c r="I82" i="30"/>
  <c r="C83" i="30"/>
  <c r="D83" i="30"/>
  <c r="E83" i="30"/>
  <c r="F83" i="30"/>
  <c r="G83" i="30"/>
  <c r="H83" i="30"/>
  <c r="I83" i="30"/>
  <c r="C84" i="30"/>
  <c r="D84" i="30"/>
  <c r="E84" i="30"/>
  <c r="F84" i="30"/>
  <c r="G84" i="30"/>
  <c r="H84" i="30"/>
  <c r="I84" i="30"/>
  <c r="C85" i="30"/>
  <c r="D85" i="30"/>
  <c r="E85" i="30"/>
  <c r="F85" i="30"/>
  <c r="G85" i="30"/>
  <c r="H85" i="30"/>
  <c r="I85" i="30"/>
  <c r="C47" i="29"/>
  <c r="D47" i="29"/>
  <c r="E47" i="29"/>
  <c r="F47" i="29"/>
  <c r="G47" i="29"/>
  <c r="H47" i="29"/>
  <c r="I47" i="29"/>
  <c r="C48" i="29"/>
  <c r="D48" i="29"/>
  <c r="E48" i="29"/>
  <c r="F48" i="29"/>
  <c r="G48" i="29"/>
  <c r="H48" i="29"/>
  <c r="I48" i="29"/>
  <c r="C49" i="29"/>
  <c r="D49" i="29"/>
  <c r="E49" i="29"/>
  <c r="F49" i="29"/>
  <c r="G49" i="29"/>
  <c r="H49" i="29"/>
  <c r="I49" i="29"/>
  <c r="C50" i="29"/>
  <c r="D50" i="29"/>
  <c r="E50" i="29"/>
  <c r="F50" i="29"/>
  <c r="G50" i="29"/>
  <c r="H50" i="29"/>
  <c r="I50" i="29"/>
  <c r="C51" i="29"/>
  <c r="D51" i="29"/>
  <c r="E51" i="29"/>
  <c r="F51" i="29"/>
  <c r="G51" i="29"/>
  <c r="H51" i="29"/>
  <c r="I51" i="29"/>
  <c r="C52" i="29"/>
  <c r="D52" i="29"/>
  <c r="E52" i="29"/>
  <c r="F52" i="29"/>
  <c r="G52" i="29"/>
  <c r="H52" i="29"/>
  <c r="I52" i="29"/>
  <c r="C53" i="29"/>
  <c r="D53" i="29"/>
  <c r="E53" i="29"/>
  <c r="F53" i="29"/>
  <c r="G53" i="29"/>
  <c r="H53" i="29"/>
  <c r="I53" i="29"/>
  <c r="C54" i="29"/>
  <c r="D54" i="29"/>
  <c r="E54" i="29"/>
  <c r="F54" i="29"/>
  <c r="G54" i="29"/>
  <c r="H54" i="29"/>
  <c r="I54" i="29"/>
  <c r="C55" i="29"/>
  <c r="D55" i="29"/>
  <c r="E55" i="29"/>
  <c r="F55" i="29"/>
  <c r="G55" i="29"/>
  <c r="H55" i="29"/>
  <c r="I55" i="29"/>
  <c r="C56" i="29"/>
  <c r="D56" i="29"/>
  <c r="E56" i="29"/>
  <c r="F56" i="29"/>
  <c r="G56" i="29"/>
  <c r="H56" i="29"/>
  <c r="I56" i="29"/>
  <c r="C57" i="29"/>
  <c r="D57" i="29"/>
  <c r="E57" i="29"/>
  <c r="F57" i="29"/>
  <c r="G57" i="29"/>
  <c r="H57" i="29"/>
  <c r="I57" i="29"/>
  <c r="C58" i="29"/>
  <c r="D58" i="29"/>
  <c r="E58" i="29"/>
  <c r="F58" i="29"/>
  <c r="G58" i="29"/>
  <c r="H58" i="29"/>
  <c r="I58" i="29"/>
  <c r="C59" i="29"/>
  <c r="D59" i="29"/>
  <c r="E59" i="29"/>
  <c r="F59" i="29"/>
  <c r="G59" i="29"/>
  <c r="H59" i="29"/>
  <c r="I59" i="29"/>
  <c r="C60" i="29"/>
  <c r="D60" i="29"/>
  <c r="E60" i="29"/>
  <c r="F60" i="29"/>
  <c r="G60" i="29"/>
  <c r="H60" i="29"/>
  <c r="I60" i="29"/>
  <c r="C61" i="29"/>
  <c r="D61" i="29"/>
  <c r="E61" i="29"/>
  <c r="F61" i="29"/>
  <c r="G61" i="29"/>
  <c r="H61" i="29"/>
  <c r="I61" i="29"/>
  <c r="C62" i="29"/>
  <c r="D62" i="29"/>
  <c r="E62" i="29"/>
  <c r="F62" i="29"/>
  <c r="G62" i="29"/>
  <c r="H62" i="29"/>
  <c r="I62" i="29"/>
  <c r="C63" i="29"/>
  <c r="D63" i="29"/>
  <c r="E63" i="29"/>
  <c r="F63" i="29"/>
  <c r="G63" i="29"/>
  <c r="H63" i="29"/>
  <c r="I63" i="29"/>
  <c r="C64" i="29"/>
  <c r="D64" i="29"/>
  <c r="E64" i="29"/>
  <c r="F64" i="29"/>
  <c r="G64" i="29"/>
  <c r="H64" i="29"/>
  <c r="I64" i="29"/>
  <c r="C65" i="29"/>
  <c r="D65" i="29"/>
  <c r="E65" i="29"/>
  <c r="F65" i="29"/>
  <c r="G65" i="29"/>
  <c r="H65" i="29"/>
  <c r="I65" i="29"/>
  <c r="C66" i="29"/>
  <c r="D66" i="29"/>
  <c r="E66" i="29"/>
  <c r="F66" i="29"/>
  <c r="G66" i="29"/>
  <c r="H66" i="29"/>
  <c r="I66" i="29"/>
  <c r="C67" i="29"/>
  <c r="D67" i="29"/>
  <c r="E67" i="29"/>
  <c r="F67" i="29"/>
  <c r="G67" i="29"/>
  <c r="H67" i="29"/>
  <c r="I67" i="29"/>
  <c r="C68" i="29"/>
  <c r="D68" i="29"/>
  <c r="E68" i="29"/>
  <c r="F68" i="29"/>
  <c r="G68" i="29"/>
  <c r="H68" i="29"/>
  <c r="I68" i="29"/>
  <c r="C69" i="29"/>
  <c r="D69" i="29"/>
  <c r="E69" i="29"/>
  <c r="F69" i="29"/>
  <c r="G69" i="29"/>
  <c r="H69" i="29"/>
  <c r="I69" i="29"/>
  <c r="C70" i="29"/>
  <c r="D70" i="29"/>
  <c r="E70" i="29"/>
  <c r="F70" i="29"/>
  <c r="G70" i="29"/>
  <c r="H70" i="29"/>
  <c r="I70" i="29"/>
  <c r="C71" i="29"/>
  <c r="D71" i="29"/>
  <c r="E71" i="29"/>
  <c r="F71" i="29"/>
  <c r="G71" i="29"/>
  <c r="H71" i="29"/>
  <c r="I71" i="29"/>
  <c r="C72" i="29"/>
  <c r="D72" i="29"/>
  <c r="E72" i="29"/>
  <c r="F72" i="29"/>
  <c r="G72" i="29"/>
  <c r="H72" i="29"/>
  <c r="I72" i="29"/>
  <c r="C73" i="29"/>
  <c r="D73" i="29"/>
  <c r="E73" i="29"/>
  <c r="F73" i="29"/>
  <c r="G73" i="29"/>
  <c r="H73" i="29"/>
  <c r="I73" i="29"/>
  <c r="C74" i="29"/>
  <c r="D74" i="29"/>
  <c r="E74" i="29"/>
  <c r="F74" i="29"/>
  <c r="G74" i="29"/>
  <c r="H74" i="29"/>
  <c r="I74" i="29"/>
  <c r="C75" i="29"/>
  <c r="D75" i="29"/>
  <c r="E75" i="29"/>
  <c r="F75" i="29"/>
  <c r="G75" i="29"/>
  <c r="H75" i="29"/>
  <c r="I75" i="29"/>
  <c r="C76" i="29"/>
  <c r="D76" i="29"/>
  <c r="E76" i="29"/>
  <c r="F76" i="29"/>
  <c r="G76" i="29"/>
  <c r="H76" i="29"/>
  <c r="I76" i="29"/>
  <c r="C77" i="29"/>
  <c r="D77" i="29"/>
  <c r="E77" i="29"/>
  <c r="F77" i="29"/>
  <c r="G77" i="29"/>
  <c r="H77" i="29"/>
  <c r="I77" i="29"/>
  <c r="C78" i="29"/>
  <c r="D78" i="29"/>
  <c r="E78" i="29"/>
  <c r="F78" i="29"/>
  <c r="G78" i="29"/>
  <c r="H78" i="29"/>
  <c r="I78" i="29"/>
  <c r="C79" i="29"/>
  <c r="D79" i="29"/>
  <c r="E79" i="29"/>
  <c r="F79" i="29"/>
  <c r="G79" i="29"/>
  <c r="H79" i="29"/>
  <c r="I79" i="29"/>
  <c r="C80" i="29"/>
  <c r="D80" i="29"/>
  <c r="E80" i="29"/>
  <c r="F80" i="29"/>
  <c r="G80" i="29"/>
  <c r="H80" i="29"/>
  <c r="I80" i="29"/>
  <c r="C81" i="29"/>
  <c r="D81" i="29"/>
  <c r="E81" i="29"/>
  <c r="F81" i="29"/>
  <c r="G81" i="29"/>
  <c r="H81" i="29"/>
  <c r="I81" i="29"/>
  <c r="C82" i="29"/>
  <c r="D82" i="29"/>
  <c r="E82" i="29"/>
  <c r="F82" i="29"/>
  <c r="G82" i="29"/>
  <c r="H82" i="29"/>
  <c r="I82" i="29"/>
  <c r="C83" i="29"/>
  <c r="D83" i="29"/>
  <c r="E83" i="29"/>
  <c r="F83" i="29"/>
  <c r="G83" i="29"/>
  <c r="H83" i="29"/>
  <c r="I83" i="29"/>
  <c r="C84" i="29"/>
  <c r="D84" i="29"/>
  <c r="E84" i="29"/>
  <c r="F84" i="29"/>
  <c r="G84" i="29"/>
  <c r="H84" i="29"/>
  <c r="I84" i="29"/>
  <c r="C85" i="29"/>
  <c r="D85" i="29"/>
  <c r="E85" i="29"/>
  <c r="F85" i="29"/>
  <c r="G85" i="29"/>
  <c r="H85" i="29"/>
  <c r="I85" i="29"/>
  <c r="H7" i="26"/>
  <c r="I7" i="26"/>
  <c r="G7" i="29"/>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I24" i="26" s="1"/>
  <c r="H25" i="26"/>
  <c r="I25" i="26" s="1"/>
  <c r="H26" i="26"/>
  <c r="I26" i="26" s="1"/>
  <c r="H27" i="26"/>
  <c r="I27" i="26" s="1"/>
  <c r="H28" i="26"/>
  <c r="I28" i="26" s="1"/>
  <c r="H29" i="26"/>
  <c r="I29" i="26" s="1"/>
  <c r="H30" i="26"/>
  <c r="I30" i="26" s="1"/>
  <c r="H31" i="26"/>
  <c r="I31" i="26" s="1"/>
  <c r="H32" i="26"/>
  <c r="I32" i="26" s="1"/>
  <c r="H33" i="26"/>
  <c r="I33" i="26" s="1"/>
  <c r="H34" i="26"/>
  <c r="I34" i="26" s="1"/>
  <c r="H35" i="26"/>
  <c r="I35" i="26" s="1"/>
  <c r="H36" i="26"/>
  <c r="I36" i="26" s="1"/>
  <c r="H37" i="26"/>
  <c r="I37" i="26" s="1"/>
  <c r="H38" i="26"/>
  <c r="I38" i="26" s="1"/>
  <c r="H39" i="26"/>
  <c r="I39" i="26" s="1"/>
  <c r="H40" i="26"/>
  <c r="I40" i="26" s="1"/>
  <c r="H41" i="26"/>
  <c r="I41" i="26" s="1"/>
  <c r="H42" i="26"/>
  <c r="I42" i="26" s="1"/>
  <c r="H43" i="26"/>
  <c r="I43" i="26" s="1"/>
  <c r="H44" i="26"/>
  <c r="I44" i="26" s="1"/>
  <c r="H45" i="26"/>
  <c r="I45" i="26" s="1"/>
  <c r="H46" i="26"/>
  <c r="I46" i="26" s="1"/>
  <c r="H47" i="26"/>
  <c r="I47" i="26" s="1"/>
  <c r="H48" i="26"/>
  <c r="I48" i="26" s="1"/>
  <c r="H49" i="26"/>
  <c r="I49" i="26" s="1"/>
  <c r="H50" i="26"/>
  <c r="I50" i="26" s="1"/>
  <c r="H51" i="26"/>
  <c r="I51" i="26" s="1"/>
  <c r="H52" i="26"/>
  <c r="I52" i="26" s="1"/>
  <c r="H53" i="26"/>
  <c r="I53" i="26" s="1"/>
  <c r="H54" i="26"/>
  <c r="I54" i="26" s="1"/>
  <c r="H55" i="26"/>
  <c r="I55" i="26" s="1"/>
  <c r="H56" i="26"/>
  <c r="I56" i="26" s="1"/>
  <c r="H57" i="26"/>
  <c r="I57" i="26" s="1"/>
  <c r="H58" i="26"/>
  <c r="I58" i="26" s="1"/>
  <c r="H59" i="26"/>
  <c r="I59" i="26" s="1"/>
  <c r="H60" i="26"/>
  <c r="I60" i="26" s="1"/>
  <c r="H61" i="26"/>
  <c r="I61" i="26" s="1"/>
  <c r="H62" i="26"/>
  <c r="I62" i="26" s="1"/>
  <c r="H63" i="26"/>
  <c r="I63" i="26" s="1"/>
  <c r="H64" i="26"/>
  <c r="I64" i="26" s="1"/>
  <c r="H65" i="26"/>
  <c r="I65" i="26" s="1"/>
  <c r="H66" i="26"/>
  <c r="I66" i="26" s="1"/>
  <c r="H67" i="26"/>
  <c r="I67" i="26" s="1"/>
  <c r="H68" i="26"/>
  <c r="I68" i="26" s="1"/>
  <c r="H69" i="26"/>
  <c r="I69" i="26" s="1"/>
  <c r="H70" i="26"/>
  <c r="I70" i="26" s="1"/>
  <c r="H71" i="26"/>
  <c r="I71" i="26" s="1"/>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H25" i="29"/>
  <c r="H26" i="29"/>
  <c r="H27" i="29"/>
  <c r="H28" i="29"/>
  <c r="H29" i="29"/>
  <c r="H30" i="29"/>
  <c r="H31" i="29"/>
  <c r="H32" i="29"/>
  <c r="H33" i="29"/>
  <c r="H34" i="29"/>
  <c r="H35" i="29"/>
  <c r="H36" i="29"/>
  <c r="H37" i="29"/>
  <c r="H38" i="29"/>
  <c r="H39" i="29"/>
  <c r="H40" i="29"/>
  <c r="H41" i="29"/>
  <c r="H42" i="29"/>
  <c r="H43" i="29"/>
  <c r="H44" i="29"/>
  <c r="H45" i="29"/>
  <c r="H46" i="29"/>
  <c r="G25" i="29"/>
  <c r="G26" i="29"/>
  <c r="G27" i="29"/>
  <c r="G28" i="29"/>
  <c r="G29" i="29"/>
  <c r="G30" i="29"/>
  <c r="G31" i="29"/>
  <c r="G32" i="29"/>
  <c r="G33" i="29"/>
  <c r="G34" i="29"/>
  <c r="G35" i="29"/>
  <c r="G36" i="29"/>
  <c r="I36" i="29" s="1"/>
  <c r="G37" i="29"/>
  <c r="G38" i="29"/>
  <c r="I38" i="29" s="1"/>
  <c r="G39" i="29"/>
  <c r="I39" i="29" s="1"/>
  <c r="G40" i="29"/>
  <c r="I40" i="29" s="1"/>
  <c r="G41" i="29"/>
  <c r="I41" i="29" s="1"/>
  <c r="G42" i="29"/>
  <c r="G43" i="29"/>
  <c r="G44" i="29"/>
  <c r="G45" i="29"/>
  <c r="G46" i="29"/>
  <c r="D25" i="29"/>
  <c r="D26" i="29"/>
  <c r="D27" i="29"/>
  <c r="D28" i="29"/>
  <c r="D29" i="29"/>
  <c r="D30" i="29"/>
  <c r="D31" i="29"/>
  <c r="D32" i="29"/>
  <c r="D33" i="29"/>
  <c r="D34" i="29"/>
  <c r="D35" i="29"/>
  <c r="D36" i="29"/>
  <c r="D37" i="29"/>
  <c r="D38" i="29"/>
  <c r="D39" i="29"/>
  <c r="D40" i="29"/>
  <c r="D41" i="29"/>
  <c r="D42" i="29"/>
  <c r="D43" i="29"/>
  <c r="D44" i="29"/>
  <c r="D45" i="29"/>
  <c r="D46" i="29"/>
  <c r="C25" i="29"/>
  <c r="C26" i="29"/>
  <c r="C27" i="29"/>
  <c r="C28" i="29"/>
  <c r="C29" i="29"/>
  <c r="E29" i="29" s="1"/>
  <c r="F29" i="29" s="1"/>
  <c r="C30" i="29"/>
  <c r="C31" i="29"/>
  <c r="C32" i="29"/>
  <c r="C33" i="29"/>
  <c r="E33" i="29" s="1"/>
  <c r="F33" i="29" s="1"/>
  <c r="C34" i="29"/>
  <c r="C35" i="29"/>
  <c r="E35" i="29" s="1"/>
  <c r="F35" i="29" s="1"/>
  <c r="C36" i="29"/>
  <c r="C37" i="29"/>
  <c r="C38" i="29"/>
  <c r="C39" i="29"/>
  <c r="C40" i="29"/>
  <c r="E40" i="29" s="1"/>
  <c r="F40" i="29" s="1"/>
  <c r="C41" i="29"/>
  <c r="C42" i="29"/>
  <c r="C43" i="29"/>
  <c r="C44" i="29"/>
  <c r="E44" i="29" s="1"/>
  <c r="F44" i="29" s="1"/>
  <c r="C45" i="29"/>
  <c r="C46" i="29"/>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9" i="18"/>
  <c r="H30" i="18"/>
  <c r="H31" i="18"/>
  <c r="H32" i="18"/>
  <c r="H33" i="18"/>
  <c r="H34" i="18"/>
  <c r="H35" i="18"/>
  <c r="H36" i="18"/>
  <c r="H37" i="18"/>
  <c r="H38" i="18"/>
  <c r="H39" i="18"/>
  <c r="H40" i="18"/>
  <c r="H41" i="18"/>
  <c r="H42" i="18"/>
  <c r="H43" i="18"/>
  <c r="H44" i="18"/>
  <c r="H45" i="18"/>
  <c r="H46" i="18"/>
  <c r="G25" i="18"/>
  <c r="G26" i="18"/>
  <c r="G27" i="18"/>
  <c r="I27" i="18" s="1"/>
  <c r="G28" i="18"/>
  <c r="I28" i="18" s="1"/>
  <c r="G29" i="18"/>
  <c r="G30" i="18"/>
  <c r="I30" i="18" s="1"/>
  <c r="G31" i="18"/>
  <c r="I31" i="18" s="1"/>
  <c r="G32" i="18"/>
  <c r="G33" i="18"/>
  <c r="G34" i="18"/>
  <c r="I34" i="18" s="1"/>
  <c r="G35" i="18"/>
  <c r="I35" i="18" s="1"/>
  <c r="G36" i="18"/>
  <c r="G37" i="18"/>
  <c r="G38" i="18"/>
  <c r="G39" i="18"/>
  <c r="G40" i="18"/>
  <c r="I40" i="18" s="1"/>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E31" i="18" s="1"/>
  <c r="F31" i="18" s="1"/>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I8" i="30"/>
  <c r="I9" i="30"/>
  <c r="I10" i="30"/>
  <c r="I11" i="30"/>
  <c r="I12" i="30"/>
  <c r="I13" i="30"/>
  <c r="I14" i="30"/>
  <c r="I15" i="30"/>
  <c r="I16" i="30"/>
  <c r="I17" i="30"/>
  <c r="I18" i="30"/>
  <c r="I19" i="30"/>
  <c r="I20" i="30"/>
  <c r="I21" i="30"/>
  <c r="I22" i="30"/>
  <c r="I23" i="30"/>
  <c r="I24" i="30"/>
  <c r="H8" i="30"/>
  <c r="H9" i="30"/>
  <c r="H10" i="30"/>
  <c r="H11" i="30"/>
  <c r="H12" i="30"/>
  <c r="H13" i="30"/>
  <c r="H14" i="30"/>
  <c r="H15" i="30"/>
  <c r="H16" i="30"/>
  <c r="H17" i="30"/>
  <c r="H18" i="30"/>
  <c r="H19" i="30"/>
  <c r="H20" i="30"/>
  <c r="H21" i="30"/>
  <c r="H22" i="30"/>
  <c r="H23" i="30"/>
  <c r="H24" i="30"/>
  <c r="G8" i="30"/>
  <c r="G9" i="30"/>
  <c r="G10" i="30"/>
  <c r="G11" i="30"/>
  <c r="G12" i="30"/>
  <c r="G13" i="30"/>
  <c r="G14" i="30"/>
  <c r="G15" i="30"/>
  <c r="G16" i="30"/>
  <c r="G17" i="30"/>
  <c r="G18" i="30"/>
  <c r="G19" i="30"/>
  <c r="G20" i="30"/>
  <c r="G21" i="30"/>
  <c r="G22" i="30"/>
  <c r="G23" i="30"/>
  <c r="G24" i="30"/>
  <c r="F8" i="30"/>
  <c r="F9" i="30"/>
  <c r="F10" i="30"/>
  <c r="F11" i="30"/>
  <c r="F12" i="30"/>
  <c r="F13" i="30"/>
  <c r="F14" i="30"/>
  <c r="F15" i="30"/>
  <c r="F16" i="30"/>
  <c r="F17" i="30"/>
  <c r="F18" i="30"/>
  <c r="F19" i="30"/>
  <c r="F20" i="30"/>
  <c r="F21" i="30"/>
  <c r="F22" i="30"/>
  <c r="F23" i="30"/>
  <c r="F24" i="30"/>
  <c r="E8" i="30"/>
  <c r="E9" i="30"/>
  <c r="E10" i="30"/>
  <c r="E11" i="30"/>
  <c r="E12" i="30"/>
  <c r="E13" i="30"/>
  <c r="E14" i="30"/>
  <c r="E15" i="30"/>
  <c r="E16" i="30"/>
  <c r="E17" i="30"/>
  <c r="E18" i="30"/>
  <c r="E19" i="30"/>
  <c r="E20" i="30"/>
  <c r="E21" i="30"/>
  <c r="E22" i="30"/>
  <c r="E23" i="30"/>
  <c r="E24" i="30"/>
  <c r="D8" i="30"/>
  <c r="D9" i="30"/>
  <c r="D10" i="30"/>
  <c r="D11" i="30"/>
  <c r="D12" i="30"/>
  <c r="D13" i="30"/>
  <c r="D14" i="30"/>
  <c r="D15" i="30"/>
  <c r="D16" i="30"/>
  <c r="D17" i="30"/>
  <c r="D18" i="30"/>
  <c r="D19" i="30"/>
  <c r="D20" i="30"/>
  <c r="D21" i="30"/>
  <c r="D22" i="30"/>
  <c r="D23" i="30"/>
  <c r="D24" i="30"/>
  <c r="C8" i="30"/>
  <c r="C9" i="30"/>
  <c r="C10" i="30"/>
  <c r="C11" i="30"/>
  <c r="C12" i="30"/>
  <c r="C13" i="30"/>
  <c r="C14" i="30"/>
  <c r="C15" i="30"/>
  <c r="C16" i="30"/>
  <c r="C17" i="30"/>
  <c r="C18" i="30"/>
  <c r="C19" i="30"/>
  <c r="C20" i="30"/>
  <c r="C21" i="30"/>
  <c r="C22" i="30"/>
  <c r="C23" i="30"/>
  <c r="C24" i="30"/>
  <c r="C8" i="29"/>
  <c r="C9" i="29"/>
  <c r="C10" i="29"/>
  <c r="C11" i="29"/>
  <c r="C12" i="29"/>
  <c r="C13" i="29"/>
  <c r="C14" i="29"/>
  <c r="C15" i="29"/>
  <c r="C16" i="29"/>
  <c r="C17" i="29"/>
  <c r="C18" i="29"/>
  <c r="C19" i="29"/>
  <c r="C20" i="29"/>
  <c r="C21" i="29"/>
  <c r="C22" i="29"/>
  <c r="C23" i="29"/>
  <c r="C24" i="29"/>
  <c r="H13" i="29"/>
  <c r="H14" i="29"/>
  <c r="H15" i="29"/>
  <c r="H16"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I24" i="29" s="1"/>
  <c r="D8" i="29"/>
  <c r="E8" i="29" s="1"/>
  <c r="F8" i="29" s="1"/>
  <c r="D9" i="29"/>
  <c r="E9" i="29" s="1"/>
  <c r="F9" i="29" s="1"/>
  <c r="D10" i="29"/>
  <c r="E10" i="29" s="1"/>
  <c r="F10" i="29" s="1"/>
  <c r="D11" i="29"/>
  <c r="E11" i="29" s="1"/>
  <c r="F11" i="29" s="1"/>
  <c r="D12" i="29"/>
  <c r="E12" i="29" s="1"/>
  <c r="F12" i="29" s="1"/>
  <c r="D13" i="29"/>
  <c r="E13" i="29" s="1"/>
  <c r="F13" i="29" s="1"/>
  <c r="D14" i="29"/>
  <c r="E14" i="29" s="1"/>
  <c r="F14" i="29" s="1"/>
  <c r="D15" i="29"/>
  <c r="D16" i="29"/>
  <c r="D17" i="29"/>
  <c r="D18" i="29"/>
  <c r="D19" i="29"/>
  <c r="D20" i="29"/>
  <c r="D21" i="29"/>
  <c r="D22" i="29"/>
  <c r="E22" i="29" s="1"/>
  <c r="F22" i="29" s="1"/>
  <c r="D23" i="29"/>
  <c r="E23" i="29" s="1"/>
  <c r="F23" i="29" s="1"/>
  <c r="D24" i="29"/>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I23" i="29" l="1"/>
  <c r="I22" i="29"/>
  <c r="I21" i="29"/>
  <c r="I20" i="29"/>
  <c r="I19" i="29"/>
  <c r="I18" i="29"/>
  <c r="I17" i="29"/>
  <c r="I14" i="29"/>
  <c r="E46" i="29"/>
  <c r="F46" i="29" s="1"/>
  <c r="E30" i="29"/>
  <c r="F30" i="29" s="1"/>
  <c r="E28" i="29"/>
  <c r="F28" i="29" s="1"/>
  <c r="E27" i="29"/>
  <c r="F27" i="29" s="1"/>
  <c r="I37" i="29"/>
  <c r="I34" i="29"/>
  <c r="I33" i="29"/>
  <c r="I32"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I45" i="29"/>
  <c r="E45" i="29"/>
  <c r="F45" i="29" s="1"/>
  <c r="I44" i="29"/>
  <c r="I43" i="29"/>
  <c r="I42" i="29"/>
  <c r="E41" i="29"/>
  <c r="F41" i="29" s="1"/>
  <c r="I35" i="29"/>
  <c r="E34" i="29"/>
  <c r="F34" i="29" s="1"/>
  <c r="E32" i="29"/>
  <c r="F32" i="29" s="1"/>
  <c r="I31" i="29"/>
  <c r="E31" i="29"/>
  <c r="F31" i="29" s="1"/>
  <c r="I30" i="29"/>
  <c r="I28" i="29"/>
  <c r="I27" i="29"/>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38" i="18"/>
  <c r="I26" i="18"/>
  <c r="I75" i="18"/>
  <c r="I74" i="18"/>
  <c r="I73" i="18"/>
  <c r="I72" i="18"/>
  <c r="I71" i="18"/>
  <c r="I70" i="18"/>
  <c r="I69" i="18"/>
  <c r="I68" i="18"/>
  <c r="I67" i="18"/>
  <c r="I66" i="18"/>
  <c r="I65" i="18"/>
  <c r="I64" i="18"/>
  <c r="I63" i="18"/>
  <c r="I62" i="18"/>
  <c r="I61" i="18"/>
  <c r="I60" i="18"/>
  <c r="I59" i="18"/>
  <c r="I58" i="18"/>
  <c r="I57" i="18"/>
  <c r="I56" i="18"/>
  <c r="I55" i="18"/>
  <c r="I54"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I47" i="18"/>
  <c r="E47" i="18"/>
  <c r="F47" i="18" s="1"/>
  <c r="E29" i="18"/>
  <c r="F29" i="18" s="1"/>
  <c r="E44" i="18"/>
  <c r="F44" i="18" s="1"/>
  <c r="I46" i="18"/>
  <c r="I45" i="18"/>
  <c r="I44" i="18"/>
  <c r="I37" i="18"/>
  <c r="I36" i="18"/>
  <c r="I33" i="18"/>
  <c r="I32" i="18"/>
  <c r="I29" i="18"/>
  <c r="E46" i="18"/>
  <c r="F46" i="18" s="1"/>
  <c r="E26" i="18"/>
  <c r="F26" i="18" s="1"/>
  <c r="E32" i="18"/>
  <c r="F32" i="18" s="1"/>
  <c r="I23" i="18"/>
  <c r="I17" i="18"/>
  <c r="I24" i="18"/>
  <c r="I14" i="18"/>
  <c r="I13" i="18"/>
  <c r="E23" i="18"/>
  <c r="F23" i="18" s="1"/>
  <c r="G2" i="18"/>
  <c r="I16" i="18"/>
  <c r="E24" i="18"/>
  <c r="F24" i="18" s="1"/>
  <c r="E8" i="18"/>
  <c r="F8" i="18" s="1"/>
  <c r="H20" i="18"/>
  <c r="I20" i="18" s="1"/>
  <c r="E22" i="18"/>
  <c r="F22" i="18" s="1"/>
  <c r="E13" i="18"/>
  <c r="F13" i="18" s="1"/>
  <c r="E12" i="18"/>
  <c r="F12" i="18" s="1"/>
  <c r="E16" i="18"/>
  <c r="F16" i="18" s="1"/>
  <c r="H19" i="18"/>
  <c r="I19" i="18" s="1"/>
  <c r="I24" i="21"/>
  <c r="I23" i="21"/>
  <c r="I22" i="21"/>
  <c r="I15" i="18"/>
  <c r="E24" i="1"/>
  <c r="F24" i="1" s="1"/>
  <c r="E23" i="1"/>
  <c r="F23" i="1" s="1"/>
  <c r="E22" i="1"/>
  <c r="F22" i="1" s="1"/>
  <c r="E21" i="1"/>
  <c r="F21" i="1" s="1"/>
  <c r="E20" i="1"/>
  <c r="F20" i="1" s="1"/>
  <c r="E19" i="1"/>
  <c r="F19" i="1" s="1"/>
  <c r="E18" i="1"/>
  <c r="F18" i="1" s="1"/>
  <c r="E17" i="1"/>
  <c r="F17" i="1" s="1"/>
  <c r="I16" i="1"/>
  <c r="I15" i="1"/>
  <c r="I14" i="1"/>
  <c r="I13" i="1"/>
  <c r="I12" i="1"/>
  <c r="E8" i="1"/>
  <c r="F8" i="1" s="1"/>
  <c r="I11" i="1"/>
  <c r="I10" i="1"/>
  <c r="I9" i="1"/>
  <c r="I8" i="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5" i="30"/>
  <c r="G4" i="30"/>
  <c r="E5" i="28"/>
  <c r="F5" i="28" s="1"/>
  <c r="E5" i="27"/>
  <c r="G5" i="29"/>
  <c r="G6" i="29"/>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I21" i="1" l="1"/>
  <c r="I19" i="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7" i="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G2" i="30"/>
  <c r="A1" i="30" a="1"/>
  <c r="A1" i="30" s="1"/>
  <c r="B4" i="29" a="1"/>
  <c r="B4" i="29" s="1"/>
  <c r="A4" i="29" a="1"/>
  <c r="A4" i="29" s="1"/>
  <c r="G2" i="29"/>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2" i="26"/>
  <c r="H12" i="29" s="1"/>
  <c r="I12" i="29" s="1"/>
  <c r="H11" i="26"/>
  <c r="H10" i="26"/>
  <c r="H9" i="26"/>
  <c r="H9" i="29" s="1"/>
  <c r="I9" i="29" s="1"/>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I8" i="26" l="1"/>
  <c r="H8" i="29"/>
  <c r="I8" i="29" s="1"/>
  <c r="I11" i="26"/>
  <c r="H11" i="29"/>
  <c r="I11" i="29" s="1"/>
  <c r="I10" i="26"/>
  <c r="H10" i="29"/>
  <c r="I10" i="29" s="1"/>
  <c r="I8" i="21"/>
  <c r="H8" i="18"/>
  <c r="I9" i="21"/>
  <c r="H9" i="18"/>
  <c r="I12" i="21"/>
  <c r="H12" i="18"/>
  <c r="I11" i="21"/>
  <c r="H11" i="18"/>
  <c r="I10" i="21"/>
  <c r="H10" i="18"/>
  <c r="C5" i="34"/>
  <c r="D5" i="34"/>
  <c r="H6" i="29"/>
  <c r="I6" i="29" s="1"/>
  <c r="E7" i="18"/>
  <c r="F7" i="18" s="1"/>
  <c r="D4" i="34"/>
  <c r="D2" i="18"/>
  <c r="H6" i="30"/>
  <c r="H7" i="29"/>
  <c r="I7" i="29" s="1"/>
  <c r="E4" i="18"/>
  <c r="F4" i="18" s="1"/>
  <c r="E4" i="30"/>
  <c r="F4" i="30" s="1"/>
  <c r="D2" i="29"/>
  <c r="I10" i="27"/>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G2" i="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C2" i="29"/>
  <c r="C2" i="30"/>
  <c r="E4" i="29"/>
  <c r="F4" i="29" s="1"/>
  <c r="C2" i="18"/>
  <c r="H7" i="1"/>
  <c r="I7" i="1" s="1"/>
  <c r="H4" i="1"/>
  <c r="H5" i="1"/>
  <c r="I5" i="1" s="1"/>
  <c r="H6" i="1"/>
  <c r="I6" i="1" s="1"/>
  <c r="C2" i="1"/>
  <c r="E2" i="3"/>
  <c r="F2" i="3" s="1"/>
  <c r="E4" i="1"/>
  <c r="F4" i="1" s="1"/>
  <c r="D2" i="1"/>
  <c r="E2" i="33"/>
  <c r="F2" i="33" s="1"/>
  <c r="E2" i="32"/>
  <c r="F2" i="32" s="1"/>
  <c r="E2" i="31"/>
  <c r="F2" i="31" s="1"/>
  <c r="E2" i="27"/>
  <c r="F2" i="27" s="1"/>
  <c r="E2" i="26"/>
  <c r="F2" i="26" s="1"/>
  <c r="E2" i="19"/>
  <c r="F2" i="19" s="1"/>
  <c r="E2" i="21"/>
  <c r="F2" i="21" s="1"/>
  <c r="E2" i="4"/>
  <c r="F2" i="4" s="1"/>
  <c r="H2" i="72"/>
  <c r="I8" i="18" l="1"/>
  <c r="I9" i="18"/>
  <c r="I12" i="18"/>
  <c r="I11" i="18"/>
  <c r="I10" i="18"/>
  <c r="E5" i="34"/>
  <c r="F5" i="34" s="1"/>
  <c r="D2" i="34"/>
  <c r="I5" i="30"/>
  <c r="H5" i="34"/>
  <c r="I5" i="34" s="1"/>
  <c r="I7" i="30"/>
  <c r="I6" i="30"/>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<sst xmlns="http://schemas.openxmlformats.org/spreadsheetml/2006/main" count="1321" uniqueCount="665">
  <si>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</si>
  <si>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</si>
  <si>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</si>
  <si>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</si>
  <si>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</si>
  <si>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</si>
  <si>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</si>
  <si>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</si>
  <si>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</si>
  <si>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</si>
  <si>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</si>
  <si>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</si>
  <si>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</si>
  <si>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</si>
  <si>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</si>
  <si>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</si>
  <si>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</si>
  <si>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</si>
  <si>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</si>
  <si>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</si>
  <si>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</si>
  <si>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</si>
  <si>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</si>
  <si>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</si>
  <si>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</si>
  <si>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</si>
  <si>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</si>
  <si>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</si>
  <si>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</si>
  <si>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</si>
  <si>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</si>
  <si>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</si>
  <si>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</si>
  <si>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</si>
  <si>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</si>
  <si>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</si>
  <si>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</si>
  <si>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</si>
  <si>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</si>
  <si>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</si>
  <si>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</si>
  <si>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</si>
  <si>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</si>
  <si>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</si>
  <si>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</si>
  <si>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</si>
  <si>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</si>
  <si>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</si>
  <si>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</si>
  <si>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</si>
  <si>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</si>
  <si>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</si>
  <si>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</si>
  <si>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</si>
  <si>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</si>
  <si>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</si>
  <si>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</si>
  <si>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</si>
  <si>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</si>
  <si>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</si>
  <si>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</si>
  <si>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</si>
  <si>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</si>
  <si>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</si>
  <si>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</si>
  <si>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</si>
  <si>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</si>
  <si>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</si>
  <si>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</si>
  <si>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</si>
  <si>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</si>
  <si>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</si>
  <si>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</si>
  <si>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</si>
  <si>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</si>
  <si>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</si>
  <si>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</si>
  <si>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</si>
  <si>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</si>
  <si>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</si>
  <si>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</si>
  <si>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</si>
  <si>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</si>
  <si>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</si>
  <si>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</si>
  <si>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</si>
  <si>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</si>
  <si>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</si>
  <si>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</si>
  <si>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</si>
  <si>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</si>
  <si>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</si>
  <si>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</si>
  <si>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</si>
  <si>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</si>
  <si>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</si>
  <si>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</si>
  <si>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</si>
  <si>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</si>
  <si>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</si>
  <si>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</si>
  <si>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</si>
  <si>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</si>
  <si>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</si>
  <si>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</si>
  <si>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</si>
  <si>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</si>
  <si>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</si>
  <si>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</si>
  <si>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</si>
  <si>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</si>
  <si>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</si>
  <si>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</si>
  <si>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</si>
  <si>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</si>
  <si>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</si>
  <si>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</si>
  <si>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</si>
  <si>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</si>
  <si>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</si>
  <si>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</si>
  <si>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</si>
  <si>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</si>
  <si>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</si>
  <si>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</si>
  <si>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</si>
  <si>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</si>
  <si>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</si>
  <si>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</si>
  <si>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</si>
  <si>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</si>
  <si>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</si>
  <si>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</si>
  <si>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</si>
  <si>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</si>
  <si>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</si>
  <si>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</si>
  <si>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</si>
  <si>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</si>
  <si>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</si>
  <si>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</si>
  <si>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</si>
  <si>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</si>
  <si>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</si>
  <si>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</si>
  <si>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</si>
  <si>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</si>
  <si>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</si>
  <si>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</si>
  <si>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</si>
  <si>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</si>
  <si>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</si>
  <si>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</si>
  <si>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</si>
  <si>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</si>
  <si>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</si>
  <si>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</si>
  <si>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</si>
  <si>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</si>
  <si>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</si>
  <si>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</si>
  <si>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</si>
  <si>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</si>
  <si>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</si>
  <si>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</si>
  <si>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</si>
  <si>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</si>
  <si>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</si>
  <si>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</si>
  <si>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</si>
  <si>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</si>
  <si>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</si>
  <si>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</si>
  <si>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</si>
  <si>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</si>
  <si>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</si>
  <si>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</si>
  <si>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</si>
  <si>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</si>
  <si>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</si>
  <si>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</si>
  <si>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</si>
  <si>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</si>
  <si>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</si>
  <si>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</si>
  <si>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</si>
  <si>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</si>
  <si>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</si>
  <si>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</si>
  <si>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</si>
  <si>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</si>
  <si>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</si>
  <si>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</si>
  <si>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</si>
  <si>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</si>
  <si>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</si>
  <si>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</si>
  <si>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</si>
  <si>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</si>
  <si>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</si>
  <si>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</si>
  <si>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</si>
  <si>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</si>
  <si>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</si>
  <si>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</si>
  <si>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</si>
  <si>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</si>
  <si>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</si>
  <si>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</si>
  <si>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</si>
  <si>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</si>
  <si>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</si>
  <si>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</si>
  <si>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</si>
  <si>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</si>
  <si>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</si>
  <si>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</si>
  <si>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</si>
  <si>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</si>
  <si>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</si>
  <si>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</si>
  <si>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</si>
  <si>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</si>
  <si>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</si>
  <si>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</si>
  <si>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</si>
  <si>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</si>
  <si>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</si>
  <si>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</si>
  <si>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</si>
  <si>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</si>
  <si>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</si>
  <si>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</si>
  <si>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</si>
  <si>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</si>
  <si>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</si>
  <si>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</si>
  <si>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</si>
  <si>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</si>
  <si>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</si>
  <si>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</si>
  <si>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</si>
  <si>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</si>
  <si>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</si>
  <si>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</si>
  <si>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</si>
  <si>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</si>
  <si>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</si>
  <si>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</si>
  <si>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</si>
  <si>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</si>
  <si>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</si>
  <si>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</si>
  <si>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</si>
  <si>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</si>
  <si>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</si>
  <si>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</si>
  <si>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</si>
  <si>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</si>
  <si>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</si>
  <si>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</si>
  <si>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</si>
  <si>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</si>
  <si>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</si>
  <si>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</si>
  <si>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</si>
  <si>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</si>
  <si>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</si>
  <si>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</si>
  <si>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</si>
  <si>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</si>
  <si>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</si>
  <si>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</si>
  <si>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</si>
  <si>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</si>
  <si>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</si>
  <si>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</si>
  <si>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</si>
  <si>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</si>
  <si>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</si>
  <si>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</si>
  <si>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</si>
  <si>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</si>
  <si>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</si>
  <si>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</si>
  <si>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</si>
  <si>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</si>
  <si>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</si>
  <si>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</si>
  <si>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</si>
  <si>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</si>
  <si>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</si>
  <si>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</si>
  <si>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</si>
  <si>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</si>
  <si>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</si>
  <si>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</si>
  <si>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</si>
  <si>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</si>
  <si>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</si>
  <si>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</si>
  <si>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</si>
  <si>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</si>
  <si>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</si>
  <si>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</si>
  <si>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</si>
  <si>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</si>
  <si>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</si>
  <si>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</si>
  <si>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</si>
  <si>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</si>
  <si>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</si>
  <si>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</si>
  <si>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</si>
  <si>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</si>
  <si>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</si>
  <si>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</si>
  <si>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</si>
  <si>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</si>
  <si>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</si>
  <si>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</si>
  <si>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</si>
  <si>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</si>
  <si>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</si>
  <si>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</si>
  <si>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</si>
  <si>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</si>
  <si>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</si>
  <si>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</si>
  <si>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</si>
  <si>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</si>
  <si>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</si>
  <si>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</si>
  <si>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</si>
  <si>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</si>
  <si>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</si>
  <si>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</si>
  <si>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</si>
  <si>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</si>
  <si>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</si>
  <si>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</si>
  <si>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</si>
  <si>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</si>
  <si>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</si>
  <si>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</si>
  <si>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</si>
  <si>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</si>
  <si>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 xml:space="preserve">1. Inverter I has been offline at 06:04 on 05/12 due to an  "ARC fault detected" and  back online at 13:20 on 07/28.
2. Inverter L tripped offline at 12:20 on 05/13 due to an "ARC fault detected" and  back online at 13:20 on 07/28.
3. Inverter Q tripped offline at 10:10 on 05/18 due to an "ARC fault detected" and  back online at 13:20 on 07/28..
4.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
6. Inverter O went offline at 06:40 on 07/18 and back online at 06:50 on 07/22. It tripped offline again at 06:50 on 07/23 and was back online at 07:20 on 07/29.
</t>
  </si>
  <si>
    <t>1. SR101243
2. SR101243
3. SR101243
4. SR101243
5. SR101245
6. SR104647</t>
  </si>
  <si>
    <t>SR104647</t>
  </si>
  <si>
    <t>1. Site was offline at 18:00 on 07/27 and back online at 07:15 on 07/28.</t>
  </si>
  <si>
    <t>1. SR103481</t>
  </si>
  <si>
    <t>1. Inverter 3.5 has tripped offline at 14:45 on 07/04 and reporting " Grid Line Voltage Out of Range - GridV.OutLim" and offline throughout the month.
2. Inverter 2.5 is intermittently derating during high irradiance since 07/08.</t>
  </si>
  <si>
    <t>1. SR104023
2.SR104137, SR102343</t>
  </si>
  <si>
    <t>SR104137</t>
  </si>
  <si>
    <t>SR102343</t>
  </si>
  <si>
    <t>1. Site tripped offline at 07:00 on 07/29 and after reset the main breaker Site is back online at 12:30 on 07/29.</t>
  </si>
  <si>
    <t>1. SR105212</t>
  </si>
  <si>
    <t>1. Inverter 12 was offline on 06/07 and reporting  "Bst hardware overcurrent fault - and is being RMA'd and back online at 07:00 on 07/03. And again tripped offline at 06:00 on 07/26 and back online at 06:00 on 07/28.
2.  Inverter 9 derated at 40kW from 06/01 to 06/05 and reporting  reporting "External Fan Err - ExtFanerr" and inverter is under  RMA for replacement fans.</t>
  </si>
  <si>
    <t xml:space="preserve">1. SR102644
2. SR102209
</t>
  </si>
  <si>
    <t>1. Inverter 3 is derating at 75kW from 13:45 on 06/19 and reporting "External Fan
 Err - ExtFanerr" and the fan is being RMA'd.</t>
  </si>
  <si>
    <t>1. SR103184</t>
  </si>
  <si>
    <t>1. Inverters 1,6,7,8 have a sporadic derating pattern during high irradiance. Additioanlly inverter 3 was started derating since 07/25. Waiting for mowing to occur on 8/11/25 to see if production improves.
2. Site stopped communicating at 05:30 on 07/01 and tech found breaker trip and site back online on 07/02.</t>
  </si>
  <si>
    <t>1. SR103740
2. SR103900</t>
  </si>
  <si>
    <t>SR103900</t>
  </si>
  <si>
    <t>1. All trackers were stuck on 07/27 and later self-resolved and came back online on 07/28, except tracker A1 S 19, which is still stuck.</t>
  </si>
  <si>
    <t>1. SR101919</t>
  </si>
  <si>
    <t>1. Expect inverter 3 all inveters are offline from 16:00 on 07/21 and later self resolved and back online at 06:00 07/22.
2. Inverter 5 dropped a string on 06/11 and fuse need to be replaced.</t>
  </si>
  <si>
    <t>1. SR104742
2. SR103239</t>
  </si>
  <si>
    <t>SR103239</t>
  </si>
  <si>
    <t>1. Inverter 8 (College Inverter 16 on DAS) is under performing by about 30% on average and Inverters 11 and 17 (Convent 39 and HS 45) also appear to be intermittently underperforming compared to peers for whole month. Will be investigate while nextime onsite.</t>
  </si>
  <si>
    <t xml:space="preserve">1. Inverters 3 and 4 tripped offline at 13:00 on 06/28 and reporting "Serial el.arc in String detected by AFCI mod" and back online at 09:00 07/08.
2. Inverter A2  was offline at 06:00 on 07/01 and after Installed the new inverter A2 was back online at 09:00 on 07/08.
</t>
  </si>
  <si>
    <t>1. SR103686
2. SR101068</t>
  </si>
  <si>
    <t>1. Inverters 9, 12, and 18 went offline at 06:00 on 07/01. Only Inverter 12 is back online at 14:00 on 07/08. Additionally, Inverter 5 was offline at 06:00 on 07/10 and  self-resolved and was back online at 12:40 on 07/10. and Inverter 13 tripped offline at 09:50 on 07/18. Waiting for approval to dispatch.</t>
  </si>
  <si>
    <t>1. SR099730</t>
  </si>
  <si>
    <t>1. Inverters 5 and 7 are again derating at 10kW in the 12:00 on 07/22 and 07/23. Inverter  14 and 15 underperforming by 3kW compared to peers and Inverter 9 and 11 underperforming by 2kW compared to peers for whole month. Waiting for approval to dispatch.</t>
  </si>
  <si>
    <t>1. Inverter 10 is derating at 10kW from 12:40 on 06/02 for whole month.Additionally Inverter 10 tripped offline at 11:10 on 07/23. Will be addressed in next month.
2. Inverter 4 was derating for whole month. Will be addressed in next month.
3. Inverters 1 and 7 were offline and meter was not communicated for whole month. Will be addressed in next month.</t>
  </si>
  <si>
    <t>1. Inverter 4 started derating midday by 4kW on 6/28/25.Will need to be investigate</t>
  </si>
  <si>
    <t>SR103914, SR 098016</t>
  </si>
  <si>
    <t>SR 09801</t>
  </si>
  <si>
    <t>1. 2 strings and the combiner box were offline from the aerial. On 07/10, the technician checked the system and found that Inverter 1 was offline, and Inverters 3 and 6 were each missing one fuse. He installed new fuses and re-energized the system. All inverters were back online at 12:20 on 07/10.</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</si>
  <si>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is communicating for whole month and its under PG &amp;E isolated the meter.
</t>
  </si>
  <si>
    <t xml:space="preserve">1. SR104147, SR104192
2.SR102794, PM16047
3. SR103335
</t>
  </si>
  <si>
    <t>SR104192</t>
  </si>
  <si>
    <t>1. Actual vs expected delta is showing 37% due to expected energy recording low possibly due to data glitch (similar event observe last 2 years).</t>
  </si>
  <si>
    <t>1. Actual vs expected delta is showing 17% due to expected energy recording low possibly due to data glitch (similar event observe last 2 years).</t>
  </si>
  <si>
    <t>1. CB 2A string 1 is underperforming by 6 amps for whole month. CB 1 not communicating from 6/13/24. CB 3 and 4 not communicating from 5/10/25.</t>
  </si>
  <si>
    <t xml:space="preserve">1. SR102723, SR105641
</t>
  </si>
  <si>
    <t>SR105641</t>
  </si>
  <si>
    <t>1. The site went offline at 15:45 on 05/22. After replacing the backplane of the card cage and the wiring harness for Fan 1, the site came back online at 10:30 on 07/16.</t>
  </si>
  <si>
    <t>1. Inverter 2 underperforming by approximately 70 kW and inverter 1 is underperforming by approximately 120 kW. When looking at previous years during the same time frame this trend is relevant and scheduled during PM.</t>
  </si>
  <si>
    <t>1. Inverter 1 and 2 are underproducing by 60kW due to multiple modules that are burned and broken and need to be replaced. 
2. Site was offline at 15:45 on 07/28 and after Power cycled DAS equipment site is back online at 16:00 on 07/30</t>
  </si>
  <si>
    <t>1. SR101818
2. SR105205</t>
  </si>
  <si>
    <t>SR105205</t>
  </si>
  <si>
    <t>1.  The anemometer SE 03 has stopped communicating from 10/14/23.
2. The inverter is tripped offline at 17:45 on  07/11 and reporting system fault (fault6) and main fault (fault 1) and back online at 11:30 on 07/17.</t>
  </si>
  <si>
    <t>1. SR101021
2. SR104390</t>
  </si>
  <si>
    <t>SR104390</t>
  </si>
  <si>
    <t>1. 10 modules were broken and will need to be replaced
2. Inverter was underproducing 100kW down from 08/23/23.</t>
  </si>
  <si>
    <t>1. SR105366, PM16547
2. SR101100</t>
  </si>
  <si>
    <t>SR101100</t>
  </si>
  <si>
    <t>1.  Inverters E2, E4, and G4 were offline for whole month and  inverter A3, 2 strings down 0 voltage since 07/25. Inverter A2 1 string down 0 voltage.
2. Inverters A1 - A4 have tripped offline at 13:00 on 07/08 and back online at 13:45 on 07/09 and again inverters tripped offline at 12:00 on 07/10 and back online at 13:00 on 07/25.
3. Inverter B1 tripped offline at 15:30 on 07/18 and back online at 15:30 on 07/19 and again offline on 07/29.
4.  Inverters B1 - B5 and C1 were offline from 06/27 to 13:45 on 07/09
5. The POA was reading a constant 1237.22 W/m2 from 7:30 to 18:30 MDT daily.</t>
  </si>
  <si>
    <t>1. SR105192
2. SR104170
3. SR104643
4. SR103517
5. SR101057</t>
  </si>
  <si>
    <t>SR104170</t>
  </si>
  <si>
    <t>SR104643</t>
  </si>
  <si>
    <t>1.  Inverter G was offline from 07/06 to 07/15 and again inverter G was offline from 07/21 to  07/22 and again inverter was offline on 07/26 and back online on 07/27, 
2. inverter E offline (LOTO'd on 6/12/24). inverter A underperforming by 17kW. Inverter G underperforming by 7kW. Inverter F underperforming by 5kW.</t>
  </si>
  <si>
    <t>1.  Inverters C and E offline and LOTOd during PM on 11/18/24. Inverters A,B,D are not communicating from 3/6/25; according to the meter 1 of these inverters is offline.</t>
  </si>
  <si>
    <t>1. Inverter F offline and LOTOd from 6/14/24. Inverter H offline from and LOTOd from 6/14/24. Inverters A,B,C,D,E,G not communicating from 9/19/24 not all production at the meter (60kW difference between total inverter and meter power; possible 3 of these inverters are offline).</t>
  </si>
  <si>
    <t>1. Inverters A, C and D were offline for whole month.</t>
  </si>
  <si>
    <t>1. Inverter K11 tripped offline on 07/23 at 10:45 and was offline for whole month.
2. Inverter C3 was offline for whole month. 
3. Inverter B-2 offline from 2/28/25 and LOTO'd ". Inverter D-4 offline from 2/28/25 and LOTO'd. Inverter  8 offline 5/6/25 was replaced but not communicating. inverter I-9 offline from 5/17/25. inverter 10 underperforming by 10 kW. Inverter F-6 was offline.
4.  POA data inaccurate. Reading a constant 1237.82 W/m2 intermittently.</t>
  </si>
  <si>
    <t>1. SR104882
2. SR103636
3. SR102321
4. 	SR102539</t>
  </si>
  <si>
    <t xml:space="preserve">1. Inverters A, D, C were offline and LOTO'd for whole month. </t>
  </si>
  <si>
    <t>1.  inverter B,E offline (LOTO'd from 9/27/24) no faults reported. Inverter D offline (unknown reason) no faults reported. Inverter C underperforming by 8kW.</t>
  </si>
  <si>
    <t>1. 	SR102317</t>
  </si>
  <si>
    <t>1. Inverter M underperforming by 15kW compared to peers. and inverter M was started late on 07/23 at 07:15. and Inverter H was offline for whole month. Inverter L underproducing by 5kW.</t>
  </si>
  <si>
    <t>1. SR102315</t>
  </si>
  <si>
    <t>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</si>
  <si>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 SR102286</t>
  </si>
  <si>
    <t xml:space="preserve">1.  Inverter 3 is underperforming by 5kW, likely down a string. Inverter 4, 5 derating by 8kW and reporting external fan error.  </t>
  </si>
  <si>
    <t>1. Inverter E2.04 is derating due to a fan fault.
2. Estimated energy recording low possibly due to data glitch (similar event observe last 3 years).</t>
  </si>
  <si>
    <t>1. SR102503, SR101986</t>
  </si>
  <si>
    <t>SR101986</t>
  </si>
  <si>
    <t>1.  Inverter A,B,G offline from 2/20/25 and LOTOd.  Inverter D,E,F,I offline from 2/20/25 and LOTOd.</t>
  </si>
  <si>
    <t>1. Inverter 17, H 21, I 22, L 25, O28, 30, R 31, S 32, T 33 were offline and LOTO'd. Inverter 26 underperforming by 12kW for whole month. Inverter J - 23 underperforming by 4 kW.  
2. Inverter N tripped offline at 10:00 on 07/27 and was offline for end of month</t>
  </si>
  <si>
    <t>1. SR102329
2. SR105139</t>
  </si>
  <si>
    <t>SR105139</t>
  </si>
  <si>
    <t>1. inverter 30 offline for whole month. Inverter 33 underperforming by 7 kW each for whole month. Inverter 31 underperforming by 18 kW for whole month.</t>
  </si>
  <si>
    <t>1. Inverters 1, 7, 8, 10, 11, 12, 13 were offline and LOTO'd. Inverter 4 underperforming by 5 kW. inverter 3 underperforming by 10kW. Inverter 9 was offline from 07/01 to 10:45 on 07/08</t>
  </si>
  <si>
    <t>1. 	SR102411</t>
  </si>
  <si>
    <t>1. Inverter 5 was offline on 07/11 for whole day.</t>
  </si>
  <si>
    <t>1.  Inverters A,B,C,D,E,F,G, H were offline and LOTO'd.</t>
  </si>
  <si>
    <t>1. Inverter 1 underperforming by 4kW from 07/10.</t>
  </si>
  <si>
    <t>1. SR104289</t>
  </si>
  <si>
    <t>1. Inverters A,C,J,  were offline and LOTO'd. Inverter I was offline for whole month.  Inverter B,D,E,F,G,H are not communicating from 6/14/24; meter indicates 3 of these inverters are offline.</t>
  </si>
  <si>
    <t>1. Inverters 19, 20,21, 26 were offline for whole month. Inverter 22,23 underperforming by 13 kW each.</t>
  </si>
  <si>
    <t>1. Inverters D, F, H were offline. for whole month.</t>
  </si>
  <si>
    <t>1. Zone 1.6, 2.13, 2.14 are reporting -50 amps. Zone 1.7 is reporting 30 amps higher than expected. Zone 2.9 is reporting 70 amps higher than expected. Possible CT issues reached out to Also Energy.
2. Zone 1.1 has been operating at 3 kW since 09:00 on 07/10.</t>
  </si>
  <si>
    <t>1. SR102820
2. SR104290</t>
  </si>
  <si>
    <t>SR104290</t>
  </si>
  <si>
    <t>1. Inverters B, C, and E have been offline due to "Arc Fault" and LOTO'd since 08/30/24. Inverter D has been offline due to "Arc Fault" since 06/19/24.</t>
  </si>
  <si>
    <t>1. Inverter A is offline and LOTO'd from 06/14/2024. Inverter D is offline due to  "Arc fault" from 05/30/2025.</t>
  </si>
  <si>
    <t>1. Inverters A, B, E, and G are offline due to "Arc Fault" and have been LOTO'd since 11/26. Inverter C is also offline and LOTO'd since 11/26.</t>
  </si>
  <si>
    <t>1. Inverters D, H, and K have been underperforming by 6 kW each since 06/03.</t>
  </si>
  <si>
    <t>1. Inverter 2 has been derating by about 25 kW due to an "External Fan Err - ExtFanerr" throughout the month. Inverter 8 has been derating by 40 kW due to an 'External Fan Fault' since 07/10.
2. Inverter 3 was derating by 40 kW due to "External Fan Err - ExtFanerr" from 10:15 on 07/05 and resumed normal operation on 07/06.
4. Inverter 13 has been underperforming since 07/10, and Tracker 33 has been stuck at 0 degrees since 07/10.</t>
  </si>
  <si>
    <t>1. SR103869
2. SR104043
3. SR104043
4. SR104246</t>
  </si>
  <si>
    <t>SR104043</t>
  </si>
  <si>
    <t>SR104246</t>
  </si>
  <si>
    <t xml:space="preserve">1. Inverter 1 has experienced multiple trippings during peak hours throughout the month.
2. Inverter 3 tripped offline due to a "Real Time Clock Error" at 15:30 on 07/09 and came back online at 11:45 on 07/22.
</t>
  </si>
  <si>
    <t>1. SR103868
2. SR104231</t>
  </si>
  <si>
    <t>SR104231</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</si>
  <si>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t>
  </si>
  <si>
    <t>1. SR103867</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</si>
  <si>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</si>
  <si>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</si>
  <si>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</si>
  <si>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</si>
  <si>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</si>
  <si>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1.1.3.4 started producing late on 07/02, 07/03, 07/12, 07/21, and 07/29. It tripped offline at 11:00 on 07/27 and came back online at 11:00 on 07/28.
2. Inverter 1.1.1.3 tripped offline at 13:30 on 07/22 due to 'Grid Phase Voltage Out of Range' and will remain offline until the new AC breaker and AC busbars are RMA'd.
3. Actual vs expected delta is showing 251% due to expected energy recording low possibly due to data glitch (similar event observe last 3 years).</t>
  </si>
  <si>
    <t>1. SR103944
2. SR104776</t>
  </si>
  <si>
    <t>SR104776</t>
  </si>
  <si>
    <t>1. Inverter 16 has been derating by up to 40 kW since 10/24/2024.
2. Inverter 28 has been underperforming by 10 kW due to DC current being offline since 11/08/2022 and will be investigated during the next site visit.
3. Actual vs expected delta is showing 32% due to expected energy recording low possibly due to data glitch (similar event observe last 2 years).</t>
  </si>
  <si>
    <t>1. SR103946
2. SR103946, SR104855</t>
  </si>
  <si>
    <t>SR103946</t>
  </si>
  <si>
    <t>SR104855</t>
  </si>
  <si>
    <t>1. Inverters 4 and 5 have been derating by approximately 6 kW since 02/05.</t>
  </si>
  <si>
    <t>1. The site went offline at 11:00 on 07/02 due to the SEL relay being in an "Open" state and later came back online at 12:45 on 07/03.
2. Inverter 1, Module 5 has been offline since 07/20 and will remain offline until further troubleshooting.
3. Inverter 2, Module 7 has been offline since 07/28.</t>
  </si>
  <si>
    <t>1. SR103947
2. SR104665
3. SR105155</t>
  </si>
  <si>
    <t>SR104665</t>
  </si>
  <si>
    <t>SR105155</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</si>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</sst>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9" fontId="31" fillId="0" borderId="0" xfId="2" applyFont="1" applyFill="1" applyBorder="1" applyAlignment="1">
      <alignment horizontal="center" vertical="center"/>
    </xf>
    <xf numFmtId="9" fontId="31" fillId="3" borderId="12" xfId="2" applyFont="1" applyFill="1" applyBorder="1" applyAlignment="1">
      <alignment horizontal="center" vertical="center"/>
    </xf>
    <xf numFmtId="3" fontId="31" fillId="3" borderId="13" xfId="0" applyNumberFormat="1" applyFont="1" applyFill="1" applyBorder="1" applyAlignment="1">
      <alignment horizontal="right" vertical="center"/>
    </xf>
    <xf numFmtId="3" fontId="31" fillId="4" borderId="14" xfId="1" applyNumberFormat="1" applyFont="1" applyFill="1" applyBorder="1" applyAlignment="1">
      <alignment vertical="center"/>
    </xf>
    <xf numFmtId="9" fontId="31" fillId="0" borderId="11" xfId="2" applyFont="1" applyFill="1" applyBorder="1" applyAlignment="1">
      <alignment horizontal="center" vertical="center"/>
    </xf>
    <xf numFmtId="0" fontId="33" fillId="0" borderId="0" xfId="0" applyFont="1" applyAlignment="1">
      <alignment horizontal="left" vertical="top"/>
    </xf>
    <xf numFmtId="0" fontId="38" fillId="0" borderId="0" xfId="45" applyAlignment="1">
      <alignment vertical="top"/>
    </xf>
    <xf numFmtId="3" fontId="37" fillId="0" borderId="0" xfId="0" applyNumberFormat="1" applyFont="1" applyAlignment="1">
      <alignment horizontal="right"/>
    </xf>
    <xf numFmtId="3" fontId="31" fillId="3" borderId="1" xfId="0" applyNumberFormat="1" applyFont="1" applyFill="1" applyBorder="1" applyAlignment="1">
      <alignment horizontal="right"/>
    </xf>
    <xf numFmtId="3" fontId="37" fillId="0" borderId="0" xfId="0" applyNumberFormat="1" applyFont="1" applyAlignment="1">
      <alignment horizontal="right" vertical="center"/>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center" wrapText="1"/>
    </xf>
    <xf numFmtId="0" fontId="31" fillId="0" borderId="0" xfId="0" applyFont="1" applyAlignment="1">
      <alignment wrapText="1"/>
    </xf>
    <xf numFmtId="3" fontId="31" fillId="0" borderId="1" xfId="1" applyNumberFormat="1" applyFont="1" applyBorder="1" applyAlignment="1">
      <alignment horizontal="right" vertical="center"/>
    </xf>
    <xf numFmtId="0" fontId="38" fillId="0" borderId="0" xfId="45"/>
    <xf numFmtId="0" fontId="0" fillId="0" borderId="0" xfId="0" applyAlignment="1">
      <alignmen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3686" TargetMode="External"/><Relationship Id="rId21" Type="http://schemas.openxmlformats.org/officeDocument/2006/relationships/hyperlink" Target="https://us3.assetplanner.com/service_request?ID=103900" TargetMode="External"/><Relationship Id="rId42" Type="http://schemas.openxmlformats.org/officeDocument/2006/relationships/hyperlink" Target="https://us3.assetplanner.com/service_request?ID=103375" TargetMode="External"/><Relationship Id="rId47" Type="http://schemas.openxmlformats.org/officeDocument/2006/relationships/hyperlink" Target="https://us3.assetplanner.com/service_request?ID=105205" TargetMode="External"/><Relationship Id="rId63" Type="http://schemas.openxmlformats.org/officeDocument/2006/relationships/hyperlink" Target="https://us3.assetplanner.com/service_request?ID=102283" TargetMode="External"/><Relationship Id="rId68" Type="http://schemas.openxmlformats.org/officeDocument/2006/relationships/hyperlink" Target="https://us3.assetplanner.com/service_request?ID=103636" TargetMode="External"/><Relationship Id="rId84" Type="http://schemas.openxmlformats.org/officeDocument/2006/relationships/hyperlink" Target="https://us3.assetplanner.com/service_request?ID=102310" TargetMode="External"/><Relationship Id="rId89" Type="http://schemas.openxmlformats.org/officeDocument/2006/relationships/hyperlink" Target="https://us3.assetplanner.com/service_request?ID=102820" TargetMode="External"/><Relationship Id="rId112" Type="http://schemas.openxmlformats.org/officeDocument/2006/relationships/hyperlink" Target="https://us3.assetplanner.com/service_request?ID=105155" TargetMode="External"/><Relationship Id="rId16" Type="http://schemas.openxmlformats.org/officeDocument/2006/relationships/hyperlink" Target="https://us3.assetplanner.com/service_request?ID=105212" TargetMode="External"/><Relationship Id="rId107" Type="http://schemas.openxmlformats.org/officeDocument/2006/relationships/hyperlink" Target="https://us3.assetplanner.com/service_request?ID=103946"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098016" TargetMode="External"/><Relationship Id="rId37" Type="http://schemas.openxmlformats.org/officeDocument/2006/relationships/hyperlink" Target="https://us3.assetplanner.com/service_request?ID=104192" TargetMode="External"/><Relationship Id="rId53" Type="http://schemas.openxmlformats.org/officeDocument/2006/relationships/hyperlink" Target="https://us3.assetplanner.com/service_request?ID=100915" TargetMode="External"/><Relationship Id="rId58" Type="http://schemas.openxmlformats.org/officeDocument/2006/relationships/hyperlink" Target="https://us3.assetplanner.com/service_request?ID=104643" TargetMode="External"/><Relationship Id="rId74" Type="http://schemas.openxmlformats.org/officeDocument/2006/relationships/hyperlink" Target="https://us3.assetplanner.com/service_request?ID=102286" TargetMode="External"/><Relationship Id="rId79" Type="http://schemas.openxmlformats.org/officeDocument/2006/relationships/hyperlink" Target="https://us3.assetplanner.com/service_request?ID=102329" TargetMode="External"/><Relationship Id="rId102" Type="http://schemas.openxmlformats.org/officeDocument/2006/relationships/hyperlink" Target="https://us3.assetplanner.com/service_request?ID=103866"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4290" TargetMode="External"/><Relationship Id="rId95" Type="http://schemas.openxmlformats.org/officeDocument/2006/relationships/hyperlink" Target="https://us3.assetplanner.com/service_request?ID=103869" TargetMode="External"/><Relationship Id="rId22" Type="http://schemas.openxmlformats.org/officeDocument/2006/relationships/hyperlink" Target="https://us3.assetplanner.com/service_request?ID=101919" TargetMode="External"/><Relationship Id="rId27" Type="http://schemas.openxmlformats.org/officeDocument/2006/relationships/hyperlink" Target="https://us3.assetplanner.com/service_request?ID=101068" TargetMode="External"/><Relationship Id="rId43" Type="http://schemas.openxmlformats.org/officeDocument/2006/relationships/hyperlink" Target="https://us3.assetplanner.com/service_request?ID=100883" TargetMode="External"/><Relationship Id="rId48" Type="http://schemas.openxmlformats.org/officeDocument/2006/relationships/hyperlink" Target="https://us3.assetplanner.com/service_request?ID=101034"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2321" TargetMode="External"/><Relationship Id="rId80" Type="http://schemas.openxmlformats.org/officeDocument/2006/relationships/hyperlink" Target="https://us3.assetplanner.com/service_request?ID=105139" TargetMode="External"/><Relationship Id="rId85" Type="http://schemas.openxmlformats.org/officeDocument/2006/relationships/hyperlink" Target="https://us3.assetplanner.com/service_request?ID=104289"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2644" TargetMode="External"/><Relationship Id="rId33" Type="http://schemas.openxmlformats.org/officeDocument/2006/relationships/hyperlink" Target="https://us3.assetplanner.com/service_request?ID=103914" TargetMode="External"/><Relationship Id="rId38" Type="http://schemas.openxmlformats.org/officeDocument/2006/relationships/hyperlink" Target="https://us3.assetplanner.com/service_request?ID=102794" TargetMode="External"/><Relationship Id="rId59" Type="http://schemas.openxmlformats.org/officeDocument/2006/relationships/hyperlink" Target="https://us3.assetplanner.com/service_request?ID=103517" TargetMode="External"/><Relationship Id="rId103" Type="http://schemas.openxmlformats.org/officeDocument/2006/relationships/hyperlink" Target="https://us3.assetplanner.com/service_request?ID=104456" TargetMode="External"/><Relationship Id="rId108" Type="http://schemas.openxmlformats.org/officeDocument/2006/relationships/hyperlink" Target="https://us3.assetplanner.com/service_request?ID=104855" TargetMode="External"/><Relationship Id="rId54" Type="http://schemas.openxmlformats.org/officeDocument/2006/relationships/hyperlink" Target="https://us3.assetplanner.com/service_request?ID=10536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424" TargetMode="External"/><Relationship Id="rId96" Type="http://schemas.openxmlformats.org/officeDocument/2006/relationships/hyperlink" Target="https://us3.assetplanner.com/service_request?ID=10404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343" TargetMode="External"/><Relationship Id="rId23" Type="http://schemas.openxmlformats.org/officeDocument/2006/relationships/hyperlink" Target="https://us3.assetplanner.com/service_request?ID=104742" TargetMode="External"/><Relationship Id="rId28" Type="http://schemas.openxmlformats.org/officeDocument/2006/relationships/hyperlink" Target="https://us3.assetplanner.com/service_request?ID=099730" TargetMode="External"/><Relationship Id="rId36" Type="http://schemas.openxmlformats.org/officeDocument/2006/relationships/hyperlink" Target="https://us3.assetplanner.com/service_request?ID=104147" TargetMode="External"/><Relationship Id="rId49" Type="http://schemas.openxmlformats.org/officeDocument/2006/relationships/hyperlink" Target="https://us3.assetplanner.com/service_request?ID=103779" TargetMode="External"/><Relationship Id="rId57" Type="http://schemas.openxmlformats.org/officeDocument/2006/relationships/hyperlink" Target="https://us3.assetplanner.com/service_request?ID=104170" TargetMode="External"/><Relationship Id="rId106" Type="http://schemas.openxmlformats.org/officeDocument/2006/relationships/hyperlink" Target="https://us3.assetplanner.com/service_request?ID=103946"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099500" TargetMode="External"/><Relationship Id="rId44" Type="http://schemas.openxmlformats.org/officeDocument/2006/relationships/hyperlink" Target="https://us3.assetplanner.com/service_request?ID=103638" TargetMode="External"/><Relationship Id="rId52" Type="http://schemas.openxmlformats.org/officeDocument/2006/relationships/hyperlink" Target="https://us3.assetplanner.com/service_request?ID=104390" TargetMode="External"/><Relationship Id="rId60" Type="http://schemas.openxmlformats.org/officeDocument/2006/relationships/hyperlink" Target="https://us3.assetplanner.com/service_request?ID=101057" TargetMode="External"/><Relationship Id="rId65" Type="http://schemas.openxmlformats.org/officeDocument/2006/relationships/hyperlink" Target="https://us3.assetplanner.com/service_request?ID=102416" TargetMode="External"/><Relationship Id="rId73" Type="http://schemas.openxmlformats.org/officeDocument/2006/relationships/hyperlink" Target="https://us3.assetplanner.com/service_request?ID=102315" TargetMode="External"/><Relationship Id="rId78" Type="http://schemas.openxmlformats.org/officeDocument/2006/relationships/hyperlink" Target="https://us3.assetplanner.com/service_request?ID=102451" TargetMode="External"/><Relationship Id="rId81" Type="http://schemas.openxmlformats.org/officeDocument/2006/relationships/hyperlink" Target="https://us3.assetplanner.com/service_request?ID=102303" TargetMode="External"/><Relationship Id="rId86" Type="http://schemas.openxmlformats.org/officeDocument/2006/relationships/hyperlink" Target="https://us3.assetplanner.com/service_request?ID=102450" TargetMode="External"/><Relationship Id="rId94" Type="http://schemas.openxmlformats.org/officeDocument/2006/relationships/hyperlink" Target="https://us3.assetplanner.com/service_request?ID=102420" TargetMode="External"/><Relationship Id="rId99" Type="http://schemas.openxmlformats.org/officeDocument/2006/relationships/hyperlink" Target="https://us3.assetplanner.com/service_request?ID=103868" TargetMode="External"/><Relationship Id="rId101" Type="http://schemas.openxmlformats.org/officeDocument/2006/relationships/hyperlink" Target="https://us3.assetplanner.com/service_request?ID=103867"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13" Type="http://schemas.openxmlformats.org/officeDocument/2006/relationships/hyperlink" Target="https://us3.assetplanner.com/service_request?ID=104023" TargetMode="External"/><Relationship Id="rId18" Type="http://schemas.openxmlformats.org/officeDocument/2006/relationships/hyperlink" Target="https://us3.assetplanner.com/service_request?ID=102209" TargetMode="External"/><Relationship Id="rId39" Type="http://schemas.openxmlformats.org/officeDocument/2006/relationships/hyperlink" Target="https://us3.assetplanner.com/service_request?ID=103335" TargetMode="External"/><Relationship Id="rId109" Type="http://schemas.openxmlformats.org/officeDocument/2006/relationships/hyperlink" Target="https://us3.assetplanner.com/service_request?ID=102281" TargetMode="External"/><Relationship Id="rId34" Type="http://schemas.openxmlformats.org/officeDocument/2006/relationships/hyperlink" Target="https://us3.assetplanner.com/service_request?ID=%2009801" TargetMode="External"/><Relationship Id="rId50" Type="http://schemas.openxmlformats.org/officeDocument/2006/relationships/hyperlink" Target="https://us3.assetplanner.com/service_request?ID=102621" TargetMode="External"/><Relationship Id="rId55" Type="http://schemas.openxmlformats.org/officeDocument/2006/relationships/hyperlink" Target="https://us3.assetplanner.com/service_request?ID=101100" TargetMode="External"/><Relationship Id="rId76" Type="http://schemas.openxmlformats.org/officeDocument/2006/relationships/hyperlink" Target="https://us3.assetplanner.com/service_request?ID=102503" TargetMode="External"/><Relationship Id="rId97" Type="http://schemas.openxmlformats.org/officeDocument/2006/relationships/hyperlink" Target="https://us3.assetplanner.com/service_request?ID=104043" TargetMode="External"/><Relationship Id="rId104" Type="http://schemas.openxmlformats.org/officeDocument/2006/relationships/hyperlink" Target="https://us3.assetplanner.com/service_request?ID=103944"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320" TargetMode="External"/><Relationship Id="rId92" Type="http://schemas.openxmlformats.org/officeDocument/2006/relationships/hyperlink" Target="https://us3.assetplanner.com/service_request?ID=102423"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950" TargetMode="External"/><Relationship Id="rId24" Type="http://schemas.openxmlformats.org/officeDocument/2006/relationships/hyperlink" Target="https://us3.assetplanner.com/service_request?ID=103239" TargetMode="External"/><Relationship Id="rId40" Type="http://schemas.openxmlformats.org/officeDocument/2006/relationships/hyperlink" Target="https://us3.assetplanner.com/service_request?ID=102723" TargetMode="External"/><Relationship Id="rId45" Type="http://schemas.openxmlformats.org/officeDocument/2006/relationships/hyperlink" Target="https://us3.assetplanner.com/service_request?ID=101963" TargetMode="External"/><Relationship Id="rId66" Type="http://schemas.openxmlformats.org/officeDocument/2006/relationships/hyperlink" Target="https://us3.assetplanner.com/service_request?ID=102392" TargetMode="External"/><Relationship Id="rId87" Type="http://schemas.openxmlformats.org/officeDocument/2006/relationships/hyperlink" Target="https://us3.assetplanner.com/service_request?ID=102413" TargetMode="External"/><Relationship Id="rId110" Type="http://schemas.openxmlformats.org/officeDocument/2006/relationships/hyperlink" Target="https://us3.assetplanner.com/service_request?ID=103947" TargetMode="External"/><Relationship Id="rId61" Type="http://schemas.openxmlformats.org/officeDocument/2006/relationships/hyperlink" Target="https://us3.assetplanner.com/service_request?ID=102419" TargetMode="External"/><Relationship Id="rId82" Type="http://schemas.openxmlformats.org/officeDocument/2006/relationships/hyperlink" Target="https://us3.assetplanner.com/service_request?ID=10241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4137" TargetMode="External"/><Relationship Id="rId30" Type="http://schemas.openxmlformats.org/officeDocument/2006/relationships/hyperlink" Target="https://us3.assetplanner.com/service_request?ID=102316" TargetMode="External"/><Relationship Id="rId35" Type="http://schemas.openxmlformats.org/officeDocument/2006/relationships/hyperlink" Target="https://us3.assetplanner.com/service_request?ID=103124" TargetMode="External"/><Relationship Id="rId56" Type="http://schemas.openxmlformats.org/officeDocument/2006/relationships/hyperlink" Target="https://us3.assetplanner.com/service_request?ID=105192" TargetMode="External"/><Relationship Id="rId77" Type="http://schemas.openxmlformats.org/officeDocument/2006/relationships/hyperlink" Target="https://us3.assetplanner.com/service_request?ID=101986" TargetMode="External"/><Relationship Id="rId100" Type="http://schemas.openxmlformats.org/officeDocument/2006/relationships/hyperlink" Target="https://us3.assetplanner.com/service_request?ID=104231" TargetMode="External"/><Relationship Id="rId105" Type="http://schemas.openxmlformats.org/officeDocument/2006/relationships/hyperlink" Target="https://us3.assetplanner.com/service_request?ID=104776" TargetMode="External"/><Relationship Id="rId8" Type="http://schemas.openxmlformats.org/officeDocument/2006/relationships/hyperlink" Target="https://us3.assetplanner.com/service_request?ID=103481" TargetMode="External"/><Relationship Id="rId51" Type="http://schemas.openxmlformats.org/officeDocument/2006/relationships/hyperlink" Target="https://us3.assetplanner.com/service_request?ID=101021" TargetMode="External"/><Relationship Id="rId72" Type="http://schemas.openxmlformats.org/officeDocument/2006/relationships/hyperlink" Target="https://us3.assetplanner.com/service_request?ID=102317" TargetMode="External"/><Relationship Id="rId93" Type="http://schemas.openxmlformats.org/officeDocument/2006/relationships/hyperlink" Target="https://us3.assetplanner.com/service_request?ID=102421" TargetMode="External"/><Relationship Id="rId98" Type="http://schemas.openxmlformats.org/officeDocument/2006/relationships/hyperlink" Target="https://us3.assetplanner.com/service_request?ID=104246"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103048" TargetMode="External"/><Relationship Id="rId46" Type="http://schemas.openxmlformats.org/officeDocument/2006/relationships/hyperlink" Target="https://us3.assetplanner.com/service_request?ID=101818" TargetMode="External"/><Relationship Id="rId67" Type="http://schemas.openxmlformats.org/officeDocument/2006/relationships/hyperlink" Target="https://us3.assetplanner.com/service_request?ID=104882" TargetMode="External"/><Relationship Id="rId20" Type="http://schemas.openxmlformats.org/officeDocument/2006/relationships/hyperlink" Target="https://us3.assetplanner.com/service_request?ID=103740" TargetMode="External"/><Relationship Id="rId41" Type="http://schemas.openxmlformats.org/officeDocument/2006/relationships/hyperlink" Target="https://us3.assetplanner.com/service_request?ID=105641" TargetMode="External"/><Relationship Id="rId62" Type="http://schemas.openxmlformats.org/officeDocument/2006/relationships/hyperlink" Target="https://us3.assetplanner.com/service_request?ID=103160" TargetMode="External"/><Relationship Id="rId83" Type="http://schemas.openxmlformats.org/officeDocument/2006/relationships/hyperlink" Target="https://us3.assetplanner.com/service_request?ID=102403" TargetMode="External"/><Relationship Id="rId88" Type="http://schemas.openxmlformats.org/officeDocument/2006/relationships/hyperlink" Target="https://us3.assetplanner.com/service_request?ID=102425" TargetMode="External"/><Relationship Id="rId111" Type="http://schemas.openxmlformats.org/officeDocument/2006/relationships/hyperlink" Target="https://us3.assetplanner.com/service_request?ID=10466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74" activePane="bottomRight" state="frozen"/>
      <selection pane="bottomRight" activeCell="H85" sqref="H8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0</v>
      </c>
      <c r="E1" s="107"/>
      <c r="F1" s="107"/>
      <c r="G1" s="105" t="s">
        <v>1</v>
      </c>
      <c r="H1" s="105"/>
      <c r="I1" s="105"/>
    </row>
    <row r="2" spans="1:9" ht="19.5" customHeight="1">
      <c r="A2" s="108" t="s">
        <v>2</v>
      </c>
      <c r="B2" s="108"/>
      <c r="C2" s="5">
        <f>SUM(C4:C71)</f>
        <v>13918741.564157734</v>
      </c>
      <c r="D2" s="5">
        <f>SUM(D4:D71)</f>
        <v>5856369.7435061159</v>
      </c>
      <c r="E2" s="5">
        <f>C2-D2</f>
        <v>8062371.8206516178</v>
      </c>
      <c r="F2" s="6">
        <f>IFERROR(E2/D2, 0)</f>
        <v>1.3766842214140673</v>
      </c>
      <c r="G2" s="5">
        <f>SUM(G4:G71)</f>
        <v>15874981.822999999</v>
      </c>
      <c r="H2" s="7">
        <f>C2-G2</f>
        <v>-1956240.2588422652</v>
      </c>
      <c r="I2" s="6">
        <f>IFERROR(H2/G2, 0)</f>
        <v>-0.12322787393734362</v>
      </c>
    </row>
    <row r="3" spans="1:9" ht="14.25" customHeight="1">
      <c r="A3" s="12" t="s">
        <v>3</v>
      </c>
      <c r="B3" s="12" t="s">
        <v>4</v>
      </c>
      <c r="C3" s="19" t="s">
        <v>5</v>
      </c>
      <c r="D3" s="20" t="s">
        <v>6</v>
      </c>
      <c r="E3" s="20" t="s">
        <v>7</v>
      </c>
      <c r="F3" s="21" t="s">
        <v>8</v>
      </c>
      <c r="G3" s="22" t="s">
        <v>9</v>
      </c>
      <c r="H3" s="23" t="s">
        <v>7</v>
      </c>
      <c r="I3" s="24" t="s">
        <v>8</v>
      </c>
    </row>
    <row r="4" spans="1:9" ht="15.6">
      <c r="A4" s="26" t="str" cm="1">
        <f t="array" ref="A4:A85">Sites[Site]</f>
        <v>Lexington - Cotting School</v>
      </c>
      <c r="B4" s="27" t="str" cm="1">
        <f t="array" ref="B4:B85">Sites[State]</f>
        <v>MA</v>
      </c>
      <c r="C4" s="28">
        <f>SUM('1st Qtr'!C4, '2nd Qtr'!C4, '3rd Qtr'!C4, '4th Qtr'!C4)</f>
        <v>170960.88799999998</v>
      </c>
      <c r="D4" s="29">
        <f>SUM('1st Qtr'!D4, '2nd Qtr'!D4, '3rd Qtr'!D4, '4th Qtr'!D4)</f>
        <v>0</v>
      </c>
      <c r="E4" s="29">
        <f>IF(AND(ISNUMBER(C4),ISNUMBER(D4)), C4-D4, "")</f>
        <v>170960.88799999998</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166971.6</v>
      </c>
      <c r="D5" s="35">
        <f>SUM('1st Qtr'!D5, '2nd Qtr'!D5, '3rd Qtr'!D5, '4th Qtr'!D5)</f>
        <v>0</v>
      </c>
      <c r="E5" s="36">
        <f t="shared" ref="E5:E6" si="0">IF(AND(ISNUMBER(C5),ISNUMBER(D5)), C5-D5, "")</f>
        <v>166971.6</v>
      </c>
      <c r="F5" s="37" t="str">
        <f>IFERROR(E5/D5, "")</f>
        <v/>
      </c>
      <c r="G5" s="38">
        <f>SUM('1st Qtr'!G5, '2nd Qtr'!G5, '3rd Qtr'!G5, '4th Qtr'!G5)</f>
        <v>302048.7</v>
      </c>
      <c r="H5" s="38">
        <f>SUM('1st Qtr'!H5, '2nd Qtr'!H5, '3rd Qtr'!H5, '4th Qtr'!H5)</f>
        <v>-135077.1</v>
      </c>
      <c r="I5" s="37">
        <f>IFERROR(H5/G5, "")</f>
        <v>-0.44720305036902991</v>
      </c>
    </row>
    <row r="6" spans="1:9" ht="15.6">
      <c r="A6" s="26" t="str">
        <v>Hyannis - Sturgis Charter School</v>
      </c>
      <c r="B6" s="27" t="str">
        <v>MA</v>
      </c>
      <c r="C6" s="28">
        <f>SUM('1st Qtr'!C6, '2nd Qtr'!C6, '3rd Qtr'!C6, '4th Qtr'!C6)</f>
        <v>199766.82030156249</v>
      </c>
      <c r="D6" s="29">
        <f>SUM('1st Qtr'!D6, '2nd Qtr'!D6, '3rd Qtr'!D6, '4th Qtr'!D6)</f>
        <v>0</v>
      </c>
      <c r="E6" s="29">
        <f t="shared" si="0"/>
        <v>199766.82030156249</v>
      </c>
      <c r="F6" s="30" t="str">
        <f t="shared" ref="F6:F69" si="1">IFERROR(E6/D6, "")</f>
        <v/>
      </c>
      <c r="G6" s="31">
        <f>SUM('1st Qtr'!G6, '2nd Qtr'!G6, '3rd Qtr'!G6, '4th Qtr'!G6)</f>
        <v>191509.08000000002</v>
      </c>
      <c r="H6" s="31">
        <f>SUM('1st Qtr'!H6, '2nd Qtr'!H6, '3rd Qtr'!H6, '4th Qtr'!H6)</f>
        <v>8257.7403015624841</v>
      </c>
      <c r="I6" s="32">
        <f t="shared" ref="I6:I69" si="2">IFERROR(H6/G6, "")</f>
        <v>4.3119314768586867E-2</v>
      </c>
    </row>
    <row r="7" spans="1:9" ht="15.6">
      <c r="A7" s="33" t="str">
        <v>South Dennis - Tony Kent Arena</v>
      </c>
      <c r="B7" s="34" t="str">
        <v>MA</v>
      </c>
      <c r="C7" s="35">
        <f>SUM('1st Qtr'!C7, '2nd Qtr'!C7, '3rd Qtr'!C7, '4th Qtr'!C7)</f>
        <v>228146.38</v>
      </c>
      <c r="D7" s="35">
        <f>SUM('1st Qtr'!D7, '2nd Qtr'!D7, '3rd Qtr'!D7, '4th Qtr'!D7)</f>
        <v>0</v>
      </c>
      <c r="E7" s="36">
        <f t="shared" ref="E7:E70" si="3">IF(AND(ISNUMBER(C7),ISNUMBER(D7)), C7-D7, "")</f>
        <v>228146.38</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295630.5</v>
      </c>
      <c r="D8" s="29">
        <f>SUM('1st Qtr'!D8, '2nd Qtr'!D8, '3rd Qtr'!D8, '4th Qtr'!D8)</f>
        <v>0</v>
      </c>
      <c r="E8" s="29">
        <f t="shared" si="3"/>
        <v>295630.5</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895582</v>
      </c>
      <c r="D9" s="35">
        <f>SUM('1st Qtr'!D9, '2nd Qtr'!D9, '3rd Qtr'!D9, '4th Qtr'!D9)</f>
        <v>0</v>
      </c>
      <c r="E9" s="36">
        <f t="shared" si="3"/>
        <v>895582</v>
      </c>
      <c r="F9" s="37" t="str">
        <f t="shared" si="1"/>
        <v/>
      </c>
      <c r="G9" s="38">
        <f>SUM('1st Qtr'!G9, '2nd Qtr'!G9, '3rd Qtr'!G9, '4th Qtr'!G9)</f>
        <v>938006.59999999986</v>
      </c>
      <c r="H9" s="38">
        <f>SUM('1st Qtr'!H9, '2nd Qtr'!H9, '3rd Qtr'!H9, '4th Qtr'!H9)</f>
        <v>-42424.600000000006</v>
      </c>
      <c r="I9" s="37">
        <f t="shared" si="2"/>
        <v>-4.522846640951142E-2</v>
      </c>
    </row>
    <row r="10" spans="1:9" ht="15.6">
      <c r="A10" s="26" t="str">
        <v>Zumbrota - Eastlake Brenda Luhman</v>
      </c>
      <c r="B10" s="27" t="str">
        <v>MN</v>
      </c>
      <c r="C10" s="28">
        <f>SUM('1st Qtr'!C10, '2nd Qtr'!C10, '3rd Qtr'!C10, '4th Qtr'!C10)</f>
        <v>949101.12690000003</v>
      </c>
      <c r="D10" s="29">
        <f>SUM('1st Qtr'!D10, '2nd Qtr'!D10, '3rd Qtr'!D10, '4th Qtr'!D10)</f>
        <v>0</v>
      </c>
      <c r="E10" s="29">
        <f t="shared" si="3"/>
        <v>949101.12690000003</v>
      </c>
      <c r="F10" s="30" t="str">
        <f t="shared" si="1"/>
        <v/>
      </c>
      <c r="G10" s="31">
        <f>SUM('1st Qtr'!G10, '2nd Qtr'!G10, '3rd Qtr'!G10, '4th Qtr'!G10)</f>
        <v>936549</v>
      </c>
      <c r="H10" s="31">
        <f>SUM('1st Qtr'!H10, '2nd Qtr'!H10, '3rd Qtr'!H10, '4th Qtr'!H10)</f>
        <v>12552.126900000003</v>
      </c>
      <c r="I10" s="32">
        <f t="shared" si="2"/>
        <v>1.3402530887332113E-2</v>
      </c>
    </row>
    <row r="11" spans="1:9" ht="15.6">
      <c r="A11" s="33" t="str">
        <v>Cokato - Eastlake Carlson</v>
      </c>
      <c r="B11" s="34" t="str">
        <v>MN</v>
      </c>
      <c r="C11" s="35">
        <f>SUM('1st Qtr'!C11, '2nd Qtr'!C11, '3rd Qtr'!C11, '4th Qtr'!C11)</f>
        <v>858911.48420000006</v>
      </c>
      <c r="D11" s="35">
        <f>SUM('1st Qtr'!D11, '2nd Qtr'!D11, '3rd Qtr'!D11, '4th Qtr'!D11)</f>
        <v>0</v>
      </c>
      <c r="E11" s="36">
        <f t="shared" si="3"/>
        <v>858911.48420000006</v>
      </c>
      <c r="F11" s="37" t="str">
        <f t="shared" si="1"/>
        <v/>
      </c>
      <c r="G11" s="38">
        <f>SUM('1st Qtr'!G11, '2nd Qtr'!G11, '3rd Qtr'!G11, '4th Qtr'!G11)</f>
        <v>1017870.3</v>
      </c>
      <c r="H11" s="38">
        <f>SUM('1st Qtr'!H11, '2nd Qtr'!H11, '3rd Qtr'!H11, '4th Qtr'!H11)</f>
        <v>-158958.81580000001</v>
      </c>
      <c r="I11" s="37">
        <f t="shared" si="2"/>
        <v>-0.15616804596813563</v>
      </c>
    </row>
    <row r="12" spans="1:9" ht="15.6">
      <c r="A12" s="26" t="str">
        <v>North Branch - Cornille 2</v>
      </c>
      <c r="B12" s="27" t="str">
        <v>MN</v>
      </c>
      <c r="C12" s="28">
        <f>SUM('1st Qtr'!C12, '2nd Qtr'!C12, '3rd Qtr'!C12, '4th Qtr'!C12)</f>
        <v>846909</v>
      </c>
      <c r="D12" s="29">
        <f>SUM('1st Qtr'!D12, '2nd Qtr'!D12, '3rd Qtr'!D12, '4th Qtr'!D12)</f>
        <v>0</v>
      </c>
      <c r="E12" s="29">
        <f t="shared" si="3"/>
        <v>846909</v>
      </c>
      <c r="F12" s="30" t="str">
        <f t="shared" si="1"/>
        <v/>
      </c>
      <c r="G12" s="31">
        <f>SUM('1st Qtr'!G12, '2nd Qtr'!G12, '3rd Qtr'!G12, '4th Qtr'!G12)</f>
        <v>956283.50000000012</v>
      </c>
      <c r="H12" s="31">
        <f>SUM('1st Qtr'!H12, '2nd Qtr'!H12, '3rd Qtr'!H12, '4th Qtr'!H12)</f>
        <v>-109374.5</v>
      </c>
      <c r="I12" s="32">
        <f t="shared" si="2"/>
        <v>-0.11437455524433914</v>
      </c>
    </row>
    <row r="13" spans="1:9" ht="15.6">
      <c r="A13" s="33" t="str">
        <v>Clear Lake - Eastlake Hammer</v>
      </c>
      <c r="B13" s="34" t="str">
        <v>MN</v>
      </c>
      <c r="C13" s="35">
        <f>SUM('1st Qtr'!C13, '2nd Qtr'!C13, '3rd Qtr'!C13, '4th Qtr'!C13)</f>
        <v>1094248.6853233809</v>
      </c>
      <c r="D13" s="35">
        <f>SUM('1st Qtr'!D13, '2nd Qtr'!D13, '3rd Qtr'!D13, '4th Qtr'!D13)</f>
        <v>0</v>
      </c>
      <c r="E13" s="36">
        <f t="shared" si="3"/>
        <v>1094248.6853233809</v>
      </c>
      <c r="F13" s="37" t="str">
        <f t="shared" si="1"/>
        <v/>
      </c>
      <c r="G13" s="38">
        <f>SUM('1st Qtr'!G13, '2nd Qtr'!G13, '3rd Qtr'!G13, '4th Qtr'!G13)</f>
        <v>1168095.2000000002</v>
      </c>
      <c r="H13" s="38">
        <f>SUM('1st Qtr'!H13, '2nd Qtr'!H13, '3rd Qtr'!H13, '4th Qtr'!H13)</f>
        <v>-73846.514676619001</v>
      </c>
      <c r="I13" s="37">
        <f t="shared" si="2"/>
        <v>-6.321960288563723E-2</v>
      </c>
    </row>
    <row r="14" spans="1:9" ht="15.6">
      <c r="A14" s="26" t="str">
        <v>Eastlake - Hertzberg CSG 1</v>
      </c>
      <c r="B14" s="27" t="str">
        <v>MN</v>
      </c>
      <c r="C14" s="28">
        <f>SUM('1st Qtr'!C14, '2nd Qtr'!C14, '3rd Qtr'!C14, '4th Qtr'!C14)</f>
        <v>1051401.994026172</v>
      </c>
      <c r="D14" s="29">
        <f>SUM('1st Qtr'!D14, '2nd Qtr'!D14, '3rd Qtr'!D14, '4th Qtr'!D14)</f>
        <v>0</v>
      </c>
      <c r="E14" s="29">
        <f t="shared" si="3"/>
        <v>1051401.994026172</v>
      </c>
      <c r="F14" s="30" t="str">
        <f t="shared" si="1"/>
        <v/>
      </c>
      <c r="G14" s="31">
        <f>SUM('1st Qtr'!G14, '2nd Qtr'!G14, '3rd Qtr'!G14, '4th Qtr'!G14)</f>
        <v>1163046.821</v>
      </c>
      <c r="H14" s="31">
        <f>SUM('1st Qtr'!H14, '2nd Qtr'!H14, '3rd Qtr'!H14, '4th Qtr'!H14)</f>
        <v>-111644.82697382802</v>
      </c>
      <c r="I14" s="32">
        <f t="shared" si="2"/>
        <v>-9.5993407107922465E-2</v>
      </c>
    </row>
    <row r="15" spans="1:9" ht="15.6">
      <c r="A15" s="33" t="str">
        <v>Cokato - Eastlake Laurel Village</v>
      </c>
      <c r="B15" s="34" t="str">
        <v>MN</v>
      </c>
      <c r="C15" s="35">
        <f>SUM('1st Qtr'!C15, '2nd Qtr'!C15, '3rd Qtr'!C15, '4th Qtr'!C15)</f>
        <v>1128937.3139</v>
      </c>
      <c r="D15" s="35">
        <f>SUM('1st Qtr'!D15, '2nd Qtr'!D15, '3rd Qtr'!D15, '4th Qtr'!D15)</f>
        <v>0</v>
      </c>
      <c r="E15" s="36">
        <f t="shared" si="3"/>
        <v>1128937.3139</v>
      </c>
      <c r="F15" s="37" t="str">
        <f t="shared" si="1"/>
        <v/>
      </c>
      <c r="G15" s="38">
        <f>SUM('1st Qtr'!G15, '2nd Qtr'!G15, '3rd Qtr'!G15, '4th Qtr'!G15)</f>
        <v>1199327.8999999999</v>
      </c>
      <c r="H15" s="38">
        <f>SUM('1st Qtr'!H15, '2nd Qtr'!H15, '3rd Qtr'!H15, '4th Qtr'!H15)</f>
        <v>-70390.586100000015</v>
      </c>
      <c r="I15" s="37">
        <f t="shared" si="2"/>
        <v>-5.8691693989608697E-2</v>
      </c>
    </row>
    <row r="16" spans="1:9" ht="15.6">
      <c r="A16" s="26" t="str">
        <v>St. Peter - Eastlake Paulson</v>
      </c>
      <c r="B16" s="27" t="str">
        <v>MN</v>
      </c>
      <c r="C16" s="28">
        <f>SUM('1st Qtr'!C16, '2nd Qtr'!C16, '3rd Qtr'!C16, '4th Qtr'!C16)</f>
        <v>933993.11084105098</v>
      </c>
      <c r="D16" s="29">
        <f>SUM('1st Qtr'!D16, '2nd Qtr'!D16, '3rd Qtr'!D16, '4th Qtr'!D16)</f>
        <v>0</v>
      </c>
      <c r="E16" s="29">
        <f t="shared" si="3"/>
        <v>933993.11084105098</v>
      </c>
      <c r="F16" s="30" t="str">
        <f t="shared" si="1"/>
        <v/>
      </c>
      <c r="G16" s="31">
        <f>SUM('1st Qtr'!G16, '2nd Qtr'!G16, '3rd Qtr'!G16, '4th Qtr'!G16)</f>
        <v>1008233.2</v>
      </c>
      <c r="H16" s="31">
        <f>SUM('1st Qtr'!H16, '2nd Qtr'!H16, '3rd Qtr'!H16, '4th Qtr'!H16)</f>
        <v>-74240.089158949006</v>
      </c>
      <c r="I16" s="32">
        <f t="shared" si="2"/>
        <v>-7.3633846970074981E-2</v>
      </c>
    </row>
    <row r="17" spans="1:9" ht="15.6">
      <c r="A17" s="33" t="str">
        <v>Felician Sisters Convent</v>
      </c>
      <c r="B17" s="34" t="str">
        <v>NJ</v>
      </c>
      <c r="C17" s="35">
        <f>SUM('1st Qtr'!C17, '2nd Qtr'!C17, '3rd Qtr'!C17, '4th Qtr'!C17)</f>
        <v>93014.2</v>
      </c>
      <c r="D17" s="35">
        <f>SUM('1st Qtr'!D17, '2nd Qtr'!D17, '3rd Qtr'!D17, '4th Qtr'!D17)</f>
        <v>0</v>
      </c>
      <c r="E17" s="36">
        <f t="shared" si="3"/>
        <v>93014.2</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232847.15999999997</v>
      </c>
      <c r="D18" s="29">
        <f>SUM('1st Qtr'!D18, '2nd Qtr'!D18, '3rd Qtr'!D18, '4th Qtr'!D18)</f>
        <v>0</v>
      </c>
      <c r="E18" s="29">
        <f t="shared" si="3"/>
        <v>232847.15999999997</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144052</v>
      </c>
      <c r="D19" s="35">
        <f>SUM('1st Qtr'!D19, '2nd Qtr'!D19, '3rd Qtr'!D19, '4th Qtr'!D19)</f>
        <v>0</v>
      </c>
      <c r="E19" s="36">
        <f t="shared" si="3"/>
        <v>144052</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208618</v>
      </c>
      <c r="D20" s="29">
        <f>SUM('1st Qtr'!D20, '2nd Qtr'!D20, '3rd Qtr'!D20, '4th Qtr'!D20)</f>
        <v>0</v>
      </c>
      <c r="E20" s="29">
        <f t="shared" si="3"/>
        <v>208618</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0</v>
      </c>
      <c r="D21" s="35">
        <f>SUM('1st Qtr'!D21, '2nd Qtr'!D21, '3rd Qtr'!D21, '4th Qtr'!D21)</f>
        <v>0</v>
      </c>
      <c r="E21" s="36">
        <f t="shared" si="3"/>
        <v>0</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80360</v>
      </c>
      <c r="D22" s="29">
        <f>SUM('1st Qtr'!D22, '2nd Qtr'!D22, '3rd Qtr'!D22, '4th Qtr'!D22)</f>
        <v>0</v>
      </c>
      <c r="E22" s="29">
        <f t="shared" si="3"/>
        <v>80360</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59605.480000000025</v>
      </c>
      <c r="D23" s="35">
        <f>SUM('1st Qtr'!D23, '2nd Qtr'!D23, '3rd Qtr'!D23, '4th Qtr'!D23)</f>
        <v>0</v>
      </c>
      <c r="E23" s="36">
        <f t="shared" si="3"/>
        <v>59605.480000000025</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49516.675000000003</v>
      </c>
      <c r="D24" s="29">
        <f>SUM('1st Qtr'!D24, '2nd Qtr'!D24, '3rd Qtr'!D24, '4th Qtr'!D24)</f>
        <v>0</v>
      </c>
      <c r="E24" s="29">
        <f t="shared" si="3"/>
        <v>49516.675000000003</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0</v>
      </c>
      <c r="D25" s="35">
        <f>SUM('1st Qtr'!D25, '2nd Qtr'!D25, '3rd Qtr'!D25, '4th Qtr'!D25)</f>
        <v>0</v>
      </c>
      <c r="E25" s="36">
        <f t="shared" si="3"/>
        <v>0</v>
      </c>
      <c r="F25" s="37" t="str">
        <f t="shared" si="1"/>
        <v/>
      </c>
      <c r="G25" s="38">
        <f>SUM('1st Qtr'!G25, '2nd Qtr'!G25, '3rd Qtr'!G25, '4th Qtr'!G25)</f>
        <v>1178190.9000000001</v>
      </c>
      <c r="H25" s="38">
        <f>SUM('1st Qtr'!H25, '2nd Qtr'!H25, '3rd Qtr'!H25, '4th Qtr'!H25)</f>
        <v>-1178190.9000000001</v>
      </c>
      <c r="I25" s="37">
        <f t="shared" si="2"/>
        <v>-1</v>
      </c>
    </row>
    <row r="26" spans="1:9" ht="15.6">
      <c r="A26" s="26" t="str">
        <v>Taos County - Kit Carson Electric Co-Op</v>
      </c>
      <c r="B26" s="27" t="str">
        <v>NM</v>
      </c>
      <c r="C26" s="28">
        <f>SUM('1st Qtr'!C26, '2nd Qtr'!C26, '3rd Qtr'!C26, '4th Qtr'!C26)</f>
        <v>751220</v>
      </c>
      <c r="D26" s="29">
        <f>SUM('1st Qtr'!D26, '2nd Qtr'!D26, '3rd Qtr'!D26, '4th Qtr'!D26)</f>
        <v>740963.9</v>
      </c>
      <c r="E26" s="29">
        <f t="shared" si="3"/>
        <v>10256.099999999977</v>
      </c>
      <c r="F26" s="30">
        <f t="shared" si="1"/>
        <v>1.3841565020913943E-2</v>
      </c>
      <c r="G26" s="31">
        <f>SUM('1st Qtr'!G26, '2nd Qtr'!G26, '3rd Qtr'!G26, '4th Qtr'!G26)</f>
        <v>661496.1</v>
      </c>
      <c r="H26" s="31">
        <f>SUM('1st Qtr'!H26, '2nd Qtr'!H26, '3rd Qtr'!H26, '4th Qtr'!H26)</f>
        <v>89723.9</v>
      </c>
      <c r="I26" s="32">
        <f t="shared" si="2"/>
        <v>0.13563783671589297</v>
      </c>
    </row>
    <row r="27" spans="1:9" ht="15.6">
      <c r="A27" s="33" t="str">
        <v>Commerce City - Adams City HS</v>
      </c>
      <c r="B27" s="34" t="str">
        <v>CO</v>
      </c>
      <c r="C27" s="35">
        <f>SUM('1st Qtr'!C27, '2nd Qtr'!C27, '3rd Qtr'!C27, '4th Qtr'!C27)</f>
        <v>49678</v>
      </c>
      <c r="D27" s="35">
        <f>SUM('1st Qtr'!D27, '2nd Qtr'!D27, '3rd Qtr'!D27, '4th Qtr'!D27)</f>
        <v>40879.35</v>
      </c>
      <c r="E27" s="36">
        <f t="shared" si="3"/>
        <v>8798.6500000000015</v>
      </c>
      <c r="F27" s="37">
        <f t="shared" si="1"/>
        <v>0.21523458665560979</v>
      </c>
      <c r="G27" s="38">
        <f>SUM('1st Qtr'!G27, '2nd Qtr'!G27, '3rd Qtr'!G27, '4th Qtr'!G27)</f>
        <v>45741.21</v>
      </c>
      <c r="H27" s="38">
        <f>SUM('1st Qtr'!H27, '2nd Qtr'!H27, '3rd Qtr'!H27, '4th Qtr'!H27)</f>
        <v>3936.7899999999991</v>
      </c>
      <c r="I27" s="37">
        <f t="shared" si="2"/>
        <v>8.6066590717648245E-2</v>
      </c>
    </row>
    <row r="28" spans="1:9" ht="15.6">
      <c r="A28" s="26" t="str">
        <v>Commerce City - Adams City MS</v>
      </c>
      <c r="B28" s="27" t="str">
        <v>CO</v>
      </c>
      <c r="C28" s="28">
        <f>SUM('1st Qtr'!C28, '2nd Qtr'!C28, '3rd Qtr'!C28, '4th Qtr'!C28)</f>
        <v>41330</v>
      </c>
      <c r="D28" s="29">
        <f>SUM('1st Qtr'!D28, '2nd Qtr'!D28, '3rd Qtr'!D28, '4th Qtr'!D28)</f>
        <v>37136.949999999997</v>
      </c>
      <c r="E28" s="29">
        <f t="shared" si="3"/>
        <v>4193.0500000000029</v>
      </c>
      <c r="F28" s="30">
        <f t="shared" si="1"/>
        <v>0.11290776436944884</v>
      </c>
      <c r="G28" s="31">
        <f>SUM('1st Qtr'!G28, '2nd Qtr'!G28, '3rd Qtr'!G28, '4th Qtr'!G28)</f>
        <v>40234.230000000003</v>
      </c>
      <c r="H28" s="31">
        <f>SUM('1st Qtr'!H28, '2nd Qtr'!H28, '3rd Qtr'!H28, '4th Qtr'!H28)</f>
        <v>1095.7699999999986</v>
      </c>
      <c r="I28" s="32">
        <f t="shared" si="2"/>
        <v>2.7234769995598238E-2</v>
      </c>
    </row>
    <row r="29" spans="1:9" ht="15.6">
      <c r="A29" s="33" t="str">
        <v>Commerce City - Central ES</v>
      </c>
      <c r="B29" s="34" t="str">
        <v>CO</v>
      </c>
      <c r="C29" s="35">
        <f>SUM('1st Qtr'!C29, '2nd Qtr'!C29, '3rd Qtr'!C29, '4th Qtr'!C29)</f>
        <v>10853.5</v>
      </c>
      <c r="D29" s="35">
        <f>SUM('1st Qtr'!D29, '2nd Qtr'!D29, '3rd Qtr'!D29, '4th Qtr'!D29)</f>
        <v>10660.109</v>
      </c>
      <c r="E29" s="36">
        <f t="shared" si="3"/>
        <v>193.39099999999962</v>
      </c>
      <c r="F29" s="37">
        <f t="shared" si="1"/>
        <v>1.8141559340528284E-2</v>
      </c>
      <c r="G29" s="38">
        <f>SUM('1st Qtr'!G29, '2nd Qtr'!G29, '3rd Qtr'!G29, '4th Qtr'!G29)</f>
        <v>11801.183000000001</v>
      </c>
      <c r="H29" s="38">
        <f>SUM('1st Qtr'!H29, '2nd Qtr'!H29, '3rd Qtr'!H29, '4th Qtr'!H29)</f>
        <v>-947.68299999999999</v>
      </c>
      <c r="I29" s="37">
        <f t="shared" si="2"/>
        <v>-8.0304067820997263E-2</v>
      </c>
    </row>
    <row r="30" spans="1:9" ht="15.6">
      <c r="A30" s="26" t="str">
        <v>Commerce City - Dupont ES</v>
      </c>
      <c r="B30" s="27" t="str">
        <v>CO</v>
      </c>
      <c r="C30" s="28">
        <f>SUM('1st Qtr'!C30, '2nd Qtr'!C30, '3rd Qtr'!C30, '4th Qtr'!C30)</f>
        <v>29216</v>
      </c>
      <c r="D30" s="29">
        <f>SUM('1st Qtr'!D30, '2nd Qtr'!D30, '3rd Qtr'!D30, '4th Qtr'!D30)</f>
        <v>30169.485000000001</v>
      </c>
      <c r="E30" s="29">
        <f t="shared" si="3"/>
        <v>-953.48500000000058</v>
      </c>
      <c r="F30" s="30">
        <f t="shared" si="1"/>
        <v>-3.1604284925645917E-2</v>
      </c>
      <c r="G30" s="31">
        <f>SUM('1st Qtr'!G30, '2nd Qtr'!G30, '3rd Qtr'!G30, '4th Qtr'!G30)</f>
        <v>33880.93</v>
      </c>
      <c r="H30" s="31">
        <f>SUM('1st Qtr'!H30, '2nd Qtr'!H30, '3rd Qtr'!H30, '4th Qtr'!H30)</f>
        <v>-4664.9299999999985</v>
      </c>
      <c r="I30" s="32">
        <f t="shared" si="2"/>
        <v>-0.13768600802870518</v>
      </c>
    </row>
    <row r="31" spans="1:9" ht="15.6">
      <c r="A31" s="33" t="str">
        <v>Commerce City - Educational Support Services</v>
      </c>
      <c r="B31" s="34" t="str">
        <v>CO</v>
      </c>
      <c r="C31" s="35">
        <f>SUM('1st Qtr'!C31, '2nd Qtr'!C31, '3rd Qtr'!C31, '4th Qtr'!C31)</f>
        <v>34872</v>
      </c>
      <c r="D31" s="35">
        <f>SUM('1st Qtr'!D31, '2nd Qtr'!D31, '3rd Qtr'!D31, '4th Qtr'!D31)</f>
        <v>31263</v>
      </c>
      <c r="E31" s="36">
        <f t="shared" si="3"/>
        <v>3609</v>
      </c>
      <c r="F31" s="37">
        <f t="shared" si="1"/>
        <v>0.11543997696958065</v>
      </c>
      <c r="G31" s="38">
        <f>SUM('1st Qtr'!G31, '2nd Qtr'!G31, '3rd Qtr'!G31, '4th Qtr'!G31)</f>
        <v>34859.589999999997</v>
      </c>
      <c r="H31" s="38">
        <f>SUM('1st Qtr'!H31, '2nd Qtr'!H31, '3rd Qtr'!H31, '4th Qtr'!H31)</f>
        <v>12.409999999999854</v>
      </c>
      <c r="I31" s="37">
        <f t="shared" si="2"/>
        <v>3.5599959724138625E-4</v>
      </c>
    </row>
    <row r="32" spans="1:9" ht="15.6">
      <c r="A32" s="26" t="str">
        <v>Commerce City - Hanson ES</v>
      </c>
      <c r="B32" s="27" t="str">
        <v>CO</v>
      </c>
      <c r="C32" s="28">
        <f>SUM('1st Qtr'!C32, '2nd Qtr'!C32, '3rd Qtr'!C32, '4th Qtr'!C32)</f>
        <v>43937</v>
      </c>
      <c r="D32" s="29">
        <f>SUM('1st Qtr'!D32, '2nd Qtr'!D32, '3rd Qtr'!D32, '4th Qtr'!D32)</f>
        <v>40766.75</v>
      </c>
      <c r="E32" s="29">
        <f t="shared" si="3"/>
        <v>3170.25</v>
      </c>
      <c r="F32" s="30">
        <f t="shared" si="1"/>
        <v>7.7765581018845009E-2</v>
      </c>
      <c r="G32" s="31">
        <f>SUM('1st Qtr'!G32, '2nd Qtr'!G32, '3rd Qtr'!G32, '4th Qtr'!G32)</f>
        <v>45569.409999999996</v>
      </c>
      <c r="H32" s="31">
        <f>SUM('1st Qtr'!H32, '2nd Qtr'!H32, '3rd Qtr'!H32, '4th Qtr'!H32)</f>
        <v>-1632.4099999999999</v>
      </c>
      <c r="I32" s="32">
        <f t="shared" si="2"/>
        <v>-3.5822495836571065E-2</v>
      </c>
    </row>
    <row r="33" spans="1:9" ht="15.6">
      <c r="A33" s="33" t="str">
        <v>Commerce City - Kemp ES</v>
      </c>
      <c r="B33" s="34" t="str">
        <v>CO</v>
      </c>
      <c r="C33" s="35">
        <f>SUM('1st Qtr'!C33, '2nd Qtr'!C33, '3rd Qtr'!C33, '4th Qtr'!C33)</f>
        <v>37663.322499000002</v>
      </c>
      <c r="D33" s="35">
        <f>SUM('1st Qtr'!D33, '2nd Qtr'!D33, '3rd Qtr'!D33, '4th Qtr'!D33)</f>
        <v>40747.108999999997</v>
      </c>
      <c r="E33" s="36">
        <f t="shared" si="3"/>
        <v>-3083.786500999995</v>
      </c>
      <c r="F33" s="37">
        <f t="shared" si="1"/>
        <v>-7.5681111536035489E-2</v>
      </c>
      <c r="G33" s="38">
        <f>SUM('1st Qtr'!G33, '2nd Qtr'!G33, '3rd Qtr'!G33, '4th Qtr'!G33)</f>
        <v>45503.896999999997</v>
      </c>
      <c r="H33" s="38">
        <f>SUM('1st Qtr'!H33, '2nd Qtr'!H33, '3rd Qtr'!H33, '4th Qtr'!H33)</f>
        <v>-7840.5745009999991</v>
      </c>
      <c r="I33" s="37">
        <f t="shared" si="2"/>
        <v>-0.17230556101601582</v>
      </c>
    </row>
    <row r="34" spans="1:9" ht="15.6">
      <c r="A34" s="26" t="str">
        <v>Commerce City -  Lester Arnold HS</v>
      </c>
      <c r="B34" s="27" t="str">
        <v>CO</v>
      </c>
      <c r="C34" s="28">
        <f>SUM('1st Qtr'!C34, '2nd Qtr'!C34, '3rd Qtr'!C34, '4th Qtr'!C34)</f>
        <v>11889.998354482002</v>
      </c>
      <c r="D34" s="29">
        <f>SUM('1st Qtr'!D34, '2nd Qtr'!D34, '3rd Qtr'!D34, '4th Qtr'!D34)</f>
        <v>39391.040000000001</v>
      </c>
      <c r="E34" s="29">
        <f t="shared" si="3"/>
        <v>-27501.041645517998</v>
      </c>
      <c r="F34" s="30">
        <f t="shared" si="1"/>
        <v>-0.69815474903729369</v>
      </c>
      <c r="G34" s="31">
        <f>SUM('1st Qtr'!G34, '2nd Qtr'!G34, '3rd Qtr'!G34, '4th Qtr'!G34)</f>
        <v>44228.29</v>
      </c>
      <c r="H34" s="31">
        <f>SUM('1st Qtr'!H34, '2nd Qtr'!H34, '3rd Qtr'!H34, '4th Qtr'!H34)</f>
        <v>-32338.291645517998</v>
      </c>
      <c r="I34" s="32">
        <f t="shared" si="2"/>
        <v>-0.73116757725695469</v>
      </c>
    </row>
    <row r="35" spans="1:9" ht="15.6">
      <c r="A35" s="33" t="str">
        <v>Commerce City - Monaco ES</v>
      </c>
      <c r="B35" s="34" t="str">
        <v>CO</v>
      </c>
      <c r="C35" s="35">
        <f>SUM('1st Qtr'!C35, '2nd Qtr'!C35, '3rd Qtr'!C35, '4th Qtr'!C35)</f>
        <v>36026</v>
      </c>
      <c r="D35" s="35">
        <f>SUM('1st Qtr'!D35, '2nd Qtr'!D35, '3rd Qtr'!D35, '4th Qtr'!D35)</f>
        <v>40769.339999999997</v>
      </c>
      <c r="E35" s="36">
        <f t="shared" si="3"/>
        <v>-4743.3399999999965</v>
      </c>
      <c r="F35" s="37">
        <f t="shared" si="1"/>
        <v>-0.11634576375285931</v>
      </c>
      <c r="G35" s="38">
        <f>SUM('1st Qtr'!G35, '2nd Qtr'!G35, '3rd Qtr'!G35, '4th Qtr'!G35)</f>
        <v>45569.409999999996</v>
      </c>
      <c r="H35" s="38">
        <f>SUM('1st Qtr'!H35, '2nd Qtr'!H35, '3rd Qtr'!H35, '4th Qtr'!H35)</f>
        <v>-9543.41</v>
      </c>
      <c r="I35" s="37">
        <f t="shared" si="2"/>
        <v>-0.20942579682291257</v>
      </c>
    </row>
    <row r="36" spans="1:9" ht="15.6">
      <c r="A36" s="26" t="str">
        <v>Denver - Northgate / Old Fort Logan ES</v>
      </c>
      <c r="B36" s="27" t="str">
        <v>CO</v>
      </c>
      <c r="C36" s="28">
        <f>SUM('1st Qtr'!C36, '2nd Qtr'!C36, '3rd Qtr'!C36, '4th Qtr'!C36)</f>
        <v>40389.000000000204</v>
      </c>
      <c r="D36" s="29">
        <f>SUM('1st Qtr'!D36, '2nd Qtr'!D36, '3rd Qtr'!D36, '4th Qtr'!D36)</f>
        <v>35412.14</v>
      </c>
      <c r="E36" s="29">
        <f t="shared" si="3"/>
        <v>4976.8600000002043</v>
      </c>
      <c r="F36" s="30">
        <f t="shared" si="1"/>
        <v>0.14054106868436092</v>
      </c>
      <c r="G36" s="31">
        <f>SUM('1st Qtr'!G36, '2nd Qtr'!G36, '3rd Qtr'!G36, '4th Qtr'!G36)</f>
        <v>42149.81</v>
      </c>
      <c r="H36" s="31">
        <f>SUM('1st Qtr'!H36, '2nd Qtr'!H36, '3rd Qtr'!H36, '4th Qtr'!H36)</f>
        <v>-1760.8099999997994</v>
      </c>
      <c r="I36" s="32">
        <f t="shared" si="2"/>
        <v>-4.1775040029831678E-2</v>
      </c>
    </row>
    <row r="37" spans="1:9" ht="15.6">
      <c r="A37" s="33" t="str">
        <v>Denver - Sheridan High School</v>
      </c>
      <c r="B37" s="34" t="str">
        <v>CO</v>
      </c>
      <c r="C37" s="35">
        <f>SUM('1st Qtr'!C37, '2nd Qtr'!C37, '3rd Qtr'!C37, '4th Qtr'!C37)</f>
        <v>47158</v>
      </c>
      <c r="D37" s="35">
        <f>SUM('1st Qtr'!D37, '2nd Qtr'!D37, '3rd Qtr'!D37, '4th Qtr'!D37)</f>
        <v>40851.259999999995</v>
      </c>
      <c r="E37" s="36">
        <f t="shared" si="3"/>
        <v>6306.7400000000052</v>
      </c>
      <c r="F37" s="37">
        <f t="shared" si="1"/>
        <v>0.15438299822331075</v>
      </c>
      <c r="G37" s="38">
        <f>SUM('1st Qtr'!G37, '2nd Qtr'!G37, '3rd Qtr'!G37, '4th Qtr'!G37)</f>
        <v>41958.239999999998</v>
      </c>
      <c r="H37" s="38">
        <f>SUM('1st Qtr'!H37, '2nd Qtr'!H37, '3rd Qtr'!H37, '4th Qtr'!H37)</f>
        <v>5199.76</v>
      </c>
      <c r="I37" s="37">
        <f t="shared" si="2"/>
        <v>0.12392702839775931</v>
      </c>
    </row>
    <row r="38" spans="1:9" ht="15.6">
      <c r="A38" s="26" t="str">
        <v>Englewood -  Alice Terry Elementary</v>
      </c>
      <c r="B38" s="27" t="str">
        <v>CO</v>
      </c>
      <c r="C38" s="28">
        <f>SUM('1st Qtr'!C38, '2nd Qtr'!C38, '3rd Qtr'!C38, '4th Qtr'!C38)</f>
        <v>44514</v>
      </c>
      <c r="D38" s="29">
        <f>SUM('1st Qtr'!D38, '2nd Qtr'!D38, '3rd Qtr'!D38, '4th Qtr'!D38)</f>
        <v>40851.839999999997</v>
      </c>
      <c r="E38" s="29">
        <f t="shared" si="3"/>
        <v>3662.1600000000035</v>
      </c>
      <c r="F38" s="30">
        <f t="shared" si="1"/>
        <v>8.9644921746486916E-2</v>
      </c>
      <c r="G38" s="31">
        <f>SUM('1st Qtr'!G38, '2nd Qtr'!G38, '3rd Qtr'!G38, '4th Qtr'!G38)</f>
        <v>42149.81</v>
      </c>
      <c r="H38" s="31">
        <f>SUM('1st Qtr'!H38, '2nd Qtr'!H38, '3rd Qtr'!H38, '4th Qtr'!H38)</f>
        <v>2364.1900000000005</v>
      </c>
      <c r="I38" s="32">
        <f t="shared" si="2"/>
        <v>5.6090169801477172E-2</v>
      </c>
    </row>
    <row r="39" spans="1:9" ht="15.6">
      <c r="A39" s="33" t="str">
        <v>Englewood - Sheridan Middle School</v>
      </c>
      <c r="B39" s="34" t="str">
        <v>CO</v>
      </c>
      <c r="C39" s="35">
        <f>SUM('1st Qtr'!C39, '2nd Qtr'!C39, '3rd Qtr'!C39, '4th Qtr'!C39)</f>
        <v>23640</v>
      </c>
      <c r="D39" s="35">
        <f>SUM('1st Qtr'!D39, '2nd Qtr'!D39, '3rd Qtr'!D39, '4th Qtr'!D39)</f>
        <v>24430.633000000002</v>
      </c>
      <c r="E39" s="36">
        <f t="shared" si="3"/>
        <v>-790.63300000000163</v>
      </c>
      <c r="F39" s="37">
        <f t="shared" si="1"/>
        <v>-3.2362362448815858E-2</v>
      </c>
      <c r="G39" s="38">
        <f>SUM('1st Qtr'!G39, '2nd Qtr'!G39, '3rd Qtr'!G39, '4th Qtr'!G39)</f>
        <v>24681.651000000002</v>
      </c>
      <c r="H39" s="38">
        <f>SUM('1st Qtr'!H39, '2nd Qtr'!H39, '3rd Qtr'!H39, '4th Qtr'!H39)</f>
        <v>-1041.6510000000007</v>
      </c>
      <c r="I39" s="37">
        <f t="shared" si="2"/>
        <v>-4.2203457135019072E-2</v>
      </c>
    </row>
    <row r="40" spans="1:9" ht="15.6">
      <c r="A40" s="26" t="str">
        <v>Goshen - NIPSCO</v>
      </c>
      <c r="B40" s="27" t="str">
        <v>IN</v>
      </c>
      <c r="C40" s="28">
        <f>SUM('1st Qtr'!C40, '2nd Qtr'!C40, '3rd Qtr'!C40, '4th Qtr'!C40)</f>
        <v>156020</v>
      </c>
      <c r="D40" s="29">
        <f>SUM('1st Qtr'!D40, '2nd Qtr'!D40, '3rd Qtr'!D40, '4th Qtr'!D40)</f>
        <v>170988.97999999998</v>
      </c>
      <c r="E40" s="29">
        <f t="shared" si="3"/>
        <v>-14968.979999999981</v>
      </c>
      <c r="F40" s="30">
        <f t="shared" si="1"/>
        <v>-8.7543536431412036E-2</v>
      </c>
      <c r="G40" s="31">
        <f>SUM('1st Qtr'!G40, '2nd Qtr'!G40, '3rd Qtr'!G40, '4th Qtr'!G40)</f>
        <v>219222.58000000002</v>
      </c>
      <c r="H40" s="31">
        <f>SUM('1st Qtr'!H40, '2nd Qtr'!H40, '3rd Qtr'!H40, '4th Qtr'!H40)</f>
        <v>-63202.58</v>
      </c>
      <c r="I40" s="32">
        <f t="shared" si="2"/>
        <v>-0.28830323956592424</v>
      </c>
    </row>
    <row r="41" spans="1:9" ht="15.6">
      <c r="A41" s="33" t="str">
        <v>Alamogordo - City of Alamogordo - Effluent</v>
      </c>
      <c r="B41" s="34" t="str">
        <v>NM</v>
      </c>
      <c r="C41" s="35">
        <f>SUM('1st Qtr'!C41, '2nd Qtr'!C41, '3rd Qtr'!C41, '4th Qtr'!C41)</f>
        <v>73178</v>
      </c>
      <c r="D41" s="35">
        <f>SUM('1st Qtr'!D41, '2nd Qtr'!D41, '3rd Qtr'!D41, '4th Qtr'!D41)</f>
        <v>86850.62</v>
      </c>
      <c r="E41" s="36">
        <f t="shared" si="3"/>
        <v>-13672.619999999995</v>
      </c>
      <c r="F41" s="37">
        <f t="shared" si="1"/>
        <v>-0.15742685544444007</v>
      </c>
      <c r="G41" s="38">
        <f>SUM('1st Qtr'!G41, '2nd Qtr'!G41, '3rd Qtr'!G41, '4th Qtr'!G41)</f>
        <v>103716.09</v>
      </c>
      <c r="H41" s="38">
        <f>SUM('1st Qtr'!H41, '2nd Qtr'!H41, '3rd Qtr'!H41, '4th Qtr'!H41)</f>
        <v>-30538.090000000004</v>
      </c>
      <c r="I41" s="37">
        <f t="shared" si="2"/>
        <v>-0.29443927166941991</v>
      </c>
    </row>
    <row r="42" spans="1:9" ht="15.6">
      <c r="A42" s="26" t="str">
        <v>Alamogordo - City of Alamogordo - WWTP</v>
      </c>
      <c r="B42" s="27" t="str">
        <v>NM</v>
      </c>
      <c r="C42" s="28">
        <f>SUM('1st Qtr'!C42, '2nd Qtr'!C42, '3rd Qtr'!C42, '4th Qtr'!C42)</f>
        <v>171950</v>
      </c>
      <c r="D42" s="29">
        <f>SUM('1st Qtr'!D42, '2nd Qtr'!D42, '3rd Qtr'!D42, '4th Qtr'!D42)</f>
        <v>2.0506114999999998E-2</v>
      </c>
      <c r="E42" s="29">
        <f t="shared" si="3"/>
        <v>171949.97949388501</v>
      </c>
      <c r="F42" s="30">
        <f t="shared" si="1"/>
        <v>8385302.6033397857</v>
      </c>
      <c r="G42" s="31">
        <f>SUM('1st Qtr'!G42, '2nd Qtr'!G42, '3rd Qtr'!G42, '4th Qtr'!G42)</f>
        <v>439842.6</v>
      </c>
      <c r="H42" s="31">
        <f>SUM('1st Qtr'!H42, '2nd Qtr'!H42, '3rd Qtr'!H42, '4th Qtr'!H42)</f>
        <v>-267892.59999999998</v>
      </c>
      <c r="I42" s="32">
        <f t="shared" si="2"/>
        <v>-0.60906469723487444</v>
      </c>
    </row>
    <row r="43" spans="1:9" ht="15.6">
      <c r="A43" s="33" t="str">
        <v>Deming - Bilbo Booster</v>
      </c>
      <c r="B43" s="34" t="str">
        <v>NM</v>
      </c>
      <c r="C43" s="35">
        <f>SUM('1st Qtr'!C43, '2nd Qtr'!C43, '3rd Qtr'!C43, '4th Qtr'!C43)</f>
        <v>36518</v>
      </c>
      <c r="D43" s="35">
        <f>SUM('1st Qtr'!D43, '2nd Qtr'!D43, '3rd Qtr'!D43, '4th Qtr'!D43)</f>
        <v>0</v>
      </c>
      <c r="E43" s="36">
        <f t="shared" si="3"/>
        <v>36518</v>
      </c>
      <c r="F43" s="37" t="str">
        <f t="shared" si="1"/>
        <v/>
      </c>
      <c r="G43" s="38">
        <f>SUM('1st Qtr'!G43, '2nd Qtr'!G43, '3rd Qtr'!G43, '4th Qtr'!G43)</f>
        <v>41583.74</v>
      </c>
      <c r="H43" s="38">
        <f>SUM('1st Qtr'!H43, '2nd Qtr'!H43, '3rd Qtr'!H43, '4th Qtr'!H43)</f>
        <v>-5065.74</v>
      </c>
      <c r="I43" s="37">
        <f t="shared" si="2"/>
        <v>-0.12182021145765148</v>
      </c>
    </row>
    <row r="44" spans="1:9" ht="15.6">
      <c r="A44" s="26" t="str">
        <v>Deming - Bilbo Well</v>
      </c>
      <c r="B44" s="27" t="str">
        <v>NM</v>
      </c>
      <c r="C44" s="28">
        <f>SUM('1st Qtr'!C44, '2nd Qtr'!C44, '3rd Qtr'!C44, '4th Qtr'!C44)</f>
        <v>69797</v>
      </c>
      <c r="D44" s="29">
        <f>SUM('1st Qtr'!D44, '2nd Qtr'!D44, '3rd Qtr'!D44, '4th Qtr'!D44)</f>
        <v>0</v>
      </c>
      <c r="E44" s="29">
        <f t="shared" si="3"/>
        <v>69797</v>
      </c>
      <c r="F44" s="30" t="str">
        <f t="shared" si="1"/>
        <v/>
      </c>
      <c r="G44" s="31">
        <f>SUM('1st Qtr'!G44, '2nd Qtr'!G44, '3rd Qtr'!G44, '4th Qtr'!G44)</f>
        <v>75170.89</v>
      </c>
      <c r="H44" s="31">
        <f>SUM('1st Qtr'!H44, '2nd Qtr'!H44, '3rd Qtr'!H44, '4th Qtr'!H44)</f>
        <v>-5373.8900000000031</v>
      </c>
      <c r="I44" s="32">
        <f t="shared" si="2"/>
        <v>-7.148897665040288E-2</v>
      </c>
    </row>
    <row r="45" spans="1:9" ht="15.6">
      <c r="A45" s="33" t="str">
        <v>Deming - WWTP</v>
      </c>
      <c r="B45" s="34" t="str">
        <v>NM</v>
      </c>
      <c r="C45" s="35">
        <f>SUM('1st Qtr'!C45, '2nd Qtr'!C45, '3rd Qtr'!C45, '4th Qtr'!C45)</f>
        <v>253260</v>
      </c>
      <c r="D45" s="35">
        <f>SUM('1st Qtr'!D45, '2nd Qtr'!D45, '3rd Qtr'!D45, '4th Qtr'!D45)</f>
        <v>222715.93</v>
      </c>
      <c r="E45" s="36">
        <f t="shared" si="3"/>
        <v>30544.070000000007</v>
      </c>
      <c r="F45" s="37">
        <f t="shared" si="1"/>
        <v>0.13714362506534672</v>
      </c>
      <c r="G45" s="38">
        <f>SUM('1st Qtr'!G45, '2nd Qtr'!G45, '3rd Qtr'!G45, '4th Qtr'!G45)</f>
        <v>299529.27999999997</v>
      </c>
      <c r="H45" s="38">
        <f>SUM('1st Qtr'!H45, '2nd Qtr'!H45, '3rd Qtr'!H45, '4th Qtr'!H45)</f>
        <v>-46269.279999999999</v>
      </c>
      <c r="I45" s="37">
        <f t="shared" si="2"/>
        <v>-0.15447331225848773</v>
      </c>
    </row>
    <row r="46" spans="1:9" ht="15.6">
      <c r="A46" s="26" t="str">
        <v>Truth or Consequences - Walmart</v>
      </c>
      <c r="B46" s="27" t="str">
        <v>NM</v>
      </c>
      <c r="C46" s="28">
        <f>SUM('1st Qtr'!C46, '2nd Qtr'!C46, '3rd Qtr'!C46, '4th Qtr'!C46)</f>
        <v>498100</v>
      </c>
      <c r="D46" s="29">
        <f>SUM('1st Qtr'!D46, '2nd Qtr'!D46, '3rd Qtr'!D46, '4th Qtr'!D46)</f>
        <v>1051628.5</v>
      </c>
      <c r="E46" s="29">
        <f t="shared" si="3"/>
        <v>-553528.5</v>
      </c>
      <c r="F46" s="30">
        <f t="shared" si="1"/>
        <v>-0.52635365055245265</v>
      </c>
      <c r="G46" s="31">
        <f>SUM('1st Qtr'!G46, '2nd Qtr'!G46, '3rd Qtr'!G46, '4th Qtr'!G46)</f>
        <v>643387.89999999991</v>
      </c>
      <c r="H46" s="31">
        <f>SUM('1st Qtr'!H46, '2nd Qtr'!H46, '3rd Qtr'!H46, '4th Qtr'!H46)</f>
        <v>-145287.9</v>
      </c>
      <c r="I46" s="32">
        <f t="shared" si="2"/>
        <v>-0.22581696049925715</v>
      </c>
    </row>
    <row r="47" spans="1:9" ht="15.6">
      <c r="A47" s="33" t="str">
        <v>CA: Stockton - SUSD - Merlo</v>
      </c>
      <c r="B47" s="34" t="str">
        <v>CA</v>
      </c>
      <c r="C47" s="35">
        <f>SUM('1st Qtr'!C47, '2nd Qtr'!C47, '3rd Qtr'!C47, '4th Qtr'!C47)</f>
        <v>758.37481208867405</v>
      </c>
      <c r="D47" s="35">
        <f>SUM('1st Qtr'!D47, '2nd Qtr'!D47, '3rd Qtr'!D47, '4th Qtr'!D47)</f>
        <v>12488.86</v>
      </c>
      <c r="E47" s="36">
        <f t="shared" si="3"/>
        <v>-11730.485187911327</v>
      </c>
      <c r="F47" s="37">
        <f t="shared" si="1"/>
        <v>-0.93927589771294784</v>
      </c>
      <c r="G47" s="38">
        <f>SUM('1st Qtr'!G47, '2nd Qtr'!G47, '3rd Qtr'!G47, '4th Qtr'!G47)</f>
        <v>19393.2</v>
      </c>
      <c r="H47" s="38">
        <f>SUM('1st Qtr'!H47, '2nd Qtr'!H47, '3rd Qtr'!H47, '4th Qtr'!H47)</f>
        <v>-18634.825187911327</v>
      </c>
      <c r="I47" s="37">
        <f t="shared" si="2"/>
        <v>-0.96089480786622761</v>
      </c>
    </row>
    <row r="48" spans="1:9" ht="15.6">
      <c r="A48" s="26" t="str">
        <v>Stockton Unified School Dist. - Bush Elementary</v>
      </c>
      <c r="B48" s="27" t="str">
        <v>CA</v>
      </c>
      <c r="C48" s="28">
        <f>SUM('1st Qtr'!C48, '2nd Qtr'!C48, '3rd Qtr'!C48, '4th Qtr'!C48)</f>
        <v>55677.75</v>
      </c>
      <c r="D48" s="29">
        <f>SUM('1st Qtr'!D48, '2nd Qtr'!D48, '3rd Qtr'!D48, '4th Qtr'!D48)</f>
        <v>81550.217000000004</v>
      </c>
      <c r="E48" s="29">
        <f t="shared" si="3"/>
        <v>-25872.467000000004</v>
      </c>
      <c r="F48" s="30">
        <f t="shared" si="1"/>
        <v>-0.3172581012261439</v>
      </c>
      <c r="G48" s="31">
        <f>SUM('1st Qtr'!G48, '2nd Qtr'!G48, '3rd Qtr'!G48, '4th Qtr'!G48)</f>
        <v>82241.72099999999</v>
      </c>
      <c r="H48" s="31">
        <f>SUM('1st Qtr'!H48, '2nd Qtr'!H48, '3rd Qtr'!H48, '4th Qtr'!H48)</f>
        <v>-26563.970999999998</v>
      </c>
      <c r="I48" s="32">
        <f t="shared" si="2"/>
        <v>-0.32299872469838031</v>
      </c>
    </row>
    <row r="49" spans="1:9" ht="15.6">
      <c r="A49" s="33" t="str">
        <v>CA: Stockton - SUSD - Marshall JHS</v>
      </c>
      <c r="B49" s="34" t="str">
        <v>CA</v>
      </c>
      <c r="C49" s="35">
        <f>SUM('1st Qtr'!C49, '2nd Qtr'!C49, '3rd Qtr'!C49, '4th Qtr'!C49)</f>
        <v>18199.625</v>
      </c>
      <c r="D49" s="35">
        <f>SUM('1st Qtr'!D49, '2nd Qtr'!D49, '3rd Qtr'!D49, '4th Qtr'!D49)</f>
        <v>53033.850000000006</v>
      </c>
      <c r="E49" s="36">
        <f t="shared" si="3"/>
        <v>-34834.225000000006</v>
      </c>
      <c r="F49" s="37">
        <f t="shared" si="1"/>
        <v>-0.65683002459749762</v>
      </c>
      <c r="G49" s="38">
        <f>SUM('1st Qtr'!G49, '2nd Qtr'!G49, '3rd Qtr'!G49, '4th Qtr'!G49)</f>
        <v>54410.43</v>
      </c>
      <c r="H49" s="38">
        <f>SUM('1st Qtr'!H49, '2nd Qtr'!H49, '3rd Qtr'!H49, '4th Qtr'!H49)</f>
        <v>-36210.805</v>
      </c>
      <c r="I49" s="37">
        <f t="shared" si="2"/>
        <v>-0.66551220051008608</v>
      </c>
    </row>
    <row r="50" spans="1:9" ht="15.6">
      <c r="A50" s="26" t="str">
        <v>CA: Stockton - SUSD - Hong-Kingston ES</v>
      </c>
      <c r="B50" s="27" t="str">
        <v>CA</v>
      </c>
      <c r="C50" s="28">
        <f>SUM('1st Qtr'!C50, '2nd Qtr'!C50, '3rd Qtr'!C50, '4th Qtr'!C50)</f>
        <v>26930.5</v>
      </c>
      <c r="D50" s="29">
        <f>SUM('1st Qtr'!D50, '2nd Qtr'!D50, '3rd Qtr'!D50, '4th Qtr'!D50)</f>
        <v>88868.14</v>
      </c>
      <c r="E50" s="29">
        <f t="shared" si="3"/>
        <v>-61937.64</v>
      </c>
      <c r="F50" s="30">
        <f t="shared" si="1"/>
        <v>-0.69696113815367355</v>
      </c>
      <c r="G50" s="31">
        <f>SUM('1st Qtr'!G50, '2nd Qtr'!G50, '3rd Qtr'!G50, '4th Qtr'!G50)</f>
        <v>88219.74</v>
      </c>
      <c r="H50" s="31">
        <f>SUM('1st Qtr'!H50, '2nd Qtr'!H50, '3rd Qtr'!H50, '4th Qtr'!H50)</f>
        <v>-61289.240000000005</v>
      </c>
      <c r="I50" s="32">
        <f t="shared" si="2"/>
        <v>-0.6947338543505116</v>
      </c>
    </row>
    <row r="51" spans="1:9" ht="15.6">
      <c r="A51" s="33" t="str">
        <v>CA: Stockton - SUSD - Hamilton ES</v>
      </c>
      <c r="B51" s="34" t="str">
        <v>CA</v>
      </c>
      <c r="C51" s="35">
        <f>SUM('1st Qtr'!C51, '2nd Qtr'!C51, '3rd Qtr'!C51, '4th Qtr'!C51)</f>
        <v>14544.375</v>
      </c>
      <c r="D51" s="35">
        <f>SUM('1st Qtr'!D51, '2nd Qtr'!D51, '3rd Qtr'!D51, '4th Qtr'!D51)</f>
        <v>45940.14</v>
      </c>
      <c r="E51" s="36">
        <f t="shared" si="3"/>
        <v>-31395.764999999999</v>
      </c>
      <c r="F51" s="37">
        <f t="shared" si="1"/>
        <v>-0.68340594956828604</v>
      </c>
      <c r="G51" s="38">
        <f>SUM('1st Qtr'!G51, '2nd Qtr'!G51, '3rd Qtr'!G51, '4th Qtr'!G51)</f>
        <v>46755.350000000006</v>
      </c>
      <c r="H51" s="38">
        <f>SUM('1st Qtr'!H51, '2nd Qtr'!H51, '3rd Qtr'!H51, '4th Qtr'!H51)</f>
        <v>-32210.975000000002</v>
      </c>
      <c r="I51" s="37">
        <f t="shared" si="2"/>
        <v>-0.68892597317740101</v>
      </c>
    </row>
    <row r="52" spans="1:9" ht="15.6">
      <c r="A52" s="26" t="str">
        <v>CA: Stockton - SUSD - Franklin - North</v>
      </c>
      <c r="B52" s="27" t="str">
        <v>CA</v>
      </c>
      <c r="C52" s="28">
        <f>SUM('1st Qtr'!C52, '2nd Qtr'!C52, '3rd Qtr'!C52, '4th Qtr'!C52)</f>
        <v>70714.75</v>
      </c>
      <c r="D52" s="29">
        <f>SUM('1st Qtr'!D52, '2nd Qtr'!D52, '3rd Qtr'!D52, '4th Qtr'!D52)</f>
        <v>208595.20000000001</v>
      </c>
      <c r="E52" s="29">
        <f t="shared" si="3"/>
        <v>-137880.45000000001</v>
      </c>
      <c r="F52" s="30">
        <f t="shared" si="1"/>
        <v>-0.6609953153284448</v>
      </c>
      <c r="G52" s="31">
        <f>SUM('1st Qtr'!G52, '2nd Qtr'!G52, '3rd Qtr'!G52, '4th Qtr'!G52)</f>
        <v>123814.03</v>
      </c>
      <c r="H52" s="31">
        <f>SUM('1st Qtr'!H52, '2nd Qtr'!H52, '3rd Qtr'!H52, '4th Qtr'!H52)</f>
        <v>-53099.28</v>
      </c>
      <c r="I52" s="32">
        <f t="shared" si="2"/>
        <v>-0.42886319102932036</v>
      </c>
    </row>
    <row r="53" spans="1:9" ht="15.6">
      <c r="A53" s="33" t="str">
        <v>Stockton Unified School Dist. - Fillmore Elementary</v>
      </c>
      <c r="B53" s="34" t="str">
        <v>CA</v>
      </c>
      <c r="C53" s="35">
        <f>SUM('1st Qtr'!C53, '2nd Qtr'!C53, '3rd Qtr'!C53, '4th Qtr'!C53)</f>
        <v>10127.25</v>
      </c>
      <c r="D53" s="35">
        <f>SUM('1st Qtr'!D53, '2nd Qtr'!D53, '3rd Qtr'!D53, '4th Qtr'!D53)</f>
        <v>37139.130000000005</v>
      </c>
      <c r="E53" s="36">
        <f t="shared" si="3"/>
        <v>-27011.880000000005</v>
      </c>
      <c r="F53" s="37">
        <f t="shared" si="1"/>
        <v>-0.7273159064307646</v>
      </c>
      <c r="G53" s="38">
        <f>SUM('1st Qtr'!G53, '2nd Qtr'!G53, '3rd Qtr'!G53, '4th Qtr'!G53)</f>
        <v>37439.339999999997</v>
      </c>
      <c r="H53" s="38">
        <f>SUM('1st Qtr'!H53, '2nd Qtr'!H53, '3rd Qtr'!H53, '4th Qtr'!H53)</f>
        <v>-27312.09</v>
      </c>
      <c r="I53" s="37">
        <f t="shared" si="2"/>
        <v>-0.72950244315204282</v>
      </c>
    </row>
    <row r="54" spans="1:9" ht="15.6">
      <c r="A54" s="26" t="str">
        <v>CA: Stockton - SUSD - El Dorado ES</v>
      </c>
      <c r="B54" s="27" t="str">
        <v>CA</v>
      </c>
      <c r="C54" s="28">
        <f>SUM('1st Qtr'!C54, '2nd Qtr'!C54, '3rd Qtr'!C54, '4th Qtr'!C54)</f>
        <v>12124.125</v>
      </c>
      <c r="D54" s="29">
        <f>SUM('1st Qtr'!D54, '2nd Qtr'!D54, '3rd Qtr'!D54, '4th Qtr'!D54)</f>
        <v>48834.75</v>
      </c>
      <c r="E54" s="29">
        <f t="shared" si="3"/>
        <v>-36710.625</v>
      </c>
      <c r="F54" s="30">
        <f t="shared" si="1"/>
        <v>-0.75173160505582604</v>
      </c>
      <c r="G54" s="31">
        <f>SUM('1st Qtr'!G54, '2nd Qtr'!G54, '3rd Qtr'!G54, '4th Qtr'!G54)</f>
        <v>0</v>
      </c>
      <c r="H54" s="31">
        <f>SUM('1st Qtr'!H54, '2nd Qtr'!H54, '3rd Qtr'!H54, '4th Qtr'!H54)</f>
        <v>12124.125</v>
      </c>
      <c r="I54" s="32" t="str">
        <f t="shared" si="2"/>
        <v/>
      </c>
    </row>
    <row r="55" spans="1:9" ht="15.6">
      <c r="A55" s="33" t="str">
        <v>CA: Stockton - SUSD - Edison HS</v>
      </c>
      <c r="B55" s="34" t="str">
        <v>CA</v>
      </c>
      <c r="C55" s="35">
        <f>SUM('1st Qtr'!C55, '2nd Qtr'!C55, '3rd Qtr'!C55, '4th Qtr'!C55)</f>
        <v>84465</v>
      </c>
      <c r="D55" s="35">
        <f>SUM('1st Qtr'!D55, '2nd Qtr'!D55, '3rd Qtr'!D55, '4th Qtr'!D55)</f>
        <v>126152.81</v>
      </c>
      <c r="E55" s="36">
        <f t="shared" si="3"/>
        <v>-41687.81</v>
      </c>
      <c r="F55" s="37">
        <f t="shared" si="1"/>
        <v>-0.33045486660186163</v>
      </c>
      <c r="G55" s="38">
        <f>SUM('1st Qtr'!G55, '2nd Qtr'!G55, '3rd Qtr'!G55, '4th Qtr'!G55)</f>
        <v>128045.55</v>
      </c>
      <c r="H55" s="38">
        <f>SUM('1st Qtr'!H55, '2nd Qtr'!H55, '3rd Qtr'!H55, '4th Qtr'!H55)</f>
        <v>-43580.55</v>
      </c>
      <c r="I55" s="37">
        <f t="shared" si="2"/>
        <v>-0.34035192945010584</v>
      </c>
    </row>
    <row r="56" spans="1:9" ht="15.6">
      <c r="A56" s="26" t="str">
        <v>CA: Stockton - SUSD - Chavez HS - Large</v>
      </c>
      <c r="B56" s="27" t="str">
        <v>CA</v>
      </c>
      <c r="C56" s="28">
        <f>SUM('1st Qtr'!C56, '2nd Qtr'!C56, '3rd Qtr'!C56, '4th Qtr'!C56)</f>
        <v>89802</v>
      </c>
      <c r="D56" s="29">
        <f>SUM('1st Qtr'!D56, '2nd Qtr'!D56, '3rd Qtr'!D56, '4th Qtr'!D56)</f>
        <v>273316.19999999995</v>
      </c>
      <c r="E56" s="29">
        <f t="shared" si="3"/>
        <v>-183514.19999999995</v>
      </c>
      <c r="F56" s="30">
        <f t="shared" si="1"/>
        <v>-0.67143550217659975</v>
      </c>
      <c r="G56" s="31">
        <f>SUM('1st Qtr'!G56, '2nd Qtr'!G56, '3rd Qtr'!G56, '4th Qtr'!G56)</f>
        <v>268189.8</v>
      </c>
      <c r="H56" s="31">
        <f>SUM('1st Qtr'!H56, '2nd Qtr'!H56, '3rd Qtr'!H56, '4th Qtr'!H56)</f>
        <v>-178387.8</v>
      </c>
      <c r="I56" s="32">
        <f t="shared" si="2"/>
        <v>-0.66515505063950975</v>
      </c>
    </row>
    <row r="57" spans="1:9" ht="15.6">
      <c r="A57" s="33" t="str">
        <v>CA: San Jose - GE Mobile Water</v>
      </c>
      <c r="B57" s="34" t="str">
        <v>CA</v>
      </c>
      <c r="C57" s="35">
        <f>SUM('1st Qtr'!C57, '2nd Qtr'!C57, '3rd Qtr'!C57, '4th Qtr'!C57)</f>
        <v>63008</v>
      </c>
      <c r="D57" s="35">
        <f>SUM('1st Qtr'!D57, '2nd Qtr'!D57, '3rd Qtr'!D57, '4th Qtr'!D57)</f>
        <v>70289.62</v>
      </c>
      <c r="E57" s="36">
        <f t="shared" si="3"/>
        <v>-7281.6199999999953</v>
      </c>
      <c r="F57" s="37">
        <f t="shared" si="1"/>
        <v>-0.10359452789757571</v>
      </c>
      <c r="G57" s="38">
        <f>SUM('1st Qtr'!G57, '2nd Qtr'!G57, '3rd Qtr'!G57, '4th Qtr'!G57)</f>
        <v>70090.149999999994</v>
      </c>
      <c r="H57" s="38">
        <f>SUM('1st Qtr'!H57, '2nd Qtr'!H57, '3rd Qtr'!H57, '4th Qtr'!H57)</f>
        <v>-7082.1500000000015</v>
      </c>
      <c r="I57" s="37">
        <f t="shared" si="2"/>
        <v>-0.10104344191016858</v>
      </c>
    </row>
    <row r="58" spans="1:9" ht="15.6">
      <c r="A58" s="26" t="str">
        <v>CA: San Marcos - Vallecitos Water - Lift Station</v>
      </c>
      <c r="B58" s="27" t="str">
        <v>CA</v>
      </c>
      <c r="C58" s="28">
        <f>SUM('1st Qtr'!C58, '2nd Qtr'!C58, '3rd Qtr'!C58, '4th Qtr'!C58)</f>
        <v>81685.125</v>
      </c>
      <c r="D58" s="29">
        <f>SUM('1st Qtr'!D58, '2nd Qtr'!D58, '3rd Qtr'!D58, '4th Qtr'!D58)</f>
        <v>81157.450000000012</v>
      </c>
      <c r="E58" s="29">
        <f t="shared" si="3"/>
        <v>527.67499999998836</v>
      </c>
      <c r="F58" s="30">
        <f t="shared" si="1"/>
        <v>6.5018676658764943E-3</v>
      </c>
      <c r="G58" s="31">
        <f>SUM('1st Qtr'!G58, '2nd Qtr'!G58, '3rd Qtr'!G58, '4th Qtr'!G58)</f>
        <v>81994.010000000009</v>
      </c>
      <c r="H58" s="31">
        <f>SUM('1st Qtr'!H58, '2nd Qtr'!H58, '3rd Qtr'!H58, '4th Qtr'!H58)</f>
        <v>-308.88500000000204</v>
      </c>
      <c r="I58" s="32">
        <f t="shared" si="2"/>
        <v>-3.7671654307430752E-3</v>
      </c>
    </row>
    <row r="59" spans="1:9" ht="15.6">
      <c r="A59" s="33" t="str">
        <v>CA: San Marcos - Vallecitos Water - Twin Oaks Reservoir</v>
      </c>
      <c r="B59" s="34" t="str">
        <v>CA</v>
      </c>
      <c r="C59" s="35">
        <f>SUM('1st Qtr'!C59, '2nd Qtr'!C59, '3rd Qtr'!C59, '4th Qtr'!C59)</f>
        <v>601638.99999999802</v>
      </c>
      <c r="D59" s="35">
        <f>SUM('1st Qtr'!D59, '2nd Qtr'!D59, '3rd Qtr'!D59, '4th Qtr'!D59)</f>
        <v>629964.60000000009</v>
      </c>
      <c r="E59" s="36">
        <f t="shared" si="3"/>
        <v>-28325.600000002072</v>
      </c>
      <c r="F59" s="37">
        <f t="shared" si="1"/>
        <v>-4.4963796378402955E-2</v>
      </c>
      <c r="G59" s="38">
        <f>SUM('1st Qtr'!G59, '2nd Qtr'!G59, '3rd Qtr'!G59, '4th Qtr'!G59)</f>
        <v>521676</v>
      </c>
      <c r="H59" s="38">
        <f>SUM('1st Qtr'!H59, '2nd Qtr'!H59, '3rd Qtr'!H59, '4th Qtr'!H59)</f>
        <v>79962.999999998021</v>
      </c>
      <c r="I59" s="37">
        <f t="shared" si="2"/>
        <v>0.15328096366326613</v>
      </c>
    </row>
    <row r="60" spans="1:9" ht="15.6">
      <c r="A60" s="26" t="str">
        <v>CA: Stockton - SUSD - Wilhelmina Henry ES</v>
      </c>
      <c r="B60" s="27" t="str">
        <v>CA</v>
      </c>
      <c r="C60" s="28">
        <f>SUM('1st Qtr'!C60, '2nd Qtr'!C60, '3rd Qtr'!C60, '4th Qtr'!C60)</f>
        <v>18423.75</v>
      </c>
      <c r="D60" s="29">
        <f>SUM('1st Qtr'!D60, '2nd Qtr'!D60, '3rd Qtr'!D60, '4th Qtr'!D60)</f>
        <v>104840.97</v>
      </c>
      <c r="E60" s="29">
        <f t="shared" si="3"/>
        <v>-86417.22</v>
      </c>
      <c r="F60" s="30">
        <f t="shared" si="1"/>
        <v>-0.82426955797909918</v>
      </c>
      <c r="G60" s="31">
        <f>SUM('1st Qtr'!G60, '2nd Qtr'!G60, '3rd Qtr'!G60, '4th Qtr'!G60)</f>
        <v>86317.95</v>
      </c>
      <c r="H60" s="31">
        <f>SUM('1st Qtr'!H60, '2nd Qtr'!H60, '3rd Qtr'!H60, '4th Qtr'!H60)</f>
        <v>-67894.2</v>
      </c>
      <c r="I60" s="32">
        <f t="shared" si="2"/>
        <v>-0.78655945837453278</v>
      </c>
    </row>
    <row r="61" spans="1:9" ht="15.6">
      <c r="A61" s="33" t="str">
        <v>Stockton Unified School Dist. - Franklin (North)</v>
      </c>
      <c r="B61" s="34" t="str">
        <v>CA</v>
      </c>
      <c r="C61" s="35">
        <f>SUM('1st Qtr'!C61, '2nd Qtr'!C61, '3rd Qtr'!C61, '4th Qtr'!C61)</f>
        <v>70714.7</v>
      </c>
      <c r="D61" s="35">
        <f>SUM('1st Qtr'!D61, '2nd Qtr'!D61, '3rd Qtr'!D61, '4th Qtr'!D61)</f>
        <v>208595.20000000001</v>
      </c>
      <c r="E61" s="36">
        <f t="shared" si="3"/>
        <v>-137880.5</v>
      </c>
      <c r="F61" s="37">
        <f t="shared" si="1"/>
        <v>-0.66099555502715301</v>
      </c>
      <c r="G61" s="38">
        <f>SUM('1st Qtr'!G61, '2nd Qtr'!G61, '3rd Qtr'!G61, '4th Qtr'!G61)</f>
        <v>123420.29000000001</v>
      </c>
      <c r="H61" s="38">
        <f>SUM('1st Qtr'!H61, '2nd Qtr'!H61, '3rd Qtr'!H61, '4th Qtr'!H61)</f>
        <v>-52705.59</v>
      </c>
      <c r="I61" s="37">
        <f t="shared" si="2"/>
        <v>-0.42704153425664443</v>
      </c>
    </row>
    <row r="62" spans="1:9" ht="15.6">
      <c r="A62" s="26" t="str">
        <v>CA: Stockton - SUSD - Franklin - South</v>
      </c>
      <c r="B62" s="27" t="str">
        <v>CA</v>
      </c>
      <c r="C62" s="28">
        <f>SUM('1st Qtr'!C62, '2nd Qtr'!C62, '3rd Qtr'!C62, '4th Qtr'!C62)</f>
        <v>91038.75</v>
      </c>
      <c r="D62" s="29">
        <f>SUM('1st Qtr'!D62, '2nd Qtr'!D62, '3rd Qtr'!D62, '4th Qtr'!D62)</f>
        <v>207446.59999999998</v>
      </c>
      <c r="E62" s="29">
        <f t="shared" si="3"/>
        <v>-116407.84999999998</v>
      </c>
      <c r="F62" s="30">
        <f t="shared" si="1"/>
        <v>-0.56114609735710297</v>
      </c>
      <c r="G62" s="31">
        <f>SUM('1st Qtr'!G62, '2nd Qtr'!G62, '3rd Qtr'!G62, '4th Qtr'!G62)</f>
        <v>199917.62</v>
      </c>
      <c r="H62" s="31">
        <f>SUM('1st Qtr'!H62, '2nd Qtr'!H62, '3rd Qtr'!H62, '4th Qtr'!H62)</f>
        <v>-108878.87000000001</v>
      </c>
      <c r="I62" s="32">
        <f t="shared" si="2"/>
        <v>-0.54461867843364686</v>
      </c>
    </row>
    <row r="63" spans="1:9" ht="15.6">
      <c r="A63" s="33" t="str">
        <v>CA: Stockton - SUSD - Chavez HS - Small</v>
      </c>
      <c r="B63" s="34" t="str">
        <v>CA</v>
      </c>
      <c r="C63" s="35">
        <f>SUM('1st Qtr'!C63, '2nd Qtr'!C63, '3rd Qtr'!C63, '4th Qtr'!C63)</f>
        <v>53767.5</v>
      </c>
      <c r="D63" s="35">
        <f>SUM('1st Qtr'!D63, '2nd Qtr'!D63, '3rd Qtr'!D63, '4th Qtr'!D63)</f>
        <v>51862.66</v>
      </c>
      <c r="E63" s="36">
        <f t="shared" si="3"/>
        <v>1904.8399999999965</v>
      </c>
      <c r="F63" s="37">
        <f t="shared" si="1"/>
        <v>3.6728544197308748E-2</v>
      </c>
      <c r="G63" s="38">
        <f>SUM('1st Qtr'!G63, '2nd Qtr'!G63, '3rd Qtr'!G63, '4th Qtr'!G63)</f>
        <v>75821.2</v>
      </c>
      <c r="H63" s="38">
        <f>SUM('1st Qtr'!H63, '2nd Qtr'!H63, '3rd Qtr'!H63, '4th Qtr'!H63)</f>
        <v>-22053.699999999997</v>
      </c>
      <c r="I63" s="37">
        <f t="shared" si="2"/>
        <v>-0.29086456030767116</v>
      </c>
    </row>
    <row r="64" spans="1:9" ht="15.6">
      <c r="A64" s="26" t="str">
        <v>CA: Stockton - SUSD - Facilities</v>
      </c>
      <c r="B64" s="27" t="str">
        <v>CA</v>
      </c>
      <c r="C64" s="28">
        <f>SUM('1st Qtr'!C64, '2nd Qtr'!C64, '3rd Qtr'!C64, '4th Qtr'!C64)</f>
        <v>45171</v>
      </c>
      <c r="D64" s="29">
        <f>SUM('1st Qtr'!D64, '2nd Qtr'!D64, '3rd Qtr'!D64, '4th Qtr'!D64)</f>
        <v>117842.26000000001</v>
      </c>
      <c r="E64" s="29">
        <f t="shared" si="3"/>
        <v>-72671.260000000009</v>
      </c>
      <c r="F64" s="30">
        <f t="shared" si="1"/>
        <v>-0.61668250422216953</v>
      </c>
      <c r="G64" s="31">
        <f>SUM('1st Qtr'!G64, '2nd Qtr'!G64, '3rd Qtr'!G64, '4th Qtr'!G64)</f>
        <v>128678.41</v>
      </c>
      <c r="H64" s="31">
        <f>SUM('1st Qtr'!H64, '2nd Qtr'!H64, '3rd Qtr'!H64, '4th Qtr'!H64)</f>
        <v>-83507.41</v>
      </c>
      <c r="I64" s="32">
        <f t="shared" si="2"/>
        <v>-0.64896209084336687</v>
      </c>
    </row>
    <row r="65" spans="1:9" ht="15.6">
      <c r="A65" s="33" t="str">
        <v>CA: Stockton - SUSD - Harrison</v>
      </c>
      <c r="B65" s="34" t="str">
        <v>CA</v>
      </c>
      <c r="C65" s="35">
        <f>SUM('1st Qtr'!C65, '2nd Qtr'!C65, '3rd Qtr'!C65, '4th Qtr'!C65)</f>
        <v>31376</v>
      </c>
      <c r="D65" s="35">
        <f>SUM('1st Qtr'!D65, '2nd Qtr'!D65, '3rd Qtr'!D65, '4th Qtr'!D65)</f>
        <v>47164.25</v>
      </c>
      <c r="E65" s="36">
        <f t="shared" si="3"/>
        <v>-15788.25</v>
      </c>
      <c r="F65" s="37">
        <f t="shared" si="1"/>
        <v>-0.33475036706827738</v>
      </c>
      <c r="G65" s="38">
        <f>SUM('1st Qtr'!G65, '2nd Qtr'!G65, '3rd Qtr'!G65, '4th Qtr'!G65)</f>
        <v>46096.28</v>
      </c>
      <c r="H65" s="38">
        <f>SUM('1st Qtr'!H65, '2nd Qtr'!H65, '3rd Qtr'!H65, '4th Qtr'!H65)</f>
        <v>-14720.280000000002</v>
      </c>
      <c r="I65" s="37">
        <f t="shared" si="2"/>
        <v>-0.31933769926770672</v>
      </c>
    </row>
    <row r="66" spans="1:9" ht="15.6">
      <c r="A66" s="26" t="str">
        <v>CA: Stockton - SUSD - Commodore Skills School</v>
      </c>
      <c r="B66" s="27" t="str">
        <v>CA</v>
      </c>
      <c r="C66" s="28">
        <f>SUM('1st Qtr'!C66, '2nd Qtr'!C66, '3rd Qtr'!C66, '4th Qtr'!C66)</f>
        <v>15280.25</v>
      </c>
      <c r="D66" s="29">
        <f>SUM('1st Qtr'!D66, '2nd Qtr'!D66, '3rd Qtr'!D66, '4th Qtr'!D66)</f>
        <v>94485.959999999992</v>
      </c>
      <c r="E66" s="29">
        <f t="shared" si="3"/>
        <v>-79205.709999999992</v>
      </c>
      <c r="F66" s="30">
        <f t="shared" si="1"/>
        <v>-0.83828020586338958</v>
      </c>
      <c r="G66" s="31">
        <f>SUM('1st Qtr'!G66, '2nd Qtr'!G66, '3rd Qtr'!G66, '4th Qtr'!G66)</f>
        <v>100215.87</v>
      </c>
      <c r="H66" s="31">
        <f>SUM('1st Qtr'!H66, '2nd Qtr'!H66, '3rd Qtr'!H66, '4th Qtr'!H66)</f>
        <v>-84935.62</v>
      </c>
      <c r="I66" s="32">
        <f t="shared" si="2"/>
        <v>-0.84752664423309398</v>
      </c>
    </row>
    <row r="67" spans="1:9" ht="15.6">
      <c r="A67" s="33" t="str">
        <v>CA: Stockton - SUSD - Nightingale ES</v>
      </c>
      <c r="B67" s="34" t="str">
        <v>CA</v>
      </c>
      <c r="C67" s="35">
        <f>SUM('1st Qtr'!C67, '2nd Qtr'!C67, '3rd Qtr'!C67, '4th Qtr'!C67)</f>
        <v>42090</v>
      </c>
      <c r="D67" s="35">
        <f>SUM('1st Qtr'!D67, '2nd Qtr'!D67, '3rd Qtr'!D67, '4th Qtr'!D67)</f>
        <v>46138.93</v>
      </c>
      <c r="E67" s="36">
        <f t="shared" si="3"/>
        <v>-4048.9300000000003</v>
      </c>
      <c r="F67" s="37">
        <f t="shared" si="1"/>
        <v>-8.775517767750575E-2</v>
      </c>
      <c r="G67" s="38">
        <f>SUM('1st Qtr'!G67, '2nd Qtr'!G67, '3rd Qtr'!G67, '4th Qtr'!G67)</f>
        <v>46413.599999999999</v>
      </c>
      <c r="H67" s="38">
        <f>SUM('1st Qtr'!H67, '2nd Qtr'!H67, '3rd Qtr'!H67, '4th Qtr'!H67)</f>
        <v>-4323.5999999999985</v>
      </c>
      <c r="I67" s="37">
        <f t="shared" si="2"/>
        <v>-9.3153730803040458E-2</v>
      </c>
    </row>
    <row r="68" spans="1:9" ht="15.6">
      <c r="A68" s="26" t="str">
        <v>CA: Stockton - SUSD - Weber Institute</v>
      </c>
      <c r="B68" s="27" t="str">
        <v>CA</v>
      </c>
      <c r="C68" s="28">
        <f>SUM('1st Qtr'!C68, '2nd Qtr'!C68, '3rd Qtr'!C68, '4th Qtr'!C68)</f>
        <v>18154.25</v>
      </c>
      <c r="D68" s="29">
        <f>SUM('1st Qtr'!D68, '2nd Qtr'!D68, '3rd Qtr'!D68, '4th Qtr'!D68)</f>
        <v>94165.82</v>
      </c>
      <c r="E68" s="29">
        <f t="shared" si="3"/>
        <v>-76011.570000000007</v>
      </c>
      <c r="F68" s="30">
        <f t="shared" si="1"/>
        <v>-0.80720977101882618</v>
      </c>
      <c r="G68" s="31">
        <f>SUM('1st Qtr'!G68, '2nd Qtr'!G68, '3rd Qtr'!G68, '4th Qtr'!G68)</f>
        <v>95853.55</v>
      </c>
      <c r="H68" s="31">
        <f>SUM('1st Qtr'!H68, '2nd Qtr'!H68, '3rd Qtr'!H68, '4th Qtr'!H68)</f>
        <v>-77699.3</v>
      </c>
      <c r="I68" s="32">
        <f t="shared" si="2"/>
        <v>-0.81060430208375178</v>
      </c>
    </row>
    <row r="69" spans="1:9" ht="15.6">
      <c r="A69" s="33" t="str">
        <v>CA: Stockton - SUSD - Warehouse</v>
      </c>
      <c r="B69" s="34" t="str">
        <v>CA</v>
      </c>
      <c r="C69" s="35">
        <f>SUM('1st Qtr'!C69, '2nd Qtr'!C69, '3rd Qtr'!C69, '4th Qtr'!C69)</f>
        <v>36496</v>
      </c>
      <c r="D69" s="35">
        <f>SUM('1st Qtr'!D69, '2nd Qtr'!D69, '3rd Qtr'!D69, '4th Qtr'!D69)</f>
        <v>81251.55</v>
      </c>
      <c r="E69" s="36">
        <f t="shared" si="3"/>
        <v>-44755.55</v>
      </c>
      <c r="F69" s="37">
        <f t="shared" si="1"/>
        <v>-0.55082703037665126</v>
      </c>
      <c r="G69" s="38">
        <f>SUM('1st Qtr'!G69, '2nd Qtr'!G69, '3rd Qtr'!G69, '4th Qtr'!G69)</f>
        <v>90795.13</v>
      </c>
      <c r="H69" s="38">
        <f>SUM('1st Qtr'!H69, '2nd Qtr'!H69, '3rd Qtr'!H69, '4th Qtr'!H69)</f>
        <v>-54299.130000000005</v>
      </c>
      <c r="I69" s="37">
        <f t="shared" si="2"/>
        <v>-0.59804011514714506</v>
      </c>
    </row>
    <row r="70" spans="1:9" ht="15.6">
      <c r="A70" s="26" t="str">
        <v>CA: Stockton - SUSD - Walton Special Center</v>
      </c>
      <c r="B70" s="27" t="str">
        <v>CA</v>
      </c>
      <c r="C70" s="28">
        <f>SUM('1st Qtr'!C70, '2nd Qtr'!C70, '3rd Qtr'!C70, '4th Qtr'!C70)</f>
        <v>32241.25</v>
      </c>
      <c r="D70" s="29">
        <f>SUM('1st Qtr'!D70, '2nd Qtr'!D70, '3rd Qtr'!D70, '4th Qtr'!D70)</f>
        <v>65491.92</v>
      </c>
      <c r="E70" s="29">
        <f t="shared" si="3"/>
        <v>-33250.67</v>
      </c>
      <c r="F70" s="30">
        <f t="shared" ref="F70:F85" si="4">IFERROR(E70/D70, "")</f>
        <v>-0.50770644684107591</v>
      </c>
      <c r="G70" s="31">
        <f>SUM('1st Qtr'!G70, '2nd Qtr'!G70, '3rd Qtr'!G70, '4th Qtr'!G70)</f>
        <v>66813.66</v>
      </c>
      <c r="H70" s="31">
        <f>SUM('1st Qtr'!H70, '2nd Qtr'!H70, '3rd Qtr'!H70, '4th Qtr'!H70)</f>
        <v>-34572.409999999996</v>
      </c>
      <c r="I70" s="32">
        <f t="shared" ref="I70:I85" si="5">IFERROR(H70/G70, "")</f>
        <v>-0.51744523500134543</v>
      </c>
    </row>
    <row r="71" spans="1:9" ht="15.6">
      <c r="A71" s="33" t="str">
        <v>CA: Stockton - SUSD - Stagg HS</v>
      </c>
      <c r="B71" s="34" t="str">
        <v>CA</v>
      </c>
      <c r="C71" s="35">
        <f>SUM('1st Qtr'!C71, '2nd Qtr'!C71, '3rd Qtr'!C71, '4th Qtr'!C71)</f>
        <v>184528</v>
      </c>
      <c r="D71" s="35">
        <f>SUM('1st Qtr'!D71, '2nd Qtr'!D71, '3rd Qtr'!D71, '4th Qtr'!D71)</f>
        <v>253275.7</v>
      </c>
      <c r="E71" s="36">
        <f t="shared" ref="E71:E85" si="6">IF(AND(ISNUMBER(C71),ISNUMBER(D71)), C71-D71, "")</f>
        <v>-68747.700000000012</v>
      </c>
      <c r="F71" s="37">
        <f t="shared" si="4"/>
        <v>-0.27143425129216903</v>
      </c>
      <c r="G71" s="38">
        <f>SUM('1st Qtr'!G71, '2nd Qtr'!G71, '3rd Qtr'!G71, '4th Qtr'!G71)</f>
        <v>250930.9</v>
      </c>
      <c r="H71" s="38">
        <f>SUM('1st Qtr'!H71, '2nd Qtr'!H71, '3rd Qtr'!H71, '4th Qtr'!H71)</f>
        <v>-66402.899999999994</v>
      </c>
      <c r="I71" s="37">
        <f t="shared" si="5"/>
        <v>-0.26462623774114707</v>
      </c>
    </row>
    <row r="72" spans="1:9" ht="15.6">
      <c r="A72" s="26" t="str">
        <v>CA: Stockton - SUSD - School for Adults</v>
      </c>
      <c r="B72" s="27" t="str">
        <v>CA</v>
      </c>
      <c r="C72" s="28">
        <f>SUM('1st Qtr'!C72, '2nd Qtr'!C72, '3rd Qtr'!C72, '4th Qtr'!C72)</f>
        <v>20606.375</v>
      </c>
      <c r="D72" s="29">
        <f>SUM('1st Qtr'!D72, '2nd Qtr'!D72, '3rd Qtr'!D72, '4th Qtr'!D72)</f>
        <v>54716.5</v>
      </c>
      <c r="E72" s="29">
        <f t="shared" si="6"/>
        <v>-34110.125</v>
      </c>
      <c r="F72" s="30">
        <f t="shared" si="4"/>
        <v>-0.62339742125318687</v>
      </c>
      <c r="G72" s="31">
        <f>SUM('1st Qtr'!G72, '2nd Qtr'!G72, '3rd Qtr'!G72, '4th Qtr'!G72)</f>
        <v>54202.04</v>
      </c>
      <c r="H72" s="31">
        <f>SUM('1st Qtr'!H72, '2nd Qtr'!H72, '3rd Qtr'!H72, '4th Qtr'!H72)</f>
        <v>-33595.665000000001</v>
      </c>
      <c r="I72" s="32">
        <f t="shared" si="5"/>
        <v>-0.61982288858500534</v>
      </c>
    </row>
    <row r="73" spans="1:9" ht="15.6">
      <c r="A73" s="33" t="str">
        <v>CA: Stockton - SUSD - San Joaquin</v>
      </c>
      <c r="B73" s="34" t="str">
        <v>CA</v>
      </c>
      <c r="C73" s="35">
        <f>SUM('1st Qtr'!C73, '2nd Qtr'!C73, '3rd Qtr'!C73, '4th Qtr'!C73)</f>
        <v>27632.125</v>
      </c>
      <c r="D73" s="35">
        <f>SUM('1st Qtr'!D73, '2nd Qtr'!D73, '3rd Qtr'!D73, '4th Qtr'!D73)</f>
        <v>50768.259999999995</v>
      </c>
      <c r="E73" s="36">
        <f t="shared" si="6"/>
        <v>-23136.134999999995</v>
      </c>
      <c r="F73" s="37">
        <f t="shared" si="4"/>
        <v>-0.45572046392765869</v>
      </c>
      <c r="G73" s="38">
        <f>SUM('1st Qtr'!G73, '2nd Qtr'!G73, '3rd Qtr'!G73, '4th Qtr'!G73)</f>
        <v>51980.07</v>
      </c>
      <c r="H73" s="38">
        <f>SUM('1st Qtr'!H73, '2nd Qtr'!H73, '3rd Qtr'!H73, '4th Qtr'!H73)</f>
        <v>-24347.945</v>
      </c>
      <c r="I73" s="37">
        <f t="shared" si="5"/>
        <v>-0.46840923838694332</v>
      </c>
    </row>
    <row r="74" spans="1:9" ht="15.6">
      <c r="A74" s="26" t="str">
        <v>CA: Stockton - SUSD - Rio Calaveras</v>
      </c>
      <c r="B74" s="27" t="str">
        <v>CA</v>
      </c>
      <c r="C74" s="28">
        <f>SUM('1st Qtr'!C74, '2nd Qtr'!C74, '3rd Qtr'!C74, '4th Qtr'!C74)</f>
        <v>13316.625</v>
      </c>
      <c r="D74" s="29">
        <f>SUM('1st Qtr'!D74, '2nd Qtr'!D74, '3rd Qtr'!D74, '4th Qtr'!D74)</f>
        <v>54814.77</v>
      </c>
      <c r="E74" s="29">
        <f t="shared" si="6"/>
        <v>-41498.144999999997</v>
      </c>
      <c r="F74" s="30">
        <f t="shared" si="4"/>
        <v>-0.75706137232720305</v>
      </c>
      <c r="G74" s="31">
        <f>SUM('1st Qtr'!G74, '2nd Qtr'!G74, '3rd Qtr'!G74, '4th Qtr'!G74)</f>
        <v>0</v>
      </c>
      <c r="H74" s="31">
        <f>SUM('1st Qtr'!H74, '2nd Qtr'!H74, '3rd Qtr'!H74, '4th Qtr'!H74)</f>
        <v>13316.625</v>
      </c>
      <c r="I74" s="32" t="str">
        <f t="shared" si="5"/>
        <v/>
      </c>
    </row>
    <row r="75" spans="1:9" ht="15.6">
      <c r="A75" s="33" t="str">
        <v>CA: Stockton - SUSD - Peyton</v>
      </c>
      <c r="B75" s="34" t="str">
        <v>CA</v>
      </c>
      <c r="C75" s="35">
        <f>SUM('1st Qtr'!C75, '2nd Qtr'!C75, '3rd Qtr'!C75, '4th Qtr'!C75)</f>
        <v>97728.5</v>
      </c>
      <c r="D75" s="35">
        <f>SUM('1st Qtr'!D75, '2nd Qtr'!D75, '3rd Qtr'!D75, '4th Qtr'!D75)</f>
        <v>113312.12</v>
      </c>
      <c r="E75" s="36">
        <f t="shared" si="6"/>
        <v>-15583.619999999995</v>
      </c>
      <c r="F75" s="37">
        <f t="shared" si="4"/>
        <v>-0.13752827146822419</v>
      </c>
      <c r="G75" s="38">
        <f>SUM('1st Qtr'!G75, '2nd Qtr'!G75, '3rd Qtr'!G75, '4th Qtr'!G75)</f>
        <v>112003.09</v>
      </c>
      <c r="H75" s="38">
        <f>SUM('1st Qtr'!H75, '2nd Qtr'!H75, '3rd Qtr'!H75, '4th Qtr'!H75)</f>
        <v>-14274.589999999997</v>
      </c>
      <c r="I75" s="37">
        <f t="shared" si="5"/>
        <v>-0.12744818022431342</v>
      </c>
    </row>
    <row r="76" spans="1:9" ht="15.6">
      <c r="A76" s="26" t="str">
        <v>TX: Barnhart - 42917 Ranch RD 2469</v>
      </c>
      <c r="B76" s="27" t="str">
        <v>TX</v>
      </c>
      <c r="C76" s="28">
        <f>SUM('1st Qtr'!C76, '2nd Qtr'!C76, '3rd Qtr'!C76, '4th Qtr'!C76)</f>
        <v>241800</v>
      </c>
      <c r="D76" s="29">
        <f>SUM('1st Qtr'!D76, '2nd Qtr'!D76, '3rd Qtr'!D76, '4th Qtr'!D76)</f>
        <v>278659.20000000001</v>
      </c>
      <c r="E76" s="29">
        <f t="shared" si="6"/>
        <v>-36859.200000000012</v>
      </c>
      <c r="F76" s="30">
        <f t="shared" si="4"/>
        <v>-0.13227340062700249</v>
      </c>
      <c r="G76" s="31">
        <f>SUM('1st Qtr'!G76, '2nd Qtr'!G76, '3rd Qtr'!G76, '4th Qtr'!G76)</f>
        <v>285140.40000000002</v>
      </c>
      <c r="H76" s="31">
        <f>SUM('1st Qtr'!H76, '2nd Qtr'!H76, '3rd Qtr'!H76, '4th Qtr'!H76)</f>
        <v>-43340.400000000023</v>
      </c>
      <c r="I76" s="32">
        <f t="shared" si="5"/>
        <v>-0.15199670057277054</v>
      </c>
    </row>
    <row r="77" spans="1:9" ht="15.6">
      <c r="A77" s="33" t="str">
        <v>AZ: San Manuel - Senior &amp; Junior HS</v>
      </c>
      <c r="B77" s="34" t="str">
        <v>AZ</v>
      </c>
      <c r="C77" s="35">
        <f>SUM('1st Qtr'!C77, '2nd Qtr'!C77, '3rd Qtr'!C77, '4th Qtr'!C77)</f>
        <v>36060</v>
      </c>
      <c r="D77" s="35">
        <f>SUM('1st Qtr'!D77, '2nd Qtr'!D77, '3rd Qtr'!D77, '4th Qtr'!D77)</f>
        <v>0</v>
      </c>
      <c r="E77" s="36">
        <f t="shared" si="6"/>
        <v>36060</v>
      </c>
      <c r="F77" s="37" t="str">
        <f t="shared" si="4"/>
        <v/>
      </c>
      <c r="G77" s="38">
        <f>SUM('1st Qtr'!G77, '2nd Qtr'!G77, '3rd Qtr'!G77, '4th Qtr'!G77)</f>
        <v>48892</v>
      </c>
      <c r="H77" s="38">
        <f>SUM('1st Qtr'!H77, '2nd Qtr'!H77, '3rd Qtr'!H77, '4th Qtr'!H77)</f>
        <v>-12832</v>
      </c>
      <c r="I77" s="37">
        <f t="shared" si="5"/>
        <v>-0.2624560255256484</v>
      </c>
    </row>
    <row r="78" spans="1:9" ht="15.6">
      <c r="A78" s="26" t="str">
        <v>AZ: Sierra Vista - Colonel Smith MS</v>
      </c>
      <c r="B78" s="27" t="str">
        <v>AZ</v>
      </c>
      <c r="C78" s="28">
        <f>SUM('1st Qtr'!C78, '2nd Qtr'!C78, '3rd Qtr'!C78, '4th Qtr'!C78)</f>
        <v>41600</v>
      </c>
      <c r="D78" s="29">
        <f>SUM('1st Qtr'!D78, '2nd Qtr'!D78, '3rd Qtr'!D78, '4th Qtr'!D78)</f>
        <v>66229.38</v>
      </c>
      <c r="E78" s="29">
        <f t="shared" si="6"/>
        <v>-24629.380000000005</v>
      </c>
      <c r="F78" s="30">
        <f t="shared" si="4"/>
        <v>-0.37187997230232267</v>
      </c>
      <c r="G78" s="31">
        <f>SUM('1st Qtr'!G78, '2nd Qtr'!G78, '3rd Qtr'!G78, '4th Qtr'!G78)</f>
        <v>60155.22</v>
      </c>
      <c r="H78" s="31">
        <f>SUM('1st Qtr'!H78, '2nd Qtr'!H78, '3rd Qtr'!H78, '4th Qtr'!H78)</f>
        <v>-18555.22</v>
      </c>
      <c r="I78" s="32">
        <f t="shared" si="5"/>
        <v>-0.30845569179200077</v>
      </c>
    </row>
    <row r="79" spans="1:9" ht="15.6">
      <c r="A79" s="33" t="str">
        <v>AZ: Sierra Vista - Colonel Johnston ES</v>
      </c>
      <c r="B79" s="34" t="str">
        <v>AZ</v>
      </c>
      <c r="C79" s="35">
        <f>SUM('1st Qtr'!C79, '2nd Qtr'!C79, '3rd Qtr'!C79, '4th Qtr'!C79)</f>
        <v>13160</v>
      </c>
      <c r="D79" s="35">
        <f>SUM('1st Qtr'!D79, '2nd Qtr'!D79, '3rd Qtr'!D79, '4th Qtr'!D79)</f>
        <v>22045.48</v>
      </c>
      <c r="E79" s="36">
        <f t="shared" si="6"/>
        <v>-8885.48</v>
      </c>
      <c r="F79" s="37">
        <f t="shared" si="4"/>
        <v>-0.40305223565102688</v>
      </c>
      <c r="G79" s="38">
        <f>SUM('1st Qtr'!G79, '2nd Qtr'!G79, '3rd Qtr'!G79, '4th Qtr'!G79)</f>
        <v>19695.87</v>
      </c>
      <c r="H79" s="38">
        <f>SUM('1st Qtr'!H79, '2nd Qtr'!H79, '3rd Qtr'!H79, '4th Qtr'!H79)</f>
        <v>-6535.869999999999</v>
      </c>
      <c r="I79" s="37">
        <f t="shared" si="5"/>
        <v>-0.33183961916889171</v>
      </c>
    </row>
    <row r="80" spans="1:9" ht="15.6">
      <c r="A80" s="26" t="str">
        <v>NH: Dover - Dover HS</v>
      </c>
      <c r="B80" s="27" t="str">
        <v>NH</v>
      </c>
      <c r="C80" s="28">
        <f>SUM('1st Qtr'!C80, '2nd Qtr'!C80, '3rd Qtr'!C80, '4th Qtr'!C80)</f>
        <v>99181.5</v>
      </c>
      <c r="D80" s="29">
        <f>SUM('1st Qtr'!D80, '2nd Qtr'!D80, '3rd Qtr'!D80, '4th Qtr'!D80)</f>
        <v>147489.60000000001</v>
      </c>
      <c r="E80" s="29">
        <f t="shared" si="6"/>
        <v>-48308.100000000006</v>
      </c>
      <c r="F80" s="30">
        <f t="shared" si="4"/>
        <v>-0.32753563641097411</v>
      </c>
      <c r="G80" s="31">
        <f>SUM('1st Qtr'!G80, '2nd Qtr'!G80, '3rd Qtr'!G80, '4th Qtr'!G80)</f>
        <v>137072.1</v>
      </c>
      <c r="H80" s="31">
        <f>SUM('1st Qtr'!H80, '2nd Qtr'!H80, '3rd Qtr'!H80, '4th Qtr'!H80)</f>
        <v>-37890.600000000006</v>
      </c>
      <c r="I80" s="32">
        <f t="shared" si="5"/>
        <v>-0.27642824469749866</v>
      </c>
    </row>
    <row r="81" spans="1:9" ht="15.6">
      <c r="A81" s="33" t="str">
        <v>MA: Somerville - 30 Inner Belt Rd</v>
      </c>
      <c r="B81" s="34" t="str">
        <v>MA</v>
      </c>
      <c r="C81" s="35">
        <f>SUM('1st Qtr'!C81, '2nd Qtr'!C81, '3rd Qtr'!C81, '4th Qtr'!C81)</f>
        <v>106125.5</v>
      </c>
      <c r="D81" s="35">
        <f>SUM('1st Qtr'!D81, '2nd Qtr'!D81, '3rd Qtr'!D81, '4th Qtr'!D81)</f>
        <v>103334</v>
      </c>
      <c r="E81" s="36">
        <f t="shared" si="6"/>
        <v>2791.5</v>
      </c>
      <c r="F81" s="37">
        <f t="shared" si="4"/>
        <v>2.7014341842955852E-2</v>
      </c>
      <c r="G81" s="38">
        <f>SUM('1st Qtr'!G81, '2nd Qtr'!G81, '3rd Qtr'!G81, '4th Qtr'!G81)</f>
        <v>197445.3</v>
      </c>
      <c r="H81" s="38">
        <f>SUM('1st Qtr'!H81, '2nd Qtr'!H81, '3rd Qtr'!H81, '4th Qtr'!H81)</f>
        <v>-91319.799999999988</v>
      </c>
      <c r="I81" s="37">
        <f t="shared" si="5"/>
        <v>-0.46250683100585321</v>
      </c>
    </row>
    <row r="82" spans="1:9" ht="15.6">
      <c r="A82" s="26" t="str">
        <v>MA: Boxborough - 1414 Massachusetts Ave</v>
      </c>
      <c r="B82" s="27" t="str">
        <v>MA</v>
      </c>
      <c r="C82" s="28">
        <f>SUM('1st Qtr'!C82, '2nd Qtr'!C82, '3rd Qtr'!C82, '4th Qtr'!C82)</f>
        <v>709647.91685864795</v>
      </c>
      <c r="D82" s="29">
        <f>SUM('1st Qtr'!D82, '2nd Qtr'!D82, '3rd Qtr'!D82, '4th Qtr'!D82)</f>
        <v>202302.4</v>
      </c>
      <c r="E82" s="29">
        <f t="shared" si="6"/>
        <v>507345.51685864793</v>
      </c>
      <c r="F82" s="30">
        <f t="shared" si="4"/>
        <v>2.5078571329783923</v>
      </c>
      <c r="G82" s="31">
        <f>SUM('1st Qtr'!G82, '2nd Qtr'!G82, '3rd Qtr'!G82, '4th Qtr'!G82)</f>
        <v>751000</v>
      </c>
      <c r="H82" s="31">
        <f>SUM('1st Qtr'!H82, '2nd Qtr'!H82, '3rd Qtr'!H82, '4th Qtr'!H82)</f>
        <v>-41352.08314135205</v>
      </c>
      <c r="I82" s="32">
        <f t="shared" si="5"/>
        <v>-5.5062693929896205E-2</v>
      </c>
    </row>
    <row r="83" spans="1:9" ht="15.6">
      <c r="A83" s="33" t="str">
        <v>NY: Amsterdam - 153 NY Route 67</v>
      </c>
      <c r="B83" s="34" t="str">
        <v>NY</v>
      </c>
      <c r="C83" s="35">
        <f>SUM('1st Qtr'!C83, '2nd Qtr'!C83, '3rd Qtr'!C83, '4th Qtr'!C83)</f>
        <v>402490</v>
      </c>
      <c r="D83" s="35">
        <f>SUM('1st Qtr'!D83, '2nd Qtr'!D83, '3rd Qtr'!D83, '4th Qtr'!D83)</f>
        <v>305334.7</v>
      </c>
      <c r="E83" s="36">
        <f t="shared" si="6"/>
        <v>97155.299999999988</v>
      </c>
      <c r="F83" s="37">
        <f t="shared" si="4"/>
        <v>0.31819278974843013</v>
      </c>
      <c r="G83" s="38">
        <f>SUM('1st Qtr'!G83, '2nd Qtr'!G83, '3rd Qtr'!G83, '4th Qtr'!G83)</f>
        <v>390058.8</v>
      </c>
      <c r="H83" s="38">
        <f>SUM('1st Qtr'!H83, '2nd Qtr'!H83, '3rd Qtr'!H83, '4th Qtr'!H83)</f>
        <v>12431.200000000012</v>
      </c>
      <c r="I83" s="37">
        <f t="shared" si="5"/>
        <v>3.187006676942044E-2</v>
      </c>
    </row>
    <row r="84" spans="1:9" ht="15.6">
      <c r="A84" s="26" t="str">
        <v>CA: San Jose - GE Mobile Water</v>
      </c>
      <c r="B84" s="27" t="str">
        <v>CA</v>
      </c>
      <c r="C84" s="28">
        <f>SUM('1st Qtr'!C84, '2nd Qtr'!C84, '3rd Qtr'!C84, '4th Qtr'!C84)</f>
        <v>30650</v>
      </c>
      <c r="D84" s="29">
        <f>SUM('1st Qtr'!D84, '2nd Qtr'!D84, '3rd Qtr'!D84, '4th Qtr'!D84)</f>
        <v>34545.004999999997</v>
      </c>
      <c r="E84" s="29">
        <f t="shared" si="6"/>
        <v>-3895.0049999999974</v>
      </c>
      <c r="F84" s="30">
        <f t="shared" si="4"/>
        <v>-0.11275161199137176</v>
      </c>
      <c r="G84" s="31">
        <f>SUM('1st Qtr'!G84, '2nd Qtr'!G84, '3rd Qtr'!G84, '4th Qtr'!G84)</f>
        <v>34698.832000000002</v>
      </c>
      <c r="H84" s="31">
        <f>SUM('1st Qtr'!H84, '2nd Qtr'!H84, '3rd Qtr'!H84, '4th Qtr'!H84)</f>
        <v>-4048.8320000000022</v>
      </c>
      <c r="I84" s="32">
        <f t="shared" si="5"/>
        <v>-0.11668496507317601</v>
      </c>
    </row>
    <row r="85" spans="1:9" ht="15.6">
      <c r="A85" s="33" t="str">
        <v>NY: Rome - 7776 Tannery RD</v>
      </c>
      <c r="B85" s="34" t="str">
        <v>NY</v>
      </c>
      <c r="C85" s="35">
        <f>SUM('1st Qtr'!C85, '2nd Qtr'!C85, '3rd Qtr'!C85, '4th Qtr'!C85)</f>
        <v>372090.384558074</v>
      </c>
      <c r="D85" s="35">
        <f>SUM('1st Qtr'!D85, '2nd Qtr'!D85, '3rd Qtr'!D85, '4th Qtr'!D85)</f>
        <v>415567.5</v>
      </c>
      <c r="E85" s="36">
        <f t="shared" si="6"/>
        <v>-43477.115441925998</v>
      </c>
      <c r="F85" s="37">
        <f t="shared" si="4"/>
        <v>-0.10462106743651993</v>
      </c>
      <c r="G85" s="38">
        <f>SUM('1st Qtr'!G85, '2nd Qtr'!G85, '3rd Qtr'!G85, '4th Qtr'!G85)</f>
        <v>430656.3</v>
      </c>
      <c r="H85" s="38">
        <f>SUM('1st Qtr'!H85, '2nd Qtr'!H85, '3rd Qtr'!H85, '4th Qtr'!H85)</f>
        <v>-58565.915441925987</v>
      </c>
      <c r="I85" s="37">
        <f t="shared" si="5"/>
        <v>-0.13599224124185805</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62" activePane="bottomRight" state="frozen"/>
      <selection pane="bottomRight" activeCell="H81" sqref="H8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10</v>
      </c>
      <c r="E1" s="107"/>
      <c r="F1" s="107"/>
      <c r="G1" s="105" t="s">
        <v>11</v>
      </c>
      <c r="H1" s="105"/>
      <c r="I1" s="105"/>
    </row>
    <row r="2" spans="1:9" ht="19.5" customHeight="1">
      <c r="A2" s="108" t="s">
        <v>2</v>
      </c>
      <c r="B2" s="108"/>
      <c r="C2" s="5">
        <f>SUM(C4:C79)</f>
        <v>1827946.6861654297</v>
      </c>
      <c r="D2" s="5">
        <f>SUM(D4:D79)</f>
        <v>0</v>
      </c>
      <c r="E2" s="5">
        <f>C2-D2</f>
        <v>1827946.6861654297</v>
      </c>
      <c r="F2" s="6">
        <f>IFERROR(E2/D2, 0)</f>
        <v>0</v>
      </c>
      <c r="G2" s="5">
        <f>SUM(G4:G79)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66" activePane="bottomRight" state="frozen"/>
      <selection pane="bottomRight" activeCell="D50" sqref="D5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12</v>
      </c>
      <c r="E1" s="107"/>
      <c r="F1" s="107"/>
      <c r="G1" s="105" t="s">
        <v>13</v>
      </c>
      <c r="H1" s="105"/>
      <c r="I1" s="105"/>
    </row>
    <row r="2" spans="1:9" ht="19.5" customHeight="1">
      <c r="A2" s="108" t="s">
        <v>2</v>
      </c>
      <c r="B2" s="108"/>
      <c r="C2" s="5">
        <f>SUM(C4:C79)</f>
        <v>8113968.152199164</v>
      </c>
      <c r="D2" s="5">
        <f>SUM(D4:D79)</f>
        <v>3491701.9215977946</v>
      </c>
      <c r="E2" s="5">
        <f>C2-D2</f>
        <v>4622266.2306013694</v>
      </c>
      <c r="F2" s="6">
        <f>IFERROR(E2/D2, 0)</f>
        <v>1.3237860316799983</v>
      </c>
      <c r="G2" s="5">
        <f>SUM(G4:G79)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21" sqref="H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14</v>
      </c>
      <c r="E1" s="107"/>
      <c r="F1" s="107"/>
      <c r="G1" s="105" t="s">
        <v>15</v>
      </c>
      <c r="H1" s="105"/>
      <c r="I1" s="105"/>
    </row>
    <row r="2" spans="1:9" ht="19.5" customHeight="1">
      <c r="A2" s="108" t="s">
        <v>2</v>
      </c>
      <c r="B2" s="108"/>
      <c r="C2" s="5">
        <f>SUM(C4:C79)</f>
        <v>4468730.3507931419</v>
      </c>
      <c r="D2" s="5">
        <f>SUM(D4:D79)</f>
        <v>3005213.5319083198</v>
      </c>
      <c r="E2" s="5">
        <f>C2-D2</f>
        <v>1463516.8188848221</v>
      </c>
      <c r="F2" s="6">
        <f>IFERROR(E2/D2, 0)</f>
        <v>0.4869926224362115</v>
      </c>
      <c r="G2" s="5">
        <f>SUM(G4:G79)</f>
        <v>5335122.8130000029</v>
      </c>
      <c r="H2" s="7">
        <f>C2-G2</f>
        <v>-866392.462206861</v>
      </c>
      <c r="I2" s="6">
        <f>IFERROR(H2/G2, 0)</f>
        <v>-0.16239409898788781</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SUM(Jul!C4, Aug!C4, Sep!C4)</f>
        <v>45160</v>
      </c>
      <c r="D4" s="29">
        <f>SUM(Jul!D4, Aug!D4, Sep!D4)</f>
        <v>0</v>
      </c>
      <c r="E4" s="29">
        <f>IF(AND(ISNUMBER(C4),ISNUMBER(D4)), C4-D4, "")</f>
        <v>45160</v>
      </c>
      <c r="F4" s="30" t="str">
        <f>IFERROR(E4/D4, "")</f>
        <v/>
      </c>
      <c r="G4" s="31">
        <f>SUM(Jul!G4,Aug!G4,Sep!G4)</f>
        <v>0</v>
      </c>
      <c r="H4" s="31">
        <f>SUM(Jul!H4, Aug!H4, Sep!H4)</f>
        <v>0</v>
      </c>
      <c r="I4" s="32" t="str">
        <f>IFERROR(H4/G4, "")</f>
        <v/>
      </c>
    </row>
    <row r="5" spans="1:9" ht="15.6">
      <c r="A5" s="48" t="str">
        <v>Pacoima - Whiteman Airport</v>
      </c>
      <c r="B5" s="34" t="str">
        <v>CA</v>
      </c>
      <c r="C5" s="35">
        <f>SUM(Jul!C5, Aug!C5, Sep!C5)</f>
        <v>33959.1</v>
      </c>
      <c r="D5" s="36">
        <f>SUM(Jul!D5, Aug!D5, Sep!D5)</f>
        <v>0</v>
      </c>
      <c r="E5" s="36">
        <f t="shared" ref="E5:E7" si="0">IF(AND(ISNUMBER(C5),ISNUMBER(D5)), C5-D5, "")</f>
        <v>33959.1</v>
      </c>
      <c r="F5" s="37" t="str">
        <f>IFERROR(E5/D5, "")</f>
        <v/>
      </c>
      <c r="G5" s="38">
        <f>SUM(Jul!G5,Aug!G5,Sep!G5)</f>
        <v>68640</v>
      </c>
      <c r="H5" s="38">
        <f>SUM(Jul!H5, Aug!H5, Sep!H5)</f>
        <v>-34680.9</v>
      </c>
      <c r="I5" s="37">
        <f>IFERROR(H5/G5, "")</f>
        <v>-0.50525786713286713</v>
      </c>
    </row>
    <row r="6" spans="1:9" ht="15.6">
      <c r="A6" s="47" t="str">
        <v>Hyannis - Sturgis Charter School</v>
      </c>
      <c r="B6" s="27" t="str">
        <v>MA</v>
      </c>
      <c r="C6" s="28">
        <f>SUM(Jul!C6, Aug!C6, Sep!C6)</f>
        <v>38047.875</v>
      </c>
      <c r="D6" s="29">
        <f>SUM(Jul!D6, Aug!D6, Sep!D6)</f>
        <v>0</v>
      </c>
      <c r="E6" s="29">
        <f t="shared" si="0"/>
        <v>38047.875</v>
      </c>
      <c r="F6" s="30" t="str">
        <f t="shared" ref="F6:F7" si="1">IFERROR(E6/D6, "")</f>
        <v/>
      </c>
      <c r="G6" s="31">
        <f>SUM(Jul!G6,Aug!G6,Sep!G6)</f>
        <v>36029.08</v>
      </c>
      <c r="H6" s="31">
        <f>SUM(Jul!H6, Aug!H6, Sep!H6)</f>
        <v>2018.7949999999983</v>
      </c>
      <c r="I6" s="32">
        <f t="shared" ref="I6:I7" si="2">IFERROR(H6/G6, "")</f>
        <v>5.603237717976696E-2</v>
      </c>
    </row>
    <row r="7" spans="1:9" ht="15.6">
      <c r="A7" s="48" t="str">
        <v>South Dennis - Tony Kent Arena</v>
      </c>
      <c r="B7" s="34" t="str">
        <v>MA</v>
      </c>
      <c r="C7" s="35">
        <f>SUM(Jul!C7, Aug!C7, Sep!C7)</f>
        <v>45190</v>
      </c>
      <c r="D7" s="36">
        <f>SUM(Jul!D7, Aug!D7, Sep!D7)</f>
        <v>0</v>
      </c>
      <c r="E7" s="36">
        <f t="shared" si="0"/>
        <v>45190</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67944.600000000006</v>
      </c>
      <c r="D8" s="29">
        <f>SUM(Jul!D8, Aug!D8, Sep!D8)</f>
        <v>0</v>
      </c>
      <c r="E8" s="29">
        <f t="shared" ref="E8:E46" si="3">IF(AND(ISNUMBER(C8),ISNUMBER(D8)), C8-D8, "")</f>
        <v>67944.600000000006</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194116</v>
      </c>
      <c r="D9" s="36">
        <f>SUM(Jul!D9, Aug!D9, Sep!D9)</f>
        <v>0</v>
      </c>
      <c r="E9" s="36">
        <f t="shared" si="3"/>
        <v>194116</v>
      </c>
      <c r="F9" s="71" t="str">
        <f t="shared" si="4"/>
        <v/>
      </c>
      <c r="G9" s="72">
        <f>SUM(Jul!G9,Aug!G9,Sep!G9)</f>
        <v>211756.7</v>
      </c>
      <c r="H9" s="72">
        <f>SUM(Jul!H9, Aug!H9, Sep!H9)</f>
        <v>-17640.700000000012</v>
      </c>
      <c r="I9" s="71">
        <f t="shared" si="5"/>
        <v>-8.3306455002368329E-2</v>
      </c>
    </row>
    <row r="10" spans="1:9" ht="15.6">
      <c r="A10" s="47" t="str">
        <v>Zumbrota - Eastlake Brenda Luhman</v>
      </c>
      <c r="B10" s="27" t="str">
        <v>MN</v>
      </c>
      <c r="C10" s="28">
        <f>SUM(Jul!C10, Aug!C10, Sep!C10)</f>
        <v>217797</v>
      </c>
      <c r="D10" s="29">
        <f>SUM(Jul!D10, Aug!D10, Sep!D10)</f>
        <v>0</v>
      </c>
      <c r="E10" s="29">
        <f t="shared" si="3"/>
        <v>217797</v>
      </c>
      <c r="F10" s="30" t="str">
        <f t="shared" si="4"/>
        <v/>
      </c>
      <c r="G10" s="31">
        <f>SUM(Jul!G10,Aug!G10,Sep!G10)</f>
        <v>207047.9</v>
      </c>
      <c r="H10" s="31">
        <f>SUM(Jul!H10, Aug!H10, Sep!H10)</f>
        <v>10749.100000000006</v>
      </c>
      <c r="I10" s="32">
        <f t="shared" si="5"/>
        <v>5.1916005909743622E-2</v>
      </c>
    </row>
    <row r="11" spans="1:9" ht="15.6">
      <c r="A11" s="48" t="str">
        <v>Cokato - Eastlake Carlson</v>
      </c>
      <c r="B11" s="34" t="str">
        <v>MN</v>
      </c>
      <c r="C11" s="35">
        <f>SUM(Jul!C11, Aug!C11, Sep!C11)</f>
        <v>209302</v>
      </c>
      <c r="D11" s="36">
        <f>SUM(Jul!D11, Aug!D11, Sep!D11)</f>
        <v>0</v>
      </c>
      <c r="E11" s="36">
        <f t="shared" si="3"/>
        <v>209302</v>
      </c>
      <c r="F11" s="71" t="str">
        <f t="shared" si="4"/>
        <v/>
      </c>
      <c r="G11" s="72">
        <f>SUM(Jul!G11,Aug!G11,Sep!G11)</f>
        <v>222404</v>
      </c>
      <c r="H11" s="72">
        <f>SUM(Jul!H11, Aug!H11, Sep!H11)</f>
        <v>-13102</v>
      </c>
      <c r="I11" s="71">
        <f t="shared" si="5"/>
        <v>-5.8910810956637472E-2</v>
      </c>
    </row>
    <row r="12" spans="1:9" ht="15.6">
      <c r="A12" s="47" t="str">
        <v>North Branch - Cornille 2</v>
      </c>
      <c r="B12" s="27" t="str">
        <v>MN</v>
      </c>
      <c r="C12" s="28">
        <f>SUM(Jul!C12, Aug!C12, Sep!C12)</f>
        <v>213975</v>
      </c>
      <c r="D12" s="29">
        <f>SUM(Jul!D12, Aug!D12, Sep!D12)</f>
        <v>0</v>
      </c>
      <c r="E12" s="29">
        <f t="shared" si="3"/>
        <v>213975</v>
      </c>
      <c r="F12" s="30" t="str">
        <f t="shared" si="4"/>
        <v/>
      </c>
      <c r="G12" s="31">
        <f>SUM(Jul!G12,Aug!G12,Sep!G12)</f>
        <v>208780.4</v>
      </c>
      <c r="H12" s="31">
        <f>SUM(Jul!H12, Aug!H12, Sep!H12)</f>
        <v>5194.6000000000058</v>
      </c>
      <c r="I12" s="32">
        <f t="shared" si="5"/>
        <v>2.4880688033934249E-2</v>
      </c>
    </row>
    <row r="13" spans="1:9" ht="15.6">
      <c r="A13" s="48" t="str">
        <v>Clear Lake - Eastlake Hammer</v>
      </c>
      <c r="B13" s="34" t="str">
        <v>MN</v>
      </c>
      <c r="C13" s="35">
        <f>SUM(Jul!C13, Aug!C13, Sep!C13)</f>
        <v>260364.685323382</v>
      </c>
      <c r="D13" s="36">
        <f>SUM(Jul!D13, Aug!D13, Sep!D13)</f>
        <v>0</v>
      </c>
      <c r="E13" s="36">
        <f t="shared" si="3"/>
        <v>260364.685323382</v>
      </c>
      <c r="F13" s="71" t="str">
        <f t="shared" si="4"/>
        <v/>
      </c>
      <c r="G13" s="72">
        <f>SUM(Jul!G13,Aug!G13,Sep!G13)</f>
        <v>272073.8</v>
      </c>
      <c r="H13" s="72">
        <f>SUM(Jul!H13, Aug!H13, Sep!H13)</f>
        <v>-11709.114676617988</v>
      </c>
      <c r="I13" s="71">
        <f t="shared" si="5"/>
        <v>-4.3036538897232988E-2</v>
      </c>
    </row>
    <row r="14" spans="1:9" ht="15.6">
      <c r="A14" s="47" t="str">
        <v>Eastlake - Hertzberg CSG 1</v>
      </c>
      <c r="B14" s="27" t="str">
        <v>MN</v>
      </c>
      <c r="C14" s="28">
        <f>SUM(Jul!C14, Aug!C14, Sep!C14)</f>
        <v>227610.99400000001</v>
      </c>
      <c r="D14" s="29">
        <f>SUM(Jul!D14, Aug!D14, Sep!D14)</f>
        <v>0</v>
      </c>
      <c r="E14" s="29">
        <f t="shared" si="3"/>
        <v>227610.99400000001</v>
      </c>
      <c r="F14" s="30" t="str">
        <f t="shared" si="4"/>
        <v/>
      </c>
      <c r="G14" s="31">
        <f>SUM(Jul!G14,Aug!G14,Sep!G14)</f>
        <v>268893.815</v>
      </c>
      <c r="H14" s="31">
        <f>SUM(Jul!H14, Aug!H14, Sep!H14)</f>
        <v>-41282.820999999996</v>
      </c>
      <c r="I14" s="32">
        <f t="shared" si="5"/>
        <v>-0.15352833980208877</v>
      </c>
    </row>
    <row r="15" spans="1:9" ht="15.6">
      <c r="A15" s="48" t="str">
        <v>Cokato - Eastlake Laurel Village</v>
      </c>
      <c r="B15" s="34" t="str">
        <v>MN</v>
      </c>
      <c r="C15" s="35">
        <f>SUM(Jul!C15, Aug!C15, Sep!C15)</f>
        <v>276621</v>
      </c>
      <c r="D15" s="36">
        <f>SUM(Jul!D15, Aug!D15, Sep!D15)</f>
        <v>0</v>
      </c>
      <c r="E15" s="36">
        <f t="shared" si="3"/>
        <v>276621</v>
      </c>
      <c r="F15" s="71" t="str">
        <f t="shared" si="4"/>
        <v/>
      </c>
      <c r="G15" s="72">
        <f>SUM(Jul!G15,Aug!G15,Sep!G15)</f>
        <v>273010.2</v>
      </c>
      <c r="H15" s="72">
        <f>SUM(Jul!H15, Aug!H15, Sep!H15)</f>
        <v>3610.7999999999884</v>
      </c>
      <c r="I15" s="71">
        <f t="shared" si="5"/>
        <v>1.3225879472635045E-2</v>
      </c>
    </row>
    <row r="16" spans="1:9" ht="15.6">
      <c r="A16" s="47" t="str">
        <v>St. Peter - Eastlake Paulson</v>
      </c>
      <c r="B16" s="27" t="str">
        <v>MN</v>
      </c>
      <c r="C16" s="28">
        <f>SUM(Jul!C16, Aug!C16, Sep!C16)</f>
        <v>221361.14769025601</v>
      </c>
      <c r="D16" s="29">
        <f>SUM(Jul!D16, Aug!D16, Sep!D16)</f>
        <v>0</v>
      </c>
      <c r="E16" s="29">
        <f t="shared" si="3"/>
        <v>221361.14769025601</v>
      </c>
      <c r="F16" s="30" t="str">
        <f t="shared" si="4"/>
        <v/>
      </c>
      <c r="G16" s="31">
        <f>SUM(Jul!G16,Aug!G16,Sep!G16)</f>
        <v>232603</v>
      </c>
      <c r="H16" s="31">
        <f>SUM(Jul!H16, Aug!H16, Sep!H16)</f>
        <v>-11241.85230974399</v>
      </c>
      <c r="I16" s="32">
        <f t="shared" si="5"/>
        <v>-4.8330641951066795E-2</v>
      </c>
    </row>
    <row r="17" spans="1:9" ht="15.6">
      <c r="A17" s="48" t="str">
        <v>Felician Sisters Convent</v>
      </c>
      <c r="B17" s="34" t="str">
        <v>NJ</v>
      </c>
      <c r="C17" s="35">
        <f>SUM(Jul!C17, Aug!C17, Sep!C17)</f>
        <v>4559.3999999999996</v>
      </c>
      <c r="D17" s="36">
        <f>SUM(Jul!D17, Aug!D17, Sep!D17)</f>
        <v>0</v>
      </c>
      <c r="E17" s="36">
        <f t="shared" si="3"/>
        <v>4559.3999999999996</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63906.8</v>
      </c>
      <c r="D18" s="29">
        <f>SUM(Jul!D18, Aug!D18, Sep!D18)</f>
        <v>0</v>
      </c>
      <c r="E18" s="29">
        <f t="shared" si="3"/>
        <v>63906.8</v>
      </c>
      <c r="F18" s="30" t="str">
        <f t="shared" si="4"/>
        <v/>
      </c>
      <c r="G18" s="31">
        <f>SUM(Jul!G18,Aug!G18,Sep!G18)</f>
        <v>0</v>
      </c>
      <c r="H18" s="31">
        <f>SUM(Jul!H18, Aug!H18, Sep!H18)</f>
        <v>0</v>
      </c>
      <c r="I18" s="32" t="str">
        <f t="shared" si="5"/>
        <v/>
      </c>
    </row>
    <row r="19" spans="1:9" ht="15.6">
      <c r="A19" s="48" t="str">
        <v>Gateway Church</v>
      </c>
      <c r="B19" s="34" t="str">
        <v>NJ</v>
      </c>
      <c r="C19" s="35">
        <f>SUM(Jul!C19, Aug!C19, Sep!C19)</f>
        <v>35865</v>
      </c>
      <c r="D19" s="36">
        <f>SUM(Jul!D19, Aug!D19, Sep!D19)</f>
        <v>0</v>
      </c>
      <c r="E19" s="36">
        <f t="shared" si="3"/>
        <v>35865</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48534</v>
      </c>
      <c r="D20" s="29">
        <f>SUM(Jul!D20, Aug!D20, Sep!D20)</f>
        <v>0</v>
      </c>
      <c r="E20" s="29">
        <f t="shared" si="3"/>
        <v>48534</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0</v>
      </c>
      <c r="D21" s="36">
        <f>SUM(Jul!D21, Aug!D21, Sep!D21)</f>
        <v>0</v>
      </c>
      <c r="E21" s="36">
        <f t="shared" si="3"/>
        <v>0</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17462</v>
      </c>
      <c r="D22" s="29">
        <f>SUM(Jul!D22, Aug!D22, Sep!D22)</f>
        <v>0</v>
      </c>
      <c r="E22" s="29">
        <f t="shared" si="3"/>
        <v>17462</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12364</v>
      </c>
      <c r="D23" s="36">
        <f>SUM(Jul!D23, Aug!D23, Sep!D23)</f>
        <v>0</v>
      </c>
      <c r="E23" s="36">
        <f t="shared" si="3"/>
        <v>12364</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14095</v>
      </c>
      <c r="D24" s="29">
        <f>SUM(Jul!D24, Aug!D24, Sep!D24)</f>
        <v>0</v>
      </c>
      <c r="E24" s="29">
        <f t="shared" si="3"/>
        <v>14095</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0</v>
      </c>
      <c r="D25" s="36">
        <f>SUM(Jul!D25, Aug!D25, Sep!D25)</f>
        <v>0</v>
      </c>
      <c r="E25" s="36">
        <f t="shared" si="3"/>
        <v>0</v>
      </c>
      <c r="F25" s="71" t="str">
        <f t="shared" si="4"/>
        <v/>
      </c>
      <c r="G25" s="72">
        <f>SUM(Jul!G25,Aug!G25,Sep!G25)</f>
        <v>418819.3</v>
      </c>
      <c r="H25" s="72">
        <f>SUM(Jul!H25, Aug!H25, Sep!H25)</f>
        <v>-418819.3</v>
      </c>
      <c r="I25" s="71">
        <f t="shared" si="5"/>
        <v>-1</v>
      </c>
    </row>
    <row r="26" spans="1:9" ht="15.6">
      <c r="A26" s="47" t="str">
        <v>Taos County - Kit Carson Electric Co-Op</v>
      </c>
      <c r="B26" s="27" t="str">
        <v>NM</v>
      </c>
      <c r="C26" s="28">
        <f>SUM(Jul!C26, Aug!C26, Sep!C26)</f>
        <v>318620</v>
      </c>
      <c r="D26" s="29">
        <f>SUM(Jul!D26, Aug!D26, Sep!D26)</f>
        <v>232697.4</v>
      </c>
      <c r="E26" s="29">
        <f t="shared" si="3"/>
        <v>85922.6</v>
      </c>
      <c r="F26" s="30">
        <f t="shared" si="4"/>
        <v>0.36924606806951865</v>
      </c>
      <c r="G26" s="31">
        <f>SUM(Jul!G26,Aug!G26,Sep!G26)</f>
        <v>212995</v>
      </c>
      <c r="H26" s="31">
        <f>SUM(Jul!H26, Aug!H26, Sep!H26)</f>
        <v>105625</v>
      </c>
      <c r="I26" s="32">
        <f t="shared" si="5"/>
        <v>0.49590365971032185</v>
      </c>
    </row>
    <row r="27" spans="1:9" ht="15.6">
      <c r="A27" s="48" t="str">
        <v>Commerce City - Adams City HS</v>
      </c>
      <c r="B27" s="34" t="str">
        <v>CO</v>
      </c>
      <c r="C27" s="35">
        <f>SUM(Jul!C27, Aug!C27, Sep!C27)</f>
        <v>16174</v>
      </c>
      <c r="D27" s="36">
        <f>SUM(Jul!D27, Aug!D27, Sep!D27)</f>
        <v>13789.06</v>
      </c>
      <c r="E27" s="36">
        <f t="shared" si="3"/>
        <v>2384.9400000000005</v>
      </c>
      <c r="F27" s="71">
        <f t="shared" si="4"/>
        <v>0.17295885288772408</v>
      </c>
      <c r="G27" s="72">
        <f>SUM(Jul!G27,Aug!G27,Sep!G27)</f>
        <v>15090.74</v>
      </c>
      <c r="H27" s="72">
        <f>SUM(Jul!H27, Aug!H27, Sep!H27)</f>
        <v>1083.2600000000002</v>
      </c>
      <c r="I27" s="71">
        <f t="shared" si="5"/>
        <v>7.1783093473216042E-2</v>
      </c>
    </row>
    <row r="28" spans="1:9" ht="15.6">
      <c r="A28" s="47" t="str">
        <v>Commerce City - Adams City MS</v>
      </c>
      <c r="B28" s="27" t="str">
        <v>CO</v>
      </c>
      <c r="C28" s="28">
        <f>SUM(Jul!C28, Aug!C28, Sep!C28)</f>
        <v>13401</v>
      </c>
      <c r="D28" s="29">
        <f>SUM(Jul!D28, Aug!D28, Sep!D28)</f>
        <v>12529.32</v>
      </c>
      <c r="E28" s="29">
        <f t="shared" si="3"/>
        <v>871.68000000000029</v>
      </c>
      <c r="F28" s="30">
        <f t="shared" si="4"/>
        <v>6.9571213761002212E-2</v>
      </c>
      <c r="G28" s="31">
        <f>SUM(Jul!G28,Aug!G28,Sep!G28)</f>
        <v>13271.79</v>
      </c>
      <c r="H28" s="31">
        <f>SUM(Jul!H28, Aug!H28, Sep!H28)</f>
        <v>129.20999999999913</v>
      </c>
      <c r="I28" s="32">
        <f t="shared" si="5"/>
        <v>9.7356874995761025E-3</v>
      </c>
    </row>
    <row r="29" spans="1:9" ht="15.6">
      <c r="A29" s="48" t="str">
        <v>Commerce City - Central ES</v>
      </c>
      <c r="B29" s="34" t="str">
        <v>CO</v>
      </c>
      <c r="C29" s="35">
        <f>SUM(Jul!C29, Aug!C29, Sep!C29)</f>
        <v>3542.3</v>
      </c>
      <c r="D29" s="36">
        <f>SUM(Jul!D29, Aug!D29, Sep!D29)</f>
        <v>3602.3339999999998</v>
      </c>
      <c r="E29" s="36">
        <f t="shared" si="3"/>
        <v>-60.033999999999651</v>
      </c>
      <c r="F29" s="71">
        <f t="shared" si="4"/>
        <v>-1.666530643743741E-2</v>
      </c>
      <c r="G29" s="72">
        <f>SUM(Jul!G29,Aug!G29,Sep!G29)</f>
        <v>3901.3209999999999</v>
      </c>
      <c r="H29" s="72">
        <f>SUM(Jul!H29, Aug!H29, Sep!H29)</f>
        <v>-359.02099999999973</v>
      </c>
      <c r="I29" s="71">
        <f t="shared" si="5"/>
        <v>-9.2025495979438696E-2</v>
      </c>
    </row>
    <row r="30" spans="1:9" ht="15.6">
      <c r="A30" s="47" t="str">
        <v>Commerce City - Dupont ES</v>
      </c>
      <c r="B30" s="27" t="str">
        <v>CO</v>
      </c>
      <c r="C30" s="28">
        <f>SUM(Jul!C30, Aug!C30, Sep!C30)</f>
        <v>10965</v>
      </c>
      <c r="D30" s="29">
        <f>SUM(Jul!D30, Aug!D30, Sep!D30)</f>
        <v>10210.219999999999</v>
      </c>
      <c r="E30" s="29">
        <f t="shared" si="3"/>
        <v>754.78000000000065</v>
      </c>
      <c r="F30" s="30">
        <f t="shared" si="4"/>
        <v>7.3923970296428554E-2</v>
      </c>
      <c r="G30" s="31">
        <f>SUM(Jul!G30,Aug!G30,Sep!G30)</f>
        <v>11266.63</v>
      </c>
      <c r="H30" s="31">
        <f>SUM(Jul!H30, Aug!H30, Sep!H30)</f>
        <v>-301.6299999999992</v>
      </c>
      <c r="I30" s="32">
        <f t="shared" si="5"/>
        <v>-2.6771980618871767E-2</v>
      </c>
    </row>
    <row r="31" spans="1:9" ht="15.6">
      <c r="A31" s="48" t="str">
        <v>Commerce City - Educational Support Services</v>
      </c>
      <c r="B31" s="34" t="str">
        <v>CO</v>
      </c>
      <c r="C31" s="35">
        <f>SUM(Jul!C31, Aug!C31, Sep!C31)</f>
        <v>11410</v>
      </c>
      <c r="D31" s="36">
        <f>SUM(Jul!D31, Aug!D31, Sep!D31)</f>
        <v>10530.03</v>
      </c>
      <c r="E31" s="36">
        <f t="shared" si="3"/>
        <v>879.96999999999935</v>
      </c>
      <c r="F31" s="71">
        <f t="shared" si="4"/>
        <v>8.3567663150057439E-2</v>
      </c>
      <c r="G31" s="72">
        <f>SUM(Jul!G31,Aug!G31,Sep!G31)</f>
        <v>11500.14</v>
      </c>
      <c r="H31" s="72">
        <f>SUM(Jul!H31, Aug!H31, Sep!H31)</f>
        <v>-90.139999999999418</v>
      </c>
      <c r="I31" s="71">
        <f t="shared" si="5"/>
        <v>-7.8381654484205778E-3</v>
      </c>
    </row>
    <row r="32" spans="1:9" ht="15.6">
      <c r="A32" s="47" t="str">
        <v>Commerce City - Hanson ES</v>
      </c>
      <c r="B32" s="27" t="str">
        <v>CO</v>
      </c>
      <c r="C32" s="28">
        <f>SUM(Jul!C32, Aug!C32, Sep!C32)</f>
        <v>14359</v>
      </c>
      <c r="D32" s="29">
        <f>SUM(Jul!D32, Aug!D32, Sep!D32)</f>
        <v>13731.56</v>
      </c>
      <c r="E32" s="29">
        <f t="shared" si="3"/>
        <v>627.44000000000051</v>
      </c>
      <c r="F32" s="30">
        <f t="shared" si="4"/>
        <v>4.5693278840860073E-2</v>
      </c>
      <c r="G32" s="31">
        <f>SUM(Jul!G32,Aug!G32,Sep!G32)</f>
        <v>15033.49</v>
      </c>
      <c r="H32" s="31">
        <f>SUM(Jul!H32, Aug!H32, Sep!H32)</f>
        <v>-674.48999999999978</v>
      </c>
      <c r="I32" s="32">
        <f t="shared" si="5"/>
        <v>-4.4865829557873771E-2</v>
      </c>
    </row>
    <row r="33" spans="1:9" ht="15.6">
      <c r="A33" s="48" t="str">
        <v>Commerce City - Kemp ES</v>
      </c>
      <c r="B33" s="34" t="str">
        <v>CO</v>
      </c>
      <c r="C33" s="35">
        <f>SUM(Jul!C33, Aug!C33, Sep!C33)</f>
        <v>12990</v>
      </c>
      <c r="D33" s="36">
        <f>SUM(Jul!D33, Aug!D33, Sep!D33)</f>
        <v>13724.519</v>
      </c>
      <c r="E33" s="36">
        <f t="shared" si="3"/>
        <v>-734.51900000000023</v>
      </c>
      <c r="F33" s="71">
        <f t="shared" si="4"/>
        <v>-5.3518742624058459E-2</v>
      </c>
      <c r="G33" s="72">
        <f>SUM(Jul!G33,Aug!G33,Sep!G33)</f>
        <v>14983.057000000001</v>
      </c>
      <c r="H33" s="72">
        <f>SUM(Jul!H33, Aug!H33, Sep!H33)</f>
        <v>-1993.0570000000007</v>
      </c>
      <c r="I33" s="71">
        <f t="shared" si="5"/>
        <v>-0.13302071800167353</v>
      </c>
    </row>
    <row r="34" spans="1:9" ht="15.6">
      <c r="A34" s="47" t="str">
        <v>Commerce City -  Lester Arnold HS</v>
      </c>
      <c r="B34" s="27" t="str">
        <v>CO</v>
      </c>
      <c r="C34" s="28">
        <f>SUM(Jul!C34, Aug!C34, Sep!C34)</f>
        <v>6913.9989674151902</v>
      </c>
      <c r="D34" s="29">
        <f>SUM(Jul!D34, Aug!D34, Sep!D34)</f>
        <v>13267.75</v>
      </c>
      <c r="E34" s="29">
        <f t="shared" si="3"/>
        <v>-6353.7510325848098</v>
      </c>
      <c r="F34" s="30">
        <f t="shared" si="4"/>
        <v>-0.47888685214786303</v>
      </c>
      <c r="G34" s="31">
        <f>SUM(Jul!G34,Aug!G34,Sep!G34)</f>
        <v>14593.02</v>
      </c>
      <c r="H34" s="31">
        <f>SUM(Jul!H34, Aug!H34, Sep!H34)</f>
        <v>-7679.0210325848102</v>
      </c>
      <c r="I34" s="32">
        <f t="shared" si="5"/>
        <v>-0.52621191724432703</v>
      </c>
    </row>
    <row r="35" spans="1:9" ht="15.6">
      <c r="A35" s="48" t="str">
        <v>Commerce City - Monaco ES</v>
      </c>
      <c r="B35" s="34" t="str">
        <v>CO</v>
      </c>
      <c r="C35" s="35">
        <f>SUM(Jul!C35, Aug!C35, Sep!C35)</f>
        <v>14801</v>
      </c>
      <c r="D35" s="36">
        <f>SUM(Jul!D35, Aug!D35, Sep!D35)</f>
        <v>13731.98</v>
      </c>
      <c r="E35" s="36">
        <f t="shared" si="3"/>
        <v>1069.0200000000004</v>
      </c>
      <c r="F35" s="71">
        <f t="shared" si="4"/>
        <v>7.7848933657054586E-2</v>
      </c>
      <c r="G35" s="72">
        <f>SUM(Jul!G35,Aug!G35,Sep!G35)</f>
        <v>15033.49</v>
      </c>
      <c r="H35" s="72">
        <f>SUM(Jul!H35, Aug!H35, Sep!H35)</f>
        <v>-232.48999999999978</v>
      </c>
      <c r="I35" s="71">
        <f t="shared" si="5"/>
        <v>-1.5464805577414146E-2</v>
      </c>
    </row>
    <row r="36" spans="1:9" ht="15.6">
      <c r="A36" s="47" t="str">
        <v>Denver - Northgate / Old Fort Logan ES</v>
      </c>
      <c r="B36" s="27" t="str">
        <v>CO</v>
      </c>
      <c r="C36" s="28">
        <f>SUM(Jul!C36, Aug!C36, Sep!C36)</f>
        <v>13060.0000000002</v>
      </c>
      <c r="D36" s="29">
        <f>SUM(Jul!D36, Aug!D36, Sep!D36)</f>
        <v>11944.08</v>
      </c>
      <c r="E36" s="29">
        <f t="shared" si="3"/>
        <v>1115.9200000002002</v>
      </c>
      <c r="F36" s="30">
        <f t="shared" si="4"/>
        <v>9.3428711127202774E-2</v>
      </c>
      <c r="G36" s="31">
        <f>SUM(Jul!G36,Aug!G36,Sep!G36)</f>
        <v>13903.58</v>
      </c>
      <c r="H36" s="31">
        <f>SUM(Jul!H36, Aug!H36, Sep!H36)</f>
        <v>-843.57999999979984</v>
      </c>
      <c r="I36" s="32">
        <f t="shared" si="5"/>
        <v>-6.0673581911982369E-2</v>
      </c>
    </row>
    <row r="37" spans="1:9" ht="15.6">
      <c r="A37" s="48" t="str">
        <v>Denver - Sheridan High School</v>
      </c>
      <c r="B37" s="34" t="str">
        <v>CO</v>
      </c>
      <c r="C37" s="35">
        <f>SUM(Jul!C37, Aug!C37, Sep!C37)</f>
        <v>15216</v>
      </c>
      <c r="D37" s="36">
        <f>SUM(Jul!D37, Aug!D37, Sep!D37)</f>
        <v>13779.41</v>
      </c>
      <c r="E37" s="36">
        <f t="shared" si="3"/>
        <v>1436.5900000000001</v>
      </c>
      <c r="F37" s="71">
        <f t="shared" si="4"/>
        <v>0.1042562780264177</v>
      </c>
      <c r="G37" s="72">
        <f>SUM(Jul!G37,Aug!G37,Sep!G37)</f>
        <v>13836.56</v>
      </c>
      <c r="H37" s="72">
        <f>SUM(Jul!H37, Aug!H37, Sep!H37)</f>
        <v>1379.4400000000005</v>
      </c>
      <c r="I37" s="71">
        <f t="shared" si="5"/>
        <v>9.9695299987858296E-2</v>
      </c>
    </row>
    <row r="38" spans="1:9" ht="15.6">
      <c r="A38" s="47" t="str">
        <v>Englewood -  Alice Terry Elementary</v>
      </c>
      <c r="B38" s="27" t="str">
        <v>CO</v>
      </c>
      <c r="C38" s="28">
        <f>SUM(Jul!C38, Aug!C38, Sep!C38)</f>
        <v>14253</v>
      </c>
      <c r="D38" s="29">
        <f>SUM(Jul!D38, Aug!D38, Sep!D38)</f>
        <v>13779.63</v>
      </c>
      <c r="E38" s="29">
        <f t="shared" si="3"/>
        <v>473.3700000000008</v>
      </c>
      <c r="F38" s="30">
        <f t="shared" si="4"/>
        <v>3.4352881753719137E-2</v>
      </c>
      <c r="G38" s="31">
        <f>SUM(Jul!G38,Aug!G38,Sep!G38)</f>
        <v>13903.58</v>
      </c>
      <c r="H38" s="31">
        <f>SUM(Jul!H38, Aug!H38, Sep!H38)</f>
        <v>349.42000000000007</v>
      </c>
      <c r="I38" s="32">
        <f t="shared" si="5"/>
        <v>2.5131656738768007E-2</v>
      </c>
    </row>
    <row r="39" spans="1:9" ht="15.6">
      <c r="A39" s="48" t="str">
        <v>Englewood - Sheridan Middle School</v>
      </c>
      <c r="B39" s="34" t="str">
        <v>CO</v>
      </c>
      <c r="C39" s="35">
        <f>SUM(Jul!C39, Aug!C39, Sep!C39)</f>
        <v>8499</v>
      </c>
      <c r="D39" s="36">
        <f>SUM(Jul!D39, Aug!D39, Sep!D39)</f>
        <v>8247.7080000000005</v>
      </c>
      <c r="E39" s="36">
        <f t="shared" si="3"/>
        <v>251.29199999999946</v>
      </c>
      <c r="F39" s="71">
        <f t="shared" si="4"/>
        <v>3.0468100956047357E-2</v>
      </c>
      <c r="G39" s="72">
        <f>SUM(Jul!G39,Aug!G39,Sep!G39)</f>
        <v>8142.3590000000004</v>
      </c>
      <c r="H39" s="72">
        <f>SUM(Jul!H39, Aug!H39, Sep!H39)</f>
        <v>356.64099999999962</v>
      </c>
      <c r="I39" s="71">
        <f t="shared" si="5"/>
        <v>4.3800697070713733E-2</v>
      </c>
    </row>
    <row r="40" spans="1:9" ht="15.6">
      <c r="A40" s="47" t="str">
        <v>Goshen - NIPSCO</v>
      </c>
      <c r="B40" s="27" t="str">
        <v>IN</v>
      </c>
      <c r="C40" s="28">
        <f>SUM(Jul!C40, Aug!C40, Sep!C40)</f>
        <v>53669</v>
      </c>
      <c r="D40" s="29">
        <f>SUM(Jul!D40, Aug!D40, Sep!D40)</f>
        <v>58710.61</v>
      </c>
      <c r="E40" s="29">
        <f t="shared" si="3"/>
        <v>-5041.6100000000006</v>
      </c>
      <c r="F40" s="30">
        <f t="shared" si="4"/>
        <v>-8.5872212876003176E-2</v>
      </c>
      <c r="G40" s="31">
        <f>SUM(Jul!G40,Aug!G40,Sep!G40)</f>
        <v>73604.12</v>
      </c>
      <c r="H40" s="31">
        <f>SUM(Jul!H40, Aug!H40, Sep!H40)</f>
        <v>-19935.119999999995</v>
      </c>
      <c r="I40" s="32">
        <f t="shared" si="5"/>
        <v>-0.27084244740647667</v>
      </c>
    </row>
    <row r="41" spans="1:9" ht="15.6">
      <c r="A41" s="48" t="str">
        <v>Alamogordo - City of Alamogordo - Effluent</v>
      </c>
      <c r="B41" s="34" t="str">
        <v>NM</v>
      </c>
      <c r="C41" s="35">
        <f>SUM(Jul!C41, Aug!C41, Sep!C41)</f>
        <v>22995</v>
      </c>
      <c r="D41" s="36">
        <f>SUM(Jul!D41, Aug!D41, Sep!D41)</f>
        <v>26789.919999999998</v>
      </c>
      <c r="E41" s="36">
        <f t="shared" si="3"/>
        <v>-3794.9199999999983</v>
      </c>
      <c r="F41" s="71">
        <f t="shared" si="4"/>
        <v>-0.14165477164545465</v>
      </c>
      <c r="G41" s="72">
        <f>SUM(Jul!G41,Aug!G41,Sep!G41)</f>
        <v>33158.93</v>
      </c>
      <c r="H41" s="72">
        <f>SUM(Jul!H41, Aug!H41, Sep!H41)</f>
        <v>-10163.93</v>
      </c>
      <c r="I41" s="71">
        <f t="shared" si="5"/>
        <v>-0.30652165193508957</v>
      </c>
    </row>
    <row r="42" spans="1:9" ht="15.6">
      <c r="A42" s="47" t="str">
        <v>Alamogordo - City of Alamogordo - WWTP</v>
      </c>
      <c r="B42" s="27" t="str">
        <v>NM</v>
      </c>
      <c r="C42" s="28">
        <f>SUM(Jul!C42, Aug!C42, Sep!C42)</f>
        <v>85320</v>
      </c>
      <c r="D42" s="29">
        <f>SUM(Jul!D42, Aug!D42, Sep!D42)</f>
        <v>1.390832E-2</v>
      </c>
      <c r="E42" s="29">
        <f t="shared" si="3"/>
        <v>85319.986091679995</v>
      </c>
      <c r="F42" s="30">
        <f t="shared" si="4"/>
        <v>6134456.648371622</v>
      </c>
      <c r="G42" s="31">
        <f>SUM(Jul!G42,Aug!G42,Sep!G42)</f>
        <v>140619.9</v>
      </c>
      <c r="H42" s="31">
        <f>SUM(Jul!H42, Aug!H42, Sep!H42)</f>
        <v>-55299.899999999994</v>
      </c>
      <c r="I42" s="32">
        <f t="shared" si="5"/>
        <v>-0.39325799548996976</v>
      </c>
    </row>
    <row r="43" spans="1:9" ht="15.6">
      <c r="A43" s="48" t="str">
        <v>Deming - Bilbo Booster</v>
      </c>
      <c r="B43" s="34" t="str">
        <v>NM</v>
      </c>
      <c r="C43" s="35">
        <f>SUM(Jul!C43, Aug!C43, Sep!C43)</f>
        <v>10162</v>
      </c>
      <c r="D43" s="36">
        <f>SUM(Jul!D43, Aug!D43, Sep!D43)</f>
        <v>0</v>
      </c>
      <c r="E43" s="36">
        <f t="shared" si="3"/>
        <v>10162</v>
      </c>
      <c r="F43" s="71" t="str">
        <f t="shared" si="4"/>
        <v/>
      </c>
      <c r="G43" s="72">
        <f>SUM(Jul!G43,Aug!G43,Sep!G43)</f>
        <v>13292.43</v>
      </c>
      <c r="H43" s="72">
        <f>SUM(Jul!H43, Aug!H43, Sep!H43)</f>
        <v>-3130.4300000000003</v>
      </c>
      <c r="I43" s="71">
        <f t="shared" si="5"/>
        <v>-0.23550471960356384</v>
      </c>
    </row>
    <row r="44" spans="1:9" ht="15.6">
      <c r="A44" s="47" t="str">
        <v>Deming - Bilbo Well</v>
      </c>
      <c r="B44" s="27" t="str">
        <v>NM</v>
      </c>
      <c r="C44" s="28">
        <f>SUM(Jul!C44, Aug!C44, Sep!C44)</f>
        <v>22028</v>
      </c>
      <c r="D44" s="29">
        <f>SUM(Jul!D44, Aug!D44, Sep!D44)</f>
        <v>0</v>
      </c>
      <c r="E44" s="29">
        <f t="shared" si="3"/>
        <v>22028</v>
      </c>
      <c r="F44" s="30" t="str">
        <f t="shared" si="4"/>
        <v/>
      </c>
      <c r="G44" s="31">
        <f>SUM(Jul!G44,Aug!G44,Sep!G44)</f>
        <v>24028.99</v>
      </c>
      <c r="H44" s="31">
        <f>SUM(Jul!H44, Aug!H44, Sep!H44)</f>
        <v>-2000.9900000000016</v>
      </c>
      <c r="I44" s="32">
        <f t="shared" si="5"/>
        <v>-8.3273995286526875E-2</v>
      </c>
    </row>
    <row r="45" spans="1:9" ht="15.6">
      <c r="A45" s="48" t="str">
        <v>Deming - WWTP</v>
      </c>
      <c r="B45" s="34" t="str">
        <v>NM</v>
      </c>
      <c r="C45" s="35">
        <f>SUM(Jul!C45, Aug!C45, Sep!C45)</f>
        <v>81020</v>
      </c>
      <c r="D45" s="36">
        <f>SUM(Jul!D45, Aug!D45, Sep!D45)</f>
        <v>74196.2</v>
      </c>
      <c r="E45" s="36">
        <f t="shared" si="3"/>
        <v>6823.8000000000029</v>
      </c>
      <c r="F45" s="71">
        <f t="shared" si="4"/>
        <v>9.1969669605721088E-2</v>
      </c>
      <c r="G45" s="72">
        <f>SUM(Jul!G45,Aug!G45,Sep!G45)</f>
        <v>96020.479999999996</v>
      </c>
      <c r="H45" s="72">
        <f>SUM(Jul!H45, Aug!H45, Sep!H45)</f>
        <v>-15000.479999999996</v>
      </c>
      <c r="I45" s="71">
        <f t="shared" si="5"/>
        <v>-0.15622167270982187</v>
      </c>
    </row>
    <row r="46" spans="1:9" ht="15.6">
      <c r="A46" s="47" t="str">
        <v>Truth or Consequences - Walmart</v>
      </c>
      <c r="B46" s="27" t="str">
        <v>NM</v>
      </c>
      <c r="C46" s="28">
        <f>SUM(Jul!C46, Aug!C46, Sep!C46)</f>
        <v>162900</v>
      </c>
      <c r="D46" s="29">
        <f>SUM(Jul!D46, Aug!D46, Sep!D46)</f>
        <v>362661.9</v>
      </c>
      <c r="E46" s="29">
        <f t="shared" si="3"/>
        <v>-199761.90000000002</v>
      </c>
      <c r="F46" s="30">
        <f t="shared" si="4"/>
        <v>-0.55082130215498237</v>
      </c>
      <c r="G46" s="31">
        <f>SUM(Jul!G46,Aug!G46,Sep!G46)</f>
        <v>202400.8</v>
      </c>
      <c r="H46" s="31">
        <f>SUM(Jul!H46, Aug!H46, Sep!H46)</f>
        <v>-39500.799999999988</v>
      </c>
      <c r="I46" s="32">
        <f t="shared" si="5"/>
        <v>-0.19516128394749424</v>
      </c>
    </row>
    <row r="47" spans="1:9" ht="15.6">
      <c r="A47" s="48" t="str">
        <v>CA: Stockton - SUSD - Merlo</v>
      </c>
      <c r="B47" s="34" t="str">
        <v>CA</v>
      </c>
      <c r="C47" s="35">
        <f>SUM(Jul!C47, Aug!C47, Sep!C47)</f>
        <v>758.37481208867405</v>
      </c>
      <c r="D47" s="36">
        <f>SUM(Jul!D47, Aug!D47, Sep!D47)</f>
        <v>12488.86</v>
      </c>
      <c r="E47" s="36">
        <f t="shared" ref="E47:E85" si="6">IF(AND(ISNUMBER(C47),ISNUMBER(D47)), C47-D47, "")</f>
        <v>-11730.485187911327</v>
      </c>
      <c r="F47" s="71">
        <f t="shared" ref="F47:F85" si="7">IFERROR(E47/D47, "")</f>
        <v>-0.93927589771294784</v>
      </c>
      <c r="G47" s="72">
        <f>SUM(Jul!G47,Aug!G47,Sep!G47)</f>
        <v>19393.2</v>
      </c>
      <c r="H47" s="72">
        <f>SUM(Jul!H47, Aug!H47, Sep!H47)</f>
        <v>-18634.825187911327</v>
      </c>
      <c r="I47" s="71">
        <f t="shared" ref="I47:I85" si="8">IFERROR(H47/G47, "")</f>
        <v>-0.96089480786622761</v>
      </c>
    </row>
    <row r="48" spans="1:9" ht="15.6">
      <c r="A48" s="47" t="str">
        <v>Stockton Unified School Dist. - Bush Elementary</v>
      </c>
      <c r="B48" s="27" t="str">
        <v>CA</v>
      </c>
      <c r="C48" s="28">
        <f>SUM(Jul!C48, Aug!C48, Sep!C48)</f>
        <v>27159</v>
      </c>
      <c r="D48" s="29">
        <f>SUM(Jul!D48, Aug!D48, Sep!D48)</f>
        <v>40520.576999999997</v>
      </c>
      <c r="E48" s="29">
        <f t="shared" si="6"/>
        <v>-13361.576999999997</v>
      </c>
      <c r="F48" s="30">
        <f t="shared" si="7"/>
        <v>-0.32974794509959715</v>
      </c>
      <c r="G48" s="31">
        <f>SUM(Jul!G48,Aug!G48,Sep!G48)</f>
        <v>41018.271000000001</v>
      </c>
      <c r="H48" s="31">
        <f>SUM(Jul!H48, Aug!H48, Sep!H48)</f>
        <v>-13859.271000000001</v>
      </c>
      <c r="I48" s="32">
        <f t="shared" si="8"/>
        <v>-0.3378804289434823</v>
      </c>
    </row>
    <row r="49" spans="1:9" ht="15.6">
      <c r="A49" s="48" t="str">
        <v>CA: Stockton - SUSD - Marshall JHS</v>
      </c>
      <c r="B49" s="34" t="str">
        <v>CA</v>
      </c>
      <c r="C49" s="35">
        <f>SUM(Jul!C49, Aug!C49, Sep!C49)</f>
        <v>8862.875</v>
      </c>
      <c r="D49" s="36">
        <f>SUM(Jul!D49, Aug!D49, Sep!D49)</f>
        <v>26362.83</v>
      </c>
      <c r="E49" s="36">
        <f t="shared" si="6"/>
        <v>-17499.955000000002</v>
      </c>
      <c r="F49" s="71">
        <f t="shared" si="7"/>
        <v>-0.6638117000337217</v>
      </c>
      <c r="G49" s="72">
        <f>SUM(Jul!G49,Aug!G49,Sep!G49)</f>
        <v>27213.82</v>
      </c>
      <c r="H49" s="72">
        <f>SUM(Jul!H49, Aug!H49, Sep!H49)</f>
        <v>-18350.945</v>
      </c>
      <c r="I49" s="71">
        <f t="shared" si="8"/>
        <v>-0.67432447925355576</v>
      </c>
    </row>
    <row r="50" spans="1:9" ht="15.6">
      <c r="A50" s="47" t="str">
        <v>CA: Stockton - SUSD - Hong-Kingston ES</v>
      </c>
      <c r="B50" s="27" t="str">
        <v>CA</v>
      </c>
      <c r="C50" s="28">
        <f>SUM(Jul!C50, Aug!C50, Sep!C50)</f>
        <v>12004</v>
      </c>
      <c r="D50" s="29">
        <f>SUM(Jul!D50, Aug!D50, Sep!D50)</f>
        <v>44134.75</v>
      </c>
      <c r="E50" s="29">
        <f t="shared" si="6"/>
        <v>-32130.75</v>
      </c>
      <c r="F50" s="30">
        <f t="shared" si="7"/>
        <v>-0.72801477293969041</v>
      </c>
      <c r="G50" s="31">
        <f>SUM(Jul!G50,Aug!G50,Sep!G50)</f>
        <v>44138.66</v>
      </c>
      <c r="H50" s="31">
        <f>SUM(Jul!H50, Aug!H50, Sep!H50)</f>
        <v>-32134.660000000003</v>
      </c>
      <c r="I50" s="32">
        <f t="shared" si="8"/>
        <v>-0.72803886660809369</v>
      </c>
    </row>
    <row r="51" spans="1:9" ht="15.6">
      <c r="A51" s="48" t="str">
        <v>CA: Stockton - SUSD - Hamilton ES</v>
      </c>
      <c r="B51" s="34" t="str">
        <v>CA</v>
      </c>
      <c r="C51" s="35">
        <f>SUM(Jul!C51, Aug!C51, Sep!C51)</f>
        <v>7114.625</v>
      </c>
      <c r="D51" s="36">
        <f>SUM(Jul!D51, Aug!D51, Sep!D51)</f>
        <v>22870.41</v>
      </c>
      <c r="E51" s="36">
        <f t="shared" si="6"/>
        <v>-15755.785</v>
      </c>
      <c r="F51" s="71">
        <f t="shared" si="7"/>
        <v>-0.68891572123105793</v>
      </c>
      <c r="G51" s="72">
        <f>SUM(Jul!G51,Aug!G51,Sep!G51)</f>
        <v>23396.54</v>
      </c>
      <c r="H51" s="72">
        <f>SUM(Jul!H51, Aug!H51, Sep!H51)</f>
        <v>-16281.915000000001</v>
      </c>
      <c r="I51" s="71">
        <f t="shared" si="8"/>
        <v>-0.69591123302847346</v>
      </c>
    </row>
    <row r="52" spans="1:9" ht="15.6">
      <c r="A52" s="47" t="str">
        <v>CA: Stockton - SUSD - Franklin - North</v>
      </c>
      <c r="B52" s="27" t="str">
        <v>CA</v>
      </c>
      <c r="C52" s="28">
        <f>SUM(Jul!C52, Aug!C52, Sep!C52)</f>
        <v>32153.25</v>
      </c>
      <c r="D52" s="29">
        <f>SUM(Jul!D52, Aug!D52, Sep!D52)</f>
        <v>101097.1</v>
      </c>
      <c r="E52" s="29">
        <f t="shared" si="6"/>
        <v>-68943.850000000006</v>
      </c>
      <c r="F52" s="30">
        <f t="shared" si="7"/>
        <v>-0.68195675246866627</v>
      </c>
      <c r="G52" s="31">
        <f>SUM(Jul!G52,Aug!G52,Sep!G52)</f>
        <v>61943.14</v>
      </c>
      <c r="H52" s="31">
        <f>SUM(Jul!H52, Aug!H52, Sep!H52)</f>
        <v>-29789.89</v>
      </c>
      <c r="I52" s="32">
        <f t="shared" si="8"/>
        <v>-0.48092314984355006</v>
      </c>
    </row>
    <row r="53" spans="1:9" ht="15.6">
      <c r="A53" s="48" t="str">
        <v>Stockton Unified School Dist. - Fillmore Elementary</v>
      </c>
      <c r="B53" s="34" t="str">
        <v>CA</v>
      </c>
      <c r="C53" s="35">
        <f>SUM(Jul!C53, Aug!C53, Sep!C53)</f>
        <v>4989.5</v>
      </c>
      <c r="D53" s="36">
        <f>SUM(Jul!D53, Aug!D53, Sep!D53)</f>
        <v>18516.7</v>
      </c>
      <c r="E53" s="36">
        <f t="shared" si="6"/>
        <v>-13527.2</v>
      </c>
      <c r="F53" s="71">
        <f t="shared" si="7"/>
        <v>-0.73054053908093775</v>
      </c>
      <c r="G53" s="72">
        <f>SUM(Jul!G53,Aug!G53,Sep!G53)</f>
        <v>18704.5</v>
      </c>
      <c r="H53" s="72">
        <f>SUM(Jul!H53, Aug!H53, Sep!H53)</f>
        <v>-13715</v>
      </c>
      <c r="I53" s="71">
        <f t="shared" si="8"/>
        <v>-0.73324601031837255</v>
      </c>
    </row>
    <row r="54" spans="1:9" ht="15.6">
      <c r="A54" s="47" t="str">
        <v>CA: Stockton - SUSD - El Dorado ES</v>
      </c>
      <c r="B54" s="27" t="str">
        <v>CA</v>
      </c>
      <c r="C54" s="28">
        <f>SUM(Jul!C54, Aug!C54, Sep!C54)</f>
        <v>5944.75</v>
      </c>
      <c r="D54" s="29">
        <f>SUM(Jul!D54, Aug!D54, Sep!D54)</f>
        <v>24303.11</v>
      </c>
      <c r="E54" s="29">
        <f t="shared" si="6"/>
        <v>-18358.36</v>
      </c>
      <c r="F54" s="30">
        <f t="shared" si="7"/>
        <v>-0.75539138818036045</v>
      </c>
      <c r="G54" s="31">
        <f>SUM(Jul!G54,Aug!G54,Sep!G54)</f>
        <v>0</v>
      </c>
      <c r="H54" s="31">
        <f>SUM(Jul!H54, Aug!H54, Sep!H54)</f>
        <v>5944.75</v>
      </c>
      <c r="I54" s="32" t="str">
        <f t="shared" si="8"/>
        <v/>
      </c>
    </row>
    <row r="55" spans="1:9" ht="15.6">
      <c r="A55" s="48" t="str">
        <v>CA: Stockton - SUSD - Edison HS</v>
      </c>
      <c r="B55" s="34" t="str">
        <v>CA</v>
      </c>
      <c r="C55" s="35">
        <f>SUM(Jul!C55, Aug!C55, Sep!C55)</f>
        <v>46049.5</v>
      </c>
      <c r="D55" s="36">
        <f>SUM(Jul!D55, Aug!D55, Sep!D55)</f>
        <v>62768.43</v>
      </c>
      <c r="E55" s="36">
        <f t="shared" si="6"/>
        <v>-16718.93</v>
      </c>
      <c r="F55" s="71">
        <f t="shared" si="7"/>
        <v>-0.26635890048548289</v>
      </c>
      <c r="G55" s="72">
        <f>SUM(Jul!G55,Aug!G55,Sep!G55)</f>
        <v>64104.39</v>
      </c>
      <c r="H55" s="72">
        <f>SUM(Jul!H55, Aug!H55, Sep!H55)</f>
        <v>-18054.89</v>
      </c>
      <c r="I55" s="71">
        <f t="shared" si="8"/>
        <v>-0.28164826153091854</v>
      </c>
    </row>
    <row r="56" spans="1:9" ht="15.6">
      <c r="A56" s="47" t="str">
        <v>CA: Stockton - SUSD - Chavez HS - Large</v>
      </c>
      <c r="B56" s="27" t="str">
        <v>CA</v>
      </c>
      <c r="C56" s="28">
        <f>SUM(Jul!C56, Aug!C56, Sep!C56)</f>
        <v>42316</v>
      </c>
      <c r="D56" s="29">
        <f>SUM(Jul!D56, Aug!D56, Sep!D56)</f>
        <v>137020.79999999999</v>
      </c>
      <c r="E56" s="29">
        <f t="shared" si="6"/>
        <v>-94704.799999999988</v>
      </c>
      <c r="F56" s="30">
        <f t="shared" si="7"/>
        <v>-0.69117097550152962</v>
      </c>
      <c r="G56" s="31">
        <f>SUM(Jul!G56,Aug!G56,Sep!G56)</f>
        <v>134209.5</v>
      </c>
      <c r="H56" s="31">
        <f>SUM(Jul!H56, Aug!H56, Sep!H56)</f>
        <v>-91893.5</v>
      </c>
      <c r="I56" s="32">
        <f t="shared" si="8"/>
        <v>-0.68470190262239261</v>
      </c>
    </row>
    <row r="57" spans="1:9" ht="15.6">
      <c r="A57" s="48" t="str">
        <v>CA: San Jose - GE Mobile Water</v>
      </c>
      <c r="B57" s="34" t="str">
        <v>CA</v>
      </c>
      <c r="C57" s="35">
        <f>SUM(Jul!C57, Aug!C57, Sep!C57)</f>
        <v>30650</v>
      </c>
      <c r="D57" s="36">
        <f>SUM(Jul!D57, Aug!D57, Sep!D57)</f>
        <v>34545</v>
      </c>
      <c r="E57" s="36">
        <f t="shared" si="6"/>
        <v>-3895</v>
      </c>
      <c r="F57" s="71">
        <f t="shared" si="7"/>
        <v>-0.11275148357215227</v>
      </c>
      <c r="G57" s="72">
        <f>SUM(Jul!G57,Aug!G57,Sep!G57)</f>
        <v>34995.040000000001</v>
      </c>
      <c r="H57" s="72">
        <f>SUM(Jul!H57, Aug!H57, Sep!H57)</f>
        <v>-4345.0400000000009</v>
      </c>
      <c r="I57" s="71">
        <f t="shared" si="8"/>
        <v>-0.12416159547181546</v>
      </c>
    </row>
    <row r="58" spans="1:9" ht="15.6">
      <c r="A58" s="47" t="str">
        <v>CA: San Marcos - Vallecitos Water - Lift Station</v>
      </c>
      <c r="B58" s="27" t="str">
        <v>CA</v>
      </c>
      <c r="C58" s="28">
        <f>SUM(Jul!C58, Aug!C58, Sep!C58)</f>
        <v>43839.374999999804</v>
      </c>
      <c r="D58" s="29">
        <f>SUM(Jul!D58, Aug!D58, Sep!D58)</f>
        <v>44822.83</v>
      </c>
      <c r="E58" s="29">
        <f t="shared" si="6"/>
        <v>-983.4550000001982</v>
      </c>
      <c r="F58" s="30">
        <f t="shared" si="7"/>
        <v>-2.1940939472143952E-2</v>
      </c>
      <c r="G58" s="31">
        <f>SUM(Jul!G58,Aug!G58,Sep!G58)</f>
        <v>40781.5</v>
      </c>
      <c r="H58" s="31">
        <f>SUM(Jul!H58, Aug!H58, Sep!H58)</f>
        <v>3057.8749999998035</v>
      </c>
      <c r="I58" s="32">
        <f t="shared" si="8"/>
        <v>7.4981915819668316E-2</v>
      </c>
    </row>
    <row r="59" spans="1:9" ht="15.6">
      <c r="A59" s="48" t="str">
        <v>CA: San Marcos - Vallecitos Water - Twin Oaks Reservoir</v>
      </c>
      <c r="B59" s="34" t="str">
        <v>CA</v>
      </c>
      <c r="C59" s="35">
        <f>SUM(Jul!C59, Aug!C59, Sep!C59)</f>
        <v>322309</v>
      </c>
      <c r="D59" s="36">
        <f>SUM(Jul!D59, Aug!D59, Sep!D59)</f>
        <v>342298.7</v>
      </c>
      <c r="E59" s="36">
        <f t="shared" si="6"/>
        <v>-19989.700000000012</v>
      </c>
      <c r="F59" s="71">
        <f t="shared" si="7"/>
        <v>-5.8398410511053683E-2</v>
      </c>
      <c r="G59" s="72">
        <f>SUM(Jul!G59,Aug!G59,Sep!G59)</f>
        <v>265194</v>
      </c>
      <c r="H59" s="72">
        <f>SUM(Jul!H59, Aug!H59, Sep!H59)</f>
        <v>57115</v>
      </c>
      <c r="I59" s="71">
        <f t="shared" si="8"/>
        <v>0.21537063432807679</v>
      </c>
    </row>
    <row r="60" spans="1:9" ht="15.6">
      <c r="A60" s="47" t="str">
        <v>CA: Stockton - SUSD - Wilhelmina Henry ES</v>
      </c>
      <c r="B60" s="27" t="str">
        <v>CA</v>
      </c>
      <c r="C60" s="28">
        <f>SUM(Jul!C60, Aug!C60, Sep!C60)</f>
        <v>9050</v>
      </c>
      <c r="D60" s="29">
        <f>SUM(Jul!D60, Aug!D60, Sep!D60)</f>
        <v>52630.76</v>
      </c>
      <c r="E60" s="29">
        <f t="shared" si="6"/>
        <v>-43580.76</v>
      </c>
      <c r="F60" s="30">
        <f t="shared" si="7"/>
        <v>-0.82804732441636797</v>
      </c>
      <c r="G60" s="31">
        <f>SUM(Jul!G60,Aug!G60,Sep!G60)</f>
        <v>43197.49</v>
      </c>
      <c r="H60" s="31">
        <f>SUM(Jul!H60, Aug!H60, Sep!H60)</f>
        <v>-34147.49</v>
      </c>
      <c r="I60" s="32">
        <f t="shared" si="8"/>
        <v>-0.79049708675203123</v>
      </c>
    </row>
    <row r="61" spans="1:9" ht="15.6">
      <c r="A61" s="48" t="str">
        <v>Stockton Unified School Dist. - Franklin (North)</v>
      </c>
      <c r="B61" s="34" t="str">
        <v>CA</v>
      </c>
      <c r="C61" s="35">
        <f>SUM(Jul!C61, Aug!C61, Sep!C61)</f>
        <v>32153.200000000001</v>
      </c>
      <c r="D61" s="36">
        <f>SUM(Jul!D61, Aug!D61, Sep!D61)</f>
        <v>101097.1</v>
      </c>
      <c r="E61" s="36">
        <f t="shared" si="6"/>
        <v>-68943.900000000009</v>
      </c>
      <c r="F61" s="71">
        <f t="shared" si="7"/>
        <v>-0.68195724704269467</v>
      </c>
      <c r="G61" s="72">
        <f>SUM(Jul!G61,Aug!G61,Sep!G61)</f>
        <v>61549.4</v>
      </c>
      <c r="H61" s="72">
        <f>SUM(Jul!H61, Aug!H61, Sep!H61)</f>
        <v>-29396.2</v>
      </c>
      <c r="I61" s="71">
        <f t="shared" si="8"/>
        <v>-0.47760335600347037</v>
      </c>
    </row>
    <row r="62" spans="1:9" ht="15.6">
      <c r="A62" s="47" t="str">
        <v>CA: Stockton - SUSD - Franklin - South</v>
      </c>
      <c r="B62" s="27" t="str">
        <v>CA</v>
      </c>
      <c r="C62" s="28">
        <f>SUM(Jul!C62, Aug!C62, Sep!C62)</f>
        <v>44241</v>
      </c>
      <c r="D62" s="29">
        <f>SUM(Jul!D62, Aug!D62, Sep!D62)</f>
        <v>103754.7</v>
      </c>
      <c r="E62" s="29">
        <f t="shared" si="6"/>
        <v>-59513.7</v>
      </c>
      <c r="F62" s="30">
        <f t="shared" si="7"/>
        <v>-0.57360003932351977</v>
      </c>
      <c r="G62" s="31">
        <f>SUM(Jul!G62,Aug!G62,Sep!G62)</f>
        <v>100033.1</v>
      </c>
      <c r="H62" s="31">
        <f>SUM(Jul!H62, Aug!H62, Sep!H62)</f>
        <v>-55792.100000000006</v>
      </c>
      <c r="I62" s="32">
        <f t="shared" si="8"/>
        <v>-0.55773638925515656</v>
      </c>
    </row>
    <row r="63" spans="1:9" ht="15.6">
      <c r="A63" s="48" t="str">
        <v>CA: Stockton - SUSD - Chavez HS - Small</v>
      </c>
      <c r="B63" s="34" t="str">
        <v>CA</v>
      </c>
      <c r="C63" s="35">
        <f>SUM(Jul!C63, Aug!C63, Sep!C63)</f>
        <v>26171</v>
      </c>
      <c r="D63" s="36">
        <f>SUM(Jul!D63, Aug!D63, Sep!D63)</f>
        <v>25981.72</v>
      </c>
      <c r="E63" s="36">
        <f t="shared" si="6"/>
        <v>189.27999999999884</v>
      </c>
      <c r="F63" s="71">
        <f t="shared" si="7"/>
        <v>7.2851220011607709E-3</v>
      </c>
      <c r="G63" s="72">
        <f>SUM(Jul!G63,Aug!G63,Sep!G63)</f>
        <v>37931.24</v>
      </c>
      <c r="H63" s="72">
        <f>SUM(Jul!H63, Aug!H63, Sep!H63)</f>
        <v>-11760.239999999998</v>
      </c>
      <c r="I63" s="71">
        <f t="shared" si="8"/>
        <v>-0.3100410110505219</v>
      </c>
    </row>
    <row r="64" spans="1:9" ht="15.6">
      <c r="A64" s="47" t="str">
        <v>CA: Stockton - SUSD - Facilities</v>
      </c>
      <c r="B64" s="27" t="str">
        <v>CA</v>
      </c>
      <c r="C64" s="28">
        <f>SUM(Jul!C64, Aug!C64, Sep!C64)</f>
        <v>23947.5</v>
      </c>
      <c r="D64" s="29">
        <f>SUM(Jul!D64, Aug!D64, Sep!D64)</f>
        <v>58896.19</v>
      </c>
      <c r="E64" s="29">
        <f t="shared" si="6"/>
        <v>-34948.69</v>
      </c>
      <c r="F64" s="30">
        <f t="shared" si="7"/>
        <v>-0.59339475100172012</v>
      </c>
      <c r="G64" s="31">
        <f>SUM(Jul!G64,Aug!G64,Sep!G64)</f>
        <v>64415.55</v>
      </c>
      <c r="H64" s="31">
        <f>SUM(Jul!H64, Aug!H64, Sep!H64)</f>
        <v>-40468.050000000003</v>
      </c>
      <c r="I64" s="32">
        <f t="shared" si="8"/>
        <v>-0.62823417637511436</v>
      </c>
    </row>
    <row r="65" spans="1:9" ht="15.6">
      <c r="A65" s="48" t="str">
        <v>CA: Stockton - SUSD - Harrison</v>
      </c>
      <c r="B65" s="34" t="str">
        <v>CA</v>
      </c>
      <c r="C65" s="35">
        <f>SUM(Jul!C65, Aug!C65, Sep!C65)</f>
        <v>16318.875</v>
      </c>
      <c r="D65" s="36">
        <f>SUM(Jul!D65, Aug!D65, Sep!D65)</f>
        <v>23563.83</v>
      </c>
      <c r="E65" s="36">
        <f t="shared" si="6"/>
        <v>-7244.9550000000017</v>
      </c>
      <c r="F65" s="71">
        <f t="shared" si="7"/>
        <v>-0.30746084146762226</v>
      </c>
      <c r="G65" s="72">
        <f>SUM(Jul!G65,Aug!G65,Sep!G65)</f>
        <v>23068.04</v>
      </c>
      <c r="H65" s="72">
        <f>SUM(Jul!H65, Aug!H65, Sep!H65)</f>
        <v>-6749.1650000000009</v>
      </c>
      <c r="I65" s="71">
        <f t="shared" si="8"/>
        <v>-0.29257643909062064</v>
      </c>
    </row>
    <row r="66" spans="1:9" ht="15.6">
      <c r="A66" s="47" t="str">
        <v>CA: Stockton - SUSD - Commodore Skills School</v>
      </c>
      <c r="B66" s="27" t="str">
        <v>CA</v>
      </c>
      <c r="C66" s="28">
        <f>SUM(Jul!C66, Aug!C66, Sep!C66)</f>
        <v>7429.25</v>
      </c>
      <c r="D66" s="29">
        <f>SUM(Jul!D66, Aug!D66, Sep!D66)</f>
        <v>47012.17</v>
      </c>
      <c r="E66" s="29">
        <f t="shared" si="6"/>
        <v>-39582.92</v>
      </c>
      <c r="F66" s="30">
        <f t="shared" si="7"/>
        <v>-0.84197177028841685</v>
      </c>
      <c r="G66" s="31">
        <f>SUM(Jul!G66,Aug!G66,Sep!G66)</f>
        <v>50211.37</v>
      </c>
      <c r="H66" s="31">
        <f>SUM(Jul!H66, Aug!H66, Sep!H66)</f>
        <v>-42782.12</v>
      </c>
      <c r="I66" s="32">
        <f t="shared" si="8"/>
        <v>-0.8520404840576945</v>
      </c>
    </row>
    <row r="67" spans="1:9" ht="15.6">
      <c r="A67" s="48" t="str">
        <v>CA: Stockton - SUSD - Nightingale ES</v>
      </c>
      <c r="B67" s="34" t="str">
        <v>CA</v>
      </c>
      <c r="C67" s="35">
        <f>SUM(Jul!C67, Aug!C67, Sep!C67)</f>
        <v>20610</v>
      </c>
      <c r="D67" s="36">
        <f>SUM(Jul!D67, Aug!D67, Sep!D67)</f>
        <v>22926.99</v>
      </c>
      <c r="E67" s="36">
        <f t="shared" si="6"/>
        <v>-2316.9900000000016</v>
      </c>
      <c r="F67" s="71">
        <f t="shared" si="7"/>
        <v>-0.10105949363610318</v>
      </c>
      <c r="G67" s="72">
        <f>SUM(Jul!G67,Aug!G67,Sep!G67)</f>
        <v>23244.69</v>
      </c>
      <c r="H67" s="72">
        <f>SUM(Jul!H67, Aug!H67, Sep!H67)</f>
        <v>-2634.6899999999987</v>
      </c>
      <c r="I67" s="71">
        <f t="shared" si="8"/>
        <v>-0.11334588673800335</v>
      </c>
    </row>
    <row r="68" spans="1:9" ht="15.6">
      <c r="A68" s="47" t="str">
        <v>CA: Stockton - SUSD - Weber Institute</v>
      </c>
      <c r="B68" s="27" t="str">
        <v>CA</v>
      </c>
      <c r="C68" s="28">
        <f>SUM(Jul!C68, Aug!C68, Sep!C68)</f>
        <v>8929</v>
      </c>
      <c r="D68" s="29">
        <f>SUM(Jul!D68, Aug!D68, Sep!D68)</f>
        <v>46891.05</v>
      </c>
      <c r="E68" s="29">
        <f t="shared" si="6"/>
        <v>-37962.050000000003</v>
      </c>
      <c r="F68" s="30">
        <f t="shared" si="7"/>
        <v>-0.80957986652037006</v>
      </c>
      <c r="G68" s="31">
        <f>SUM(Jul!G68,Aug!G68,Sep!G68)</f>
        <v>48030.57</v>
      </c>
      <c r="H68" s="31">
        <f>SUM(Jul!H68, Aug!H68, Sep!H68)</f>
        <v>-39101.57</v>
      </c>
      <c r="I68" s="32">
        <f t="shared" si="8"/>
        <v>-0.81409756328105209</v>
      </c>
    </row>
    <row r="69" spans="1:9" ht="15.6">
      <c r="A69" s="48" t="str">
        <v>CA: Stockton - SUSD - Warehouse</v>
      </c>
      <c r="B69" s="34" t="str">
        <v>CA</v>
      </c>
      <c r="C69" s="35">
        <f>SUM(Jul!C69, Aug!C69, Sep!C69)</f>
        <v>21128.5</v>
      </c>
      <c r="D69" s="36">
        <f>SUM(Jul!D69, Aug!D69, Sep!D69)</f>
        <v>40830.93</v>
      </c>
      <c r="E69" s="36">
        <f t="shared" si="6"/>
        <v>-19702.43</v>
      </c>
      <c r="F69" s="71">
        <f t="shared" si="7"/>
        <v>-0.48253689053861865</v>
      </c>
      <c r="G69" s="72">
        <f>SUM(Jul!G69,Aug!G69,Sep!G69)</f>
        <v>45438.47</v>
      </c>
      <c r="H69" s="72">
        <f>SUM(Jul!H69, Aug!H69, Sep!H69)</f>
        <v>-24309.97</v>
      </c>
      <c r="I69" s="71">
        <f t="shared" si="8"/>
        <v>-0.53500855112419055</v>
      </c>
    </row>
    <row r="70" spans="1:9" ht="15.6">
      <c r="A70" s="47" t="str">
        <v>CA: Stockton - SUSD - Walton Special Center</v>
      </c>
      <c r="B70" s="27" t="str">
        <v>CA</v>
      </c>
      <c r="C70" s="28">
        <f>SUM(Jul!C70, Aug!C70, Sep!C70)</f>
        <v>15581.75</v>
      </c>
      <c r="D70" s="29">
        <f>SUM(Jul!D70, Aug!D70, Sep!D70)</f>
        <v>32541.88</v>
      </c>
      <c r="E70" s="29">
        <f t="shared" si="6"/>
        <v>-16960.13</v>
      </c>
      <c r="F70" s="30">
        <f t="shared" si="7"/>
        <v>-0.5211785551418664</v>
      </c>
      <c r="G70" s="31">
        <f>SUM(Jul!G70,Aug!G70,Sep!G70)</f>
        <v>33433.1</v>
      </c>
      <c r="H70" s="31">
        <f>SUM(Jul!H70, Aug!H70, Sep!H70)</f>
        <v>-17851.349999999999</v>
      </c>
      <c r="I70" s="32">
        <f t="shared" si="8"/>
        <v>-0.53394241036577517</v>
      </c>
    </row>
    <row r="71" spans="1:9" ht="15.6">
      <c r="A71" s="48" t="str">
        <v>CA: Stockton - SUSD - Stagg HS</v>
      </c>
      <c r="B71" s="34" t="str">
        <v>CA</v>
      </c>
      <c r="C71" s="35">
        <f>SUM(Jul!C71, Aug!C71, Sep!C71)</f>
        <v>88074</v>
      </c>
      <c r="D71" s="36">
        <f>SUM(Jul!D71, Aug!D71, Sep!D71)</f>
        <v>126185.60000000001</v>
      </c>
      <c r="E71" s="36">
        <f t="shared" si="6"/>
        <v>-38111.600000000006</v>
      </c>
      <c r="F71" s="71">
        <f t="shared" si="7"/>
        <v>-0.30202812365277815</v>
      </c>
      <c r="G71" s="72">
        <f>SUM(Jul!G71,Aug!G71,Sep!G71)</f>
        <v>125723.9</v>
      </c>
      <c r="H71" s="72">
        <f>SUM(Jul!H71, Aug!H71, Sep!H71)</f>
        <v>-37649.899999999994</v>
      </c>
      <c r="I71" s="71">
        <f t="shared" si="8"/>
        <v>-0.29946493864730567</v>
      </c>
    </row>
    <row r="72" spans="1:9" ht="15.6">
      <c r="A72" s="47" t="str">
        <v>CA: Stockton - SUSD - School for Adults</v>
      </c>
      <c r="B72" s="27" t="str">
        <v>CA</v>
      </c>
      <c r="C72" s="28">
        <f>SUM(Jul!C72, Aug!C72, Sep!C72)</f>
        <v>10147.125</v>
      </c>
      <c r="D72" s="29">
        <f>SUM(Jul!D72, Aug!D72, Sep!D72)</f>
        <v>27297.15</v>
      </c>
      <c r="E72" s="29">
        <f t="shared" si="6"/>
        <v>-17150.025000000001</v>
      </c>
      <c r="F72" s="30">
        <f t="shared" si="7"/>
        <v>-0.62827163275286979</v>
      </c>
      <c r="G72" s="31">
        <f>SUM(Jul!G72,Aug!G72,Sep!G72)</f>
        <v>27157</v>
      </c>
      <c r="H72" s="31">
        <f>SUM(Jul!H72, Aug!H72, Sep!H72)</f>
        <v>-17009.875</v>
      </c>
      <c r="I72" s="32">
        <f t="shared" si="8"/>
        <v>-0.62635324225798139</v>
      </c>
    </row>
    <row r="73" spans="1:9" ht="15.6">
      <c r="A73" s="48" t="str">
        <v>CA: Stockton - SUSD - San Joaquin</v>
      </c>
      <c r="B73" s="34" t="str">
        <v>CA</v>
      </c>
      <c r="C73" s="35">
        <f>SUM(Jul!C73, Aug!C73, Sep!C73)</f>
        <v>13454.25</v>
      </c>
      <c r="D73" s="36">
        <f>SUM(Jul!D73, Aug!D73, Sep!D73)</f>
        <v>25185.05</v>
      </c>
      <c r="E73" s="36">
        <f t="shared" si="6"/>
        <v>-11730.8</v>
      </c>
      <c r="F73" s="71">
        <f t="shared" si="7"/>
        <v>-0.46578426487142172</v>
      </c>
      <c r="G73" s="72">
        <f>SUM(Jul!G73,Aug!G73,Sep!G73)</f>
        <v>25998.9</v>
      </c>
      <c r="H73" s="72">
        <f>SUM(Jul!H73, Aug!H73, Sep!H73)</f>
        <v>-12544.650000000001</v>
      </c>
      <c r="I73" s="71">
        <f t="shared" si="8"/>
        <v>-0.48250695221720924</v>
      </c>
    </row>
    <row r="74" spans="1:9" ht="15.6">
      <c r="A74" s="47" t="str">
        <v>CA: Stockton - SUSD - Rio Calaveras</v>
      </c>
      <c r="B74" s="27" t="str">
        <v>CA</v>
      </c>
      <c r="C74" s="28">
        <f>SUM(Jul!C74, Aug!C74, Sep!C74)</f>
        <v>6553.25</v>
      </c>
      <c r="D74" s="29">
        <f>SUM(Jul!D74, Aug!D74, Sep!D74)</f>
        <v>27326.26</v>
      </c>
      <c r="E74" s="29">
        <f t="shared" si="6"/>
        <v>-20773.009999999998</v>
      </c>
      <c r="F74" s="30">
        <f t="shared" si="7"/>
        <v>-0.76018489174881598</v>
      </c>
      <c r="G74" s="31">
        <f>SUM(Jul!G74,Aug!G74,Sep!G74)</f>
        <v>0</v>
      </c>
      <c r="H74" s="31">
        <f>SUM(Jul!H74, Aug!H74, Sep!H74)</f>
        <v>6553.25</v>
      </c>
      <c r="I74" s="32" t="str">
        <f t="shared" si="8"/>
        <v/>
      </c>
    </row>
    <row r="75" spans="1:9" ht="15.6">
      <c r="A75" s="48" t="str">
        <v>CA: Stockton - SUSD - Peyton</v>
      </c>
      <c r="B75" s="34" t="str">
        <v>CA</v>
      </c>
      <c r="C75" s="35">
        <f>SUM(Jul!C75, Aug!C75, Sep!C75)</f>
        <v>47637.5</v>
      </c>
      <c r="D75" s="36">
        <f>SUM(Jul!D75, Aug!D75, Sep!D75)</f>
        <v>56484.35</v>
      </c>
      <c r="E75" s="36">
        <f t="shared" si="6"/>
        <v>-8846.8499999999985</v>
      </c>
      <c r="F75" s="71">
        <f t="shared" si="7"/>
        <v>-0.15662479961263603</v>
      </c>
      <c r="G75" s="72">
        <f>SUM(Jul!G75,Aug!G75,Sep!G75)</f>
        <v>56075.34</v>
      </c>
      <c r="H75" s="72">
        <f>SUM(Jul!H75, Aug!H75, Sep!H75)</f>
        <v>-8437.8399999999965</v>
      </c>
      <c r="I75" s="71">
        <f t="shared" si="8"/>
        <v>-0.15047327399174035</v>
      </c>
    </row>
    <row r="76" spans="1:9" ht="15.6">
      <c r="A76" s="47" t="str">
        <v>TX: Barnhart - 42917 Ranch RD 2469</v>
      </c>
      <c r="B76" s="27" t="str">
        <v>TX</v>
      </c>
      <c r="C76" s="28">
        <f>SUM(Jul!C76, Aug!C76, Sep!C76)</f>
        <v>241800</v>
      </c>
      <c r="D76" s="29">
        <f>SUM(Jul!D76, Aug!D76, Sep!D76)</f>
        <v>278659.20000000001</v>
      </c>
      <c r="E76" s="29">
        <f t="shared" si="6"/>
        <v>-36859.200000000012</v>
      </c>
      <c r="F76" s="30">
        <f t="shared" si="7"/>
        <v>-0.13227340062700249</v>
      </c>
      <c r="G76" s="31">
        <f>SUM(Jul!G76,Aug!G76,Sep!G76)</f>
        <v>285140.40000000002</v>
      </c>
      <c r="H76" s="31">
        <f>SUM(Jul!H76, Aug!H76, Sep!H76)</f>
        <v>-43340.400000000023</v>
      </c>
      <c r="I76" s="32">
        <f t="shared" si="8"/>
        <v>-0.15199670057277054</v>
      </c>
    </row>
    <row r="77" spans="1:9" ht="15.6">
      <c r="A77" s="48" t="str">
        <v>AZ: San Manuel - Senior &amp; Junior HS</v>
      </c>
      <c r="B77" s="34" t="str">
        <v>AZ</v>
      </c>
      <c r="C77" s="35">
        <f>SUM(Jul!C77, Aug!C77, Sep!C77)</f>
        <v>36060</v>
      </c>
      <c r="D77" s="36">
        <f>SUM(Jul!D77, Aug!D77, Sep!D77)</f>
        <v>0</v>
      </c>
      <c r="E77" s="36">
        <f t="shared" si="6"/>
        <v>36060</v>
      </c>
      <c r="F77" s="71" t="str">
        <f t="shared" si="7"/>
        <v/>
      </c>
      <c r="G77" s="72">
        <f>SUM(Jul!G77,Aug!G77,Sep!G77)</f>
        <v>48892</v>
      </c>
      <c r="H77" s="72">
        <f>SUM(Jul!H77, Aug!H77, Sep!H77)</f>
        <v>-12832</v>
      </c>
      <c r="I77" s="71">
        <f t="shared" si="8"/>
        <v>-0.2624560255256484</v>
      </c>
    </row>
    <row r="78" spans="1:9" ht="15.6">
      <c r="A78" s="47" t="str">
        <v>AZ: Sierra Vista - Colonel Smith MS</v>
      </c>
      <c r="B78" s="27" t="str">
        <v>AZ</v>
      </c>
      <c r="C78" s="28">
        <f>SUM(Jul!C78, Aug!C78, Sep!C78)</f>
        <v>41600</v>
      </c>
      <c r="D78" s="29">
        <f>SUM(Jul!D78, Aug!D78, Sep!D78)</f>
        <v>66229.38</v>
      </c>
      <c r="E78" s="29">
        <f t="shared" si="6"/>
        <v>-24629.380000000005</v>
      </c>
      <c r="F78" s="30">
        <f t="shared" si="7"/>
        <v>-0.37187997230232267</v>
      </c>
      <c r="G78" s="31">
        <f>SUM(Jul!G78,Aug!G78,Sep!G78)</f>
        <v>60155.22</v>
      </c>
      <c r="H78" s="31">
        <f>SUM(Jul!H78, Aug!H78, Sep!H78)</f>
        <v>-18555.22</v>
      </c>
      <c r="I78" s="32">
        <f t="shared" si="8"/>
        <v>-0.30845569179200077</v>
      </c>
    </row>
    <row r="79" spans="1:9" ht="15.6">
      <c r="A79" s="48" t="str">
        <v>AZ: Sierra Vista - Colonel Johnston ES</v>
      </c>
      <c r="B79" s="34" t="str">
        <v>AZ</v>
      </c>
      <c r="C79" s="35">
        <f>SUM(Jul!C79, Aug!C79, Sep!C79)</f>
        <v>13160</v>
      </c>
      <c r="D79" s="36">
        <f>SUM(Jul!D79, Aug!D79, Sep!D79)</f>
        <v>22045.48</v>
      </c>
      <c r="E79" s="36">
        <f t="shared" si="6"/>
        <v>-8885.48</v>
      </c>
      <c r="F79" s="71">
        <f t="shared" si="7"/>
        <v>-0.40305223565102688</v>
      </c>
      <c r="G79" s="72">
        <f>SUM(Jul!G79,Aug!G79,Sep!G79)</f>
        <v>19695.87</v>
      </c>
      <c r="H79" s="72">
        <f>SUM(Jul!H79, Aug!H79, Sep!H79)</f>
        <v>-6535.869999999999</v>
      </c>
      <c r="I79" s="71">
        <f t="shared" si="8"/>
        <v>-0.33183961916889171</v>
      </c>
    </row>
    <row r="80" spans="1:9" ht="15.6">
      <c r="A80" s="47" t="str">
        <v>NH: Dover - Dover HS</v>
      </c>
      <c r="B80" s="27" t="str">
        <v>NH</v>
      </c>
      <c r="C80" s="28">
        <f>SUM(Jul!C80, Aug!C80, Sep!C80)</f>
        <v>99181.5</v>
      </c>
      <c r="D80" s="29">
        <f>SUM(Jul!D80, Aug!D80, Sep!D80)</f>
        <v>147489.60000000001</v>
      </c>
      <c r="E80" s="29">
        <f t="shared" si="6"/>
        <v>-48308.100000000006</v>
      </c>
      <c r="F80" s="30">
        <f t="shared" si="7"/>
        <v>-0.32753563641097411</v>
      </c>
      <c r="G80" s="31">
        <f>SUM(Jul!G80,Aug!G80,Sep!G80)</f>
        <v>137072.1</v>
      </c>
      <c r="H80" s="31">
        <f>SUM(Jul!H80, Aug!H80, Sep!H80)</f>
        <v>-37890.600000000006</v>
      </c>
      <c r="I80" s="32">
        <f t="shared" si="8"/>
        <v>-0.27642824469749866</v>
      </c>
    </row>
    <row r="81" spans="1:9" ht="15.6">
      <c r="A81" s="48" t="str">
        <v>MA: Somerville - 30 Inner Belt Rd</v>
      </c>
      <c r="B81" s="34" t="str">
        <v>MA</v>
      </c>
      <c r="C81" s="35">
        <f>SUM(Jul!C81, Aug!C81, Sep!C81)</f>
        <v>106125.5</v>
      </c>
      <c r="D81" s="36">
        <f>SUM(Jul!D81, Aug!D81, Sep!D81)</f>
        <v>103334</v>
      </c>
      <c r="E81" s="36">
        <f t="shared" si="6"/>
        <v>2791.5</v>
      </c>
      <c r="F81" s="71">
        <f t="shared" si="7"/>
        <v>2.7014341842955852E-2</v>
      </c>
      <c r="G81" s="72">
        <f>SUM(Jul!G81,Aug!G81,Sep!G81)</f>
        <v>197445.3</v>
      </c>
      <c r="H81" s="72">
        <f>SUM(Jul!H81, Aug!H81, Sep!H81)</f>
        <v>-91319.799999999988</v>
      </c>
      <c r="I81" s="71">
        <f t="shared" si="8"/>
        <v>-0.46250683100585321</v>
      </c>
    </row>
    <row r="82" spans="1:9" ht="15.6">
      <c r="A82" s="47" t="str">
        <v>MA: Boxborough - 1414 Massachusetts Ave</v>
      </c>
      <c r="B82" s="27" t="str">
        <v>MA</v>
      </c>
      <c r="C82" s="28">
        <f>SUM(Jul!C82, Aug!C82, Sep!C82)</f>
        <v>709647.91685864795</v>
      </c>
      <c r="D82" s="29">
        <f>SUM(Jul!D82, Aug!D82, Sep!D82)</f>
        <v>202302.4</v>
      </c>
      <c r="E82" s="29">
        <f t="shared" si="6"/>
        <v>507345.51685864793</v>
      </c>
      <c r="F82" s="30">
        <f t="shared" si="7"/>
        <v>2.5078571329783923</v>
      </c>
      <c r="G82" s="31">
        <f>SUM(Jul!G82,Aug!G82,Sep!G82)</f>
        <v>751000</v>
      </c>
      <c r="H82" s="31">
        <f>SUM(Jul!H82, Aug!H82, Sep!H82)</f>
        <v>-41352.08314135205</v>
      </c>
      <c r="I82" s="32">
        <f t="shared" si="8"/>
        <v>-5.5062693929896205E-2</v>
      </c>
    </row>
    <row r="83" spans="1:9" ht="15.6">
      <c r="A83" s="48" t="str">
        <v>NY: Amsterdam - 153 NY Route 67</v>
      </c>
      <c r="B83" s="34" t="str">
        <v>NY</v>
      </c>
      <c r="C83" s="35">
        <f>SUM(Jul!C83, Aug!C83, Sep!C83)</f>
        <v>402490</v>
      </c>
      <c r="D83" s="36">
        <f>SUM(Jul!D83, Aug!D83, Sep!D83)</f>
        <v>305334.7</v>
      </c>
      <c r="E83" s="36">
        <f t="shared" si="6"/>
        <v>97155.299999999988</v>
      </c>
      <c r="F83" s="71">
        <f t="shared" si="7"/>
        <v>0.31819278974843013</v>
      </c>
      <c r="G83" s="72">
        <f>SUM(Jul!G83,Aug!G83,Sep!G83)</f>
        <v>390058.8</v>
      </c>
      <c r="H83" s="72">
        <f>SUM(Jul!H83, Aug!H83, Sep!H83)</f>
        <v>12431.200000000012</v>
      </c>
      <c r="I83" s="71">
        <f t="shared" si="8"/>
        <v>3.187006676942044E-2</v>
      </c>
    </row>
    <row r="84" spans="1:9" ht="15.6">
      <c r="A84" s="47" t="str">
        <v>CA: San Jose - GE Mobile Water</v>
      </c>
      <c r="B84" s="27" t="str">
        <v>CA</v>
      </c>
      <c r="C84" s="28">
        <f>SUM(Jul!C84, Aug!C84, Sep!C84)</f>
        <v>30650</v>
      </c>
      <c r="D84" s="29">
        <f>SUM(Jul!D84, Aug!D84, Sep!D84)</f>
        <v>34545.004999999997</v>
      </c>
      <c r="E84" s="29">
        <f t="shared" si="6"/>
        <v>-3895.0049999999974</v>
      </c>
      <c r="F84" s="30">
        <f t="shared" si="7"/>
        <v>-0.11275161199137176</v>
      </c>
      <c r="G84" s="31">
        <f>SUM(Jul!G84,Aug!G84,Sep!G84)</f>
        <v>34698.832000000002</v>
      </c>
      <c r="H84" s="31">
        <f>SUM(Jul!H84, Aug!H84, Sep!H84)</f>
        <v>-4048.8320000000022</v>
      </c>
      <c r="I84" s="32">
        <f t="shared" si="8"/>
        <v>-0.11668496507317601</v>
      </c>
    </row>
    <row r="85" spans="1:9" ht="15.6">
      <c r="A85" s="48" t="str">
        <v>NY: Rome - 7776 Tannery RD</v>
      </c>
      <c r="B85" s="34" t="str">
        <v>NY</v>
      </c>
      <c r="C85" s="35">
        <f>SUM(Jul!C85, Aug!C85, Sep!C85)</f>
        <v>372090.384558074</v>
      </c>
      <c r="D85" s="36">
        <f>SUM(Jul!D85, Aug!D85, Sep!D85)</f>
        <v>415567.5</v>
      </c>
      <c r="E85" s="36">
        <f t="shared" si="6"/>
        <v>-43477.115441925998</v>
      </c>
      <c r="F85" s="71">
        <f t="shared" si="7"/>
        <v>-0.10462106743651993</v>
      </c>
      <c r="G85" s="72">
        <f>SUM(Jul!G85,Aug!G85,Sep!G85)</f>
        <v>430656.3</v>
      </c>
      <c r="H85" s="72">
        <f>SUM(Jul!H85, Aug!H85, Sep!H85)</f>
        <v>-58565.915441925987</v>
      </c>
      <c r="I85" s="71">
        <f t="shared" si="8"/>
        <v>-0.13599224124185805</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58" activePane="bottomRight" state="frozen"/>
      <selection pane="bottomRight" activeCell="L15" sqref="L1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16</v>
      </c>
      <c r="E1" s="107"/>
      <c r="F1" s="107"/>
      <c r="G1" s="105" t="s">
        <v>17</v>
      </c>
      <c r="H1" s="105"/>
      <c r="I1" s="105"/>
    </row>
    <row r="2" spans="1:9" ht="19.5" customHeight="1">
      <c r="A2" s="108" t="s">
        <v>2</v>
      </c>
      <c r="B2" s="108"/>
      <c r="C2" s="5">
        <f>SUM(C4:C78)</f>
        <v>0</v>
      </c>
      <c r="D2" s="5">
        <f>SUM(D4:D78)</f>
        <v>0</v>
      </c>
      <c r="E2" s="5">
        <f>C2-D2</f>
        <v>0</v>
      </c>
      <c r="F2" s="6">
        <f>IFERROR(E2/D2, 0)</f>
        <v>0</v>
      </c>
      <c r="G2" s="5">
        <f>SUM(G4:G78)</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1" t="str">
        <f t="shared" si="4"/>
        <v/>
      </c>
      <c r="G9" s="36">
        <f>SUM(Oct!G9,Nov!G9,Dec!G9)</f>
        <v>0</v>
      </c>
      <c r="H9" s="72">
        <f>SUM(Oct!H9, Nov!H9, Dec!H9)</f>
        <v>0</v>
      </c>
      <c r="I9" s="71"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1" t="str">
        <f t="shared" si="4"/>
        <v/>
      </c>
      <c r="G11" s="36">
        <f>SUM(Oct!G11,Nov!G11,Dec!G11)</f>
        <v>0</v>
      </c>
      <c r="H11" s="72">
        <f>SUM(Oct!H11, Nov!H11, Dec!H11)</f>
        <v>0</v>
      </c>
      <c r="I11" s="71"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1" t="str">
        <f t="shared" si="4"/>
        <v/>
      </c>
      <c r="G13" s="36">
        <f>SUM(Oct!G13,Nov!G13,Dec!G13)</f>
        <v>0</v>
      </c>
      <c r="H13" s="72">
        <f>SUM(Oct!H13, Nov!H13, Dec!H13)</f>
        <v>0</v>
      </c>
      <c r="I13" s="71"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1" t="str">
        <f t="shared" si="4"/>
        <v/>
      </c>
      <c r="G15" s="36">
        <f>SUM(Oct!G15,Nov!G15,Dec!G15)</f>
        <v>0</v>
      </c>
      <c r="H15" s="72">
        <f>SUM(Oct!H15, Nov!H15, Dec!H15)</f>
        <v>0</v>
      </c>
      <c r="I15" s="71"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0</v>
      </c>
      <c r="D25" s="36">
        <f>SUM(Oct!D25, Nov!D25, Dec!D25)</f>
        <v>0</v>
      </c>
      <c r="E25" s="36">
        <f t="shared" ref="E25:E56" si="6">IF(AND(ISNUMBER(C25),ISNUMBER(D25)), C25-D25, "")</f>
        <v>0</v>
      </c>
      <c r="F25" s="71" t="str">
        <f t="shared" ref="F25:F56" si="7">IFERROR(E25/D25, "")</f>
        <v/>
      </c>
      <c r="G25" s="36">
        <f>SUM(Oct!G25,Nov!G25,Dec!G25)</f>
        <v>0</v>
      </c>
      <c r="H25" s="72">
        <f>SUM(Oct!H25, Nov!H25, Dec!H25)</f>
        <v>0</v>
      </c>
      <c r="I25" s="71" t="str">
        <f t="shared" ref="I25:I56" si="8">IFERROR(H25/G25, "")</f>
        <v/>
      </c>
    </row>
    <row r="26" spans="1:9" ht="15.6">
      <c r="A26" s="47" t="str">
        <v>Taos County - Kit Carson Electric Co-Op</v>
      </c>
      <c r="B26" s="27" t="str">
        <v>NM</v>
      </c>
      <c r="C26" s="28">
        <f>SUM(Oct!C26, Nov!C26, Dec!C26)</f>
        <v>0</v>
      </c>
      <c r="D26" s="29">
        <f>SUM(Oct!D26, Nov!D26, Dec!D26)</f>
        <v>0</v>
      </c>
      <c r="E26" s="29">
        <f t="shared" si="6"/>
        <v>0</v>
      </c>
      <c r="F26" s="30" t="str">
        <f t="shared" si="7"/>
        <v/>
      </c>
      <c r="G26" s="31">
        <f>SUM(Oct!G26,Nov!G26,Dec!G26)</f>
        <v>0</v>
      </c>
      <c r="H26" s="31">
        <f>SUM(Oct!H26, Nov!H26, Dec!H26)</f>
        <v>0</v>
      </c>
      <c r="I26" s="32" t="str">
        <f t="shared" si="8"/>
        <v/>
      </c>
    </row>
    <row r="27" spans="1:9" ht="15.6">
      <c r="A27" s="48" t="str">
        <v>Commerce City - Adams City HS</v>
      </c>
      <c r="B27" s="34" t="str">
        <v>CO</v>
      </c>
      <c r="C27" s="35">
        <f>SUM(Oct!C27, Nov!C27, Dec!C27)</f>
        <v>0</v>
      </c>
      <c r="D27" s="36">
        <f>SUM(Oct!D27, Nov!D27, Dec!D27)</f>
        <v>0</v>
      </c>
      <c r="E27" s="36">
        <f t="shared" si="6"/>
        <v>0</v>
      </c>
      <c r="F27" s="71" t="str">
        <f t="shared" si="7"/>
        <v/>
      </c>
      <c r="G27" s="36">
        <f>SUM(Oct!G27,Nov!G27,Dec!G27)</f>
        <v>0</v>
      </c>
      <c r="H27" s="72">
        <f>SUM(Oct!H27, Nov!H27, Dec!H27)</f>
        <v>0</v>
      </c>
      <c r="I27" s="71" t="str">
        <f t="shared" si="8"/>
        <v/>
      </c>
    </row>
    <row r="28" spans="1:9" ht="15.6">
      <c r="A28" s="47" t="str">
        <v>Commerce City - Adams City MS</v>
      </c>
      <c r="B28" s="27" t="str">
        <v>CO</v>
      </c>
      <c r="C28" s="28">
        <f>SUM(Oct!C28, Nov!C28, Dec!C28)</f>
        <v>0</v>
      </c>
      <c r="D28" s="29">
        <f>SUM(Oct!D28, Nov!D28, Dec!D28)</f>
        <v>0</v>
      </c>
      <c r="E28" s="29">
        <f t="shared" si="6"/>
        <v>0</v>
      </c>
      <c r="F28" s="30" t="str">
        <f t="shared" si="7"/>
        <v/>
      </c>
      <c r="G28" s="31">
        <f>SUM(Oct!G28,Nov!G28,Dec!G28)</f>
        <v>0</v>
      </c>
      <c r="H28" s="31">
        <f>SUM(Oct!H28, Nov!H28, Dec!H28)</f>
        <v>0</v>
      </c>
      <c r="I28" s="32" t="str">
        <f t="shared" si="8"/>
        <v/>
      </c>
    </row>
    <row r="29" spans="1:9" ht="15.6">
      <c r="A29" s="48" t="str">
        <v>Commerce City - Central ES</v>
      </c>
      <c r="B29" s="34" t="str">
        <v>CO</v>
      </c>
      <c r="C29" s="35">
        <f>SUM(Oct!C29, Nov!C29, Dec!C29)</f>
        <v>0</v>
      </c>
      <c r="D29" s="36">
        <f>SUM(Oct!D29, Nov!D29, Dec!D29)</f>
        <v>0</v>
      </c>
      <c r="E29" s="36">
        <f t="shared" si="6"/>
        <v>0</v>
      </c>
      <c r="F29" s="71" t="str">
        <f t="shared" si="7"/>
        <v/>
      </c>
      <c r="G29" s="36">
        <f>SUM(Oct!G29,Nov!G29,Dec!G29)</f>
        <v>0</v>
      </c>
      <c r="H29" s="72">
        <f>SUM(Oct!H29, Nov!H29, Dec!H29)</f>
        <v>0</v>
      </c>
      <c r="I29" s="71" t="str">
        <f t="shared" si="8"/>
        <v/>
      </c>
    </row>
    <row r="30" spans="1:9" ht="15.6">
      <c r="A30" s="47" t="str">
        <v>Commerce City - Dupont ES</v>
      </c>
      <c r="B30" s="27" t="str">
        <v>CO</v>
      </c>
      <c r="C30" s="28">
        <f>SUM(Oct!C30, Nov!C30, Dec!C30)</f>
        <v>0</v>
      </c>
      <c r="D30" s="29">
        <f>SUM(Oct!D30, Nov!D30, Dec!D30)</f>
        <v>0</v>
      </c>
      <c r="E30" s="29">
        <f t="shared" si="6"/>
        <v>0</v>
      </c>
      <c r="F30" s="30" t="str">
        <f t="shared" si="7"/>
        <v/>
      </c>
      <c r="G30" s="31">
        <f>SUM(Oct!G30,Nov!G30,Dec!G30)</f>
        <v>0</v>
      </c>
      <c r="H30" s="31">
        <f>SUM(Oct!H30, Nov!H30, Dec!H30)</f>
        <v>0</v>
      </c>
      <c r="I30" s="32" t="str">
        <f t="shared" si="8"/>
        <v/>
      </c>
    </row>
    <row r="31" spans="1:9" ht="15.6">
      <c r="A31" s="48" t="str">
        <v>Commerce City - Educational Support Services</v>
      </c>
      <c r="B31" s="34" t="str">
        <v>CO</v>
      </c>
      <c r="C31" s="35">
        <f>SUM(Oct!C31, Nov!C31, Dec!C31)</f>
        <v>0</v>
      </c>
      <c r="D31" s="36">
        <f>SUM(Oct!D31, Nov!D31, Dec!D31)</f>
        <v>0</v>
      </c>
      <c r="E31" s="36">
        <f t="shared" si="6"/>
        <v>0</v>
      </c>
      <c r="F31" s="71" t="str">
        <f t="shared" si="7"/>
        <v/>
      </c>
      <c r="G31" s="36">
        <f>SUM(Oct!G31,Nov!G31,Dec!G31)</f>
        <v>0</v>
      </c>
      <c r="H31" s="72">
        <f>SUM(Oct!H31, Nov!H31, Dec!H31)</f>
        <v>0</v>
      </c>
      <c r="I31" s="71" t="str">
        <f t="shared" si="8"/>
        <v/>
      </c>
    </row>
    <row r="32" spans="1:9" ht="15.6">
      <c r="A32" s="47" t="str">
        <v>Commerce City - Hanson ES</v>
      </c>
      <c r="B32" s="27" t="str">
        <v>CO</v>
      </c>
      <c r="C32" s="28">
        <f>SUM(Oct!C32, Nov!C32, Dec!C32)</f>
        <v>0</v>
      </c>
      <c r="D32" s="29">
        <f>SUM(Oct!D32, Nov!D32, Dec!D32)</f>
        <v>0</v>
      </c>
      <c r="E32" s="29">
        <f t="shared" si="6"/>
        <v>0</v>
      </c>
      <c r="F32" s="30" t="str">
        <f t="shared" si="7"/>
        <v/>
      </c>
      <c r="G32" s="31">
        <f>SUM(Oct!G32,Nov!G32,Dec!G32)</f>
        <v>0</v>
      </c>
      <c r="H32" s="31">
        <f>SUM(Oct!H32, Nov!H32, Dec!H32)</f>
        <v>0</v>
      </c>
      <c r="I32" s="32" t="str">
        <f t="shared" si="8"/>
        <v/>
      </c>
    </row>
    <row r="33" spans="1:9" ht="15.6">
      <c r="A33" s="48" t="str">
        <v>Commerce City - Kemp ES</v>
      </c>
      <c r="B33" s="34" t="str">
        <v>CO</v>
      </c>
      <c r="C33" s="35">
        <f>SUM(Oct!C33, Nov!C33, Dec!C33)</f>
        <v>0</v>
      </c>
      <c r="D33" s="36">
        <f>SUM(Oct!D33, Nov!D33, Dec!D33)</f>
        <v>0</v>
      </c>
      <c r="E33" s="36">
        <f t="shared" si="6"/>
        <v>0</v>
      </c>
      <c r="F33" s="71" t="str">
        <f t="shared" si="7"/>
        <v/>
      </c>
      <c r="G33" s="36">
        <f>SUM(Oct!G33,Nov!G33,Dec!G33)</f>
        <v>0</v>
      </c>
      <c r="H33" s="72">
        <f>SUM(Oct!H33, Nov!H33, Dec!H33)</f>
        <v>0</v>
      </c>
      <c r="I33" s="71" t="str">
        <f t="shared" si="8"/>
        <v/>
      </c>
    </row>
    <row r="34" spans="1:9" ht="15.6">
      <c r="A34" s="47" t="str">
        <v>Commerce City -  Lester Arnold HS</v>
      </c>
      <c r="B34" s="27" t="str">
        <v>CO</v>
      </c>
      <c r="C34" s="28">
        <f>SUM(Oct!C34, Nov!C34, Dec!C34)</f>
        <v>0</v>
      </c>
      <c r="D34" s="29">
        <f>SUM(Oct!D34, Nov!D34, Dec!D34)</f>
        <v>0</v>
      </c>
      <c r="E34" s="29">
        <f t="shared" si="6"/>
        <v>0</v>
      </c>
      <c r="F34" s="30" t="str">
        <f t="shared" si="7"/>
        <v/>
      </c>
      <c r="G34" s="31">
        <f>SUM(Oct!G34,Nov!G34,Dec!G34)</f>
        <v>0</v>
      </c>
      <c r="H34" s="31">
        <f>SUM(Oct!H34, Nov!H34, Dec!H34)</f>
        <v>0</v>
      </c>
      <c r="I34" s="32" t="str">
        <f t="shared" si="8"/>
        <v/>
      </c>
    </row>
    <row r="35" spans="1:9" ht="15.6">
      <c r="A35" s="48" t="str">
        <v>Commerce City - Monaco ES</v>
      </c>
      <c r="B35" s="34" t="str">
        <v>CO</v>
      </c>
      <c r="C35" s="35">
        <f>SUM(Oct!C35, Nov!C35, Dec!C35)</f>
        <v>0</v>
      </c>
      <c r="D35" s="36">
        <f>SUM(Oct!D35, Nov!D35, Dec!D35)</f>
        <v>0</v>
      </c>
      <c r="E35" s="36">
        <f t="shared" si="6"/>
        <v>0</v>
      </c>
      <c r="F35" s="71" t="str">
        <f t="shared" si="7"/>
        <v/>
      </c>
      <c r="G35" s="36">
        <f>SUM(Oct!G35,Nov!G35,Dec!G35)</f>
        <v>0</v>
      </c>
      <c r="H35" s="72">
        <f>SUM(Oct!H35, Nov!H35, Dec!H35)</f>
        <v>0</v>
      </c>
      <c r="I35" s="71" t="str">
        <f t="shared" si="8"/>
        <v/>
      </c>
    </row>
    <row r="36" spans="1:9" ht="15.6">
      <c r="A36" s="47" t="str">
        <v>Denver - Northgate / Old Fort Logan ES</v>
      </c>
      <c r="B36" s="27" t="str">
        <v>CO</v>
      </c>
      <c r="C36" s="28">
        <f>SUM(Oct!C36, Nov!C36, Dec!C36)</f>
        <v>0</v>
      </c>
      <c r="D36" s="29">
        <f>SUM(Oct!D36, Nov!D36, Dec!D36)</f>
        <v>0</v>
      </c>
      <c r="E36" s="29">
        <f t="shared" si="6"/>
        <v>0</v>
      </c>
      <c r="F36" s="30" t="str">
        <f t="shared" si="7"/>
        <v/>
      </c>
      <c r="G36" s="31">
        <f>SUM(Oct!G36,Nov!G36,Dec!G36)</f>
        <v>0</v>
      </c>
      <c r="H36" s="31">
        <f>SUM(Oct!H36, Nov!H36, Dec!H36)</f>
        <v>0</v>
      </c>
      <c r="I36" s="32" t="str">
        <f t="shared" si="8"/>
        <v/>
      </c>
    </row>
    <row r="37" spans="1:9" ht="15.6">
      <c r="A37" s="48" t="str">
        <v>Denver - Sheridan High School</v>
      </c>
      <c r="B37" s="34" t="str">
        <v>CO</v>
      </c>
      <c r="C37" s="35">
        <f>SUM(Oct!C37, Nov!C37, Dec!C37)</f>
        <v>0</v>
      </c>
      <c r="D37" s="36">
        <f>SUM(Oct!D37, Nov!D37, Dec!D37)</f>
        <v>0</v>
      </c>
      <c r="E37" s="36">
        <f t="shared" si="6"/>
        <v>0</v>
      </c>
      <c r="F37" s="71" t="str">
        <f t="shared" si="7"/>
        <v/>
      </c>
      <c r="G37" s="36">
        <f>SUM(Oct!G37,Nov!G37,Dec!G37)</f>
        <v>0</v>
      </c>
      <c r="H37" s="72">
        <f>SUM(Oct!H37, Nov!H37, Dec!H37)</f>
        <v>0</v>
      </c>
      <c r="I37" s="71" t="str">
        <f t="shared" si="8"/>
        <v/>
      </c>
    </row>
    <row r="38" spans="1:9" ht="15.6">
      <c r="A38" s="47" t="str">
        <v>Englewood -  Alice Terry Elementary</v>
      </c>
      <c r="B38" s="27" t="str">
        <v>CO</v>
      </c>
      <c r="C38" s="28">
        <f>SUM(Oct!C38, Nov!C38, Dec!C38)</f>
        <v>0</v>
      </c>
      <c r="D38" s="29">
        <f>SUM(Oct!D38, Nov!D38, Dec!D38)</f>
        <v>0</v>
      </c>
      <c r="E38" s="29">
        <f t="shared" si="6"/>
        <v>0</v>
      </c>
      <c r="F38" s="30" t="str">
        <f t="shared" si="7"/>
        <v/>
      </c>
      <c r="G38" s="31">
        <f>SUM(Oct!G38,Nov!G38,Dec!G38)</f>
        <v>0</v>
      </c>
      <c r="H38" s="31">
        <f>SUM(Oct!H38, Nov!H38, Dec!H38)</f>
        <v>0</v>
      </c>
      <c r="I38" s="32" t="str">
        <f t="shared" si="8"/>
        <v/>
      </c>
    </row>
    <row r="39" spans="1:9" ht="15.6">
      <c r="A39" s="48" t="str">
        <v>Englewood - Sheridan Middle School</v>
      </c>
      <c r="B39" s="34" t="str">
        <v>CO</v>
      </c>
      <c r="C39" s="35">
        <f>SUM(Oct!C39, Nov!C39, Dec!C39)</f>
        <v>0</v>
      </c>
      <c r="D39" s="36">
        <f>SUM(Oct!D39, Nov!D39, Dec!D39)</f>
        <v>0</v>
      </c>
      <c r="E39" s="36">
        <f t="shared" si="6"/>
        <v>0</v>
      </c>
      <c r="F39" s="71" t="str">
        <f t="shared" si="7"/>
        <v/>
      </c>
      <c r="G39" s="36">
        <f>SUM(Oct!G39,Nov!G39,Dec!G39)</f>
        <v>0</v>
      </c>
      <c r="H39" s="72">
        <f>SUM(Oct!H39, Nov!H39, Dec!H39)</f>
        <v>0</v>
      </c>
      <c r="I39" s="71" t="str">
        <f t="shared" si="8"/>
        <v/>
      </c>
    </row>
    <row r="40" spans="1:9" ht="15.6">
      <c r="A40" s="47" t="str">
        <v>Goshen - NIPSCO</v>
      </c>
      <c r="B40" s="27" t="str">
        <v>IN</v>
      </c>
      <c r="C40" s="28">
        <f>SUM(Oct!C40, Nov!C40, Dec!C40)</f>
        <v>0</v>
      </c>
      <c r="D40" s="29">
        <f>SUM(Oct!D40, Nov!D40, Dec!D40)</f>
        <v>0</v>
      </c>
      <c r="E40" s="29">
        <f t="shared" si="6"/>
        <v>0</v>
      </c>
      <c r="F40" s="30" t="str">
        <f t="shared" si="7"/>
        <v/>
      </c>
      <c r="G40" s="31">
        <f>SUM(Oct!G40,Nov!G40,Dec!G40)</f>
        <v>0</v>
      </c>
      <c r="H40" s="31">
        <f>SUM(Oct!H40, Nov!H40, Dec!H40)</f>
        <v>0</v>
      </c>
      <c r="I40" s="32" t="str">
        <f t="shared" si="8"/>
        <v/>
      </c>
    </row>
    <row r="41" spans="1:9" ht="15.6">
      <c r="A41" s="48" t="str">
        <v>Alamogordo - City of Alamogordo - Effluent</v>
      </c>
      <c r="B41" s="34" t="str">
        <v>NM</v>
      </c>
      <c r="C41" s="35">
        <f>SUM(Oct!C41, Nov!C41, Dec!C41)</f>
        <v>0</v>
      </c>
      <c r="D41" s="36">
        <f>SUM(Oct!D41, Nov!D41, Dec!D41)</f>
        <v>0</v>
      </c>
      <c r="E41" s="36">
        <f t="shared" si="6"/>
        <v>0</v>
      </c>
      <c r="F41" s="71" t="str">
        <f t="shared" si="7"/>
        <v/>
      </c>
      <c r="G41" s="36">
        <f>SUM(Oct!G41,Nov!G41,Dec!G41)</f>
        <v>0</v>
      </c>
      <c r="H41" s="72">
        <f>SUM(Oct!H41, Nov!H41, Dec!H41)</f>
        <v>0</v>
      </c>
      <c r="I41" s="71" t="str">
        <f t="shared" si="8"/>
        <v/>
      </c>
    </row>
    <row r="42" spans="1:9" ht="15.6">
      <c r="A42" s="47" t="str">
        <v>Alamogordo - City of Alamogordo - WWTP</v>
      </c>
      <c r="B42" s="27" t="str">
        <v>NM</v>
      </c>
      <c r="C42" s="28">
        <f>SUM(Oct!C42, Nov!C42, Dec!C42)</f>
        <v>0</v>
      </c>
      <c r="D42" s="29">
        <f>SUM(Oct!D42, Nov!D42, Dec!D42)</f>
        <v>0</v>
      </c>
      <c r="E42" s="29">
        <f t="shared" si="6"/>
        <v>0</v>
      </c>
      <c r="F42" s="30" t="str">
        <f t="shared" si="7"/>
        <v/>
      </c>
      <c r="G42" s="31">
        <f>SUM(Oct!G42,Nov!G42,Dec!G42)</f>
        <v>0</v>
      </c>
      <c r="H42" s="31">
        <f>SUM(Oct!H42, Nov!H42, Dec!H42)</f>
        <v>0</v>
      </c>
      <c r="I42" s="32" t="str">
        <f t="shared" si="8"/>
        <v/>
      </c>
    </row>
    <row r="43" spans="1:9" ht="15.6">
      <c r="A43" s="48" t="str">
        <v>Deming - Bilbo Booster</v>
      </c>
      <c r="B43" s="34" t="str">
        <v>NM</v>
      </c>
      <c r="C43" s="35">
        <f>SUM(Oct!C43, Nov!C43, Dec!C43)</f>
        <v>0</v>
      </c>
      <c r="D43" s="36">
        <f>SUM(Oct!D43, Nov!D43, Dec!D43)</f>
        <v>0</v>
      </c>
      <c r="E43" s="36">
        <f t="shared" si="6"/>
        <v>0</v>
      </c>
      <c r="F43" s="71" t="str">
        <f t="shared" si="7"/>
        <v/>
      </c>
      <c r="G43" s="36">
        <f>SUM(Oct!G43,Nov!G43,Dec!G43)</f>
        <v>0</v>
      </c>
      <c r="H43" s="72">
        <f>SUM(Oct!H43, Nov!H43, Dec!H43)</f>
        <v>0</v>
      </c>
      <c r="I43" s="71" t="str">
        <f t="shared" si="8"/>
        <v/>
      </c>
    </row>
    <row r="44" spans="1:9" ht="15.6">
      <c r="A44" s="47" t="str">
        <v>Deming - Bilbo Well</v>
      </c>
      <c r="B44" s="27" t="str">
        <v>NM</v>
      </c>
      <c r="C44" s="28">
        <f>SUM(Oct!C44, Nov!C44, Dec!C44)</f>
        <v>0</v>
      </c>
      <c r="D44" s="29">
        <f>SUM(Oct!D44, Nov!D44, Dec!D44)</f>
        <v>0</v>
      </c>
      <c r="E44" s="29">
        <f t="shared" si="6"/>
        <v>0</v>
      </c>
      <c r="F44" s="30" t="str">
        <f t="shared" si="7"/>
        <v/>
      </c>
      <c r="G44" s="31">
        <f>SUM(Oct!G44,Nov!G44,Dec!G44)</f>
        <v>0</v>
      </c>
      <c r="H44" s="31">
        <f>SUM(Oct!H44, Nov!H44, Dec!H44)</f>
        <v>0</v>
      </c>
      <c r="I44" s="32" t="str">
        <f t="shared" si="8"/>
        <v/>
      </c>
    </row>
    <row r="45" spans="1:9" ht="15.6">
      <c r="A45" s="48" t="str">
        <v>Deming - WWTP</v>
      </c>
      <c r="B45" s="34" t="str">
        <v>NM</v>
      </c>
      <c r="C45" s="35">
        <f>SUM(Oct!C45, Nov!C45, Dec!C45)</f>
        <v>0</v>
      </c>
      <c r="D45" s="36">
        <f>SUM(Oct!D45, Nov!D45, Dec!D45)</f>
        <v>0</v>
      </c>
      <c r="E45" s="36">
        <f t="shared" si="6"/>
        <v>0</v>
      </c>
      <c r="F45" s="71" t="str">
        <f t="shared" si="7"/>
        <v/>
      </c>
      <c r="G45" s="36">
        <f>SUM(Oct!G45,Nov!G45,Dec!G45)</f>
        <v>0</v>
      </c>
      <c r="H45" s="72">
        <f>SUM(Oct!H45, Nov!H45, Dec!H45)</f>
        <v>0</v>
      </c>
      <c r="I45" s="71" t="str">
        <f t="shared" si="8"/>
        <v/>
      </c>
    </row>
    <row r="46" spans="1:9" ht="15.6">
      <c r="A46" s="47" t="str">
        <v>Truth or Consequences - Walmart</v>
      </c>
      <c r="B46" s="27" t="str">
        <v>NM</v>
      </c>
      <c r="C46" s="28">
        <f>SUM(Oct!C46, Nov!C46, Dec!C46)</f>
        <v>0</v>
      </c>
      <c r="D46" s="29">
        <f>SUM(Oct!D46, Nov!D46, Dec!D46)</f>
        <v>0</v>
      </c>
      <c r="E46" s="29">
        <f t="shared" si="6"/>
        <v>0</v>
      </c>
      <c r="F46" s="30" t="str">
        <f t="shared" si="7"/>
        <v/>
      </c>
      <c r="G46" s="31">
        <f>SUM(Oct!G46,Nov!G46,Dec!G46)</f>
        <v>0</v>
      </c>
      <c r="H46" s="31">
        <f>SUM(Oct!H46, Nov!H46, Dec!H46)</f>
        <v>0</v>
      </c>
      <c r="I46" s="32" t="str">
        <f t="shared" si="8"/>
        <v/>
      </c>
    </row>
    <row r="47" spans="1:9" ht="15.6">
      <c r="A47" s="48" t="str">
        <v>CA: Stockton - SUSD - Merlo</v>
      </c>
      <c r="B47" s="34" t="str">
        <v>CA</v>
      </c>
      <c r="C47" s="35">
        <f>SUM(Oct!C47, Nov!C47, Dec!C47)</f>
        <v>0</v>
      </c>
      <c r="D47" s="36">
        <f>SUM(Oct!D47, Nov!D47, Dec!D47)</f>
        <v>0</v>
      </c>
      <c r="E47" s="36">
        <f t="shared" si="6"/>
        <v>0</v>
      </c>
      <c r="F47" s="71" t="str">
        <f t="shared" si="7"/>
        <v/>
      </c>
      <c r="G47" s="36">
        <f>SUM(Oct!G47,Nov!G47,Dec!G47)</f>
        <v>0</v>
      </c>
      <c r="H47" s="72">
        <f>SUM(Oct!H47, Nov!H47, Dec!H47)</f>
        <v>0</v>
      </c>
      <c r="I47" s="71" t="str">
        <f t="shared" si="8"/>
        <v/>
      </c>
    </row>
    <row r="48" spans="1:9" ht="15.6">
      <c r="A48" s="47" t="str">
        <v>Stockton Unified School Dist. - Bush Elementary</v>
      </c>
      <c r="B48" s="27" t="str">
        <v>CA</v>
      </c>
      <c r="C48" s="28">
        <f>SUM(Oct!C48, Nov!C48, Dec!C48)</f>
        <v>0</v>
      </c>
      <c r="D48" s="29">
        <f>SUM(Oct!D48, Nov!D48, Dec!D48)</f>
        <v>0</v>
      </c>
      <c r="E48" s="29">
        <f t="shared" si="6"/>
        <v>0</v>
      </c>
      <c r="F48" s="30" t="str">
        <f t="shared" si="7"/>
        <v/>
      </c>
      <c r="G48" s="31">
        <f>SUM(Oct!G48,Nov!G48,Dec!G48)</f>
        <v>0</v>
      </c>
      <c r="H48" s="31">
        <f>SUM(Oct!H48, Nov!H48, Dec!H48)</f>
        <v>0</v>
      </c>
      <c r="I48" s="32" t="str">
        <f t="shared" si="8"/>
        <v/>
      </c>
    </row>
    <row r="49" spans="1:9" ht="15.6">
      <c r="A49" s="48" t="str">
        <v>CA: Stockton - SUSD - Marshall JHS</v>
      </c>
      <c r="B49" s="34" t="str">
        <v>CA</v>
      </c>
      <c r="C49" s="35">
        <f>SUM(Oct!C49, Nov!C49, Dec!C49)</f>
        <v>0</v>
      </c>
      <c r="D49" s="36">
        <f>SUM(Oct!D49, Nov!D49, Dec!D49)</f>
        <v>0</v>
      </c>
      <c r="E49" s="36">
        <f t="shared" si="6"/>
        <v>0</v>
      </c>
      <c r="F49" s="71" t="str">
        <f t="shared" si="7"/>
        <v/>
      </c>
      <c r="G49" s="36">
        <f>SUM(Oct!G49,Nov!G49,Dec!G49)</f>
        <v>0</v>
      </c>
      <c r="H49" s="72">
        <f>SUM(Oct!H49, Nov!H49, Dec!H49)</f>
        <v>0</v>
      </c>
      <c r="I49" s="71" t="str">
        <f t="shared" si="8"/>
        <v/>
      </c>
    </row>
    <row r="50" spans="1:9" ht="15.6">
      <c r="A50" s="47" t="str">
        <v>CA: Stockton - SUSD - Hong-Kingston ES</v>
      </c>
      <c r="B50" s="27" t="str">
        <v>CA</v>
      </c>
      <c r="C50" s="28">
        <f>SUM(Oct!C50, Nov!C50, Dec!C50)</f>
        <v>0</v>
      </c>
      <c r="D50" s="29">
        <f>SUM(Oct!D50, Nov!D50, Dec!D50)</f>
        <v>0</v>
      </c>
      <c r="E50" s="29">
        <f t="shared" si="6"/>
        <v>0</v>
      </c>
      <c r="F50" s="30" t="str">
        <f t="shared" si="7"/>
        <v/>
      </c>
      <c r="G50" s="31">
        <f>SUM(Oct!G50,Nov!G50,Dec!G50)</f>
        <v>0</v>
      </c>
      <c r="H50" s="31">
        <f>SUM(Oct!H50, Nov!H50, Dec!H50)</f>
        <v>0</v>
      </c>
      <c r="I50" s="32" t="str">
        <f t="shared" si="8"/>
        <v/>
      </c>
    </row>
    <row r="51" spans="1:9" ht="15.6">
      <c r="A51" s="48" t="str">
        <v>CA: Stockton - SUSD - Hamilton ES</v>
      </c>
      <c r="B51" s="34" t="str">
        <v>CA</v>
      </c>
      <c r="C51" s="35">
        <f>SUM(Oct!C51, Nov!C51, Dec!C51)</f>
        <v>0</v>
      </c>
      <c r="D51" s="36">
        <f>SUM(Oct!D51, Nov!D51, Dec!D51)</f>
        <v>0</v>
      </c>
      <c r="E51" s="36">
        <f t="shared" si="6"/>
        <v>0</v>
      </c>
      <c r="F51" s="71" t="str">
        <f t="shared" si="7"/>
        <v/>
      </c>
      <c r="G51" s="36">
        <f>SUM(Oct!G51,Nov!G51,Dec!G51)</f>
        <v>0</v>
      </c>
      <c r="H51" s="72">
        <f>SUM(Oct!H51, Nov!H51, Dec!H51)</f>
        <v>0</v>
      </c>
      <c r="I51" s="71" t="str">
        <f t="shared" si="8"/>
        <v/>
      </c>
    </row>
    <row r="52" spans="1:9" ht="15.6">
      <c r="A52" s="47" t="str">
        <v>CA: Stockton - SUSD - Franklin - North</v>
      </c>
      <c r="B52" s="27" t="str">
        <v>CA</v>
      </c>
      <c r="C52" s="28">
        <f>SUM(Oct!C52, Nov!C52, Dec!C52)</f>
        <v>0</v>
      </c>
      <c r="D52" s="29">
        <f>SUM(Oct!D52, Nov!D52, Dec!D52)</f>
        <v>0</v>
      </c>
      <c r="E52" s="29">
        <f t="shared" si="6"/>
        <v>0</v>
      </c>
      <c r="F52" s="30" t="str">
        <f t="shared" si="7"/>
        <v/>
      </c>
      <c r="G52" s="31">
        <f>SUM(Oct!G52,Nov!G52,Dec!G52)</f>
        <v>0</v>
      </c>
      <c r="H52" s="31">
        <f>SUM(Oct!H52, Nov!H52, Dec!H52)</f>
        <v>0</v>
      </c>
      <c r="I52" s="32" t="str">
        <f t="shared" si="8"/>
        <v/>
      </c>
    </row>
    <row r="53" spans="1:9" ht="15.6">
      <c r="A53" s="48" t="str">
        <v>Stockton Unified School Dist. - Fillmore Elementary</v>
      </c>
      <c r="B53" s="34" t="str">
        <v>CA</v>
      </c>
      <c r="C53" s="35">
        <f>SUM(Oct!C53, Nov!C53, Dec!C53)</f>
        <v>0</v>
      </c>
      <c r="D53" s="36">
        <f>SUM(Oct!D53, Nov!D53, Dec!D53)</f>
        <v>0</v>
      </c>
      <c r="E53" s="36">
        <f t="shared" si="6"/>
        <v>0</v>
      </c>
      <c r="F53" s="71" t="str">
        <f t="shared" si="7"/>
        <v/>
      </c>
      <c r="G53" s="36">
        <f>SUM(Oct!G53,Nov!G53,Dec!G53)</f>
        <v>0</v>
      </c>
      <c r="H53" s="72">
        <f>SUM(Oct!H53, Nov!H53, Dec!H53)</f>
        <v>0</v>
      </c>
      <c r="I53" s="71" t="str">
        <f t="shared" si="8"/>
        <v/>
      </c>
    </row>
    <row r="54" spans="1:9" ht="15.6">
      <c r="A54" s="47" t="str">
        <v>CA: Stockton - SUSD - El Dorado ES</v>
      </c>
      <c r="B54" s="27" t="str">
        <v>CA</v>
      </c>
      <c r="C54" s="28">
        <f>SUM(Oct!C54, Nov!C54, Dec!C54)</f>
        <v>0</v>
      </c>
      <c r="D54" s="29">
        <f>SUM(Oct!D54, Nov!D54, Dec!D54)</f>
        <v>0</v>
      </c>
      <c r="E54" s="29">
        <f t="shared" si="6"/>
        <v>0</v>
      </c>
      <c r="F54" s="30" t="str">
        <f t="shared" si="7"/>
        <v/>
      </c>
      <c r="G54" s="31">
        <f>SUM(Oct!G54,Nov!G54,Dec!G54)</f>
        <v>0</v>
      </c>
      <c r="H54" s="31">
        <f>SUM(Oct!H54, Nov!H54, Dec!H54)</f>
        <v>0</v>
      </c>
      <c r="I54" s="32" t="str">
        <f t="shared" si="8"/>
        <v/>
      </c>
    </row>
    <row r="55" spans="1:9" ht="15.6">
      <c r="A55" s="48" t="str">
        <v>CA: Stockton - SUSD - Edison HS</v>
      </c>
      <c r="B55" s="34" t="str">
        <v>CA</v>
      </c>
      <c r="C55" s="35">
        <f>SUM(Oct!C55, Nov!C55, Dec!C55)</f>
        <v>0</v>
      </c>
      <c r="D55" s="36">
        <f>SUM(Oct!D55, Nov!D55, Dec!D55)</f>
        <v>0</v>
      </c>
      <c r="E55" s="36">
        <f t="shared" si="6"/>
        <v>0</v>
      </c>
      <c r="F55" s="71" t="str">
        <f t="shared" si="7"/>
        <v/>
      </c>
      <c r="G55" s="36">
        <f>SUM(Oct!G55,Nov!G55,Dec!G55)</f>
        <v>0</v>
      </c>
      <c r="H55" s="72">
        <f>SUM(Oct!H55, Nov!H55, Dec!H55)</f>
        <v>0</v>
      </c>
      <c r="I55" s="71" t="str">
        <f t="shared" si="8"/>
        <v/>
      </c>
    </row>
    <row r="56" spans="1:9" ht="15.6">
      <c r="A56" s="47" t="str">
        <v>CA: Stockton - SUSD - Chavez HS - Large</v>
      </c>
      <c r="B56" s="27" t="str">
        <v>CA</v>
      </c>
      <c r="C56" s="28">
        <f>SUM(Oct!C56, Nov!C56, Dec!C56)</f>
        <v>0</v>
      </c>
      <c r="D56" s="29">
        <f>SUM(Oct!D56, Nov!D56, Dec!D56)</f>
        <v>0</v>
      </c>
      <c r="E56" s="29">
        <f t="shared" si="6"/>
        <v>0</v>
      </c>
      <c r="F56" s="30" t="str">
        <f t="shared" si="7"/>
        <v/>
      </c>
      <c r="G56" s="31">
        <f>SUM(Oct!G56,Nov!G56,Dec!G56)</f>
        <v>0</v>
      </c>
      <c r="H56" s="31">
        <f>SUM(Oct!H56, Nov!H56, Dec!H56)</f>
        <v>0</v>
      </c>
      <c r="I56" s="32" t="str">
        <f t="shared" si="8"/>
        <v/>
      </c>
    </row>
    <row r="57" spans="1:9" ht="15.6">
      <c r="A57" s="48" t="str">
        <v>CA: San Jose - GE Mobile Water</v>
      </c>
      <c r="B57" s="34" t="str">
        <v>CA</v>
      </c>
      <c r="C57" s="35">
        <f>SUM(Oct!C57, Nov!C57, Dec!C57)</f>
        <v>0</v>
      </c>
      <c r="D57" s="36">
        <f>SUM(Oct!D57, Nov!D57, Dec!D57)</f>
        <v>0</v>
      </c>
      <c r="E57" s="36">
        <f t="shared" ref="E57:E85" si="9">IF(AND(ISNUMBER(C57),ISNUMBER(D57)), C57-D57, "")</f>
        <v>0</v>
      </c>
      <c r="F57" s="71" t="str">
        <f t="shared" ref="F57:F85" si="10">IFERROR(E57/D57, "")</f>
        <v/>
      </c>
      <c r="G57" s="36">
        <f>SUM(Oct!G57,Nov!G57,Dec!G57)</f>
        <v>0</v>
      </c>
      <c r="H57" s="72">
        <f>SUM(Oct!H57, Nov!H57, Dec!H57)</f>
        <v>0</v>
      </c>
      <c r="I57" s="71" t="str">
        <f t="shared" ref="I57:I85" si="11">IFERROR(H57/G57, "")</f>
        <v/>
      </c>
    </row>
    <row r="58" spans="1:9" ht="15.6">
      <c r="A58" s="47" t="str">
        <v>CA: San Marcos - Vallecitos Water - Lift Station</v>
      </c>
      <c r="B58" s="27" t="str">
        <v>CA</v>
      </c>
      <c r="C58" s="28">
        <f>SUM(Oct!C58, Nov!C58, Dec!C58)</f>
        <v>0</v>
      </c>
      <c r="D58" s="29">
        <f>SUM(Oct!D58, Nov!D58, Dec!D58)</f>
        <v>0</v>
      </c>
      <c r="E58" s="29">
        <f t="shared" si="9"/>
        <v>0</v>
      </c>
      <c r="F58" s="30" t="str">
        <f t="shared" si="10"/>
        <v/>
      </c>
      <c r="G58" s="31">
        <f>SUM(Oct!G58,Nov!G58,Dec!G58)</f>
        <v>0</v>
      </c>
      <c r="H58" s="31">
        <f>SUM(Oct!H58, Nov!H58, Dec!H58)</f>
        <v>0</v>
      </c>
      <c r="I58" s="32" t="str">
        <f t="shared" si="11"/>
        <v/>
      </c>
    </row>
    <row r="59" spans="1:9" ht="15.6">
      <c r="A59" s="48" t="str">
        <v>CA: San Marcos - Vallecitos Water - Twin Oaks Reservoir</v>
      </c>
      <c r="B59" s="34" t="str">
        <v>CA</v>
      </c>
      <c r="C59" s="35">
        <f>SUM(Oct!C59, Nov!C59, Dec!C59)</f>
        <v>0</v>
      </c>
      <c r="D59" s="36">
        <f>SUM(Oct!D59, Nov!D59, Dec!D59)</f>
        <v>0</v>
      </c>
      <c r="E59" s="36">
        <f t="shared" si="9"/>
        <v>0</v>
      </c>
      <c r="F59" s="71" t="str">
        <f t="shared" si="10"/>
        <v/>
      </c>
      <c r="G59" s="36">
        <f>SUM(Oct!G59,Nov!G59,Dec!G59)</f>
        <v>0</v>
      </c>
      <c r="H59" s="72">
        <f>SUM(Oct!H59, Nov!H59, Dec!H59)</f>
        <v>0</v>
      </c>
      <c r="I59" s="71" t="str">
        <f t="shared" si="11"/>
        <v/>
      </c>
    </row>
    <row r="60" spans="1:9" ht="15.6">
      <c r="A60" s="47" t="str">
        <v>CA: Stockton - SUSD - Wilhelmina Henry ES</v>
      </c>
      <c r="B60" s="27" t="str">
        <v>CA</v>
      </c>
      <c r="C60" s="28">
        <f>SUM(Oct!C60, Nov!C60, Dec!C60)</f>
        <v>0</v>
      </c>
      <c r="D60" s="29">
        <f>SUM(Oct!D60, Nov!D60, Dec!D60)</f>
        <v>0</v>
      </c>
      <c r="E60" s="29">
        <f t="shared" si="9"/>
        <v>0</v>
      </c>
      <c r="F60" s="30" t="str">
        <f t="shared" si="10"/>
        <v/>
      </c>
      <c r="G60" s="31">
        <f>SUM(Oct!G60,Nov!G60,Dec!G60)</f>
        <v>0</v>
      </c>
      <c r="H60" s="31">
        <f>SUM(Oct!H60, Nov!H60, Dec!H60)</f>
        <v>0</v>
      </c>
      <c r="I60" s="32" t="str">
        <f t="shared" si="11"/>
        <v/>
      </c>
    </row>
    <row r="61" spans="1:9" ht="15.6">
      <c r="A61" s="48" t="str">
        <v>Stockton Unified School Dist. - Franklin (North)</v>
      </c>
      <c r="B61" s="34" t="str">
        <v>CA</v>
      </c>
      <c r="C61" s="35">
        <f>SUM(Oct!C61, Nov!C61, Dec!C61)</f>
        <v>0</v>
      </c>
      <c r="D61" s="36">
        <f>SUM(Oct!D61, Nov!D61, Dec!D61)</f>
        <v>0</v>
      </c>
      <c r="E61" s="36">
        <f t="shared" si="9"/>
        <v>0</v>
      </c>
      <c r="F61" s="71" t="str">
        <f t="shared" si="10"/>
        <v/>
      </c>
      <c r="G61" s="36">
        <f>SUM(Oct!G61,Nov!G61,Dec!G61)</f>
        <v>0</v>
      </c>
      <c r="H61" s="72">
        <f>SUM(Oct!H61, Nov!H61, Dec!H61)</f>
        <v>0</v>
      </c>
      <c r="I61" s="71" t="str">
        <f t="shared" si="11"/>
        <v/>
      </c>
    </row>
    <row r="62" spans="1:9" ht="15.6">
      <c r="A62" s="47" t="str">
        <v>CA: Stockton - SUSD - Franklin - South</v>
      </c>
      <c r="B62" s="27" t="str">
        <v>CA</v>
      </c>
      <c r="C62" s="28">
        <f>SUM(Oct!C62, Nov!C62, Dec!C62)</f>
        <v>0</v>
      </c>
      <c r="D62" s="29">
        <f>SUM(Oct!D62, Nov!D62, Dec!D62)</f>
        <v>0</v>
      </c>
      <c r="E62" s="29">
        <f t="shared" si="9"/>
        <v>0</v>
      </c>
      <c r="F62" s="30" t="str">
        <f t="shared" si="10"/>
        <v/>
      </c>
      <c r="G62" s="31">
        <f>SUM(Oct!G62,Nov!G62,Dec!G62)</f>
        <v>0</v>
      </c>
      <c r="H62" s="31">
        <f>SUM(Oct!H62, Nov!H62, Dec!H62)</f>
        <v>0</v>
      </c>
      <c r="I62" s="32" t="str">
        <f t="shared" si="11"/>
        <v/>
      </c>
    </row>
    <row r="63" spans="1:9" ht="15.6">
      <c r="A63" s="48" t="str">
        <v>CA: Stockton - SUSD - Chavez HS - Small</v>
      </c>
      <c r="B63" s="34" t="str">
        <v>CA</v>
      </c>
      <c r="C63" s="35">
        <f>SUM(Oct!C63, Nov!C63, Dec!C63)</f>
        <v>0</v>
      </c>
      <c r="D63" s="36">
        <f>SUM(Oct!D63, Nov!D63, Dec!D63)</f>
        <v>0</v>
      </c>
      <c r="E63" s="36">
        <f t="shared" si="9"/>
        <v>0</v>
      </c>
      <c r="F63" s="71" t="str">
        <f t="shared" si="10"/>
        <v/>
      </c>
      <c r="G63" s="36">
        <f>SUM(Oct!G63,Nov!G63,Dec!G63)</f>
        <v>0</v>
      </c>
      <c r="H63" s="72">
        <f>SUM(Oct!H63, Nov!H63, Dec!H63)</f>
        <v>0</v>
      </c>
      <c r="I63" s="71" t="str">
        <f t="shared" si="11"/>
        <v/>
      </c>
    </row>
    <row r="64" spans="1:9" ht="15.6">
      <c r="A64" s="47" t="str">
        <v>CA: Stockton - SUSD - Facilities</v>
      </c>
      <c r="B64" s="27" t="str">
        <v>CA</v>
      </c>
      <c r="C64" s="28">
        <f>SUM(Oct!C64, Nov!C64, Dec!C64)</f>
        <v>0</v>
      </c>
      <c r="D64" s="29">
        <f>SUM(Oct!D64, Nov!D64, Dec!D64)</f>
        <v>0</v>
      </c>
      <c r="E64" s="29">
        <f t="shared" si="9"/>
        <v>0</v>
      </c>
      <c r="F64" s="30" t="str">
        <f t="shared" si="10"/>
        <v/>
      </c>
      <c r="G64" s="31">
        <f>SUM(Oct!G64,Nov!G64,Dec!G64)</f>
        <v>0</v>
      </c>
      <c r="H64" s="31">
        <f>SUM(Oct!H64, Nov!H64, Dec!H64)</f>
        <v>0</v>
      </c>
      <c r="I64" s="32" t="str">
        <f t="shared" si="11"/>
        <v/>
      </c>
    </row>
    <row r="65" spans="1:9" ht="15.6">
      <c r="A65" s="48" t="str">
        <v>CA: Stockton - SUSD - Harrison</v>
      </c>
      <c r="B65" s="34" t="str">
        <v>CA</v>
      </c>
      <c r="C65" s="35">
        <f>SUM(Oct!C65, Nov!C65, Dec!C65)</f>
        <v>0</v>
      </c>
      <c r="D65" s="36">
        <f>SUM(Oct!D65, Nov!D65, Dec!D65)</f>
        <v>0</v>
      </c>
      <c r="E65" s="36">
        <f t="shared" si="9"/>
        <v>0</v>
      </c>
      <c r="F65" s="71" t="str">
        <f t="shared" si="10"/>
        <v/>
      </c>
      <c r="G65" s="36">
        <f>SUM(Oct!G65,Nov!G65,Dec!G65)</f>
        <v>0</v>
      </c>
      <c r="H65" s="72">
        <f>SUM(Oct!H65, Nov!H65, Dec!H65)</f>
        <v>0</v>
      </c>
      <c r="I65" s="71" t="str">
        <f t="shared" si="11"/>
        <v/>
      </c>
    </row>
    <row r="66" spans="1:9" ht="15.6">
      <c r="A66" s="47" t="str">
        <v>CA: Stockton - SUSD - Commodore Skills School</v>
      </c>
      <c r="B66" s="27" t="str">
        <v>CA</v>
      </c>
      <c r="C66" s="28">
        <f>SUM(Oct!C66, Nov!C66, Dec!C66)</f>
        <v>0</v>
      </c>
      <c r="D66" s="29">
        <f>SUM(Oct!D66, Nov!D66, Dec!D66)</f>
        <v>0</v>
      </c>
      <c r="E66" s="29">
        <f t="shared" si="9"/>
        <v>0</v>
      </c>
      <c r="F66" s="30" t="str">
        <f t="shared" si="10"/>
        <v/>
      </c>
      <c r="G66" s="31">
        <f>SUM(Oct!G66,Nov!G66,Dec!G66)</f>
        <v>0</v>
      </c>
      <c r="H66" s="31">
        <f>SUM(Oct!H66, Nov!H66, Dec!H66)</f>
        <v>0</v>
      </c>
      <c r="I66" s="32" t="str">
        <f t="shared" si="11"/>
        <v/>
      </c>
    </row>
    <row r="67" spans="1:9" ht="15.6">
      <c r="A67" s="48" t="str">
        <v>CA: Stockton - SUSD - Nightingale ES</v>
      </c>
      <c r="B67" s="34" t="str">
        <v>CA</v>
      </c>
      <c r="C67" s="35">
        <f>SUM(Oct!C67, Nov!C67, Dec!C67)</f>
        <v>0</v>
      </c>
      <c r="D67" s="36">
        <f>SUM(Oct!D67, Nov!D67, Dec!D67)</f>
        <v>0</v>
      </c>
      <c r="E67" s="36">
        <f t="shared" si="9"/>
        <v>0</v>
      </c>
      <c r="F67" s="71" t="str">
        <f t="shared" si="10"/>
        <v/>
      </c>
      <c r="G67" s="36">
        <f>SUM(Oct!G67,Nov!G67,Dec!G67)</f>
        <v>0</v>
      </c>
      <c r="H67" s="72">
        <f>SUM(Oct!H67, Nov!H67, Dec!H67)</f>
        <v>0</v>
      </c>
      <c r="I67" s="71" t="str">
        <f t="shared" si="11"/>
        <v/>
      </c>
    </row>
    <row r="68" spans="1:9" ht="15.6">
      <c r="A68" s="47" t="str">
        <v>CA: Stockton - SUSD - Weber Institute</v>
      </c>
      <c r="B68" s="27" t="str">
        <v>CA</v>
      </c>
      <c r="C68" s="28">
        <f>SUM(Oct!C68, Nov!C68, Dec!C68)</f>
        <v>0</v>
      </c>
      <c r="D68" s="29">
        <f>SUM(Oct!D68, Nov!D68, Dec!D68)</f>
        <v>0</v>
      </c>
      <c r="E68" s="29">
        <f t="shared" si="9"/>
        <v>0</v>
      </c>
      <c r="F68" s="30" t="str">
        <f t="shared" si="10"/>
        <v/>
      </c>
      <c r="G68" s="31">
        <f>SUM(Oct!G68,Nov!G68,Dec!G68)</f>
        <v>0</v>
      </c>
      <c r="H68" s="31">
        <f>SUM(Oct!H68, Nov!H68, Dec!H68)</f>
        <v>0</v>
      </c>
      <c r="I68" s="32" t="str">
        <f t="shared" si="11"/>
        <v/>
      </c>
    </row>
    <row r="69" spans="1:9" ht="15.6">
      <c r="A69" s="48" t="str">
        <v>CA: Stockton - SUSD - Warehouse</v>
      </c>
      <c r="B69" s="34" t="str">
        <v>CA</v>
      </c>
      <c r="C69" s="35">
        <f>SUM(Oct!C69, Nov!C69, Dec!C69)</f>
        <v>0</v>
      </c>
      <c r="D69" s="36">
        <f>SUM(Oct!D69, Nov!D69, Dec!D69)</f>
        <v>0</v>
      </c>
      <c r="E69" s="36">
        <f t="shared" si="9"/>
        <v>0</v>
      </c>
      <c r="F69" s="71" t="str">
        <f t="shared" si="10"/>
        <v/>
      </c>
      <c r="G69" s="36">
        <f>SUM(Oct!G69,Nov!G69,Dec!G69)</f>
        <v>0</v>
      </c>
      <c r="H69" s="72">
        <f>SUM(Oct!H69, Nov!H69, Dec!H69)</f>
        <v>0</v>
      </c>
      <c r="I69" s="71" t="str">
        <f t="shared" si="11"/>
        <v/>
      </c>
    </row>
    <row r="70" spans="1:9" ht="15.6">
      <c r="A70" s="47" t="str">
        <v>CA: Stockton - SUSD - Walton Special Center</v>
      </c>
      <c r="B70" s="27" t="str">
        <v>CA</v>
      </c>
      <c r="C70" s="28">
        <f>SUM(Oct!C70, Nov!C70, Dec!C70)</f>
        <v>0</v>
      </c>
      <c r="D70" s="29">
        <f>SUM(Oct!D70, Nov!D70, Dec!D70)</f>
        <v>0</v>
      </c>
      <c r="E70" s="29">
        <f t="shared" si="9"/>
        <v>0</v>
      </c>
      <c r="F70" s="30" t="str">
        <f t="shared" si="10"/>
        <v/>
      </c>
      <c r="G70" s="31">
        <f>SUM(Oct!G70,Nov!G70,Dec!G70)</f>
        <v>0</v>
      </c>
      <c r="H70" s="31">
        <f>SUM(Oct!H70, Nov!H70, Dec!H70)</f>
        <v>0</v>
      </c>
      <c r="I70" s="32" t="str">
        <f t="shared" si="11"/>
        <v/>
      </c>
    </row>
    <row r="71" spans="1:9" ht="15.6">
      <c r="A71" s="48" t="str">
        <v>CA: Stockton - SUSD - Stagg HS</v>
      </c>
      <c r="B71" s="34" t="str">
        <v>CA</v>
      </c>
      <c r="C71" s="35">
        <f>SUM(Oct!C71, Nov!C71, Dec!C71)</f>
        <v>0</v>
      </c>
      <c r="D71" s="36">
        <f>SUM(Oct!D71, Nov!D71, Dec!D71)</f>
        <v>0</v>
      </c>
      <c r="E71" s="36">
        <f t="shared" si="9"/>
        <v>0</v>
      </c>
      <c r="F71" s="71" t="str">
        <f t="shared" si="10"/>
        <v/>
      </c>
      <c r="G71" s="36">
        <f>SUM(Oct!G71,Nov!G71,Dec!G71)</f>
        <v>0</v>
      </c>
      <c r="H71" s="72">
        <f>SUM(Oct!H71, Nov!H71, Dec!H71)</f>
        <v>0</v>
      </c>
      <c r="I71" s="71" t="str">
        <f t="shared" si="11"/>
        <v/>
      </c>
    </row>
    <row r="72" spans="1:9" ht="15.6">
      <c r="A72" s="47" t="str">
        <v>CA: Stockton - SUSD - School for Adults</v>
      </c>
      <c r="B72" s="27" t="str">
        <v>CA</v>
      </c>
      <c r="C72" s="28">
        <f>SUM(Oct!C72, Nov!C72, Dec!C72)</f>
        <v>0</v>
      </c>
      <c r="D72" s="29">
        <f>SUM(Oct!D72, Nov!D72, Dec!D72)</f>
        <v>0</v>
      </c>
      <c r="E72" s="29">
        <f t="shared" si="9"/>
        <v>0</v>
      </c>
      <c r="F72" s="30" t="str">
        <f t="shared" si="10"/>
        <v/>
      </c>
      <c r="G72" s="31">
        <f>SUM(Oct!G72,Nov!G72,Dec!G72)</f>
        <v>0</v>
      </c>
      <c r="H72" s="31">
        <f>SUM(Oct!H72, Nov!H72, Dec!H72)</f>
        <v>0</v>
      </c>
      <c r="I72" s="32" t="str">
        <f t="shared" si="11"/>
        <v/>
      </c>
    </row>
    <row r="73" spans="1:9" ht="15.6">
      <c r="A73" s="48" t="str">
        <v>CA: Stockton - SUSD - San Joaquin</v>
      </c>
      <c r="B73" s="34" t="str">
        <v>CA</v>
      </c>
      <c r="C73" s="35">
        <f>SUM(Oct!C73, Nov!C73, Dec!C73)</f>
        <v>0</v>
      </c>
      <c r="D73" s="36">
        <f>SUM(Oct!D73, Nov!D73, Dec!D73)</f>
        <v>0</v>
      </c>
      <c r="E73" s="36">
        <f t="shared" si="9"/>
        <v>0</v>
      </c>
      <c r="F73" s="71" t="str">
        <f t="shared" si="10"/>
        <v/>
      </c>
      <c r="G73" s="36">
        <f>SUM(Oct!G73,Nov!G73,Dec!G73)</f>
        <v>0</v>
      </c>
      <c r="H73" s="72">
        <f>SUM(Oct!H73, Nov!H73, Dec!H73)</f>
        <v>0</v>
      </c>
      <c r="I73" s="71" t="str">
        <f t="shared" si="11"/>
        <v/>
      </c>
    </row>
    <row r="74" spans="1:9" ht="15.6">
      <c r="A74" s="47" t="str">
        <v>CA: Stockton - SUSD - Rio Calaveras</v>
      </c>
      <c r="B74" s="27" t="str">
        <v>CA</v>
      </c>
      <c r="C74" s="28">
        <f>SUM(Oct!C74, Nov!C74, Dec!C74)</f>
        <v>0</v>
      </c>
      <c r="D74" s="29">
        <f>SUM(Oct!D74, Nov!D74, Dec!D74)</f>
        <v>0</v>
      </c>
      <c r="E74" s="29">
        <f t="shared" si="9"/>
        <v>0</v>
      </c>
      <c r="F74" s="30" t="str">
        <f t="shared" si="10"/>
        <v/>
      </c>
      <c r="G74" s="31">
        <f>SUM(Oct!G74,Nov!G74,Dec!G74)</f>
        <v>0</v>
      </c>
      <c r="H74" s="31">
        <f>SUM(Oct!H74, Nov!H74, Dec!H74)</f>
        <v>0</v>
      </c>
      <c r="I74" s="32" t="str">
        <f t="shared" si="11"/>
        <v/>
      </c>
    </row>
    <row r="75" spans="1:9" ht="15.6">
      <c r="A75" s="48" t="str">
        <v>CA: Stockton - SUSD - Peyton</v>
      </c>
      <c r="B75" s="34" t="str">
        <v>CA</v>
      </c>
      <c r="C75" s="35">
        <f>SUM(Oct!C75, Nov!C75, Dec!C75)</f>
        <v>0</v>
      </c>
      <c r="D75" s="36">
        <f>SUM(Oct!D75, Nov!D75, Dec!D75)</f>
        <v>0</v>
      </c>
      <c r="E75" s="36">
        <f t="shared" si="9"/>
        <v>0</v>
      </c>
      <c r="F75" s="71" t="str">
        <f t="shared" si="10"/>
        <v/>
      </c>
      <c r="G75" s="36">
        <f>SUM(Oct!G75,Nov!G75,Dec!G75)</f>
        <v>0</v>
      </c>
      <c r="H75" s="72">
        <f>SUM(Oct!H75, Nov!H75, Dec!H75)</f>
        <v>0</v>
      </c>
      <c r="I75" s="71" t="str">
        <f t="shared" si="11"/>
        <v/>
      </c>
    </row>
    <row r="76" spans="1:9" ht="15.6">
      <c r="A76" s="47" t="str">
        <v>TX: Barnhart - 42917 Ranch RD 2469</v>
      </c>
      <c r="B76" s="27" t="str">
        <v>TX</v>
      </c>
      <c r="C76" s="28">
        <f>SUM(Oct!C76, Nov!C76, Dec!C76)</f>
        <v>0</v>
      </c>
      <c r="D76" s="29">
        <f>SUM(Oct!D76, Nov!D76, Dec!D76)</f>
        <v>0</v>
      </c>
      <c r="E76" s="29">
        <f t="shared" si="9"/>
        <v>0</v>
      </c>
      <c r="F76" s="30" t="str">
        <f t="shared" si="10"/>
        <v/>
      </c>
      <c r="G76" s="31">
        <f>SUM(Oct!G76,Nov!G76,Dec!G76)</f>
        <v>0</v>
      </c>
      <c r="H76" s="31">
        <f>SUM(Oct!H76, Nov!H76, Dec!H76)</f>
        <v>0</v>
      </c>
      <c r="I76" s="32" t="str">
        <f t="shared" si="11"/>
        <v/>
      </c>
    </row>
    <row r="77" spans="1:9" ht="15.6">
      <c r="A77" s="48" t="str">
        <v>AZ: San Manuel - Senior &amp; Junior HS</v>
      </c>
      <c r="B77" s="34" t="str">
        <v>AZ</v>
      </c>
      <c r="C77" s="35">
        <f>SUM(Oct!C77, Nov!C77, Dec!C77)</f>
        <v>0</v>
      </c>
      <c r="D77" s="36">
        <f>SUM(Oct!D77, Nov!D77, Dec!D77)</f>
        <v>0</v>
      </c>
      <c r="E77" s="36">
        <f t="shared" si="9"/>
        <v>0</v>
      </c>
      <c r="F77" s="71" t="str">
        <f t="shared" si="10"/>
        <v/>
      </c>
      <c r="G77" s="36">
        <f>SUM(Oct!G77,Nov!G77,Dec!G77)</f>
        <v>0</v>
      </c>
      <c r="H77" s="72">
        <f>SUM(Oct!H77, Nov!H77, Dec!H77)</f>
        <v>0</v>
      </c>
      <c r="I77" s="71" t="str">
        <f t="shared" si="11"/>
        <v/>
      </c>
    </row>
    <row r="78" spans="1:9" ht="15.6">
      <c r="A78" s="47" t="str">
        <v>AZ: Sierra Vista - Colonel Smith MS</v>
      </c>
      <c r="B78" s="27" t="str">
        <v>AZ</v>
      </c>
      <c r="C78" s="28">
        <f>SUM(Oct!C78, Nov!C78, Dec!C78)</f>
        <v>0</v>
      </c>
      <c r="D78" s="29">
        <f>SUM(Oct!D78, Nov!D78, Dec!D78)</f>
        <v>0</v>
      </c>
      <c r="E78" s="29">
        <f t="shared" si="9"/>
        <v>0</v>
      </c>
      <c r="F78" s="30" t="str">
        <f t="shared" si="10"/>
        <v/>
      </c>
      <c r="G78" s="31">
        <f>SUM(Oct!G78,Nov!G78,Dec!G78)</f>
        <v>0</v>
      </c>
      <c r="H78" s="31">
        <f>SUM(Oct!H78, Nov!H78, Dec!H78)</f>
        <v>0</v>
      </c>
      <c r="I78" s="32" t="str">
        <f t="shared" si="11"/>
        <v/>
      </c>
    </row>
    <row r="79" spans="1:9" ht="15.6">
      <c r="A79" s="48" t="str">
        <v>AZ: Sierra Vista - Colonel Johnston ES</v>
      </c>
      <c r="B79" s="34" t="str">
        <v>AZ</v>
      </c>
      <c r="C79" s="35">
        <f>SUM(Oct!C79, Nov!C79, Dec!C79)</f>
        <v>0</v>
      </c>
      <c r="D79" s="36">
        <f>SUM(Oct!D79, Nov!D79, Dec!D79)</f>
        <v>0</v>
      </c>
      <c r="E79" s="36">
        <f t="shared" si="9"/>
        <v>0</v>
      </c>
      <c r="F79" s="71" t="str">
        <f t="shared" si="10"/>
        <v/>
      </c>
      <c r="G79" s="36">
        <f>SUM(Oct!G79,Nov!G79,Dec!G79)</f>
        <v>0</v>
      </c>
      <c r="H79" s="72">
        <f>SUM(Oct!H79, Nov!H79, Dec!H79)</f>
        <v>0</v>
      </c>
      <c r="I79" s="71" t="str">
        <f t="shared" si="11"/>
        <v/>
      </c>
    </row>
    <row r="80" spans="1:9" ht="15.6">
      <c r="A80" s="47" t="str">
        <v>NH: Dover - Dover HS</v>
      </c>
      <c r="B80" s="27" t="str">
        <v>NH</v>
      </c>
      <c r="C80" s="28">
        <f>SUM(Oct!C80, Nov!C80, Dec!C80)</f>
        <v>0</v>
      </c>
      <c r="D80" s="29">
        <f>SUM(Oct!D80, Nov!D80, Dec!D80)</f>
        <v>0</v>
      </c>
      <c r="E80" s="29">
        <f t="shared" si="9"/>
        <v>0</v>
      </c>
      <c r="F80" s="30" t="str">
        <f t="shared" si="10"/>
        <v/>
      </c>
      <c r="G80" s="31">
        <f>SUM(Oct!G80,Nov!G80,Dec!G80)</f>
        <v>0</v>
      </c>
      <c r="H80" s="31">
        <f>SUM(Oct!H80, Nov!H80, Dec!H80)</f>
        <v>0</v>
      </c>
      <c r="I80" s="32" t="str">
        <f t="shared" si="11"/>
        <v/>
      </c>
    </row>
    <row r="81" spans="1:9" ht="15.6">
      <c r="A81" s="48" t="str">
        <v>MA: Somerville - 30 Inner Belt Rd</v>
      </c>
      <c r="B81" s="34" t="str">
        <v>MA</v>
      </c>
      <c r="C81" s="35">
        <f>SUM(Oct!C81, Nov!C81, Dec!C81)</f>
        <v>0</v>
      </c>
      <c r="D81" s="36">
        <f>SUM(Oct!D81, Nov!D81, Dec!D81)</f>
        <v>0</v>
      </c>
      <c r="E81" s="36">
        <f t="shared" si="9"/>
        <v>0</v>
      </c>
      <c r="F81" s="71" t="str">
        <f t="shared" si="10"/>
        <v/>
      </c>
      <c r="G81" s="36">
        <f>SUM(Oct!G81,Nov!G81,Dec!G81)</f>
        <v>0</v>
      </c>
      <c r="H81" s="72">
        <f>SUM(Oct!H81, Nov!H81, Dec!H81)</f>
        <v>0</v>
      </c>
      <c r="I81" s="71" t="str">
        <f t="shared" si="11"/>
        <v/>
      </c>
    </row>
    <row r="82" spans="1:9" ht="15.6">
      <c r="A82" s="47" t="str">
        <v>MA: Boxborough - 1414 Massachusetts Ave</v>
      </c>
      <c r="B82" s="27" t="str">
        <v>MA</v>
      </c>
      <c r="C82" s="28">
        <f>SUM(Oct!C82, Nov!C82, Dec!C82)</f>
        <v>0</v>
      </c>
      <c r="D82" s="29">
        <f>SUM(Oct!D82, Nov!D82, Dec!D82)</f>
        <v>0</v>
      </c>
      <c r="E82" s="29">
        <f t="shared" si="9"/>
        <v>0</v>
      </c>
      <c r="F82" s="30" t="str">
        <f t="shared" si="10"/>
        <v/>
      </c>
      <c r="G82" s="31">
        <f>SUM(Oct!G82,Nov!G82,Dec!G82)</f>
        <v>0</v>
      </c>
      <c r="H82" s="31">
        <f>SUM(Oct!H82, Nov!H82, Dec!H82)</f>
        <v>0</v>
      </c>
      <c r="I82" s="32" t="str">
        <f t="shared" si="11"/>
        <v/>
      </c>
    </row>
    <row r="83" spans="1:9" ht="15.6">
      <c r="A83" s="48" t="str">
        <v>NY: Amsterdam - 153 NY Route 67</v>
      </c>
      <c r="B83" s="34" t="str">
        <v>NY</v>
      </c>
      <c r="C83" s="35">
        <f>SUM(Oct!C83, Nov!C83, Dec!C83)</f>
        <v>0</v>
      </c>
      <c r="D83" s="36">
        <f>SUM(Oct!D83, Nov!D83, Dec!D83)</f>
        <v>0</v>
      </c>
      <c r="E83" s="36">
        <f t="shared" si="9"/>
        <v>0</v>
      </c>
      <c r="F83" s="71" t="str">
        <f t="shared" si="10"/>
        <v/>
      </c>
      <c r="G83" s="36">
        <f>SUM(Oct!G83,Nov!G83,Dec!G83)</f>
        <v>0</v>
      </c>
      <c r="H83" s="72">
        <f>SUM(Oct!H83, Nov!H83, Dec!H83)</f>
        <v>0</v>
      </c>
      <c r="I83" s="71" t="str">
        <f t="shared" si="11"/>
        <v/>
      </c>
    </row>
    <row r="84" spans="1:9" ht="15.6">
      <c r="A84" s="47" t="str">
        <v>CA: San Jose - GE Mobile Water</v>
      </c>
      <c r="B84" s="27" t="str">
        <v>CA</v>
      </c>
      <c r="C84" s="28">
        <f>SUM(Oct!C84, Nov!C84, Dec!C84)</f>
        <v>0</v>
      </c>
      <c r="D84" s="29">
        <f>SUM(Oct!D84, Nov!D84, Dec!D84)</f>
        <v>0</v>
      </c>
      <c r="E84" s="29">
        <f t="shared" si="9"/>
        <v>0</v>
      </c>
      <c r="F84" s="30" t="str">
        <f t="shared" si="10"/>
        <v/>
      </c>
      <c r="G84" s="31">
        <f>SUM(Oct!G84,Nov!G84,Dec!G84)</f>
        <v>0</v>
      </c>
      <c r="H84" s="31">
        <f>SUM(Oct!H84, Nov!H84, Dec!H84)</f>
        <v>0</v>
      </c>
      <c r="I84" s="32" t="str">
        <f t="shared" si="11"/>
        <v/>
      </c>
    </row>
    <row r="85" spans="1:9" ht="15.6">
      <c r="A85" s="48" t="str">
        <v>NY: Rome - 7776 Tannery RD</v>
      </c>
      <c r="B85" s="34" t="str">
        <v>NY</v>
      </c>
      <c r="C85" s="35">
        <f>SUM(Oct!C85, Nov!C85, Dec!C85)</f>
        <v>0</v>
      </c>
      <c r="D85" s="36">
        <f>SUM(Oct!D85, Nov!D85, Dec!D85)</f>
        <v>0</v>
      </c>
      <c r="E85" s="36">
        <f t="shared" si="9"/>
        <v>0</v>
      </c>
      <c r="F85" s="71" t="str">
        <f t="shared" si="10"/>
        <v/>
      </c>
      <c r="G85" s="36">
        <f>SUM(Oct!G85,Nov!G85,Dec!G85)</f>
        <v>0</v>
      </c>
      <c r="H85" s="72">
        <f>SUM(Oct!H85, Nov!H85, Dec!H85)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06" t="str" cm="1">
        <f t="array" ref="A1">portfolio</f>
        <v>Clean Capital</v>
      </c>
      <c r="B1" s="106"/>
      <c r="C1" s="106"/>
      <c r="D1" s="107" t="s">
        <v>18</v>
      </c>
      <c r="E1" s="107"/>
      <c r="F1" s="107"/>
      <c r="G1" s="105" t="s">
        <v>19</v>
      </c>
      <c r="H1" s="105"/>
      <c r="I1" s="105"/>
      <c r="J1" s="4"/>
      <c r="K1" s="4"/>
    </row>
    <row r="2" spans="1:11" ht="15.6">
      <c r="A2" s="108" t="s">
        <v>2</v>
      </c>
      <c r="B2" s="108"/>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85">Sites[Site]</f>
        <v>Lexington - Cotting School</v>
      </c>
      <c r="B4" s="40" t="str" cm="1">
        <f t="array" ref="B4:B8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06" t="str" cm="1">
        <f t="array" ref="A1">portfolio</f>
        <v>Clean Capital</v>
      </c>
      <c r="B1" s="106"/>
      <c r="C1" s="106"/>
      <c r="D1" s="107" t="s">
        <v>28</v>
      </c>
      <c r="E1" s="107"/>
      <c r="F1" s="107"/>
      <c r="G1" s="105" t="s">
        <v>29</v>
      </c>
      <c r="H1" s="105"/>
      <c r="I1" s="105"/>
      <c r="J1" s="4"/>
      <c r="K1" s="4"/>
    </row>
    <row r="2" spans="1:14" ht="19.5" customHeight="1">
      <c r="A2" s="108" t="s">
        <v>2</v>
      </c>
      <c r="B2" s="108"/>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85">Sites[Site]</f>
        <v>Lexington - Cotting School</v>
      </c>
      <c r="B4" s="40" t="str" cm="1">
        <f t="array" ref="B4:B8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06" t="str" cm="1">
        <f t="array" ref="A1">portfolio</f>
        <v>Clean Capital</v>
      </c>
      <c r="B1" s="106"/>
      <c r="C1" s="106"/>
      <c r="D1" s="107" t="s">
        <v>40</v>
      </c>
      <c r="E1" s="107"/>
      <c r="F1" s="107"/>
      <c r="G1" s="105" t="s">
        <v>41</v>
      </c>
      <c r="H1" s="105"/>
      <c r="I1" s="105"/>
      <c r="J1" s="4"/>
      <c r="K1" s="4"/>
    </row>
    <row r="2" spans="1:16" ht="19.5" customHeight="1">
      <c r="A2" s="108" t="s">
        <v>2</v>
      </c>
      <c r="B2" s="108"/>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85">Sites[Site]</f>
        <v>Lexington - Cotting School</v>
      </c>
      <c r="B4" s="40" t="str" cm="1">
        <f t="array" ref="B4:B8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56"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06" t="str" cm="1">
        <f t="array" ref="A1">portfolio</f>
        <v>Clean Capital</v>
      </c>
      <c r="B1" s="106"/>
      <c r="C1" s="106"/>
      <c r="D1" s="107" t="s">
        <v>81</v>
      </c>
      <c r="E1" s="107"/>
      <c r="F1" s="107"/>
      <c r="G1" s="105" t="s">
        <v>82</v>
      </c>
      <c r="H1" s="105"/>
      <c r="I1" s="105"/>
      <c r="J1" s="4"/>
      <c r="K1" s="4"/>
    </row>
    <row r="2" spans="1:15" ht="19.5" customHeight="1">
      <c r="A2" s="108" t="s">
        <v>2</v>
      </c>
      <c r="B2" s="108"/>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85">Sites[Site]</f>
        <v>Lexington - Cotting School</v>
      </c>
      <c r="B4" s="40" t="str" cm="1">
        <f t="array" ref="B4:B8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44" activePane="bottomRight" state="frozen"/>
      <selection pane="bottomRight" activeCell="J46" sqref="J46"/>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6" t="str" cm="1">
        <f t="array" ref="A1">portfolio</f>
        <v>Clean Capital</v>
      </c>
      <c r="B1" s="106"/>
      <c r="C1" s="106"/>
      <c r="D1" s="107" t="s">
        <v>128</v>
      </c>
      <c r="E1" s="107"/>
      <c r="F1" s="107"/>
      <c r="G1" s="105" t="s">
        <v>129</v>
      </c>
      <c r="H1" s="105"/>
      <c r="I1" s="105"/>
      <c r="J1" s="4"/>
      <c r="K1" s="4"/>
    </row>
    <row r="2" spans="1:16" ht="19.5" customHeight="1">
      <c r="A2" s="108" t="s">
        <v>2</v>
      </c>
      <c r="B2" s="108"/>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85">Sites[Site]</f>
        <v>Lexington - Cotting School</v>
      </c>
      <c r="B4" s="40" t="str" cm="1">
        <f t="array" ref="B4:B8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43.15">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85" zoomScaleNormal="85" workbookViewId="0">
      <pane xSplit="2" ySplit="3" topLeftCell="C73" activePane="bottomRight" state="frozen"/>
      <selection pane="bottomRight" activeCell="J39" sqref="J39"/>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06" t="str" cm="1">
        <f t="array" ref="A1">portfolio</f>
        <v>Clean Capital</v>
      </c>
      <c r="B1" s="106"/>
      <c r="C1" s="106"/>
      <c r="D1" s="107" t="s">
        <v>204</v>
      </c>
      <c r="E1" s="107"/>
      <c r="F1" s="107"/>
      <c r="G1" s="105" t="s">
        <v>205</v>
      </c>
      <c r="H1" s="105"/>
      <c r="I1" s="105"/>
      <c r="J1" s="4"/>
      <c r="K1" s="4"/>
    </row>
    <row r="2" spans="1:15" ht="19.5" customHeight="1">
      <c r="A2" s="108" t="s">
        <v>2</v>
      </c>
      <c r="B2" s="108"/>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85">Sites[Site]</f>
        <v>Lexington - Cotting School</v>
      </c>
      <c r="B4" s="40" t="str" cm="1">
        <f t="array" ref="B4:B8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60" customHeight="1">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69" customHeight="1">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94.5"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hidden="1">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28.9">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tabSelected="1" zoomScale="70" zoomScaleNormal="70" workbookViewId="0">
      <pane xSplit="2" ySplit="3" topLeftCell="C5" activePane="bottomRight" state="frozen"/>
      <selection pane="bottomRight" activeCell="D6" sqref="D6"/>
      <selection pane="bottomLeft" activeCell="H13" sqref="H13"/>
      <selection pane="topRight" activeCell="H13" sqref="H13"/>
    </sheetView>
  </sheetViews>
  <sheetFormatPr defaultRowHeight="14.25"/>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4"/>
  </cols>
  <sheetData>
    <row r="1" spans="1:16" ht="19.5" customHeight="1">
      <c r="A1" s="106" t="str" cm="1">
        <f t="array" ref="A1">portfolio</f>
        <v>Clean Capital</v>
      </c>
      <c r="B1" s="106"/>
      <c r="C1" s="106"/>
      <c r="D1" s="107" t="s">
        <v>345</v>
      </c>
      <c r="E1" s="107"/>
      <c r="F1" s="107"/>
      <c r="G1" s="105" t="s">
        <v>346</v>
      </c>
      <c r="H1" s="105"/>
      <c r="I1" s="105"/>
      <c r="J1" s="4"/>
      <c r="K1" s="4"/>
    </row>
    <row r="2" spans="1:16" ht="19.5" customHeight="1">
      <c r="A2" s="108" t="s">
        <v>2</v>
      </c>
      <c r="B2" s="108"/>
      <c r="C2" s="5">
        <f>SUM(C4:C85)</f>
        <v>6188915.652209864</v>
      </c>
      <c r="D2" s="5">
        <f>SUM(D4:D85)</f>
        <v>4213786.7369083203</v>
      </c>
      <c r="E2" s="5">
        <f>C2-D2</f>
        <v>1975128.9153015437</v>
      </c>
      <c r="F2" s="6">
        <f>IFERROR(E2/D2, 0)</f>
        <v>0.46873015618030711</v>
      </c>
      <c r="G2" s="5">
        <f>SUM(G4:G85)</f>
        <v>7276054.1450000023</v>
      </c>
      <c r="H2" s="7">
        <f>C2-G2</f>
        <v>-1087138.4927901383</v>
      </c>
      <c r="I2" s="6">
        <f>IFERROR(H2/G2, 0)</f>
        <v>-0.14941319444924747</v>
      </c>
      <c r="J2" s="11" t="str">
        <f ca="1">IF(AND(TODAY()&gt;DATE(2024, 7,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57" customHeight="1">
      <c r="A4" s="39" t="str" cm="1">
        <f t="array" ref="A4:A85">Sites[Site]</f>
        <v>Lexington - Cotting School</v>
      </c>
      <c r="B4" s="40" t="str" cm="1">
        <f t="array" ref="B4:B85">Sites[State]</f>
        <v>MA</v>
      </c>
      <c r="C4" s="28">
        <v>45160</v>
      </c>
      <c r="D4" s="29" t="s">
        <v>43</v>
      </c>
      <c r="E4" s="29" t="str">
        <f>IF(AND(ISNUMBER(C4),ISNUMBER(D4)), C4-D4, "")</f>
        <v/>
      </c>
      <c r="F4" s="30" t="str">
        <f t="shared" ref="F4:F35" si="0">IFERROR(E4/D4, "")</f>
        <v/>
      </c>
      <c r="G4" s="73" t="s">
        <v>43</v>
      </c>
      <c r="H4" s="31" t="str">
        <f>IF(AND(ISNUMBER(C4),ISNUMBER(G4)), C4-G4, "")</f>
        <v/>
      </c>
      <c r="I4" s="32" t="str">
        <f>IFERROR(H4/G4, "")</f>
        <v/>
      </c>
      <c r="J4" s="49" t="s">
        <v>206</v>
      </c>
      <c r="K4" s="67" t="s">
        <v>207</v>
      </c>
    </row>
    <row r="5" spans="1:16" ht="248.25" customHeight="1">
      <c r="A5" s="41" t="str">
        <v>Pacoima - Whiteman Airport</v>
      </c>
      <c r="B5" s="42" t="str">
        <v>CA</v>
      </c>
      <c r="C5" s="35">
        <v>33959.1</v>
      </c>
      <c r="D5" s="36" t="s">
        <v>43</v>
      </c>
      <c r="E5" s="36" t="str">
        <f t="shared" ref="E5" si="1">IF(AND(ISNUMBER(C5),ISNUMBER(D5)), C5-D5, "")</f>
        <v/>
      </c>
      <c r="F5" s="37" t="str">
        <f t="shared" si="0"/>
        <v/>
      </c>
      <c r="G5" s="38">
        <v>68640</v>
      </c>
      <c r="H5" s="38">
        <f t="shared" ref="H5:H12" si="2">IF(AND(ISNUMBER(C5),ISNUMBER(G5)), C5-G5, "")</f>
        <v>-34680.9</v>
      </c>
      <c r="I5" s="37">
        <f t="shared" ref="I5:I12" si="3">IFERROR(H5/G5, "")</f>
        <v>-0.50525786713286713</v>
      </c>
      <c r="J5" s="60" t="s">
        <v>347</v>
      </c>
      <c r="K5" s="68" t="s">
        <v>348</v>
      </c>
      <c r="L5" s="95" t="s">
        <v>135</v>
      </c>
      <c r="M5" s="95" t="s">
        <v>135</v>
      </c>
      <c r="N5" s="95" t="s">
        <v>135</v>
      </c>
      <c r="O5" s="95" t="s">
        <v>136</v>
      </c>
      <c r="P5" s="95" t="s">
        <v>349</v>
      </c>
    </row>
    <row r="6" spans="1:16" ht="15.75">
      <c r="A6" s="43" t="str">
        <v>Hyannis - Sturgis Charter School</v>
      </c>
      <c r="B6" s="40" t="str">
        <v>MA</v>
      </c>
      <c r="C6" s="28">
        <v>38047.875</v>
      </c>
      <c r="D6" s="29" t="s">
        <v>43</v>
      </c>
      <c r="E6" s="29" t="str">
        <f t="shared" ref="E6:E37" si="4">IF(AND(ISNUMBER(C6),ISNUMBER(D6)), C6-D6, "")</f>
        <v/>
      </c>
      <c r="F6" s="30" t="str">
        <f t="shared" si="0"/>
        <v/>
      </c>
      <c r="G6" s="31">
        <v>36029.08</v>
      </c>
      <c r="H6" s="31">
        <f>IF(AND(ISNUMBER(C6),ISNUMBER(G6)), C6-G6, "")</f>
        <v>2018.7949999999983</v>
      </c>
      <c r="I6" s="32">
        <f>IFERROR(H6/G6, "")</f>
        <v>5.603237717976696E-2</v>
      </c>
      <c r="J6" s="49" t="s">
        <v>350</v>
      </c>
      <c r="K6" s="67" t="s">
        <v>351</v>
      </c>
    </row>
    <row r="7" spans="1:16" ht="60.75">
      <c r="A7" s="41" t="str">
        <v>South Dennis - Tony Kent Arena</v>
      </c>
      <c r="B7" s="42" t="str">
        <v>MA</v>
      </c>
      <c r="C7" s="35">
        <v>45190</v>
      </c>
      <c r="D7" s="36" t="s">
        <v>43</v>
      </c>
      <c r="E7" s="36" t="str">
        <f t="shared" si="4"/>
        <v/>
      </c>
      <c r="F7" s="37" t="str">
        <f t="shared" si="0"/>
        <v/>
      </c>
      <c r="G7" s="102" t="s">
        <v>43</v>
      </c>
      <c r="H7" s="38" t="str">
        <f t="shared" si="2"/>
        <v/>
      </c>
      <c r="I7" s="37" t="str">
        <f>IFERROR(H7/G7, "")</f>
        <v/>
      </c>
      <c r="J7" s="50" t="s">
        <v>91</v>
      </c>
      <c r="K7" s="68" t="s">
        <v>137</v>
      </c>
      <c r="L7" s="95" t="s">
        <v>53</v>
      </c>
    </row>
    <row r="8" spans="1:16" ht="91.5">
      <c r="A8" s="43" t="str">
        <v xml:space="preserve"> Caropolis - Felician Sisters</v>
      </c>
      <c r="B8" s="40" t="str">
        <v>PA</v>
      </c>
      <c r="C8" s="28">
        <v>67944.600000000006</v>
      </c>
      <c r="D8" s="29" t="s">
        <v>43</v>
      </c>
      <c r="E8" s="29" t="str">
        <f t="shared" si="4"/>
        <v/>
      </c>
      <c r="F8" s="30" t="str">
        <f t="shared" si="0"/>
        <v/>
      </c>
      <c r="G8" s="73" t="s">
        <v>43</v>
      </c>
      <c r="H8" s="31" t="str">
        <f t="shared" si="2"/>
        <v/>
      </c>
      <c r="I8" s="32" t="str">
        <f t="shared" si="3"/>
        <v/>
      </c>
      <c r="J8" s="49" t="s">
        <v>209</v>
      </c>
      <c r="K8" s="67" t="s">
        <v>210</v>
      </c>
      <c r="L8" s="95" t="s">
        <v>95</v>
      </c>
    </row>
    <row r="9" spans="1:16" ht="65.45" customHeight="1">
      <c r="A9" s="41" t="str">
        <v>Clear Lake - Eastlake Gohman</v>
      </c>
      <c r="B9" s="42" t="str">
        <v>MN</v>
      </c>
      <c r="C9" s="35">
        <v>194116</v>
      </c>
      <c r="D9" s="36" t="s">
        <v>43</v>
      </c>
      <c r="E9" s="36" t="str">
        <f t="shared" si="4"/>
        <v/>
      </c>
      <c r="F9" s="37" t="str">
        <f t="shared" si="0"/>
        <v/>
      </c>
      <c r="G9" s="38">
        <v>211756.7</v>
      </c>
      <c r="H9" s="38">
        <f t="shared" si="2"/>
        <v>-17640.700000000012</v>
      </c>
      <c r="I9" s="37">
        <f t="shared" si="3"/>
        <v>-8.3306455002368329E-2</v>
      </c>
      <c r="J9" s="66" t="s">
        <v>352</v>
      </c>
      <c r="K9" s="68" t="s">
        <v>353</v>
      </c>
      <c r="L9" s="95" t="s">
        <v>354</v>
      </c>
      <c r="M9" s="95" t="s">
        <v>355</v>
      </c>
    </row>
    <row r="10" spans="1:16" ht="15.75">
      <c r="A10" s="43" t="str">
        <v>Zumbrota - Eastlake Brenda Luhman</v>
      </c>
      <c r="B10" s="40" t="str">
        <v>MN</v>
      </c>
      <c r="C10" s="28">
        <v>217797</v>
      </c>
      <c r="D10" s="29" t="s">
        <v>43</v>
      </c>
      <c r="E10" s="29" t="str">
        <f t="shared" si="4"/>
        <v/>
      </c>
      <c r="F10" s="30" t="str">
        <f t="shared" si="0"/>
        <v/>
      </c>
      <c r="G10" s="31">
        <v>207047.9</v>
      </c>
      <c r="H10" s="31">
        <f t="shared" si="2"/>
        <v>10749.100000000006</v>
      </c>
      <c r="I10" s="32">
        <f t="shared" si="3"/>
        <v>5.1916005909743622E-2</v>
      </c>
      <c r="J10" s="49"/>
      <c r="K10" s="49"/>
    </row>
    <row r="11" spans="1:16" ht="30.75">
      <c r="A11" s="41" t="str">
        <v>Cokato - Eastlake Carlson</v>
      </c>
      <c r="B11" s="42" t="str">
        <v>MN</v>
      </c>
      <c r="C11" s="35">
        <v>209302</v>
      </c>
      <c r="D11" s="36" t="s">
        <v>43</v>
      </c>
      <c r="E11" s="36" t="str">
        <f t="shared" si="4"/>
        <v/>
      </c>
      <c r="F11" s="37" t="str">
        <f t="shared" si="0"/>
        <v/>
      </c>
      <c r="G11" s="38">
        <v>222404</v>
      </c>
      <c r="H11" s="38">
        <f t="shared" si="2"/>
        <v>-13102</v>
      </c>
      <c r="I11" s="37">
        <f t="shared" si="3"/>
        <v>-5.8910810956637472E-2</v>
      </c>
      <c r="J11" s="50" t="s">
        <v>356</v>
      </c>
      <c r="K11" s="68" t="s">
        <v>357</v>
      </c>
    </row>
    <row r="12" spans="1:16" ht="76.5">
      <c r="A12" s="43" t="str">
        <v>North Branch - Cornille 2</v>
      </c>
      <c r="B12" s="40" t="str">
        <v>MN</v>
      </c>
      <c r="C12" s="28">
        <v>213975</v>
      </c>
      <c r="D12" s="29" t="s">
        <v>43</v>
      </c>
      <c r="E12" s="29" t="str">
        <f t="shared" si="4"/>
        <v/>
      </c>
      <c r="F12" s="30" t="str">
        <f t="shared" si="0"/>
        <v/>
      </c>
      <c r="G12" s="31">
        <v>208780.4</v>
      </c>
      <c r="H12" s="31">
        <f t="shared" si="2"/>
        <v>5194.6000000000058</v>
      </c>
      <c r="I12" s="32">
        <f t="shared" si="3"/>
        <v>2.4880688033934249E-2</v>
      </c>
      <c r="J12" s="49" t="s">
        <v>358</v>
      </c>
      <c r="K12" s="67" t="s">
        <v>359</v>
      </c>
      <c r="L12" s="95" t="s">
        <v>152</v>
      </c>
    </row>
    <row r="13" spans="1:16" ht="30.75">
      <c r="A13" s="41" t="str">
        <v>Clear Lake - Eastlake Hammer</v>
      </c>
      <c r="B13" s="42" t="str">
        <v>MN</v>
      </c>
      <c r="C13" s="35">
        <v>260364.685323382</v>
      </c>
      <c r="D13" s="36" t="s">
        <v>43</v>
      </c>
      <c r="E13" s="36" t="str">
        <f t="shared" si="4"/>
        <v/>
      </c>
      <c r="F13" s="37" t="str">
        <f t="shared" si="0"/>
        <v/>
      </c>
      <c r="G13" s="38">
        <v>272073.8</v>
      </c>
      <c r="H13" s="38">
        <f t="shared" ref="H13:H44" si="5">IF(AND(ISNUMBER(C13),ISNUMBER(G13)), C13-G13, "")</f>
        <v>-11709.114676617988</v>
      </c>
      <c r="I13" s="37">
        <f t="shared" ref="I13:I44" si="6">IFERROR(H13/G13, "")</f>
        <v>-4.3036538897232988E-2</v>
      </c>
      <c r="J13" s="50" t="s">
        <v>360</v>
      </c>
      <c r="K13" s="68" t="s">
        <v>361</v>
      </c>
    </row>
    <row r="14" spans="1:16" ht="83.25" customHeight="1">
      <c r="A14" s="43" t="str">
        <v>Eastlake - Hertzberg CSG 1</v>
      </c>
      <c r="B14" s="40" t="str">
        <v>MN</v>
      </c>
      <c r="C14" s="28">
        <v>227610.99400000001</v>
      </c>
      <c r="D14" s="29" t="s">
        <v>43</v>
      </c>
      <c r="E14" s="29" t="str">
        <f t="shared" si="4"/>
        <v/>
      </c>
      <c r="F14" s="30" t="str">
        <f t="shared" si="0"/>
        <v/>
      </c>
      <c r="G14" s="31">
        <v>268893.815</v>
      </c>
      <c r="H14" s="31">
        <f t="shared" si="5"/>
        <v>-41282.820999999996</v>
      </c>
      <c r="I14" s="32">
        <f t="shared" si="6"/>
        <v>-0.15352833980208877</v>
      </c>
      <c r="J14" s="49" t="s">
        <v>362</v>
      </c>
      <c r="K14" s="67" t="s">
        <v>363</v>
      </c>
      <c r="L14" s="95" t="s">
        <v>364</v>
      </c>
    </row>
    <row r="15" spans="1:16" ht="30.75">
      <c r="A15" s="41" t="str">
        <v>Cokato - Eastlake Laurel Village</v>
      </c>
      <c r="B15" s="42" t="str">
        <v>MN</v>
      </c>
      <c r="C15" s="35">
        <v>276621</v>
      </c>
      <c r="D15" s="36" t="s">
        <v>43</v>
      </c>
      <c r="E15" s="36" t="str">
        <f t="shared" si="4"/>
        <v/>
      </c>
      <c r="F15" s="37" t="str">
        <f t="shared" si="0"/>
        <v/>
      </c>
      <c r="G15" s="38">
        <v>273010.2</v>
      </c>
      <c r="H15" s="38">
        <f t="shared" si="5"/>
        <v>3610.7999999999884</v>
      </c>
      <c r="I15" s="37">
        <f t="shared" si="6"/>
        <v>1.3225879472635045E-2</v>
      </c>
      <c r="J15" s="50" t="s">
        <v>365</v>
      </c>
      <c r="K15" s="68" t="s">
        <v>366</v>
      </c>
    </row>
    <row r="16" spans="1:16" ht="45.75">
      <c r="A16" s="43" t="str">
        <v>St. Peter - Eastlake Paulson</v>
      </c>
      <c r="B16" s="40" t="str">
        <v>MN</v>
      </c>
      <c r="C16" s="28">
        <v>221361.14769025601</v>
      </c>
      <c r="D16" s="29" t="s">
        <v>43</v>
      </c>
      <c r="E16" s="29" t="str">
        <f t="shared" si="4"/>
        <v/>
      </c>
      <c r="F16" s="30" t="str">
        <f t="shared" si="0"/>
        <v/>
      </c>
      <c r="G16" s="31">
        <v>232603</v>
      </c>
      <c r="H16" s="31">
        <f t="shared" si="5"/>
        <v>-11241.85230974399</v>
      </c>
      <c r="I16" s="32">
        <f t="shared" si="6"/>
        <v>-4.8330641951066795E-2</v>
      </c>
      <c r="J16" s="49" t="s">
        <v>367</v>
      </c>
      <c r="K16" s="67" t="s">
        <v>368</v>
      </c>
      <c r="L16" s="95" t="s">
        <v>369</v>
      </c>
    </row>
    <row r="17" spans="1:14" ht="60.75">
      <c r="A17" s="41" t="str">
        <v>Felician Sisters Convent</v>
      </c>
      <c r="B17" s="42" t="str">
        <v>NJ</v>
      </c>
      <c r="C17" s="35">
        <v>4559.3999999999996</v>
      </c>
      <c r="D17" s="36" t="s">
        <v>43</v>
      </c>
      <c r="E17" s="36" t="str">
        <f t="shared" si="4"/>
        <v/>
      </c>
      <c r="F17" s="37" t="str">
        <f t="shared" si="0"/>
        <v/>
      </c>
      <c r="G17" s="74" t="s">
        <v>43</v>
      </c>
      <c r="H17" s="38" t="str">
        <f t="shared" si="5"/>
        <v/>
      </c>
      <c r="I17" s="37" t="str">
        <f t="shared" si="6"/>
        <v/>
      </c>
      <c r="J17" s="50" t="s">
        <v>370</v>
      </c>
      <c r="K17" s="68" t="s">
        <v>235</v>
      </c>
    </row>
    <row r="18" spans="1:14" ht="76.5">
      <c r="A18" s="43" t="str">
        <v>Sussex County Fairgrounds</v>
      </c>
      <c r="B18" s="40" t="str">
        <v>NJ</v>
      </c>
      <c r="C18" s="28">
        <v>63906.8</v>
      </c>
      <c r="D18" s="29" t="s">
        <v>43</v>
      </c>
      <c r="E18" s="29" t="str">
        <f t="shared" si="4"/>
        <v/>
      </c>
      <c r="F18" s="30" t="str">
        <f t="shared" si="0"/>
        <v/>
      </c>
      <c r="G18" s="73" t="s">
        <v>43</v>
      </c>
      <c r="H18" s="31" t="str">
        <f t="shared" si="5"/>
        <v/>
      </c>
      <c r="I18" s="32" t="str">
        <f t="shared" si="6"/>
        <v/>
      </c>
      <c r="J18" s="49" t="s">
        <v>371</v>
      </c>
      <c r="K18" s="67" t="s">
        <v>372</v>
      </c>
      <c r="L18" s="95" t="s">
        <v>121</v>
      </c>
    </row>
    <row r="19" spans="1:14" ht="60.75">
      <c r="A19" s="41" t="str">
        <v>Gateway Church</v>
      </c>
      <c r="B19" s="42" t="str">
        <v>NJ</v>
      </c>
      <c r="C19" s="35">
        <v>35865</v>
      </c>
      <c r="D19" s="36" t="s">
        <v>43</v>
      </c>
      <c r="E19" s="36" t="str">
        <f t="shared" si="4"/>
        <v/>
      </c>
      <c r="F19" s="37" t="str">
        <f t="shared" si="0"/>
        <v/>
      </c>
      <c r="G19" s="74" t="s">
        <v>43</v>
      </c>
      <c r="H19" s="38" t="str">
        <f t="shared" si="5"/>
        <v/>
      </c>
      <c r="I19" s="37" t="str">
        <f t="shared" si="6"/>
        <v/>
      </c>
      <c r="J19" s="50" t="s">
        <v>373</v>
      </c>
      <c r="K19" s="68" t="s">
        <v>374</v>
      </c>
    </row>
    <row r="20" spans="1:14" ht="60.75">
      <c r="A20" s="43" t="str">
        <v>Beaver Falls - Felician Sisters</v>
      </c>
      <c r="B20" s="40" t="str">
        <v>PA</v>
      </c>
      <c r="C20" s="28">
        <v>48534</v>
      </c>
      <c r="D20" s="29" t="s">
        <v>43</v>
      </c>
      <c r="E20" s="29" t="str">
        <f t="shared" si="4"/>
        <v/>
      </c>
      <c r="F20" s="30" t="str">
        <f t="shared" si="0"/>
        <v/>
      </c>
      <c r="G20" s="73" t="s">
        <v>43</v>
      </c>
      <c r="H20" s="31" t="str">
        <f t="shared" si="5"/>
        <v/>
      </c>
      <c r="I20" s="32" t="str">
        <f t="shared" si="6"/>
        <v/>
      </c>
      <c r="J20" s="49" t="s">
        <v>375</v>
      </c>
      <c r="K20" s="67" t="s">
        <v>242</v>
      </c>
    </row>
    <row r="21" spans="1:14" ht="91.5">
      <c r="A21" s="41" t="str">
        <v>Livonia - Felician Sisters Ground</v>
      </c>
      <c r="B21" s="42" t="str">
        <v>MI</v>
      </c>
      <c r="C21" s="35">
        <v>0</v>
      </c>
      <c r="D21" s="36" t="s">
        <v>43</v>
      </c>
      <c r="E21" s="36" t="str">
        <f t="shared" si="4"/>
        <v/>
      </c>
      <c r="F21" s="37" t="str">
        <f t="shared" si="0"/>
        <v/>
      </c>
      <c r="G21" s="74" t="s">
        <v>43</v>
      </c>
      <c r="H21" s="38" t="str">
        <f t="shared" si="5"/>
        <v/>
      </c>
      <c r="I21" s="37" t="str">
        <f t="shared" si="6"/>
        <v/>
      </c>
      <c r="J21" s="50" t="s">
        <v>376</v>
      </c>
      <c r="K21" s="68" t="s">
        <v>244</v>
      </c>
      <c r="L21" s="95" t="s">
        <v>127</v>
      </c>
      <c r="M21" s="95" t="s">
        <v>80</v>
      </c>
    </row>
    <row r="22" spans="1:14" ht="30.75">
      <c r="A22" s="43" t="str">
        <v>Livonia - Felician Sisters Roof</v>
      </c>
      <c r="B22" s="40" t="str">
        <v>MI</v>
      </c>
      <c r="C22" s="28">
        <v>17462</v>
      </c>
      <c r="D22" s="29" t="s">
        <v>43</v>
      </c>
      <c r="E22" s="29" t="str">
        <f t="shared" si="4"/>
        <v/>
      </c>
      <c r="F22" s="30" t="str">
        <f t="shared" si="0"/>
        <v/>
      </c>
      <c r="G22" s="73" t="s">
        <v>43</v>
      </c>
      <c r="H22" s="31" t="str">
        <f t="shared" si="5"/>
        <v/>
      </c>
      <c r="I22" s="32" t="str">
        <f t="shared" si="6"/>
        <v/>
      </c>
      <c r="J22" s="49" t="s">
        <v>377</v>
      </c>
      <c r="K22" s="67" t="s">
        <v>378</v>
      </c>
      <c r="L22" s="95" t="s">
        <v>379</v>
      </c>
    </row>
    <row r="23" spans="1:14" ht="15.75">
      <c r="A23" s="41" t="str">
        <v>Monmouth Worship Ctr</v>
      </c>
      <c r="B23" s="42" t="str">
        <v>NJ</v>
      </c>
      <c r="C23" s="35">
        <v>12364</v>
      </c>
      <c r="D23" s="36" t="s">
        <v>43</v>
      </c>
      <c r="E23" s="36" t="str">
        <f t="shared" si="4"/>
        <v/>
      </c>
      <c r="F23" s="37" t="str">
        <f t="shared" si="0"/>
        <v/>
      </c>
      <c r="G23" s="74" t="s">
        <v>43</v>
      </c>
      <c r="H23" s="38" t="str">
        <f t="shared" si="5"/>
        <v/>
      </c>
      <c r="I23" s="37" t="str">
        <f t="shared" si="6"/>
        <v/>
      </c>
      <c r="J23" s="50"/>
      <c r="K23" s="51"/>
    </row>
    <row r="24" spans="1:14" ht="60.75">
      <c r="A24" s="43" t="str">
        <v xml:space="preserve"> Audubon - Senior Citizens United</v>
      </c>
      <c r="B24" s="40" t="str">
        <v>NJ</v>
      </c>
      <c r="C24" s="28">
        <v>14095</v>
      </c>
      <c r="D24" s="29" t="s">
        <v>43</v>
      </c>
      <c r="E24" s="29" t="str">
        <f t="shared" si="4"/>
        <v/>
      </c>
      <c r="F24" s="30" t="str">
        <f t="shared" si="0"/>
        <v/>
      </c>
      <c r="G24" s="73" t="s">
        <v>43</v>
      </c>
      <c r="H24" s="31" t="str">
        <f t="shared" si="5"/>
        <v/>
      </c>
      <c r="I24" s="32" t="str">
        <f t="shared" si="6"/>
        <v/>
      </c>
      <c r="J24" s="49" t="s">
        <v>380</v>
      </c>
      <c r="K24" s="67" t="s">
        <v>248</v>
      </c>
    </row>
    <row r="25" spans="1:14" ht="124.5" customHeight="1">
      <c r="A25" s="41" t="str">
        <v>Hollister - PG&amp;E (Enerparc)</v>
      </c>
      <c r="B25" s="42" t="str">
        <v>CA</v>
      </c>
      <c r="C25" s="35">
        <v>0</v>
      </c>
      <c r="D25" s="36">
        <v>0</v>
      </c>
      <c r="E25" s="36">
        <f t="shared" si="4"/>
        <v>0</v>
      </c>
      <c r="F25" s="37" t="str">
        <f t="shared" si="0"/>
        <v/>
      </c>
      <c r="G25" s="38">
        <v>418819.3</v>
      </c>
      <c r="H25" s="38">
        <f t="shared" si="5"/>
        <v>-418819.3</v>
      </c>
      <c r="I25" s="37">
        <f t="shared" si="6"/>
        <v>-1</v>
      </c>
      <c r="J25" s="50" t="s">
        <v>381</v>
      </c>
      <c r="K25" s="68" t="s">
        <v>382</v>
      </c>
      <c r="L25" s="95" t="s">
        <v>383</v>
      </c>
      <c r="M25" s="95" t="s">
        <v>251</v>
      </c>
      <c r="N25" s="95" t="s">
        <v>252</v>
      </c>
    </row>
    <row r="26" spans="1:14" ht="30.75">
      <c r="A26" s="43" t="str">
        <v>Taos County - Kit Carson Electric Co-Op</v>
      </c>
      <c r="B26" s="40" t="str">
        <v>NM</v>
      </c>
      <c r="C26" s="28">
        <v>318620</v>
      </c>
      <c r="D26" s="29">
        <v>232697.4</v>
      </c>
      <c r="E26" s="29">
        <f t="shared" si="4"/>
        <v>85922.6</v>
      </c>
      <c r="F26" s="30">
        <f t="shared" si="0"/>
        <v>0.36924606806951865</v>
      </c>
      <c r="G26" s="31">
        <v>212995</v>
      </c>
      <c r="H26" s="31">
        <f t="shared" si="5"/>
        <v>105625</v>
      </c>
      <c r="I26" s="32">
        <f t="shared" si="6"/>
        <v>0.49590365971032185</v>
      </c>
      <c r="J26" s="49" t="s">
        <v>384</v>
      </c>
      <c r="K26" s="49"/>
    </row>
    <row r="27" spans="1:14" ht="30.75">
      <c r="A27" s="41" t="str">
        <v>Commerce City - Adams City HS</v>
      </c>
      <c r="B27" s="42" t="str">
        <v>CO</v>
      </c>
      <c r="C27" s="35">
        <v>16174</v>
      </c>
      <c r="D27" s="36">
        <v>13789.06</v>
      </c>
      <c r="E27" s="36">
        <f t="shared" si="4"/>
        <v>2384.9400000000005</v>
      </c>
      <c r="F27" s="37">
        <f t="shared" si="0"/>
        <v>0.17295885288772408</v>
      </c>
      <c r="G27" s="38">
        <v>15090.74</v>
      </c>
      <c r="H27" s="38">
        <f t="shared" si="5"/>
        <v>1083.2600000000002</v>
      </c>
      <c r="I27" s="37">
        <f t="shared" si="6"/>
        <v>7.1783093473216042E-2</v>
      </c>
      <c r="J27" s="50" t="s">
        <v>385</v>
      </c>
      <c r="K27" s="51"/>
    </row>
    <row r="28" spans="1:14" ht="15.75">
      <c r="A28" s="43" t="str">
        <v>Commerce City - Adams City MS</v>
      </c>
      <c r="B28" s="40" t="str">
        <v>CO</v>
      </c>
      <c r="C28" s="28">
        <v>13401</v>
      </c>
      <c r="D28" s="29">
        <v>12529.32</v>
      </c>
      <c r="E28" s="29">
        <f t="shared" si="4"/>
        <v>871.68000000000029</v>
      </c>
      <c r="F28" s="30">
        <f t="shared" si="0"/>
        <v>6.9571213761002212E-2</v>
      </c>
      <c r="G28" s="31">
        <v>13271.79</v>
      </c>
      <c r="H28" s="31">
        <f t="shared" si="5"/>
        <v>129.20999999999913</v>
      </c>
      <c r="I28" s="32">
        <f t="shared" si="6"/>
        <v>9.7356874995761025E-3</v>
      </c>
      <c r="J28" s="49"/>
      <c r="K28" s="49"/>
    </row>
    <row r="29" spans="1:14" ht="15.75">
      <c r="A29" s="41" t="str">
        <v>Commerce City - Central ES</v>
      </c>
      <c r="B29" s="42" t="str">
        <v>CO</v>
      </c>
      <c r="C29" s="35">
        <v>3542.3</v>
      </c>
      <c r="D29" s="36">
        <v>3602.3339999999998</v>
      </c>
      <c r="E29" s="36">
        <f t="shared" si="4"/>
        <v>-60.033999999999651</v>
      </c>
      <c r="F29" s="37">
        <f t="shared" si="0"/>
        <v>-1.666530643743741E-2</v>
      </c>
      <c r="G29" s="38">
        <v>3901.3209999999999</v>
      </c>
      <c r="H29" s="38">
        <f t="shared" si="5"/>
        <v>-359.02099999999973</v>
      </c>
      <c r="I29" s="37">
        <f t="shared" si="6"/>
        <v>-9.2025495979438696E-2</v>
      </c>
      <c r="J29" s="50"/>
      <c r="K29" s="51"/>
    </row>
    <row r="30" spans="1:14" ht="15.75">
      <c r="A30" s="43" t="str">
        <v>Commerce City - Dupont ES</v>
      </c>
      <c r="B30" s="40" t="str">
        <v>CO</v>
      </c>
      <c r="C30" s="28">
        <v>10965</v>
      </c>
      <c r="D30" s="29">
        <v>10210.219999999999</v>
      </c>
      <c r="E30" s="29">
        <f t="shared" si="4"/>
        <v>754.78000000000065</v>
      </c>
      <c r="F30" s="30">
        <f t="shared" si="0"/>
        <v>7.3923970296428554E-2</v>
      </c>
      <c r="G30" s="31">
        <v>11266.63</v>
      </c>
      <c r="H30" s="31">
        <f t="shared" si="5"/>
        <v>-301.6299999999992</v>
      </c>
      <c r="I30" s="32">
        <f t="shared" si="6"/>
        <v>-2.6771980618871767E-2</v>
      </c>
      <c r="J30" s="49"/>
      <c r="K30" s="49"/>
    </row>
    <row r="31" spans="1:14" ht="15.75">
      <c r="A31" s="41" t="str">
        <v>Commerce City - Educational Support Services</v>
      </c>
      <c r="B31" s="42" t="str">
        <v>CO</v>
      </c>
      <c r="C31" s="35">
        <v>11410</v>
      </c>
      <c r="D31" s="36">
        <v>10530.03</v>
      </c>
      <c r="E31" s="36">
        <f t="shared" si="4"/>
        <v>879.96999999999935</v>
      </c>
      <c r="F31" s="37">
        <f t="shared" si="0"/>
        <v>8.3567663150057439E-2</v>
      </c>
      <c r="G31" s="38">
        <v>11500.14</v>
      </c>
      <c r="H31" s="38">
        <f t="shared" si="5"/>
        <v>-90.139999999999418</v>
      </c>
      <c r="I31" s="37">
        <f t="shared" si="6"/>
        <v>-7.8381654484205778E-3</v>
      </c>
      <c r="J31" s="50"/>
      <c r="K31" s="51"/>
    </row>
    <row r="32" spans="1:14" ht="15.75">
      <c r="A32" s="43" t="str">
        <v>Commerce City - Hanson ES</v>
      </c>
      <c r="B32" s="40" t="str">
        <v>CO</v>
      </c>
      <c r="C32" s="28">
        <v>14359</v>
      </c>
      <c r="D32" s="29">
        <v>13731.56</v>
      </c>
      <c r="E32" s="29">
        <f t="shared" si="4"/>
        <v>627.44000000000051</v>
      </c>
      <c r="F32" s="30">
        <f t="shared" si="0"/>
        <v>4.5693278840860073E-2</v>
      </c>
      <c r="G32" s="31">
        <v>15033.49</v>
      </c>
      <c r="H32" s="31">
        <f t="shared" si="5"/>
        <v>-674.48999999999978</v>
      </c>
      <c r="I32" s="32">
        <f t="shared" si="6"/>
        <v>-4.4865829557873771E-2</v>
      </c>
      <c r="J32" s="49"/>
      <c r="K32" s="49"/>
    </row>
    <row r="33" spans="1:15" ht="38.25" customHeight="1">
      <c r="A33" s="41" t="str">
        <v>Commerce City - Kemp ES</v>
      </c>
      <c r="B33" s="42" t="str">
        <v>CO</v>
      </c>
      <c r="C33" s="35">
        <v>12990</v>
      </c>
      <c r="D33" s="36">
        <v>13724.519</v>
      </c>
      <c r="E33" s="36">
        <f t="shared" si="4"/>
        <v>-734.51900000000023</v>
      </c>
      <c r="F33" s="37">
        <f t="shared" si="0"/>
        <v>-5.3518742624058459E-2</v>
      </c>
      <c r="G33" s="38">
        <v>14983.057000000001</v>
      </c>
      <c r="H33" s="38">
        <f t="shared" si="5"/>
        <v>-1993.0570000000007</v>
      </c>
      <c r="I33" s="37">
        <f t="shared" si="6"/>
        <v>-0.13302071800167353</v>
      </c>
      <c r="J33" s="50" t="s">
        <v>386</v>
      </c>
      <c r="K33" s="69" t="s">
        <v>387</v>
      </c>
      <c r="L33" s="95" t="s">
        <v>388</v>
      </c>
    </row>
    <row r="34" spans="1:15" ht="33.75" customHeight="1">
      <c r="A34" s="43" t="str">
        <v>Commerce City -  Lester Arnold HS</v>
      </c>
      <c r="B34" s="40" t="str">
        <v>CO</v>
      </c>
      <c r="C34" s="28">
        <v>6913.9989674151902</v>
      </c>
      <c r="D34" s="29">
        <v>13267.75</v>
      </c>
      <c r="E34" s="29">
        <f t="shared" si="4"/>
        <v>-6353.7510325848098</v>
      </c>
      <c r="F34" s="30">
        <f t="shared" si="0"/>
        <v>-0.47888685214786303</v>
      </c>
      <c r="G34" s="31">
        <v>14593.02</v>
      </c>
      <c r="H34" s="31">
        <f t="shared" si="5"/>
        <v>-7679.0210325848102</v>
      </c>
      <c r="I34" s="32">
        <f t="shared" si="6"/>
        <v>-0.52621191724432703</v>
      </c>
      <c r="J34" s="49" t="s">
        <v>389</v>
      </c>
      <c r="K34" s="67" t="s">
        <v>263</v>
      </c>
      <c r="L34" s="95" t="s">
        <v>264</v>
      </c>
      <c r="M34" s="95" t="s">
        <v>265</v>
      </c>
    </row>
    <row r="35" spans="1:15" ht="15.75">
      <c r="A35" s="41" t="str">
        <v>Commerce City - Monaco ES</v>
      </c>
      <c r="B35" s="42" t="str">
        <v>CO</v>
      </c>
      <c r="C35" s="35">
        <v>14801</v>
      </c>
      <c r="D35" s="36">
        <v>13731.98</v>
      </c>
      <c r="E35" s="36">
        <f t="shared" si="4"/>
        <v>1069.0200000000004</v>
      </c>
      <c r="F35" s="37">
        <f t="shared" si="0"/>
        <v>7.7848933657054586E-2</v>
      </c>
      <c r="G35" s="38">
        <v>15033.49</v>
      </c>
      <c r="H35" s="38">
        <f t="shared" si="5"/>
        <v>-232.48999999999978</v>
      </c>
      <c r="I35" s="37">
        <f t="shared" si="6"/>
        <v>-1.5464805577414146E-2</v>
      </c>
      <c r="J35" s="50"/>
      <c r="K35" s="51"/>
    </row>
    <row r="36" spans="1:15" ht="15.75">
      <c r="A36" s="43" t="str">
        <v>Denver - Northgate / Old Fort Logan ES</v>
      </c>
      <c r="B36" s="40" t="str">
        <v>CO</v>
      </c>
      <c r="C36" s="28">
        <v>13060.0000000002</v>
      </c>
      <c r="D36" s="29">
        <v>11944.08</v>
      </c>
      <c r="E36" s="29">
        <f t="shared" si="4"/>
        <v>1115.9200000002002</v>
      </c>
      <c r="F36" s="30">
        <f t="shared" ref="F36:F67" si="7">IFERROR(E36/D36, "")</f>
        <v>9.3428711127202774E-2</v>
      </c>
      <c r="G36" s="31">
        <v>13903.58</v>
      </c>
      <c r="H36" s="31">
        <f t="shared" si="5"/>
        <v>-843.57999999979984</v>
      </c>
      <c r="I36" s="32">
        <f t="shared" si="6"/>
        <v>-6.0673581911982369E-2</v>
      </c>
      <c r="J36" s="49"/>
      <c r="K36" s="49"/>
    </row>
    <row r="37" spans="1:15" ht="15.75">
      <c r="A37" s="41" t="str">
        <v>Denver - Sheridan High School</v>
      </c>
      <c r="B37" s="42" t="str">
        <v>CO</v>
      </c>
      <c r="C37" s="35">
        <v>15216</v>
      </c>
      <c r="D37" s="36">
        <v>13779.41</v>
      </c>
      <c r="E37" s="36">
        <f t="shared" si="4"/>
        <v>1436.5900000000001</v>
      </c>
      <c r="F37" s="37">
        <f t="shared" si="7"/>
        <v>0.1042562780264177</v>
      </c>
      <c r="G37" s="38">
        <v>13836.56</v>
      </c>
      <c r="H37" s="38">
        <f t="shared" si="5"/>
        <v>1379.4400000000005</v>
      </c>
      <c r="I37" s="37">
        <f t="shared" si="6"/>
        <v>9.9695299987858296E-2</v>
      </c>
      <c r="J37" s="50"/>
      <c r="K37" s="51"/>
    </row>
    <row r="38" spans="1:15" ht="15.75">
      <c r="A38" s="43" t="str">
        <v>Englewood -  Alice Terry Elementary</v>
      </c>
      <c r="B38" s="40" t="str">
        <v>CO</v>
      </c>
      <c r="C38" s="28">
        <v>14253</v>
      </c>
      <c r="D38" s="29">
        <v>13779.63</v>
      </c>
      <c r="E38" s="29">
        <f t="shared" ref="E38:E69" si="8">IF(AND(ISNUMBER(C38),ISNUMBER(D38)), C38-D38, "")</f>
        <v>473.3700000000008</v>
      </c>
      <c r="F38" s="30">
        <f t="shared" si="7"/>
        <v>3.4352881753719137E-2</v>
      </c>
      <c r="G38" s="31">
        <v>13903.58</v>
      </c>
      <c r="H38" s="31">
        <f t="shared" si="5"/>
        <v>349.42000000000007</v>
      </c>
      <c r="I38" s="32">
        <f t="shared" si="6"/>
        <v>2.5131656738768007E-2</v>
      </c>
      <c r="J38" s="49"/>
      <c r="K38" s="49"/>
    </row>
    <row r="39" spans="1:15" ht="15.75">
      <c r="A39" s="41" t="str">
        <v>Englewood - Sheridan Middle School</v>
      </c>
      <c r="B39" s="42" t="str">
        <v>CO</v>
      </c>
      <c r="C39" s="35">
        <v>8499</v>
      </c>
      <c r="D39" s="36">
        <v>8247.7080000000005</v>
      </c>
      <c r="E39" s="36">
        <f t="shared" si="8"/>
        <v>251.29199999999946</v>
      </c>
      <c r="F39" s="37">
        <f t="shared" si="7"/>
        <v>3.0468100956047357E-2</v>
      </c>
      <c r="G39" s="38">
        <v>8142.3590000000004</v>
      </c>
      <c r="H39" s="38">
        <f t="shared" si="5"/>
        <v>356.64099999999962</v>
      </c>
      <c r="I39" s="37">
        <f t="shared" si="6"/>
        <v>4.3800697070713733E-2</v>
      </c>
      <c r="J39" s="50"/>
      <c r="K39" s="51"/>
    </row>
    <row r="40" spans="1:15" ht="45.75">
      <c r="A40" s="43" t="str">
        <v>Goshen - NIPSCO</v>
      </c>
      <c r="B40" s="40" t="str">
        <v>IN</v>
      </c>
      <c r="C40" s="28">
        <v>53669</v>
      </c>
      <c r="D40" s="29">
        <v>58710.61</v>
      </c>
      <c r="E40" s="29">
        <f t="shared" si="8"/>
        <v>-5041.6100000000006</v>
      </c>
      <c r="F40" s="30">
        <f t="shared" si="7"/>
        <v>-8.5872212876003176E-2</v>
      </c>
      <c r="G40" s="31">
        <v>73604.12</v>
      </c>
      <c r="H40" s="31">
        <f t="shared" si="5"/>
        <v>-19935.119999999995</v>
      </c>
      <c r="I40" s="32">
        <f t="shared" si="6"/>
        <v>-0.27084244740647667</v>
      </c>
      <c r="J40" s="49" t="s">
        <v>390</v>
      </c>
      <c r="K40" s="67" t="s">
        <v>190</v>
      </c>
    </row>
    <row r="41" spans="1:15" ht="60.75">
      <c r="A41" s="41" t="str">
        <v>Alamogordo - City of Alamogordo - Effluent</v>
      </c>
      <c r="B41" s="42" t="str">
        <v>NM</v>
      </c>
      <c r="C41" s="35">
        <v>22995</v>
      </c>
      <c r="D41" s="36">
        <v>26789.919999999998</v>
      </c>
      <c r="E41" s="36">
        <f t="shared" si="8"/>
        <v>-3794.9199999999983</v>
      </c>
      <c r="F41" s="37">
        <f t="shared" si="7"/>
        <v>-0.14165477164545465</v>
      </c>
      <c r="G41" s="38">
        <v>33158.93</v>
      </c>
      <c r="H41" s="38">
        <f t="shared" si="5"/>
        <v>-10163.93</v>
      </c>
      <c r="I41" s="37">
        <f t="shared" si="6"/>
        <v>-0.30652165193508957</v>
      </c>
      <c r="J41" s="50" t="s">
        <v>391</v>
      </c>
      <c r="K41" s="68" t="s">
        <v>392</v>
      </c>
      <c r="L41" s="95" t="s">
        <v>393</v>
      </c>
    </row>
    <row r="42" spans="1:15" ht="35.25">
      <c r="A42" s="43" t="str">
        <v>Alamogordo - City of Alamogordo - WWTP</v>
      </c>
      <c r="B42" s="40" t="str">
        <v>NM</v>
      </c>
      <c r="C42" s="28">
        <v>85320</v>
      </c>
      <c r="D42" s="29">
        <v>1.390832E-2</v>
      </c>
      <c r="E42" s="29">
        <f t="shared" si="8"/>
        <v>85319.986091679995</v>
      </c>
      <c r="F42" s="30">
        <f t="shared" si="7"/>
        <v>6134456.648371622</v>
      </c>
      <c r="G42" s="31">
        <v>140619.9</v>
      </c>
      <c r="H42" s="31">
        <f t="shared" si="5"/>
        <v>-55299.899999999994</v>
      </c>
      <c r="I42" s="32">
        <f t="shared" si="6"/>
        <v>-0.39325799548996976</v>
      </c>
      <c r="J42" s="49" t="s">
        <v>271</v>
      </c>
      <c r="K42" s="67" t="s">
        <v>272</v>
      </c>
      <c r="L42" s="95" t="s">
        <v>273</v>
      </c>
      <c r="M42" s="95" t="s">
        <v>274</v>
      </c>
    </row>
    <row r="43" spans="1:15" ht="45.75">
      <c r="A43" s="41" t="str">
        <v>Deming - Bilbo Booster</v>
      </c>
      <c r="B43" s="42" t="str">
        <v>NM</v>
      </c>
      <c r="C43" s="35">
        <v>10162</v>
      </c>
      <c r="D43" s="36">
        <v>0</v>
      </c>
      <c r="E43" s="36">
        <f t="shared" si="8"/>
        <v>10162</v>
      </c>
      <c r="F43" s="37" t="str">
        <f t="shared" si="7"/>
        <v/>
      </c>
      <c r="G43" s="38">
        <v>13292.43</v>
      </c>
      <c r="H43" s="38">
        <f t="shared" si="5"/>
        <v>-3130.4300000000003</v>
      </c>
      <c r="I43" s="37">
        <f t="shared" si="6"/>
        <v>-0.23550471960356384</v>
      </c>
      <c r="J43" s="50" t="s">
        <v>394</v>
      </c>
      <c r="K43" s="68" t="s">
        <v>395</v>
      </c>
      <c r="L43" s="95" t="s">
        <v>396</v>
      </c>
    </row>
    <row r="44" spans="1:15" ht="30.75">
      <c r="A44" s="43" t="str">
        <v>Deming - Bilbo Well</v>
      </c>
      <c r="B44" s="40" t="str">
        <v>NM</v>
      </c>
      <c r="C44" s="28">
        <v>22028</v>
      </c>
      <c r="D44" s="29">
        <v>0</v>
      </c>
      <c r="E44" s="29">
        <f t="shared" si="8"/>
        <v>22028</v>
      </c>
      <c r="F44" s="30" t="str">
        <f t="shared" si="7"/>
        <v/>
      </c>
      <c r="G44" s="31">
        <v>24028.99</v>
      </c>
      <c r="H44" s="31">
        <f t="shared" si="5"/>
        <v>-2000.9900000000016</v>
      </c>
      <c r="I44" s="32">
        <f t="shared" si="6"/>
        <v>-8.3273995286526875E-2</v>
      </c>
      <c r="J44" s="49" t="s">
        <v>277</v>
      </c>
      <c r="K44" s="67" t="s">
        <v>278</v>
      </c>
    </row>
    <row r="45" spans="1:15" ht="35.25">
      <c r="A45" s="41" t="str">
        <v>Deming - WWTP</v>
      </c>
      <c r="B45" s="42" t="str">
        <v>NM</v>
      </c>
      <c r="C45" s="35">
        <v>81020</v>
      </c>
      <c r="D45" s="36">
        <v>74196.2</v>
      </c>
      <c r="E45" s="36">
        <f t="shared" si="8"/>
        <v>6823.8000000000029</v>
      </c>
      <c r="F45" s="37">
        <f t="shared" si="7"/>
        <v>9.1969669605721088E-2</v>
      </c>
      <c r="G45" s="38">
        <v>96020.479999999996</v>
      </c>
      <c r="H45" s="38">
        <f t="shared" ref="H45:H76" si="9">IF(AND(ISNUMBER(C45),ISNUMBER(G45)), C45-G45, "")</f>
        <v>-15000.479999999996</v>
      </c>
      <c r="I45" s="37">
        <f t="shared" ref="I45:I76" si="10">IFERROR(H45/G45, "")</f>
        <v>-0.15622167270982187</v>
      </c>
      <c r="J45" s="60" t="s">
        <v>397</v>
      </c>
      <c r="K45" s="69" t="s">
        <v>398</v>
      </c>
      <c r="L45" s="95" t="s">
        <v>399</v>
      </c>
    </row>
    <row r="46" spans="1:15" ht="137.25">
      <c r="A46" s="43" t="str">
        <v>Truth or Consequences - Walmart</v>
      </c>
      <c r="B46" s="40" t="str">
        <v>NM</v>
      </c>
      <c r="C46" s="28">
        <v>162900</v>
      </c>
      <c r="D46" s="29">
        <v>362661.9</v>
      </c>
      <c r="E46" s="29">
        <f t="shared" si="8"/>
        <v>-199761.90000000002</v>
      </c>
      <c r="F46" s="30">
        <f t="shared" si="7"/>
        <v>-0.55082130215498237</v>
      </c>
      <c r="G46" s="31">
        <v>202400.8</v>
      </c>
      <c r="H46" s="31">
        <f t="shared" si="9"/>
        <v>-39500.799999999988</v>
      </c>
      <c r="I46" s="32">
        <f t="shared" si="10"/>
        <v>-0.19516128394749424</v>
      </c>
      <c r="J46" s="49" t="s">
        <v>400</v>
      </c>
      <c r="K46" s="67" t="s">
        <v>401</v>
      </c>
      <c r="L46" s="95" t="s">
        <v>402</v>
      </c>
      <c r="M46" s="95" t="s">
        <v>403</v>
      </c>
      <c r="N46" s="95" t="s">
        <v>283</v>
      </c>
      <c r="O46" s="95" t="s">
        <v>203</v>
      </c>
    </row>
    <row r="47" spans="1:15" ht="45.75">
      <c r="A47" s="41" t="str">
        <v>CA: Stockton - SUSD - Merlo</v>
      </c>
      <c r="B47" s="42" t="str">
        <v>CA</v>
      </c>
      <c r="C47" s="35">
        <v>758.37481208867405</v>
      </c>
      <c r="D47" s="36">
        <v>12488.86</v>
      </c>
      <c r="E47" s="36">
        <f t="shared" si="8"/>
        <v>-11730.485187911327</v>
      </c>
      <c r="F47" s="37">
        <f t="shared" si="7"/>
        <v>-0.93927589771294784</v>
      </c>
      <c r="G47" s="38">
        <v>19393.2</v>
      </c>
      <c r="H47" s="38">
        <f t="shared" si="9"/>
        <v>-18634.825187911327</v>
      </c>
      <c r="I47" s="37">
        <f t="shared" si="10"/>
        <v>-0.96089480786622761</v>
      </c>
      <c r="J47" s="60" t="s">
        <v>284</v>
      </c>
      <c r="K47" s="75" t="s">
        <v>285</v>
      </c>
    </row>
    <row r="48" spans="1:15" ht="76.5">
      <c r="A48" s="43" t="str">
        <v>Stockton Unified School Dist. - Bush Elementary</v>
      </c>
      <c r="B48" s="40" t="str">
        <v>CA</v>
      </c>
      <c r="C48" s="28">
        <v>27159</v>
      </c>
      <c r="D48" s="29">
        <v>40520.576999999997</v>
      </c>
      <c r="E48" s="29">
        <f t="shared" si="8"/>
        <v>-13361.576999999997</v>
      </c>
      <c r="F48" s="30">
        <f t="shared" si="7"/>
        <v>-0.32974794509959715</v>
      </c>
      <c r="G48" s="31">
        <v>41018.271000000001</v>
      </c>
      <c r="H48" s="31">
        <f t="shared" si="9"/>
        <v>-13859.271000000001</v>
      </c>
      <c r="I48" s="32">
        <f t="shared" si="10"/>
        <v>-0.3378804289434823</v>
      </c>
      <c r="J48" s="49" t="s">
        <v>404</v>
      </c>
      <c r="K48" s="67" t="s">
        <v>287</v>
      </c>
      <c r="L48" s="95" t="s">
        <v>288</v>
      </c>
    </row>
    <row r="49" spans="1:14" ht="45.75">
      <c r="A49" s="41" t="str">
        <v>CA: Stockton - SUSD - Marshall JHS</v>
      </c>
      <c r="B49" s="42" t="str">
        <v>CA</v>
      </c>
      <c r="C49" s="35">
        <v>8862.875</v>
      </c>
      <c r="D49" s="36">
        <v>26362.83</v>
      </c>
      <c r="E49" s="36">
        <f t="shared" si="8"/>
        <v>-17499.955000000002</v>
      </c>
      <c r="F49" s="37">
        <f t="shared" si="7"/>
        <v>-0.6638117000337217</v>
      </c>
      <c r="G49" s="38">
        <v>27213.82</v>
      </c>
      <c r="H49" s="38">
        <f t="shared" si="9"/>
        <v>-18350.945</v>
      </c>
      <c r="I49" s="37">
        <f t="shared" si="10"/>
        <v>-0.67432447925355576</v>
      </c>
      <c r="J49" s="60" t="s">
        <v>405</v>
      </c>
      <c r="K49" s="75" t="s">
        <v>290</v>
      </c>
    </row>
    <row r="50" spans="1:14" ht="60.75">
      <c r="A50" s="43" t="str">
        <v>CA: Stockton - SUSD - Hong-Kingston ES</v>
      </c>
      <c r="B50" s="40" t="str">
        <v>CA</v>
      </c>
      <c r="C50" s="28">
        <v>12004</v>
      </c>
      <c r="D50" s="29">
        <v>44134.75</v>
      </c>
      <c r="E50" s="29">
        <f t="shared" si="8"/>
        <v>-32130.75</v>
      </c>
      <c r="F50" s="30">
        <f t="shared" si="7"/>
        <v>-0.72801477293969041</v>
      </c>
      <c r="G50" s="31">
        <v>44138.66</v>
      </c>
      <c r="H50" s="31">
        <f t="shared" si="9"/>
        <v>-32134.660000000003</v>
      </c>
      <c r="I50" s="32">
        <f t="shared" si="10"/>
        <v>-0.72803886660809369</v>
      </c>
      <c r="J50" s="49" t="s">
        <v>406</v>
      </c>
      <c r="K50" s="67" t="s">
        <v>292</v>
      </c>
    </row>
    <row r="51" spans="1:14" ht="15.75">
      <c r="A51" s="41" t="str">
        <v>CA: Stockton - SUSD - Hamilton ES</v>
      </c>
      <c r="B51" s="42" t="str">
        <v>CA</v>
      </c>
      <c r="C51" s="35">
        <v>7114.625</v>
      </c>
      <c r="D51" s="36">
        <v>22870.41</v>
      </c>
      <c r="E51" s="36">
        <f t="shared" si="8"/>
        <v>-15755.785</v>
      </c>
      <c r="F51" s="37">
        <f t="shared" si="7"/>
        <v>-0.68891572123105793</v>
      </c>
      <c r="G51" s="38">
        <v>23396.54</v>
      </c>
      <c r="H51" s="38">
        <f t="shared" si="9"/>
        <v>-16281.915000000001</v>
      </c>
      <c r="I51" s="37">
        <f t="shared" si="10"/>
        <v>-0.69591123302847346</v>
      </c>
      <c r="J51" s="50" t="s">
        <v>407</v>
      </c>
      <c r="K51" s="69" t="s">
        <v>294</v>
      </c>
    </row>
    <row r="52" spans="1:14" ht="121.5">
      <c r="A52" s="43" t="str">
        <v>CA: Stockton - SUSD - Franklin - North</v>
      </c>
      <c r="B52" s="40" t="str">
        <v>CA</v>
      </c>
      <c r="C52" s="28">
        <v>32153.25</v>
      </c>
      <c r="D52" s="29">
        <v>101097.1</v>
      </c>
      <c r="E52" s="29">
        <f t="shared" si="8"/>
        <v>-68943.850000000006</v>
      </c>
      <c r="F52" s="30">
        <f t="shared" si="7"/>
        <v>-0.68195675246866627</v>
      </c>
      <c r="G52" s="31">
        <v>61943.14</v>
      </c>
      <c r="H52" s="31">
        <f t="shared" si="9"/>
        <v>-29789.89</v>
      </c>
      <c r="I52" s="32">
        <f t="shared" si="10"/>
        <v>-0.48092314984355006</v>
      </c>
      <c r="J52" s="49" t="s">
        <v>408</v>
      </c>
      <c r="K52" s="67" t="s">
        <v>409</v>
      </c>
      <c r="L52" s="95" t="s">
        <v>298</v>
      </c>
      <c r="M52" s="95" t="s">
        <v>297</v>
      </c>
      <c r="N52" s="95" t="s">
        <v>317</v>
      </c>
    </row>
    <row r="53" spans="1:14" ht="15.75">
      <c r="A53" s="41" t="str">
        <v>Stockton Unified School Dist. - Fillmore Elementary</v>
      </c>
      <c r="B53" s="42" t="str">
        <v>CA</v>
      </c>
      <c r="C53" s="35">
        <v>4989.5</v>
      </c>
      <c r="D53" s="36">
        <v>18516.7</v>
      </c>
      <c r="E53" s="36">
        <f t="shared" si="8"/>
        <v>-13527.2</v>
      </c>
      <c r="F53" s="37">
        <f t="shared" si="7"/>
        <v>-0.73054053908093775</v>
      </c>
      <c r="G53" s="38">
        <v>18704.5</v>
      </c>
      <c r="H53" s="38">
        <f t="shared" si="9"/>
        <v>-13715</v>
      </c>
      <c r="I53" s="37">
        <f t="shared" si="10"/>
        <v>-0.73324601031837255</v>
      </c>
      <c r="J53" s="50" t="s">
        <v>410</v>
      </c>
      <c r="K53" s="69" t="s">
        <v>300</v>
      </c>
    </row>
    <row r="54" spans="1:14" ht="30.75">
      <c r="A54" s="43" t="str">
        <v>CA: Stockton - SUSD - El Dorado ES</v>
      </c>
      <c r="B54" s="40" t="str">
        <v>CA</v>
      </c>
      <c r="C54" s="28">
        <v>5944.75</v>
      </c>
      <c r="D54" s="29">
        <v>24303.11</v>
      </c>
      <c r="E54" s="29">
        <f t="shared" si="8"/>
        <v>-18358.36</v>
      </c>
      <c r="F54" s="30">
        <f t="shared" si="7"/>
        <v>-0.75539138818036045</v>
      </c>
      <c r="G54" s="31">
        <v>0</v>
      </c>
      <c r="H54" s="31">
        <f t="shared" si="9"/>
        <v>5944.75</v>
      </c>
      <c r="I54" s="32" t="str">
        <f t="shared" si="10"/>
        <v/>
      </c>
      <c r="J54" s="49" t="s">
        <v>411</v>
      </c>
      <c r="K54" s="67" t="s">
        <v>412</v>
      </c>
    </row>
    <row r="55" spans="1:14" ht="45.75">
      <c r="A55" s="41" t="str">
        <v>CA: Stockton - SUSD - Edison HS</v>
      </c>
      <c r="B55" s="42" t="str">
        <v>CA</v>
      </c>
      <c r="C55" s="35">
        <v>46049.5</v>
      </c>
      <c r="D55" s="36">
        <v>62768.43</v>
      </c>
      <c r="E55" s="36">
        <f t="shared" si="8"/>
        <v>-16718.93</v>
      </c>
      <c r="F55" s="37">
        <f t="shared" si="7"/>
        <v>-0.26635890048548289</v>
      </c>
      <c r="G55" s="38">
        <v>64104.39</v>
      </c>
      <c r="H55" s="38">
        <f t="shared" si="9"/>
        <v>-18054.89</v>
      </c>
      <c r="I55" s="37">
        <f t="shared" si="10"/>
        <v>-0.28164826153091854</v>
      </c>
      <c r="J55" s="60" t="s">
        <v>413</v>
      </c>
      <c r="K55" s="75" t="s">
        <v>414</v>
      </c>
    </row>
    <row r="56" spans="1:14" ht="76.5">
      <c r="A56" s="43" t="str">
        <v>CA: Stockton - SUSD - Chavez HS - Large</v>
      </c>
      <c r="B56" s="40" t="str">
        <v>CA</v>
      </c>
      <c r="C56" s="28">
        <v>42316</v>
      </c>
      <c r="D56" s="29">
        <v>137020.79999999999</v>
      </c>
      <c r="E56" s="29">
        <f t="shared" si="8"/>
        <v>-94704.799999999988</v>
      </c>
      <c r="F56" s="30">
        <f t="shared" si="7"/>
        <v>-0.69117097550152962</v>
      </c>
      <c r="G56" s="31">
        <v>134209.5</v>
      </c>
      <c r="H56" s="31">
        <f t="shared" si="9"/>
        <v>-91893.5</v>
      </c>
      <c r="I56" s="32">
        <f t="shared" si="10"/>
        <v>-0.68470190262239261</v>
      </c>
      <c r="J56" s="49" t="s">
        <v>415</v>
      </c>
      <c r="K56" s="67" t="s">
        <v>416</v>
      </c>
    </row>
    <row r="57" spans="1:14" ht="30.75">
      <c r="A57" s="41" t="str">
        <v>CA: San Jose - GE Mobile Water</v>
      </c>
      <c r="B57" s="42" t="str">
        <v>CA</v>
      </c>
      <c r="C57" s="35">
        <v>30650</v>
      </c>
      <c r="D57" s="36">
        <v>34545</v>
      </c>
      <c r="E57" s="36">
        <f t="shared" si="8"/>
        <v>-3895</v>
      </c>
      <c r="F57" s="37">
        <f t="shared" si="7"/>
        <v>-0.11275148357215227</v>
      </c>
      <c r="G57" s="38">
        <v>34995.040000000001</v>
      </c>
      <c r="H57" s="38">
        <f t="shared" si="9"/>
        <v>-4345.0400000000009</v>
      </c>
      <c r="I57" s="37">
        <f t="shared" si="10"/>
        <v>-0.12416159547181546</v>
      </c>
      <c r="J57" s="60" t="s">
        <v>417</v>
      </c>
      <c r="K57" s="75" t="s">
        <v>310</v>
      </c>
    </row>
    <row r="58" spans="1:14" ht="15.75">
      <c r="A58" s="43" t="str">
        <v>CA: San Marcos - Vallecitos Water - Lift Station</v>
      </c>
      <c r="B58" s="40" t="str">
        <v>CA</v>
      </c>
      <c r="C58" s="28">
        <v>43839.374999999804</v>
      </c>
      <c r="D58" s="29">
        <v>44822.83</v>
      </c>
      <c r="E58" s="29">
        <f t="shared" si="8"/>
        <v>-983.4550000001982</v>
      </c>
      <c r="F58" s="30">
        <f t="shared" si="7"/>
        <v>-2.1940939472143952E-2</v>
      </c>
      <c r="G58" s="31">
        <v>40781.5</v>
      </c>
      <c r="H58" s="31">
        <f t="shared" si="9"/>
        <v>3057.8749999998035</v>
      </c>
      <c r="I58" s="32">
        <f t="shared" si="10"/>
        <v>7.4981915819668316E-2</v>
      </c>
      <c r="J58" s="49"/>
      <c r="K58" s="49"/>
    </row>
    <row r="59" spans="1:14" ht="45.75">
      <c r="A59" s="41" t="str">
        <v>CA: San Marcos - Vallecitos Water - Twin Oaks Reservoir</v>
      </c>
      <c r="B59" s="42" t="str">
        <v>CA</v>
      </c>
      <c r="C59" s="35">
        <v>322309</v>
      </c>
      <c r="D59" s="36">
        <v>342298.7</v>
      </c>
      <c r="E59" s="36">
        <f t="shared" si="8"/>
        <v>-19989.700000000012</v>
      </c>
      <c r="F59" s="37">
        <f t="shared" si="7"/>
        <v>-5.8398410511053683E-2</v>
      </c>
      <c r="G59" s="38">
        <v>265194</v>
      </c>
      <c r="H59" s="38">
        <f t="shared" si="9"/>
        <v>57115</v>
      </c>
      <c r="I59" s="37">
        <f t="shared" si="10"/>
        <v>0.21537063432807679</v>
      </c>
      <c r="J59" s="60" t="s">
        <v>418</v>
      </c>
      <c r="K59" s="75" t="s">
        <v>419</v>
      </c>
      <c r="L59" s="95" t="s">
        <v>420</v>
      </c>
    </row>
    <row r="60" spans="1:14" ht="30.75">
      <c r="A60" s="43" t="str">
        <v>CA: Stockton - SUSD - Wilhelmina Henry ES</v>
      </c>
      <c r="B60" s="40" t="str">
        <v>CA</v>
      </c>
      <c r="C60" s="28">
        <v>9050</v>
      </c>
      <c r="D60" s="29">
        <v>52630.76</v>
      </c>
      <c r="E60" s="29">
        <f t="shared" si="8"/>
        <v>-43580.76</v>
      </c>
      <c r="F60" s="30">
        <f t="shared" si="7"/>
        <v>-0.82804732441636797</v>
      </c>
      <c r="G60" s="31">
        <v>43197.49</v>
      </c>
      <c r="H60" s="31">
        <f t="shared" si="9"/>
        <v>-34147.49</v>
      </c>
      <c r="I60" s="32">
        <f t="shared" si="10"/>
        <v>-0.79049708675203123</v>
      </c>
      <c r="J60" s="49" t="s">
        <v>421</v>
      </c>
      <c r="K60" s="67" t="s">
        <v>314</v>
      </c>
    </row>
    <row r="61" spans="1:14" ht="15.75" hidden="1">
      <c r="A61" s="41" t="str">
        <v>Stockton Unified School Dist. - Franklin (North)</v>
      </c>
      <c r="B61" s="42" t="str">
        <v>CA</v>
      </c>
      <c r="C61" s="35">
        <v>32153.200000000001</v>
      </c>
      <c r="D61" s="36">
        <v>101097.1</v>
      </c>
      <c r="E61" s="36">
        <f t="shared" si="8"/>
        <v>-68943.900000000009</v>
      </c>
      <c r="F61" s="37">
        <f t="shared" si="7"/>
        <v>-0.68195724704269467</v>
      </c>
      <c r="G61" s="38">
        <v>61549.4</v>
      </c>
      <c r="H61" s="38">
        <f t="shared" si="9"/>
        <v>-29396.2</v>
      </c>
      <c r="I61" s="37">
        <f t="shared" si="10"/>
        <v>-0.47760335600347037</v>
      </c>
      <c r="J61" s="50"/>
      <c r="K61" s="51"/>
    </row>
    <row r="62" spans="1:14" ht="60.75">
      <c r="A62" s="43" t="str">
        <v>CA: Stockton - SUSD - Franklin - South</v>
      </c>
      <c r="B62" s="40" t="str">
        <v>CA</v>
      </c>
      <c r="C62" s="28">
        <v>44241</v>
      </c>
      <c r="D62" s="29">
        <v>103754.7</v>
      </c>
      <c r="E62" s="29">
        <f t="shared" si="8"/>
        <v>-59513.7</v>
      </c>
      <c r="F62" s="30">
        <f t="shared" si="7"/>
        <v>-0.57360003932351977</v>
      </c>
      <c r="G62" s="31">
        <v>100033.1</v>
      </c>
      <c r="H62" s="31">
        <f t="shared" si="9"/>
        <v>-55792.100000000006</v>
      </c>
      <c r="I62" s="32">
        <f t="shared" si="10"/>
        <v>-0.55773638925515656</v>
      </c>
      <c r="J62" s="49" t="s">
        <v>422</v>
      </c>
      <c r="K62" s="67" t="s">
        <v>423</v>
      </c>
      <c r="L62" s="95" t="s">
        <v>424</v>
      </c>
    </row>
    <row r="63" spans="1:14" ht="30.75">
      <c r="A63" s="41" t="str">
        <v>CA: Stockton - SUSD - Chavez HS - Small</v>
      </c>
      <c r="B63" s="42" t="str">
        <v>CA</v>
      </c>
      <c r="C63" s="35">
        <v>26171</v>
      </c>
      <c r="D63" s="36">
        <v>25981.72</v>
      </c>
      <c r="E63" s="36">
        <f t="shared" si="8"/>
        <v>189.27999999999884</v>
      </c>
      <c r="F63" s="37">
        <f t="shared" si="7"/>
        <v>7.2851220011607709E-3</v>
      </c>
      <c r="G63" s="38">
        <v>37931.24</v>
      </c>
      <c r="H63" s="38">
        <f t="shared" si="9"/>
        <v>-11760.239999999998</v>
      </c>
      <c r="I63" s="37">
        <f t="shared" si="10"/>
        <v>-0.3100410110505219</v>
      </c>
      <c r="J63" s="60" t="s">
        <v>425</v>
      </c>
      <c r="K63" s="75" t="s">
        <v>322</v>
      </c>
    </row>
    <row r="64" spans="1:14" ht="45.75">
      <c r="A64" s="43" t="str">
        <v>CA: Stockton - SUSD - Facilities</v>
      </c>
      <c r="B64" s="40" t="str">
        <v>CA</v>
      </c>
      <c r="C64" s="28">
        <v>23947.5</v>
      </c>
      <c r="D64" s="29">
        <v>58896.19</v>
      </c>
      <c r="E64" s="29">
        <f t="shared" si="8"/>
        <v>-34948.69</v>
      </c>
      <c r="F64" s="30">
        <f t="shared" si="7"/>
        <v>-0.59339475100172012</v>
      </c>
      <c r="G64" s="31">
        <v>64415.55</v>
      </c>
      <c r="H64" s="31">
        <f t="shared" si="9"/>
        <v>-40468.050000000003</v>
      </c>
      <c r="I64" s="32">
        <f t="shared" si="10"/>
        <v>-0.62823417637511436</v>
      </c>
      <c r="J64" s="49" t="s">
        <v>426</v>
      </c>
      <c r="K64" s="67" t="s">
        <v>427</v>
      </c>
    </row>
    <row r="65" spans="1:14" ht="15.75">
      <c r="A65" s="41" t="str">
        <v>CA: Stockton - SUSD - Harrison</v>
      </c>
      <c r="B65" s="42" t="str">
        <v>CA</v>
      </c>
      <c r="C65" s="35">
        <v>16318.875</v>
      </c>
      <c r="D65" s="36">
        <v>23563.83</v>
      </c>
      <c r="E65" s="36">
        <f t="shared" si="8"/>
        <v>-7244.9550000000017</v>
      </c>
      <c r="F65" s="37">
        <f t="shared" si="7"/>
        <v>-0.30746084146762226</v>
      </c>
      <c r="G65" s="38">
        <v>23068.04</v>
      </c>
      <c r="H65" s="38">
        <f t="shared" si="9"/>
        <v>-6749.1650000000009</v>
      </c>
      <c r="I65" s="37">
        <f t="shared" si="10"/>
        <v>-0.29257643909062064</v>
      </c>
      <c r="J65" s="50" t="s">
        <v>428</v>
      </c>
      <c r="K65" s="69" t="s">
        <v>326</v>
      </c>
    </row>
    <row r="66" spans="1:14" ht="15.75">
      <c r="A66" s="43" t="str">
        <v>CA: Stockton - SUSD - Commodore Skills School</v>
      </c>
      <c r="B66" s="40" t="str">
        <v>CA</v>
      </c>
      <c r="C66" s="28">
        <v>7429.25</v>
      </c>
      <c r="D66" s="29">
        <v>47012.17</v>
      </c>
      <c r="E66" s="29">
        <f t="shared" si="8"/>
        <v>-39582.92</v>
      </c>
      <c r="F66" s="30">
        <f t="shared" si="7"/>
        <v>-0.84197177028841685</v>
      </c>
      <c r="G66" s="31">
        <v>50211.37</v>
      </c>
      <c r="H66" s="31">
        <f t="shared" si="9"/>
        <v>-42782.12</v>
      </c>
      <c r="I66" s="32">
        <f t="shared" si="10"/>
        <v>-0.8520404840576945</v>
      </c>
      <c r="J66" s="49" t="s">
        <v>429</v>
      </c>
      <c r="K66" s="67" t="s">
        <v>328</v>
      </c>
    </row>
    <row r="67" spans="1:14" ht="15.75">
      <c r="A67" s="41" t="str">
        <v>CA: Stockton - SUSD - Nightingale ES</v>
      </c>
      <c r="B67" s="42" t="str">
        <v>CA</v>
      </c>
      <c r="C67" s="35">
        <v>20610</v>
      </c>
      <c r="D67" s="36">
        <v>22926.99</v>
      </c>
      <c r="E67" s="36">
        <f t="shared" si="8"/>
        <v>-2316.9900000000016</v>
      </c>
      <c r="F67" s="37">
        <f t="shared" si="7"/>
        <v>-0.10105949363610318</v>
      </c>
      <c r="G67" s="38">
        <v>23244.69</v>
      </c>
      <c r="H67" s="38">
        <f t="shared" si="9"/>
        <v>-2634.6899999999987</v>
      </c>
      <c r="I67" s="37">
        <f t="shared" si="10"/>
        <v>-0.11334588673800335</v>
      </c>
      <c r="J67" s="50" t="s">
        <v>430</v>
      </c>
      <c r="K67" s="69" t="s">
        <v>431</v>
      </c>
    </row>
    <row r="68" spans="1:14" ht="45.75">
      <c r="A68" s="43" t="str">
        <v>CA: Stockton - SUSD - Weber Institute</v>
      </c>
      <c r="B68" s="40" t="str">
        <v>CA</v>
      </c>
      <c r="C68" s="28">
        <v>8929</v>
      </c>
      <c r="D68" s="29">
        <v>46891.05</v>
      </c>
      <c r="E68" s="29">
        <f t="shared" si="8"/>
        <v>-37962.050000000003</v>
      </c>
      <c r="F68" s="30">
        <f t="shared" ref="F68:F85" si="11">IFERROR(E68/D68, "")</f>
        <v>-0.80957986652037006</v>
      </c>
      <c r="G68" s="31">
        <v>48030.57</v>
      </c>
      <c r="H68" s="31">
        <f t="shared" si="9"/>
        <v>-39101.57</v>
      </c>
      <c r="I68" s="32">
        <f t="shared" si="10"/>
        <v>-0.81409756328105209</v>
      </c>
      <c r="J68" s="49" t="s">
        <v>432</v>
      </c>
      <c r="K68" s="67" t="s">
        <v>330</v>
      </c>
    </row>
    <row r="69" spans="1:14" ht="30.75">
      <c r="A69" s="41" t="str">
        <v>CA: Stockton - SUSD - Warehouse</v>
      </c>
      <c r="B69" s="42" t="str">
        <v>CA</v>
      </c>
      <c r="C69" s="35">
        <v>21128.5</v>
      </c>
      <c r="D69" s="36">
        <v>40830.93</v>
      </c>
      <c r="E69" s="36">
        <f t="shared" si="8"/>
        <v>-19702.43</v>
      </c>
      <c r="F69" s="37">
        <f t="shared" si="11"/>
        <v>-0.48253689053861865</v>
      </c>
      <c r="G69" s="38">
        <v>45438.47</v>
      </c>
      <c r="H69" s="38">
        <f t="shared" si="9"/>
        <v>-24309.97</v>
      </c>
      <c r="I69" s="37">
        <f t="shared" si="10"/>
        <v>-0.53500855112419055</v>
      </c>
      <c r="J69" s="50" t="s">
        <v>433</v>
      </c>
      <c r="K69" s="68" t="s">
        <v>332</v>
      </c>
    </row>
    <row r="70" spans="1:14" ht="15.75">
      <c r="A70" s="43" t="str">
        <v>CA: Stockton - SUSD - Walton Special Center</v>
      </c>
      <c r="B70" s="40" t="str">
        <v>CA</v>
      </c>
      <c r="C70" s="28">
        <v>15581.75</v>
      </c>
      <c r="D70" s="29">
        <v>32541.88</v>
      </c>
      <c r="E70" s="29">
        <f t="shared" ref="E70:E85" si="12">IF(AND(ISNUMBER(C70),ISNUMBER(D70)), C70-D70, "")</f>
        <v>-16960.13</v>
      </c>
      <c r="F70" s="30">
        <f t="shared" si="11"/>
        <v>-0.5211785551418664</v>
      </c>
      <c r="G70" s="31">
        <v>33433.1</v>
      </c>
      <c r="H70" s="31">
        <f t="shared" si="9"/>
        <v>-17851.349999999999</v>
      </c>
      <c r="I70" s="32">
        <f t="shared" si="10"/>
        <v>-0.53394241036577517</v>
      </c>
      <c r="J70" s="49" t="s">
        <v>434</v>
      </c>
      <c r="K70" s="67" t="s">
        <v>334</v>
      </c>
    </row>
    <row r="71" spans="1:14" ht="60.75">
      <c r="A71" s="41" t="str">
        <v>CA: Stockton - SUSD - Stagg HS</v>
      </c>
      <c r="B71" s="42" t="str">
        <v>CA</v>
      </c>
      <c r="C71" s="35">
        <v>88074</v>
      </c>
      <c r="D71" s="36">
        <v>126185.60000000001</v>
      </c>
      <c r="E71" s="36">
        <f t="shared" si="12"/>
        <v>-38111.600000000006</v>
      </c>
      <c r="F71" s="37">
        <f t="shared" si="11"/>
        <v>-0.30202812365277815</v>
      </c>
      <c r="G71" s="38">
        <v>125723.9</v>
      </c>
      <c r="H71" s="38">
        <f t="shared" si="9"/>
        <v>-37649.899999999994</v>
      </c>
      <c r="I71" s="37">
        <f t="shared" si="10"/>
        <v>-0.29946493864730567</v>
      </c>
      <c r="J71" s="50" t="s">
        <v>435</v>
      </c>
      <c r="K71" s="75" t="s">
        <v>436</v>
      </c>
      <c r="L71" s="95" t="s">
        <v>437</v>
      </c>
    </row>
    <row r="72" spans="1:14" ht="30.75">
      <c r="A72" s="43" t="str">
        <v>CA: Stockton - SUSD - School for Adults</v>
      </c>
      <c r="B72" s="40" t="str">
        <v>CA</v>
      </c>
      <c r="C72" s="28">
        <v>10147.125</v>
      </c>
      <c r="D72" s="29">
        <v>27297.15</v>
      </c>
      <c r="E72" s="29">
        <f t="shared" si="12"/>
        <v>-17150.025000000001</v>
      </c>
      <c r="F72" s="30">
        <f t="shared" si="11"/>
        <v>-0.62827163275286979</v>
      </c>
      <c r="G72" s="31">
        <v>27157</v>
      </c>
      <c r="H72" s="31">
        <f t="shared" si="9"/>
        <v>-17009.875</v>
      </c>
      <c r="I72" s="32">
        <f t="shared" si="10"/>
        <v>-0.62635324225798139</v>
      </c>
      <c r="J72" s="49" t="s">
        <v>438</v>
      </c>
      <c r="K72" s="67" t="s">
        <v>338</v>
      </c>
    </row>
    <row r="73" spans="1:14" ht="30.75">
      <c r="A73" s="41" t="str">
        <v>CA: Stockton - SUSD - San Joaquin</v>
      </c>
      <c r="B73" s="42" t="str">
        <v>CA</v>
      </c>
      <c r="C73" s="35">
        <v>13454.25</v>
      </c>
      <c r="D73" s="36">
        <v>25185.05</v>
      </c>
      <c r="E73" s="36">
        <f t="shared" si="12"/>
        <v>-11730.8</v>
      </c>
      <c r="F73" s="37">
        <f t="shared" si="11"/>
        <v>-0.46578426487142172</v>
      </c>
      <c r="G73" s="38">
        <v>25998.9</v>
      </c>
      <c r="H73" s="38">
        <f t="shared" si="9"/>
        <v>-12544.650000000001</v>
      </c>
      <c r="I73" s="37">
        <f t="shared" si="10"/>
        <v>-0.48250695221720924</v>
      </c>
      <c r="J73" s="101" t="s">
        <v>439</v>
      </c>
      <c r="K73" s="95" t="s">
        <v>340</v>
      </c>
    </row>
    <row r="74" spans="1:14" ht="30.75">
      <c r="A74" s="43" t="str">
        <v>CA: Stockton - SUSD - Rio Calaveras</v>
      </c>
      <c r="B74" s="40" t="str">
        <v>CA</v>
      </c>
      <c r="C74" s="28">
        <v>6553.25</v>
      </c>
      <c r="D74" s="29">
        <v>27326.26</v>
      </c>
      <c r="E74" s="29">
        <f t="shared" si="12"/>
        <v>-20773.009999999998</v>
      </c>
      <c r="F74" s="30">
        <f t="shared" si="11"/>
        <v>-0.76018489174881598</v>
      </c>
      <c r="G74" s="31">
        <v>0</v>
      </c>
      <c r="H74" s="31">
        <f t="shared" si="9"/>
        <v>6553.25</v>
      </c>
      <c r="I74" s="32" t="str">
        <f t="shared" si="10"/>
        <v/>
      </c>
      <c r="J74" s="49" t="s">
        <v>440</v>
      </c>
      <c r="K74" s="67" t="s">
        <v>342</v>
      </c>
    </row>
    <row r="75" spans="1:14" ht="15.75">
      <c r="A75" s="41" t="str">
        <v>CA: Stockton - SUSD - Peyton</v>
      </c>
      <c r="B75" s="42" t="str">
        <v>CA</v>
      </c>
      <c r="C75" s="35">
        <v>47637.5</v>
      </c>
      <c r="D75" s="36">
        <v>56484.35</v>
      </c>
      <c r="E75" s="36">
        <f t="shared" si="12"/>
        <v>-8846.8499999999985</v>
      </c>
      <c r="F75" s="37">
        <f t="shared" si="11"/>
        <v>-0.15662479961263603</v>
      </c>
      <c r="G75" s="38">
        <v>56075.34</v>
      </c>
      <c r="H75" s="38">
        <f t="shared" si="9"/>
        <v>-8437.8399999999965</v>
      </c>
      <c r="I75" s="37">
        <f t="shared" si="10"/>
        <v>-0.15047327399174035</v>
      </c>
      <c r="J75" s="13" t="s">
        <v>441</v>
      </c>
      <c r="K75" s="103" t="s">
        <v>344</v>
      </c>
    </row>
    <row r="76" spans="1:14" ht="106.5">
      <c r="A76" s="43" t="str">
        <v>TX: Barnhart - 42917 Ranch RD 2469</v>
      </c>
      <c r="B76" s="40" t="str">
        <v>TX</v>
      </c>
      <c r="C76" s="28">
        <v>241800</v>
      </c>
      <c r="D76" s="29">
        <v>278659.20000000001</v>
      </c>
      <c r="E76" s="29">
        <f t="shared" si="12"/>
        <v>-36859.200000000012</v>
      </c>
      <c r="F76" s="30">
        <f t="shared" si="11"/>
        <v>-0.13227340062700249</v>
      </c>
      <c r="G76" s="31">
        <v>285140.40000000002</v>
      </c>
      <c r="H76" s="31">
        <f t="shared" si="9"/>
        <v>-43340.400000000023</v>
      </c>
      <c r="I76" s="32">
        <f t="shared" si="10"/>
        <v>-0.15199670057277054</v>
      </c>
      <c r="J76" s="49" t="s">
        <v>442</v>
      </c>
      <c r="K76" s="67" t="s">
        <v>443</v>
      </c>
      <c r="L76" s="95" t="s">
        <v>444</v>
      </c>
      <c r="M76" s="95" t="s">
        <v>444</v>
      </c>
      <c r="N76" s="95" t="s">
        <v>445</v>
      </c>
    </row>
    <row r="77" spans="1:14" ht="76.5">
      <c r="A77" s="41" t="str">
        <v>AZ: San Manuel - Senior &amp; Junior HS</v>
      </c>
      <c r="B77" s="42" t="str">
        <v>AZ</v>
      </c>
      <c r="C77" s="35">
        <v>36060</v>
      </c>
      <c r="D77" s="36" t="s">
        <v>43</v>
      </c>
      <c r="E77" s="36" t="str">
        <f t="shared" si="12"/>
        <v/>
      </c>
      <c r="F77" s="37" t="str">
        <f t="shared" si="11"/>
        <v/>
      </c>
      <c r="G77" s="38">
        <v>48892</v>
      </c>
      <c r="H77" s="38">
        <f t="shared" ref="H77:H85" si="13">IF(AND(ISNUMBER(C77),ISNUMBER(G77)), C77-G77, "")</f>
        <v>-12832</v>
      </c>
      <c r="I77" s="37">
        <f t="shared" ref="I77:I85" si="14">IFERROR(H77/G77, "")</f>
        <v>-0.2624560255256484</v>
      </c>
      <c r="J77" s="50" t="s">
        <v>446</v>
      </c>
      <c r="K77" s="68" t="s">
        <v>447</v>
      </c>
      <c r="L77" s="95" t="s">
        <v>448</v>
      </c>
    </row>
    <row r="78" spans="1:14" ht="76.5">
      <c r="A78" s="43" t="str">
        <v>AZ: Sierra Vista - Colonel Smith MS</v>
      </c>
      <c r="B78" s="40" t="str">
        <v>AZ</v>
      </c>
      <c r="C78" s="28">
        <v>41600</v>
      </c>
      <c r="D78" s="29">
        <v>66229.38</v>
      </c>
      <c r="E78" s="29">
        <f t="shared" si="12"/>
        <v>-24629.380000000005</v>
      </c>
      <c r="F78" s="30">
        <f t="shared" si="11"/>
        <v>-0.37187997230232267</v>
      </c>
      <c r="G78" s="31">
        <v>60155.22</v>
      </c>
      <c r="H78" s="31">
        <f t="shared" si="13"/>
        <v>-18555.22</v>
      </c>
      <c r="I78" s="32">
        <f t="shared" si="14"/>
        <v>-0.30845569179200077</v>
      </c>
      <c r="J78" s="49" t="s">
        <v>449</v>
      </c>
      <c r="K78" s="67" t="s">
        <v>450</v>
      </c>
    </row>
    <row r="79" spans="1:14" ht="45.75">
      <c r="A79" s="41" t="str">
        <v>AZ: Sierra Vista - Colonel Johnston ES</v>
      </c>
      <c r="B79" s="42" t="str">
        <v>AZ</v>
      </c>
      <c r="C79" s="35">
        <v>13160</v>
      </c>
      <c r="D79" s="36">
        <v>22045.48</v>
      </c>
      <c r="E79" s="36">
        <f t="shared" si="12"/>
        <v>-8885.48</v>
      </c>
      <c r="F79" s="37">
        <f t="shared" si="11"/>
        <v>-0.40305223565102688</v>
      </c>
      <c r="G79" s="38">
        <v>19695.87</v>
      </c>
      <c r="H79" s="38">
        <f t="shared" si="13"/>
        <v>-6535.869999999999</v>
      </c>
      <c r="I79" s="37">
        <f t="shared" si="14"/>
        <v>-0.33183961916889171</v>
      </c>
      <c r="J79" s="50" t="s">
        <v>451</v>
      </c>
      <c r="K79" s="68" t="s">
        <v>452</v>
      </c>
    </row>
    <row r="80" spans="1:14" ht="60.75">
      <c r="A80" s="43" t="str">
        <v>NH: Dover - Dover HS</v>
      </c>
      <c r="B80" s="40" t="str">
        <v>NH</v>
      </c>
      <c r="C80" s="28">
        <v>99181.5</v>
      </c>
      <c r="D80" s="29">
        <v>147489.60000000001</v>
      </c>
      <c r="E80" s="29">
        <f t="shared" si="12"/>
        <v>-48308.100000000006</v>
      </c>
      <c r="F80" s="30">
        <f t="shared" si="11"/>
        <v>-0.32753563641097411</v>
      </c>
      <c r="G80" s="31">
        <v>137072.1</v>
      </c>
      <c r="H80" s="31">
        <f t="shared" si="13"/>
        <v>-37890.600000000006</v>
      </c>
      <c r="I80" s="32">
        <f t="shared" si="14"/>
        <v>-0.27642824469749866</v>
      </c>
      <c r="J80" s="49" t="s">
        <v>453</v>
      </c>
      <c r="K80" s="67" t="s">
        <v>454</v>
      </c>
    </row>
    <row r="81" spans="1:13" ht="76.5">
      <c r="A81" s="41" t="str">
        <v>MA: Somerville - 30 Inner Belt Rd</v>
      </c>
      <c r="B81" s="42" t="str">
        <v>MA</v>
      </c>
      <c r="C81" s="35">
        <v>106125.5</v>
      </c>
      <c r="D81" s="36">
        <v>103334</v>
      </c>
      <c r="E81" s="36">
        <f t="shared" si="12"/>
        <v>2791.5</v>
      </c>
      <c r="F81" s="37">
        <f t="shared" si="11"/>
        <v>2.7014341842955852E-2</v>
      </c>
      <c r="G81" s="38">
        <v>197445.3</v>
      </c>
      <c r="H81" s="38">
        <f t="shared" si="13"/>
        <v>-91319.799999999988</v>
      </c>
      <c r="I81" s="37">
        <f t="shared" si="14"/>
        <v>-0.46250683100585321</v>
      </c>
      <c r="J81" s="50" t="s">
        <v>455</v>
      </c>
      <c r="K81" s="51"/>
    </row>
    <row r="82" spans="1:13" ht="121.5">
      <c r="A82" s="43" t="str">
        <v>MA: Boxborough - 1414 Massachusetts Ave</v>
      </c>
      <c r="B82" s="40" t="str">
        <v>MA</v>
      </c>
      <c r="C82" s="28">
        <v>709647.91685864795</v>
      </c>
      <c r="D82" s="29">
        <v>202302.4</v>
      </c>
      <c r="E82" s="29">
        <f t="shared" si="12"/>
        <v>507345.51685864793</v>
      </c>
      <c r="F82" s="30">
        <f t="shared" si="11"/>
        <v>2.5078571329783923</v>
      </c>
      <c r="G82" s="31">
        <v>751000</v>
      </c>
      <c r="H82" s="31">
        <f t="shared" si="13"/>
        <v>-41352.08314135205</v>
      </c>
      <c r="I82" s="32">
        <f t="shared" si="14"/>
        <v>-5.5062693929896205E-2</v>
      </c>
      <c r="J82" s="49" t="s">
        <v>456</v>
      </c>
      <c r="K82" s="67" t="s">
        <v>457</v>
      </c>
      <c r="L82" s="95" t="s">
        <v>458</v>
      </c>
    </row>
    <row r="83" spans="1:13" ht="76.5">
      <c r="A83" s="41" t="str">
        <v>NY: Amsterdam - 153 NY Route 67</v>
      </c>
      <c r="B83" s="42" t="str">
        <v>NY</v>
      </c>
      <c r="C83" s="35">
        <v>402490</v>
      </c>
      <c r="D83" s="36">
        <v>305334.7</v>
      </c>
      <c r="E83" s="36">
        <f t="shared" si="12"/>
        <v>97155.299999999988</v>
      </c>
      <c r="F83" s="37">
        <f t="shared" si="11"/>
        <v>0.31819278974843013</v>
      </c>
      <c r="G83" s="38">
        <v>390058.8</v>
      </c>
      <c r="H83" s="38">
        <f t="shared" si="13"/>
        <v>12431.200000000012</v>
      </c>
      <c r="I83" s="37">
        <f t="shared" si="14"/>
        <v>3.187006676942044E-2</v>
      </c>
      <c r="J83" s="50" t="s">
        <v>459</v>
      </c>
      <c r="K83" s="69" t="s">
        <v>460</v>
      </c>
      <c r="L83" s="95" t="s">
        <v>461</v>
      </c>
      <c r="M83" s="95" t="s">
        <v>462</v>
      </c>
    </row>
    <row r="84" spans="1:13" ht="15.75">
      <c r="A84" s="43" t="str">
        <v>CA: San Jose - GE Mobile Water</v>
      </c>
      <c r="B84" s="40" t="str">
        <v>CA</v>
      </c>
      <c r="C84" s="28">
        <v>30650</v>
      </c>
      <c r="D84" s="29">
        <v>34545.004999999997</v>
      </c>
      <c r="E84" s="29">
        <f t="shared" si="12"/>
        <v>-3895.0049999999974</v>
      </c>
      <c r="F84" s="30">
        <f t="shared" si="11"/>
        <v>-0.11275161199137176</v>
      </c>
      <c r="G84" s="31">
        <v>34698.832000000002</v>
      </c>
      <c r="H84" s="31">
        <f t="shared" si="13"/>
        <v>-4048.8320000000022</v>
      </c>
      <c r="I84" s="32">
        <f t="shared" si="14"/>
        <v>-0.11668496507317601</v>
      </c>
      <c r="J84" s="49" t="s">
        <v>463</v>
      </c>
      <c r="K84" s="67" t="s">
        <v>310</v>
      </c>
    </row>
    <row r="85" spans="1:13" ht="76.5">
      <c r="A85" s="41" t="str">
        <v>NY: Rome - 7776 Tannery RD</v>
      </c>
      <c r="B85" s="42" t="str">
        <v>NY</v>
      </c>
      <c r="C85" s="35">
        <v>372090.384558074</v>
      </c>
      <c r="D85" s="36">
        <v>415567.5</v>
      </c>
      <c r="E85" s="36">
        <f t="shared" si="12"/>
        <v>-43477.115441925998</v>
      </c>
      <c r="F85" s="37">
        <f t="shared" si="11"/>
        <v>-0.10462106743651993</v>
      </c>
      <c r="G85" s="38">
        <v>430656.3</v>
      </c>
      <c r="H85" s="38">
        <f t="shared" si="13"/>
        <v>-58565.915441925987</v>
      </c>
      <c r="I85" s="37">
        <f t="shared" si="14"/>
        <v>-0.13599224124185805</v>
      </c>
      <c r="J85" s="50" t="s">
        <v>464</v>
      </c>
      <c r="K85" s="75" t="s">
        <v>465</v>
      </c>
      <c r="L85" s="95" t="s">
        <v>466</v>
      </c>
      <c r="M85" s="95" t="s">
        <v>467</v>
      </c>
    </row>
    <row r="86" spans="1:13" ht="15">
      <c r="A86" s="8"/>
      <c r="B86" s="13"/>
      <c r="C86" s="8"/>
      <c r="D86" s="8"/>
      <c r="E86" s="8"/>
      <c r="F86" s="9"/>
      <c r="G86" s="8"/>
      <c r="H86" s="8"/>
      <c r="I86" s="9"/>
      <c r="J86" s="8"/>
      <c r="K86" s="8"/>
    </row>
    <row r="87" spans="1:13" ht="15">
      <c r="A87" s="8"/>
      <c r="B87" s="13"/>
      <c r="C87" s="8"/>
      <c r="D87" s="8"/>
      <c r="E87" s="8"/>
      <c r="F87" s="9"/>
      <c r="G87" s="8"/>
      <c r="H87" s="8"/>
      <c r="I87" s="9"/>
      <c r="J87" s="8"/>
      <c r="K87" s="8"/>
    </row>
    <row r="88" spans="1:13" ht="15">
      <c r="A88" s="8"/>
      <c r="B88" s="13"/>
      <c r="C88" s="8"/>
      <c r="D88" s="8"/>
      <c r="E88" s="8"/>
      <c r="F88" s="9"/>
      <c r="G88" s="8"/>
      <c r="H88" s="8"/>
      <c r="I88" s="9"/>
      <c r="J88" s="8"/>
      <c r="K88" s="8"/>
    </row>
    <row r="89" spans="1:13" ht="15">
      <c r="A89" s="8"/>
      <c r="B89" s="13"/>
      <c r="C89" s="8"/>
      <c r="D89" s="8"/>
      <c r="E89" s="8"/>
      <c r="F89" s="9"/>
      <c r="G89" s="8"/>
      <c r="H89" s="8"/>
      <c r="I89" s="9"/>
      <c r="J89" s="8"/>
      <c r="K89" s="8"/>
    </row>
    <row r="90" spans="1:13" ht="15">
      <c r="A90" s="8"/>
      <c r="B90" s="13"/>
      <c r="C90" s="8"/>
      <c r="D90" s="8"/>
      <c r="E90" s="8"/>
      <c r="F90" s="9"/>
      <c r="G90" s="8"/>
      <c r="H90" s="8"/>
      <c r="I90" s="9"/>
      <c r="J90" s="8"/>
      <c r="K90" s="8"/>
    </row>
    <row r="91" spans="1:13" ht="15">
      <c r="A91" s="8"/>
      <c r="B91" s="13"/>
      <c r="C91" s="8"/>
      <c r="D91" s="8"/>
      <c r="E91" s="8"/>
      <c r="F91" s="9"/>
      <c r="G91" s="8"/>
      <c r="H91" s="8"/>
      <c r="I91" s="9"/>
      <c r="J91" s="8"/>
      <c r="K91" s="8"/>
    </row>
    <row r="92" spans="1:13" ht="15">
      <c r="A92" s="8"/>
      <c r="B92" s="13"/>
      <c r="C92" s="8"/>
      <c r="D92" s="8"/>
      <c r="E92" s="8"/>
      <c r="F92" s="9"/>
      <c r="G92" s="8"/>
      <c r="H92" s="8"/>
      <c r="I92" s="9"/>
      <c r="J92" s="8"/>
      <c r="K92" s="8"/>
    </row>
    <row r="93" spans="1:13" ht="15">
      <c r="A93" s="8"/>
      <c r="B93" s="13"/>
      <c r="C93" s="8"/>
      <c r="D93" s="8"/>
      <c r="E93" s="8"/>
      <c r="F93" s="9"/>
      <c r="G93" s="8"/>
      <c r="H93" s="8"/>
      <c r="I93" s="9"/>
      <c r="J93" s="8"/>
      <c r="K93" s="8"/>
    </row>
    <row r="94" spans="1:13" ht="15">
      <c r="A94" s="8"/>
      <c r="B94" s="13"/>
      <c r="C94" s="8"/>
      <c r="D94" s="8"/>
      <c r="E94" s="8"/>
      <c r="F94" s="9"/>
      <c r="G94" s="8"/>
      <c r="H94" s="8"/>
      <c r="I94" s="9"/>
      <c r="J94" s="8"/>
      <c r="K94" s="8"/>
    </row>
    <row r="95" spans="1:13" ht="15">
      <c r="A95" s="8"/>
      <c r="B95" s="13"/>
      <c r="C95" s="8"/>
      <c r="D95" s="8"/>
      <c r="E95" s="8"/>
      <c r="F95" s="9"/>
      <c r="G95" s="8"/>
      <c r="H95" s="8"/>
      <c r="I95" s="9"/>
      <c r="J95" s="8"/>
      <c r="K95" s="8"/>
    </row>
    <row r="96" spans="1:13" ht="15">
      <c r="A96" s="8"/>
      <c r="B96" s="13"/>
      <c r="C96" s="8"/>
      <c r="D96" s="8"/>
      <c r="E96" s="8"/>
      <c r="F96" s="9"/>
      <c r="G96" s="8"/>
      <c r="H96" s="8"/>
      <c r="I96" s="9"/>
      <c r="J96" s="8"/>
      <c r="K96" s="8"/>
    </row>
    <row r="97" spans="1:11" ht="15">
      <c r="A97" s="8"/>
      <c r="B97" s="13"/>
      <c r="C97" s="8"/>
      <c r="D97" s="8"/>
      <c r="E97" s="8"/>
      <c r="F97" s="9"/>
      <c r="G97" s="8"/>
      <c r="H97" s="8"/>
      <c r="I97" s="9"/>
      <c r="J97" s="8"/>
      <c r="K97" s="8"/>
    </row>
    <row r="98" spans="1:11" ht="15">
      <c r="A98" s="8"/>
      <c r="B98" s="13"/>
      <c r="C98" s="8"/>
      <c r="D98" s="8"/>
      <c r="E98" s="8"/>
      <c r="F98" s="9"/>
      <c r="G98" s="8"/>
      <c r="H98" s="8"/>
      <c r="I98" s="9"/>
      <c r="J98" s="8"/>
      <c r="K98" s="8"/>
    </row>
    <row r="99" spans="1:11" ht="15">
      <c r="A99" s="8"/>
      <c r="B99" s="13"/>
      <c r="C99" s="8"/>
      <c r="D99" s="8"/>
      <c r="E99" s="8"/>
      <c r="F99" s="9"/>
      <c r="G99" s="8"/>
      <c r="H99" s="8"/>
      <c r="I99" s="9"/>
      <c r="J99" s="8"/>
      <c r="K99" s="8"/>
    </row>
    <row r="100" spans="1:11" ht="15">
      <c r="A100" s="8"/>
      <c r="B100" s="13"/>
      <c r="C100" s="8"/>
      <c r="D100" s="8"/>
      <c r="E100" s="8"/>
      <c r="F100" s="9"/>
      <c r="G100" s="8"/>
      <c r="H100" s="8"/>
      <c r="I100" s="9"/>
      <c r="J100" s="8"/>
      <c r="K100" s="8"/>
    </row>
    <row r="101" spans="1:11" ht="15">
      <c r="A101" s="8"/>
      <c r="B101" s="13"/>
      <c r="C101" s="8"/>
      <c r="D101" s="8"/>
      <c r="E101" s="8"/>
      <c r="F101" s="9"/>
      <c r="G101" s="8"/>
      <c r="H101" s="8"/>
      <c r="I101" s="9"/>
      <c r="J101" s="8"/>
      <c r="K101" s="8"/>
    </row>
    <row r="102" spans="1:11" ht="15">
      <c r="A102" s="8"/>
      <c r="B102" s="13"/>
      <c r="C102" s="8"/>
      <c r="D102" s="8"/>
      <c r="E102" s="8"/>
      <c r="F102" s="9"/>
      <c r="G102" s="8"/>
      <c r="H102" s="8"/>
      <c r="I102" s="9"/>
      <c r="J102" s="8"/>
      <c r="K102" s="8"/>
    </row>
    <row r="103" spans="1:11" ht="15">
      <c r="A103" s="8"/>
      <c r="B103" s="13"/>
      <c r="C103" s="8"/>
      <c r="D103" s="8"/>
      <c r="E103" s="8"/>
      <c r="F103" s="9"/>
      <c r="G103" s="8"/>
      <c r="H103" s="8"/>
      <c r="I103" s="9"/>
      <c r="J103" s="8"/>
      <c r="K103" s="8"/>
    </row>
    <row r="104" spans="1:11" ht="15">
      <c r="A104" s="8"/>
      <c r="B104" s="13"/>
      <c r="C104" s="8"/>
      <c r="D104" s="8"/>
      <c r="E104" s="8"/>
      <c r="F104" s="9"/>
      <c r="G104" s="8"/>
      <c r="H104" s="8"/>
      <c r="I104" s="9"/>
      <c r="J104" s="8"/>
      <c r="K104" s="8"/>
    </row>
    <row r="105" spans="1:11" ht="15">
      <c r="A105" s="8"/>
      <c r="B105" s="13"/>
      <c r="C105" s="8"/>
      <c r="D105" s="8"/>
      <c r="E105" s="8"/>
      <c r="F105" s="9"/>
      <c r="G105" s="8"/>
      <c r="H105" s="8"/>
      <c r="I105" s="9"/>
      <c r="J105" s="8"/>
      <c r="K105" s="8"/>
    </row>
    <row r="106" spans="1:11" ht="15">
      <c r="A106" s="8"/>
      <c r="B106" s="13"/>
      <c r="C106" s="8"/>
      <c r="D106" s="8"/>
      <c r="E106" s="8"/>
      <c r="F106" s="9"/>
      <c r="G106" s="8"/>
      <c r="H106" s="8"/>
      <c r="I106" s="9"/>
      <c r="J106" s="8"/>
      <c r="K106" s="8"/>
    </row>
    <row r="107" spans="1:11" ht="15">
      <c r="A107" s="8"/>
      <c r="B107" s="13"/>
      <c r="C107" s="8"/>
      <c r="D107" s="8"/>
      <c r="E107" s="8"/>
      <c r="F107" s="9"/>
      <c r="G107" s="8"/>
      <c r="H107" s="8"/>
      <c r="I107" s="9"/>
      <c r="J107" s="8"/>
      <c r="K107" s="8"/>
    </row>
    <row r="108" spans="1:11" ht="15">
      <c r="A108" s="8"/>
      <c r="B108" s="13"/>
      <c r="C108" s="8"/>
      <c r="D108" s="8"/>
      <c r="E108" s="8"/>
      <c r="F108" s="9"/>
      <c r="G108" s="8"/>
      <c r="H108" s="8"/>
      <c r="I108" s="9"/>
      <c r="J108" s="8"/>
      <c r="K108" s="8"/>
    </row>
    <row r="109" spans="1:11" ht="15">
      <c r="A109" s="8"/>
      <c r="B109" s="13"/>
      <c r="C109" s="8"/>
      <c r="D109" s="8"/>
      <c r="E109" s="8"/>
      <c r="F109" s="9"/>
      <c r="G109" s="8"/>
      <c r="H109" s="8"/>
      <c r="I109" s="9"/>
      <c r="J109" s="8"/>
      <c r="K109" s="8"/>
    </row>
    <row r="110" spans="1:11" ht="15">
      <c r="A110" s="8"/>
      <c r="B110" s="13"/>
      <c r="C110" s="8"/>
      <c r="D110" s="8"/>
      <c r="E110" s="8"/>
      <c r="F110" s="9"/>
      <c r="G110" s="8"/>
      <c r="H110" s="8"/>
      <c r="I110" s="9"/>
      <c r="J110" s="8"/>
      <c r="K110" s="8"/>
    </row>
    <row r="111" spans="1:11" ht="15">
      <c r="A111" s="8"/>
      <c r="B111" s="13"/>
      <c r="C111" s="8"/>
      <c r="D111" s="8"/>
      <c r="E111" s="8"/>
      <c r="F111" s="9"/>
      <c r="G111" s="8"/>
      <c r="H111" s="8"/>
      <c r="I111" s="9"/>
      <c r="J111" s="8"/>
      <c r="K111" s="8"/>
    </row>
    <row r="112" spans="1:11" ht="15">
      <c r="A112" s="8"/>
      <c r="B112" s="13"/>
      <c r="C112" s="8"/>
      <c r="D112" s="8"/>
      <c r="E112" s="8"/>
      <c r="F112" s="9"/>
      <c r="G112" s="8"/>
      <c r="H112" s="8"/>
      <c r="I112" s="9"/>
      <c r="J112" s="8"/>
      <c r="K112" s="8"/>
    </row>
    <row r="113" spans="1:11" ht="15">
      <c r="A113" s="8"/>
      <c r="B113" s="13"/>
      <c r="C113" s="8"/>
      <c r="D113" s="8"/>
      <c r="E113" s="8"/>
      <c r="F113" s="9"/>
      <c r="G113" s="8"/>
      <c r="H113" s="8"/>
      <c r="I113" s="9"/>
      <c r="J113" s="8"/>
      <c r="K113" s="8"/>
    </row>
    <row r="114" spans="1:11" ht="15">
      <c r="A114" s="8"/>
      <c r="B114" s="13"/>
      <c r="C114" s="8"/>
      <c r="D114" s="8"/>
      <c r="E114" s="8"/>
      <c r="F114" s="9"/>
      <c r="G114" s="8"/>
      <c r="H114" s="8"/>
      <c r="I114" s="9"/>
      <c r="J114" s="8"/>
      <c r="K114" s="8"/>
    </row>
    <row r="115" spans="1:11" ht="15">
      <c r="A115" s="8"/>
      <c r="B115" s="13"/>
      <c r="C115" s="8"/>
      <c r="D115" s="8"/>
      <c r="E115" s="8"/>
      <c r="F115" s="9"/>
      <c r="G115" s="8"/>
      <c r="H115" s="8"/>
      <c r="I115" s="9"/>
      <c r="J115" s="8"/>
      <c r="K115" s="8"/>
    </row>
    <row r="116" spans="1:11" ht="15">
      <c r="A116" s="8"/>
      <c r="B116" s="13"/>
      <c r="C116" s="8"/>
      <c r="D116" s="8"/>
      <c r="E116" s="8"/>
      <c r="F116" s="9"/>
      <c r="G116" s="8"/>
      <c r="H116" s="8"/>
      <c r="I116" s="9"/>
      <c r="J116" s="8"/>
      <c r="K116" s="8"/>
    </row>
    <row r="117" spans="1:11" ht="15">
      <c r="A117" s="8"/>
      <c r="B117" s="13"/>
      <c r="C117" s="8"/>
      <c r="D117" s="8"/>
      <c r="E117" s="8"/>
      <c r="F117" s="9"/>
      <c r="G117" s="8"/>
      <c r="H117" s="8"/>
      <c r="I117" s="9"/>
      <c r="J117" s="8"/>
      <c r="K117" s="8"/>
    </row>
    <row r="118" spans="1:11" ht="15">
      <c r="A118" s="8"/>
      <c r="B118" s="13"/>
      <c r="C118" s="8"/>
      <c r="D118" s="8"/>
      <c r="E118" s="8"/>
      <c r="F118" s="9"/>
      <c r="G118" s="8"/>
      <c r="H118" s="8"/>
      <c r="I118" s="9"/>
      <c r="J118" s="8"/>
      <c r="K118" s="8"/>
    </row>
    <row r="119" spans="1:11" ht="15">
      <c r="A119" s="8"/>
      <c r="B119" s="13"/>
      <c r="C119" s="8"/>
      <c r="D119" s="8"/>
      <c r="E119" s="8"/>
      <c r="F119" s="9"/>
      <c r="G119" s="8"/>
      <c r="H119" s="8"/>
      <c r="I119" s="9"/>
      <c r="J119" s="8"/>
      <c r="K119" s="8"/>
    </row>
    <row r="120" spans="1:11" ht="15">
      <c r="A120" s="8"/>
      <c r="B120" s="13"/>
      <c r="C120" s="8"/>
      <c r="D120" s="8"/>
      <c r="E120" s="8"/>
      <c r="F120" s="9"/>
      <c r="G120" s="8"/>
      <c r="H120" s="8"/>
      <c r="I120" s="9"/>
      <c r="J120" s="8"/>
      <c r="K120" s="8"/>
    </row>
    <row r="121" spans="1:11" ht="15">
      <c r="A121" s="8"/>
      <c r="B121" s="13"/>
      <c r="C121" s="8"/>
      <c r="D121" s="8"/>
      <c r="E121" s="8"/>
      <c r="F121" s="9"/>
      <c r="G121" s="8"/>
      <c r="H121" s="8"/>
      <c r="I121" s="9"/>
      <c r="J121" s="8"/>
      <c r="K121" s="8"/>
    </row>
    <row r="122" spans="1:11" ht="15">
      <c r="A122" s="8"/>
      <c r="B122" s="13"/>
      <c r="C122" s="8"/>
      <c r="D122" s="8"/>
      <c r="E122" s="8"/>
      <c r="F122" s="9"/>
      <c r="G122" s="8"/>
      <c r="H122" s="8"/>
      <c r="I122" s="9"/>
      <c r="J122" s="8"/>
      <c r="K122" s="8"/>
    </row>
    <row r="123" spans="1:11" ht="15">
      <c r="A123" s="8"/>
      <c r="B123" s="13"/>
      <c r="C123" s="8"/>
      <c r="D123" s="8"/>
      <c r="E123" s="8"/>
      <c r="F123" s="9"/>
      <c r="G123" s="8"/>
      <c r="H123" s="8"/>
      <c r="I123" s="9"/>
      <c r="J123" s="8"/>
      <c r="K123" s="8"/>
    </row>
    <row r="124" spans="1:11" ht="15">
      <c r="A124" s="8"/>
      <c r="B124" s="13"/>
      <c r="C124" s="8"/>
      <c r="D124" s="8"/>
      <c r="E124" s="8"/>
      <c r="F124" s="9"/>
      <c r="G124" s="8"/>
      <c r="H124" s="8"/>
      <c r="I124" s="9"/>
      <c r="J124" s="8"/>
      <c r="K124" s="8"/>
    </row>
    <row r="125" spans="1:11" ht="15">
      <c r="A125" s="8"/>
      <c r="B125" s="13"/>
      <c r="C125" s="8"/>
      <c r="D125" s="8"/>
      <c r="E125" s="8"/>
      <c r="F125" s="9"/>
      <c r="G125" s="8"/>
      <c r="H125" s="8"/>
      <c r="I125" s="9"/>
      <c r="J125" s="8"/>
      <c r="K125" s="8"/>
    </row>
    <row r="126" spans="1:11" ht="15">
      <c r="A126" s="8"/>
      <c r="B126" s="13"/>
      <c r="C126" s="8"/>
      <c r="D126" s="8"/>
      <c r="E126" s="8"/>
      <c r="F126" s="9"/>
      <c r="G126" s="8"/>
      <c r="H126" s="8"/>
      <c r="I126" s="9"/>
      <c r="J126" s="8"/>
      <c r="K126" s="8"/>
    </row>
    <row r="127" spans="1:11" ht="15">
      <c r="A127" s="8"/>
      <c r="B127" s="13"/>
      <c r="C127" s="8"/>
      <c r="D127" s="8"/>
      <c r="E127" s="8"/>
      <c r="F127" s="9"/>
      <c r="G127" s="8"/>
      <c r="H127" s="8"/>
      <c r="I127" s="9"/>
      <c r="J127" s="8"/>
      <c r="K127" s="8"/>
    </row>
    <row r="128" spans="1:11" ht="15">
      <c r="A128" s="8"/>
      <c r="B128" s="13"/>
      <c r="C128" s="8"/>
      <c r="D128" s="8"/>
      <c r="E128" s="8"/>
      <c r="F128" s="9"/>
      <c r="G128" s="8"/>
      <c r="H128" s="8"/>
      <c r="I128" s="9"/>
      <c r="J128" s="8"/>
      <c r="K128" s="8"/>
    </row>
    <row r="129" spans="1:11" ht="15">
      <c r="A129" s="8"/>
      <c r="B129" s="13"/>
      <c r="C129" s="8"/>
      <c r="D129" s="8"/>
      <c r="E129" s="8"/>
      <c r="F129" s="9"/>
      <c r="G129" s="8"/>
      <c r="H129" s="8"/>
      <c r="I129" s="9"/>
      <c r="J129" s="8"/>
      <c r="K129" s="8"/>
    </row>
    <row r="130" spans="1:11" ht="15">
      <c r="A130" s="8"/>
      <c r="B130" s="13"/>
      <c r="C130" s="8"/>
      <c r="D130" s="8"/>
      <c r="E130" s="8"/>
      <c r="F130" s="9"/>
      <c r="G130" s="8"/>
      <c r="H130" s="8"/>
      <c r="I130" s="9"/>
      <c r="J130" s="8"/>
      <c r="K130" s="8"/>
    </row>
    <row r="131" spans="1:11" ht="15">
      <c r="A131" s="8"/>
      <c r="B131" s="13"/>
      <c r="C131" s="8"/>
      <c r="D131" s="8"/>
      <c r="E131" s="8"/>
      <c r="F131" s="9"/>
      <c r="G131" s="8"/>
      <c r="H131" s="8"/>
      <c r="I131" s="9"/>
      <c r="J131" s="8"/>
      <c r="K131" s="8"/>
    </row>
    <row r="132" spans="1:11" ht="15">
      <c r="A132" s="8"/>
      <c r="B132" s="13"/>
      <c r="C132" s="8"/>
      <c r="D132" s="8"/>
      <c r="E132" s="8"/>
      <c r="F132" s="9"/>
      <c r="G132" s="8"/>
      <c r="H132" s="8"/>
      <c r="I132" s="9"/>
      <c r="J132" s="8"/>
      <c r="K132" s="8"/>
    </row>
    <row r="133" spans="1:11" ht="15">
      <c r="A133" s="8"/>
      <c r="B133" s="13"/>
      <c r="C133" s="8"/>
      <c r="D133" s="8"/>
      <c r="E133" s="8"/>
      <c r="F133" s="9"/>
      <c r="G133" s="8"/>
      <c r="H133" s="8"/>
      <c r="I133" s="9"/>
      <c r="J133" s="8"/>
      <c r="K133" s="8"/>
    </row>
    <row r="134" spans="1:11" ht="15">
      <c r="A134" s="8"/>
      <c r="B134" s="13"/>
      <c r="C134" s="8"/>
      <c r="D134" s="8"/>
      <c r="E134" s="8"/>
      <c r="F134" s="9"/>
      <c r="G134" s="8"/>
      <c r="H134" s="8"/>
      <c r="I134" s="9"/>
      <c r="J134" s="8"/>
      <c r="K134" s="8"/>
    </row>
    <row r="135" spans="1:11" ht="15">
      <c r="A135" s="8"/>
      <c r="B135" s="13"/>
      <c r="C135" s="8"/>
      <c r="D135" s="8"/>
      <c r="E135" s="8"/>
      <c r="F135" s="9"/>
      <c r="G135" s="8"/>
      <c r="H135" s="8"/>
      <c r="I135" s="9"/>
      <c r="J135" s="8"/>
      <c r="K135" s="8"/>
    </row>
    <row r="136" spans="1:11" ht="15">
      <c r="A136" s="8"/>
      <c r="B136" s="13"/>
      <c r="C136" s="8"/>
      <c r="D136" s="8"/>
      <c r="E136" s="8"/>
      <c r="F136" s="9"/>
      <c r="G136" s="8"/>
      <c r="H136" s="8"/>
      <c r="I136" s="9"/>
      <c r="J136" s="8"/>
      <c r="K136" s="8"/>
    </row>
    <row r="137" spans="1:11" ht="15">
      <c r="A137" s="8"/>
      <c r="B137" s="13"/>
      <c r="C137" s="8"/>
      <c r="D137" s="8"/>
      <c r="E137" s="8"/>
      <c r="F137" s="9"/>
      <c r="G137" s="8"/>
      <c r="H137" s="8"/>
      <c r="I137" s="9"/>
      <c r="J137" s="8"/>
      <c r="K137" s="8"/>
    </row>
    <row r="138" spans="1:11" ht="15">
      <c r="A138" s="8"/>
      <c r="B138" s="13"/>
      <c r="C138" s="8"/>
      <c r="D138" s="8"/>
      <c r="E138" s="8"/>
      <c r="F138" s="9"/>
      <c r="G138" s="8"/>
      <c r="H138" s="8"/>
      <c r="I138" s="9"/>
      <c r="J138" s="8"/>
      <c r="K138" s="8"/>
    </row>
    <row r="139" spans="1:11" ht="15">
      <c r="A139" s="8"/>
      <c r="B139" s="13"/>
      <c r="C139" s="8"/>
      <c r="D139" s="8"/>
      <c r="E139" s="8"/>
      <c r="F139" s="9"/>
      <c r="G139" s="8"/>
      <c r="H139" s="8"/>
      <c r="I139" s="9"/>
      <c r="J139" s="8"/>
      <c r="K139" s="8"/>
    </row>
    <row r="140" spans="1:11" ht="15">
      <c r="A140" s="8"/>
      <c r="B140" s="13"/>
      <c r="C140" s="8"/>
      <c r="D140" s="8"/>
      <c r="E140" s="8"/>
      <c r="F140" s="9"/>
      <c r="G140" s="8"/>
      <c r="H140" s="8"/>
      <c r="I140" s="9"/>
      <c r="J140" s="8"/>
      <c r="K140" s="8"/>
    </row>
    <row r="141" spans="1:11" ht="15">
      <c r="A141" s="8"/>
      <c r="B141" s="13"/>
      <c r="C141" s="8"/>
      <c r="D141" s="8"/>
      <c r="E141" s="8"/>
      <c r="F141" s="9"/>
      <c r="G141" s="8"/>
      <c r="H141" s="8"/>
      <c r="I141" s="9"/>
      <c r="J141" s="8"/>
      <c r="K141" s="8"/>
    </row>
    <row r="142" spans="1:11" ht="15">
      <c r="A142" s="8"/>
      <c r="B142" s="13"/>
      <c r="C142" s="8"/>
      <c r="D142" s="8"/>
      <c r="E142" s="8"/>
      <c r="F142" s="9"/>
      <c r="G142" s="8"/>
      <c r="H142" s="8"/>
      <c r="I142" s="9"/>
      <c r="J142" s="8"/>
      <c r="K142" s="8"/>
    </row>
    <row r="143" spans="1:11" ht="15">
      <c r="A143" s="8"/>
      <c r="B143" s="13"/>
      <c r="C143" s="8"/>
      <c r="D143" s="8"/>
      <c r="E143" s="8"/>
      <c r="F143" s="9"/>
      <c r="G143" s="8"/>
      <c r="H143" s="8"/>
      <c r="I143" s="9"/>
      <c r="J143" s="8"/>
      <c r="K143" s="8"/>
    </row>
    <row r="144" spans="1:11" ht="15">
      <c r="A144" s="8"/>
      <c r="B144" s="13"/>
      <c r="C144" s="8"/>
      <c r="D144" s="8"/>
      <c r="E144" s="8"/>
      <c r="F144" s="9"/>
      <c r="G144" s="8"/>
      <c r="H144" s="8"/>
      <c r="I144" s="9"/>
      <c r="J144" s="8"/>
      <c r="K144" s="8"/>
    </row>
    <row r="145" spans="1:11" ht="15">
      <c r="A145" s="8"/>
      <c r="B145" s="13"/>
      <c r="C145" s="8"/>
      <c r="D145" s="8"/>
      <c r="E145" s="8"/>
      <c r="F145" s="9"/>
      <c r="G145" s="8"/>
      <c r="H145" s="8"/>
      <c r="I145" s="9"/>
      <c r="J145" s="8"/>
      <c r="K145" s="8"/>
    </row>
    <row r="146" spans="1:11" ht="15">
      <c r="A146" s="8"/>
      <c r="B146" s="13"/>
      <c r="C146" s="8"/>
      <c r="D146" s="8"/>
      <c r="E146" s="8"/>
      <c r="F146" s="9"/>
      <c r="G146" s="8"/>
      <c r="H146" s="8"/>
      <c r="I146" s="9"/>
      <c r="J146" s="8"/>
      <c r="K146" s="8"/>
    </row>
    <row r="147" spans="1:11" ht="15">
      <c r="A147" s="8"/>
      <c r="B147" s="13"/>
      <c r="C147" s="8"/>
      <c r="D147" s="8"/>
      <c r="E147" s="8"/>
      <c r="F147" s="9"/>
      <c r="G147" s="8"/>
      <c r="H147" s="8"/>
      <c r="I147" s="9"/>
      <c r="J147" s="8"/>
      <c r="K147" s="8"/>
    </row>
    <row r="148" spans="1:11" ht="15">
      <c r="A148" s="8"/>
      <c r="B148" s="13"/>
      <c r="C148" s="8"/>
      <c r="D148" s="8"/>
      <c r="E148" s="8"/>
      <c r="F148" s="9"/>
      <c r="G148" s="8"/>
      <c r="H148" s="8"/>
      <c r="I148" s="9"/>
      <c r="J148" s="8"/>
      <c r="K148" s="8"/>
    </row>
    <row r="149" spans="1:11" ht="15">
      <c r="A149" s="8"/>
      <c r="B149" s="13"/>
      <c r="C149" s="8"/>
      <c r="D149" s="8"/>
      <c r="E149" s="8"/>
      <c r="F149" s="9"/>
      <c r="G149" s="8"/>
      <c r="H149" s="8"/>
      <c r="I149" s="9"/>
      <c r="J149" s="8"/>
      <c r="K149" s="8"/>
    </row>
    <row r="150" spans="1:11" ht="15">
      <c r="A150" s="8"/>
      <c r="B150" s="13"/>
      <c r="C150" s="8"/>
      <c r="D150" s="8"/>
      <c r="E150" s="8"/>
      <c r="F150" s="9"/>
      <c r="G150" s="8"/>
      <c r="H150" s="8"/>
      <c r="I150" s="9"/>
      <c r="J150" s="8"/>
      <c r="K150" s="8"/>
    </row>
    <row r="151" spans="1:11" ht="15">
      <c r="A151" s="8"/>
      <c r="B151" s="13"/>
      <c r="C151" s="8"/>
      <c r="D151" s="8"/>
      <c r="E151" s="8"/>
      <c r="F151" s="9"/>
      <c r="G151" s="8"/>
      <c r="H151" s="8"/>
      <c r="I151" s="9"/>
      <c r="J151" s="8"/>
      <c r="K151" s="8"/>
    </row>
    <row r="152" spans="1:11" ht="15">
      <c r="A152" s="8"/>
      <c r="B152" s="13"/>
      <c r="C152" s="8"/>
      <c r="D152" s="8"/>
      <c r="E152" s="8"/>
      <c r="F152" s="9"/>
      <c r="G152" s="8"/>
      <c r="H152" s="8"/>
      <c r="I152" s="9"/>
      <c r="J152" s="8"/>
      <c r="K152" s="8"/>
    </row>
    <row r="153" spans="1:11" ht="15">
      <c r="A153" s="8"/>
      <c r="B153" s="13"/>
      <c r="C153" s="8"/>
      <c r="D153" s="8"/>
      <c r="E153" s="8"/>
      <c r="F153" s="9"/>
      <c r="G153" s="8"/>
      <c r="H153" s="8"/>
      <c r="I153" s="9"/>
      <c r="J153" s="8"/>
      <c r="K153" s="8"/>
    </row>
    <row r="154" spans="1:11" ht="15">
      <c r="A154" s="8"/>
      <c r="B154" s="13"/>
      <c r="C154" s="8"/>
      <c r="D154" s="8"/>
      <c r="E154" s="8"/>
      <c r="F154" s="9"/>
      <c r="G154" s="8"/>
      <c r="H154" s="8"/>
      <c r="I154" s="9"/>
      <c r="J154" s="8"/>
      <c r="K154" s="8"/>
    </row>
    <row r="155" spans="1:11" ht="15">
      <c r="A155" s="8"/>
      <c r="B155" s="13"/>
      <c r="C155" s="8"/>
      <c r="D155" s="8"/>
      <c r="E155" s="8"/>
      <c r="F155" s="9"/>
      <c r="G155" s="8"/>
      <c r="H155" s="8"/>
      <c r="I155" s="9"/>
      <c r="J155" s="8"/>
      <c r="K155" s="8"/>
    </row>
    <row r="156" spans="1:11" ht="15">
      <c r="A156" s="8"/>
      <c r="B156" s="13"/>
      <c r="C156" s="8"/>
      <c r="D156" s="8"/>
      <c r="E156" s="8"/>
      <c r="F156" s="9"/>
      <c r="G156" s="8"/>
      <c r="H156" s="8"/>
      <c r="I156" s="9"/>
      <c r="J156" s="8"/>
      <c r="K156" s="8"/>
    </row>
    <row r="157" spans="1:11" ht="15">
      <c r="A157" s="8"/>
      <c r="B157" s="13"/>
      <c r="C157" s="8"/>
      <c r="D157" s="8"/>
      <c r="E157" s="8"/>
      <c r="F157" s="9"/>
      <c r="G157" s="8"/>
      <c r="H157" s="8"/>
      <c r="I157" s="9"/>
      <c r="J157" s="8"/>
      <c r="K157" s="8"/>
    </row>
    <row r="158" spans="1:11" ht="15">
      <c r="A158" s="8"/>
      <c r="B158" s="13"/>
      <c r="C158" s="8"/>
      <c r="D158" s="8"/>
      <c r="E158" s="8"/>
      <c r="F158" s="9"/>
      <c r="G158" s="8"/>
      <c r="H158" s="8"/>
      <c r="I158" s="9"/>
      <c r="J158" s="8"/>
      <c r="K158" s="8"/>
    </row>
    <row r="159" spans="1:11" ht="15">
      <c r="A159" s="8"/>
      <c r="B159" s="13"/>
      <c r="C159" s="8"/>
      <c r="D159" s="8"/>
      <c r="E159" s="8"/>
      <c r="F159" s="9"/>
      <c r="G159" s="8"/>
      <c r="H159" s="8"/>
      <c r="I159" s="9"/>
      <c r="J159" s="8"/>
      <c r="K159" s="8"/>
    </row>
    <row r="160" spans="1:11" ht="15">
      <c r="A160" s="8"/>
      <c r="B160" s="13"/>
      <c r="C160" s="8"/>
      <c r="D160" s="8"/>
      <c r="E160" s="8"/>
      <c r="F160" s="9"/>
      <c r="G160" s="8"/>
      <c r="H160" s="8"/>
      <c r="I160" s="9"/>
      <c r="J160" s="8"/>
      <c r="K160" s="8"/>
    </row>
    <row r="161" spans="1:11" ht="15">
      <c r="A161" s="8"/>
      <c r="B161" s="13"/>
      <c r="C161" s="8"/>
      <c r="D161" s="8"/>
      <c r="E161" s="8"/>
      <c r="F161" s="9"/>
      <c r="G161" s="8"/>
      <c r="H161" s="8"/>
      <c r="I161" s="9"/>
      <c r="J161" s="8"/>
      <c r="K161" s="8"/>
    </row>
    <row r="162" spans="1:11" ht="15">
      <c r="A162" s="8"/>
      <c r="B162" s="13"/>
      <c r="C162" s="8"/>
      <c r="D162" s="8"/>
      <c r="E162" s="8"/>
      <c r="F162" s="9"/>
      <c r="G162" s="8"/>
      <c r="H162" s="8"/>
      <c r="I162" s="9"/>
      <c r="J162" s="8"/>
      <c r="K162" s="8"/>
    </row>
    <row r="163" spans="1:11" ht="15">
      <c r="A163" s="8"/>
      <c r="B163" s="13"/>
      <c r="C163" s="8"/>
      <c r="D163" s="8"/>
      <c r="E163" s="8"/>
      <c r="F163" s="9"/>
      <c r="G163" s="8"/>
      <c r="H163" s="8"/>
      <c r="I163" s="9"/>
      <c r="J163" s="8"/>
      <c r="K163" s="8"/>
    </row>
    <row r="164" spans="1:11" ht="15">
      <c r="A164" s="8"/>
      <c r="B164" s="13"/>
      <c r="C164" s="8"/>
      <c r="D164" s="8"/>
      <c r="E164" s="8"/>
      <c r="F164" s="9"/>
      <c r="G164" s="8"/>
      <c r="H164" s="8"/>
      <c r="I164" s="9"/>
      <c r="J164" s="8"/>
      <c r="K164" s="8"/>
    </row>
    <row r="165" spans="1:11" ht="15">
      <c r="A165" s="8"/>
      <c r="B165" s="13"/>
      <c r="C165" s="8"/>
      <c r="D165" s="8"/>
      <c r="E165" s="8"/>
      <c r="F165" s="9"/>
      <c r="G165" s="8"/>
      <c r="H165" s="8"/>
      <c r="I165" s="9"/>
      <c r="J165" s="8"/>
      <c r="K165" s="8"/>
    </row>
    <row r="166" spans="1:11" ht="15">
      <c r="A166" s="8"/>
      <c r="B166" s="13"/>
      <c r="C166" s="8"/>
      <c r="D166" s="8"/>
      <c r="E166" s="8"/>
      <c r="F166" s="9"/>
      <c r="G166" s="8"/>
      <c r="H166" s="8"/>
      <c r="I166" s="9"/>
      <c r="J166" s="8"/>
      <c r="K166" s="8"/>
    </row>
    <row r="167" spans="1:11" ht="15">
      <c r="A167" s="8"/>
      <c r="B167" s="13"/>
      <c r="C167" s="8"/>
      <c r="D167" s="8"/>
      <c r="E167" s="8"/>
      <c r="F167" s="9"/>
      <c r="G167" s="8"/>
      <c r="H167" s="8"/>
      <c r="I167" s="9"/>
      <c r="J167" s="8"/>
      <c r="K167" s="8"/>
    </row>
    <row r="168" spans="1:11" ht="15">
      <c r="A168" s="8"/>
      <c r="B168" s="13"/>
      <c r="C168" s="8"/>
      <c r="D168" s="8"/>
      <c r="E168" s="8"/>
      <c r="F168" s="9"/>
      <c r="G168" s="8"/>
      <c r="H168" s="8"/>
      <c r="I168" s="9"/>
      <c r="J168" s="8"/>
      <c r="K168" s="8"/>
    </row>
    <row r="169" spans="1:11" ht="15">
      <c r="A169" s="8"/>
      <c r="B169" s="13"/>
      <c r="C169" s="8"/>
      <c r="D169" s="8"/>
      <c r="E169" s="8"/>
      <c r="F169" s="9"/>
      <c r="G169" s="8"/>
      <c r="H169" s="8"/>
      <c r="I169" s="9"/>
      <c r="J169" s="8"/>
      <c r="K169" s="8"/>
    </row>
    <row r="170" spans="1:11" ht="15">
      <c r="A170" s="8"/>
      <c r="B170" s="13"/>
      <c r="C170" s="8"/>
      <c r="D170" s="8"/>
      <c r="E170" s="8"/>
      <c r="F170" s="9"/>
      <c r="G170" s="8"/>
      <c r="H170" s="8"/>
      <c r="I170" s="9"/>
      <c r="J170" s="8"/>
      <c r="K170" s="8"/>
    </row>
    <row r="171" spans="1:11" ht="15">
      <c r="A171" s="8"/>
      <c r="B171" s="13"/>
      <c r="C171" s="8"/>
      <c r="D171" s="8"/>
      <c r="E171" s="8"/>
      <c r="F171" s="9"/>
      <c r="G171" s="8"/>
      <c r="H171" s="8"/>
      <c r="I171" s="9"/>
      <c r="J171" s="8"/>
      <c r="K171" s="8"/>
    </row>
    <row r="172" spans="1:11" ht="15">
      <c r="A172" s="8"/>
      <c r="B172" s="13"/>
      <c r="C172" s="8"/>
      <c r="D172" s="8"/>
      <c r="E172" s="8"/>
      <c r="F172" s="9"/>
      <c r="G172" s="8"/>
      <c r="H172" s="8"/>
      <c r="I172" s="9"/>
      <c r="J172" s="8"/>
      <c r="K172" s="8"/>
    </row>
    <row r="173" spans="1:11" ht="15">
      <c r="A173" s="8"/>
      <c r="B173" s="13"/>
      <c r="C173" s="8"/>
      <c r="D173" s="8"/>
      <c r="E173" s="8"/>
      <c r="F173" s="9"/>
      <c r="G173" s="8"/>
      <c r="H173" s="8"/>
      <c r="I173" s="9"/>
      <c r="J173" s="8"/>
      <c r="K173" s="8"/>
    </row>
    <row r="174" spans="1:11" ht="15">
      <c r="A174" s="8"/>
      <c r="B174" s="13"/>
      <c r="C174" s="8"/>
      <c r="D174" s="8"/>
      <c r="E174" s="8"/>
      <c r="F174" s="9"/>
      <c r="G174" s="8"/>
      <c r="H174" s="8"/>
      <c r="I174" s="9"/>
      <c r="J174" s="8"/>
      <c r="K174" s="8"/>
    </row>
    <row r="175" spans="1:11" ht="15">
      <c r="A175" s="8"/>
      <c r="B175" s="13"/>
      <c r="C175" s="8"/>
      <c r="D175" s="8"/>
      <c r="E175" s="8"/>
      <c r="F175" s="9"/>
      <c r="G175" s="8"/>
      <c r="H175" s="8"/>
      <c r="I175" s="9"/>
      <c r="J175" s="8"/>
      <c r="K175" s="8"/>
    </row>
    <row r="176" spans="1:11" ht="15">
      <c r="A176" s="8"/>
      <c r="B176" s="13"/>
      <c r="C176" s="8"/>
      <c r="D176" s="8"/>
      <c r="E176" s="8"/>
      <c r="F176" s="9"/>
      <c r="G176" s="8"/>
      <c r="H176" s="8"/>
      <c r="I176" s="9"/>
      <c r="J176" s="8"/>
      <c r="K176" s="8"/>
    </row>
    <row r="177" spans="1:11" ht="15">
      <c r="A177" s="8"/>
      <c r="B177" s="13"/>
      <c r="C177" s="8"/>
      <c r="D177" s="8"/>
      <c r="E177" s="8"/>
      <c r="F177" s="9"/>
      <c r="G177" s="8"/>
      <c r="H177" s="8"/>
      <c r="I177" s="9"/>
      <c r="J177" s="8"/>
      <c r="K177" s="8"/>
    </row>
    <row r="178" spans="1:11" ht="15">
      <c r="A178" s="8"/>
      <c r="B178" s="13"/>
      <c r="C178" s="8"/>
      <c r="D178" s="8"/>
      <c r="E178" s="8"/>
      <c r="F178" s="9"/>
      <c r="G178" s="8"/>
      <c r="H178" s="8"/>
      <c r="I178" s="9"/>
      <c r="J178" s="8"/>
      <c r="K178" s="8"/>
    </row>
    <row r="179" spans="1:11" ht="15">
      <c r="A179" s="8"/>
      <c r="B179" s="13"/>
      <c r="C179" s="8"/>
      <c r="D179" s="8"/>
      <c r="E179" s="8"/>
      <c r="F179" s="9"/>
      <c r="G179" s="8"/>
      <c r="H179" s="8"/>
      <c r="I179" s="9"/>
      <c r="J179" s="8"/>
      <c r="K179" s="8"/>
    </row>
    <row r="180" spans="1:11" ht="15">
      <c r="A180" s="8"/>
      <c r="B180" s="13"/>
      <c r="C180" s="8"/>
      <c r="D180" s="8"/>
      <c r="E180" s="8"/>
      <c r="F180" s="9"/>
      <c r="G180" s="8"/>
      <c r="H180" s="8"/>
      <c r="I180" s="9"/>
      <c r="J180" s="8"/>
      <c r="K180" s="8"/>
    </row>
    <row r="181" spans="1:11" ht="15">
      <c r="A181" s="8"/>
      <c r="B181" s="13"/>
      <c r="C181" s="8"/>
      <c r="D181" s="8"/>
      <c r="E181" s="8"/>
      <c r="F181" s="9"/>
      <c r="G181" s="8"/>
      <c r="H181" s="8"/>
      <c r="I181" s="9"/>
      <c r="J181" s="8"/>
      <c r="K181" s="8"/>
    </row>
    <row r="182" spans="1:11" ht="15">
      <c r="A182" s="8"/>
      <c r="B182" s="13"/>
      <c r="C182" s="8"/>
      <c r="D182" s="8"/>
      <c r="E182" s="8"/>
      <c r="F182" s="9"/>
      <c r="G182" s="8"/>
      <c r="H182" s="8"/>
      <c r="I182" s="9"/>
      <c r="J182" s="8"/>
      <c r="K182" s="8"/>
    </row>
    <row r="183" spans="1:11" ht="15">
      <c r="A183" s="8"/>
      <c r="B183" s="13"/>
      <c r="C183" s="8"/>
      <c r="D183" s="8"/>
      <c r="E183" s="8"/>
      <c r="F183" s="9"/>
      <c r="G183" s="8"/>
      <c r="H183" s="8"/>
      <c r="I183" s="9"/>
      <c r="J183" s="8"/>
      <c r="K183" s="8"/>
    </row>
    <row r="184" spans="1:11" ht="15">
      <c r="A184" s="8"/>
      <c r="B184" s="13"/>
      <c r="C184" s="8"/>
      <c r="D184" s="8"/>
      <c r="E184" s="8"/>
      <c r="F184" s="9"/>
      <c r="G184" s="8"/>
      <c r="H184" s="8"/>
      <c r="I184" s="9"/>
      <c r="J184" s="8"/>
      <c r="K184" s="8"/>
    </row>
    <row r="185" spans="1:11" ht="15">
      <c r="A185" s="8"/>
      <c r="B185" s="13"/>
      <c r="C185" s="8"/>
      <c r="D185" s="8"/>
      <c r="E185" s="8"/>
      <c r="F185" s="9"/>
      <c r="G185" s="8"/>
      <c r="H185" s="8"/>
      <c r="I185" s="9"/>
      <c r="J185" s="8"/>
      <c r="K185" s="8"/>
    </row>
    <row r="186" spans="1:11" ht="15">
      <c r="A186" s="8"/>
      <c r="B186" s="13"/>
      <c r="C186" s="8"/>
      <c r="D186" s="8"/>
      <c r="E186" s="8"/>
      <c r="F186" s="9"/>
      <c r="G186" s="8"/>
      <c r="H186" s="8"/>
      <c r="I186" s="9"/>
      <c r="J186" s="8"/>
      <c r="K186" s="8"/>
    </row>
    <row r="187" spans="1:11" ht="15">
      <c r="A187" s="8"/>
      <c r="B187" s="13"/>
      <c r="C187" s="8"/>
      <c r="D187" s="8"/>
      <c r="E187" s="8"/>
      <c r="F187" s="9"/>
      <c r="G187" s="8"/>
      <c r="H187" s="8"/>
      <c r="I187" s="9"/>
      <c r="J187" s="8"/>
      <c r="K187" s="8"/>
    </row>
    <row r="188" spans="1:11" ht="15">
      <c r="A188" s="8"/>
      <c r="B188" s="13"/>
      <c r="C188" s="8"/>
      <c r="D188" s="8"/>
      <c r="E188" s="8"/>
      <c r="F188" s="9"/>
      <c r="G188" s="8"/>
      <c r="H188" s="8"/>
      <c r="I188" s="9"/>
      <c r="J188" s="8"/>
      <c r="K188" s="8"/>
    </row>
    <row r="189" spans="1:11" ht="15">
      <c r="A189" s="8"/>
      <c r="B189" s="13"/>
      <c r="C189" s="8"/>
      <c r="D189" s="8"/>
      <c r="E189" s="8"/>
      <c r="F189" s="9"/>
      <c r="G189" s="8"/>
      <c r="H189" s="8"/>
      <c r="I189" s="9"/>
      <c r="J189" s="8"/>
      <c r="K189" s="8"/>
    </row>
    <row r="190" spans="1:11" ht="15">
      <c r="A190" s="8"/>
      <c r="B190" s="13"/>
      <c r="C190" s="8"/>
      <c r="D190" s="8"/>
      <c r="E190" s="8"/>
      <c r="F190" s="9"/>
      <c r="G190" s="8"/>
      <c r="H190" s="8"/>
      <c r="I190" s="9"/>
      <c r="J190" s="8"/>
      <c r="K190" s="8"/>
    </row>
    <row r="191" spans="1:11" ht="15">
      <c r="A191" s="8"/>
      <c r="B191" s="13"/>
      <c r="C191" s="8"/>
      <c r="D191" s="8"/>
      <c r="E191" s="8"/>
      <c r="F191" s="9"/>
      <c r="G191" s="8"/>
      <c r="H191" s="8"/>
      <c r="I191" s="9"/>
      <c r="J191" s="8"/>
      <c r="K191" s="8"/>
    </row>
    <row r="192" spans="1:11" ht="15">
      <c r="A192" s="8"/>
      <c r="B192" s="13"/>
      <c r="C192" s="8"/>
      <c r="D192" s="8"/>
      <c r="E192" s="8"/>
      <c r="F192" s="9"/>
      <c r="G192" s="8"/>
      <c r="H192" s="8"/>
      <c r="I192" s="9"/>
      <c r="J192" s="8"/>
      <c r="K192" s="8"/>
    </row>
    <row r="193" spans="1:11" ht="15">
      <c r="A193" s="8"/>
      <c r="B193" s="13"/>
      <c r="C193" s="8"/>
      <c r="D193" s="8"/>
      <c r="E193" s="8"/>
      <c r="F193" s="9"/>
      <c r="G193" s="8"/>
      <c r="H193" s="8"/>
      <c r="I193" s="9"/>
      <c r="J193" s="8"/>
      <c r="K193" s="8"/>
    </row>
    <row r="194" spans="1:11" ht="15">
      <c r="A194" s="8"/>
      <c r="B194" s="13"/>
      <c r="C194" s="8"/>
      <c r="D194" s="8"/>
      <c r="E194" s="8"/>
      <c r="F194" s="9"/>
      <c r="G194" s="8"/>
      <c r="H194" s="8"/>
      <c r="I194" s="9"/>
      <c r="J194" s="8"/>
      <c r="K194" s="8"/>
    </row>
    <row r="195" spans="1:11" ht="15">
      <c r="A195" s="8"/>
      <c r="B195" s="13"/>
      <c r="C195" s="8"/>
      <c r="D195" s="8"/>
      <c r="E195" s="8"/>
      <c r="F195" s="9"/>
      <c r="G195" s="8"/>
      <c r="H195" s="8"/>
      <c r="I195" s="9"/>
      <c r="J195" s="8"/>
      <c r="K195" s="8"/>
    </row>
    <row r="196" spans="1:11" ht="15">
      <c r="A196" s="8"/>
      <c r="B196" s="13"/>
      <c r="C196" s="8"/>
      <c r="D196" s="8"/>
      <c r="E196" s="8"/>
      <c r="F196" s="9"/>
      <c r="G196" s="8"/>
      <c r="H196" s="8"/>
      <c r="I196" s="9"/>
      <c r="J196" s="8"/>
      <c r="K196" s="8"/>
    </row>
    <row r="197" spans="1:11" ht="15">
      <c r="A197" s="8"/>
      <c r="B197" s="13"/>
      <c r="C197" s="8"/>
      <c r="D197" s="8"/>
      <c r="E197" s="8"/>
      <c r="F197" s="9"/>
      <c r="G197" s="8"/>
      <c r="H197" s="8"/>
      <c r="I197" s="9"/>
      <c r="J197" s="8"/>
      <c r="K197" s="8"/>
    </row>
    <row r="198" spans="1:11" ht="15">
      <c r="A198" s="8"/>
      <c r="B198" s="13"/>
      <c r="C198" s="8"/>
      <c r="D198" s="8"/>
      <c r="E198" s="8"/>
      <c r="F198" s="9"/>
      <c r="G198" s="8"/>
      <c r="H198" s="8"/>
      <c r="I198" s="9"/>
      <c r="J198" s="8"/>
      <c r="K198" s="8"/>
    </row>
    <row r="199" spans="1:11" ht="15">
      <c r="A199" s="8"/>
      <c r="B199" s="13"/>
      <c r="C199" s="8"/>
      <c r="D199" s="8"/>
      <c r="E199" s="8"/>
      <c r="F199" s="9"/>
      <c r="G199" s="8"/>
      <c r="H199" s="8"/>
      <c r="I199" s="9"/>
      <c r="J199" s="8"/>
      <c r="K199" s="8"/>
    </row>
    <row r="200" spans="1:11" ht="15">
      <c r="A200" s="8"/>
      <c r="B200" s="13"/>
      <c r="C200" s="8"/>
      <c r="D200" s="8"/>
      <c r="E200" s="8"/>
      <c r="F200" s="9"/>
      <c r="G200" s="8"/>
      <c r="H200" s="8"/>
      <c r="I200" s="9"/>
      <c r="J200" s="8"/>
      <c r="K200" s="8"/>
    </row>
    <row r="201" spans="1:11" ht="15">
      <c r="A201" s="8"/>
      <c r="B201" s="13"/>
      <c r="C201" s="8"/>
      <c r="D201" s="8"/>
      <c r="E201" s="8"/>
      <c r="F201" s="9"/>
      <c r="G201" s="8"/>
      <c r="H201" s="8"/>
      <c r="I201" s="9"/>
      <c r="J201" s="8"/>
      <c r="K201" s="8"/>
    </row>
    <row r="202" spans="1:11" ht="15">
      <c r="A202" s="8"/>
      <c r="B202" s="13"/>
      <c r="C202" s="8"/>
      <c r="D202" s="8"/>
      <c r="E202" s="8"/>
      <c r="F202" s="9"/>
      <c r="G202" s="8"/>
      <c r="H202" s="8"/>
      <c r="I202" s="9"/>
      <c r="J202" s="8"/>
      <c r="K202" s="8"/>
    </row>
    <row r="203" spans="1:11" ht="15">
      <c r="A203" s="8"/>
      <c r="B203" s="13"/>
      <c r="C203" s="8"/>
      <c r="D203" s="8"/>
      <c r="E203" s="8"/>
      <c r="F203" s="9"/>
      <c r="G203" s="8"/>
      <c r="H203" s="8"/>
      <c r="I203" s="9"/>
      <c r="J203" s="8"/>
      <c r="K203" s="8"/>
    </row>
    <row r="204" spans="1:11" ht="15">
      <c r="A204" s="8"/>
      <c r="B204" s="13"/>
      <c r="C204" s="8"/>
      <c r="D204" s="8"/>
      <c r="E204" s="8"/>
      <c r="F204" s="9"/>
      <c r="G204" s="8"/>
      <c r="H204" s="8"/>
      <c r="I204" s="9"/>
      <c r="J204" s="8"/>
      <c r="K204" s="8"/>
    </row>
    <row r="205" spans="1:11" ht="15">
      <c r="A205" s="8"/>
      <c r="B205" s="13"/>
      <c r="C205" s="8"/>
      <c r="D205" s="8"/>
      <c r="E205" s="8"/>
      <c r="F205" s="9"/>
      <c r="G205" s="8"/>
      <c r="H205" s="8"/>
      <c r="I205" s="9"/>
      <c r="J205" s="8"/>
      <c r="K205" s="8"/>
    </row>
    <row r="206" spans="1:11" ht="15">
      <c r="A206" s="8"/>
      <c r="B206" s="13"/>
      <c r="C206" s="8"/>
      <c r="D206" s="8"/>
      <c r="E206" s="8"/>
      <c r="F206" s="9"/>
      <c r="G206" s="8"/>
      <c r="H206" s="8"/>
      <c r="I206" s="9"/>
      <c r="J206" s="8"/>
      <c r="K206" s="8"/>
    </row>
    <row r="207" spans="1:11" ht="15">
      <c r="A207" s="8"/>
      <c r="B207" s="13"/>
      <c r="C207" s="8"/>
      <c r="D207" s="8"/>
      <c r="E207" s="8"/>
      <c r="F207" s="9"/>
      <c r="G207" s="8"/>
      <c r="H207" s="8"/>
      <c r="I207" s="9"/>
      <c r="J207" s="8"/>
      <c r="K207" s="8"/>
    </row>
    <row r="208" spans="1:11" ht="15">
      <c r="A208" s="8"/>
      <c r="B208" s="13"/>
      <c r="C208" s="8"/>
      <c r="D208" s="8"/>
      <c r="E208" s="8"/>
      <c r="F208" s="9"/>
      <c r="G208" s="8"/>
      <c r="H208" s="8"/>
      <c r="I208" s="9"/>
      <c r="J208" s="8"/>
      <c r="K208" s="8"/>
    </row>
    <row r="209" spans="1:11" ht="15">
      <c r="A209" s="8"/>
      <c r="B209" s="13"/>
      <c r="C209" s="8"/>
      <c r="D209" s="8"/>
      <c r="E209" s="8"/>
      <c r="F209" s="9"/>
      <c r="G209" s="8"/>
      <c r="H209" s="8"/>
      <c r="I209" s="9"/>
      <c r="J209" s="8"/>
      <c r="K209" s="8"/>
    </row>
    <row r="210" spans="1:11" ht="15">
      <c r="A210" s="8"/>
      <c r="B210" s="13"/>
      <c r="C210" s="8"/>
      <c r="D210" s="8"/>
      <c r="E210" s="8"/>
      <c r="F210" s="9"/>
      <c r="G210" s="8"/>
      <c r="H210" s="8"/>
      <c r="I210" s="9"/>
      <c r="J210" s="8"/>
      <c r="K210" s="8"/>
    </row>
    <row r="211" spans="1:11" ht="15">
      <c r="A211" s="8"/>
      <c r="B211" s="13"/>
      <c r="C211" s="8"/>
      <c r="D211" s="8"/>
      <c r="E211" s="8"/>
      <c r="F211" s="9"/>
      <c r="G211" s="8"/>
      <c r="H211" s="8"/>
      <c r="I211" s="9"/>
      <c r="J211" s="8"/>
      <c r="K211" s="8"/>
    </row>
    <row r="212" spans="1:11" ht="15">
      <c r="A212" s="8"/>
      <c r="B212" s="13"/>
      <c r="C212" s="8"/>
      <c r="D212" s="8"/>
      <c r="E212" s="8"/>
      <c r="F212" s="9"/>
      <c r="G212" s="8"/>
      <c r="H212" s="8"/>
      <c r="I212" s="9"/>
      <c r="J212" s="8"/>
      <c r="K212" s="8"/>
    </row>
    <row r="213" spans="1:11" ht="15">
      <c r="A213" s="8"/>
      <c r="B213" s="13"/>
      <c r="C213" s="8"/>
      <c r="D213" s="8"/>
      <c r="E213" s="8"/>
      <c r="F213" s="9"/>
      <c r="G213" s="8"/>
      <c r="H213" s="8"/>
      <c r="I213" s="9"/>
      <c r="J213" s="8"/>
      <c r="K213" s="8"/>
    </row>
    <row r="214" spans="1:11" ht="15">
      <c r="A214" s="8"/>
      <c r="B214" s="13"/>
      <c r="C214" s="8"/>
      <c r="D214" s="8"/>
      <c r="E214" s="8"/>
      <c r="F214" s="9"/>
      <c r="G214" s="8"/>
      <c r="H214" s="8"/>
      <c r="I214" s="9"/>
      <c r="J214" s="8"/>
      <c r="K214" s="8"/>
    </row>
    <row r="215" spans="1:11" ht="15">
      <c r="A215" s="8"/>
      <c r="B215" s="13"/>
      <c r="C215" s="8"/>
      <c r="D215" s="8"/>
      <c r="E215" s="8"/>
      <c r="F215" s="9"/>
      <c r="G215" s="8"/>
      <c r="H215" s="8"/>
      <c r="I215" s="9"/>
      <c r="J215" s="8"/>
      <c r="K215" s="8"/>
    </row>
    <row r="216" spans="1:11" ht="15">
      <c r="A216" s="8"/>
      <c r="B216" s="13"/>
      <c r="C216" s="8"/>
      <c r="D216" s="8"/>
      <c r="E216" s="8"/>
      <c r="F216" s="9"/>
      <c r="G216" s="8"/>
      <c r="H216" s="8"/>
      <c r="I216" s="9"/>
      <c r="J216" s="8"/>
      <c r="K216" s="8"/>
    </row>
    <row r="217" spans="1:11" ht="15">
      <c r="A217" s="8"/>
      <c r="B217" s="13"/>
      <c r="C217" s="8"/>
      <c r="D217" s="8"/>
      <c r="E217" s="8"/>
      <c r="F217" s="9"/>
      <c r="G217" s="8"/>
      <c r="H217" s="8"/>
      <c r="I217" s="9"/>
      <c r="J217" s="8"/>
      <c r="K217" s="8"/>
    </row>
    <row r="218" spans="1:11" ht="15">
      <c r="A218" s="8"/>
      <c r="B218" s="13"/>
      <c r="C218" s="8"/>
      <c r="D218" s="8"/>
      <c r="E218" s="8"/>
      <c r="F218" s="9"/>
      <c r="G218" s="8"/>
      <c r="H218" s="8"/>
      <c r="I218" s="9"/>
      <c r="J218" s="8"/>
      <c r="K218" s="8"/>
    </row>
    <row r="219" spans="1:11" ht="15">
      <c r="A219" s="8"/>
      <c r="B219" s="13"/>
      <c r="C219" s="8"/>
      <c r="D219" s="8"/>
      <c r="E219" s="8"/>
      <c r="F219" s="9"/>
      <c r="G219" s="8"/>
      <c r="H219" s="8"/>
      <c r="I219" s="9"/>
      <c r="J219" s="8"/>
      <c r="K219" s="8"/>
    </row>
    <row r="220" spans="1:11" ht="15">
      <c r="A220" s="8"/>
      <c r="B220" s="13"/>
      <c r="C220" s="8"/>
      <c r="D220" s="8"/>
      <c r="E220" s="8"/>
      <c r="F220" s="9"/>
      <c r="G220" s="8"/>
      <c r="H220" s="8"/>
      <c r="I220" s="9"/>
      <c r="J220" s="8"/>
      <c r="K220" s="8"/>
    </row>
    <row r="221" spans="1:11" ht="15">
      <c r="A221" s="8"/>
      <c r="B221" s="13"/>
      <c r="C221" s="8"/>
      <c r="D221" s="8"/>
      <c r="E221" s="8"/>
      <c r="F221" s="9"/>
      <c r="G221" s="8"/>
      <c r="H221" s="8"/>
      <c r="I221" s="9"/>
      <c r="J221" s="8"/>
      <c r="K221" s="8"/>
    </row>
    <row r="222" spans="1:11" ht="15">
      <c r="A222" s="8"/>
      <c r="B222" s="13"/>
      <c r="C222" s="8"/>
      <c r="D222" s="8"/>
      <c r="E222" s="8"/>
      <c r="F222" s="9"/>
      <c r="G222" s="8"/>
      <c r="H222" s="8"/>
      <c r="I222" s="9"/>
      <c r="J222" s="8"/>
      <c r="K222" s="8"/>
    </row>
    <row r="223" spans="1:11" ht="15">
      <c r="A223" s="8"/>
      <c r="B223" s="13"/>
      <c r="C223" s="8"/>
      <c r="D223" s="8"/>
      <c r="E223" s="8"/>
      <c r="F223" s="9"/>
      <c r="G223" s="8"/>
      <c r="H223" s="8"/>
      <c r="I223" s="9"/>
      <c r="J223" s="8"/>
      <c r="K223" s="8"/>
    </row>
    <row r="224" spans="1:11" ht="15">
      <c r="A224" s="8"/>
      <c r="B224" s="13"/>
      <c r="C224" s="8"/>
      <c r="D224" s="8"/>
      <c r="E224" s="8"/>
      <c r="F224" s="9"/>
      <c r="G224" s="8"/>
      <c r="H224" s="8"/>
      <c r="I224" s="9"/>
      <c r="J224" s="8"/>
      <c r="K224" s="8"/>
    </row>
    <row r="225" spans="1:11" ht="15">
      <c r="A225" s="8"/>
      <c r="B225" s="13"/>
      <c r="C225" s="8"/>
      <c r="D225" s="8"/>
      <c r="E225" s="8"/>
      <c r="F225" s="9"/>
      <c r="G225" s="8"/>
      <c r="H225" s="8"/>
      <c r="I225" s="9"/>
      <c r="J225" s="8"/>
      <c r="K225" s="8"/>
    </row>
    <row r="226" spans="1:11" ht="15">
      <c r="A226" s="8"/>
      <c r="B226" s="13"/>
      <c r="C226" s="8"/>
      <c r="D226" s="8"/>
      <c r="E226" s="8"/>
      <c r="F226" s="9"/>
      <c r="G226" s="8"/>
      <c r="H226" s="8"/>
      <c r="I226" s="9"/>
      <c r="J226" s="8"/>
      <c r="K226" s="8"/>
    </row>
    <row r="227" spans="1:11" ht="15">
      <c r="A227" s="8"/>
      <c r="B227" s="13"/>
      <c r="C227" s="8"/>
      <c r="D227" s="8"/>
      <c r="E227" s="8"/>
      <c r="F227" s="9"/>
      <c r="G227" s="8"/>
      <c r="H227" s="8"/>
      <c r="I227" s="9"/>
      <c r="J227" s="8"/>
      <c r="K227" s="8"/>
    </row>
    <row r="228" spans="1:11" ht="15">
      <c r="A228" s="8"/>
      <c r="B228" s="13"/>
      <c r="C228" s="8"/>
      <c r="D228" s="8"/>
      <c r="E228" s="8"/>
      <c r="F228" s="9"/>
      <c r="G228" s="8"/>
      <c r="H228" s="8"/>
      <c r="I228" s="9"/>
      <c r="J228" s="8"/>
      <c r="K228" s="8"/>
    </row>
    <row r="229" spans="1:11" ht="15">
      <c r="A229" s="8"/>
      <c r="B229" s="13"/>
      <c r="C229" s="8"/>
      <c r="D229" s="8"/>
      <c r="E229" s="8"/>
      <c r="F229" s="9"/>
      <c r="G229" s="8"/>
      <c r="H229" s="8"/>
      <c r="I229" s="9"/>
      <c r="J229" s="8"/>
      <c r="K229" s="8"/>
    </row>
    <row r="230" spans="1:11" ht="15">
      <c r="A230" s="8"/>
      <c r="B230" s="13"/>
      <c r="C230" s="8"/>
      <c r="D230" s="8"/>
      <c r="E230" s="8"/>
      <c r="F230" s="9"/>
      <c r="G230" s="8"/>
      <c r="H230" s="8"/>
      <c r="I230" s="9"/>
      <c r="J230" s="8"/>
      <c r="K230" s="8"/>
    </row>
    <row r="231" spans="1:11" ht="15">
      <c r="A231" s="8"/>
      <c r="B231" s="13"/>
      <c r="C231" s="8"/>
      <c r="D231" s="8"/>
      <c r="E231" s="8"/>
      <c r="F231" s="9"/>
      <c r="G231" s="8"/>
      <c r="H231" s="8"/>
      <c r="I231" s="9"/>
      <c r="J231" s="8"/>
      <c r="K231" s="8"/>
    </row>
    <row r="232" spans="1:11" ht="15">
      <c r="A232" s="8"/>
      <c r="B232" s="13"/>
      <c r="C232" s="8"/>
      <c r="D232" s="8"/>
      <c r="E232" s="8"/>
      <c r="F232" s="9"/>
      <c r="G232" s="8"/>
      <c r="H232" s="8"/>
      <c r="I232" s="9"/>
      <c r="J232" s="8"/>
      <c r="K232" s="8"/>
    </row>
    <row r="233" spans="1:11" ht="15">
      <c r="A233" s="8"/>
      <c r="B233" s="13"/>
      <c r="C233" s="8"/>
      <c r="D233" s="8"/>
      <c r="E233" s="8"/>
      <c r="F233" s="9"/>
      <c r="G233" s="8"/>
      <c r="H233" s="8"/>
      <c r="I233" s="9"/>
      <c r="J233" s="8"/>
      <c r="K233" s="8"/>
    </row>
    <row r="234" spans="1:11" ht="15">
      <c r="A234" s="8"/>
      <c r="B234" s="13"/>
      <c r="C234" s="8"/>
      <c r="D234" s="8"/>
      <c r="E234" s="8"/>
      <c r="F234" s="9"/>
      <c r="G234" s="8"/>
      <c r="H234" s="8"/>
      <c r="I234" s="9"/>
      <c r="J234" s="8"/>
      <c r="K234" s="8"/>
    </row>
    <row r="235" spans="1:11" ht="15">
      <c r="A235" s="8"/>
      <c r="B235" s="13"/>
      <c r="C235" s="8"/>
      <c r="D235" s="8"/>
      <c r="E235" s="8"/>
      <c r="F235" s="9"/>
      <c r="G235" s="8"/>
      <c r="H235" s="8"/>
      <c r="I235" s="9"/>
      <c r="J235" s="8"/>
      <c r="K235" s="8"/>
    </row>
    <row r="236" spans="1:11" ht="15">
      <c r="A236" s="8"/>
      <c r="B236" s="13"/>
      <c r="C236" s="8"/>
      <c r="D236" s="8"/>
      <c r="E236" s="8"/>
      <c r="F236" s="9"/>
      <c r="G236" s="8"/>
      <c r="H236" s="8"/>
      <c r="I236" s="9"/>
      <c r="J236" s="8"/>
      <c r="K236" s="8"/>
    </row>
    <row r="237" spans="1:11" ht="15">
      <c r="A237" s="8"/>
      <c r="B237" s="13"/>
      <c r="C237" s="8"/>
      <c r="D237" s="8"/>
      <c r="E237" s="8"/>
      <c r="F237" s="9"/>
      <c r="G237" s="8"/>
      <c r="H237" s="8"/>
      <c r="I237" s="9"/>
      <c r="J237" s="8"/>
      <c r="K237" s="8"/>
    </row>
    <row r="238" spans="1:11" ht="15">
      <c r="A238" s="8"/>
      <c r="B238" s="13"/>
      <c r="C238" s="8"/>
      <c r="D238" s="8"/>
      <c r="E238" s="8"/>
      <c r="F238" s="9"/>
      <c r="G238" s="8"/>
      <c r="H238" s="8"/>
      <c r="I238" s="9"/>
      <c r="J238" s="8"/>
      <c r="K238" s="8"/>
    </row>
    <row r="239" spans="1:11" ht="15">
      <c r="A239" s="8"/>
      <c r="B239" s="13"/>
      <c r="C239" s="8"/>
      <c r="D239" s="8"/>
      <c r="E239" s="8"/>
      <c r="F239" s="9"/>
      <c r="G239" s="8"/>
      <c r="H239" s="8"/>
      <c r="I239" s="9"/>
      <c r="J239" s="8"/>
      <c r="K239" s="8"/>
    </row>
    <row r="240" spans="1:11" ht="15">
      <c r="A240" s="8"/>
      <c r="B240" s="13"/>
      <c r="C240" s="8"/>
      <c r="D240" s="8"/>
      <c r="E240" s="8"/>
      <c r="F240" s="9"/>
      <c r="G240" s="8"/>
      <c r="H240" s="8"/>
      <c r="I240" s="9"/>
      <c r="J240" s="8"/>
      <c r="K240" s="8"/>
    </row>
    <row r="241" spans="1:11" ht="15">
      <c r="A241" s="8"/>
      <c r="B241" s="13"/>
      <c r="C241" s="8"/>
      <c r="D241" s="8"/>
      <c r="E241" s="8"/>
      <c r="F241" s="9"/>
      <c r="G241" s="8"/>
      <c r="H241" s="8"/>
      <c r="I241" s="9"/>
      <c r="J241" s="8"/>
      <c r="K241" s="8"/>
    </row>
    <row r="242" spans="1:11" ht="15">
      <c r="A242" s="8"/>
      <c r="B242" s="13"/>
      <c r="C242" s="8"/>
      <c r="D242" s="8"/>
      <c r="E242" s="8"/>
      <c r="F242" s="9"/>
      <c r="G242" s="8"/>
      <c r="H242" s="8"/>
      <c r="I242" s="9"/>
      <c r="J242" s="8"/>
      <c r="K242" s="8"/>
    </row>
    <row r="243" spans="1:11" ht="15">
      <c r="A243" s="8"/>
      <c r="B243" s="13"/>
      <c r="C243" s="8"/>
      <c r="D243" s="8"/>
      <c r="E243" s="8"/>
      <c r="F243" s="9"/>
      <c r="G243" s="8"/>
      <c r="H243" s="8"/>
      <c r="I243" s="9"/>
      <c r="J243" s="8"/>
      <c r="K243" s="8"/>
    </row>
    <row r="244" spans="1:11" ht="15">
      <c r="A244" s="8"/>
      <c r="B244" s="13"/>
      <c r="C244" s="8"/>
      <c r="D244" s="8"/>
      <c r="E244" s="8"/>
      <c r="F244" s="9"/>
      <c r="G244" s="8"/>
      <c r="H244" s="8"/>
      <c r="I244" s="9"/>
      <c r="J244" s="8"/>
      <c r="K244" s="8"/>
    </row>
    <row r="245" spans="1:11" ht="15">
      <c r="A245" s="8"/>
      <c r="B245" s="13"/>
      <c r="C245" s="8"/>
      <c r="D245" s="8"/>
      <c r="E245" s="8"/>
      <c r="F245" s="9"/>
      <c r="G245" s="8"/>
      <c r="H245" s="8"/>
      <c r="I245" s="9"/>
      <c r="J245" s="8"/>
      <c r="K245" s="8"/>
    </row>
    <row r="246" spans="1:11" ht="15">
      <c r="A246" s="8"/>
      <c r="B246" s="13"/>
      <c r="C246" s="8"/>
      <c r="D246" s="8"/>
      <c r="E246" s="8"/>
      <c r="F246" s="9"/>
      <c r="G246" s="8"/>
      <c r="H246" s="8"/>
      <c r="I246" s="9"/>
      <c r="J246" s="8"/>
      <c r="K246" s="8"/>
    </row>
    <row r="247" spans="1:11" ht="15">
      <c r="A247" s="8"/>
      <c r="B247" s="13"/>
      <c r="C247" s="8"/>
      <c r="D247" s="8"/>
      <c r="E247" s="8"/>
      <c r="F247" s="9"/>
      <c r="G247" s="8"/>
      <c r="H247" s="8"/>
      <c r="I247" s="9"/>
      <c r="J247" s="8"/>
      <c r="K247" s="8"/>
    </row>
    <row r="248" spans="1:11" ht="15">
      <c r="A248" s="8"/>
      <c r="B248" s="13"/>
      <c r="C248" s="8"/>
      <c r="D248" s="8"/>
      <c r="E248" s="8"/>
      <c r="F248" s="9"/>
      <c r="G248" s="8"/>
      <c r="H248" s="8"/>
      <c r="I248" s="9"/>
      <c r="J248" s="8"/>
      <c r="K248" s="8"/>
    </row>
    <row r="249" spans="1:11" ht="15">
      <c r="A249" s="8"/>
      <c r="B249" s="13"/>
      <c r="C249" s="8"/>
      <c r="D249" s="8"/>
      <c r="E249" s="8"/>
      <c r="F249" s="9"/>
      <c r="G249" s="8"/>
      <c r="H249" s="8"/>
      <c r="I249" s="9"/>
      <c r="J249" s="8"/>
      <c r="K249" s="8"/>
    </row>
    <row r="250" spans="1:11" ht="15">
      <c r="A250" s="8"/>
      <c r="B250" s="13"/>
      <c r="C250" s="8"/>
      <c r="D250" s="8"/>
      <c r="E250" s="8"/>
      <c r="F250" s="9"/>
      <c r="G250" s="8"/>
      <c r="H250" s="8"/>
      <c r="I250" s="9"/>
      <c r="J250" s="8"/>
      <c r="K250" s="8"/>
    </row>
    <row r="251" spans="1:11" ht="15">
      <c r="A251" s="8"/>
      <c r="B251" s="13"/>
      <c r="C251" s="8"/>
      <c r="D251" s="8"/>
      <c r="E251" s="8"/>
      <c r="F251" s="9"/>
      <c r="G251" s="8"/>
      <c r="H251" s="8"/>
      <c r="I251" s="9"/>
      <c r="J251" s="8"/>
      <c r="K251" s="8"/>
    </row>
    <row r="252" spans="1:11" ht="15">
      <c r="A252" s="8"/>
      <c r="B252" s="13"/>
      <c r="C252" s="8"/>
      <c r="D252" s="8"/>
      <c r="E252" s="8"/>
      <c r="F252" s="9"/>
      <c r="G252" s="8"/>
      <c r="H252" s="8"/>
      <c r="I252" s="9"/>
      <c r="J252" s="8"/>
      <c r="K252" s="8"/>
    </row>
    <row r="253" spans="1:11" ht="15">
      <c r="A253" s="8"/>
      <c r="B253" s="13"/>
      <c r="C253" s="8"/>
      <c r="D253" s="8"/>
      <c r="E253" s="8"/>
      <c r="F253" s="9"/>
      <c r="G253" s="8"/>
      <c r="H253" s="8"/>
      <c r="I253" s="9"/>
      <c r="J253" s="8"/>
      <c r="K253" s="8"/>
    </row>
    <row r="254" spans="1:11" ht="15">
      <c r="A254" s="8"/>
      <c r="B254" s="13"/>
      <c r="C254" s="8"/>
      <c r="D254" s="8"/>
      <c r="E254" s="8"/>
      <c r="F254" s="9"/>
      <c r="G254" s="8"/>
      <c r="H254" s="8"/>
      <c r="I254" s="9"/>
      <c r="J254" s="8"/>
      <c r="K254" s="8"/>
    </row>
    <row r="255" spans="1:11" ht="15">
      <c r="A255" s="8"/>
      <c r="B255" s="13"/>
      <c r="C255" s="8"/>
      <c r="D255" s="8"/>
      <c r="E255" s="8"/>
      <c r="F255" s="9"/>
      <c r="G255" s="8"/>
      <c r="H255" s="8"/>
      <c r="I255" s="9"/>
      <c r="J255" s="8"/>
      <c r="K255" s="8"/>
    </row>
    <row r="256" spans="1:11" ht="15">
      <c r="A256" s="8"/>
      <c r="B256" s="13"/>
      <c r="C256" s="8"/>
      <c r="D256" s="8"/>
      <c r="E256" s="8"/>
      <c r="F256" s="9"/>
      <c r="G256" s="8"/>
      <c r="H256" s="8"/>
      <c r="I256" s="9"/>
      <c r="J256" s="8"/>
      <c r="K256" s="8"/>
    </row>
    <row r="257" spans="1:11" ht="15">
      <c r="A257" s="8"/>
      <c r="B257" s="13"/>
      <c r="C257" s="8"/>
      <c r="D257" s="8"/>
      <c r="E257" s="8"/>
      <c r="F257" s="9"/>
      <c r="G257" s="8"/>
      <c r="H257" s="8"/>
      <c r="I257" s="9"/>
      <c r="J257" s="8"/>
      <c r="K257" s="8"/>
    </row>
    <row r="258" spans="1:11" ht="15">
      <c r="A258" s="8"/>
      <c r="B258" s="13"/>
      <c r="C258" s="8"/>
      <c r="D258" s="8"/>
      <c r="E258" s="8"/>
      <c r="F258" s="9"/>
      <c r="G258" s="8"/>
      <c r="H258" s="8"/>
      <c r="I258" s="9"/>
      <c r="J258" s="8"/>
      <c r="K258" s="8"/>
    </row>
    <row r="259" spans="1:11" ht="15">
      <c r="A259" s="8"/>
      <c r="B259" s="13"/>
      <c r="C259" s="8"/>
      <c r="D259" s="8"/>
      <c r="E259" s="8"/>
      <c r="F259" s="9"/>
      <c r="G259" s="8"/>
      <c r="H259" s="8"/>
      <c r="I259" s="9"/>
      <c r="J259" s="8"/>
      <c r="K259" s="8"/>
    </row>
    <row r="260" spans="1:11" ht="15">
      <c r="A260" s="8"/>
      <c r="B260" s="13"/>
      <c r="C260" s="8"/>
      <c r="D260" s="8"/>
      <c r="E260" s="8"/>
      <c r="F260" s="9"/>
      <c r="G260" s="8"/>
      <c r="H260" s="8"/>
      <c r="I260" s="9"/>
      <c r="J260" s="8"/>
      <c r="K260" s="8"/>
    </row>
    <row r="261" spans="1:11" ht="15">
      <c r="A261" s="8"/>
      <c r="B261" s="13"/>
      <c r="C261" s="8"/>
      <c r="D261" s="8"/>
      <c r="E261" s="8"/>
      <c r="F261" s="9"/>
      <c r="G261" s="8"/>
      <c r="H261" s="8"/>
      <c r="I261" s="9"/>
      <c r="J261" s="8"/>
      <c r="K261" s="8"/>
    </row>
    <row r="262" spans="1:11" ht="15">
      <c r="A262" s="8"/>
      <c r="B262" s="13"/>
      <c r="C262" s="8"/>
      <c r="D262" s="8"/>
      <c r="E262" s="8"/>
      <c r="F262" s="9"/>
      <c r="G262" s="8"/>
      <c r="H262" s="8"/>
      <c r="I262" s="9"/>
      <c r="J262" s="8"/>
      <c r="K262" s="8"/>
    </row>
    <row r="263" spans="1:11" ht="15">
      <c r="A263" s="8"/>
      <c r="B263" s="13"/>
      <c r="C263" s="8"/>
      <c r="D263" s="8"/>
      <c r="E263" s="8"/>
      <c r="F263" s="9"/>
      <c r="G263" s="8"/>
      <c r="H263" s="8"/>
      <c r="I263" s="9"/>
      <c r="J263" s="8"/>
      <c r="K263" s="8"/>
    </row>
    <row r="264" spans="1:11" ht="15">
      <c r="A264" s="8"/>
      <c r="B264" s="13"/>
      <c r="C264" s="8"/>
      <c r="D264" s="8"/>
      <c r="E264" s="8"/>
      <c r="F264" s="9"/>
      <c r="G264" s="8"/>
      <c r="H264" s="8"/>
      <c r="I264" s="9"/>
      <c r="J264" s="8"/>
      <c r="K264" s="8"/>
    </row>
    <row r="265" spans="1:11" ht="15">
      <c r="A265" s="8"/>
      <c r="B265" s="13"/>
      <c r="C265" s="8"/>
      <c r="D265" s="8"/>
      <c r="E265" s="8"/>
      <c r="F265" s="9"/>
      <c r="G265" s="8"/>
      <c r="H265" s="8"/>
      <c r="I265" s="9"/>
      <c r="J265" s="8"/>
      <c r="K265" s="8"/>
    </row>
    <row r="266" spans="1:11" ht="15">
      <c r="A266" s="8"/>
      <c r="B266" s="13"/>
      <c r="C266" s="8"/>
      <c r="D266" s="8"/>
      <c r="E266" s="8"/>
      <c r="F266" s="9"/>
      <c r="G266" s="8"/>
      <c r="H266" s="8"/>
      <c r="I266" s="9"/>
      <c r="J266" s="8"/>
      <c r="K266" s="8"/>
    </row>
    <row r="267" spans="1:11" ht="15">
      <c r="A267" s="8"/>
      <c r="B267" s="13"/>
      <c r="C267" s="8"/>
      <c r="D267" s="8"/>
      <c r="E267" s="8"/>
      <c r="F267" s="9"/>
      <c r="G267" s="8"/>
      <c r="H267" s="8"/>
      <c r="I267" s="9"/>
      <c r="J267" s="8"/>
      <c r="K267" s="8"/>
    </row>
    <row r="268" spans="1:11" ht="15">
      <c r="A268" s="8"/>
      <c r="B268" s="13"/>
      <c r="C268" s="8"/>
      <c r="D268" s="8"/>
      <c r="E268" s="8"/>
      <c r="F268" s="9"/>
      <c r="G268" s="8"/>
      <c r="H268" s="8"/>
      <c r="I268" s="9"/>
      <c r="J268" s="8"/>
      <c r="K268" s="8"/>
    </row>
    <row r="269" spans="1:11" ht="15">
      <c r="A269" s="8"/>
      <c r="B269" s="13"/>
      <c r="C269" s="8"/>
      <c r="D269" s="8"/>
      <c r="E269" s="8"/>
      <c r="F269" s="9"/>
      <c r="G269" s="8"/>
      <c r="H269" s="8"/>
      <c r="I269" s="9"/>
      <c r="J269" s="8"/>
      <c r="K269" s="8"/>
    </row>
    <row r="270" spans="1:11" ht="15">
      <c r="A270" s="8"/>
      <c r="B270" s="13"/>
      <c r="C270" s="8"/>
      <c r="D270" s="8"/>
      <c r="E270" s="8"/>
      <c r="F270" s="9"/>
      <c r="G270" s="8"/>
      <c r="H270" s="8"/>
      <c r="I270" s="9"/>
      <c r="J270" s="8"/>
      <c r="K270" s="8"/>
    </row>
    <row r="271" spans="1:11" ht="15">
      <c r="A271" s="8"/>
      <c r="B271" s="13"/>
      <c r="C271" s="8"/>
      <c r="D271" s="8"/>
      <c r="E271" s="8"/>
      <c r="F271" s="9"/>
      <c r="G271" s="8"/>
      <c r="H271" s="8"/>
      <c r="I271" s="9"/>
      <c r="J271" s="8"/>
      <c r="K271" s="8"/>
    </row>
    <row r="272" spans="1:11" ht="15">
      <c r="A272" s="8"/>
      <c r="B272" s="13"/>
      <c r="C272" s="8"/>
      <c r="D272" s="8"/>
      <c r="E272" s="8"/>
      <c r="F272" s="9"/>
      <c r="G272" s="8"/>
      <c r="H272" s="8"/>
      <c r="I272" s="9"/>
      <c r="J272" s="8"/>
      <c r="K272" s="8"/>
    </row>
    <row r="273" spans="1:11" ht="15">
      <c r="A273" s="8"/>
      <c r="B273" s="13"/>
      <c r="C273" s="8"/>
      <c r="D273" s="8"/>
      <c r="E273" s="8"/>
      <c r="F273" s="9"/>
      <c r="G273" s="8"/>
      <c r="H273" s="8"/>
      <c r="I273" s="9"/>
      <c r="J273" s="8"/>
      <c r="K273" s="8"/>
    </row>
    <row r="274" spans="1:11" ht="15">
      <c r="A274" s="8"/>
      <c r="B274" s="13"/>
      <c r="C274" s="8"/>
      <c r="D274" s="8"/>
      <c r="E274" s="8"/>
      <c r="F274" s="9"/>
      <c r="G274" s="8"/>
      <c r="H274" s="8"/>
      <c r="I274" s="9"/>
      <c r="J274" s="8"/>
      <c r="K274" s="8"/>
    </row>
    <row r="275" spans="1:11" ht="15">
      <c r="A275" s="8"/>
      <c r="B275" s="13"/>
      <c r="C275" s="8"/>
      <c r="D275" s="8"/>
      <c r="E275" s="8"/>
      <c r="F275" s="9"/>
      <c r="G275" s="8"/>
      <c r="H275" s="8"/>
      <c r="I275" s="9"/>
      <c r="J275" s="8"/>
      <c r="K275" s="8"/>
    </row>
    <row r="276" spans="1:11" ht="15">
      <c r="A276" s="8"/>
      <c r="B276" s="13"/>
      <c r="C276" s="8"/>
      <c r="D276" s="8"/>
      <c r="E276" s="8"/>
      <c r="F276" s="9"/>
      <c r="G276" s="8"/>
      <c r="H276" s="8"/>
      <c r="I276" s="9"/>
      <c r="J276" s="8"/>
      <c r="K276" s="8"/>
    </row>
    <row r="277" spans="1:11" ht="15">
      <c r="A277" s="8"/>
      <c r="B277" s="13"/>
      <c r="C277" s="8"/>
      <c r="D277" s="8"/>
      <c r="E277" s="8"/>
      <c r="F277" s="9"/>
      <c r="G277" s="8"/>
      <c r="H277" s="8"/>
      <c r="I277" s="9"/>
      <c r="J277" s="8"/>
      <c r="K277" s="8"/>
    </row>
    <row r="278" spans="1:11" ht="15">
      <c r="A278" s="8"/>
      <c r="B278" s="13"/>
      <c r="C278" s="8"/>
      <c r="D278" s="8"/>
      <c r="E278" s="8"/>
      <c r="F278" s="9"/>
      <c r="G278" s="8"/>
      <c r="H278" s="8"/>
      <c r="I278" s="9"/>
      <c r="J278" s="8"/>
      <c r="K278" s="8"/>
    </row>
    <row r="279" spans="1:11" ht="15">
      <c r="A279" s="8"/>
      <c r="B279" s="13"/>
      <c r="C279" s="8"/>
      <c r="D279" s="8"/>
      <c r="E279" s="8"/>
      <c r="F279" s="9"/>
      <c r="G279" s="8"/>
      <c r="H279" s="8"/>
      <c r="I279" s="9"/>
      <c r="J279" s="8"/>
      <c r="K279" s="8"/>
    </row>
    <row r="280" spans="1:11" ht="15">
      <c r="A280" s="8"/>
      <c r="B280" s="13"/>
      <c r="C280" s="8"/>
      <c r="D280" s="8"/>
      <c r="E280" s="8"/>
      <c r="F280" s="9"/>
      <c r="G280" s="8"/>
      <c r="H280" s="8"/>
      <c r="I280" s="9"/>
      <c r="J280" s="8"/>
      <c r="K280" s="8"/>
    </row>
    <row r="281" spans="1:11" ht="15">
      <c r="A281" s="8"/>
      <c r="B281" s="13"/>
      <c r="C281" s="8"/>
      <c r="D281" s="8"/>
      <c r="E281" s="8"/>
      <c r="F281" s="9"/>
      <c r="G281" s="8"/>
      <c r="H281" s="8"/>
      <c r="I281" s="9"/>
      <c r="J281" s="8"/>
      <c r="K281" s="8"/>
    </row>
    <row r="282" spans="1:11" ht="15">
      <c r="A282" s="8"/>
      <c r="B282" s="13"/>
      <c r="C282" s="8"/>
      <c r="D282" s="8"/>
      <c r="E282" s="8"/>
      <c r="F282" s="9"/>
      <c r="G282" s="8"/>
      <c r="H282" s="8"/>
      <c r="I282" s="9"/>
      <c r="J282" s="8"/>
      <c r="K282" s="8"/>
    </row>
    <row r="283" spans="1:11" ht="15">
      <c r="A283" s="8"/>
      <c r="B283" s="13"/>
      <c r="C283" s="8"/>
      <c r="D283" s="8"/>
      <c r="E283" s="8"/>
      <c r="F283" s="9"/>
      <c r="G283" s="8"/>
      <c r="H283" s="8"/>
      <c r="I283" s="9"/>
      <c r="J283" s="8"/>
      <c r="K283" s="8"/>
    </row>
    <row r="284" spans="1:11" ht="15">
      <c r="A284" s="8"/>
      <c r="B284" s="13"/>
      <c r="C284" s="8"/>
      <c r="D284" s="8"/>
      <c r="E284" s="8"/>
      <c r="F284" s="9"/>
      <c r="G284" s="8"/>
      <c r="H284" s="8"/>
      <c r="I284" s="9"/>
      <c r="J284" s="8"/>
      <c r="K284" s="8"/>
    </row>
    <row r="285" spans="1:11" ht="15">
      <c r="A285" s="8"/>
      <c r="B285" s="13"/>
      <c r="C285" s="8"/>
      <c r="D285" s="8"/>
      <c r="E285" s="8"/>
      <c r="F285" s="9"/>
      <c r="G285" s="8"/>
      <c r="H285" s="8"/>
      <c r="I285" s="9"/>
      <c r="J285" s="8"/>
      <c r="K285" s="8"/>
    </row>
    <row r="286" spans="1:11" ht="15">
      <c r="A286" s="8"/>
      <c r="B286" s="13"/>
      <c r="C286" s="8"/>
      <c r="D286" s="8"/>
      <c r="E286" s="8"/>
      <c r="F286" s="9"/>
      <c r="G286" s="8"/>
      <c r="H286" s="8"/>
      <c r="I286" s="9"/>
      <c r="J286" s="8"/>
      <c r="K286" s="8"/>
    </row>
    <row r="287" spans="1:11" ht="15">
      <c r="A287" s="8"/>
      <c r="B287" s="13"/>
      <c r="C287" s="8"/>
      <c r="D287" s="8"/>
      <c r="E287" s="8"/>
      <c r="F287" s="9"/>
      <c r="G287" s="8"/>
      <c r="H287" s="8"/>
      <c r="I287" s="9"/>
      <c r="J287" s="8"/>
      <c r="K287" s="8"/>
    </row>
    <row r="288" spans="1:11" ht="15">
      <c r="A288" s="8"/>
      <c r="B288" s="13"/>
      <c r="C288" s="8"/>
      <c r="D288" s="8"/>
      <c r="E288" s="8"/>
      <c r="F288" s="9"/>
      <c r="G288" s="8"/>
      <c r="H288" s="8"/>
      <c r="I288" s="9"/>
      <c r="J288" s="8"/>
      <c r="K288" s="8"/>
    </row>
    <row r="289" spans="1:11" ht="15">
      <c r="A289" s="8"/>
      <c r="B289" s="13"/>
      <c r="C289" s="8"/>
      <c r="D289" s="8"/>
      <c r="E289" s="8"/>
      <c r="F289" s="9"/>
      <c r="G289" s="8"/>
      <c r="H289" s="8"/>
      <c r="I289" s="9"/>
      <c r="J289" s="8"/>
      <c r="K289" s="8"/>
    </row>
    <row r="290" spans="1:11" ht="15">
      <c r="A290" s="8"/>
      <c r="B290" s="13"/>
      <c r="C290" s="8"/>
      <c r="D290" s="8"/>
      <c r="E290" s="8"/>
      <c r="F290" s="9"/>
      <c r="G290" s="8"/>
      <c r="H290" s="8"/>
      <c r="I290" s="9"/>
      <c r="J290" s="8"/>
      <c r="K290" s="8"/>
    </row>
    <row r="291" spans="1:11" ht="15">
      <c r="A291" s="8"/>
      <c r="B291" s="13"/>
      <c r="C291" s="8"/>
      <c r="D291" s="8"/>
      <c r="E291" s="8"/>
      <c r="F291" s="9"/>
      <c r="G291" s="8"/>
      <c r="H291" s="8"/>
      <c r="I291" s="9"/>
      <c r="J291" s="8"/>
      <c r="K291" s="8"/>
    </row>
    <row r="292" spans="1:11" ht="15">
      <c r="A292" s="8"/>
      <c r="B292" s="13"/>
      <c r="C292" s="8"/>
      <c r="D292" s="8"/>
      <c r="E292" s="8"/>
      <c r="F292" s="9"/>
      <c r="G292" s="8"/>
      <c r="H292" s="8"/>
      <c r="I292" s="9"/>
      <c r="J292" s="8"/>
      <c r="K292" s="8"/>
    </row>
    <row r="293" spans="1:11" ht="15">
      <c r="A293" s="8"/>
      <c r="B293" s="13"/>
      <c r="C293" s="8"/>
      <c r="D293" s="8"/>
      <c r="E293" s="8"/>
      <c r="F293" s="9"/>
      <c r="G293" s="8"/>
      <c r="H293" s="8"/>
      <c r="I293" s="9"/>
      <c r="J293" s="8"/>
      <c r="K293" s="8"/>
    </row>
    <row r="294" spans="1:11" ht="15">
      <c r="A294" s="8"/>
      <c r="B294" s="13"/>
      <c r="C294" s="8"/>
      <c r="D294" s="8"/>
      <c r="E294" s="8"/>
      <c r="F294" s="9"/>
      <c r="G294" s="8"/>
      <c r="H294" s="8"/>
      <c r="I294" s="9"/>
      <c r="J294" s="8"/>
      <c r="K294" s="8"/>
    </row>
    <row r="295" spans="1:11" ht="15">
      <c r="A295" s="8"/>
      <c r="B295" s="13"/>
      <c r="C295" s="8"/>
      <c r="D295" s="8"/>
      <c r="E295" s="8"/>
      <c r="F295" s="9"/>
      <c r="G295" s="8"/>
      <c r="H295" s="8"/>
      <c r="I295" s="9"/>
      <c r="J295" s="8"/>
      <c r="K295" s="8"/>
    </row>
    <row r="296" spans="1:11" ht="15">
      <c r="A296" s="8"/>
      <c r="B296" s="13"/>
      <c r="C296" s="8"/>
      <c r="D296" s="8"/>
      <c r="E296" s="8"/>
      <c r="F296" s="9"/>
      <c r="G296" s="8"/>
      <c r="H296" s="8"/>
      <c r="I296" s="9"/>
      <c r="J296" s="8"/>
      <c r="K296" s="8"/>
    </row>
    <row r="297" spans="1:11" ht="15">
      <c r="A297" s="8"/>
      <c r="B297" s="13"/>
      <c r="C297" s="8"/>
      <c r="D297" s="8"/>
      <c r="E297" s="8"/>
      <c r="F297" s="9"/>
      <c r="G297" s="8"/>
      <c r="H297" s="8"/>
      <c r="I297" s="9"/>
      <c r="J297" s="8"/>
      <c r="K297" s="8"/>
    </row>
    <row r="298" spans="1:11" ht="15">
      <c r="A298" s="8"/>
      <c r="B298" s="13"/>
      <c r="C298" s="8"/>
      <c r="D298" s="8"/>
      <c r="E298" s="8"/>
      <c r="F298" s="9"/>
      <c r="G298" s="8"/>
      <c r="H298" s="8"/>
      <c r="I298" s="9"/>
      <c r="J298" s="8"/>
      <c r="K298" s="8"/>
    </row>
    <row r="299" spans="1:11" ht="15">
      <c r="A299" s="8"/>
      <c r="B299" s="13"/>
      <c r="C299" s="8"/>
      <c r="D299" s="8"/>
      <c r="E299" s="8"/>
      <c r="F299" s="9"/>
      <c r="G299" s="8"/>
      <c r="H299" s="8"/>
      <c r="I299" s="9"/>
      <c r="J299" s="8"/>
      <c r="K299" s="8"/>
    </row>
    <row r="300" spans="1:11" ht="15">
      <c r="A300" s="8"/>
      <c r="B300" s="13"/>
      <c r="C300" s="8"/>
      <c r="D300" s="8"/>
      <c r="E300" s="8"/>
      <c r="F300" s="9"/>
      <c r="G300" s="8"/>
      <c r="H300" s="8"/>
      <c r="I300" s="9"/>
      <c r="J300" s="8"/>
      <c r="K300" s="8"/>
    </row>
    <row r="301" spans="1:11" ht="15">
      <c r="A301" s="8"/>
      <c r="B301" s="13"/>
      <c r="C301" s="8"/>
      <c r="D301" s="8"/>
      <c r="E301" s="8"/>
      <c r="F301" s="9"/>
      <c r="G301" s="8"/>
      <c r="H301" s="8"/>
      <c r="I301" s="9"/>
      <c r="J301" s="8"/>
      <c r="K301" s="8"/>
    </row>
    <row r="302" spans="1:11" ht="15">
      <c r="A302" s="8"/>
      <c r="B302" s="13"/>
      <c r="C302" s="8"/>
      <c r="D302" s="8"/>
      <c r="E302" s="8"/>
      <c r="F302" s="9"/>
      <c r="G302" s="8"/>
      <c r="H302" s="8"/>
      <c r="I302" s="9"/>
      <c r="J302" s="8"/>
      <c r="K302" s="8"/>
    </row>
    <row r="303" spans="1:11" ht="15">
      <c r="A303" s="8"/>
      <c r="B303" s="13"/>
      <c r="C303" s="8"/>
      <c r="D303" s="8"/>
      <c r="E303" s="8"/>
      <c r="F303" s="9"/>
      <c r="G303" s="8"/>
      <c r="H303" s="8"/>
      <c r="I303" s="9"/>
      <c r="J303" s="8"/>
      <c r="K303" s="8"/>
    </row>
    <row r="304" spans="1:11" ht="15">
      <c r="A304" s="8"/>
      <c r="B304" s="13"/>
      <c r="C304" s="8"/>
      <c r="D304" s="8"/>
      <c r="E304" s="8"/>
      <c r="F304" s="9"/>
      <c r="G304" s="8"/>
      <c r="H304" s="8"/>
      <c r="I304" s="9"/>
      <c r="J304" s="8"/>
      <c r="K304" s="8"/>
    </row>
    <row r="305" spans="1:11" ht="15">
      <c r="A305" s="8"/>
      <c r="B305" s="13"/>
      <c r="C305" s="8"/>
      <c r="D305" s="8"/>
      <c r="E305" s="8"/>
      <c r="F305" s="9"/>
      <c r="G305" s="8"/>
      <c r="H305" s="8"/>
      <c r="I305" s="9"/>
      <c r="J305" s="8"/>
      <c r="K305" s="8"/>
    </row>
    <row r="306" spans="1:11" ht="15">
      <c r="A306" s="8"/>
      <c r="B306" s="13"/>
      <c r="C306" s="8"/>
      <c r="D306" s="8"/>
      <c r="E306" s="8"/>
      <c r="F306" s="9"/>
      <c r="G306" s="8"/>
      <c r="H306" s="8"/>
      <c r="I306" s="9"/>
      <c r="J306" s="8"/>
      <c r="K306" s="8"/>
    </row>
    <row r="307" spans="1:11" ht="15">
      <c r="A307" s="8"/>
      <c r="B307" s="13"/>
      <c r="C307" s="8"/>
      <c r="D307" s="8"/>
      <c r="E307" s="8"/>
      <c r="F307" s="9"/>
      <c r="G307" s="8"/>
      <c r="H307" s="8"/>
      <c r="I307" s="9"/>
      <c r="J307" s="8"/>
      <c r="K307" s="8"/>
    </row>
    <row r="308" spans="1:11" ht="15">
      <c r="A308" s="8"/>
      <c r="B308" s="13"/>
      <c r="C308" s="8"/>
      <c r="D308" s="8"/>
      <c r="E308" s="8"/>
      <c r="F308" s="9"/>
      <c r="G308" s="8"/>
      <c r="H308" s="8"/>
      <c r="I308" s="9"/>
      <c r="J308" s="8"/>
      <c r="K308" s="8"/>
    </row>
    <row r="309" spans="1:11" ht="15">
      <c r="A309" s="8"/>
      <c r="B309" s="13"/>
      <c r="C309" s="8"/>
      <c r="D309" s="8"/>
      <c r="E309" s="8"/>
      <c r="F309" s="9"/>
      <c r="G309" s="8"/>
      <c r="H309" s="8"/>
      <c r="I309" s="9"/>
      <c r="J309" s="8"/>
      <c r="K309" s="8"/>
    </row>
    <row r="310" spans="1:11" ht="15">
      <c r="A310" s="8"/>
      <c r="B310" s="13"/>
      <c r="C310" s="8"/>
      <c r="D310" s="8"/>
      <c r="E310" s="8"/>
      <c r="F310" s="9"/>
      <c r="G310" s="8"/>
      <c r="H310" s="8"/>
      <c r="I310" s="9"/>
      <c r="J310" s="8"/>
      <c r="K310" s="8"/>
    </row>
    <row r="311" spans="1:11" ht="15">
      <c r="A311" s="8"/>
      <c r="B311" s="13"/>
      <c r="C311" s="8"/>
      <c r="D311" s="8"/>
      <c r="E311" s="8"/>
      <c r="F311" s="9"/>
      <c r="G311" s="8"/>
      <c r="H311" s="8"/>
      <c r="I311" s="9"/>
      <c r="J311" s="8"/>
      <c r="K311" s="8"/>
    </row>
    <row r="312" spans="1:11" ht="15">
      <c r="A312" s="8"/>
      <c r="B312" s="13"/>
      <c r="C312" s="8"/>
      <c r="D312" s="8"/>
      <c r="E312" s="8"/>
      <c r="F312" s="9"/>
      <c r="G312" s="8"/>
      <c r="H312" s="8"/>
      <c r="I312" s="9"/>
      <c r="J312" s="8"/>
      <c r="K312" s="8"/>
    </row>
    <row r="313" spans="1:11" ht="15">
      <c r="A313" s="8"/>
      <c r="B313" s="13"/>
      <c r="C313" s="8"/>
      <c r="D313" s="8"/>
      <c r="E313" s="8"/>
      <c r="F313" s="9"/>
      <c r="G313" s="8"/>
      <c r="H313" s="8"/>
      <c r="I313" s="9"/>
      <c r="J313" s="8"/>
      <c r="K313" s="8"/>
    </row>
    <row r="314" spans="1:11" ht="15">
      <c r="A314" s="8"/>
      <c r="B314" s="13"/>
      <c r="C314" s="8"/>
      <c r="D314" s="8"/>
      <c r="E314" s="8"/>
      <c r="F314" s="9"/>
      <c r="G314" s="8"/>
      <c r="H314" s="8"/>
      <c r="I314" s="9"/>
      <c r="J314" s="8"/>
      <c r="K314" s="8"/>
    </row>
    <row r="315" spans="1:11" ht="15">
      <c r="A315" s="8"/>
      <c r="B315" s="13"/>
      <c r="C315" s="8"/>
      <c r="D315" s="8"/>
      <c r="E315" s="8"/>
      <c r="F315" s="9"/>
      <c r="G315" s="8"/>
      <c r="H315" s="8"/>
      <c r="I315" s="9"/>
      <c r="J315" s="8"/>
      <c r="K315" s="8"/>
    </row>
    <row r="316" spans="1:11" ht="15">
      <c r="A316" s="8"/>
      <c r="B316" s="13"/>
      <c r="C316" s="8"/>
      <c r="D316" s="8"/>
      <c r="E316" s="8"/>
      <c r="F316" s="9"/>
      <c r="G316" s="8"/>
      <c r="H316" s="8"/>
      <c r="I316" s="9"/>
      <c r="J316" s="8"/>
      <c r="K316" s="8"/>
    </row>
    <row r="317" spans="1:11" ht="15">
      <c r="A317" s="8"/>
      <c r="B317" s="13"/>
      <c r="C317" s="8"/>
      <c r="D317" s="8"/>
      <c r="E317" s="8"/>
      <c r="F317" s="9"/>
      <c r="G317" s="8"/>
      <c r="H317" s="8"/>
      <c r="I317" s="9"/>
      <c r="J317" s="8"/>
      <c r="K317" s="8"/>
    </row>
    <row r="318" spans="1:11" ht="15">
      <c r="A318" s="8"/>
      <c r="B318" s="13"/>
      <c r="C318" s="8"/>
      <c r="D318" s="8"/>
      <c r="E318" s="8"/>
      <c r="F318" s="9"/>
      <c r="G318" s="8"/>
      <c r="H318" s="8"/>
      <c r="I318" s="9"/>
      <c r="J318" s="8"/>
      <c r="K318" s="8"/>
    </row>
    <row r="319" spans="1:11" ht="15">
      <c r="A319" s="8"/>
      <c r="B319" s="13"/>
      <c r="C319" s="8"/>
      <c r="D319" s="8"/>
      <c r="E319" s="8"/>
      <c r="F319" s="9"/>
      <c r="G319" s="8"/>
      <c r="H319" s="8"/>
      <c r="I319" s="9"/>
      <c r="J319" s="8"/>
      <c r="K319" s="8"/>
    </row>
    <row r="320" spans="1:11" ht="15">
      <c r="A320" s="8"/>
      <c r="B320" s="13"/>
      <c r="C320" s="8"/>
      <c r="D320" s="8"/>
      <c r="E320" s="8"/>
      <c r="F320" s="9"/>
      <c r="G320" s="8"/>
      <c r="H320" s="8"/>
      <c r="I320" s="9"/>
      <c r="J320" s="8"/>
      <c r="K320" s="8"/>
    </row>
    <row r="321" spans="1:11" ht="15">
      <c r="A321" s="8"/>
      <c r="B321" s="13"/>
      <c r="C321" s="8"/>
      <c r="D321" s="8"/>
      <c r="E321" s="8"/>
      <c r="F321" s="9"/>
      <c r="G321" s="8"/>
      <c r="H321" s="8"/>
      <c r="I321" s="9"/>
      <c r="J321" s="8"/>
      <c r="K321" s="8"/>
    </row>
    <row r="322" spans="1:11" ht="15">
      <c r="A322" s="8"/>
      <c r="B322" s="13"/>
      <c r="C322" s="8"/>
      <c r="D322" s="8"/>
      <c r="E322" s="8"/>
      <c r="F322" s="9"/>
      <c r="G322" s="8"/>
      <c r="H322" s="8"/>
      <c r="I322" s="9"/>
      <c r="J322" s="8"/>
      <c r="K322" s="8"/>
    </row>
    <row r="323" spans="1:11" ht="15">
      <c r="A323" s="8"/>
      <c r="B323" s="13"/>
      <c r="C323" s="8"/>
      <c r="D323" s="8"/>
      <c r="E323" s="8"/>
      <c r="F323" s="9"/>
      <c r="G323" s="8"/>
      <c r="H323" s="8"/>
      <c r="I323" s="9"/>
      <c r="J323" s="8"/>
      <c r="K323" s="8"/>
    </row>
    <row r="324" spans="1:11" ht="15">
      <c r="A324" s="8"/>
      <c r="B324" s="13"/>
      <c r="C324" s="8"/>
      <c r="D324" s="8"/>
      <c r="E324" s="8"/>
      <c r="F324" s="9"/>
      <c r="G324" s="8"/>
      <c r="H324" s="8"/>
      <c r="I324" s="9"/>
      <c r="J324" s="8"/>
      <c r="K324" s="8"/>
    </row>
    <row r="325" spans="1:11" ht="15">
      <c r="A325" s="8"/>
      <c r="B325" s="13"/>
      <c r="C325" s="8"/>
      <c r="D325" s="8"/>
      <c r="E325" s="8"/>
      <c r="F325" s="9"/>
      <c r="G325" s="8"/>
      <c r="H325" s="8"/>
      <c r="I325" s="9"/>
      <c r="J325" s="8"/>
      <c r="K325" s="8"/>
    </row>
    <row r="326" spans="1:11" ht="15">
      <c r="A326" s="8"/>
      <c r="B326" s="13"/>
      <c r="C326" s="8"/>
      <c r="D326" s="8"/>
      <c r="E326" s="8"/>
      <c r="F326" s="9"/>
      <c r="G326" s="8"/>
      <c r="H326" s="8"/>
      <c r="I326" s="9"/>
      <c r="J326" s="8"/>
      <c r="K326" s="8"/>
    </row>
    <row r="327" spans="1:11">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099290" xr:uid="{C42FE1D8-B412-4565-994A-3340F93D690D}"/>
    <hyperlink ref="K5" r:id="rId2" display="https://us3.assetplanner.com/service_request?ID=101243" xr:uid="{369679B9-8C0D-433C-AA5A-C37F4F5F52D3}"/>
    <hyperlink ref="L5" r:id="rId3" display="https://us3.assetplanner.com/service_request?ID=101243" xr:uid="{32FF4CA8-5E35-46CD-A36E-CA76E6647AE9}"/>
    <hyperlink ref="M5" r:id="rId4" display="https://us3.assetplanner.com/service_request?ID=101243" xr:uid="{4C5ADB48-ADF6-439A-91A1-91038128DB92}"/>
    <hyperlink ref="N5" r:id="rId5" display="https://us3.assetplanner.com/service_request?ID=101243" xr:uid="{3766B05D-0F64-47D9-936C-8A668C54081B}"/>
    <hyperlink ref="O5" r:id="rId6" display="https://us3.assetplanner.com/service_request?ID=101245" xr:uid="{EF2683E8-E8BA-4470-AE30-A218C826DEE7}"/>
    <hyperlink ref="P5" r:id="rId7" display="https://us3.assetplanner.com/service_request?ID=104647" xr:uid="{92757F62-D0BC-4CD1-B84E-9FF0937858B2}"/>
    <hyperlink ref="K6" r:id="rId8" display="https://us3.assetplanner.com/service_request?ID=103481" xr:uid="{B071CBAD-1FFA-48DB-8201-D4DC9FBCB5E6}"/>
    <hyperlink ref="K7" r:id="rId9" display="https://us3.assetplanner.com/service_request?ID=096262" xr:uid="{9B3A2A90-C292-46D9-B51C-62780BD2101B}"/>
    <hyperlink ref="L7" r:id="rId10" display="https://us3.assetplanner.com/service_request?ID=099066" xr:uid="{0067E70B-98B4-44D5-A8C8-35AB920FD079}"/>
    <hyperlink ref="K8" r:id="rId11" display="https://us3.assetplanner.com/service_request?ID=098870" xr:uid="{103F916B-2A58-40AC-A6E9-D62AD07EA1C5}"/>
    <hyperlink ref="L8" r:id="rId12" display="https://us3.assetplanner.com/service_request?ID=099461" xr:uid="{E1F37A72-2136-486C-9FA0-E362EA044CFE}"/>
    <hyperlink ref="K9" r:id="rId13" display="https://us3.assetplanner.com/service_request?ID=104023" xr:uid="{1DAC33BE-2B1E-4C6D-91E0-33A284627ECC}"/>
    <hyperlink ref="L9" r:id="rId14" display="https://us3.assetplanner.com/service_request?ID=104137" xr:uid="{4DA63ED2-3DA8-4BF8-AB90-DCB9E20B130D}"/>
    <hyperlink ref="M9" r:id="rId15" display="https://us3.assetplanner.com/service_request?ID=102343" xr:uid="{C7F46740-5919-4CE4-BE49-D71CB7091E42}"/>
    <hyperlink ref="K11" r:id="rId16" display="https://us3.assetplanner.com/service_request?ID=105212" xr:uid="{BC17F5E7-A9B5-4411-AE25-F41CEF1A2DB5}"/>
    <hyperlink ref="K12" r:id="rId17" display="https://us3.assetplanner.com/service_request?ID=102644" xr:uid="{28EC41EF-55DB-4EA4-8783-409308F687E8}"/>
    <hyperlink ref="L12" r:id="rId18" display="https://us3.assetplanner.com/service_request?ID=102209" xr:uid="{B0C2E597-CD04-4AA7-B241-CB76848E0375}"/>
    <hyperlink ref="K13" r:id="rId19" display="https://us3.assetplanner.com/service_request?ID=103184" xr:uid="{2FAF1BC3-A0CE-46B8-987E-ED5C284BFF57}"/>
    <hyperlink ref="K14" r:id="rId20" display="https://us3.assetplanner.com/service_request?ID=103740" xr:uid="{F6025F3D-6B62-40F7-BA16-C01809456BCA}"/>
    <hyperlink ref="L14" r:id="rId21" display="https://us3.assetplanner.com/service_request?ID=103900" xr:uid="{47793776-5CBE-42E5-9B3F-FDADC8E417B1}"/>
    <hyperlink ref="K15" r:id="rId22" display="https://us3.assetplanner.com/service_request?ID=101919" xr:uid="{6FB392D8-6AA0-42A5-907C-F47DE6F3A82A}"/>
    <hyperlink ref="K16" r:id="rId23" display="https://us3.assetplanner.com/service_request?ID=104742" xr:uid="{2FF17297-7FC8-4B0B-8CC6-084A9DB50013}"/>
    <hyperlink ref="L16" r:id="rId24" display="https://us3.assetplanner.com/service_request?ID=103239" xr:uid="{443B65DB-0F7B-4B00-961A-08341FADA1CB}"/>
    <hyperlink ref="K17" r:id="rId25" display="https://us3.assetplanner.com/service_request?ID=103048" xr:uid="{CC98913A-5C82-4F88-8E00-52BFDDF7EB93}"/>
    <hyperlink ref="K18" r:id="rId26" display="https://us3.assetplanner.com/service_request?ID=103686" xr:uid="{CE6EAEB6-16E3-454A-80EF-199B43504C3E}"/>
    <hyperlink ref="L18" r:id="rId27" display="https://us3.assetplanner.com/service_request?ID=101068" xr:uid="{C7430B0E-7A1A-4E96-961F-787F039F42F5}"/>
    <hyperlink ref="K19" r:id="rId28" display="https://us3.assetplanner.com/service_request?ID=099730" xr:uid="{2392DAD7-9F32-495D-8938-6925A4B0232A}"/>
    <hyperlink ref="K20" r:id="rId29" display="https://us3.assetplanner.com/service_request?ID=103950" xr:uid="{D1CB54FA-DED8-4748-ADEF-B5BF2B6C79E3}"/>
    <hyperlink ref="K21" r:id="rId30" display="https://us3.assetplanner.com/service_request?ID=102316" xr:uid="{7D53AB55-036F-4A0B-9679-E0B776822BD3}"/>
    <hyperlink ref="L21" r:id="rId31" display="https://us3.assetplanner.com/service_request?ID=099500" xr:uid="{B19C9E1D-6840-4206-8A55-4291EC10B3EF}"/>
    <hyperlink ref="M21" r:id="rId32" display="https://us3.assetplanner.com/service_request?ID=098016" xr:uid="{08055C8E-1CDB-404F-8255-96E66B7C3DE7}"/>
    <hyperlink ref="K22" r:id="rId33" display="https://us3.assetplanner.com/service_request?ID=103914" xr:uid="{8F79F0AA-01C0-47BD-B149-F2987C58F3EE}"/>
    <hyperlink ref="L22" r:id="rId34" display="https://us3.assetplanner.com/service_request?ID= 09801" xr:uid="{E2440381-12F0-49FF-B3C2-3FD3A77B68FB}"/>
    <hyperlink ref="K24" r:id="rId35" display="https://us3.assetplanner.com/service_request?ID=103124" xr:uid="{43CA431C-D91F-405D-9D7B-0CC742C19BFA}"/>
    <hyperlink ref="K25" r:id="rId36" display="https://us3.assetplanner.com/service_request?ID=104147" xr:uid="{AFD93A22-2294-4AD9-8964-067F6EF8AEB3}"/>
    <hyperlink ref="L25" r:id="rId37" display="https://us3.assetplanner.com/service_request?ID=104192" xr:uid="{E2A52ED8-CD3A-464A-9F45-DF3894C64D3B}"/>
    <hyperlink ref="M25" r:id="rId38" display="https://us3.assetplanner.com/service_request?ID=102794" xr:uid="{49784ACA-C994-4292-8DEE-444A3648BCD0}"/>
    <hyperlink ref="N25" r:id="rId39" display="https://us3.assetplanner.com/service_request?ID=103335" xr:uid="{5916FB34-9A26-441D-BD2F-F762CD470C25}"/>
    <hyperlink ref="K33" r:id="rId40" display="https://us3.assetplanner.com/service_request?ID=102723" xr:uid="{F1702514-C740-40A3-BDB8-86B9F32BAD79}"/>
    <hyperlink ref="L33" r:id="rId41" display="https://us3.assetplanner.com/service_request?ID=105641" xr:uid="{F88B700B-EEB4-40B4-9AF2-F6CD05A40572}"/>
    <hyperlink ref="K34" r:id="rId42" display="https://us3.assetplanner.com/service_request?ID=103375" xr:uid="{4E9F10AB-0172-4161-9665-A2824F363BFC}"/>
    <hyperlink ref="L34" r:id="rId43" display="https://us3.assetplanner.com/service_request?ID=100883" xr:uid="{2E79F873-7E3D-4891-873D-F76036652BC7}"/>
    <hyperlink ref="M34" r:id="rId44" display="https://us3.assetplanner.com/service_request?ID=103638" xr:uid="{B27D083B-324B-4753-B52D-559113922CF2}"/>
    <hyperlink ref="K40" r:id="rId45" display="https://us3.assetplanner.com/service_request?ID=101963" xr:uid="{D4EAC85F-822E-4651-8C24-504C4AD47489}"/>
    <hyperlink ref="K41" r:id="rId46" display="https://us3.assetplanner.com/service_request?ID=101818" xr:uid="{86AB9047-74BD-49CF-A25B-D51E67318A43}"/>
    <hyperlink ref="L41" r:id="rId47" display="https://us3.assetplanner.com/service_request?ID=105205" xr:uid="{3A903B06-1B5B-4FEC-8BA9-5B504963C316}"/>
    <hyperlink ref="K42" r:id="rId48" display="https://us3.assetplanner.com/service_request?ID=101034" xr:uid="{BDE6483C-95C2-4BE8-951B-882B3138FE41}"/>
    <hyperlink ref="L42" r:id="rId49" display="https://us3.assetplanner.com/service_request?ID=103779" xr:uid="{BEAC930D-0D28-4B07-8D72-0DA7052924BF}"/>
    <hyperlink ref="M42" r:id="rId50" display="https://us3.assetplanner.com/service_request?ID=102621" xr:uid="{A1B9BF50-867A-48EB-B544-5234438A5865}"/>
    <hyperlink ref="K43" r:id="rId51" display="https://us3.assetplanner.com/service_request?ID=101021" xr:uid="{45940EB9-4278-40C6-A1CC-C4E8E6E4FA69}"/>
    <hyperlink ref="L43" r:id="rId52" display="https://us3.assetplanner.com/service_request?ID=104390" xr:uid="{B2539259-1851-4416-8760-862484F7DB11}"/>
    <hyperlink ref="K44" r:id="rId53" display="https://us3.assetplanner.com/service_request?ID=100915" xr:uid="{BA7CB92F-38F4-4AE0-8DFB-00B8869E376B}"/>
    <hyperlink ref="K45" r:id="rId54" display="https://us3.assetplanner.com/service_request?ID=105366" xr:uid="{88F0E004-4F07-4EC2-833E-E0719AD2E4BB}"/>
    <hyperlink ref="L45" r:id="rId55" display="https://us3.assetplanner.com/service_request?ID=101100" xr:uid="{BE75CF64-62F2-49DC-905E-27314DECFE7F}"/>
    <hyperlink ref="K46" r:id="rId56" display="https://us3.assetplanner.com/service_request?ID=105192" xr:uid="{A43BCA30-1E08-4412-8F8A-8C1136773F92}"/>
    <hyperlink ref="L46" r:id="rId57" display="https://us3.assetplanner.com/service_request?ID=104170" xr:uid="{1DEF71D7-6F61-4633-8B57-831AC207AA5C}"/>
    <hyperlink ref="M46" r:id="rId58" display="https://us3.assetplanner.com/service_request?ID=104643" xr:uid="{6BF0E7E4-15A7-4116-A339-2A7BEA97677A}"/>
    <hyperlink ref="N46" r:id="rId59" display="https://us3.assetplanner.com/service_request?ID=103517" xr:uid="{B99BE8E3-47D2-41C2-B8E0-6F2A1087F0B2}"/>
    <hyperlink ref="O46" r:id="rId60" display="https://us3.assetplanner.com/service_request?ID=101057" xr:uid="{9DB7DDB5-1747-438B-8A7E-4939174D7D45}"/>
    <hyperlink ref="K47" r:id="rId61" display="https://us3.assetplanner.com/service_request?ID=102419" xr:uid="{565204F6-3B15-4FC1-89FB-D1C3E0382C10}"/>
    <hyperlink ref="K48" r:id="rId62" display="https://us3.assetplanner.com/service_request?ID=103160" xr:uid="{CD1B06C9-2D30-4557-AE41-F5FAB5260C5F}"/>
    <hyperlink ref="L48" r:id="rId63" display="https://us3.assetplanner.com/service_request?ID=102283" xr:uid="{FC4C003E-BFFB-4505-9786-CEBD996BB6D3}"/>
    <hyperlink ref="K49" r:id="rId64" display="https://us3.assetplanner.com/service_request?ID=102418" xr:uid="{588AE965-76B0-44CC-9E77-D0F0A91885CB}"/>
    <hyperlink ref="K50" r:id="rId65" display="https://us3.assetplanner.com/service_request?ID=102416" xr:uid="{53E8C285-82CC-4248-9BCE-7F5EE7F41C33}"/>
    <hyperlink ref="K51" r:id="rId66" display="https://us3.assetplanner.com/service_request?ID=102392" xr:uid="{72AE1CFF-B0D6-4A3C-A3B7-A35FC2EE8215}"/>
    <hyperlink ref="K52" r:id="rId67" display="https://us3.assetplanner.com/service_request?ID=104882" xr:uid="{DD4D8073-DEE3-4D1C-8629-9E166C6C7B71}"/>
    <hyperlink ref="L52" r:id="rId68" display="https://us3.assetplanner.com/service_request?ID=103636" xr:uid="{38BC84DC-0B5F-4CD4-8473-7DBD2B5AFA73}"/>
    <hyperlink ref="M52" r:id="rId69" display="https://us3.assetplanner.com/service_request?ID=102321" xr:uid="{701F6338-C714-4DCD-BA4B-F6E79F5E5D48}"/>
    <hyperlink ref="N52" r:id="rId70" display="https://us3.assetplanner.com/service_request?ID=102539" xr:uid="{5D56BA36-0BBB-41E9-AEF0-089FE5D34803}"/>
    <hyperlink ref="K53" r:id="rId71" display="https://us3.assetplanner.com/service_request?ID=102320" xr:uid="{96D9D2E3-C80D-4AF3-A1E0-9566A34CCC5B}"/>
    <hyperlink ref="K54" r:id="rId72" display="https://us3.assetplanner.com/service_request?ID=102317" xr:uid="{FC736E63-9DA5-448E-8423-BA1AA6FF0A90}"/>
    <hyperlink ref="K55" r:id="rId73" display="https://us3.assetplanner.com/service_request?ID=102315" xr:uid="{04987751-90EE-4AF7-B8BD-8DF1868BDB14}"/>
    <hyperlink ref="K56" r:id="rId74" display="https://us3.assetplanner.com/service_request?ID=102286" xr:uid="{DC71DDA4-38D4-4343-88C2-21655F4E2AC2}"/>
    <hyperlink ref="K57" r:id="rId75" display="https://us3.assetplanner.com/service_request?ID=102281" xr:uid="{C7D3AC0A-EDC3-4B6E-8688-3DF62553A041}"/>
    <hyperlink ref="K59" r:id="rId76" display="https://us3.assetplanner.com/service_request?ID=102503" xr:uid="{A8648C57-C715-4E44-B724-656633C88729}"/>
    <hyperlink ref="L59" r:id="rId77" display="https://us3.assetplanner.com/service_request?ID=101986" xr:uid="{752118AD-15CF-4A92-8AA6-A741CC57B99E}"/>
    <hyperlink ref="K60" r:id="rId78" display="https://us3.assetplanner.com/service_request?ID=102451" xr:uid="{71BEADC9-553D-4156-8CE0-FCD981FD16F3}"/>
    <hyperlink ref="K62" r:id="rId79" display="https://us3.assetplanner.com/service_request?ID=102329" xr:uid="{43F62831-84AF-4BBE-A955-57C7BA640745}"/>
    <hyperlink ref="L62" r:id="rId80" display="https://us3.assetplanner.com/service_request?ID=105139" xr:uid="{1570DCE7-0C60-4F61-84DB-32255EE79B73}"/>
    <hyperlink ref="K63" r:id="rId81" display="https://us3.assetplanner.com/service_request?ID=102303" xr:uid="{33BFE921-8B2E-40E0-93E8-AB0589E39F5A}"/>
    <hyperlink ref="K64" r:id="rId82" display="https://us3.assetplanner.com/service_request?ID=102411" xr:uid="{F534EE77-A62A-4F65-A95E-484E4E2E0B47}"/>
    <hyperlink ref="K65" r:id="rId83" display="https://us3.assetplanner.com/service_request?ID=102403" xr:uid="{E092EB80-4C65-495B-861A-40889786825B}"/>
    <hyperlink ref="K66" r:id="rId84" display="https://us3.assetplanner.com/service_request?ID=102310" xr:uid="{19F0399C-1785-457E-A1DF-D1F7F7DD0E40}"/>
    <hyperlink ref="K67" r:id="rId85" display="https://us3.assetplanner.com/service_request?ID=104289" xr:uid="{9E46EC2F-C3D8-47DE-955E-A21E2D0B1BF4}"/>
    <hyperlink ref="K68" r:id="rId86" display="https://us3.assetplanner.com/service_request?ID=102450" xr:uid="{1B2F005E-78AA-4C8C-8140-6EB56677DF27}"/>
    <hyperlink ref="K69" r:id="rId87" display="https://us3.assetplanner.com/service_request?ID=102413" xr:uid="{DBB639DE-1DFE-4981-B20D-9C878BE8A05A}"/>
    <hyperlink ref="K70" r:id="rId88" display="https://us3.assetplanner.com/service_request?ID=102425" xr:uid="{5239094B-B498-4D54-AB52-107C89B67358}"/>
    <hyperlink ref="K71" r:id="rId89" display="https://us3.assetplanner.com/service_request?ID=102820" xr:uid="{BE44DA6E-10FA-4B38-B710-F68059D45CB6}"/>
    <hyperlink ref="L71" r:id="rId90" display="https://us3.assetplanner.com/service_request?ID=104290" xr:uid="{AD97D7E9-2E5B-4F4E-9829-3AB59987DEB8}"/>
    <hyperlink ref="K72" r:id="rId91" display="https://us3.assetplanner.com/service_request?ID=102424" xr:uid="{5D7FCB8B-4C32-422C-88E0-06C23B253443}"/>
    <hyperlink ref="K73" r:id="rId92" display="https://us3.assetplanner.com/service_request?ID=102423" xr:uid="{F396D91B-DB7A-426F-BAA5-F55B2517929F}"/>
    <hyperlink ref="K74" r:id="rId93" display="https://us3.assetplanner.com/service_request?ID=102421" xr:uid="{A90F2C62-DCD6-426C-A5C0-9D769DA83B57}"/>
    <hyperlink ref="K75" r:id="rId94" display="https://us3.assetplanner.com/service_request?ID=102420" xr:uid="{583FE3D4-B4F3-4835-BBBB-A11D0B39A12D}"/>
    <hyperlink ref="K76" r:id="rId95" display="https://us3.assetplanner.com/service_request?ID=103869" xr:uid="{91E26792-5C09-4483-9205-3CDBDD3B8ACB}"/>
    <hyperlink ref="L76" r:id="rId96" display="https://us3.assetplanner.com/service_request?ID=104043" xr:uid="{00914C7F-5BC3-4063-B695-C3F576AA95A3}"/>
    <hyperlink ref="M76" r:id="rId97" display="https://us3.assetplanner.com/service_request?ID=104043" xr:uid="{49372C4A-3F8D-4E6F-BAFC-63E6A9641F5F}"/>
    <hyperlink ref="N76" r:id="rId98" display="https://us3.assetplanner.com/service_request?ID=104246" xr:uid="{FE939B1C-07C4-447A-BB32-7ED701DF22E2}"/>
    <hyperlink ref="K77" r:id="rId99" display="https://us3.assetplanner.com/service_request?ID=103868" xr:uid="{A24F3835-FA72-4845-A176-1B2090163736}"/>
    <hyperlink ref="L77" r:id="rId100" display="https://us3.assetplanner.com/service_request?ID=104231" xr:uid="{9A69D531-8DAA-4CA5-AD96-235CA03B0CFE}"/>
    <hyperlink ref="K78" r:id="rId101" display="https://us3.assetplanner.com/service_request?ID=103867" xr:uid="{F4E013DB-FDB1-461E-AF96-143E47B7A2F6}"/>
    <hyperlink ref="K79" r:id="rId102" display="https://us3.assetplanner.com/service_request?ID=103866" xr:uid="{6A21C96C-4716-4FFE-ACCF-C5CFFCBA28F4}"/>
    <hyperlink ref="K80" r:id="rId103" display="https://us3.assetplanner.com/service_request?ID=104456" xr:uid="{889135CA-1925-47FC-A383-87B61D0A8DD9}"/>
    <hyperlink ref="K82" r:id="rId104" display="https://us3.assetplanner.com/service_request?ID=103944" xr:uid="{04276BC6-9DA3-4A5C-B35D-D5C9B53EB565}"/>
    <hyperlink ref="L82" r:id="rId105" display="https://us3.assetplanner.com/service_request?ID=104776" xr:uid="{5A812944-4776-4693-9942-E431E3AB6591}"/>
    <hyperlink ref="K83" r:id="rId106" display="https://us3.assetplanner.com/service_request?ID=103946" xr:uid="{95CF8F49-17BB-4C55-AD8F-3FB0E2EDEEEA}"/>
    <hyperlink ref="L83" r:id="rId107" display="https://us3.assetplanner.com/service_request?ID=103946" xr:uid="{C4D4CC97-D4CF-487A-BC5C-FE367F07BBBA}"/>
    <hyperlink ref="M83" r:id="rId108" display="https://us3.assetplanner.com/service_request?ID=104855" xr:uid="{E08771F5-4153-4B40-BD2E-1E470583B1DA}"/>
    <hyperlink ref="K84" r:id="rId109" display="https://us3.assetplanner.com/service_request?ID=102281" xr:uid="{AB606213-91E4-461C-8356-DB0A2B4107A2}"/>
    <hyperlink ref="K85" r:id="rId110" display="https://us3.assetplanner.com/service_request?ID=103947" xr:uid="{6092C3D4-E306-4A6F-A2E8-502524E77976}"/>
    <hyperlink ref="L85" r:id="rId111" display="https://us3.assetplanner.com/service_request?ID=104665" xr:uid="{646EC2BB-DCE5-4929-97E7-3EAFBF284EC1}"/>
    <hyperlink ref="M85" r:id="rId112" display="https://us3.assetplanner.com/service_request?ID=105155" xr:uid="{D9B177FF-D1FA-43F0-924E-84D34C3E4B5F}"/>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7"/>
  <sheetViews>
    <sheetView zoomScale="90" zoomScaleNormal="90" workbookViewId="0">
      <pane xSplit="2" ySplit="3" topLeftCell="H13"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468</v>
      </c>
      <c r="E1" s="107"/>
      <c r="F1" s="107"/>
      <c r="G1" s="105" t="s">
        <v>469</v>
      </c>
      <c r="H1" s="105"/>
      <c r="I1" s="105"/>
      <c r="J1" s="4"/>
      <c r="K1" s="4"/>
    </row>
    <row r="2" spans="1:11" ht="19.5" customHeight="1">
      <c r="A2" s="108" t="s">
        <v>2</v>
      </c>
      <c r="B2" s="108"/>
      <c r="C2" s="5">
        <f>SUM(C4:C85)</f>
        <v>0</v>
      </c>
      <c r="D2" s="5">
        <f>SUM(D4:D85)</f>
        <v>0</v>
      </c>
      <c r="E2" s="5">
        <f>C2-D2</f>
        <v>0</v>
      </c>
      <c r="F2" s="6">
        <f>IFERROR(E2/D2, 0)</f>
        <v>0</v>
      </c>
      <c r="G2" s="5">
        <f>SUM(G4:G85)</f>
        <v>0</v>
      </c>
      <c r="H2" s="7">
        <f>C2-G2</f>
        <v>0</v>
      </c>
      <c r="I2" s="6">
        <f>IFERROR(H2/G2, 0)</f>
        <v>0</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0"/>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6"/>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470</v>
      </c>
      <c r="E1" s="107"/>
      <c r="F1" s="107"/>
      <c r="G1" s="105" t="s">
        <v>471</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61"/>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IFERROR(H11/G11, "")</f>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6"/>
  <sheetViews>
    <sheetView zoomScale="80" zoomScaleNormal="80" workbookViewId="0">
      <pane xSplit="2" ySplit="3" topLeftCell="C6"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106" t="str" cm="1">
        <f t="array" ref="A1">portfolio</f>
        <v>Clean Capital</v>
      </c>
      <c r="B1" s="106"/>
      <c r="C1" s="106"/>
      <c r="D1" s="107" t="s">
        <v>472</v>
      </c>
      <c r="E1" s="107"/>
      <c r="F1" s="107"/>
      <c r="G1" s="105" t="s">
        <v>473</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84"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59"/>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51"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4"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474</v>
      </c>
      <c r="E1" s="107"/>
      <c r="F1" s="107"/>
      <c r="G1" s="105" t="s">
        <v>475</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476</v>
      </c>
      <c r="E1" s="107"/>
      <c r="F1" s="107"/>
      <c r="G1" s="105" t="s">
        <v>477</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4" activePane="bottomLeft" state="frozen"/>
      <selection pane="bottomLeft" activeCell="B51" sqref="B5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478</v>
      </c>
      <c r="B1" t="s">
        <v>479</v>
      </c>
    </row>
    <row r="3" spans="1:12" ht="13.15">
      <c r="A3" t="s">
        <v>480</v>
      </c>
      <c r="B3" t="s">
        <v>3</v>
      </c>
      <c r="C3" t="s">
        <v>4</v>
      </c>
      <c r="D3" t="s">
        <v>481</v>
      </c>
      <c r="E3" s="2" t="s">
        <v>482</v>
      </c>
    </row>
    <row r="4" spans="1:12" ht="14.45">
      <c r="A4" s="18" t="s">
        <v>483</v>
      </c>
      <c r="B4" t="s">
        <v>484</v>
      </c>
      <c r="C4" s="17" t="s">
        <v>485</v>
      </c>
      <c r="D4" s="16"/>
      <c r="E4" t="s">
        <v>486</v>
      </c>
      <c r="G4" s="3"/>
    </row>
    <row r="5" spans="1:12" ht="14.45">
      <c r="A5" s="18" t="s">
        <v>487</v>
      </c>
      <c r="B5" t="s">
        <v>488</v>
      </c>
      <c r="C5" s="17" t="s">
        <v>489</v>
      </c>
      <c r="D5" s="16"/>
      <c r="E5" t="s">
        <v>490</v>
      </c>
      <c r="G5" s="3"/>
    </row>
    <row r="6" spans="1:12" ht="12.75" customHeight="1">
      <c r="A6" s="18" t="s">
        <v>491</v>
      </c>
      <c r="B6" t="s">
        <v>491</v>
      </c>
      <c r="C6" s="17" t="s">
        <v>485</v>
      </c>
      <c r="D6" s="16"/>
      <c r="E6" t="s">
        <v>492</v>
      </c>
      <c r="K6" s="15"/>
      <c r="L6" s="15"/>
    </row>
    <row r="7" spans="1:12" ht="12.75" customHeight="1">
      <c r="A7" s="64" t="s">
        <v>493</v>
      </c>
      <c r="B7" s="65" t="s">
        <v>494</v>
      </c>
      <c r="C7" s="17" t="s">
        <v>485</v>
      </c>
      <c r="E7" t="s">
        <v>486</v>
      </c>
      <c r="K7" s="15"/>
      <c r="L7" s="15"/>
    </row>
    <row r="8" spans="1:12" ht="12.75" customHeight="1">
      <c r="A8" s="64" t="s">
        <v>495</v>
      </c>
      <c r="B8" s="65" t="s">
        <v>496</v>
      </c>
      <c r="C8" s="17" t="s">
        <v>497</v>
      </c>
      <c r="E8" s="70" t="s">
        <v>498</v>
      </c>
      <c r="K8" s="15"/>
      <c r="L8" s="15"/>
    </row>
    <row r="9" spans="1:12" ht="12.75" customHeight="1">
      <c r="A9" s="64" t="s">
        <v>499</v>
      </c>
      <c r="B9" s="65" t="s">
        <v>500</v>
      </c>
      <c r="C9" s="17" t="s">
        <v>501</v>
      </c>
      <c r="D9" t="s">
        <v>502</v>
      </c>
      <c r="E9" t="s">
        <v>492</v>
      </c>
      <c r="K9" s="15"/>
      <c r="L9" s="15"/>
    </row>
    <row r="10" spans="1:12" ht="12.75" customHeight="1">
      <c r="A10" s="64" t="s">
        <v>503</v>
      </c>
      <c r="B10" s="65" t="s">
        <v>504</v>
      </c>
      <c r="C10" s="17" t="s">
        <v>501</v>
      </c>
      <c r="D10" t="s">
        <v>502</v>
      </c>
      <c r="E10" t="s">
        <v>492</v>
      </c>
    </row>
    <row r="11" spans="1:12" ht="12.75" customHeight="1">
      <c r="A11" s="64" t="s">
        <v>505</v>
      </c>
      <c r="B11" s="65" t="s">
        <v>506</v>
      </c>
      <c r="C11" s="17" t="s">
        <v>501</v>
      </c>
      <c r="D11" t="s">
        <v>502</v>
      </c>
      <c r="E11" t="s">
        <v>492</v>
      </c>
    </row>
    <row r="12" spans="1:12" ht="12.75" customHeight="1">
      <c r="A12" s="64" t="s">
        <v>507</v>
      </c>
      <c r="B12" s="65" t="s">
        <v>508</v>
      </c>
      <c r="C12" s="17" t="s">
        <v>501</v>
      </c>
      <c r="D12" t="s">
        <v>502</v>
      </c>
      <c r="E12" t="s">
        <v>492</v>
      </c>
    </row>
    <row r="13" spans="1:12" ht="12.75" customHeight="1">
      <c r="A13" s="64" t="s">
        <v>509</v>
      </c>
      <c r="B13" s="65" t="s">
        <v>510</v>
      </c>
      <c r="C13" s="17" t="s">
        <v>501</v>
      </c>
      <c r="D13" t="s">
        <v>502</v>
      </c>
      <c r="E13" t="s">
        <v>492</v>
      </c>
    </row>
    <row r="14" spans="1:12" ht="12.75" customHeight="1">
      <c r="A14" s="64" t="s">
        <v>511</v>
      </c>
      <c r="B14" s="65" t="s">
        <v>512</v>
      </c>
      <c r="C14" s="17" t="s">
        <v>501</v>
      </c>
      <c r="E14" t="s">
        <v>492</v>
      </c>
    </row>
    <row r="15" spans="1:12" ht="12.75" customHeight="1">
      <c r="A15" s="64" t="s">
        <v>513</v>
      </c>
      <c r="B15" s="65" t="s">
        <v>514</v>
      </c>
      <c r="C15" s="17" t="s">
        <v>501</v>
      </c>
      <c r="D15" t="s">
        <v>502</v>
      </c>
      <c r="E15" t="s">
        <v>492</v>
      </c>
    </row>
    <row r="16" spans="1:12" ht="12.75" customHeight="1">
      <c r="A16" s="64" t="s">
        <v>515</v>
      </c>
      <c r="B16" s="65" t="s">
        <v>516</v>
      </c>
      <c r="C16" s="17" t="s">
        <v>501</v>
      </c>
      <c r="D16" t="s">
        <v>502</v>
      </c>
      <c r="E16" t="s">
        <v>492</v>
      </c>
    </row>
    <row r="17" spans="1:5" ht="12.75" customHeight="1">
      <c r="A17" s="64" t="s">
        <v>517</v>
      </c>
      <c r="B17" s="65" t="s">
        <v>518</v>
      </c>
      <c r="C17" s="17" t="s">
        <v>519</v>
      </c>
      <c r="E17" t="s">
        <v>520</v>
      </c>
    </row>
    <row r="18" spans="1:5" ht="12.75" customHeight="1">
      <c r="A18" s="64" t="s">
        <v>521</v>
      </c>
      <c r="B18" s="65" t="s">
        <v>522</v>
      </c>
      <c r="C18" s="17" t="s">
        <v>519</v>
      </c>
      <c r="E18" t="s">
        <v>520</v>
      </c>
    </row>
    <row r="19" spans="1:5" ht="12.75" customHeight="1">
      <c r="A19" s="64" t="s">
        <v>523</v>
      </c>
      <c r="B19" s="65" t="s">
        <v>524</v>
      </c>
      <c r="C19" s="17" t="s">
        <v>519</v>
      </c>
      <c r="E19" t="s">
        <v>525</v>
      </c>
    </row>
    <row r="20" spans="1:5" ht="12.75" customHeight="1">
      <c r="A20" s="64" t="s">
        <v>526</v>
      </c>
      <c r="B20" s="65" t="s">
        <v>527</v>
      </c>
      <c r="C20" s="17" t="s">
        <v>497</v>
      </c>
      <c r="E20" t="s">
        <v>525</v>
      </c>
    </row>
    <row r="21" spans="1:5" ht="12.75" customHeight="1">
      <c r="A21" s="64" t="s">
        <v>528</v>
      </c>
      <c r="B21" s="65" t="s">
        <v>529</v>
      </c>
      <c r="C21" s="17" t="s">
        <v>530</v>
      </c>
      <c r="E21" t="s">
        <v>525</v>
      </c>
    </row>
    <row r="22" spans="1:5" ht="12.75" customHeight="1">
      <c r="A22" s="64" t="s">
        <v>531</v>
      </c>
      <c r="B22" s="65" t="s">
        <v>532</v>
      </c>
      <c r="C22" s="17" t="s">
        <v>530</v>
      </c>
      <c r="E22" t="s">
        <v>525</v>
      </c>
    </row>
    <row r="23" spans="1:5" ht="12.75" customHeight="1">
      <c r="A23" s="64" t="s">
        <v>533</v>
      </c>
      <c r="B23" s="65" t="s">
        <v>533</v>
      </c>
      <c r="C23" s="17" t="s">
        <v>519</v>
      </c>
      <c r="E23" t="s">
        <v>534</v>
      </c>
    </row>
    <row r="24" spans="1:5" ht="12.75" customHeight="1">
      <c r="A24" s="64" t="s">
        <v>535</v>
      </c>
      <c r="B24" s="65" t="s">
        <v>536</v>
      </c>
      <c r="C24" s="17" t="s">
        <v>519</v>
      </c>
      <c r="E24" t="s">
        <v>534</v>
      </c>
    </row>
    <row r="25" spans="1:5" ht="12.75" customHeight="1">
      <c r="A25" s="64" t="s">
        <v>537</v>
      </c>
      <c r="B25" s="65" t="s">
        <v>538</v>
      </c>
      <c r="C25" s="17" t="s">
        <v>489</v>
      </c>
      <c r="D25" t="s">
        <v>539</v>
      </c>
      <c r="E25" t="s">
        <v>540</v>
      </c>
    </row>
    <row r="26" spans="1:5" ht="12.75" customHeight="1">
      <c r="A26" s="64" t="s">
        <v>541</v>
      </c>
      <c r="B26" s="65" t="s">
        <v>542</v>
      </c>
      <c r="C26" s="17" t="s">
        <v>543</v>
      </c>
      <c r="D26" t="s">
        <v>539</v>
      </c>
      <c r="E26" t="s">
        <v>540</v>
      </c>
    </row>
    <row r="27" spans="1:5" ht="12.75" customHeight="1">
      <c r="A27" s="64" t="s">
        <v>544</v>
      </c>
      <c r="B27" s="65" t="s">
        <v>545</v>
      </c>
      <c r="C27" s="17" t="s">
        <v>546</v>
      </c>
      <c r="D27" t="s">
        <v>539</v>
      </c>
      <c r="E27" t="s">
        <v>540</v>
      </c>
    </row>
    <row r="28" spans="1:5" ht="12.75" customHeight="1">
      <c r="A28" s="64" t="s">
        <v>547</v>
      </c>
      <c r="B28" s="65" t="s">
        <v>548</v>
      </c>
      <c r="C28" s="17" t="s">
        <v>546</v>
      </c>
      <c r="D28" t="s">
        <v>539</v>
      </c>
      <c r="E28" t="s">
        <v>540</v>
      </c>
    </row>
    <row r="29" spans="1:5" ht="12.75" customHeight="1">
      <c r="A29" s="64" t="s">
        <v>549</v>
      </c>
      <c r="B29" s="65" t="s">
        <v>550</v>
      </c>
      <c r="C29" s="17" t="s">
        <v>546</v>
      </c>
      <c r="E29" t="s">
        <v>540</v>
      </c>
    </row>
    <row r="30" spans="1:5" ht="12.75" customHeight="1">
      <c r="A30" s="64" t="s">
        <v>551</v>
      </c>
      <c r="B30" s="65" t="s">
        <v>552</v>
      </c>
      <c r="C30" s="17" t="s">
        <v>546</v>
      </c>
      <c r="D30" t="s">
        <v>539</v>
      </c>
      <c r="E30" t="s">
        <v>540</v>
      </c>
    </row>
    <row r="31" spans="1:5" ht="12.75" customHeight="1">
      <c r="A31" s="64" t="s">
        <v>553</v>
      </c>
      <c r="B31" s="65" t="s">
        <v>554</v>
      </c>
      <c r="C31" s="17" t="s">
        <v>546</v>
      </c>
      <c r="D31" t="s">
        <v>539</v>
      </c>
      <c r="E31" t="s">
        <v>540</v>
      </c>
    </row>
    <row r="32" spans="1:5" ht="12.75" customHeight="1">
      <c r="A32" s="64" t="s">
        <v>555</v>
      </c>
      <c r="B32" s="65" t="s">
        <v>556</v>
      </c>
      <c r="C32" s="17" t="s">
        <v>546</v>
      </c>
      <c r="D32" t="s">
        <v>539</v>
      </c>
      <c r="E32" t="s">
        <v>540</v>
      </c>
    </row>
    <row r="33" spans="1:5" ht="12.75" customHeight="1">
      <c r="A33" s="64" t="s">
        <v>557</v>
      </c>
      <c r="B33" s="65" t="s">
        <v>558</v>
      </c>
      <c r="C33" s="17" t="s">
        <v>546</v>
      </c>
      <c r="E33" t="s">
        <v>540</v>
      </c>
    </row>
    <row r="34" spans="1:5" ht="12.75" customHeight="1">
      <c r="A34" s="64" t="s">
        <v>559</v>
      </c>
      <c r="B34" s="65" t="s">
        <v>560</v>
      </c>
      <c r="C34" s="17" t="s">
        <v>546</v>
      </c>
      <c r="D34" t="s">
        <v>539</v>
      </c>
      <c r="E34" t="s">
        <v>540</v>
      </c>
    </row>
    <row r="35" spans="1:5" ht="12.75" customHeight="1">
      <c r="A35" s="64" t="s">
        <v>561</v>
      </c>
      <c r="B35" s="65" t="s">
        <v>562</v>
      </c>
      <c r="C35" s="17" t="s">
        <v>546</v>
      </c>
      <c r="D35" t="s">
        <v>539</v>
      </c>
      <c r="E35" t="s">
        <v>540</v>
      </c>
    </row>
    <row r="36" spans="1:5" ht="12.75" customHeight="1">
      <c r="A36" s="64" t="s">
        <v>563</v>
      </c>
      <c r="B36" s="65" t="s">
        <v>564</v>
      </c>
      <c r="C36" s="17" t="s">
        <v>546</v>
      </c>
      <c r="D36" t="s">
        <v>539</v>
      </c>
      <c r="E36" t="s">
        <v>540</v>
      </c>
    </row>
    <row r="37" spans="1:5" ht="12.75" customHeight="1">
      <c r="A37" s="64" t="s">
        <v>565</v>
      </c>
      <c r="B37" s="65" t="s">
        <v>566</v>
      </c>
      <c r="C37" s="17" t="s">
        <v>546</v>
      </c>
      <c r="D37" t="s">
        <v>539</v>
      </c>
      <c r="E37" t="s">
        <v>540</v>
      </c>
    </row>
    <row r="38" spans="1:5" ht="12.75" customHeight="1">
      <c r="A38" s="64" t="s">
        <v>567</v>
      </c>
      <c r="B38" s="65" t="s">
        <v>568</v>
      </c>
      <c r="C38" s="17" t="s">
        <v>546</v>
      </c>
      <c r="D38" t="s">
        <v>539</v>
      </c>
      <c r="E38" t="s">
        <v>540</v>
      </c>
    </row>
    <row r="39" spans="1:5" ht="12.75" customHeight="1">
      <c r="A39" s="64" t="s">
        <v>569</v>
      </c>
      <c r="B39" s="65" t="s">
        <v>570</v>
      </c>
      <c r="C39" s="17" t="s">
        <v>546</v>
      </c>
      <c r="D39" t="s">
        <v>539</v>
      </c>
      <c r="E39" t="s">
        <v>540</v>
      </c>
    </row>
    <row r="40" spans="1:5" ht="12.75" customHeight="1">
      <c r="A40" s="64" t="s">
        <v>571</v>
      </c>
      <c r="B40" s="65" t="s">
        <v>572</v>
      </c>
      <c r="C40" s="17" t="s">
        <v>573</v>
      </c>
      <c r="D40" t="s">
        <v>539</v>
      </c>
      <c r="E40" t="s">
        <v>540</v>
      </c>
    </row>
    <row r="41" spans="1:5" ht="12.75" customHeight="1">
      <c r="A41" s="64" t="s">
        <v>574</v>
      </c>
      <c r="B41" s="65" t="s">
        <v>575</v>
      </c>
      <c r="C41" s="17" t="s">
        <v>543</v>
      </c>
      <c r="D41" t="s">
        <v>539</v>
      </c>
      <c r="E41" t="s">
        <v>540</v>
      </c>
    </row>
    <row r="42" spans="1:5" ht="12.75" customHeight="1">
      <c r="A42" s="64" t="s">
        <v>576</v>
      </c>
      <c r="B42" s="65" t="s">
        <v>577</v>
      </c>
      <c r="C42" s="17" t="s">
        <v>543</v>
      </c>
      <c r="D42" t="s">
        <v>539</v>
      </c>
      <c r="E42" t="s">
        <v>540</v>
      </c>
    </row>
    <row r="43" spans="1:5" ht="12.75" customHeight="1">
      <c r="A43" s="64" t="s">
        <v>578</v>
      </c>
      <c r="B43" s="65" t="s">
        <v>579</v>
      </c>
      <c r="C43" s="17" t="s">
        <v>543</v>
      </c>
      <c r="D43" t="s">
        <v>502</v>
      </c>
      <c r="E43" t="s">
        <v>540</v>
      </c>
    </row>
    <row r="44" spans="1:5" ht="12.75" customHeight="1">
      <c r="A44" s="64" t="s">
        <v>580</v>
      </c>
      <c r="B44" s="65" t="s">
        <v>581</v>
      </c>
      <c r="C44" s="17" t="s">
        <v>543</v>
      </c>
      <c r="D44" t="s">
        <v>539</v>
      </c>
      <c r="E44" t="s">
        <v>540</v>
      </c>
    </row>
    <row r="45" spans="1:5" ht="12.75" customHeight="1">
      <c r="A45" s="64" t="s">
        <v>582</v>
      </c>
      <c r="B45" s="65" t="s">
        <v>583</v>
      </c>
      <c r="C45" s="17" t="s">
        <v>543</v>
      </c>
      <c r="D45" t="s">
        <v>539</v>
      </c>
      <c r="E45" t="s">
        <v>540</v>
      </c>
    </row>
    <row r="46" spans="1:5" ht="12.75" customHeight="1">
      <c r="A46" s="64" t="s">
        <v>584</v>
      </c>
      <c r="B46" s="65" t="s">
        <v>585</v>
      </c>
      <c r="C46" s="17" t="s">
        <v>543</v>
      </c>
      <c r="D46" t="s">
        <v>539</v>
      </c>
      <c r="E46" t="s">
        <v>540</v>
      </c>
    </row>
    <row r="47" spans="1:5" ht="12.75" customHeight="1">
      <c r="A47" s="64" t="s">
        <v>586</v>
      </c>
      <c r="B47" s="65" t="s">
        <v>587</v>
      </c>
      <c r="C47" s="17" t="s">
        <v>489</v>
      </c>
      <c r="D47" t="s">
        <v>539</v>
      </c>
      <c r="E47" t="s">
        <v>540</v>
      </c>
    </row>
    <row r="48" spans="1:5" ht="12.75" customHeight="1">
      <c r="A48" s="64" t="s">
        <v>588</v>
      </c>
      <c r="B48" s="65" t="s">
        <v>589</v>
      </c>
      <c r="C48" s="17" t="s">
        <v>489</v>
      </c>
      <c r="E48" t="s">
        <v>540</v>
      </c>
    </row>
    <row r="49" spans="1:5" ht="12.75" customHeight="1">
      <c r="A49" s="64" t="s">
        <v>590</v>
      </c>
      <c r="B49" s="65" t="s">
        <v>591</v>
      </c>
      <c r="C49" s="17" t="s">
        <v>489</v>
      </c>
      <c r="D49" t="s">
        <v>539</v>
      </c>
      <c r="E49" t="s">
        <v>540</v>
      </c>
    </row>
    <row r="50" spans="1:5" ht="12.75" customHeight="1">
      <c r="A50" s="64" t="s">
        <v>592</v>
      </c>
      <c r="B50" s="65" t="s">
        <v>593</v>
      </c>
      <c r="C50" s="17" t="s">
        <v>489</v>
      </c>
      <c r="D50" t="s">
        <v>539</v>
      </c>
      <c r="E50" t="s">
        <v>540</v>
      </c>
    </row>
    <row r="51" spans="1:5" ht="12.75" customHeight="1">
      <c r="A51" s="64" t="s">
        <v>594</v>
      </c>
      <c r="B51" s="65" t="s">
        <v>595</v>
      </c>
      <c r="C51" s="17" t="s">
        <v>489</v>
      </c>
      <c r="D51" t="s">
        <v>539</v>
      </c>
      <c r="E51" t="s">
        <v>540</v>
      </c>
    </row>
    <row r="52" spans="1:5" ht="12.75" customHeight="1">
      <c r="A52" s="64" t="s">
        <v>596</v>
      </c>
      <c r="B52" s="65" t="s">
        <v>597</v>
      </c>
      <c r="C52" s="17" t="s">
        <v>489</v>
      </c>
      <c r="D52" t="s">
        <v>539</v>
      </c>
      <c r="E52" t="s">
        <v>540</v>
      </c>
    </row>
    <row r="53" spans="1:5" ht="12.75" customHeight="1">
      <c r="A53" s="64" t="s">
        <v>598</v>
      </c>
      <c r="B53" s="65" t="s">
        <v>599</v>
      </c>
      <c r="C53" s="17" t="s">
        <v>489</v>
      </c>
      <c r="E53" t="s">
        <v>540</v>
      </c>
    </row>
    <row r="54" spans="1:5" ht="12.75" customHeight="1">
      <c r="A54" s="64" t="s">
        <v>600</v>
      </c>
      <c r="B54" s="65" t="s">
        <v>601</v>
      </c>
      <c r="C54" s="17" t="s">
        <v>489</v>
      </c>
      <c r="D54" t="s">
        <v>539</v>
      </c>
      <c r="E54" t="s">
        <v>540</v>
      </c>
    </row>
    <row r="55" spans="1:5" ht="12.75" customHeight="1">
      <c r="A55" s="64" t="s">
        <v>602</v>
      </c>
      <c r="B55" s="65" t="s">
        <v>603</v>
      </c>
      <c r="C55" s="17" t="s">
        <v>489</v>
      </c>
      <c r="D55" t="s">
        <v>539</v>
      </c>
      <c r="E55" t="s">
        <v>540</v>
      </c>
    </row>
    <row r="56" spans="1:5" ht="12.75" customHeight="1">
      <c r="A56" s="64" t="s">
        <v>604</v>
      </c>
      <c r="B56" s="65" t="s">
        <v>605</v>
      </c>
      <c r="C56" s="17" t="s">
        <v>489</v>
      </c>
      <c r="D56" t="s">
        <v>539</v>
      </c>
      <c r="E56" t="s">
        <v>540</v>
      </c>
    </row>
    <row r="57" spans="1:5" ht="12.75" customHeight="1">
      <c r="A57" s="64" t="s">
        <v>606</v>
      </c>
      <c r="B57" s="65" t="s">
        <v>607</v>
      </c>
      <c r="C57" s="17" t="s">
        <v>489</v>
      </c>
      <c r="D57" t="s">
        <v>539</v>
      </c>
      <c r="E57" t="s">
        <v>540</v>
      </c>
    </row>
    <row r="58" spans="1:5" ht="12.75" customHeight="1">
      <c r="A58" s="64" t="s">
        <v>608</v>
      </c>
      <c r="B58" s="65" t="s">
        <v>609</v>
      </c>
      <c r="C58" s="17" t="s">
        <v>489</v>
      </c>
      <c r="D58" t="s">
        <v>539</v>
      </c>
      <c r="E58" t="s">
        <v>540</v>
      </c>
    </row>
    <row r="59" spans="1:5" ht="12.75" customHeight="1">
      <c r="A59" s="64" t="s">
        <v>610</v>
      </c>
      <c r="B59" s="65" t="s">
        <v>611</v>
      </c>
      <c r="C59" s="17" t="s">
        <v>489</v>
      </c>
      <c r="D59" t="s">
        <v>539</v>
      </c>
      <c r="E59" t="s">
        <v>540</v>
      </c>
    </row>
    <row r="60" spans="1:5" ht="12.75" customHeight="1">
      <c r="A60" s="64" t="s">
        <v>612</v>
      </c>
      <c r="B60" s="65" t="s">
        <v>613</v>
      </c>
      <c r="C60" s="17" t="s">
        <v>489</v>
      </c>
      <c r="D60" t="s">
        <v>539</v>
      </c>
      <c r="E60" t="s">
        <v>540</v>
      </c>
    </row>
    <row r="61" spans="1:5" ht="12.75" customHeight="1">
      <c r="A61" s="64" t="s">
        <v>597</v>
      </c>
      <c r="B61" s="65" t="s">
        <v>596</v>
      </c>
      <c r="C61" s="17" t="s">
        <v>489</v>
      </c>
      <c r="E61" t="s">
        <v>540</v>
      </c>
    </row>
    <row r="62" spans="1:5" ht="12.75" customHeight="1">
      <c r="A62" s="64" t="s">
        <v>614</v>
      </c>
      <c r="B62" s="65" t="s">
        <v>615</v>
      </c>
      <c r="C62" s="17" t="s">
        <v>489</v>
      </c>
      <c r="D62" t="s">
        <v>539</v>
      </c>
      <c r="E62" t="s">
        <v>540</v>
      </c>
    </row>
    <row r="63" spans="1:5" ht="12.75" customHeight="1">
      <c r="A63" s="64" t="s">
        <v>616</v>
      </c>
      <c r="B63" s="65" t="s">
        <v>617</v>
      </c>
      <c r="C63" s="17" t="s">
        <v>489</v>
      </c>
      <c r="D63" t="s">
        <v>539</v>
      </c>
      <c r="E63" t="s">
        <v>540</v>
      </c>
    </row>
    <row r="64" spans="1:5" ht="12.75" customHeight="1">
      <c r="A64" s="64" t="s">
        <v>618</v>
      </c>
      <c r="B64" s="65" t="s">
        <v>619</v>
      </c>
      <c r="C64" s="17" t="s">
        <v>489</v>
      </c>
      <c r="D64" t="s">
        <v>539</v>
      </c>
      <c r="E64" t="s">
        <v>540</v>
      </c>
    </row>
    <row r="65" spans="1:5" ht="12.75" customHeight="1">
      <c r="A65" s="64" t="s">
        <v>620</v>
      </c>
      <c r="B65" s="65" t="s">
        <v>621</v>
      </c>
      <c r="C65" s="17" t="s">
        <v>489</v>
      </c>
      <c r="D65" t="s">
        <v>539</v>
      </c>
      <c r="E65" t="s">
        <v>540</v>
      </c>
    </row>
    <row r="66" spans="1:5" ht="12.75" customHeight="1">
      <c r="A66" s="64" t="s">
        <v>622</v>
      </c>
      <c r="B66" s="65" t="s">
        <v>623</v>
      </c>
      <c r="C66" s="17" t="s">
        <v>489</v>
      </c>
      <c r="D66" t="s">
        <v>539</v>
      </c>
      <c r="E66" t="s">
        <v>540</v>
      </c>
    </row>
    <row r="67" spans="1:5" ht="12.75" customHeight="1">
      <c r="A67" s="64" t="s">
        <v>624</v>
      </c>
      <c r="B67" s="65" t="s">
        <v>625</v>
      </c>
      <c r="C67" s="17" t="s">
        <v>489</v>
      </c>
      <c r="D67" t="s">
        <v>539</v>
      </c>
      <c r="E67" t="s">
        <v>540</v>
      </c>
    </row>
    <row r="68" spans="1:5" ht="12.75" customHeight="1">
      <c r="A68" s="64" t="s">
        <v>626</v>
      </c>
      <c r="B68" s="65" t="s">
        <v>627</v>
      </c>
      <c r="C68" s="17" t="s">
        <v>489</v>
      </c>
      <c r="D68" t="s">
        <v>539</v>
      </c>
      <c r="E68" t="s">
        <v>540</v>
      </c>
    </row>
    <row r="69" spans="1:5" ht="12.75" customHeight="1">
      <c r="A69" s="64" t="s">
        <v>628</v>
      </c>
      <c r="B69" s="65" t="s">
        <v>629</v>
      </c>
      <c r="C69" s="17" t="s">
        <v>489</v>
      </c>
      <c r="D69" t="s">
        <v>539</v>
      </c>
      <c r="E69" t="s">
        <v>540</v>
      </c>
    </row>
    <row r="70" spans="1:5" ht="12.75" customHeight="1">
      <c r="A70" s="64" t="s">
        <v>630</v>
      </c>
      <c r="B70" s="65" t="s">
        <v>631</v>
      </c>
      <c r="C70" s="17" t="s">
        <v>489</v>
      </c>
      <c r="D70" t="s">
        <v>539</v>
      </c>
      <c r="E70" t="s">
        <v>540</v>
      </c>
    </row>
    <row r="71" spans="1:5" ht="12.75" customHeight="1">
      <c r="A71" s="64" t="s">
        <v>632</v>
      </c>
      <c r="B71" s="65" t="s">
        <v>633</v>
      </c>
      <c r="C71" s="17" t="s">
        <v>489</v>
      </c>
      <c r="D71" t="s">
        <v>539</v>
      </c>
      <c r="E71" t="s">
        <v>540</v>
      </c>
    </row>
    <row r="72" spans="1:5" ht="12.75" customHeight="1">
      <c r="A72" s="64" t="s">
        <v>634</v>
      </c>
      <c r="B72" s="65" t="s">
        <v>635</v>
      </c>
      <c r="C72" s="17" t="s">
        <v>489</v>
      </c>
      <c r="D72" t="s">
        <v>539</v>
      </c>
      <c r="E72" t="s">
        <v>540</v>
      </c>
    </row>
    <row r="73" spans="1:5" ht="12.75" customHeight="1">
      <c r="A73" s="64" t="s">
        <v>636</v>
      </c>
      <c r="B73" s="65" t="s">
        <v>637</v>
      </c>
      <c r="C73" s="17" t="s">
        <v>489</v>
      </c>
      <c r="D73" t="s">
        <v>539</v>
      </c>
      <c r="E73" t="s">
        <v>540</v>
      </c>
    </row>
    <row r="74" spans="1:5" ht="12.75" customHeight="1">
      <c r="A74" s="64" t="s">
        <v>638</v>
      </c>
      <c r="B74" s="65" t="s">
        <v>639</v>
      </c>
      <c r="C74" s="17" t="s">
        <v>489</v>
      </c>
      <c r="D74" t="s">
        <v>539</v>
      </c>
      <c r="E74" t="s">
        <v>540</v>
      </c>
    </row>
    <row r="75" spans="1:5" ht="12.75" customHeight="1">
      <c r="A75" s="64" t="s">
        <v>640</v>
      </c>
      <c r="B75" s="65" t="s">
        <v>641</v>
      </c>
      <c r="C75" s="17" t="s">
        <v>489</v>
      </c>
      <c r="D75" t="s">
        <v>539</v>
      </c>
      <c r="E75" t="s">
        <v>540</v>
      </c>
    </row>
    <row r="76" spans="1:5" ht="12.75" customHeight="1">
      <c r="A76" s="64" t="s">
        <v>642</v>
      </c>
      <c r="B76" s="65" t="s">
        <v>643</v>
      </c>
      <c r="C76" s="17" t="s">
        <v>644</v>
      </c>
      <c r="D76" t="s">
        <v>539</v>
      </c>
      <c r="E76" t="s">
        <v>540</v>
      </c>
    </row>
    <row r="77" spans="1:5" ht="12.75" customHeight="1">
      <c r="A77" s="64" t="s">
        <v>645</v>
      </c>
      <c r="B77" s="65" t="s">
        <v>646</v>
      </c>
      <c r="C77" s="17" t="s">
        <v>647</v>
      </c>
      <c r="D77" t="s">
        <v>648</v>
      </c>
      <c r="E77" t="s">
        <v>540</v>
      </c>
    </row>
    <row r="78" spans="1:5" ht="12.75" customHeight="1">
      <c r="A78" s="64" t="s">
        <v>649</v>
      </c>
      <c r="B78" s="65" t="s">
        <v>650</v>
      </c>
      <c r="C78" s="17" t="s">
        <v>647</v>
      </c>
      <c r="D78" t="s">
        <v>539</v>
      </c>
      <c r="E78" t="s">
        <v>540</v>
      </c>
    </row>
    <row r="79" spans="1:5" ht="12.75" customHeight="1">
      <c r="A79" s="64" t="s">
        <v>651</v>
      </c>
      <c r="B79" s="65" t="s">
        <v>652</v>
      </c>
      <c r="C79" s="17" t="s">
        <v>647</v>
      </c>
      <c r="D79" t="s">
        <v>539</v>
      </c>
      <c r="E79" t="s">
        <v>540</v>
      </c>
    </row>
    <row r="80" spans="1:5" ht="12.75" customHeight="1">
      <c r="A80" s="64" t="s">
        <v>653</v>
      </c>
      <c r="B80" s="65" t="s">
        <v>654</v>
      </c>
      <c r="C80" s="17" t="s">
        <v>655</v>
      </c>
      <c r="D80" t="s">
        <v>539</v>
      </c>
      <c r="E80" t="s">
        <v>540</v>
      </c>
    </row>
    <row r="81" spans="1:5" ht="12.75" customHeight="1">
      <c r="A81" s="64" t="s">
        <v>656</v>
      </c>
      <c r="B81" s="65" t="s">
        <v>657</v>
      </c>
      <c r="C81" s="17" t="s">
        <v>485</v>
      </c>
      <c r="D81" t="s">
        <v>539</v>
      </c>
      <c r="E81" t="s">
        <v>540</v>
      </c>
    </row>
    <row r="82" spans="1:5" ht="12.75" customHeight="1">
      <c r="A82" s="64" t="s">
        <v>658</v>
      </c>
      <c r="B82" s="65" t="s">
        <v>659</v>
      </c>
      <c r="C82" s="17" t="s">
        <v>485</v>
      </c>
      <c r="D82" t="s">
        <v>539</v>
      </c>
      <c r="E82" t="s">
        <v>540</v>
      </c>
    </row>
    <row r="83" spans="1:5" ht="12.75" customHeight="1">
      <c r="A83" s="64" t="s">
        <v>660</v>
      </c>
      <c r="B83" s="65" t="s">
        <v>661</v>
      </c>
      <c r="C83" s="17" t="s">
        <v>662</v>
      </c>
      <c r="D83" t="s">
        <v>539</v>
      </c>
      <c r="E83" t="s">
        <v>540</v>
      </c>
    </row>
    <row r="84" spans="1:5" ht="12.75" customHeight="1">
      <c r="A84" s="64" t="s">
        <v>606</v>
      </c>
      <c r="B84" s="65" t="s">
        <v>607</v>
      </c>
      <c r="C84" s="17" t="s">
        <v>489</v>
      </c>
      <c r="E84" t="s">
        <v>540</v>
      </c>
    </row>
    <row r="85" spans="1:5" ht="12.75" customHeight="1">
      <c r="A85" s="64" t="s">
        <v>663</v>
      </c>
      <c r="B85" s="65" t="s">
        <v>664</v>
      </c>
      <c r="C85" s="17" t="s">
        <v>662</v>
      </c>
      <c r="D85" t="s">
        <v>539</v>
      </c>
      <c r="E85" t="s">
        <v>540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98A113BB-8B7A-453C-8BD4-8EFC67FC2D3F}"/>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CB52044A-5C0B-44A2-99D0-C1C315EC302D}"/>
</file>

<file path=customXml/itemProps15.xml><?xml version="1.0" encoding="utf-8"?>
<ds:datastoreItem xmlns:ds="http://schemas.openxmlformats.org/officeDocument/2006/customXml" ds:itemID="{892B7B7F-6782-444E-84BA-DA5959EAF893}"/>
</file>

<file path=customXml/itemProps16.xml><?xml version="1.0" encoding="utf-8"?>
<ds:datastoreItem xmlns:ds="http://schemas.openxmlformats.org/officeDocument/2006/customXml" ds:itemID="{E3716282-BFD2-4ED2-BA47-BFA1123827F0}"/>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2025-11-14T13:24:38Z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