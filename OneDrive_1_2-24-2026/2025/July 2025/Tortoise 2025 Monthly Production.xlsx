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CDEDEBC1-3258-4889-82A5-B975BD34EC24}" xr6:coauthVersionLast="47" xr6:coauthVersionMax="47" xr10:uidLastSave="{00000000-0000-0000-0000-000000000000}"/>
  <bookViews>
    <workbookView xWindow="-108" yWindow="-108" windowWidth="23256" windowHeight="13896"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9" l="1"/>
  <c r="I4" i="19" s="1"/>
  <c r="H5" i="19"/>
  <c r="I5" i="19" s="1"/>
  <c r="E4" i="19"/>
  <c r="F4" i="19" s="1"/>
  <c r="E5" i="19"/>
  <c r="E6" i="19"/>
  <c r="E7" i="19"/>
  <c r="F7" i="19" s="1"/>
  <c r="E8" i="19"/>
  <c r="E4" i="20"/>
  <c r="E7" i="21"/>
  <c r="E13" i="21"/>
  <c r="F13" i="21" s="1"/>
  <c r="H4" i="4"/>
  <c r="I4" i="4" s="1"/>
  <c r="E7" i="4"/>
  <c r="F13" i="4"/>
  <c r="E13" i="4"/>
  <c r="I10" i="4"/>
  <c r="I11" i="4"/>
  <c r="I12" i="4"/>
  <c r="I13" i="4"/>
  <c r="H10" i="4"/>
  <c r="H10" i="1" s="1"/>
  <c r="H11" i="4"/>
  <c r="H11" i="1" s="1"/>
  <c r="H12" i="4"/>
  <c r="H13" i="4"/>
  <c r="F9" i="4"/>
  <c r="F10" i="4"/>
  <c r="F11" i="4"/>
  <c r="F12" i="4"/>
  <c r="E9" i="4"/>
  <c r="E10" i="4"/>
  <c r="E11" i="4"/>
  <c r="E12" i="4"/>
  <c r="I6" i="3"/>
  <c r="I7" i="3"/>
  <c r="I8" i="3"/>
  <c r="I9" i="3"/>
  <c r="I10" i="3"/>
  <c r="I11" i="3"/>
  <c r="I12" i="3"/>
  <c r="I13" i="3"/>
  <c r="E5" i="3"/>
  <c r="E8" i="3"/>
  <c r="F10" i="3"/>
  <c r="F11" i="3"/>
  <c r="F12" i="3"/>
  <c r="F13" i="3"/>
  <c r="H9" i="3"/>
  <c r="H10" i="3"/>
  <c r="H11" i="3"/>
  <c r="H12" i="3"/>
  <c r="H13" i="3"/>
  <c r="E9" i="3"/>
  <c r="F9" i="3" s="1"/>
  <c r="E10" i="3"/>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H7" i="19"/>
  <c r="I7" i="19" s="1"/>
  <c r="H6" i="19"/>
  <c r="I6" i="19" s="1"/>
  <c r="F6" i="19"/>
  <c r="H17" i="19"/>
  <c r="E17" i="19"/>
  <c r="H16" i="19"/>
  <c r="E16" i="19"/>
  <c r="H15" i="19"/>
  <c r="E15" i="19"/>
  <c r="H14" i="19"/>
  <c r="E14" i="19"/>
  <c r="H13" i="19"/>
  <c r="E13" i="19"/>
  <c r="F13" i="19" s="1"/>
  <c r="H12" i="19"/>
  <c r="E12" i="19"/>
  <c r="H9" i="21"/>
  <c r="I9" i="21" s="1"/>
  <c r="H10" i="21"/>
  <c r="I10" i="21" s="1"/>
  <c r="H11" i="21"/>
  <c r="I11" i="21" s="1"/>
  <c r="H12" i="21"/>
  <c r="I12" i="21" s="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G11" i="1"/>
  <c r="D11" i="1"/>
  <c r="C11"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s="1"/>
  <c r="E12" i="33"/>
  <c r="F12" i="33" s="1"/>
  <c r="H12" i="33"/>
  <c r="I12" i="33" s="1"/>
  <c r="E13" i="33"/>
  <c r="F13" i="33" s="1"/>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H4" i="33"/>
  <c r="I4" i="33" s="1"/>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E6" i="27"/>
  <c r="F6" i="27" s="1"/>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F5" i="19"/>
  <c r="G2" i="19"/>
  <c r="D2" i="19"/>
  <c r="C2" i="19"/>
  <c r="J2" i="19" s="1"/>
  <c r="A1" i="19" a="1"/>
  <c r="A1" i="19" s="1"/>
  <c r="H4" i="20"/>
  <c r="I4" i="20" s="1"/>
  <c r="F4" i="20"/>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F7" i="4"/>
  <c r="H6" i="4"/>
  <c r="I6" i="4" s="1"/>
  <c r="E6" i="4"/>
  <c r="F6" i="4" s="1"/>
  <c r="H5" i="4"/>
  <c r="I5" i="4" s="1"/>
  <c r="E5" i="4"/>
  <c r="F5" i="4" s="1"/>
  <c r="E4" i="4"/>
  <c r="F4" i="4" s="1"/>
  <c r="G2" i="4"/>
  <c r="D2" i="4"/>
  <c r="C2" i="4"/>
  <c r="A1" i="4" a="1"/>
  <c r="A1" i="4" s="1"/>
  <c r="G2" i="3"/>
  <c r="D2" i="3"/>
  <c r="C2" i="3"/>
  <c r="J2" i="3" s="1"/>
  <c r="A1" i="3" a="1"/>
  <c r="A1" i="3" s="1"/>
  <c r="H5" i="72"/>
  <c r="I5" i="72" s="1"/>
  <c r="H4" i="72"/>
  <c r="I4" i="72" s="1"/>
  <c r="G2" i="72"/>
  <c r="D2" i="72"/>
  <c r="C2" i="72"/>
  <c r="J2" i="72" s="1"/>
  <c r="A1" i="72" a="1"/>
  <c r="A1" i="72" s="1"/>
  <c r="C5" i="34" l="1"/>
  <c r="C13" i="34"/>
  <c r="C7" i="34"/>
  <c r="G11" i="34"/>
  <c r="G7" i="34"/>
  <c r="G2" i="29"/>
  <c r="G6" i="34"/>
  <c r="D8" i="34"/>
  <c r="G5" i="34"/>
  <c r="C8" i="34"/>
  <c r="G13" i="34"/>
  <c r="C11" i="34"/>
  <c r="D9" i="34"/>
  <c r="D13" i="34"/>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I7" i="1" s="1"/>
  <c r="H8" i="1"/>
  <c r="I12" i="1"/>
  <c r="I11" i="1"/>
  <c r="E10" i="1"/>
  <c r="F10" i="1" s="1"/>
  <c r="I8" i="72"/>
  <c r="I6" i="72"/>
  <c r="I10" i="1"/>
  <c r="E9" i="1"/>
  <c r="F9" i="1" s="1"/>
  <c r="E6" i="1"/>
  <c r="F6" i="1" s="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3" i="34" l="1"/>
  <c r="F13" i="34" s="1"/>
  <c r="E7" i="34"/>
  <c r="F7" i="34" s="1"/>
  <c r="E5" i="34"/>
  <c r="F5" i="34" s="1"/>
  <c r="E11" i="34"/>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<sst xmlns="http://schemas.openxmlformats.org/spreadsheetml/2006/main" count="409" uniqueCount="183">
  <si>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</si>
  <si>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</si>
  <si>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</si>
  <si>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</si>
  <si>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</si>
  <si>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</si>
  <si>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</si>
  <si>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</si>
  <si>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</si>
  <si>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</si>
  <si>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</si>
  <si>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</si>
  <si>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</si>
  <si>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</si>
  <si>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</si>
  <si>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</si>
  <si>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</si>
  <si>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</si>
  <si>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</si>
  <si>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</si>
  <si>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</si>
  <si>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</si>
  <si>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</si>
  <si>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</si>
  <si>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</si>
  <si>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</si>
  <si>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</si>
  <si>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</si>
  <si>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</si>
  <si>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</si>
  <si>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</si>
  <si>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</si>
  <si>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</si>
  <si>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</si>
  <si>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</si>
  <si>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</si>
  <si>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</si>
  <si>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</si>
  <si>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</si>
  <si>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</si>
  <si>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</si>
  <si>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</si>
  <si>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</si>
  <si>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</si>
  <si>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</si>
  <si>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</si>
  <si>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</si>
  <si>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</si>
  <si>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</si>
  <si>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</si>
  <si>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</si>
  <si>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</si>
  <si>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</si>
  <si>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</si>
  <si>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</si>
  <si>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</si>
  <si>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</si>
  <si>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</si>
  <si>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</si>
  <si>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</si>
  <si>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</si>
  <si>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</si>
  <si>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</si>
  <si>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</si>
  <si>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</si>
  <si>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</si>
  <si>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</si>
  <si>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</si>
  <si>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</si>
  <si>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</si>
  <si>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</si>
  <si>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</si>
  <si>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</si>
  <si>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</si>
  <si>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</si>
  <si>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1.Inverter 2 was tripping offline for several hours in the middle of the day throughout the month. A synchronization card and logic board are required to bring the inverter back to normal.</t>
  </si>
  <si>
    <t>1.SR095824</t>
  </si>
  <si>
    <t>1.Meter power dropped to zero from 13:15 to 15:30 on 03/06.</t>
  </si>
  <si>
    <t>1.SR098228</t>
  </si>
  <si>
    <t>1.SR096263</t>
  </si>
  <si>
    <t>1.Inverter 1 was derating by 1000kw due to Impulsion fan Comms issue since 11/20/24. On 03/04, technician replaced bad exhaust fan with new fan and re-energized the inverter but didn't have the required software needed to configure it for proper operation. Again inverter started derating by 1.7MW due to fan fault from 03/29.
2.Inverter 1 tripped offline at 13:45 on 03/15 due to  Fault:197 and back online at 11AM on 03/16 again tripped offline at 12:30 on 03/16 and back online by remote reset at 10:15AM on 03/17. Again tripped offline at 12PM on 03/21 and self resolved and back online on 03/24.
3.Inverter 2 was offline from 03/07 due to Isolation fault and was offline through out the month.</t>
  </si>
  <si>
    <t>1.SR093458 &amp; SR099185
2.SR098335
3.SR098248</t>
  </si>
  <si>
    <t>SR099185</t>
  </si>
  <si>
    <t>SR098335</t>
  </si>
  <si>
    <t>SR098248</t>
  </si>
  <si>
    <t xml:space="preserve">1.Inverter 9 was offline from 02/18 due to Bus (sum) Over Voltage fault and inverter power head was being RMA'D from 02/24. On 03/07, the technician replaced the RMA'd inverter power head with a new unit, and the inverter is now operating in line with peer inverters.
2.Inverter 60 was derating by approximately 50 kW due to an external fan fault issue from 02/27/25 and producing normal after technician replaced RMA'D fan with new fan on 03/10.
3.Inverter 13 has been underproducing by approximately 30 kW compared to its peers since the MC4 connectors were replaced in early December 2024 to resolve ongoing tripping issues. 
4.Inverter 64 was offline from 12/18/24 which was LOTO'd.
5.Inverters 29, 30, 64, 68, 69, 78,79 and 80 are offline from 12/26/24 and confirmed with Hunt these inverters are LOTOd.
6.Soltec Tracker Full T01: Motors 22, 77, 138 were stuck.
Soltec Tracker Full T02: Motors 4, 21, 23, 32, 37, 58, 61, 83 were stuck.
Soltec Tracker Full T03: Motors 13, 52 were stuck.
Soltec Tracker Full T04: Motors 1, 11, 27, 28, 29, 32, 39, 51, 57, 65, 75, 88, 94, 112, 113 were stuck through out the month.
7.Energy values are updated till 03/10, and from 03/11 the data is in TrueGreen client templete. </t>
  </si>
  <si>
    <t>1.SR097304
2.SR097884
3.SR098364
4.SR099221
5.SR095849
6.SR099224</t>
  </si>
  <si>
    <t>SR098364</t>
  </si>
  <si>
    <t>SR099221</t>
  </si>
  <si>
    <t>SR099224</t>
  </si>
  <si>
    <t xml:space="preserve">1.Inverter 21 was derating by 50kW on high irradiance days from 02/24 due to External Fan fault. 
2.12 trackers were stuck from 02/18. On 03/10 technician checked in and worked with erika and brought back 5 trackers back online and 4 trackers were still truck.  One new tracker has no lights good fuse and module is only putting out 30 V. Will need a new module.
3.Energy values are updated till 03/10 , and from 03/11 the data is in TrueGreen client templete. </t>
  </si>
  <si>
    <t>1.SR097728
2.SR096181</t>
  </si>
  <si>
    <t xml:space="preserve">1.Inverter 18 tripped offline at 11:45AM on 03/01 due to Inverter Over Current and self resolved and back online on 03/02.
2.Inverter 15 tripped offline at 13:30 on 03/08 due to Inverter Over Current and self resolved and back online on 03/09.
3.NCU 1 motors 10, &amp; 46 were stuck from 02/16.
4.NCU 2 motor 7 was stuck and motor was being RMA'd from 02/19.
5. Energy values are updated till 03/10, and from 03/11 the data is in TrueGreen client templete. </t>
  </si>
  <si>
    <t xml:space="preserve">1.SR097945
2.SR098302
3.SR097757
4.SR096778 &amp;SR098566
</t>
  </si>
  <si>
    <t>SR098302</t>
  </si>
  <si>
    <t>SR098566</t>
  </si>
  <si>
    <t xml:space="preserve">1.The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4.Energy values are updated till 03/10 ,  and from 03/11 the data is in TrueGreen client templete. </t>
  </si>
  <si>
    <t>1.SR097908
2.SR091277 
3.SR096700</t>
  </si>
  <si>
    <t>1.SR097305</t>
  </si>
  <si>
    <t>April Actual v. Expected</t>
  </si>
  <si>
    <t>April Actual v. Forecasted</t>
  </si>
  <si>
    <t>1.  Inverter 1 was tripped offline at 03:45pm on 04/14 due to damage to the internal components from a thermal event. 
2. Bold and ameresco technicians were on site on 04/01 to troubleshoot inverters. Inverter 2 remained offline on 04/01 after installing the new AC contactor and its feeders inverter 2 was back online on 04/02 at 02:25pm.</t>
  </si>
  <si>
    <t>1. SR099790
2. SR095824</t>
  </si>
  <si>
    <t xml:space="preserve">1. Meter dropped production upto 219kW on 04/08 and later on 04/11 technician found inverter 4 was offline and was able to reenergize the inverter. </t>
  </si>
  <si>
    <t>1. SR099593</t>
  </si>
  <si>
    <t>1. On 04/18 and 04/19 the production was low due to bad weather.</t>
  </si>
  <si>
    <t>1.As per the meter 1 inverter was offline and also there were struck trackers. Additionally, meter was down about another 146KW and likely 1 inveter offline and another inverter at half production.Working with NREL for dispatch.</t>
  </si>
  <si>
    <t>1. Inverter 1 was derating for whole month fan being replaced and during visit on 04/14 technician found twelve AC capacitors requiring replacement.
2. Inverter 2 was tripped offline on 04/06 at 18:00 due to GFDI. inverter 2 needs DC contactors and possibly capacitors.</t>
  </si>
  <si>
    <t>1. SR099994, 	SR099185
2. SR099478</t>
  </si>
  <si>
    <t>SR099478</t>
  </si>
  <si>
    <t>1.These sites are moved to true green portifolio</t>
  </si>
  <si>
    <t>May Actual v. Expected</t>
  </si>
  <si>
    <t>May Actual v. Forecasted</t>
  </si>
  <si>
    <t xml:space="preserve">1.Inverter 1 was offline due to damage to internal components caused by a thermal event. On 05/13, a Bold Renewables technician inspected both inverters and site was remained offline from 05/13 to End of the month due to exposed wires and safety concerns and the inverters need further troubleshooting due to faulty parts.
</t>
  </si>
  <si>
    <t xml:space="preserve">1.SR101579, SR099790, SR101399
</t>
  </si>
  <si>
    <t>SR099790</t>
  </si>
  <si>
    <t>SR101399</t>
  </si>
  <si>
    <t>1. The site was taken offline at 12:35 on 05/27 while a technician was on-site performing a DAS retrofit to the power track, and it was brought back online at 14:21 on 05/28.</t>
  </si>
  <si>
    <t>1. SR093280</t>
  </si>
  <si>
    <t>1. As per the meter 1 inverter was offline for whole month and also there were struck trackers. Additionally, meter was down about another 146KW and likely 1 inveter offline and another inverter at half production.Working with NREL for dispatch.</t>
  </si>
  <si>
    <t xml:space="preserve">1. Inverter B tripped offline on 04/06 at 18:00 due to a GFDI fault. The inverter requires new DC contactors and possibly capacitors. A technician visited the site on 05/15, installed a new LS filter, and de-energized the inverter; it came back online at 12:00 the same day.Later, on 05/21 at 07:00, Inverter B tripped offline again, reporting an F45 insulation fault. It was remotely reset and came back online at 14:00. Additionally, on 05/22, Inverter B was offline again from 08:45 to 10:30 due to Pratt being on site to replace the SEL-651R reclosing relay on the inverter.
2. Inverter A was derated by 1000KW down on 05/15 at 09:15 technician took the inverter offline to replace capacitors and exhaust fan. later inverter was re-energized at EOD. Additionally, Inverter A was offline from 15:30 to 17:15 on 05/17 while a technician was on site and performing preventive maintenance inspection. Inverter A was intermittently tripping on and off throughout the day on 05/30.
</t>
  </si>
  <si>
    <t>1. SR099478 
SR101785, SR101822
2. SR099994, SR099185, SR102003, SR102210
PM8642</t>
  </si>
  <si>
    <t>SR101785</t>
  </si>
  <si>
    <t>SR101822</t>
  </si>
  <si>
    <t>SR099994</t>
  </si>
  <si>
    <t>SR102003</t>
  </si>
  <si>
    <t>SR102210</t>
  </si>
  <si>
    <t>1. These sites are moved to true green portifolio</t>
  </si>
  <si>
    <t>June Actual v. Expected</t>
  </si>
  <si>
    <t>June Actual v. Forecasted</t>
  </si>
  <si>
    <t>1. Inverter 1 was offline from 06/01 to 17:30 on 06/04
2.  Inverter 2 was offline from 06/01 to 17:30 on 06/04</t>
  </si>
  <si>
    <t>1. SR099790, SR101579
2. SR101399, PM9684</t>
  </si>
  <si>
    <t>SR101579</t>
  </si>
  <si>
    <t>1. Site production was low on 06/03, 06/17 due to low irradiance.</t>
  </si>
  <si>
    <t>1. As per meter 1 inverter was offline for whole month.</t>
  </si>
  <si>
    <t>1. These sites are moved to Altus portifolio</t>
  </si>
  <si>
    <t>July Actual v. Expected</t>
  </si>
  <si>
    <t>July Actual v. Forecasted</t>
  </si>
  <si>
    <t>1. Inverter 2 was underproducing for whole month.</t>
  </si>
  <si>
    <t>1. SR102730</t>
  </si>
  <si>
    <t xml:space="preserve">1. Site was taken offline from 14:00 to 15:45 on 07/24 due to transformer work.
</t>
  </si>
  <si>
    <t>1. SR103430, PM13367</t>
  </si>
  <si>
    <t>1. Site production was low on 07/14, 07/29</t>
  </si>
  <si>
    <t>1.  Inverter 3 was offline from 07/01 to 07/29 and inverter 2 was offline for whole month. About 30 strings were down and needed connector replacements across the entire site.</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</si>
  <si>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</si>
  <si>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</si>
  <si>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</si>
  <si>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</si>
  <si>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</si>
  <si>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</si>
  <si>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</si>
  <si>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</si>
  <si>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</si>
  <si>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</si>
  <si>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</si>
  <si>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Tortoise</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</si>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</sst>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7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49" fontId="39" fillId="0" borderId="0" xfId="45" applyNumberFormat="1" applyAlignment="1">
      <alignment horizontal="left" vertical="center" wrapText="1"/>
    </xf>
    <xf numFmtId="49" fontId="39" fillId="38" borderId="0" xfId="45" applyNumberFormat="1" applyFill="1" applyBorder="1" applyAlignment="1">
      <alignment vertical="top" wrapText="1"/>
    </xf>
    <xf numFmtId="3" fontId="31" fillId="0" borderId="0" xfId="1" applyNumberFormat="1" applyFont="1" applyFill="1" applyBorder="1" applyAlignment="1">
      <alignment horizontal="right" vertical="center"/>
    </xf>
    <xf numFmtId="0" fontId="39" fillId="0" borderId="0" xfId="45" applyAlignment="1">
      <alignment vertical="top"/>
    </xf>
    <xf numFmtId="3" fontId="31" fillId="0" borderId="0" xfId="1" applyNumberFormat="1" applyFont="1" applyFill="1" applyBorder="1" applyAlignment="1">
      <alignment horizontal="right"/>
    </xf>
    <xf numFmtId="0" fontId="33" fillId="0" borderId="0" xfId="0" applyFont="1" applyAlignment="1">
      <alignment horizontal="left" vertical="top"/>
    </xf>
    <xf numFmtId="49" fontId="39" fillId="0" borderId="0" xfId="45" applyNumberFormat="1" applyAlignment="1">
      <alignmen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304" TargetMode="External"/><Relationship Id="rId13" Type="http://schemas.openxmlformats.org/officeDocument/2006/relationships/hyperlink" Target="https://us3.assetplanner.com/service_request?ID=099224"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6263" TargetMode="External"/><Relationship Id="rId21" Type="http://schemas.openxmlformats.org/officeDocument/2006/relationships/hyperlink" Target="https://us3.assetplanner.com/service_request?ID=097908" TargetMode="External"/><Relationship Id="rId7" Type="http://schemas.openxmlformats.org/officeDocument/2006/relationships/hyperlink" Target="https://us3.assetplanner.com/service_request?ID=098248" TargetMode="External"/><Relationship Id="rId12" Type="http://schemas.openxmlformats.org/officeDocument/2006/relationships/hyperlink" Target="https://us3.assetplanner.com/service_request?ID=095849" TargetMode="External"/><Relationship Id="rId17" Type="http://schemas.openxmlformats.org/officeDocument/2006/relationships/hyperlink" Target="https://us3.assetplanner.com/service_request?ID=098302" TargetMode="External"/><Relationship Id="rId2" Type="http://schemas.openxmlformats.org/officeDocument/2006/relationships/hyperlink" Target="https://us3.assetplanner.com/service_request?ID=098228" TargetMode="External"/><Relationship Id="rId16" Type="http://schemas.openxmlformats.org/officeDocument/2006/relationships/hyperlink" Target="https://us3.assetplanner.com/service_request?ID=097945" TargetMode="External"/><Relationship Id="rId20"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8335" TargetMode="External"/><Relationship Id="rId11" Type="http://schemas.openxmlformats.org/officeDocument/2006/relationships/hyperlink" Target="https://us3.assetplanner.com/service_request?ID=099221" TargetMode="External"/><Relationship Id="rId24" Type="http://schemas.openxmlformats.org/officeDocument/2006/relationships/hyperlink" Target="https://us3.assetplanner.com/service_request?ID=097305" TargetMode="External"/><Relationship Id="rId5" Type="http://schemas.openxmlformats.org/officeDocument/2006/relationships/hyperlink" Target="https://us3.assetplanner.com/service_request?ID=099185" TargetMode="External"/><Relationship Id="rId15" Type="http://schemas.openxmlformats.org/officeDocument/2006/relationships/hyperlink" Target="https://us3.assetplanner.com/service_request?ID=096181" TargetMode="External"/><Relationship Id="rId23" Type="http://schemas.openxmlformats.org/officeDocument/2006/relationships/hyperlink" Target="https://us3.assetplanner.com/service_request?ID=096700" TargetMode="External"/><Relationship Id="rId10" Type="http://schemas.openxmlformats.org/officeDocument/2006/relationships/hyperlink" Target="https://us3.assetplanner.com/service_request?ID=098364" TargetMode="External"/><Relationship Id="rId19" Type="http://schemas.openxmlformats.org/officeDocument/2006/relationships/hyperlink" Target="https://us3.assetplanner.com/service_request?ID=096778" TargetMode="External"/><Relationship Id="rId4" Type="http://schemas.openxmlformats.org/officeDocument/2006/relationships/hyperlink" Target="https://us3.assetplanner.com/service_request?ID=093458"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7728" TargetMode="External"/><Relationship Id="rId22" Type="http://schemas.openxmlformats.org/officeDocument/2006/relationships/hyperlink" Target="https://us3.assetplanner.com/service_request?ID=09127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593" TargetMode="External"/><Relationship Id="rId7" Type="http://schemas.openxmlformats.org/officeDocument/2006/relationships/hyperlink" Target="https://us3.assetplanner.com/service_request?ID=099478"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9790" TargetMode="External"/><Relationship Id="rId6" Type="http://schemas.openxmlformats.org/officeDocument/2006/relationships/hyperlink" Target="https://us3.assetplanner.com/service_request?ID=099185" TargetMode="External"/><Relationship Id="rId5" Type="http://schemas.openxmlformats.org/officeDocument/2006/relationships/hyperlink" Target="https://us3.assetplanner.com/service_request?ID=099994" TargetMode="External"/><Relationship Id="rId4" Type="http://schemas.openxmlformats.org/officeDocument/2006/relationships/hyperlink" Target="https://us3.assetplanner.com/service_request?ID=09626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822" TargetMode="External"/><Relationship Id="rId3" Type="http://schemas.openxmlformats.org/officeDocument/2006/relationships/hyperlink" Target="https://us3.assetplanner.com/service_request?ID=101399" TargetMode="External"/><Relationship Id="rId7" Type="http://schemas.openxmlformats.org/officeDocument/2006/relationships/hyperlink" Target="https://us3.assetplanner.com/service_request?ID=101785" TargetMode="External"/><Relationship Id="rId12" Type="http://schemas.openxmlformats.org/officeDocument/2006/relationships/hyperlink" Target="https://us3.assetplanner.com/service_request?ID=102210" TargetMode="External"/><Relationship Id="rId2" Type="http://schemas.openxmlformats.org/officeDocument/2006/relationships/hyperlink" Target="https://us3.assetplanner.com/service_request?ID=099790" TargetMode="External"/><Relationship Id="rId1" Type="http://schemas.openxmlformats.org/officeDocument/2006/relationships/hyperlink" Target="https://us3.assetplanner.com/service_request?ID=101579" TargetMode="External"/><Relationship Id="rId6" Type="http://schemas.openxmlformats.org/officeDocument/2006/relationships/hyperlink" Target="https://us3.assetplanner.com/service_request?ID=099478" TargetMode="External"/><Relationship Id="rId11" Type="http://schemas.openxmlformats.org/officeDocument/2006/relationships/hyperlink" Target="https://us3.assetplanner.com/service_request?ID=102003" TargetMode="External"/><Relationship Id="rId5" Type="http://schemas.openxmlformats.org/officeDocument/2006/relationships/hyperlink" Target="https://us3.assetplanner.com/service_request?ID=096263" TargetMode="External"/><Relationship Id="rId10" Type="http://schemas.openxmlformats.org/officeDocument/2006/relationships/hyperlink" Target="https://us3.assetplanner.com/service_request?ID=099185" TargetMode="External"/><Relationship Id="rId4" Type="http://schemas.openxmlformats.org/officeDocument/2006/relationships/hyperlink" Target="https://us3.assetplanner.com/service_request?ID=093280" TargetMode="External"/><Relationship Id="rId9" Type="http://schemas.openxmlformats.org/officeDocument/2006/relationships/hyperlink" Target="https://us3.assetplanner.com/service_request?ID=09999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99" TargetMode="External"/><Relationship Id="rId2" Type="http://schemas.openxmlformats.org/officeDocument/2006/relationships/hyperlink" Target="https://us3.assetplanner.com/service_request?ID=101579" TargetMode="External"/><Relationship Id="rId1" Type="http://schemas.openxmlformats.org/officeDocument/2006/relationships/hyperlink" Target="https://us3.assetplanner.com/service_request?ID=099790" TargetMode="External"/><Relationship Id="rId4" Type="http://schemas.openxmlformats.org/officeDocument/2006/relationships/hyperlink" Target="https://us3.assetplanner.com/service_request?ID=09626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096263" TargetMode="External"/><Relationship Id="rId2" Type="http://schemas.openxmlformats.org/officeDocument/2006/relationships/hyperlink" Target="https://us3.assetplanner.com/service_request?ID=103430" TargetMode="External"/><Relationship Id="rId1" Type="http://schemas.openxmlformats.org/officeDocument/2006/relationships/hyperlink" Target="https://us3.assetplanner.com/service_request?ID=10273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D4" activePane="bottomRight" state="frozen"/>
      <selection pane="bottomRight" sqref="A1:C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Tortoise</v>
      </c>
      <c r="B1" s="75"/>
      <c r="C1" s="75"/>
      <c r="D1" s="76" t="s">
        <v>0</v>
      </c>
      <c r="E1" s="76"/>
      <c r="F1" s="76"/>
      <c r="G1" s="74" t="s">
        <v>1</v>
      </c>
      <c r="H1" s="74"/>
      <c r="I1" s="74"/>
    </row>
    <row r="2" spans="1:9" ht="19.5" customHeight="1">
      <c r="A2" s="77" t="s">
        <v>2</v>
      </c>
      <c r="B2" s="77"/>
      <c r="C2" s="6">
        <f>SUM(C4:C91)</f>
        <v>10390083.972886415</v>
      </c>
      <c r="D2" s="6">
        <f>SUM(D4:D91)</f>
        <v>13696290.999669837</v>
      </c>
      <c r="E2" s="6">
        <f>C2-D2</f>
        <v>-3306207.0267834216</v>
      </c>
      <c r="F2" s="7">
        <f>IFERROR(E2/D2, 0)</f>
        <v>-0.24139433273308233</v>
      </c>
      <c r="G2" s="6">
        <f>SUM(G4:G91)</f>
        <v>11986568.601999998</v>
      </c>
      <c r="H2" s="8">
        <f>C2-G2</f>
        <v>-1596484.6291135829</v>
      </c>
      <c r="I2" s="7">
        <f>IFERROR(H2/G2, 0)</f>
        <v>-0.13318946248279964</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530762.06801399146</v>
      </c>
      <c r="D4" s="14">
        <f>SUM('1st Qtr'!D4, '2nd Qtr'!D4, '3rd Qtr'!D4, '4th Qtr'!D4)</f>
        <v>755534.57142935821</v>
      </c>
      <c r="E4" s="14">
        <f>IF(AND(ISNUMBER(C4),ISNUMBER(D4)), C4-D4, "")</f>
        <v>-224772.50341536675</v>
      </c>
      <c r="F4" s="15">
        <f>IFERROR(E4/D4, "")</f>
        <v>-0.29750128176150942</v>
      </c>
      <c r="G4" s="16">
        <f>SUM('1st Qtr'!G4, '2nd Qtr'!G4, '3rd Qtr'!G4, '4th Qtr'!G4)</f>
        <v>767103.25999999978</v>
      </c>
      <c r="H4" s="16">
        <f>SUM('1st Qtr'!H4, '2nd Qtr'!H4, '3rd Qtr'!H4, '4th Qtr'!H4)</f>
        <v>-236341.19198600834</v>
      </c>
      <c r="I4" s="56">
        <f>IFERROR(H4/G4, "")</f>
        <v>-0.30809566887515039</v>
      </c>
    </row>
    <row r="5" spans="1:9" ht="15.6">
      <c r="A5" s="18" t="str">
        <v>San Luis Valley</v>
      </c>
      <c r="B5" s="11" t="str">
        <v>CO</v>
      </c>
      <c r="C5" s="19">
        <f>SUM('1st Qtr'!C5, '2nd Qtr'!C5, '3rd Qtr'!C5, '4th Qtr'!C5)</f>
        <v>1501425.875</v>
      </c>
      <c r="D5" s="19">
        <f>SUM('1st Qtr'!D5, '2nd Qtr'!D5, '3rd Qtr'!D5, '4th Qtr'!D5)</f>
        <v>1446463.8879999998</v>
      </c>
      <c r="E5" s="19">
        <f t="shared" ref="E5:E6" si="0">IF(AND(ISNUMBER(C5),ISNUMBER(D5)), C5-D5, "")</f>
        <v>54961.987000000197</v>
      </c>
      <c r="F5" s="20">
        <f>IFERROR(E5/D5, "")</f>
        <v>3.7997483003875863E-2</v>
      </c>
      <c r="G5" s="21">
        <f>SUM('1st Qtr'!G5, '2nd Qtr'!G5, '3rd Qtr'!G5, '4th Qtr'!G5)</f>
        <v>268540</v>
      </c>
      <c r="H5" s="57">
        <f>SUM('1st Qtr'!H5, '2nd Qtr'!H5, '3rd Qtr'!H5, '4th Qtr'!H5)</f>
        <v>1232885.875</v>
      </c>
      <c r="I5" s="20">
        <f>IFERROR(H5/G5, "")</f>
        <v>4.5910697661428461</v>
      </c>
    </row>
    <row r="6" spans="1:9" ht="15.6">
      <c r="A6" s="13" t="str">
        <v>Golden NREL 2</v>
      </c>
      <c r="B6" s="10" t="str">
        <v>CO</v>
      </c>
      <c r="C6" s="25">
        <f>SUM('1st Qtr'!C6, '2nd Qtr'!C6, '3rd Qtr'!C6, '4th Qtr'!C6)</f>
        <v>74262.641000000003</v>
      </c>
      <c r="D6" s="14">
        <f>SUM('1st Qtr'!D6, '2nd Qtr'!D6, '3rd Qtr'!D6, '4th Qtr'!D6)</f>
        <v>71942.136240478998</v>
      </c>
      <c r="E6" s="14">
        <f t="shared" si="0"/>
        <v>2320.5047595210053</v>
      </c>
      <c r="F6" s="15">
        <f t="shared" ref="F6:F13" si="1">IFERROR(E6/D6, "")</f>
        <v>3.2255155056340253E-2</v>
      </c>
      <c r="G6" s="16">
        <f>SUM('1st Qtr'!G6, '2nd Qtr'!G6, '3rd Qtr'!G6, '4th Qtr'!G6)</f>
        <v>85222.462</v>
      </c>
      <c r="H6" s="16">
        <f>SUM('1st Qtr'!H6, '2nd Qtr'!H6, '3rd Qtr'!H6, '4th Qtr'!H6)</f>
        <v>-10959.821000000002</v>
      </c>
      <c r="I6" s="17">
        <f t="shared" ref="I6:I13" si="2">IFERROR(H6/G6, "")</f>
        <v>-0.12860249214579136</v>
      </c>
    </row>
    <row r="7" spans="1:9" ht="15.6">
      <c r="A7" s="18" t="str">
        <v>Golden NREL Wind 3</v>
      </c>
      <c r="B7" s="11" t="str">
        <v>CO</v>
      </c>
      <c r="C7" s="19">
        <f>SUM('1st Qtr'!C7, '2nd Qtr'!C7, '3rd Qtr'!C7, '4th Qtr'!C7)</f>
        <v>493638.48564124998</v>
      </c>
      <c r="D7" s="19">
        <f>SUM('1st Qtr'!D7, '2nd Qtr'!D7, '3rd Qtr'!D7, '4th Qtr'!D7)</f>
        <v>871266.86599999992</v>
      </c>
      <c r="E7" s="19">
        <f t="shared" ref="E7:E13" si="3">IF(AND(ISNUMBER(C7),ISNUMBER(D7)), C7-D7, "")</f>
        <v>-377628.38035874994</v>
      </c>
      <c r="F7" s="20">
        <f t="shared" si="1"/>
        <v>-0.43342447084261088</v>
      </c>
      <c r="G7" s="21">
        <f>SUM('1st Qtr'!G7, '2nd Qtr'!G7, '3rd Qtr'!G7, '4th Qtr'!G7)</f>
        <v>167484</v>
      </c>
      <c r="H7" s="21">
        <f>SUM('1st Qtr'!H7, '2nd Qtr'!H7, '3rd Qtr'!H7, '4th Qtr'!H7)</f>
        <v>326154.48564124998</v>
      </c>
      <c r="I7" s="20">
        <f t="shared" si="2"/>
        <v>1.9473769771515488</v>
      </c>
    </row>
    <row r="8" spans="1:9" ht="15.6">
      <c r="A8" s="13" t="str">
        <v>Pratt Solar Farm</v>
      </c>
      <c r="B8" s="10" t="str">
        <v>KS</v>
      </c>
      <c r="C8" s="25">
        <f>SUM('1st Qtr'!C8, '2nd Qtr'!C8, '3rd Qtr'!C8, '4th Qtr'!C8)</f>
        <v>2589150</v>
      </c>
      <c r="D8" s="14">
        <f>SUM('1st Qtr'!D8, '2nd Qtr'!D8, '3rd Qtr'!D8, '4th Qtr'!D8)</f>
        <v>5187681.909</v>
      </c>
      <c r="E8" s="14">
        <f t="shared" si="3"/>
        <v>-2598531.909</v>
      </c>
      <c r="F8" s="15">
        <f t="shared" si="1"/>
        <v>-0.50090424867643901</v>
      </c>
      <c r="G8" s="16">
        <f>SUM('1st Qtr'!G8, '2nd Qtr'!G8, '3rd Qtr'!G8, '4th Qtr'!G8)</f>
        <v>4981086.93</v>
      </c>
      <c r="H8" s="16">
        <f>SUM('1st Qtr'!H8, '2nd Qtr'!H8, '3rd Qtr'!H8, '4th Qtr'!H8)</f>
        <v>-2391936.9300000002</v>
      </c>
      <c r="I8" s="17">
        <f t="shared" si="2"/>
        <v>-0.48020381166084175</v>
      </c>
    </row>
    <row r="9" spans="1:9" ht="12.75" customHeight="1">
      <c r="A9" s="18" t="str">
        <v>Rochester - 5516 Valleyhigh NW</v>
      </c>
      <c r="B9" s="11" t="str">
        <v>MN</v>
      </c>
      <c r="C9" s="19">
        <f>SUM('1st Qtr'!C9, '2nd Qtr'!C9, '3rd Qtr'!C9, '4th Qtr'!C9)</f>
        <v>2374799</v>
      </c>
      <c r="D9" s="19">
        <f>SUM('1st Qtr'!D9, '2nd Qtr'!D9, '3rd Qtr'!D9, '4th Qtr'!D9)</f>
        <v>2609126.2000000002</v>
      </c>
      <c r="E9" s="19">
        <f t="shared" si="3"/>
        <v>-234327.20000000019</v>
      </c>
      <c r="F9" s="20">
        <f t="shared" si="1"/>
        <v>-8.9810604025209725E-2</v>
      </c>
      <c r="G9" s="21">
        <f>SUM('1st Qtr'!G9, '2nd Qtr'!G9, '3rd Qtr'!G9, '4th Qtr'!G9)</f>
        <v>2510275.5</v>
      </c>
      <c r="H9" s="21">
        <f>SUM('1st Qtr'!H9, '2nd Qtr'!H9, '3rd Qtr'!H9, '4th Qtr'!H9)</f>
        <v>-135476.5</v>
      </c>
      <c r="I9" s="20">
        <f t="shared" si="2"/>
        <v>-5.3968777530593752E-2</v>
      </c>
    </row>
    <row r="10" spans="1:9" ht="15.6">
      <c r="A10" s="13" t="str">
        <v>Warsaw - 2201 Richmond</v>
      </c>
      <c r="B10" s="10" t="str">
        <v>VA</v>
      </c>
      <c r="C10" s="25">
        <f>SUM('1st Qtr'!C10, '2nd Qtr'!C10, '3rd Qtr'!C10, '4th Qtr'!C10)</f>
        <v>1384836.0999999989</v>
      </c>
      <c r="D10" s="14">
        <f>SUM('1st Qtr'!D10, '2nd Qtr'!D10, '3rd Qtr'!D10, '4th Qtr'!D10)</f>
        <v>1541238.5</v>
      </c>
      <c r="E10" s="14">
        <f t="shared" si="3"/>
        <v>-156402.40000000107</v>
      </c>
      <c r="F10" s="15">
        <f t="shared" si="1"/>
        <v>-0.10147838897094841</v>
      </c>
      <c r="G10" s="16">
        <f>SUM('1st Qtr'!G10, '2nd Qtr'!G10, '3rd Qtr'!G10, '4th Qtr'!G10)</f>
        <v>1483119.35</v>
      </c>
      <c r="H10" s="16">
        <f>SUM('1st Qtr'!H10, '2nd Qtr'!H10, '3rd Qtr'!H10, '4th Qtr'!H10)</f>
        <v>-98283.25000000099</v>
      </c>
      <c r="I10" s="17">
        <f t="shared" si="2"/>
        <v>-6.6267930493928887E-2</v>
      </c>
    </row>
    <row r="11" spans="1:9" ht="15.6">
      <c r="A11" s="18" t="str">
        <v>Mount Jackson - Randolf</v>
      </c>
      <c r="B11" s="11" t="str">
        <v>VA</v>
      </c>
      <c r="C11" s="19">
        <f>SUM('1st Qtr'!C11, '2nd Qtr'!C11, '3rd Qtr'!C11, '4th Qtr'!C11)</f>
        <v>775388.80323117494</v>
      </c>
      <c r="D11" s="19">
        <f>SUM('1st Qtr'!D11, '2nd Qtr'!D11, '3rd Qtr'!D11, '4th Qtr'!D11)</f>
        <v>778421.83899999992</v>
      </c>
      <c r="E11" s="19">
        <f t="shared" si="3"/>
        <v>-3033.0357688249787</v>
      </c>
      <c r="F11" s="20">
        <f t="shared" si="1"/>
        <v>-3.8963908986949414E-3</v>
      </c>
      <c r="G11" s="21">
        <f>SUM('1st Qtr'!G11, '2nd Qtr'!G11, '3rd Qtr'!G11, '4th Qtr'!G11)</f>
        <v>1000099.6</v>
      </c>
      <c r="H11" s="21">
        <f>SUM('1st Qtr'!H11, '2nd Qtr'!H11, '3rd Qtr'!H11, '4th Qtr'!H11)</f>
        <v>-224710.79676882501</v>
      </c>
      <c r="I11" s="20">
        <f t="shared" si="2"/>
        <v>-0.22468841780241189</v>
      </c>
    </row>
    <row r="12" spans="1:9" ht="15.6">
      <c r="A12" s="13" t="str">
        <v>Callands Gretna - Monroe</v>
      </c>
      <c r="B12" s="10" t="str">
        <v>VA</v>
      </c>
      <c r="C12" s="25">
        <f>SUM('1st Qtr'!C12, '2nd Qtr'!C12, '3rd Qtr'!C12, '4th Qtr'!C12)</f>
        <v>665821</v>
      </c>
      <c r="D12" s="14">
        <f>SUM('1st Qtr'!D12, '2nd Qtr'!D12, '3rd Qtr'!D12, '4th Qtr'!D12)</f>
        <v>434615.08999999997</v>
      </c>
      <c r="E12" s="14">
        <f t="shared" si="3"/>
        <v>231205.91000000003</v>
      </c>
      <c r="F12" s="15">
        <f t="shared" si="1"/>
        <v>0.53197856061555537</v>
      </c>
      <c r="G12" s="16">
        <f>SUM('1st Qtr'!G12, '2nd Qtr'!G12, '3rd Qtr'!G12, '4th Qtr'!G12)</f>
        <v>723637.5</v>
      </c>
      <c r="H12" s="16">
        <f>SUM('1st Qtr'!H12, '2nd Qtr'!H12, '3rd Qtr'!H12, '4th Qtr'!H12)</f>
        <v>-57816.5</v>
      </c>
      <c r="I12" s="17">
        <f t="shared" si="2"/>
        <v>-7.9897047900364476E-2</v>
      </c>
    </row>
    <row r="13" spans="1:9" ht="15.6">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H19" sqref="H1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Tortoise</v>
      </c>
      <c r="B1" s="75"/>
      <c r="C1" s="75"/>
      <c r="D1" s="76" t="s">
        <v>10</v>
      </c>
      <c r="E1" s="76"/>
      <c r="F1" s="76"/>
      <c r="G1" s="74" t="s">
        <v>11</v>
      </c>
      <c r="H1" s="74"/>
      <c r="I1" s="74"/>
    </row>
    <row r="2" spans="1:9" ht="19.5" customHeight="1">
      <c r="A2" s="77" t="s">
        <v>2</v>
      </c>
      <c r="B2" s="77"/>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207937</v>
      </c>
      <c r="D4" s="14">
        <f>SUM(Jan!D4, Feb!D4, Mar!D4)</f>
        <v>274034.57530000003</v>
      </c>
      <c r="E4" s="14">
        <f>IF(AND(ISNUMBER(C4),ISNUMBER(D4)), C4-D4, "")</f>
        <v>-66097.575300000026</v>
      </c>
      <c r="F4" s="15">
        <f>IFERROR(E4/D4, "")</f>
        <v>-0.24120159008270961</v>
      </c>
      <c r="G4" s="16">
        <f>SUM(Jan!G4, Feb!G4, Mar!G4)</f>
        <v>222541.9</v>
      </c>
      <c r="H4" s="16">
        <f>SUM(Jan!H4, Feb!H4, Mar!H4)</f>
        <v>-14604.899999999994</v>
      </c>
      <c r="I4" s="17">
        <f>IFERROR(H4/G4, "")</f>
        <v>-6.5627641356526545E-2</v>
      </c>
    </row>
    <row r="5" spans="1:9" ht="15.6">
      <c r="A5" s="18" t="str">
        <v>San Luis Valley</v>
      </c>
      <c r="B5" s="11" t="str">
        <v>CO</v>
      </c>
      <c r="C5" s="12">
        <f>SUM(Jan!C5, Feb!C5, Mar!C5)</f>
        <v>547486.375</v>
      </c>
      <c r="D5" s="19">
        <f>SUM(Jan!D5, Feb!D5, Mar!D5)</f>
        <v>553969.5</v>
      </c>
      <c r="E5" s="19">
        <f t="shared" ref="E5:E6" si="0">IF(AND(ISNUMBER(C5),ISNUMBER(D5)), C5-D5, "")</f>
        <v>-6483.125</v>
      </c>
      <c r="F5" s="20">
        <f>IFERROR(E5/D5, "")</f>
        <v>-1.1703035997469175E-2</v>
      </c>
      <c r="G5" s="21">
        <f>SUM(Jan!G5, Feb!G5, Mar!G5)</f>
        <v>0</v>
      </c>
      <c r="H5" s="21">
        <f>SUM(Jan!H5, Feb!H5, Mar!H5)</f>
        <v>547486.375</v>
      </c>
      <c r="I5" s="20" t="str">
        <f>IFERROR(H5/G5, "")</f>
        <v/>
      </c>
    </row>
    <row r="6" spans="1:9" ht="15.6">
      <c r="A6" s="13" t="str">
        <v>Golden NREL 2</v>
      </c>
      <c r="B6" s="10" t="str">
        <v>CO</v>
      </c>
      <c r="C6" s="25">
        <f>SUM(Jan!C6, Feb!C6, Mar!C6)</f>
        <v>24178</v>
      </c>
      <c r="D6" s="14">
        <f>SUM(Jan!D6, Feb!D6, Mar!D6)</f>
        <v>22334.862131000002</v>
      </c>
      <c r="E6" s="14">
        <f t="shared" si="0"/>
        <v>1843.1378689999983</v>
      </c>
      <c r="F6" s="15">
        <f t="shared" ref="F6:F13" si="1">IFERROR(E6/D6, "")</f>
        <v>8.2522912305860521E-2</v>
      </c>
      <c r="G6" s="16">
        <f>SUM(Jan!G6, Feb!G6, Mar!G6)</f>
        <v>28588.3</v>
      </c>
      <c r="H6" s="16">
        <f>SUM(Jan!H6, Feb!H6, Mar!H6)</f>
        <v>-4410.2999999999993</v>
      </c>
      <c r="I6" s="17">
        <f t="shared" ref="I6:I13" si="2">IFERROR(H6/G6, "")</f>
        <v>-0.15426940391698699</v>
      </c>
    </row>
    <row r="7" spans="1:9" ht="15.6">
      <c r="A7" s="18" t="str">
        <v>Golden NREL Wind 3</v>
      </c>
      <c r="B7" s="11" t="str">
        <v>CO</v>
      </c>
      <c r="C7" s="12">
        <f>SUM(Jan!C7, Feb!C7, Mar!C7)</f>
        <v>193034.7190475</v>
      </c>
      <c r="D7" s="19">
        <f>SUM(Jan!D7, Feb!D7, Mar!D7)</f>
        <v>270721.61499999999</v>
      </c>
      <c r="E7" s="19">
        <f t="shared" ref="E7:E13" si="3">IF(AND(ISNUMBER(C7),ISNUMBER(D7)), C7-D7, "")</f>
        <v>-77686.895952499995</v>
      </c>
      <c r="F7" s="20">
        <f t="shared" si="1"/>
        <v>-0.28696229502213927</v>
      </c>
      <c r="G7" s="21">
        <f>SUM(Jan!G7, Feb!G7, Mar!G7)</f>
        <v>0</v>
      </c>
      <c r="H7" s="21">
        <f>SUM(Jan!H7, Feb!H7, Mar!H7)</f>
        <v>193034.7190475</v>
      </c>
      <c r="I7" s="20" t="str">
        <f t="shared" si="2"/>
        <v/>
      </c>
    </row>
    <row r="8" spans="1:9" ht="15.6">
      <c r="A8" s="13" t="str">
        <v>Pratt Solar Farm</v>
      </c>
      <c r="B8" s="10" t="str">
        <v>KS</v>
      </c>
      <c r="C8" s="25">
        <f>SUM(Jan!C8, Feb!C8, Mar!C8)</f>
        <v>1654930</v>
      </c>
      <c r="D8" s="14">
        <f>SUM(Jan!D8, Feb!D8, Mar!D8)</f>
        <v>3097059.909</v>
      </c>
      <c r="E8" s="14">
        <f t="shared" si="3"/>
        <v>-1442129.909</v>
      </c>
      <c r="F8" s="15">
        <f t="shared" si="1"/>
        <v>-0.46564482166108462</v>
      </c>
      <c r="G8" s="16">
        <f>SUM(Jan!G8, Feb!G8, Mar!G8)</f>
        <v>2716093.9299999997</v>
      </c>
      <c r="H8" s="16">
        <f>SUM(Jan!H8, Feb!H8, Mar!H8)</f>
        <v>-1061163.9300000002</v>
      </c>
      <c r="I8" s="17">
        <f t="shared" si="2"/>
        <v>-0.39069485715466412</v>
      </c>
    </row>
    <row r="9" spans="1:9" ht="12.75" customHeight="1">
      <c r="A9" s="18" t="str">
        <v>Rochester - 5516 Valleyhigh NW</v>
      </c>
      <c r="B9" s="11" t="str">
        <v>MN</v>
      </c>
      <c r="C9" s="12">
        <f>SUM(Jan!C9, Feb!C9, Mar!C9)</f>
        <v>2374799</v>
      </c>
      <c r="D9" s="19">
        <f>SUM(Jan!D9, Feb!D9, Mar!D9)</f>
        <v>2609126.2000000002</v>
      </c>
      <c r="E9" s="19">
        <f t="shared" si="3"/>
        <v>-234327.20000000019</v>
      </c>
      <c r="F9" s="20">
        <f t="shared" si="1"/>
        <v>-8.9810604025209725E-2</v>
      </c>
      <c r="G9" s="21">
        <f>SUM(Jan!G9, Feb!G9, Mar!G9)</f>
        <v>2510275.5</v>
      </c>
      <c r="H9" s="21">
        <f>SUM(Jan!H9, Feb!H9, Mar!H9)</f>
        <v>-135476.5</v>
      </c>
      <c r="I9" s="20">
        <f t="shared" si="2"/>
        <v>-5.3968777530593752E-2</v>
      </c>
    </row>
    <row r="10" spans="1:9" ht="15.6">
      <c r="A10" s="13" t="str">
        <v>Warsaw - 2201 Richmond</v>
      </c>
      <c r="B10" s="10" t="str">
        <v>VA</v>
      </c>
      <c r="C10" s="25">
        <f>SUM(Jan!C10, Feb!C10, Mar!C10)</f>
        <v>1384836.0999999989</v>
      </c>
      <c r="D10" s="14">
        <f>SUM(Jan!D10, Feb!D10, Mar!D10)</f>
        <v>1541238.5</v>
      </c>
      <c r="E10" s="14">
        <f t="shared" si="3"/>
        <v>-156402.40000000107</v>
      </c>
      <c r="F10" s="15">
        <f t="shared" si="1"/>
        <v>-0.10147838897094841</v>
      </c>
      <c r="G10" s="16">
        <f>SUM(Jan!G10, Feb!G10, Mar!G10)</f>
        <v>1483119.35</v>
      </c>
      <c r="H10" s="16">
        <f>SUM(Jan!H10, Feb!H10, Mar!H10)</f>
        <v>-98283.25000000099</v>
      </c>
      <c r="I10" s="17">
        <f t="shared" si="2"/>
        <v>-6.6267930493928887E-2</v>
      </c>
    </row>
    <row r="11" spans="1:9" ht="15.6">
      <c r="A11" s="18" t="str">
        <v>Mount Jackson - Randolf</v>
      </c>
      <c r="B11" s="11" t="str">
        <v>VA</v>
      </c>
      <c r="C11" s="12">
        <f>SUM(Jan!C11, Feb!C11, Mar!C11)</f>
        <v>775388.80323117494</v>
      </c>
      <c r="D11" s="19">
        <f>SUM(Jan!D11, Feb!D11, Mar!D11)</f>
        <v>778421.83899999992</v>
      </c>
      <c r="E11" s="19">
        <f t="shared" si="3"/>
        <v>-3033.0357688249787</v>
      </c>
      <c r="F11" s="20">
        <f t="shared" si="1"/>
        <v>-3.8963908986949414E-3</v>
      </c>
      <c r="G11" s="21">
        <f>SUM(Jan!G11, Feb!G11, Mar!G11)</f>
        <v>1000099.6</v>
      </c>
      <c r="H11" s="21">
        <f>SUM(Jan!H11, Feb!H11, Mar!H11)</f>
        <v>-224710.79676882501</v>
      </c>
      <c r="I11" s="20">
        <f t="shared" si="2"/>
        <v>-0.22468841780241189</v>
      </c>
    </row>
    <row r="12" spans="1:9" ht="15.6">
      <c r="A12" s="13" t="str">
        <v>Callands Gretna - Monroe</v>
      </c>
      <c r="B12" s="10" t="str">
        <v>VA</v>
      </c>
      <c r="C12" s="25">
        <f>SUM(Jan!C12, Feb!C12, Mar!C12)</f>
        <v>665821</v>
      </c>
      <c r="D12" s="14">
        <f>SUM(Jan!D12, Feb!D12, Mar!D12)</f>
        <v>434615.08999999997</v>
      </c>
      <c r="E12" s="14">
        <f t="shared" si="3"/>
        <v>231205.91000000003</v>
      </c>
      <c r="F12" s="15">
        <f t="shared" si="1"/>
        <v>0.53197856061555537</v>
      </c>
      <c r="G12" s="16">
        <f>SUM(Jan!G12, Feb!G12, Mar!G12)</f>
        <v>723637.5</v>
      </c>
      <c r="H12" s="16">
        <f>SUM(Jan!H12, Feb!H12, Mar!H12)</f>
        <v>-57816.5</v>
      </c>
      <c r="I12" s="17">
        <f t="shared" si="2"/>
        <v>-7.9897047900364476E-2</v>
      </c>
    </row>
    <row r="13" spans="1:9" ht="15.6">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M11" sqref="M11"/>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Tortoise</v>
      </c>
      <c r="B1" s="75"/>
      <c r="C1" s="75"/>
      <c r="D1" s="76" t="s">
        <v>12</v>
      </c>
      <c r="E1" s="76"/>
      <c r="F1" s="76"/>
      <c r="G1" s="74" t="s">
        <v>13</v>
      </c>
      <c r="H1" s="74"/>
      <c r="I1" s="74"/>
    </row>
    <row r="2" spans="1:9" ht="19.5" customHeight="1">
      <c r="A2" s="77" t="s">
        <v>2</v>
      </c>
      <c r="B2" s="77"/>
      <c r="C2" s="6">
        <f>SUM(C4:C91)</f>
        <v>2153023.2556077414</v>
      </c>
      <c r="D2" s="6">
        <f>SUM(D4:D91)</f>
        <v>3627509.5827217912</v>
      </c>
      <c r="E2" s="6">
        <f>C2-D2</f>
        <v>-1474486.3271140498</v>
      </c>
      <c r="F2" s="7">
        <f>IFERROR(E2/D2, 0)</f>
        <v>-0.40647344782690109</v>
      </c>
      <c r="G2" s="6">
        <f>SUM(G4:G91)</f>
        <v>2716685.0119999996</v>
      </c>
      <c r="H2" s="8">
        <f>C2-G2</f>
        <v>-563661.75639225822</v>
      </c>
      <c r="I2" s="7">
        <f>IFERROR(H2/G2, 0)</f>
        <v>-0.20748145401564069</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210907.06801399146</v>
      </c>
      <c r="D4" s="14">
        <f>SUM(Apr!D4, May!D4, Jun!D4)</f>
        <v>366678.82261231216</v>
      </c>
      <c r="E4" s="14">
        <f>IF(AND(ISNUMBER(C4),ISNUMBER(D4)), C4-D4, "")</f>
        <v>-155771.75459832069</v>
      </c>
      <c r="F4" s="15">
        <f>IFERROR(E4/D4, "")</f>
        <v>-0.42481797418395623</v>
      </c>
      <c r="G4" s="16">
        <f>SUM(Apr!G4+May!G4+Jun!G4)</f>
        <v>410180.8499999998</v>
      </c>
      <c r="H4" s="16">
        <f>SUM(Apr!H4, May!H4, Jun!H4)</f>
        <v>-199273.78198600834</v>
      </c>
      <c r="I4" s="17">
        <f>IFERROR(H4/G4, "")</f>
        <v>-0.48581932088250446</v>
      </c>
    </row>
    <row r="5" spans="1:9" ht="15.6">
      <c r="A5" s="18" t="str">
        <v>San Luis Valley</v>
      </c>
      <c r="B5" s="11" t="str">
        <v>CO</v>
      </c>
      <c r="C5" s="12">
        <f>SUM(Apr!C5, May!C5, Jun!C5)</f>
        <v>712510.75</v>
      </c>
      <c r="D5" s="19">
        <f>SUM(Apr!D5, May!D5, Jun!D5)</f>
        <v>681959.40299999993</v>
      </c>
      <c r="E5" s="19">
        <f t="shared" ref="E5:E6" si="0">IF(AND(ISNUMBER(C5),ISNUMBER(D5)), C5-D5, "")</f>
        <v>30551.347000000067</v>
      </c>
      <c r="F5" s="20">
        <f>IFERROR(E5/D5, "")</f>
        <v>4.4799363225438316E-2</v>
      </c>
      <c r="G5" s="21">
        <f>SUM(Apr!G5+May!G5+Jun!G5)</f>
        <v>0</v>
      </c>
      <c r="H5" s="21">
        <f>SUM(Apr!H5, May!H5, Jun!H5)</f>
        <v>712510.75</v>
      </c>
      <c r="I5" s="20" t="str">
        <f>IFERROR(H5/G5, "")</f>
        <v/>
      </c>
    </row>
    <row r="6" spans="1:9" ht="15.6">
      <c r="A6" s="13" t="str">
        <v>Golden NREL 2</v>
      </c>
      <c r="B6" s="10" t="str">
        <v>CO</v>
      </c>
      <c r="C6" s="25">
        <f>SUM(Apr!C6, May!C6, Jun!C6)</f>
        <v>37323.751000000004</v>
      </c>
      <c r="D6" s="14">
        <f>SUM(Apr!D6, May!D6, Jun!D6)</f>
        <v>36197.906109479001</v>
      </c>
      <c r="E6" s="14">
        <f t="shared" si="0"/>
        <v>1125.8448905210025</v>
      </c>
      <c r="F6" s="15">
        <f t="shared" ref="F6:F13" si="1">IFERROR(E6/D6, "")</f>
        <v>3.1102486622180115E-2</v>
      </c>
      <c r="G6" s="16">
        <f>SUM(Apr!G6+May!G6+Jun!G6)</f>
        <v>41511.161999999997</v>
      </c>
      <c r="H6" s="16">
        <f>SUM(Apr!H6, May!H6, Jun!H6)</f>
        <v>-4187.4110000000019</v>
      </c>
      <c r="I6" s="17">
        <f t="shared" ref="I6:I13" si="2">IFERROR(H6/G6, "")</f>
        <v>-0.10087433832856817</v>
      </c>
    </row>
    <row r="7" spans="1:9" ht="15.6">
      <c r="A7" s="18" t="str">
        <v>Golden NREL Wind 3</v>
      </c>
      <c r="B7" s="11" t="str">
        <v>CO</v>
      </c>
      <c r="C7" s="12">
        <f>SUM(Apr!C7, May!C7, Jun!C7)</f>
        <v>258061.68659375</v>
      </c>
      <c r="D7" s="19">
        <f>SUM(Apr!D7, May!D7, Jun!D7)</f>
        <v>452051.451</v>
      </c>
      <c r="E7" s="19">
        <f t="shared" ref="E7:E13" si="3">IF(AND(ISNUMBER(C7),ISNUMBER(D7)), C7-D7, "")</f>
        <v>-193989.76440625</v>
      </c>
      <c r="F7" s="20">
        <f t="shared" si="1"/>
        <v>-0.42913204675511596</v>
      </c>
      <c r="G7" s="21">
        <f>SUM(Apr!G7+May!G7+Jun!G7)</f>
        <v>0</v>
      </c>
      <c r="H7" s="21">
        <f>SUM(Apr!H7, May!H7, Jun!H7)</f>
        <v>258061.68659375</v>
      </c>
      <c r="I7" s="20" t="str">
        <f t="shared" si="2"/>
        <v/>
      </c>
    </row>
    <row r="8" spans="1:9" ht="15.6">
      <c r="A8" s="13" t="str">
        <v>Pratt Solar Farm</v>
      </c>
      <c r="B8" s="10" t="str">
        <v>KS</v>
      </c>
      <c r="C8" s="25">
        <f>SUM(Apr!C8, May!C8, Jun!C8)</f>
        <v>934220</v>
      </c>
      <c r="D8" s="14">
        <f>SUM(Apr!D8, May!D8, Jun!D8)</f>
        <v>2090622</v>
      </c>
      <c r="E8" s="14">
        <f t="shared" si="3"/>
        <v>-1156402</v>
      </c>
      <c r="F8" s="15">
        <f t="shared" si="1"/>
        <v>-0.5531377743083159</v>
      </c>
      <c r="G8" s="16">
        <f>SUM(Apr!G8+May!G8+Jun!G8)</f>
        <v>2264993</v>
      </c>
      <c r="H8" s="16">
        <f>SUM(Apr!H8, May!H8, Jun!H8)</f>
        <v>-1330773</v>
      </c>
      <c r="I8" s="17">
        <f t="shared" si="2"/>
        <v>-0.58753956413993336</v>
      </c>
    </row>
    <row r="9" spans="1:9" ht="12.75" customHeight="1">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Tortoise</v>
      </c>
      <c r="B1" s="75"/>
      <c r="C1" s="75"/>
      <c r="D1" s="76" t="s">
        <v>14</v>
      </c>
      <c r="E1" s="76"/>
      <c r="F1" s="76"/>
      <c r="G1" s="74" t="s">
        <v>15</v>
      </c>
      <c r="H1" s="74"/>
      <c r="I1" s="74"/>
    </row>
    <row r="2" spans="1:9" ht="19.5" customHeight="1">
      <c r="A2" s="77" t="s">
        <v>2</v>
      </c>
      <c r="B2" s="77"/>
      <c r="C2" s="6">
        <f>SUM(C4:C91)</f>
        <v>408649.72000000003</v>
      </c>
      <c r="D2" s="6">
        <f>SUM(D4:D91)</f>
        <v>487259.32651704602</v>
      </c>
      <c r="E2" s="6">
        <f>C2-D2</f>
        <v>-78609.606517045991</v>
      </c>
      <c r="F2" s="7">
        <f>IFERROR(E2/D2, 0)</f>
        <v>-0.16133012184487341</v>
      </c>
      <c r="G2" s="6">
        <f>SUM(G4:G91)</f>
        <v>585527.51</v>
      </c>
      <c r="H2" s="8">
        <f>C2-G2</f>
        <v>-176877.78999999998</v>
      </c>
      <c r="I2" s="7">
        <f>IFERROR(H2/G2, 0)</f>
        <v>-0.30208280051606795</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111918</v>
      </c>
      <c r="D4" s="14">
        <f>SUM(Jul!D4, Aug!D4, Sep!D4)</f>
        <v>114821.173517046</v>
      </c>
      <c r="E4" s="14">
        <f>IF(AND(ISNUMBER(C4),ISNUMBER(D4)), C4-D4, "")</f>
        <v>-2903.1735170460015</v>
      </c>
      <c r="F4" s="15">
        <f>IFERROR(E4/D4, "")</f>
        <v>-2.5284304524330656E-2</v>
      </c>
      <c r="G4" s="16">
        <f>SUM(Jul!G4,Aug!G4,Sep!G4)</f>
        <v>134380.51</v>
      </c>
      <c r="H4" s="16">
        <f>SUM(Jul!H4, Aug!H4, Sep!H4)</f>
        <v>-22462.510000000009</v>
      </c>
      <c r="I4" s="17">
        <f>IFERROR(H4/G4, "")</f>
        <v>-0.16715601094236068</v>
      </c>
    </row>
    <row r="5" spans="1:9" ht="15.6">
      <c r="A5" s="18" t="str">
        <v>San Luis Valley</v>
      </c>
      <c r="B5" s="11" t="str">
        <v>CO</v>
      </c>
      <c r="C5" s="12">
        <f>SUM(Jul!C5, Aug!C5, Sep!C5)</f>
        <v>241428.75</v>
      </c>
      <c r="D5" s="19">
        <f>SUM(Jul!D5, Aug!D5, Sep!D5)</f>
        <v>210534.98499999999</v>
      </c>
      <c r="E5" s="19">
        <f t="shared" ref="E5:E6" si="0">IF(AND(ISNUMBER(C5),ISNUMBER(D5)), C5-D5, "")</f>
        <v>30893.765000000014</v>
      </c>
      <c r="F5" s="20">
        <f>IFERROR(E5/D5, "")</f>
        <v>0.14673934120735332</v>
      </c>
      <c r="G5" s="57">
        <f>SUM(Jul!G5,Aug!G5,Sep!G5)</f>
        <v>268540</v>
      </c>
      <c r="H5" s="21">
        <f>SUM(Jul!H5, Aug!H5, Sep!H5)</f>
        <v>-27111.25</v>
      </c>
      <c r="I5" s="20">
        <f>IFERROR(H5/G5, "")</f>
        <v>-0.10095795784613093</v>
      </c>
    </row>
    <row r="6" spans="1:9" ht="15.6">
      <c r="A6" s="13" t="str">
        <v>Golden NREL 2</v>
      </c>
      <c r="B6" s="10" t="str">
        <v>CO</v>
      </c>
      <c r="C6" s="25">
        <f>SUM(Jul!C6, Aug!C6, Sep!C6)</f>
        <v>12760.89</v>
      </c>
      <c r="D6" s="14">
        <f>SUM(Jul!D6, Aug!D6, Sep!D6)</f>
        <v>13409.368</v>
      </c>
      <c r="E6" s="14">
        <f t="shared" si="0"/>
        <v>-648.47800000000097</v>
      </c>
      <c r="F6" s="15">
        <f t="shared" ref="F6:F13" si="1">IFERROR(E6/D6, "")</f>
        <v>-4.8360071854244062E-2</v>
      </c>
      <c r="G6" s="16">
        <f>SUM(Jul!G6,Aug!G6,Sep!G6)</f>
        <v>15123</v>
      </c>
      <c r="H6" s="16">
        <f>SUM(Jul!H6, Aug!H6, Sep!H6)</f>
        <v>-2362.1100000000006</v>
      </c>
      <c r="I6" s="17">
        <f t="shared" ref="I6:I13" si="2">IFERROR(H6/G6, "")</f>
        <v>-0.15619321563181912</v>
      </c>
    </row>
    <row r="7" spans="1:9" ht="15.6">
      <c r="A7" s="18" t="str">
        <v>Golden NREL Wind 3</v>
      </c>
      <c r="B7" s="11" t="str">
        <v>CO</v>
      </c>
      <c r="C7" s="12">
        <f>SUM(Jul!C7, Aug!C7, Sep!C7)</f>
        <v>42542.080000000002</v>
      </c>
      <c r="D7" s="19">
        <f>SUM(Jul!D7, Aug!D7, Sep!D7)</f>
        <v>148493.79999999999</v>
      </c>
      <c r="E7" s="19">
        <f t="shared" ref="E7:E13" si="3">IF(AND(ISNUMBER(C7),ISNUMBER(D7)), C7-D7, "")</f>
        <v>-105951.71999999999</v>
      </c>
      <c r="F7" s="20">
        <f t="shared" si="1"/>
        <v>-0.71350938557704091</v>
      </c>
      <c r="G7" s="57">
        <f>SUM(Jul!G7,Aug!G7,Sep!G7)</f>
        <v>167484</v>
      </c>
      <c r="H7" s="21">
        <f>SUM(Jul!H7, Aug!H7, Sep!H7)</f>
        <v>-124941.92</v>
      </c>
      <c r="I7" s="20">
        <f t="shared" si="2"/>
        <v>-0.74599316949678773</v>
      </c>
    </row>
    <row r="8" spans="1:9" ht="15.6">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customHeight="1">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5" stopIfTrue="1" operator="lessThanOrEqual">
      <formula>-0.1</formula>
    </cfRule>
    <cfRule type="expression" dxfId="43"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7"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5" t="str" cm="1">
        <f t="array" ref="A1">portfolio</f>
        <v>Tortoise</v>
      </c>
      <c r="B1" s="75"/>
      <c r="C1" s="75"/>
      <c r="D1" s="76" t="s">
        <v>16</v>
      </c>
      <c r="E1" s="76"/>
      <c r="F1" s="76"/>
      <c r="G1" s="74" t="s">
        <v>17</v>
      </c>
      <c r="H1" s="74"/>
      <c r="I1" s="74"/>
    </row>
    <row r="2" spans="1:9" ht="19.5" customHeight="1">
      <c r="A2" s="77" t="s">
        <v>2</v>
      </c>
      <c r="B2" s="77"/>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5.6">
      <c r="A5" s="18" t="str">
        <v>San Luis Valley</v>
      </c>
      <c r="B5" s="11" t="str">
        <v>CO</v>
      </c>
      <c r="C5" s="12">
        <f>SUM(Oct!C5, Nov!C5, Dec!C5)</f>
        <v>0</v>
      </c>
      <c r="D5" s="19">
        <f>SUM(Oct!D5, Nov!D5, Dec!D5)</f>
        <v>0</v>
      </c>
      <c r="E5" s="19">
        <f t="shared" ref="E5:E6" si="0">IF(AND(ISNUMBER(C5),ISNUMBER(D5)), C5-D5, "")</f>
        <v>0</v>
      </c>
      <c r="F5" s="20" t="str">
        <f>IFERROR(E5/D5, "")</f>
        <v/>
      </c>
      <c r="G5" s="21">
        <f>SUM(Oct!G5,Nov!G5,Dec!G5)</f>
        <v>0</v>
      </c>
      <c r="H5" s="21">
        <f>SUM(Oct!H5, Nov!H5, Dec!H5)</f>
        <v>0</v>
      </c>
      <c r="I5" s="20" t="str">
        <f>IFERROR(H5/G5, "")</f>
        <v/>
      </c>
    </row>
    <row r="6" spans="1:9" ht="15.6">
      <c r="A6" s="13" t="str">
        <v>Golden NREL 2</v>
      </c>
      <c r="B6" s="10" t="str">
        <v>CO</v>
      </c>
      <c r="C6" s="25">
        <f>SUM(Oct!C6, Nov!C6, Dec!C6)</f>
        <v>0</v>
      </c>
      <c r="D6" s="14">
        <f>SUM(Oct!D6, Nov!D6, Dec!D6)</f>
        <v>0</v>
      </c>
      <c r="E6" s="14">
        <f t="shared" si="0"/>
        <v>0</v>
      </c>
      <c r="F6" s="15" t="str">
        <f t="shared" ref="F6:F13" si="1">IFERROR(E6/D6, "")</f>
        <v/>
      </c>
      <c r="G6" s="16">
        <f>SUM(Oct!G6,Nov!G6,Dec!G6)</f>
        <v>0</v>
      </c>
      <c r="H6" s="16">
        <f>SUM(Oct!H6, Nov!H6, Dec!H6)</f>
        <v>0</v>
      </c>
      <c r="I6" s="17" t="str">
        <f t="shared" ref="I6:I13" si="2">IFERROR(H6/G6, "")</f>
        <v/>
      </c>
    </row>
    <row r="7" spans="1:9" ht="15.6">
      <c r="A7" s="18" t="str">
        <v>Golden NREL Wind 3</v>
      </c>
      <c r="B7" s="11" t="str">
        <v>CO</v>
      </c>
      <c r="C7" s="12">
        <f>SUM(Oct!C7, Nov!C7, Dec!C7)</f>
        <v>0</v>
      </c>
      <c r="D7" s="19">
        <f>SUM(Oct!D7, Nov!D7, Dec!D7)</f>
        <v>0</v>
      </c>
      <c r="E7" s="19">
        <f t="shared" ref="E7:E13" si="3">IF(AND(ISNUMBER(C7),ISNUMBER(D7)), C7-D7, "")</f>
        <v>0</v>
      </c>
      <c r="F7" s="20" t="str">
        <f t="shared" si="1"/>
        <v/>
      </c>
      <c r="G7" s="21">
        <f>SUM(Oct!G7,Nov!G7,Dec!G7)</f>
        <v>0</v>
      </c>
      <c r="H7" s="21">
        <f>SUM(Oct!H7, Nov!H7, Dec!H7)</f>
        <v>0</v>
      </c>
      <c r="I7" s="20" t="str">
        <f t="shared" si="2"/>
        <v/>
      </c>
    </row>
    <row r="8" spans="1:9" ht="15.6">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customHeight="1">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zoomScale="80" zoomScaleNormal="80" workbookViewId="0">
      <pane xSplit="2" ySplit="3" topLeftCell="I4" activePane="bottomRight" state="frozen"/>
      <selection pane="bottomRight" activeCell="I21" sqref="I21"/>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5" t="str" cm="1">
        <f t="array" ref="A1">portfolio</f>
        <v>Tortoise</v>
      </c>
      <c r="B1" s="75"/>
      <c r="C1" s="75"/>
      <c r="D1" s="76" t="s">
        <v>18</v>
      </c>
      <c r="E1" s="76"/>
      <c r="F1" s="76"/>
      <c r="G1" s="74" t="s">
        <v>19</v>
      </c>
      <c r="H1" s="74"/>
      <c r="I1" s="74"/>
      <c r="J1" s="5"/>
      <c r="K1" s="5"/>
    </row>
    <row r="2" spans="1:13" ht="19.5" customHeight="1">
      <c r="A2" s="77" t="s">
        <v>2</v>
      </c>
      <c r="B2" s="77"/>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c r="A3" s="28" t="s">
        <v>3</v>
      </c>
      <c r="B3" s="9" t="s">
        <v>4</v>
      </c>
      <c r="C3" s="24" t="s">
        <v>5</v>
      </c>
      <c r="D3" s="35" t="s">
        <v>6</v>
      </c>
      <c r="E3" s="35" t="s">
        <v>7</v>
      </c>
      <c r="F3" s="36" t="s">
        <v>8</v>
      </c>
      <c r="G3" s="40" t="s">
        <v>9</v>
      </c>
      <c r="H3" s="38" t="s">
        <v>7</v>
      </c>
      <c r="I3" s="39" t="s">
        <v>8</v>
      </c>
      <c r="J3" s="58" t="s">
        <v>20</v>
      </c>
      <c r="K3" s="58" t="s">
        <v>21</v>
      </c>
    </row>
    <row r="4" spans="1:13" ht="57.6">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1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6">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9">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1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5">
      <c r="A14" s="22"/>
      <c r="B14" s="33"/>
      <c r="C14" s="22"/>
      <c r="D14" s="22"/>
      <c r="E14" s="22"/>
      <c r="F14" s="22"/>
      <c r="G14" s="22"/>
      <c r="H14" s="22"/>
      <c r="I14" s="22"/>
      <c r="J14" s="22"/>
      <c r="K14" s="22"/>
      <c r="L14" s="62"/>
      <c r="M14" s="62"/>
    </row>
    <row r="15" spans="1:13" ht="14.45">
      <c r="A15" s="22"/>
      <c r="B15" s="33"/>
      <c r="C15" s="22"/>
      <c r="D15" s="22"/>
      <c r="E15" s="22"/>
      <c r="F15" s="23"/>
      <c r="G15" s="22"/>
      <c r="H15" s="22"/>
      <c r="I15" s="23"/>
      <c r="J15" s="22"/>
      <c r="K15" s="22"/>
    </row>
    <row r="16" spans="1:13"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U333"/>
  <sheetViews>
    <sheetView zoomScale="84" zoomScaleNormal="60" workbookViewId="0">
      <pane xSplit="2" ySplit="3" topLeftCell="F4" activePane="bottomRight" state="frozen"/>
      <selection pane="bottomRight" activeCell="N21" sqref="N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75" t="str" cm="1">
        <f t="array" ref="A1">portfolio</f>
        <v>Tortoise</v>
      </c>
      <c r="B1" s="75"/>
      <c r="C1" s="75"/>
      <c r="D1" s="76" t="s">
        <v>45</v>
      </c>
      <c r="E1" s="76"/>
      <c r="F1" s="76"/>
      <c r="G1" s="74" t="s">
        <v>46</v>
      </c>
      <c r="H1" s="74"/>
      <c r="I1" s="74"/>
      <c r="J1" s="5"/>
      <c r="K1" s="5"/>
    </row>
    <row r="2" spans="1:21" ht="19.5" customHeight="1">
      <c r="A2" s="77" t="s">
        <v>2</v>
      </c>
      <c r="B2" s="77"/>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21" ht="14.25" customHeight="1">
      <c r="A3" s="9" t="s">
        <v>3</v>
      </c>
      <c r="B3" s="9" t="s">
        <v>4</v>
      </c>
      <c r="C3" s="24" t="s">
        <v>5</v>
      </c>
      <c r="D3" s="35" t="s">
        <v>6</v>
      </c>
      <c r="E3" s="35" t="s">
        <v>7</v>
      </c>
      <c r="F3" s="36" t="s">
        <v>8</v>
      </c>
      <c r="G3" s="37" t="s">
        <v>9</v>
      </c>
      <c r="H3" s="38" t="s">
        <v>7</v>
      </c>
      <c r="I3" s="39" t="s">
        <v>8</v>
      </c>
      <c r="J3" s="26" t="s">
        <v>20</v>
      </c>
      <c r="K3" s="26" t="s">
        <v>21</v>
      </c>
    </row>
    <row r="4" spans="1:21" ht="43.15">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c r="L4" s="62"/>
      <c r="M4" s="62"/>
      <c r="N4" s="62"/>
      <c r="O4" s="62"/>
      <c r="P4" s="62"/>
      <c r="Q4" s="62"/>
      <c r="R4" s="62"/>
      <c r="S4" s="62"/>
      <c r="T4" s="62"/>
      <c r="U4" s="62"/>
    </row>
    <row r="5" spans="1:21" ht="15.6">
      <c r="A5" s="30" t="str">
        <v>San Luis Valley</v>
      </c>
      <c r="B5" s="31" t="str">
        <v>CO</v>
      </c>
      <c r="C5" s="12">
        <v>194848</v>
      </c>
      <c r="D5" s="12">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c r="L5" s="62"/>
      <c r="M5" s="62"/>
      <c r="N5" s="62"/>
      <c r="O5" s="62"/>
      <c r="P5" s="62"/>
      <c r="Q5" s="62"/>
      <c r="R5" s="62"/>
      <c r="S5" s="62"/>
      <c r="T5" s="62"/>
      <c r="U5" s="62"/>
    </row>
    <row r="6" spans="1:21" ht="15.6">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c r="L6" s="62"/>
      <c r="M6" s="62"/>
      <c r="N6" s="62"/>
      <c r="O6" s="62"/>
      <c r="P6" s="62"/>
      <c r="Q6" s="62"/>
      <c r="R6" s="62"/>
      <c r="S6" s="62"/>
      <c r="T6" s="62"/>
      <c r="U6" s="62"/>
    </row>
    <row r="7" spans="1:21" ht="28.9">
      <c r="A7" s="30" t="str">
        <v>Golden NREL Wind 3</v>
      </c>
      <c r="B7" s="31" t="str">
        <v>CO</v>
      </c>
      <c r="C7" s="12">
        <v>55115.14286</v>
      </c>
      <c r="D7" s="12">
        <v>83777.100000000006</v>
      </c>
      <c r="E7" s="19">
        <f t="shared" si="2"/>
        <v>-28661.957140000006</v>
      </c>
      <c r="F7" s="20">
        <f t="shared" si="3"/>
        <v>-0.34212161963114029</v>
      </c>
      <c r="G7" s="44">
        <v>0</v>
      </c>
      <c r="H7" s="21">
        <f t="shared" si="0"/>
        <v>55115.14286</v>
      </c>
      <c r="I7" s="20" t="str">
        <f t="shared" si="1"/>
        <v/>
      </c>
      <c r="J7" s="49" t="s">
        <v>50</v>
      </c>
      <c r="K7" s="60" t="s">
        <v>29</v>
      </c>
      <c r="L7" s="62"/>
      <c r="M7" s="62"/>
      <c r="N7" s="62"/>
      <c r="O7" s="62"/>
      <c r="P7" s="62"/>
      <c r="Q7" s="62"/>
      <c r="R7" s="62"/>
      <c r="S7" s="62"/>
      <c r="T7" s="62"/>
      <c r="U7" s="62"/>
    </row>
    <row r="8" spans="1:21" ht="28.9">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c r="L8" s="62"/>
      <c r="M8" s="62"/>
      <c r="N8" s="62"/>
      <c r="O8" s="62"/>
      <c r="P8" s="62"/>
      <c r="Q8" s="62"/>
      <c r="R8" s="62"/>
      <c r="S8" s="62"/>
      <c r="T8" s="62"/>
      <c r="U8" s="62"/>
    </row>
    <row r="9" spans="1:21" ht="326.25" customHeight="1">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1" t="s">
        <v>54</v>
      </c>
      <c r="M9" s="61" t="s">
        <v>55</v>
      </c>
      <c r="N9" s="61" t="s">
        <v>56</v>
      </c>
      <c r="O9" s="61" t="s">
        <v>57</v>
      </c>
      <c r="P9" s="61" t="s">
        <v>58</v>
      </c>
      <c r="Q9" s="61" t="s">
        <v>34</v>
      </c>
      <c r="R9" s="61" t="s">
        <v>59</v>
      </c>
      <c r="S9" s="61" t="s">
        <v>60</v>
      </c>
      <c r="T9" s="62"/>
      <c r="U9" s="62"/>
    </row>
    <row r="10" spans="1:21" ht="115.15">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1" t="s">
        <v>63</v>
      </c>
      <c r="M10" s="62"/>
      <c r="N10" s="62"/>
      <c r="O10" s="62"/>
      <c r="P10" s="62"/>
      <c r="Q10" s="62"/>
      <c r="R10" s="62"/>
      <c r="S10" s="62"/>
      <c r="T10" s="62"/>
      <c r="U10" s="62"/>
    </row>
    <row r="11" spans="1:21" ht="143.25" customHeight="1">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1" t="s">
        <v>66</v>
      </c>
      <c r="M11" s="61" t="s">
        <v>67</v>
      </c>
      <c r="N11" s="61" t="s">
        <v>68</v>
      </c>
      <c r="O11" s="62"/>
      <c r="P11" s="62"/>
      <c r="Q11" s="62"/>
      <c r="R11" s="62"/>
      <c r="S11" s="62"/>
      <c r="T11" s="62"/>
      <c r="U11" s="62"/>
    </row>
    <row r="12" spans="1:21" ht="57.6">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1" t="s">
        <v>71</v>
      </c>
      <c r="M12" s="61" t="s">
        <v>72</v>
      </c>
      <c r="N12" s="62"/>
      <c r="O12" s="62"/>
      <c r="P12" s="62"/>
      <c r="Q12" s="62"/>
      <c r="R12" s="62"/>
      <c r="S12" s="62"/>
      <c r="T12" s="62"/>
      <c r="U12" s="62"/>
    </row>
    <row r="13" spans="1:21" ht="15.6">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7" t="s">
        <v>44</v>
      </c>
      <c r="L13" s="62"/>
      <c r="M13" s="62"/>
      <c r="N13" s="62"/>
      <c r="O13" s="62"/>
      <c r="P13" s="62"/>
      <c r="Q13" s="62"/>
      <c r="R13" s="62"/>
      <c r="S13" s="62"/>
      <c r="T13" s="62"/>
      <c r="U13" s="62"/>
    </row>
    <row r="14" spans="1:21" ht="14.45">
      <c r="A14" s="22"/>
      <c r="B14" s="33"/>
      <c r="C14" s="22"/>
      <c r="D14" s="22"/>
      <c r="E14" s="22"/>
      <c r="F14" s="22"/>
      <c r="G14" s="22"/>
      <c r="H14" s="22"/>
      <c r="I14" s="22"/>
      <c r="J14" s="22"/>
      <c r="K14" s="22"/>
    </row>
    <row r="15" spans="1:21" ht="14.45">
      <c r="A15" s="22"/>
      <c r="B15" s="33"/>
      <c r="C15" s="22"/>
      <c r="D15" s="22"/>
      <c r="E15" s="22"/>
      <c r="F15" s="22"/>
      <c r="G15" s="22"/>
      <c r="H15" s="22"/>
      <c r="I15" s="22"/>
      <c r="J15" s="22"/>
      <c r="K15" s="22"/>
    </row>
    <row r="16" spans="1:2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4"/>
  <sheetViews>
    <sheetView zoomScale="50" zoomScaleNormal="50" workbookViewId="0">
      <pane xSplit="2" ySplit="3" topLeftCell="C4" activePane="bottomRight" state="frozen"/>
      <selection pane="bottomRight" activeCell="J8" sqref="J8"/>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75" t="str" cm="1">
        <f t="array" ref="A1">portfolio</f>
        <v>Tortoise</v>
      </c>
      <c r="B1" s="75"/>
      <c r="C1" s="75"/>
      <c r="D1" s="76" t="s">
        <v>73</v>
      </c>
      <c r="E1" s="76"/>
      <c r="F1" s="76"/>
      <c r="G1" s="74" t="s">
        <v>74</v>
      </c>
      <c r="H1" s="74"/>
      <c r="I1" s="74"/>
      <c r="J1" s="5"/>
      <c r="K1" s="5"/>
    </row>
    <row r="2" spans="1:16" ht="19.5" customHeight="1">
      <c r="A2" s="77" t="s">
        <v>2</v>
      </c>
      <c r="B2" s="77"/>
      <c r="C2" s="6">
        <f>SUM(C4:C92)</f>
        <v>1981366.7590000001</v>
      </c>
      <c r="D2" s="6">
        <f>SUM(D4:D92)</f>
        <v>2895417.324978</v>
      </c>
      <c r="E2" s="6">
        <f>C2-D2</f>
        <v>-914050.56597799994</v>
      </c>
      <c r="F2" s="7">
        <f>IFERROR(E2/D2, 0)</f>
        <v>-0.31568871198383985</v>
      </c>
      <c r="G2" s="6">
        <f>SUM(G4:G92)</f>
        <v>2260598.98</v>
      </c>
      <c r="H2" s="8">
        <f>C2-G2</f>
        <v>-279232.2209999999</v>
      </c>
      <c r="I2" s="7">
        <f>IFERROR(H2/G2, 0)</f>
        <v>-0.12352134256028015</v>
      </c>
      <c r="J2" s="27"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4" t="s">
        <v>5</v>
      </c>
      <c r="D3" s="35" t="s">
        <v>6</v>
      </c>
      <c r="E3" s="35" t="s">
        <v>7</v>
      </c>
      <c r="F3" s="36" t="s">
        <v>8</v>
      </c>
      <c r="G3" s="37" t="s">
        <v>9</v>
      </c>
      <c r="H3" s="38" t="s">
        <v>7</v>
      </c>
      <c r="I3" s="39" t="s">
        <v>8</v>
      </c>
      <c r="J3" s="26" t="s">
        <v>20</v>
      </c>
      <c r="K3" s="26" t="s">
        <v>21</v>
      </c>
    </row>
    <row r="4" spans="1:16" ht="43.15">
      <c r="A4" s="32" t="str" cm="1">
        <f t="array" ref="A4:A13">Sites[Site]</f>
        <v>Alamosa School District</v>
      </c>
      <c r="B4" s="29" t="str" cm="1">
        <f t="array" ref="B4:B13">Sites[State]</f>
        <v>CO</v>
      </c>
      <c r="C4" s="46">
        <v>80070</v>
      </c>
      <c r="D4" s="14">
        <v>104138.30250000001</v>
      </c>
      <c r="E4" s="14">
        <f>IF(AND(ISNUMBER(C4),ISNUMBER(D4)), C4-D4, "")</f>
        <v>-24068.302500000005</v>
      </c>
      <c r="F4" s="15">
        <f>IFERROR(E4/D4, "")</f>
        <v>-0.23111863668029353</v>
      </c>
      <c r="G4" s="47">
        <v>120278</v>
      </c>
      <c r="H4" s="16">
        <f>IF(AND(ISNUMBER(C4),ISNUMBER(G4)), C4-G4, "")</f>
        <v>-40208</v>
      </c>
      <c r="I4" s="17">
        <f>IFERROR(H4/G4, "")</f>
        <v>-0.33429222301667805</v>
      </c>
      <c r="J4" s="41" t="s">
        <v>75</v>
      </c>
      <c r="K4" s="68" t="s">
        <v>76</v>
      </c>
      <c r="L4" s="62"/>
      <c r="M4" s="62"/>
      <c r="N4" s="62"/>
      <c r="O4" s="62"/>
      <c r="P4" s="62"/>
    </row>
    <row r="5" spans="1:16" ht="15.6">
      <c r="A5" s="30" t="str">
        <v>San Luis Valley</v>
      </c>
      <c r="B5" s="31" t="str">
        <v>CO</v>
      </c>
      <c r="C5" s="12">
        <v>207987.875</v>
      </c>
      <c r="D5" s="19">
        <v>208017.3</v>
      </c>
      <c r="E5" s="19">
        <f t="shared" ref="E5:E13" si="0">IF(AND(ISNUMBER(C5),ISNUMBER(D5)), C5-D5, "")</f>
        <v>-29.424999999988358</v>
      </c>
      <c r="F5" s="20">
        <f>IFERROR(E5/D5, "")</f>
        <v>-1.4145458094104847E-4</v>
      </c>
      <c r="G5" s="21">
        <v>0</v>
      </c>
      <c r="H5" s="21">
        <f t="shared" ref="H5:H13" si="1">IF(AND(ISNUMBER(C5),ISNUMBER(G5)), C5-G5, "")</f>
        <v>207987.875</v>
      </c>
      <c r="I5" s="20" t="str">
        <f t="shared" ref="I5:I13" si="2">IFERROR(H5/G5, "")</f>
        <v/>
      </c>
      <c r="J5" s="48" t="s">
        <v>77</v>
      </c>
      <c r="K5" s="60" t="s">
        <v>78</v>
      </c>
      <c r="L5" s="62"/>
      <c r="M5" s="62"/>
      <c r="N5" s="62"/>
      <c r="O5" s="62"/>
      <c r="P5" s="62"/>
    </row>
    <row r="6" spans="1:16" ht="15.6">
      <c r="A6" s="32" t="str">
        <v>Golden NREL 2</v>
      </c>
      <c r="B6" s="29" t="str">
        <v>CO</v>
      </c>
      <c r="C6" s="46">
        <v>11434</v>
      </c>
      <c r="D6" s="14">
        <v>9772.5194780000002</v>
      </c>
      <c r="E6" s="14">
        <f t="shared" si="0"/>
        <v>1661.4805219999998</v>
      </c>
      <c r="F6" s="15">
        <f t="shared" ref="F6:F13" si="3">IFERROR(E6/D6, "")</f>
        <v>0.17001557538364007</v>
      </c>
      <c r="G6" s="47">
        <v>12031.3</v>
      </c>
      <c r="H6" s="16">
        <f t="shared" si="1"/>
        <v>-597.29999999999927</v>
      </c>
      <c r="I6" s="17">
        <f t="shared" si="2"/>
        <v>-4.9645507966720077E-2</v>
      </c>
      <c r="J6" s="41"/>
      <c r="K6" s="41"/>
      <c r="L6" s="62"/>
      <c r="M6" s="62"/>
      <c r="N6" s="62"/>
      <c r="O6" s="62"/>
      <c r="P6" s="62"/>
    </row>
    <row r="7" spans="1:16" ht="28.9">
      <c r="A7" s="30" t="str">
        <v>Golden NREL Wind 3</v>
      </c>
      <c r="B7" s="31" t="str">
        <v>CO</v>
      </c>
      <c r="C7" s="12">
        <v>92902.983999999997</v>
      </c>
      <c r="D7" s="19">
        <v>121657.755</v>
      </c>
      <c r="E7" s="19">
        <f t="shared" si="0"/>
        <v>-28754.771000000008</v>
      </c>
      <c r="F7" s="20">
        <f t="shared" si="3"/>
        <v>-0.23635789596807871</v>
      </c>
      <c r="G7" s="21">
        <v>0</v>
      </c>
      <c r="H7" s="21">
        <f t="shared" si="1"/>
        <v>92902.983999999997</v>
      </c>
      <c r="I7" s="20" t="str">
        <f t="shared" si="2"/>
        <v/>
      </c>
      <c r="J7" s="48" t="s">
        <v>50</v>
      </c>
      <c r="K7" s="60" t="s">
        <v>79</v>
      </c>
      <c r="L7" s="62"/>
      <c r="M7" s="62"/>
      <c r="N7" s="62"/>
      <c r="O7" s="62"/>
      <c r="P7" s="62"/>
    </row>
    <row r="8" spans="1:16" ht="158.44999999999999">
      <c r="A8" s="51" t="str">
        <v>Pratt Solar Farm</v>
      </c>
      <c r="B8" s="29" t="str">
        <v>KS</v>
      </c>
      <c r="C8" s="46">
        <v>404790</v>
      </c>
      <c r="D8" s="14">
        <v>1218572.209</v>
      </c>
      <c r="E8" s="14">
        <f t="shared" si="0"/>
        <v>-813782.20900000003</v>
      </c>
      <c r="F8" s="15">
        <f t="shared" si="3"/>
        <v>-0.66781615647366199</v>
      </c>
      <c r="G8" s="47">
        <v>1038889.03</v>
      </c>
      <c r="H8" s="16">
        <f t="shared" si="1"/>
        <v>-634099.03</v>
      </c>
      <c r="I8" s="17">
        <f t="shared" si="2"/>
        <v>-0.61036261976892758</v>
      </c>
      <c r="J8" s="41" t="s">
        <v>80</v>
      </c>
      <c r="K8" s="68" t="s">
        <v>81</v>
      </c>
      <c r="L8" s="61" t="s">
        <v>82</v>
      </c>
      <c r="M8" s="61" t="s">
        <v>83</v>
      </c>
      <c r="N8" s="61" t="s">
        <v>84</v>
      </c>
      <c r="O8" s="62"/>
      <c r="P8" s="62"/>
    </row>
    <row r="9" spans="1:16" ht="288">
      <c r="A9" s="30" t="str">
        <v>Rochester - 5516 Valleyhigh NW</v>
      </c>
      <c r="B9" s="31" t="str">
        <v>MN</v>
      </c>
      <c r="C9" s="12">
        <v>572951</v>
      </c>
      <c r="D9" s="19">
        <v>659633.6</v>
      </c>
      <c r="E9" s="19">
        <f t="shared" si="0"/>
        <v>-86682.599999999977</v>
      </c>
      <c r="F9" s="20">
        <f t="shared" si="3"/>
        <v>-0.13141022531296159</v>
      </c>
      <c r="G9" s="21">
        <v>511275.9</v>
      </c>
      <c r="H9" s="21">
        <f t="shared" si="1"/>
        <v>61675.099999999977</v>
      </c>
      <c r="I9" s="20">
        <f t="shared" si="2"/>
        <v>0.12062978129812098</v>
      </c>
      <c r="J9" s="48" t="s">
        <v>85</v>
      </c>
      <c r="K9" s="60" t="s">
        <v>86</v>
      </c>
      <c r="L9" s="61" t="s">
        <v>58</v>
      </c>
      <c r="M9" s="61" t="s">
        <v>87</v>
      </c>
      <c r="N9" s="61" t="s">
        <v>88</v>
      </c>
      <c r="O9" s="61" t="s">
        <v>34</v>
      </c>
      <c r="P9" s="61" t="s">
        <v>89</v>
      </c>
    </row>
    <row r="10" spans="1:16" ht="106.5" customHeight="1">
      <c r="A10" s="32" t="str">
        <v>Warsaw - 2201 Richmond</v>
      </c>
      <c r="B10" s="29" t="str">
        <v>VA</v>
      </c>
      <c r="C10" s="46">
        <v>267551.8</v>
      </c>
      <c r="D10" s="14">
        <v>285336.5</v>
      </c>
      <c r="E10" s="14">
        <f t="shared" si="0"/>
        <v>-17784.700000000012</v>
      </c>
      <c r="F10" s="15">
        <f t="shared" si="3"/>
        <v>-6.2328864340874764E-2</v>
      </c>
      <c r="G10" s="47">
        <v>271029.34999999998</v>
      </c>
      <c r="H10" s="16">
        <f t="shared" si="1"/>
        <v>-3477.5499999999884</v>
      </c>
      <c r="I10" s="17">
        <f t="shared" si="2"/>
        <v>-1.2830898203460211E-2</v>
      </c>
      <c r="J10" s="41" t="s">
        <v>90</v>
      </c>
      <c r="K10" s="68" t="s">
        <v>91</v>
      </c>
      <c r="L10" s="61" t="s">
        <v>63</v>
      </c>
      <c r="M10" s="62"/>
      <c r="N10" s="62"/>
      <c r="O10" s="62"/>
      <c r="P10" s="62"/>
    </row>
    <row r="11" spans="1:16" ht="115.15">
      <c r="A11" s="30" t="str">
        <v>Mount Jackson - Randolf</v>
      </c>
      <c r="B11" s="31" t="str">
        <v>VA</v>
      </c>
      <c r="C11" s="12">
        <v>210393.1</v>
      </c>
      <c r="D11" s="19">
        <v>207885.139</v>
      </c>
      <c r="E11" s="19">
        <f t="shared" si="0"/>
        <v>2507.9610000000102</v>
      </c>
      <c r="F11" s="20">
        <f t="shared" si="3"/>
        <v>1.206416683782293E-2</v>
      </c>
      <c r="G11" s="21">
        <v>185857.9</v>
      </c>
      <c r="H11" s="21">
        <f t="shared" si="1"/>
        <v>24535.200000000012</v>
      </c>
      <c r="I11" s="20">
        <f t="shared" si="2"/>
        <v>0.13201053062581689</v>
      </c>
      <c r="J11" s="48" t="s">
        <v>92</v>
      </c>
      <c r="K11" s="60" t="s">
        <v>93</v>
      </c>
      <c r="L11" s="61" t="s">
        <v>94</v>
      </c>
      <c r="M11" s="61" t="s">
        <v>68</v>
      </c>
      <c r="N11" s="61" t="s">
        <v>66</v>
      </c>
      <c r="O11" s="61" t="s">
        <v>95</v>
      </c>
      <c r="P11" s="62"/>
    </row>
    <row r="12" spans="1:16" ht="144">
      <c r="A12" s="32" t="str">
        <v>Callands Gretna - Monroe</v>
      </c>
      <c r="B12" s="29" t="str">
        <v>VA</v>
      </c>
      <c r="C12" s="46">
        <v>133286</v>
      </c>
      <c r="D12" s="14">
        <v>80404</v>
      </c>
      <c r="E12" s="14">
        <f t="shared" si="0"/>
        <v>52882</v>
      </c>
      <c r="F12" s="15">
        <f t="shared" si="3"/>
        <v>0.65770359683597834</v>
      </c>
      <c r="G12" s="47">
        <v>121237.5</v>
      </c>
      <c r="H12" s="16">
        <f t="shared" si="1"/>
        <v>12048.5</v>
      </c>
      <c r="I12" s="17">
        <f t="shared" si="2"/>
        <v>9.9379317455407776E-2</v>
      </c>
      <c r="J12" s="41" t="s">
        <v>96</v>
      </c>
      <c r="K12" s="68" t="s">
        <v>97</v>
      </c>
      <c r="L12" s="61" t="s">
        <v>71</v>
      </c>
      <c r="M12" s="61" t="s">
        <v>72</v>
      </c>
      <c r="N12" s="62"/>
      <c r="O12" s="62"/>
      <c r="P12" s="62"/>
    </row>
    <row r="13" spans="1:16" ht="15.6">
      <c r="A13" s="30" t="str">
        <v>Rockbridge Baths - Small Mouth Bass</v>
      </c>
      <c r="B13" s="31" t="str">
        <v>VA</v>
      </c>
      <c r="C13" s="12">
        <v>0</v>
      </c>
      <c r="D13" s="19">
        <v>0</v>
      </c>
      <c r="E13" s="19">
        <f t="shared" si="0"/>
        <v>0</v>
      </c>
      <c r="F13" s="20" t="str">
        <f t="shared" si="3"/>
        <v/>
      </c>
      <c r="G13" s="21">
        <v>0</v>
      </c>
      <c r="H13" s="21">
        <f t="shared" si="1"/>
        <v>0</v>
      </c>
      <c r="I13" s="20" t="str">
        <f t="shared" si="2"/>
        <v/>
      </c>
      <c r="J13" s="48" t="s">
        <v>43</v>
      </c>
      <c r="K13" s="60" t="s">
        <v>98</v>
      </c>
      <c r="L13" s="62"/>
      <c r="M13" s="62"/>
      <c r="N13" s="62"/>
      <c r="O13" s="62"/>
      <c r="P13" s="62"/>
    </row>
    <row r="14" spans="1:16" ht="14.45">
      <c r="A14" s="22"/>
      <c r="B14" s="33"/>
      <c r="C14" s="22"/>
      <c r="D14" s="22"/>
      <c r="E14" s="22"/>
      <c r="F14" s="22"/>
      <c r="G14" s="22"/>
      <c r="H14" s="22"/>
      <c r="I14" s="22"/>
      <c r="J14" s="22"/>
      <c r="K14" s="22"/>
    </row>
    <row r="15" spans="1:16" ht="14.45">
      <c r="A15" s="22"/>
      <c r="B15" s="33"/>
      <c r="C15" s="22"/>
      <c r="D15" s="22"/>
      <c r="E15" s="22"/>
      <c r="F15" s="22"/>
      <c r="G15" s="22"/>
      <c r="H15" s="22"/>
      <c r="I15" s="22"/>
      <c r="J15" s="22"/>
      <c r="K15" s="22"/>
    </row>
    <row r="16" spans="1:16"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hyperlinks>
    <hyperlink ref="K4" r:id="rId1" display="https://us3.assetplanner.com/service_request?ID=095824" xr:uid="{4A3A61FD-E10A-4F3A-A7C2-FE60E5B2F84C}"/>
    <hyperlink ref="K5" r:id="rId2" display="https://us3.assetplanner.com/service_request?ID=098228" xr:uid="{4CAA1BC8-88E6-4D29-BB12-B0284BE659A2}"/>
    <hyperlink ref="K7" r:id="rId3" display="https://us3.assetplanner.com/service_request?ID=096263" xr:uid="{FC84A9D6-CC04-4775-95F0-F9B8D507F9F3}"/>
    <hyperlink ref="K8" r:id="rId4" display="https://us3.assetplanner.com/service_request?ID=093458" xr:uid="{9A4BD8B9-25B2-47D6-B136-77B34AFE3922}"/>
    <hyperlink ref="L8" r:id="rId5" display="https://us3.assetplanner.com/service_request?ID=099185" xr:uid="{264A05B3-86D6-4B1D-A539-ACC8DCBF8482}"/>
    <hyperlink ref="M8" r:id="rId6" display="https://us3.assetplanner.com/service_request?ID=098335" xr:uid="{28CC4955-4661-4AF9-8FBA-EB9B3584C1CA}"/>
    <hyperlink ref="N8" r:id="rId7" display="https://us3.assetplanner.com/service_request?ID=098248" xr:uid="{1BE5832F-30A4-46E0-9F66-F17D23B9AE9E}"/>
    <hyperlink ref="K9" r:id="rId8" display="https://us3.assetplanner.com/service_request?ID=097304" xr:uid="{C4F6C497-B9BD-4424-9A4B-C0DF875D1F77}"/>
    <hyperlink ref="L9" r:id="rId9" display="https://us3.assetplanner.com/service_request?ID=097884" xr:uid="{BEB8DC35-E3B6-4AF1-BBD5-A41A4E6A94D4}"/>
    <hyperlink ref="M9" r:id="rId10" display="https://us3.assetplanner.com/service_request?ID=098364" xr:uid="{71175B5A-59D3-4038-9A73-D1B164A80A85}"/>
    <hyperlink ref="N9" r:id="rId11" display="https://us3.assetplanner.com/service_request?ID=099221" xr:uid="{AB8098E5-1734-4C68-B827-650F47FCA6FA}"/>
    <hyperlink ref="O9" r:id="rId12" display="https://us3.assetplanner.com/service_request?ID=095849" xr:uid="{CD3A38D9-20B3-4737-8DEE-1BA78131C5E8}"/>
    <hyperlink ref="P9" r:id="rId13" display="https://us3.assetplanner.com/service_request?ID=099224" xr:uid="{B7EDB383-BA4E-4FA0-8FE2-9DE8BB4CBBBA}"/>
    <hyperlink ref="K10" r:id="rId14" display="https://us3.assetplanner.com/service_request?ID=097728" xr:uid="{D3635796-4811-43AE-95B4-6E4D97DBEC34}"/>
    <hyperlink ref="L10" r:id="rId15" display="https://us3.assetplanner.com/service_request?ID=096181" xr:uid="{2D73F108-E386-4F5E-8647-15D626C42C18}"/>
    <hyperlink ref="K11" r:id="rId16" display="https://us3.assetplanner.com/service_request?ID=097945" xr:uid="{766BC863-307B-4B25-8DBE-CA73CEF5A4F2}"/>
    <hyperlink ref="L11" r:id="rId17" display="https://us3.assetplanner.com/service_request?ID=098302" xr:uid="{91823CD8-FA04-4FAC-9A03-5BD278ACC4F0}"/>
    <hyperlink ref="M11" r:id="rId18" display="https://us3.assetplanner.com/service_request?ID=097757" xr:uid="{6268572B-68D2-4156-A60A-EC835753816A}"/>
    <hyperlink ref="N11" r:id="rId19" display="https://us3.assetplanner.com/service_request?ID=096778" xr:uid="{C167592D-1DD4-4E04-B840-AA80EDE36DC6}"/>
    <hyperlink ref="O11" r:id="rId20" display="https://us3.assetplanner.com/service_request?ID=098566" xr:uid="{4B949AD2-510D-42FA-BD5B-22541A54154A}"/>
    <hyperlink ref="K12" r:id="rId21" display="https://us3.assetplanner.com/service_request?ID=097908" xr:uid="{9A529F08-F7C5-4B6D-BA54-DF05A8F2F548}"/>
    <hyperlink ref="L12" r:id="rId22" display="https://us3.assetplanner.com/service_request?ID=091277" xr:uid="{62C4720E-188B-43AA-924B-4C8281D54D54}"/>
    <hyperlink ref="M12" r:id="rId23" display="https://us3.assetplanner.com/service_request?ID=096700" xr:uid="{AF20820B-256F-41E5-91F0-EB8166CCD989}"/>
    <hyperlink ref="K13" r:id="rId24" display="https://us3.assetplanner.com/service_request?ID=097305" xr:uid="{BDB5D614-1182-408E-B605-05BFF734205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33"/>
  <sheetViews>
    <sheetView zoomScale="80" zoomScaleNormal="80" workbookViewId="0">
      <pane xSplit="2" ySplit="3" topLeftCell="C4" activePane="bottomRight" state="frozen"/>
      <selection pane="bottomRight" activeCell="E15" sqref="E15"/>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3" ht="19.5" customHeight="1">
      <c r="A1" s="75" t="str" cm="1">
        <f t="array" ref="A1">portfolio</f>
        <v>Tortoise</v>
      </c>
      <c r="B1" s="75"/>
      <c r="C1" s="75"/>
      <c r="D1" s="76" t="s">
        <v>99</v>
      </c>
      <c r="E1" s="76"/>
      <c r="F1" s="76"/>
      <c r="G1" s="74" t="s">
        <v>100</v>
      </c>
      <c r="H1" s="74"/>
      <c r="I1" s="74"/>
      <c r="J1" s="5"/>
      <c r="K1" s="5"/>
    </row>
    <row r="2" spans="1:13" ht="19.5" customHeight="1">
      <c r="A2" s="77" t="s">
        <v>2</v>
      </c>
      <c r="B2" s="77"/>
      <c r="C2" s="6">
        <f>SUM(C4:C91)</f>
        <v>722747.56109374994</v>
      </c>
      <c r="D2" s="6">
        <f>SUM(D4:D91)</f>
        <v>1521830.6158158355</v>
      </c>
      <c r="E2" s="6">
        <f>C2-D2</f>
        <v>-799083.0547220856</v>
      </c>
      <c r="F2" s="7">
        <f>IFERROR(E2/D2, 0)</f>
        <v>-0.5250801543992506</v>
      </c>
      <c r="G2" s="6">
        <f>SUM(G4:G91)</f>
        <v>1234101.5</v>
      </c>
      <c r="H2" s="8">
        <f>C2-G2</f>
        <v>-511353.93890625006</v>
      </c>
      <c r="I2" s="7">
        <f>IFERROR(H2/G2, 0)</f>
        <v>-0.41435322694790505</v>
      </c>
      <c r="J2" s="27" t="str">
        <f ca="1">IF(AND(TODAY()&gt;DATE(2024, 4, 1), COUNTA(Sites[Site])&lt;&gt;(COUNT(C:C)-1)), "Some sites are missing actual data; if new sites were added, make sure they are aligned correctly (including prior months!)", "")</f>
        <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86.25" customHeight="1">
      <c r="A4" s="51" t="str" cm="1">
        <f t="array" ref="A4:A13">Sites[Site]</f>
        <v>Alamosa School District</v>
      </c>
      <c r="B4" s="29" t="str" cm="1">
        <f t="array" ref="B4:B13">Sites[State]</f>
        <v>CO</v>
      </c>
      <c r="C4" s="25">
        <v>83870</v>
      </c>
      <c r="D4" s="14">
        <v>117297.41179583556</v>
      </c>
      <c r="E4" s="14">
        <f>IF(AND(ISNUMBER(C4),ISNUMBER(D4)), C4-D4, "")</f>
        <v>-33427.411795835564</v>
      </c>
      <c r="F4" s="15">
        <f>IFERROR(E4/D4, "")</f>
        <v>-0.28497996063219483</v>
      </c>
      <c r="G4" s="16">
        <v>128953.72000000003</v>
      </c>
      <c r="H4" s="16">
        <f>IF(AND(ISNUMBER(C4),ISNUMBER(G4)), C4-G4, "")</f>
        <v>-45083.72000000003</v>
      </c>
      <c r="I4" s="17">
        <f>IFERROR(H4/G4, "")</f>
        <v>-0.34961162810968166</v>
      </c>
      <c r="J4" s="41" t="s">
        <v>101</v>
      </c>
      <c r="K4" s="68" t="s">
        <v>102</v>
      </c>
      <c r="L4" s="61" t="s">
        <v>24</v>
      </c>
    </row>
    <row r="5" spans="1:13" ht="28.9">
      <c r="A5" s="30" t="str">
        <v>San Luis Valley</v>
      </c>
      <c r="B5" s="31" t="str">
        <v>CO</v>
      </c>
      <c r="C5" s="12">
        <v>224573.25</v>
      </c>
      <c r="D5" s="19">
        <v>232450.6</v>
      </c>
      <c r="E5" s="19">
        <f t="shared" ref="E5:E13" si="0">IF(AND(ISNUMBER(C5),ISNUMBER(D5)), C5-D5, "")</f>
        <v>-7877.3500000000058</v>
      </c>
      <c r="F5" s="20">
        <f>IFERROR(E5/D5, "")</f>
        <v>-3.3888275616410564E-2</v>
      </c>
      <c r="G5" s="69">
        <v>0</v>
      </c>
      <c r="H5" s="21">
        <f t="shared" ref="H5:H8" si="1">IF(AND(ISNUMBER(C5),ISNUMBER(G5)), C5-G5, "")</f>
        <v>224573.25</v>
      </c>
      <c r="I5" s="20" t="str">
        <f t="shared" ref="I5:I8" si="2">IFERROR(H5/G5, "")</f>
        <v/>
      </c>
      <c r="J5" s="48" t="s">
        <v>103</v>
      </c>
      <c r="K5" s="60" t="s">
        <v>104</v>
      </c>
    </row>
    <row r="6" spans="1:13" ht="15.6">
      <c r="A6" s="32" t="str">
        <v>Golden NREL 2</v>
      </c>
      <c r="B6" s="29" t="str">
        <v>CO</v>
      </c>
      <c r="C6" s="25">
        <v>11155</v>
      </c>
      <c r="D6" s="14">
        <v>10312.40402</v>
      </c>
      <c r="E6" s="14">
        <f t="shared" si="0"/>
        <v>842.59598000000005</v>
      </c>
      <c r="F6" s="15">
        <f t="shared" ref="F6:F13" si="3">IFERROR(E6/D6, "")</f>
        <v>8.1707037308260941E-2</v>
      </c>
      <c r="G6" s="16">
        <v>12834.78</v>
      </c>
      <c r="H6" s="16">
        <f t="shared" si="1"/>
        <v>-1679.7800000000007</v>
      </c>
      <c r="I6" s="17">
        <f t="shared" si="2"/>
        <v>-0.13087719462273609</v>
      </c>
      <c r="J6" s="50" t="s">
        <v>105</v>
      </c>
      <c r="K6" s="50"/>
    </row>
    <row r="7" spans="1:13" ht="69" customHeight="1">
      <c r="A7" s="30" t="str">
        <v>Golden NREL Wind 3</v>
      </c>
      <c r="B7" s="31" t="str">
        <v>CO</v>
      </c>
      <c r="C7" s="12">
        <v>79519.311093750002</v>
      </c>
      <c r="D7" s="19">
        <v>141658.20000000001</v>
      </c>
      <c r="E7" s="19">
        <f>IF(AND(ISNUMBER(C7),ISNUMBER(D7)), C7-D7, "")</f>
        <v>-62138.888906250009</v>
      </c>
      <c r="F7" s="20">
        <v>0</v>
      </c>
      <c r="G7" s="69">
        <v>0</v>
      </c>
      <c r="H7" s="21">
        <f t="shared" si="1"/>
        <v>79519.311093750002</v>
      </c>
      <c r="I7" s="20" t="str">
        <f t="shared" si="2"/>
        <v/>
      </c>
      <c r="J7" s="48" t="s">
        <v>106</v>
      </c>
      <c r="K7" s="60" t="s">
        <v>79</v>
      </c>
    </row>
    <row r="8" spans="1:13" ht="57.6">
      <c r="A8" s="51" t="str">
        <v>Pratt Solar Farm</v>
      </c>
      <c r="B8" s="29" t="str">
        <v>KS</v>
      </c>
      <c r="C8" s="25">
        <v>323630</v>
      </c>
      <c r="D8" s="14">
        <v>1020112</v>
      </c>
      <c r="E8" s="14">
        <f t="shared" si="0"/>
        <v>-696482</v>
      </c>
      <c r="F8" s="15">
        <f t="shared" si="3"/>
        <v>-0.68275052151136351</v>
      </c>
      <c r="G8" s="16">
        <v>1092313</v>
      </c>
      <c r="H8" s="16">
        <f t="shared" si="1"/>
        <v>-768683</v>
      </c>
      <c r="I8" s="17">
        <f t="shared" si="2"/>
        <v>-0.70372045375272474</v>
      </c>
      <c r="J8" s="50" t="s">
        <v>107</v>
      </c>
      <c r="K8" s="59" t="s">
        <v>108</v>
      </c>
      <c r="L8" s="61" t="s">
        <v>82</v>
      </c>
      <c r="M8" s="61" t="s">
        <v>109</v>
      </c>
    </row>
    <row r="9" spans="1:13" ht="38.65" customHeight="1">
      <c r="A9" s="30" t="str">
        <v>Rochester - 5516 Valleyhigh NW</v>
      </c>
      <c r="B9" s="31" t="str">
        <v>MN</v>
      </c>
      <c r="C9" s="12">
        <v>0</v>
      </c>
      <c r="D9" s="19">
        <v>0</v>
      </c>
      <c r="E9" s="19">
        <f t="shared" si="0"/>
        <v>0</v>
      </c>
      <c r="F9" s="20" t="str">
        <f t="shared" si="3"/>
        <v/>
      </c>
      <c r="G9" s="21">
        <v>0</v>
      </c>
      <c r="H9" s="21">
        <f t="shared" ref="H9:H12" si="4">IF(AND(ISNUMBER(C9),ISNUMBER(G9)), C9-G9, "")</f>
        <v>0</v>
      </c>
      <c r="I9" s="20" t="str">
        <f t="shared" ref="I9:I12" si="5">IFERROR(H9/G9, "")</f>
        <v/>
      </c>
      <c r="J9" s="48" t="s">
        <v>110</v>
      </c>
      <c r="K9" s="48"/>
    </row>
    <row r="10" spans="1:13" ht="15.6">
      <c r="A10" s="32" t="str">
        <v>Warsaw - 2201 Richmond</v>
      </c>
      <c r="B10" s="29" t="str">
        <v>VA</v>
      </c>
      <c r="C10" s="25">
        <v>0</v>
      </c>
      <c r="D10" s="14">
        <v>0</v>
      </c>
      <c r="E10" s="14">
        <f t="shared" si="0"/>
        <v>0</v>
      </c>
      <c r="F10" s="15" t="str">
        <f t="shared" si="3"/>
        <v/>
      </c>
      <c r="G10" s="16">
        <v>0</v>
      </c>
      <c r="H10" s="16">
        <f t="shared" si="4"/>
        <v>0</v>
      </c>
      <c r="I10" s="17" t="str">
        <f t="shared" si="5"/>
        <v/>
      </c>
      <c r="J10" s="50" t="s">
        <v>110</v>
      </c>
      <c r="K10" s="50"/>
    </row>
    <row r="11" spans="1:13" ht="15.6">
      <c r="A11" s="30" t="str">
        <v>Mount Jackson - Randolf</v>
      </c>
      <c r="B11" s="31" t="str">
        <v>VA</v>
      </c>
      <c r="C11" s="12">
        <v>0</v>
      </c>
      <c r="D11" s="19">
        <v>0</v>
      </c>
      <c r="E11" s="19">
        <f t="shared" si="0"/>
        <v>0</v>
      </c>
      <c r="F11" s="20" t="str">
        <f t="shared" si="3"/>
        <v/>
      </c>
      <c r="G11" s="21">
        <v>0</v>
      </c>
      <c r="H11" s="21">
        <f t="shared" si="4"/>
        <v>0</v>
      </c>
      <c r="I11" s="20" t="str">
        <f t="shared" si="5"/>
        <v/>
      </c>
      <c r="J11" s="48" t="s">
        <v>110</v>
      </c>
      <c r="K11" s="48"/>
    </row>
    <row r="12" spans="1:13" ht="15.6">
      <c r="A12" s="32" t="str">
        <v>Callands Gretna - Monroe</v>
      </c>
      <c r="B12" s="29" t="str">
        <v>VA</v>
      </c>
      <c r="C12" s="25">
        <v>0</v>
      </c>
      <c r="D12" s="14"/>
      <c r="E12" s="14" t="str">
        <f t="shared" si="0"/>
        <v/>
      </c>
      <c r="F12" s="15" t="str">
        <f t="shared" si="3"/>
        <v/>
      </c>
      <c r="G12" s="16">
        <v>0</v>
      </c>
      <c r="H12" s="16">
        <f t="shared" si="4"/>
        <v>0</v>
      </c>
      <c r="I12" s="17" t="str">
        <f t="shared" si="5"/>
        <v/>
      </c>
      <c r="J12" s="50" t="s">
        <v>110</v>
      </c>
      <c r="K12" s="50"/>
    </row>
    <row r="13" spans="1:13" ht="15.6">
      <c r="A13" s="30" t="str">
        <v>Rockbridge Baths - Small Mouth Bass</v>
      </c>
      <c r="B13" s="31" t="str">
        <v>VA</v>
      </c>
      <c r="C13" s="12">
        <v>0</v>
      </c>
      <c r="D13" s="19">
        <v>0</v>
      </c>
      <c r="E13" s="19">
        <f t="shared" si="0"/>
        <v>0</v>
      </c>
      <c r="F13" s="20" t="str">
        <f t="shared" si="3"/>
        <v/>
      </c>
      <c r="G13" s="21">
        <v>0</v>
      </c>
      <c r="H13" s="21"/>
      <c r="I13" s="20"/>
      <c r="J13" s="42"/>
      <c r="K13" s="42"/>
    </row>
    <row r="14" spans="1:13" ht="14.45">
      <c r="A14" s="22"/>
      <c r="B14" s="33"/>
      <c r="C14" s="22"/>
      <c r="D14" s="22"/>
      <c r="E14" s="22"/>
      <c r="F14" s="22"/>
      <c r="G14" s="22"/>
      <c r="H14" s="22"/>
      <c r="I14" s="22"/>
      <c r="J14" s="22"/>
      <c r="K14" s="22"/>
    </row>
    <row r="15" spans="1:13" ht="14.45">
      <c r="A15" s="22"/>
      <c r="B15" s="33"/>
      <c r="C15" s="22"/>
      <c r="D15" s="22"/>
      <c r="E15" s="22"/>
      <c r="F15" s="22"/>
      <c r="G15" s="22"/>
      <c r="H15" s="22"/>
      <c r="I15" s="22"/>
      <c r="J15" s="22"/>
      <c r="K15" s="22"/>
    </row>
    <row r="16" spans="1:13"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hyperlinks>
    <hyperlink ref="K4" r:id="rId1" display="https://us3.assetplanner.com/service_request?ID=099790" xr:uid="{19EEFE01-137B-4BC2-94F1-1287EEF525D4}"/>
    <hyperlink ref="L4" r:id="rId2" display="https://us3.assetplanner.com/service_request?ID=095824" xr:uid="{812A7739-A026-44A6-99A2-BEA7B507EA1E}"/>
    <hyperlink ref="K5" r:id="rId3" display="https://us3.assetplanner.com/service_request?ID=099593" xr:uid="{A3819476-92C1-4A6C-BD51-98BBECD56436}"/>
    <hyperlink ref="K7" r:id="rId4" display="https://us3.assetplanner.com/service_request?ID=096263" xr:uid="{B48BF4D4-FEEF-46A7-83ED-F675701736B7}"/>
    <hyperlink ref="K8" r:id="rId5" display="https://us3.assetplanner.com/service_request?ID=099994" xr:uid="{4C0D8479-EC5C-4EA7-8011-E0D3B6AD6597}"/>
    <hyperlink ref="L8" r:id="rId6" display="https://us3.assetplanner.com/service_request?ID=099185" xr:uid="{DDC31F8E-7837-48CB-9D48-BE4FC927F295}"/>
    <hyperlink ref="M8" r:id="rId7" display="https://us3.assetplanner.com/service_request?ID=099478" xr:uid="{B92AECDF-F7DB-47B4-924B-01DA7ECDB24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zoomScale="80" zoomScaleNormal="80" workbookViewId="0">
      <pane xSplit="2" ySplit="3" topLeftCell="J4" activePane="bottomRight" state="frozen"/>
      <selection pane="bottomRight" activeCell="J9" sqref="J9:J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75" t="str" cm="1">
        <f t="array" ref="A1">portfolio</f>
        <v>Tortoise</v>
      </c>
      <c r="B1" s="75"/>
      <c r="C1" s="75"/>
      <c r="D1" s="76" t="s">
        <v>111</v>
      </c>
      <c r="E1" s="76"/>
      <c r="F1" s="76"/>
      <c r="G1" s="74" t="s">
        <v>112</v>
      </c>
      <c r="H1" s="74"/>
      <c r="I1" s="74"/>
      <c r="J1" s="5"/>
      <c r="K1" s="5"/>
    </row>
    <row r="2" spans="1:17" ht="19.5" customHeight="1">
      <c r="A2" s="77" t="s">
        <v>2</v>
      </c>
      <c r="B2" s="77"/>
      <c r="C2" s="6">
        <f>SUM(C4:C90)</f>
        <v>984300.28249999997</v>
      </c>
      <c r="D2" s="6">
        <f>SUM(D4:D90)</f>
        <v>1591676.7004549839</v>
      </c>
      <c r="E2" s="6">
        <f>C2-D2</f>
        <v>-607376.41795498389</v>
      </c>
      <c r="F2" s="7">
        <f>IFERROR(E2/D2, 0)</f>
        <v>-0.3815953439422492</v>
      </c>
      <c r="G2" s="6">
        <f>SUM(G4:G90)</f>
        <v>1329590.57</v>
      </c>
      <c r="H2" s="8">
        <f>C2-G2</f>
        <v>-345290.28750000009</v>
      </c>
      <c r="I2" s="7">
        <f>IFERROR(H2/G2, 0)</f>
        <v>-0.25969670309860882</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c r="A3" s="9" t="s">
        <v>3</v>
      </c>
      <c r="B3" s="9" t="s">
        <v>4</v>
      </c>
      <c r="C3" s="24" t="s">
        <v>5</v>
      </c>
      <c r="D3" s="35" t="s">
        <v>6</v>
      </c>
      <c r="E3" s="35" t="s">
        <v>7</v>
      </c>
      <c r="F3" s="36" t="s">
        <v>8</v>
      </c>
      <c r="G3" s="37" t="s">
        <v>9</v>
      </c>
      <c r="H3" s="38" t="s">
        <v>7</v>
      </c>
      <c r="I3" s="39" t="s">
        <v>8</v>
      </c>
      <c r="J3" s="26" t="s">
        <v>20</v>
      </c>
      <c r="K3" s="26" t="s">
        <v>21</v>
      </c>
    </row>
    <row r="4" spans="1:17" ht="71.25" customHeight="1">
      <c r="A4" s="32" t="str" cm="1">
        <f t="array" ref="A4:A13">Sites[Site]</f>
        <v>Alamosa School District</v>
      </c>
      <c r="B4" s="29" t="str" cm="1">
        <f t="array" ref="B4:B13">Sites[State]</f>
        <v>CO</v>
      </c>
      <c r="C4" s="25">
        <v>21782</v>
      </c>
      <c r="D4" s="14">
        <v>123116.851365505</v>
      </c>
      <c r="E4" s="14">
        <f>IF(AND(ISNUMBER(C4),ISNUMBER(D4)), C4-D4, "")</f>
        <v>-101334.851365505</v>
      </c>
      <c r="F4" s="15">
        <f>IFERROR(E4/D4, "")</f>
        <v>-0.82307864635577499</v>
      </c>
      <c r="G4" s="16">
        <v>143312.46</v>
      </c>
      <c r="H4" s="16">
        <f>IF(AND(ISNUMBER(C4),ISNUMBER(G4)), C4-G4, "")</f>
        <v>-121530.45999999999</v>
      </c>
      <c r="I4" s="17">
        <f>IFERROR(H4/G4, "")</f>
        <v>-0.84801042421573114</v>
      </c>
      <c r="J4" s="50" t="s">
        <v>113</v>
      </c>
      <c r="K4" s="59" t="s">
        <v>114</v>
      </c>
      <c r="L4" s="70" t="s">
        <v>115</v>
      </c>
      <c r="M4" s="70" t="s">
        <v>116</v>
      </c>
    </row>
    <row r="5" spans="1:17" ht="15.6">
      <c r="A5" s="30" t="str">
        <v>San Luis Valley</v>
      </c>
      <c r="B5" s="31" t="str">
        <v>CO</v>
      </c>
      <c r="C5" s="12">
        <v>243865.25</v>
      </c>
      <c r="D5" s="19">
        <v>227071.9</v>
      </c>
      <c r="E5" s="19">
        <f t="shared" ref="E5:E10" si="0">IF(AND(ISNUMBER(C5),ISNUMBER(D5)), C5-D5, "")</f>
        <v>16793.350000000006</v>
      </c>
      <c r="F5" s="20">
        <f t="shared" ref="F5:F10" si="1">IFERROR(E5/D5, "")</f>
        <v>7.3956090559862339E-2</v>
      </c>
      <c r="G5" s="71">
        <v>0</v>
      </c>
      <c r="H5" s="21">
        <f t="shared" ref="H5:H10" si="2">IF(AND(ISNUMBER(C5),ISNUMBER(G5)), C5-G5, "")</f>
        <v>243865.25</v>
      </c>
      <c r="I5" s="20" t="str">
        <f t="shared" ref="I5:I10" si="3">IFERROR(H5/G5, "")</f>
        <v/>
      </c>
      <c r="J5" s="48"/>
      <c r="K5" s="48"/>
    </row>
    <row r="6" spans="1:17" ht="43.15">
      <c r="A6" s="32" t="str">
        <v>Golden NREL 2</v>
      </c>
      <c r="B6" s="29" t="str">
        <v>CO</v>
      </c>
      <c r="C6" s="25">
        <v>13138.97</v>
      </c>
      <c r="D6" s="14">
        <v>12195.749089479001</v>
      </c>
      <c r="E6" s="14">
        <f t="shared" si="0"/>
        <v>943.22091052099859</v>
      </c>
      <c r="F6" s="15">
        <f t="shared" si="1"/>
        <v>7.7340137420069927E-2</v>
      </c>
      <c r="G6" s="16">
        <v>13598.11</v>
      </c>
      <c r="H6" s="16">
        <f t="shared" si="2"/>
        <v>-459.14000000000124</v>
      </c>
      <c r="I6" s="17">
        <f t="shared" si="3"/>
        <v>-3.3764986457676928E-2</v>
      </c>
      <c r="J6" s="50" t="s">
        <v>117</v>
      </c>
      <c r="K6" s="59" t="s">
        <v>118</v>
      </c>
    </row>
    <row r="7" spans="1:17" ht="57.6">
      <c r="A7" s="30" t="str">
        <v>Golden NREL Wind 3</v>
      </c>
      <c r="B7" s="31" t="str">
        <v>CO</v>
      </c>
      <c r="C7" s="12">
        <v>94924.0625</v>
      </c>
      <c r="D7" s="19">
        <v>158782.20000000001</v>
      </c>
      <c r="E7" s="19">
        <f t="shared" si="0"/>
        <v>-63858.137500000012</v>
      </c>
      <c r="F7" s="20">
        <f t="shared" si="1"/>
        <v>-0.40217440934815119</v>
      </c>
      <c r="G7" s="69">
        <v>0</v>
      </c>
      <c r="H7" s="21">
        <f t="shared" si="2"/>
        <v>94924.0625</v>
      </c>
      <c r="I7" s="20" t="str">
        <f t="shared" si="3"/>
        <v/>
      </c>
      <c r="J7" s="48" t="s">
        <v>119</v>
      </c>
      <c r="K7" s="60" t="s">
        <v>29</v>
      </c>
    </row>
    <row r="8" spans="1:17" ht="187.15">
      <c r="A8" s="32" t="str">
        <v>Pratt Solar Farm</v>
      </c>
      <c r="B8" s="29" t="str">
        <v>KS</v>
      </c>
      <c r="C8" s="25">
        <v>610590</v>
      </c>
      <c r="D8" s="14">
        <v>1070510</v>
      </c>
      <c r="E8" s="14">
        <f t="shared" si="0"/>
        <v>-459920</v>
      </c>
      <c r="F8" s="15">
        <f t="shared" si="1"/>
        <v>-0.42962700021485084</v>
      </c>
      <c r="G8" s="16">
        <v>1172680</v>
      </c>
      <c r="H8" s="16">
        <f t="shared" si="2"/>
        <v>-562090</v>
      </c>
      <c r="I8" s="17">
        <f t="shared" si="3"/>
        <v>-0.47932087184909777</v>
      </c>
      <c r="J8" s="50" t="s">
        <v>120</v>
      </c>
      <c r="K8" s="59" t="s">
        <v>121</v>
      </c>
      <c r="L8" s="70" t="s">
        <v>122</v>
      </c>
      <c r="M8" s="70" t="s">
        <v>123</v>
      </c>
      <c r="N8" s="70" t="s">
        <v>124</v>
      </c>
      <c r="O8" s="70" t="s">
        <v>82</v>
      </c>
      <c r="P8" s="70" t="s">
        <v>125</v>
      </c>
      <c r="Q8" s="70" t="s">
        <v>126</v>
      </c>
    </row>
    <row r="9" spans="1:17" ht="22.5" customHeight="1">
      <c r="A9" s="30" t="str">
        <v>Rochester - 5516 Valleyhigh NW</v>
      </c>
      <c r="B9" s="31" t="str">
        <v>MN</v>
      </c>
      <c r="C9" s="12"/>
      <c r="D9" s="19"/>
      <c r="E9" s="19" t="str">
        <f t="shared" si="0"/>
        <v/>
      </c>
      <c r="F9" s="20" t="str">
        <f t="shared" si="1"/>
        <v/>
      </c>
      <c r="G9" s="21"/>
      <c r="H9" s="21" t="str">
        <f t="shared" si="2"/>
        <v/>
      </c>
      <c r="I9" s="20" t="str">
        <f t="shared" si="3"/>
        <v/>
      </c>
      <c r="J9" s="48" t="s">
        <v>127</v>
      </c>
      <c r="K9" s="48"/>
    </row>
    <row r="10" spans="1:17" ht="15.6">
      <c r="A10" s="32" t="str">
        <v>Warsaw - 2201 Richmond</v>
      </c>
      <c r="B10" s="29" t="str">
        <v>VA</v>
      </c>
      <c r="C10" s="25"/>
      <c r="D10" s="14"/>
      <c r="E10" s="14" t="str">
        <f t="shared" si="0"/>
        <v/>
      </c>
      <c r="F10" s="15" t="str">
        <f t="shared" si="1"/>
        <v/>
      </c>
      <c r="G10" s="16"/>
      <c r="H10" s="16" t="str">
        <f t="shared" si="2"/>
        <v/>
      </c>
      <c r="I10" s="17" t="str">
        <f t="shared" si="3"/>
        <v/>
      </c>
      <c r="J10" s="50" t="s">
        <v>127</v>
      </c>
      <c r="K10" s="50"/>
    </row>
    <row r="11" spans="1:17" ht="15.6">
      <c r="A11" s="30" t="str">
        <v>Mount Jackson - Randolf</v>
      </c>
      <c r="B11" s="31" t="str">
        <v>VA</v>
      </c>
      <c r="C11" s="12"/>
      <c r="D11" s="19"/>
      <c r="E11" s="19"/>
      <c r="F11" s="20"/>
      <c r="G11" s="21"/>
      <c r="H11" s="21"/>
      <c r="I11" s="20"/>
      <c r="J11" s="48" t="s">
        <v>127</v>
      </c>
      <c r="K11" s="48"/>
    </row>
    <row r="12" spans="1:17" ht="15.6">
      <c r="A12" s="32" t="str">
        <v>Callands Gretna - Monroe</v>
      </c>
      <c r="B12" s="29" t="str">
        <v>VA</v>
      </c>
      <c r="C12" s="25"/>
      <c r="D12" s="14"/>
      <c r="E12" s="14"/>
      <c r="F12" s="15"/>
      <c r="G12" s="16"/>
      <c r="H12" s="16"/>
      <c r="I12" s="17"/>
      <c r="J12" s="50" t="s">
        <v>127</v>
      </c>
      <c r="K12" s="50"/>
    </row>
    <row r="13" spans="1:17" ht="15.6">
      <c r="A13" s="30" t="str">
        <v>Rockbridge Baths - Small Mouth Bass</v>
      </c>
      <c r="B13" s="31" t="str">
        <v>VA</v>
      </c>
      <c r="C13" s="12"/>
      <c r="D13" s="19"/>
      <c r="E13" s="19"/>
      <c r="F13" s="20"/>
      <c r="G13" s="21"/>
      <c r="H13" s="21"/>
      <c r="I13" s="20"/>
      <c r="J13" s="42" t="s">
        <v>127</v>
      </c>
      <c r="K13" s="42"/>
    </row>
    <row r="14" spans="1:17" ht="14.45">
      <c r="A14" s="22"/>
      <c r="B14" s="33"/>
      <c r="C14" s="22"/>
      <c r="D14" s="22"/>
      <c r="E14" s="22"/>
      <c r="F14" s="22"/>
      <c r="G14" s="22"/>
      <c r="H14" s="22"/>
      <c r="I14" s="22"/>
      <c r="J14" s="22"/>
      <c r="K14" s="22"/>
    </row>
    <row r="15" spans="1:17" ht="14.45">
      <c r="A15" s="22"/>
      <c r="B15" s="33"/>
      <c r="C15" s="22"/>
      <c r="D15" s="22"/>
      <c r="E15" s="22"/>
      <c r="F15" s="22"/>
      <c r="G15" s="22"/>
      <c r="H15" s="22"/>
      <c r="I15" s="22"/>
      <c r="J15" s="22"/>
      <c r="K15" s="22"/>
    </row>
    <row r="16" spans="1:17"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hyperlinks>
    <hyperlink ref="K4" r:id="rId1" display="https://us3.assetplanner.com/service_request?ID=101579" xr:uid="{DC3FE0C2-9F55-474E-B346-E2772ADF4EFA}"/>
    <hyperlink ref="L4" r:id="rId2" display="https://us3.assetplanner.com/service_request?ID=099790" xr:uid="{7F403563-9D35-4644-8364-29662EDAEE40}"/>
    <hyperlink ref="M4" r:id="rId3" display="https://us3.assetplanner.com/service_request?ID=101399" xr:uid="{F0391505-7D61-4D69-8A27-BBFD20BE0C12}"/>
    <hyperlink ref="K6" r:id="rId4" display="https://us3.assetplanner.com/service_request?ID=093280" xr:uid="{1CC58750-DE9B-4FCA-9A05-667C1924C6F2}"/>
    <hyperlink ref="K7" r:id="rId5" display="https://us3.assetplanner.com/service_request?ID=096263" xr:uid="{64BE2DB5-D545-4F5F-A6CE-7FFDC988FB63}"/>
    <hyperlink ref="K8" r:id="rId6" display="https://us3.assetplanner.com/service_request?ID=099478" xr:uid="{A7C7E960-D4C6-49ED-8ADE-C036ED9242AB}"/>
    <hyperlink ref="L8" r:id="rId7" display="https://us3.assetplanner.com/service_request?ID=101785" xr:uid="{2983056D-405A-430C-AFEC-ACD9C510075C}"/>
    <hyperlink ref="M8" r:id="rId8" display="https://us3.assetplanner.com/service_request?ID=101822" xr:uid="{8E464F1E-4AAA-4713-8DB7-1F1C99E5B6A6}"/>
    <hyperlink ref="N8" r:id="rId9" display="https://us3.assetplanner.com/service_request?ID=099994" xr:uid="{D73D9B20-CD52-4B70-88EE-1D7284034846}"/>
    <hyperlink ref="O8" r:id="rId10" display="https://us3.assetplanner.com/service_request?ID=099185" xr:uid="{BF10B79A-99BB-46B0-A63F-D2625CCF80EB}"/>
    <hyperlink ref="P8" r:id="rId11" display="https://us3.assetplanner.com/service_request?ID=102003" xr:uid="{07A21B8A-59C4-414A-915C-54CD160429BD}"/>
    <hyperlink ref="Q8" r:id="rId12" display="https://us3.assetplanner.com/service_request?ID=102210" xr:uid="{169FC6C9-4F08-443C-9F22-09973F2B789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4" activePane="bottomRight" state="frozen"/>
      <selection pane="bottomRight" activeCell="A15" sqref="A15"/>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 min="12" max="14" width="8.85546875" style="62"/>
  </cols>
  <sheetData>
    <row r="1" spans="1:14" ht="19.5" customHeight="1">
      <c r="A1" s="75" t="str" cm="1">
        <f t="array" ref="A1">portfolio</f>
        <v>Tortoise</v>
      </c>
      <c r="B1" s="75"/>
      <c r="C1" s="75"/>
      <c r="D1" s="76" t="s">
        <v>128</v>
      </c>
      <c r="E1" s="76"/>
      <c r="F1" s="76"/>
      <c r="G1" s="74" t="s">
        <v>129</v>
      </c>
      <c r="H1" s="74"/>
      <c r="I1" s="74"/>
      <c r="J1" s="5"/>
      <c r="K1" s="5"/>
    </row>
    <row r="2" spans="1:14" ht="19.5" customHeight="1">
      <c r="A2" s="77" t="s">
        <v>2</v>
      </c>
      <c r="B2" s="77"/>
      <c r="C2" s="6">
        <f>SUM(C4:C100)</f>
        <v>445975.4120139915</v>
      </c>
      <c r="D2" s="6">
        <f>SUM(D4:D100)</f>
        <v>514002.2664509716</v>
      </c>
      <c r="E2" s="6">
        <f>C2-D2</f>
        <v>-68026.854436980095</v>
      </c>
      <c r="F2" s="7">
        <f>IFERROR(E2/D2, 0)</f>
        <v>-0.13234738225316536</v>
      </c>
      <c r="G2" s="6">
        <f>SUM(G4:G100)</f>
        <v>152992.94199999975</v>
      </c>
      <c r="H2" s="8">
        <f>C2-G2</f>
        <v>292982.47001399175</v>
      </c>
      <c r="I2" s="7">
        <f>IFERROR(H2/G2, 0)</f>
        <v>1.9150064452907392</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8.9">
      <c r="A4" s="51" t="str" cm="1">
        <f t="array" ref="A4:A13">Sites[Site]</f>
        <v>Alamosa School District</v>
      </c>
      <c r="B4" s="29" t="str" cm="1">
        <f t="array" ref="B4:B13">Sites[State]</f>
        <v>CO</v>
      </c>
      <c r="C4" s="25">
        <v>105255.06801399145</v>
      </c>
      <c r="D4" s="14">
        <v>126264.55945097162</v>
      </c>
      <c r="E4" s="14">
        <f t="shared" ref="E4:E17" si="0">IF(AND(ISNUMBER(C4),ISNUMBER(D4)), C4-D4, "")</f>
        <v>-21009.49143698017</v>
      </c>
      <c r="F4" s="15">
        <f>IFERROR(E4/D4, "")</f>
        <v>-0.16639262456808501</v>
      </c>
      <c r="G4" s="16">
        <v>137914.66999999975</v>
      </c>
      <c r="H4" s="16">
        <f t="shared" ref="H4:H17" si="1">IF(AND(ISNUMBER(C4),ISNUMBER(G4)), C4-G4, "")</f>
        <v>-32659.601986008303</v>
      </c>
      <c r="I4" s="17">
        <f t="shared" ref="I4:I17" si="2">IFERROR(H4/G4, "")</f>
        <v>-0.23681021015391882</v>
      </c>
      <c r="J4" s="50" t="s">
        <v>130</v>
      </c>
      <c r="K4" s="59" t="s">
        <v>131</v>
      </c>
      <c r="L4" s="61" t="s">
        <v>132</v>
      </c>
      <c r="M4" s="61" t="s">
        <v>116</v>
      </c>
    </row>
    <row r="5" spans="1:14" ht="15.6">
      <c r="A5" s="30" t="str">
        <v>San Luis Valley</v>
      </c>
      <c r="B5" s="31" t="str">
        <v>CO</v>
      </c>
      <c r="C5" s="12">
        <v>244072.25</v>
      </c>
      <c r="D5" s="19">
        <v>222436.90299999999</v>
      </c>
      <c r="E5" s="19">
        <f t="shared" si="0"/>
        <v>21635.347000000009</v>
      </c>
      <c r="F5" s="20">
        <f>IFERROR(E5/D5, "")</f>
        <v>9.7265097239732784E-2</v>
      </c>
      <c r="G5" s="21">
        <v>0</v>
      </c>
      <c r="H5" s="21">
        <f t="shared" si="1"/>
        <v>244072.25</v>
      </c>
      <c r="I5" s="20" t="str">
        <f t="shared" si="2"/>
        <v/>
      </c>
      <c r="J5" s="48"/>
      <c r="K5" s="48"/>
    </row>
    <row r="6" spans="1:14" ht="15.6">
      <c r="A6" s="51" t="str">
        <v>Golden NREL 2</v>
      </c>
      <c r="B6" s="29" t="str">
        <v>CO</v>
      </c>
      <c r="C6" s="25">
        <v>13029.781000000001</v>
      </c>
      <c r="D6" s="14">
        <v>13689.753000000001</v>
      </c>
      <c r="E6" s="14">
        <f t="shared" si="0"/>
        <v>-659.97199999999975</v>
      </c>
      <c r="F6" s="15">
        <f t="shared" ref="F6:F17" si="3">IFERROR(E6/D6, "")</f>
        <v>-4.8209197054176194E-2</v>
      </c>
      <c r="G6" s="16">
        <v>15078.272000000001</v>
      </c>
      <c r="H6" s="16">
        <f t="shared" si="1"/>
        <v>-2048.491</v>
      </c>
      <c r="I6" s="17">
        <f t="shared" si="2"/>
        <v>-0.13585714596473653</v>
      </c>
      <c r="J6" s="50" t="s">
        <v>133</v>
      </c>
      <c r="K6" s="50"/>
    </row>
    <row r="7" spans="1:14" ht="15.6">
      <c r="A7" s="30" t="str">
        <v>Golden NREL Wind 3</v>
      </c>
      <c r="B7" s="31" t="str">
        <v>CO</v>
      </c>
      <c r="C7" s="12">
        <v>83618.312999999995</v>
      </c>
      <c r="D7" s="19">
        <v>151611.05100000001</v>
      </c>
      <c r="E7" s="19">
        <f t="shared" si="0"/>
        <v>-67992.738000000012</v>
      </c>
      <c r="F7" s="20">
        <f t="shared" si="3"/>
        <v>-0.44846821885035287</v>
      </c>
      <c r="G7" s="21">
        <v>0</v>
      </c>
      <c r="H7" s="21">
        <f t="shared" si="1"/>
        <v>83618.312999999995</v>
      </c>
      <c r="I7" s="20" t="str">
        <f t="shared" si="2"/>
        <v/>
      </c>
      <c r="J7" s="48" t="s">
        <v>134</v>
      </c>
      <c r="K7" s="60" t="s">
        <v>29</v>
      </c>
    </row>
    <row r="8" spans="1:14" ht="16.5" customHeight="1">
      <c r="A8" s="22" t="str">
        <v>Pratt Solar Farm</v>
      </c>
      <c r="B8" s="22" t="str">
        <v>KS</v>
      </c>
      <c r="C8" s="22"/>
      <c r="D8" s="22"/>
      <c r="E8" s="22" t="str">
        <f t="shared" si="0"/>
        <v/>
      </c>
      <c r="F8" s="22" t="str">
        <f t="shared" si="3"/>
        <v/>
      </c>
      <c r="G8" s="22"/>
      <c r="H8" s="22" t="str">
        <f t="shared" si="1"/>
        <v/>
      </c>
      <c r="I8" s="22" t="str">
        <f t="shared" si="2"/>
        <v/>
      </c>
      <c r="J8" s="22" t="s">
        <v>135</v>
      </c>
      <c r="K8" s="22"/>
      <c r="L8" s="72"/>
      <c r="M8" s="72"/>
      <c r="N8" s="72"/>
    </row>
    <row r="9" spans="1:14" ht="22.9" customHeight="1">
      <c r="A9" s="22" t="str">
        <v>Rochester - 5516 Valleyhigh NW</v>
      </c>
      <c r="B9" s="22" t="str">
        <v>MN</v>
      </c>
      <c r="C9" s="22"/>
      <c r="D9" s="22"/>
      <c r="E9" s="22" t="str">
        <f t="shared" si="0"/>
        <v/>
      </c>
      <c r="F9" s="22" t="str">
        <f t="shared" si="3"/>
        <v/>
      </c>
      <c r="G9" s="22"/>
      <c r="H9" s="22" t="str">
        <f t="shared" si="1"/>
        <v/>
      </c>
      <c r="I9" s="22" t="str">
        <f t="shared" si="2"/>
        <v/>
      </c>
      <c r="J9" s="22" t="s">
        <v>127</v>
      </c>
      <c r="K9" s="22"/>
      <c r="L9" s="72"/>
      <c r="M9" s="72"/>
      <c r="N9" s="72"/>
    </row>
    <row r="10" spans="1:14" ht="18.600000000000001" customHeight="1">
      <c r="A10" s="22" t="str">
        <v>Warsaw - 2201 Richmond</v>
      </c>
      <c r="B10" s="22" t="str">
        <v>VA</v>
      </c>
      <c r="C10" s="22"/>
      <c r="D10" s="22"/>
      <c r="E10" s="22" t="str">
        <f t="shared" si="0"/>
        <v/>
      </c>
      <c r="F10" s="22" t="str">
        <f t="shared" si="3"/>
        <v/>
      </c>
      <c r="G10" s="22"/>
      <c r="H10" s="22" t="str">
        <f t="shared" si="1"/>
        <v/>
      </c>
      <c r="I10" s="22" t="str">
        <f t="shared" si="2"/>
        <v/>
      </c>
      <c r="J10" s="22" t="s">
        <v>127</v>
      </c>
      <c r="K10" s="22"/>
      <c r="L10" s="72"/>
      <c r="M10" s="72"/>
      <c r="N10" s="72"/>
    </row>
    <row r="11" spans="1:14" ht="19.899999999999999" customHeight="1">
      <c r="A11" s="22" t="str">
        <v>Mount Jackson - Randolf</v>
      </c>
      <c r="B11" s="22" t="str">
        <v>VA</v>
      </c>
      <c r="C11" s="22"/>
      <c r="D11" s="22"/>
      <c r="E11" s="22" t="str">
        <f t="shared" si="0"/>
        <v/>
      </c>
      <c r="F11" s="22" t="str">
        <f t="shared" si="3"/>
        <v/>
      </c>
      <c r="G11" s="22"/>
      <c r="H11" s="22" t="str">
        <f t="shared" si="1"/>
        <v/>
      </c>
      <c r="I11" s="22" t="str">
        <f t="shared" si="2"/>
        <v/>
      </c>
      <c r="J11" s="22" t="s">
        <v>127</v>
      </c>
      <c r="K11" s="22"/>
      <c r="L11" s="72"/>
      <c r="M11" s="72"/>
      <c r="N11" s="72"/>
    </row>
    <row r="12" spans="1:14" ht="18.75" customHeight="1">
      <c r="A12" s="22" t="str">
        <v>Callands Gretna - Monroe</v>
      </c>
      <c r="B12" s="22" t="str">
        <v>VA</v>
      </c>
      <c r="C12" s="22"/>
      <c r="D12" s="22"/>
      <c r="E12" s="22" t="str">
        <f t="shared" si="0"/>
        <v/>
      </c>
      <c r="F12" s="22" t="str">
        <f t="shared" si="3"/>
        <v/>
      </c>
      <c r="G12" s="22"/>
      <c r="H12" s="22" t="str">
        <f t="shared" si="1"/>
        <v/>
      </c>
      <c r="I12" s="22" t="str">
        <f t="shared" si="2"/>
        <v/>
      </c>
      <c r="J12" s="22" t="s">
        <v>127</v>
      </c>
      <c r="K12" s="22"/>
      <c r="L12" s="72"/>
      <c r="M12" s="72"/>
      <c r="N12" s="72"/>
    </row>
    <row r="13" spans="1:14" ht="21.75" customHeight="1">
      <c r="A13" s="22" t="str">
        <v>Rockbridge Baths - Small Mouth Bass</v>
      </c>
      <c r="B13" s="22" t="str">
        <v>VA</v>
      </c>
      <c r="C13" s="22"/>
      <c r="D13" s="22"/>
      <c r="E13" s="22" t="str">
        <f t="shared" si="0"/>
        <v/>
      </c>
      <c r="F13" s="22" t="str">
        <f t="shared" si="3"/>
        <v/>
      </c>
      <c r="G13" s="22"/>
      <c r="H13" s="22" t="str">
        <f t="shared" si="1"/>
        <v/>
      </c>
      <c r="I13" s="22" t="str">
        <f t="shared" si="2"/>
        <v/>
      </c>
      <c r="J13" s="22" t="s">
        <v>127</v>
      </c>
      <c r="K13" s="22"/>
      <c r="L13" s="72"/>
      <c r="M13" s="72"/>
      <c r="N13" s="72"/>
    </row>
    <row r="14" spans="1:14">
      <c r="A14" s="22"/>
      <c r="B14" s="22"/>
      <c r="C14" s="22"/>
      <c r="D14" s="22"/>
      <c r="E14" s="22" t="str">
        <f t="shared" si="0"/>
        <v/>
      </c>
      <c r="F14" s="22" t="str">
        <f t="shared" si="3"/>
        <v/>
      </c>
      <c r="G14" s="22"/>
      <c r="H14" s="22" t="str">
        <f t="shared" si="1"/>
        <v/>
      </c>
      <c r="I14" s="22" t="str">
        <f t="shared" si="2"/>
        <v/>
      </c>
      <c r="J14" s="22"/>
      <c r="K14" s="22"/>
      <c r="L14" s="72"/>
      <c r="M14" s="72"/>
      <c r="N14" s="72"/>
    </row>
    <row r="15" spans="1:14">
      <c r="A15" s="22"/>
      <c r="B15" s="22"/>
      <c r="C15" s="22"/>
      <c r="D15" s="22"/>
      <c r="E15" s="22" t="str">
        <f t="shared" si="0"/>
        <v/>
      </c>
      <c r="F15" s="22" t="str">
        <f t="shared" si="3"/>
        <v/>
      </c>
      <c r="G15" s="22"/>
      <c r="H15" s="22" t="str">
        <f t="shared" si="1"/>
        <v/>
      </c>
      <c r="I15" s="22" t="str">
        <f t="shared" si="2"/>
        <v/>
      </c>
      <c r="J15" s="22"/>
      <c r="K15" s="22"/>
      <c r="L15" s="72"/>
      <c r="M15" s="72"/>
      <c r="N15" s="72"/>
    </row>
    <row r="16" spans="1:14">
      <c r="A16" s="22"/>
      <c r="B16" s="22"/>
      <c r="C16" s="22"/>
      <c r="D16" s="22"/>
      <c r="E16" s="22" t="str">
        <f t="shared" si="0"/>
        <v/>
      </c>
      <c r="F16" s="22" t="str">
        <f t="shared" si="3"/>
        <v/>
      </c>
      <c r="G16" s="22"/>
      <c r="H16" s="22" t="str">
        <f t="shared" si="1"/>
        <v/>
      </c>
      <c r="I16" s="22" t="str">
        <f t="shared" si="2"/>
        <v/>
      </c>
      <c r="J16" s="22"/>
      <c r="K16" s="22"/>
      <c r="L16" s="72"/>
      <c r="M16" s="72"/>
      <c r="N16" s="72"/>
    </row>
    <row r="17" spans="1:14">
      <c r="A17" s="22"/>
      <c r="B17" s="22"/>
      <c r="C17" s="22"/>
      <c r="D17" s="22"/>
      <c r="E17" s="22" t="str">
        <f t="shared" si="0"/>
        <v/>
      </c>
      <c r="F17" s="22" t="str">
        <f t="shared" si="3"/>
        <v/>
      </c>
      <c r="G17" s="22"/>
      <c r="H17" s="22" t="str">
        <f t="shared" si="1"/>
        <v/>
      </c>
      <c r="I17" s="22" t="str">
        <f t="shared" si="2"/>
        <v/>
      </c>
      <c r="J17" s="22"/>
      <c r="K17" s="22"/>
      <c r="L17" s="72"/>
      <c r="M17" s="72"/>
      <c r="N17" s="7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7 I4:I7 F18:F100 I18:I100">
    <cfRule type="cellIs" dxfId="28" priority="1" stopIfTrue="1" operator="lessThanOrEqual">
      <formula>-0.1</formula>
    </cfRule>
    <cfRule type="expression" dxfId="27" priority="2">
      <formula>AND(ISNUMBER(F4), F4&gt;=0.1)</formula>
    </cfRule>
  </conditionalFormatting>
  <hyperlinks>
    <hyperlink ref="K4" r:id="rId1" display="https://us3.assetplanner.com/service_request?ID=099790" xr:uid="{F5775E3D-5495-4E27-81AF-747D0ACF3313}"/>
    <hyperlink ref="L4" r:id="rId2" display="https://us3.assetplanner.com/service_request?ID=101579" xr:uid="{EFCC085F-863A-4E0B-95D3-EBA50EFBB36E}"/>
    <hyperlink ref="M4" r:id="rId3" display="https://us3.assetplanner.com/service_request?ID=101399" xr:uid="{52FE1DBB-A60C-4FB8-9E55-1C8883112C4C}"/>
    <hyperlink ref="K7" r:id="rId4" display="https://us3.assetplanner.com/service_request?ID=096263" xr:uid="{4E4E80C8-7A21-4723-8CF2-F108BE9C5CD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tabSelected="1" zoomScale="80" zoomScaleNormal="80" workbookViewId="0">
      <pane xSplit="2" ySplit="3" topLeftCell="C4" activePane="bottomRight" state="frozen"/>
      <selection pane="bottomRight" activeCell="J26" sqref="J26"/>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5" t="str" cm="1">
        <f t="array" ref="A1">portfolio</f>
        <v>Tortoise</v>
      </c>
      <c r="B1" s="75"/>
      <c r="C1" s="75"/>
      <c r="D1" s="76" t="s">
        <v>136</v>
      </c>
      <c r="E1" s="76"/>
      <c r="F1" s="76"/>
      <c r="G1" s="74" t="s">
        <v>137</v>
      </c>
      <c r="H1" s="74"/>
      <c r="I1" s="74"/>
      <c r="J1" s="5"/>
      <c r="K1" s="5"/>
    </row>
    <row r="2" spans="1:15" ht="19.5" customHeight="1">
      <c r="A2" s="77" t="s">
        <v>2</v>
      </c>
      <c r="B2" s="77"/>
      <c r="C2" s="6">
        <f>SUM(C4:C100)</f>
        <v>408649.72000000003</v>
      </c>
      <c r="D2" s="6">
        <f>SUM(D4:D100)</f>
        <v>487259.32651704602</v>
      </c>
      <c r="E2" s="6">
        <f>C2-D2</f>
        <v>-78609.606517045991</v>
      </c>
      <c r="F2" s="7">
        <f>IFERROR(E2/D2, 0)</f>
        <v>-0.16133012184487341</v>
      </c>
      <c r="G2" s="6">
        <f>SUM(G4:G100)</f>
        <v>585527.51</v>
      </c>
      <c r="H2" s="8">
        <f>C2-G2</f>
        <v>-176877.78999999998</v>
      </c>
      <c r="I2" s="7">
        <f>IFERROR(H2/G2, 0)</f>
        <v>-0.30208280051606795</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v>111918</v>
      </c>
      <c r="D4" s="14">
        <v>114821.173517046</v>
      </c>
      <c r="E4" s="14">
        <f>IF(AND(ISNUMBER(C4),ISNUMBER(D4)), C4-D4, "")</f>
        <v>-2903.1735170460015</v>
      </c>
      <c r="F4" s="15">
        <f>IFERROR(E4/D4, "")</f>
        <v>-2.5284304524330656E-2</v>
      </c>
      <c r="G4" s="16">
        <v>134380.51</v>
      </c>
      <c r="H4" s="16">
        <f>IF(AND(ISNUMBER(C4),ISNUMBER(G4)), C4-G4, "")</f>
        <v>-22462.510000000009</v>
      </c>
      <c r="I4" s="17">
        <f>IFERROR(H4/G4, "")</f>
        <v>-0.16715601094236068</v>
      </c>
      <c r="J4" s="41" t="s">
        <v>138</v>
      </c>
      <c r="K4" s="68" t="s">
        <v>139</v>
      </c>
    </row>
    <row r="5" spans="1:15" ht="28.9">
      <c r="A5" s="30" t="str">
        <v>San Luis Valley</v>
      </c>
      <c r="B5" s="31" t="str">
        <v>CO</v>
      </c>
      <c r="C5" s="12">
        <v>241428.75</v>
      </c>
      <c r="D5" s="19">
        <v>210534.98499999999</v>
      </c>
      <c r="E5" s="19">
        <f t="shared" ref="E5:E17" si="0">IF(AND(ISNUMBER(C5),ISNUMBER(D5)), C5-D5, "")</f>
        <v>30893.765000000014</v>
      </c>
      <c r="F5" s="20">
        <f>IFERROR(E5/D5, "")</f>
        <v>0.14673934120735332</v>
      </c>
      <c r="G5" s="21">
        <v>268540</v>
      </c>
      <c r="H5" s="21">
        <f t="shared" ref="H5:H17" si="1">IF(AND(ISNUMBER(C5),ISNUMBER(G5)), C5-G5, "")</f>
        <v>-27111.25</v>
      </c>
      <c r="I5" s="20">
        <f t="shared" ref="I5:I17" si="2">IFERROR(H5/G5, "")</f>
        <v>-0.10095795784613093</v>
      </c>
      <c r="J5" s="42" t="s">
        <v>140</v>
      </c>
      <c r="K5" s="73" t="s">
        <v>141</v>
      </c>
    </row>
    <row r="6" spans="1:15" ht="15.6">
      <c r="A6" s="32" t="str">
        <v>Golden NREL 2</v>
      </c>
      <c r="B6" s="29" t="str">
        <v>CO</v>
      </c>
      <c r="C6" s="25">
        <v>12760.89</v>
      </c>
      <c r="D6" s="14">
        <v>13409.368</v>
      </c>
      <c r="E6" s="14">
        <f t="shared" si="0"/>
        <v>-648.47800000000097</v>
      </c>
      <c r="F6" s="15">
        <f t="shared" ref="F6:F17" si="3">IFERROR(E6/D6, "")</f>
        <v>-4.8360071854244062E-2</v>
      </c>
      <c r="G6" s="16">
        <v>15123</v>
      </c>
      <c r="H6" s="16">
        <f t="shared" si="1"/>
        <v>-2362.1100000000006</v>
      </c>
      <c r="I6" s="17">
        <f t="shared" si="2"/>
        <v>-0.15619321563181912</v>
      </c>
      <c r="J6" s="41" t="s">
        <v>142</v>
      </c>
      <c r="K6" s="41"/>
    </row>
    <row r="7" spans="1:15" ht="43.15">
      <c r="A7" s="30" t="str">
        <v>Golden NREL Wind 3</v>
      </c>
      <c r="B7" s="31" t="str">
        <v>CO</v>
      </c>
      <c r="C7" s="12">
        <v>42542.080000000002</v>
      </c>
      <c r="D7" s="19">
        <v>148493.79999999999</v>
      </c>
      <c r="E7" s="19">
        <f t="shared" si="0"/>
        <v>-105951.71999999999</v>
      </c>
      <c r="F7" s="20">
        <f t="shared" si="3"/>
        <v>-0.71350938557704091</v>
      </c>
      <c r="G7" s="21">
        <v>167484</v>
      </c>
      <c r="H7" s="21">
        <f t="shared" si="1"/>
        <v>-124941.92</v>
      </c>
      <c r="I7" s="20">
        <f t="shared" si="2"/>
        <v>-0.74599316949678773</v>
      </c>
      <c r="J7" s="48" t="s">
        <v>143</v>
      </c>
      <c r="K7" s="60" t="s">
        <v>29</v>
      </c>
    </row>
    <row r="8" spans="1:15" hidden="1">
      <c r="A8" s="22" t="str">
        <v>Pratt Solar Farm</v>
      </c>
      <c r="B8" s="22" t="str">
        <v>KS</v>
      </c>
      <c r="C8" s="22"/>
      <c r="D8" s="22"/>
      <c r="E8" s="22" t="str">
        <f t="shared" si="0"/>
        <v/>
      </c>
      <c r="F8" s="22" t="str">
        <f t="shared" si="3"/>
        <v/>
      </c>
      <c r="G8" s="22"/>
      <c r="H8" s="22" t="str">
        <f t="shared" si="1"/>
        <v/>
      </c>
      <c r="I8" s="22" t="str">
        <f t="shared" si="2"/>
        <v/>
      </c>
      <c r="J8" s="22"/>
      <c r="K8" s="22"/>
      <c r="L8" s="22"/>
      <c r="M8" s="22"/>
      <c r="N8" s="22"/>
      <c r="O8" s="22"/>
    </row>
    <row r="9" spans="1:15" ht="18" hidden="1" customHeight="1">
      <c r="A9" s="22" t="str">
        <v>Rochester - 5516 Valleyhigh NW</v>
      </c>
      <c r="B9" s="22" t="str">
        <v>MN</v>
      </c>
      <c r="C9" s="22"/>
      <c r="D9" s="22"/>
      <c r="E9" s="22" t="str">
        <f t="shared" si="0"/>
        <v/>
      </c>
      <c r="F9" s="22" t="str">
        <f t="shared" si="3"/>
        <v/>
      </c>
      <c r="G9" s="22"/>
      <c r="H9" s="22" t="str">
        <f t="shared" si="1"/>
        <v/>
      </c>
      <c r="I9" s="22" t="str">
        <f t="shared" si="2"/>
        <v/>
      </c>
      <c r="J9" s="22"/>
      <c r="K9" s="22"/>
      <c r="L9" s="22"/>
      <c r="M9" s="22"/>
      <c r="N9" s="22"/>
      <c r="O9" s="22"/>
    </row>
    <row r="10" spans="1:15" hidden="1">
      <c r="A10" s="22" t="str">
        <v>Warsaw - 2201 Richmond</v>
      </c>
      <c r="B10" s="22" t="str">
        <v>VA</v>
      </c>
      <c r="C10" s="22"/>
      <c r="D10" s="22"/>
      <c r="E10" s="22" t="str">
        <f t="shared" si="0"/>
        <v/>
      </c>
      <c r="F10" s="22" t="str">
        <f t="shared" si="3"/>
        <v/>
      </c>
      <c r="G10" s="22"/>
      <c r="H10" s="22" t="str">
        <f t="shared" si="1"/>
        <v/>
      </c>
      <c r="I10" s="22" t="str">
        <f t="shared" si="2"/>
        <v/>
      </c>
      <c r="J10" s="22"/>
      <c r="K10" s="22"/>
      <c r="L10" s="22"/>
      <c r="M10" s="22"/>
      <c r="N10" s="22"/>
      <c r="O10" s="22"/>
    </row>
    <row r="11" spans="1:15" hidden="1">
      <c r="A11" s="22" t="str">
        <v>Mount Jackson - Randolf</v>
      </c>
      <c r="B11" s="22" t="str">
        <v>VA</v>
      </c>
      <c r="C11" s="22"/>
      <c r="D11" s="22"/>
      <c r="E11" s="22" t="str">
        <f t="shared" si="0"/>
        <v/>
      </c>
      <c r="F11" s="22" t="str">
        <f t="shared" si="3"/>
        <v/>
      </c>
      <c r="G11" s="22"/>
      <c r="H11" s="22" t="str">
        <f t="shared" si="1"/>
        <v/>
      </c>
      <c r="I11" s="22" t="str">
        <f t="shared" si="2"/>
        <v/>
      </c>
      <c r="J11" s="22"/>
      <c r="K11" s="22"/>
      <c r="L11" s="22"/>
      <c r="M11" s="22"/>
      <c r="N11" s="22"/>
      <c r="O11" s="22"/>
    </row>
    <row r="12" spans="1:15" hidden="1">
      <c r="A12" s="22" t="str">
        <v>Callands Gretna - Monroe</v>
      </c>
      <c r="B12" s="22" t="str">
        <v>VA</v>
      </c>
      <c r="C12" s="22"/>
      <c r="D12" s="22"/>
      <c r="E12" s="22" t="str">
        <f t="shared" si="0"/>
        <v/>
      </c>
      <c r="F12" s="22" t="str">
        <f t="shared" si="3"/>
        <v/>
      </c>
      <c r="G12" s="22"/>
      <c r="H12" s="22" t="str">
        <f t="shared" si="1"/>
        <v/>
      </c>
      <c r="I12" s="22" t="str">
        <f t="shared" si="2"/>
        <v/>
      </c>
      <c r="J12" s="22"/>
      <c r="K12" s="22"/>
      <c r="L12" s="22"/>
      <c r="M12" s="22"/>
      <c r="N12" s="22"/>
      <c r="O12" s="22"/>
    </row>
    <row r="13" spans="1:15" hidden="1">
      <c r="A13" s="22" t="str">
        <v>Rockbridge Baths - Small Mouth Bass</v>
      </c>
      <c r="B13" s="22" t="str">
        <v>VA</v>
      </c>
      <c r="C13" s="22"/>
      <c r="D13" s="22"/>
      <c r="E13" s="22" t="str">
        <f t="shared" si="0"/>
        <v/>
      </c>
      <c r="F13" s="22" t="str">
        <f t="shared" si="3"/>
        <v/>
      </c>
      <c r="G13" s="22"/>
      <c r="H13" s="22" t="str">
        <f t="shared" si="1"/>
        <v/>
      </c>
      <c r="I13" s="22" t="str">
        <f t="shared" si="2"/>
        <v/>
      </c>
      <c r="J13" s="22"/>
      <c r="K13" s="2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7 I4:I7 A8:K19 F20:F100 I20:I100">
    <cfRule type="cellIs" dxfId="24" priority="1" stopIfTrue="1" operator="lessThanOrEqual">
      <formula>-0.1</formula>
    </cfRule>
    <cfRule type="expression" dxfId="23" priority="2">
      <formula>AND(ISNUMBER(A4), A4&gt;=0.1)</formula>
    </cfRule>
  </conditionalFormatting>
  <hyperlinks>
    <hyperlink ref="K4" r:id="rId1" display="https://us3.assetplanner.com/service_request?ID=102730" xr:uid="{817151CE-FC08-488C-92B8-EF11A8FD9BEE}"/>
    <hyperlink ref="K5" r:id="rId2" display="https://us3.assetplanner.com/service_request?ID=103430" xr:uid="{4E238238-B8E1-4FB0-B369-BE30690B6AA6}"/>
    <hyperlink ref="K7" r:id="rId3" display="https://us3.assetplanner.com/service_request?ID=096263" xr:uid="{A454E993-3BA7-4543-91D6-5B8634116D65}"/>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F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5" t="str" cm="1">
        <f t="array" ref="A1">portfolio</f>
        <v>Tortoise</v>
      </c>
      <c r="B1" s="75"/>
      <c r="C1" s="75"/>
      <c r="D1" s="76" t="s">
        <v>144</v>
      </c>
      <c r="E1" s="76"/>
      <c r="F1" s="76"/>
      <c r="G1" s="74" t="s">
        <v>145</v>
      </c>
      <c r="H1" s="74"/>
      <c r="I1" s="74"/>
      <c r="J1" s="5"/>
      <c r="K1" s="5"/>
    </row>
    <row r="2" spans="1:12" ht="19.5" customHeight="1">
      <c r="A2" s="77" t="s">
        <v>2</v>
      </c>
      <c r="B2" s="77"/>
      <c r="C2" s="6">
        <f>SUM(C4:C100)</f>
        <v>0</v>
      </c>
      <c r="D2" s="6">
        <f>SUM(D4:D100)</f>
        <v>0</v>
      </c>
      <c r="E2" s="6">
        <f>C2-D2</f>
        <v>0</v>
      </c>
      <c r="F2" s="7">
        <f>IFERROR(E2/D2, 0)</f>
        <v>0</v>
      </c>
      <c r="G2" s="6">
        <f>SUM(G4:G100)</f>
        <v>0</v>
      </c>
      <c r="H2" s="8">
        <f>C2-G2</f>
        <v>0</v>
      </c>
      <c r="I2" s="7">
        <f>IFERROR(H2/G2, 0)</f>
        <v>0</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 t="shared" ref="I4:I13" si="0">IFERROR(H4/G4, "")</f>
        <v/>
      </c>
      <c r="J4" s="41"/>
      <c r="K4" s="41"/>
    </row>
    <row r="5" spans="1:12" ht="15.6">
      <c r="A5" s="30" t="str">
        <v>San Luis Valley</v>
      </c>
      <c r="B5" s="31" t="str">
        <v>CO</v>
      </c>
      <c r="C5" s="12"/>
      <c r="D5" s="19"/>
      <c r="E5" s="19" t="str">
        <f>IF(AND(ISNUMBER(C5),ISNUMBER(D5)), C5-D5, "")</f>
        <v/>
      </c>
      <c r="F5" s="20" t="str">
        <f>IFERROR(E5/D5, "")</f>
        <v/>
      </c>
      <c r="G5" s="21"/>
      <c r="H5" s="21" t="str">
        <f t="shared" ref="H5:H17" si="1">IF(AND(ISNUMBER(C5),ISNUMBER(G5)), C5-G5, "")</f>
        <v/>
      </c>
      <c r="I5" s="53" t="str">
        <f t="shared" si="0"/>
        <v/>
      </c>
      <c r="J5" s="42"/>
      <c r="K5" s="42"/>
    </row>
    <row r="6" spans="1:12" ht="15.6">
      <c r="A6" s="32" t="str">
        <v>Golden NREL 2</v>
      </c>
      <c r="B6" s="29" t="str">
        <v>CO</v>
      </c>
      <c r="C6" s="25"/>
      <c r="D6" s="14"/>
      <c r="E6" s="14" t="str">
        <f t="shared" ref="E6:E17" si="2">IF(AND(ISNUMBER(C6),ISNUMBER(D6)), C6-D6, "")</f>
        <v/>
      </c>
      <c r="F6" s="15" t="str">
        <f t="shared" ref="F6:F17" si="3">IFERROR(E6/D6, "")</f>
        <v/>
      </c>
      <c r="G6" s="16"/>
      <c r="H6" s="16" t="str">
        <f t="shared" si="1"/>
        <v/>
      </c>
      <c r="I6" s="17" t="str">
        <f t="shared" si="0"/>
        <v/>
      </c>
      <c r="J6" s="41"/>
      <c r="K6" s="41"/>
    </row>
    <row r="7" spans="1:12" ht="15.6">
      <c r="A7" s="30" t="str">
        <v>Golden NREL Wind 3</v>
      </c>
      <c r="B7" s="31" t="str">
        <v>CO</v>
      </c>
      <c r="C7" s="12"/>
      <c r="D7" s="19"/>
      <c r="E7" s="19" t="str">
        <f t="shared" si="2"/>
        <v/>
      </c>
      <c r="F7" s="20" t="str">
        <f t="shared" si="3"/>
        <v/>
      </c>
      <c r="G7" s="21"/>
      <c r="H7" s="21" t="str">
        <f t="shared" si="1"/>
        <v/>
      </c>
      <c r="I7" s="53" t="str">
        <f t="shared" si="0"/>
        <v/>
      </c>
      <c r="J7" s="48"/>
      <c r="K7" s="48"/>
    </row>
    <row r="8" spans="1:12" ht="15.6">
      <c r="A8" s="32" t="str">
        <v>Pratt Solar Farm</v>
      </c>
      <c r="B8" s="29" t="str">
        <v>KS</v>
      </c>
      <c r="C8" s="46"/>
      <c r="D8" s="14"/>
      <c r="E8" s="14" t="str">
        <f t="shared" si="2"/>
        <v/>
      </c>
      <c r="F8" s="15" t="str">
        <f t="shared" si="3"/>
        <v/>
      </c>
      <c r="G8" s="16"/>
      <c r="H8" s="16" t="str">
        <f t="shared" si="1"/>
        <v/>
      </c>
      <c r="I8" s="17" t="str">
        <f t="shared" si="0"/>
        <v/>
      </c>
      <c r="J8" s="41"/>
      <c r="K8" s="41"/>
    </row>
    <row r="9" spans="1:12" ht="15.6">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c r="A14" s="22"/>
      <c r="B14" s="22"/>
      <c r="C14" s="22"/>
      <c r="D14" s="22"/>
      <c r="E14" s="22" t="str">
        <f t="shared" si="2"/>
        <v/>
      </c>
      <c r="F14" s="22" t="str">
        <f t="shared" si="3"/>
        <v/>
      </c>
      <c r="G14" s="22"/>
      <c r="H14" s="22" t="str">
        <f t="shared" si="1"/>
        <v/>
      </c>
      <c r="I14" s="22" t="str">
        <f t="shared" ref="I14:I17" si="4">IFERROR(H14/G14, "")</f>
        <v/>
      </c>
      <c r="J14" s="22"/>
      <c r="K14" s="22"/>
      <c r="L14" s="22"/>
    </row>
    <row r="15" spans="1:12">
      <c r="A15" s="22"/>
      <c r="B15" s="22"/>
      <c r="C15" s="22"/>
      <c r="D15" s="22"/>
      <c r="E15" s="22" t="str">
        <f t="shared" si="2"/>
        <v/>
      </c>
      <c r="F15" s="22" t="str">
        <f t="shared" si="3"/>
        <v/>
      </c>
      <c r="G15" s="22"/>
      <c r="H15" s="22" t="str">
        <f t="shared" si="1"/>
        <v/>
      </c>
      <c r="I15" s="22" t="str">
        <f t="shared" si="4"/>
        <v/>
      </c>
      <c r="J15" s="22"/>
      <c r="K15" s="22"/>
      <c r="L15" s="22"/>
    </row>
    <row r="16" spans="1:12">
      <c r="A16" s="22"/>
      <c r="B16" s="22"/>
      <c r="C16" s="22"/>
      <c r="D16" s="22"/>
      <c r="E16" s="22" t="str">
        <f t="shared" si="2"/>
        <v/>
      </c>
      <c r="F16" s="22" t="str">
        <f t="shared" si="3"/>
        <v/>
      </c>
      <c r="G16" s="22"/>
      <c r="H16" s="22" t="str">
        <f t="shared" si="1"/>
        <v/>
      </c>
      <c r="I16" s="22" t="str">
        <f t="shared" si="4"/>
        <v/>
      </c>
      <c r="J16" s="22"/>
      <c r="K16" s="22"/>
      <c r="L16" s="22"/>
    </row>
    <row r="17" spans="1:12">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5" t="str" cm="1">
        <f t="array" ref="A1">portfolio</f>
        <v>Tortoise</v>
      </c>
      <c r="B1" s="75"/>
      <c r="C1" s="75"/>
      <c r="D1" s="76" t="s">
        <v>146</v>
      </c>
      <c r="E1" s="76"/>
      <c r="F1" s="76"/>
      <c r="G1" s="74" t="s">
        <v>147</v>
      </c>
      <c r="H1" s="74"/>
      <c r="I1" s="74"/>
      <c r="J1" s="5"/>
      <c r="K1" s="5"/>
    </row>
    <row r="2" spans="1:13" ht="19.5" customHeight="1">
      <c r="A2" s="77" t="s">
        <v>2</v>
      </c>
      <c r="B2" s="77"/>
      <c r="C2" s="6">
        <f>SUM(C4:C100)</f>
        <v>0</v>
      </c>
      <c r="D2" s="6">
        <f>SUM(D4:D100)</f>
        <v>0</v>
      </c>
      <c r="E2" s="6">
        <f>C2-D2</f>
        <v>0</v>
      </c>
      <c r="F2" s="7">
        <f>IFERROR(E2/D2, 0)</f>
        <v>0</v>
      </c>
      <c r="G2" s="6">
        <f>SUM(G4:G100)</f>
        <v>0</v>
      </c>
      <c r="H2" s="8">
        <f>C2-G2</f>
        <v>0</v>
      </c>
      <c r="I2" s="7">
        <f>IFERROR(H2/G2, 0)</f>
        <v>0</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3" ht="47.25" customHeight="1">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55"/>
      <c r="K5" s="55"/>
    </row>
    <row r="6" spans="1:13"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6">
      <c r="A7" s="30" t="str">
        <v>Golden NREL Wind 3</v>
      </c>
      <c r="B7" s="31" t="str">
        <v>CO</v>
      </c>
      <c r="C7" s="12"/>
      <c r="D7" s="19"/>
      <c r="E7" s="19" t="str">
        <f t="shared" si="0"/>
        <v/>
      </c>
      <c r="F7" s="20" t="str">
        <f t="shared" si="3"/>
        <v/>
      </c>
      <c r="G7" s="21"/>
      <c r="H7" s="21" t="str">
        <f t="shared" si="1"/>
        <v/>
      </c>
      <c r="I7" s="20" t="str">
        <f t="shared" si="2"/>
        <v/>
      </c>
      <c r="J7" s="42"/>
      <c r="K7" s="42"/>
    </row>
    <row r="8" spans="1:13" ht="15.6">
      <c r="A8" s="32" t="str">
        <v>Pratt Solar Farm</v>
      </c>
      <c r="B8" s="29" t="str">
        <v>KS</v>
      </c>
      <c r="C8" s="25"/>
      <c r="D8" s="14"/>
      <c r="E8" s="14" t="str">
        <f t="shared" si="0"/>
        <v/>
      </c>
      <c r="F8" s="15" t="str">
        <f t="shared" si="3"/>
        <v/>
      </c>
      <c r="G8" s="16"/>
      <c r="H8" s="16" t="str">
        <f t="shared" si="1"/>
        <v/>
      </c>
      <c r="I8" s="17" t="str">
        <f t="shared" si="2"/>
        <v/>
      </c>
      <c r="J8" s="41"/>
      <c r="K8" s="41"/>
    </row>
    <row r="9" spans="1:13" ht="96.75" customHeight="1">
      <c r="A9" s="30" t="str">
        <v>Rochester - 5516 Valleyhigh NW</v>
      </c>
      <c r="B9" s="31" t="str">
        <v>MN</v>
      </c>
      <c r="C9" s="12"/>
      <c r="D9" s="19"/>
      <c r="E9" s="19" t="str">
        <f t="shared" si="0"/>
        <v/>
      </c>
      <c r="F9" s="20" t="str">
        <f t="shared" si="3"/>
        <v/>
      </c>
      <c r="G9" s="54"/>
      <c r="H9" s="21" t="str">
        <f t="shared" si="1"/>
        <v/>
      </c>
      <c r="I9" s="20" t="str">
        <f t="shared" si="2"/>
        <v/>
      </c>
      <c r="J9" s="55"/>
      <c r="K9" s="55"/>
      <c r="L9" s="22"/>
      <c r="M9" s="22"/>
    </row>
    <row r="10" spans="1:13"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6">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row>
    <row r="12" spans="1:13"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row>
    <row r="13" spans="1:13" ht="15.6">
      <c r="A13" s="30" t="str">
        <v>Rockbridge Baths - Small Mouth Bass</v>
      </c>
      <c r="B13" s="31" t="str">
        <v>VA</v>
      </c>
      <c r="C13" s="12"/>
      <c r="D13" s="19"/>
      <c r="E13" s="19" t="str">
        <f t="shared" si="0"/>
        <v/>
      </c>
      <c r="F13" s="20" t="str">
        <f t="shared" si="3"/>
        <v/>
      </c>
      <c r="G13" s="21"/>
      <c r="H13" s="21" t="str">
        <f t="shared" si="1"/>
        <v/>
      </c>
      <c r="I13" s="20" t="str">
        <f t="shared" si="2"/>
        <v/>
      </c>
      <c r="J13" s="42"/>
      <c r="K13" s="55"/>
      <c r="L13" s="22"/>
      <c r="M13" s="22"/>
    </row>
    <row r="14" spans="1:13">
      <c r="A14" s="22"/>
      <c r="B14" s="22"/>
      <c r="C14" s="22"/>
      <c r="D14" s="22"/>
      <c r="E14" s="22" t="str">
        <f t="shared" si="0"/>
        <v/>
      </c>
      <c r="F14" s="22" t="str">
        <f t="shared" si="3"/>
        <v/>
      </c>
      <c r="G14" s="22"/>
      <c r="H14" s="22" t="str">
        <f t="shared" si="1"/>
        <v/>
      </c>
      <c r="I14" s="22" t="str">
        <f t="shared" si="2"/>
        <v/>
      </c>
      <c r="J14" s="22"/>
      <c r="K14" s="22"/>
      <c r="L14" s="22"/>
      <c r="M14" s="22"/>
    </row>
    <row r="15" spans="1:13">
      <c r="A15" s="22"/>
      <c r="B15" s="22"/>
      <c r="C15" s="22"/>
      <c r="D15" s="22"/>
      <c r="E15" s="22" t="str">
        <f t="shared" si="0"/>
        <v/>
      </c>
      <c r="F15" s="22" t="str">
        <f t="shared" si="3"/>
        <v/>
      </c>
      <c r="G15" s="22"/>
      <c r="H15" s="22" t="str">
        <f t="shared" si="1"/>
        <v/>
      </c>
      <c r="I15" s="22" t="str">
        <f t="shared" si="2"/>
        <v/>
      </c>
      <c r="J15" s="22"/>
      <c r="K15" s="22"/>
      <c r="L15" s="22"/>
      <c r="M15" s="22"/>
    </row>
    <row r="16" spans="1:13">
      <c r="A16" s="22"/>
      <c r="B16" s="22"/>
      <c r="C16" s="22"/>
      <c r="D16" s="22"/>
      <c r="E16" s="22" t="str">
        <f t="shared" si="0"/>
        <v/>
      </c>
      <c r="F16" s="22" t="str">
        <f t="shared" si="3"/>
        <v/>
      </c>
      <c r="G16" s="22"/>
      <c r="H16" s="22" t="str">
        <f t="shared" si="1"/>
        <v/>
      </c>
      <c r="I16" s="22" t="str">
        <f t="shared" si="2"/>
        <v/>
      </c>
      <c r="J16" s="22"/>
      <c r="K16" s="22"/>
      <c r="L16" s="22"/>
      <c r="M16" s="22"/>
    </row>
    <row r="17" spans="1:13">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zoomScale="70" zoomScaleNormal="7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75" t="str" cm="1">
        <f t="array" ref="A1">portfolio</f>
        <v>Tortoise</v>
      </c>
      <c r="B1" s="75"/>
      <c r="C1" s="75"/>
      <c r="D1" s="76" t="s">
        <v>148</v>
      </c>
      <c r="E1" s="76"/>
      <c r="F1" s="76"/>
      <c r="G1" s="74" t="s">
        <v>149</v>
      </c>
      <c r="H1" s="74"/>
      <c r="I1" s="74"/>
      <c r="J1" s="5"/>
      <c r="K1" s="5"/>
    </row>
    <row r="2" spans="1:12" ht="19.5" customHeight="1">
      <c r="A2" s="77" t="s">
        <v>2</v>
      </c>
      <c r="B2" s="77"/>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6" si="1">IF(AND(ISNUMBER(C5),ISNUMBER(G5)), C5-G5, "")</f>
        <v/>
      </c>
      <c r="I5" s="20" t="str">
        <f t="shared" ref="I5:I16" si="2">IFERROR(H5/G5, "")</f>
        <v/>
      </c>
      <c r="J5" s="48"/>
      <c r="K5" s="48"/>
    </row>
    <row r="6" spans="1:12" ht="15.6">
      <c r="A6" s="32" t="str">
        <v>Golden NREL 2</v>
      </c>
      <c r="B6" s="29" t="str">
        <v>CO</v>
      </c>
      <c r="C6" s="25"/>
      <c r="D6" s="14"/>
      <c r="E6" s="14" t="str">
        <f t="shared" si="0"/>
        <v/>
      </c>
      <c r="F6" s="15" t="str">
        <f t="shared" ref="F6:F17" si="3">IFERROR(E6/D6, "")</f>
        <v/>
      </c>
      <c r="G6" s="16"/>
      <c r="H6" s="16" t="str">
        <f t="shared" si="1"/>
        <v/>
      </c>
      <c r="I6" s="17" t="str">
        <f t="shared" si="2"/>
        <v/>
      </c>
      <c r="J6" s="50"/>
      <c r="K6" s="50"/>
    </row>
    <row r="7" spans="1:12" ht="15.6">
      <c r="A7" s="30" t="str">
        <v>Golden NREL Wind 3</v>
      </c>
      <c r="B7" s="31" t="str">
        <v>CO</v>
      </c>
      <c r="C7" s="12"/>
      <c r="D7" s="19"/>
      <c r="E7" s="19" t="str">
        <f t="shared" si="0"/>
        <v/>
      </c>
      <c r="F7" s="20" t="str">
        <f t="shared" si="3"/>
        <v/>
      </c>
      <c r="G7" s="21"/>
      <c r="H7" s="21" t="str">
        <f t="shared" si="1"/>
        <v/>
      </c>
      <c r="I7" s="20" t="str">
        <f t="shared" si="2"/>
        <v/>
      </c>
      <c r="J7" s="48"/>
      <c r="K7" s="48"/>
    </row>
    <row r="8" spans="1:12" ht="15.6">
      <c r="A8" s="32" t="str">
        <v>Pratt Solar Farm</v>
      </c>
      <c r="B8" s="29" t="str">
        <v>KS</v>
      </c>
      <c r="C8" s="25"/>
      <c r="D8" s="14"/>
      <c r="E8" s="14" t="str">
        <f t="shared" si="0"/>
        <v/>
      </c>
      <c r="F8" s="15" t="str">
        <f t="shared" si="3"/>
        <v/>
      </c>
      <c r="G8" s="16"/>
      <c r="H8" s="16" t="str">
        <f t="shared" si="1"/>
        <v/>
      </c>
      <c r="I8" s="17" t="str">
        <f t="shared" si="2"/>
        <v/>
      </c>
      <c r="J8" s="50"/>
      <c r="K8" s="50"/>
    </row>
    <row r="9" spans="1:12" ht="100.5" customHeight="1">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2" ht="15.6">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2" ht="15.6">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2" ht="15.6">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2" ht="15.6">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2">
      <c r="A14" s="22"/>
      <c r="B14" s="22"/>
      <c r="C14" s="22"/>
      <c r="D14" s="22"/>
      <c r="E14" s="22" t="str">
        <f t="shared" si="0"/>
        <v/>
      </c>
      <c r="F14" s="22" t="str">
        <f t="shared" si="3"/>
        <v/>
      </c>
      <c r="G14" s="22"/>
      <c r="H14" s="22" t="str">
        <f t="shared" si="1"/>
        <v/>
      </c>
      <c r="I14" s="22" t="str">
        <f t="shared" si="2"/>
        <v/>
      </c>
      <c r="J14" s="22"/>
      <c r="K14" s="22"/>
      <c r="L14" s="22"/>
    </row>
    <row r="15" spans="1:12">
      <c r="A15" s="22"/>
      <c r="B15" s="22"/>
      <c r="C15" s="22"/>
      <c r="D15" s="22"/>
      <c r="E15" s="22" t="str">
        <f t="shared" si="0"/>
        <v/>
      </c>
      <c r="F15" s="22" t="str">
        <f t="shared" si="3"/>
        <v/>
      </c>
      <c r="G15" s="22"/>
      <c r="H15" s="22" t="str">
        <f t="shared" si="1"/>
        <v/>
      </c>
      <c r="I15" s="22" t="str">
        <f t="shared" si="2"/>
        <v/>
      </c>
      <c r="J15" s="22"/>
      <c r="K15" s="22"/>
      <c r="L15" s="22"/>
    </row>
    <row r="16" spans="1:12">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80" zoomScaleNormal="80" workbookViewId="0">
      <pane xSplit="2" ySplit="3" topLeftCell="J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5" t="str" cm="1">
        <f t="array" ref="A1">portfolio</f>
        <v>Tortoise</v>
      </c>
      <c r="B1" s="75"/>
      <c r="C1" s="75"/>
      <c r="D1" s="76" t="s">
        <v>150</v>
      </c>
      <c r="E1" s="76"/>
      <c r="F1" s="76"/>
      <c r="G1" s="74" t="s">
        <v>151</v>
      </c>
      <c r="H1" s="74"/>
      <c r="I1" s="74"/>
      <c r="J1" s="5"/>
      <c r="K1" s="5"/>
    </row>
    <row r="2" spans="1:12" ht="19.5" customHeight="1">
      <c r="A2" s="77" t="s">
        <v>2</v>
      </c>
      <c r="B2" s="77"/>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80.25" customHeight="1">
      <c r="A4" s="51"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2"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2"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2" ht="50.25" customHeight="1">
      <c r="A8" s="51" t="str">
        <v>Pratt Solar Farm</v>
      </c>
      <c r="B8" s="29" t="str">
        <v>KS</v>
      </c>
      <c r="C8" s="25"/>
      <c r="D8" s="14"/>
      <c r="E8" s="14" t="str">
        <f t="shared" si="4"/>
        <v/>
      </c>
      <c r="F8" s="15" t="str">
        <f t="shared" si="3"/>
        <v/>
      </c>
      <c r="G8" s="16"/>
      <c r="H8" s="16" t="str">
        <f t="shared" si="5"/>
        <v/>
      </c>
      <c r="I8" s="17" t="str">
        <f t="shared" si="6"/>
        <v/>
      </c>
      <c r="J8" s="50"/>
      <c r="K8" s="50"/>
    </row>
    <row r="9" spans="1:12" ht="22.5" customHeight="1">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2" ht="15.6">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2" ht="15.6">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2" ht="15.6">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2"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c r="A14" s="30"/>
      <c r="B14" s="30"/>
      <c r="C14" s="30"/>
      <c r="D14" s="30"/>
      <c r="E14" s="30" t="str">
        <f t="shared" si="0"/>
        <v/>
      </c>
      <c r="F14" s="30" t="str">
        <f t="shared" ref="F14:F17" si="7">IFERROR(E14/D14, "")</f>
        <v/>
      </c>
      <c r="G14" s="30"/>
      <c r="H14" s="30" t="str">
        <f t="shared" si="1"/>
        <v/>
      </c>
      <c r="I14" s="30" t="str">
        <f t="shared" si="2"/>
        <v/>
      </c>
      <c r="J14" s="30"/>
      <c r="K14" s="30"/>
      <c r="L14" s="30"/>
    </row>
    <row r="15" spans="1:12" ht="15.6">
      <c r="A15" s="30"/>
      <c r="B15" s="30"/>
      <c r="C15" s="30"/>
      <c r="D15" s="30"/>
      <c r="E15" s="30" t="str">
        <f t="shared" si="0"/>
        <v/>
      </c>
      <c r="F15" s="30" t="str">
        <f t="shared" si="7"/>
        <v/>
      </c>
      <c r="G15" s="30"/>
      <c r="H15" s="30" t="str">
        <f t="shared" si="1"/>
        <v/>
      </c>
      <c r="I15" s="30" t="str">
        <f t="shared" si="2"/>
        <v/>
      </c>
      <c r="J15" s="30"/>
      <c r="K15" s="30"/>
      <c r="L15" s="30"/>
    </row>
    <row r="16" spans="1:12"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5" t="str" cm="1">
        <f t="array" ref="A1">portfolio</f>
        <v>Tortoise</v>
      </c>
      <c r="B1" s="75"/>
      <c r="C1" s="75"/>
      <c r="D1" s="76" t="s">
        <v>152</v>
      </c>
      <c r="E1" s="76"/>
      <c r="F1" s="76"/>
      <c r="G1" s="74" t="s">
        <v>153</v>
      </c>
      <c r="H1" s="74"/>
      <c r="I1" s="74"/>
      <c r="J1" s="5"/>
      <c r="K1" s="5"/>
    </row>
    <row r="2" spans="1:14" ht="19.5" customHeight="1">
      <c r="A2" s="77" t="s">
        <v>2</v>
      </c>
      <c r="B2" s="77"/>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4.75" customHeight="1">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4"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4"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4" ht="15.6">
      <c r="A8" s="32" t="str">
        <v>Pratt Solar Farm</v>
      </c>
      <c r="B8" s="29" t="str">
        <v>KS</v>
      </c>
      <c r="C8" s="25"/>
      <c r="D8" s="14"/>
      <c r="E8" s="14" t="str">
        <f t="shared" si="4"/>
        <v/>
      </c>
      <c r="F8" s="15" t="str">
        <f t="shared" si="3"/>
        <v/>
      </c>
      <c r="G8" s="16"/>
      <c r="H8" s="16" t="str">
        <f t="shared" si="5"/>
        <v/>
      </c>
      <c r="I8" s="17" t="str">
        <f t="shared" si="6"/>
        <v/>
      </c>
      <c r="J8" s="50"/>
      <c r="K8" s="50"/>
    </row>
    <row r="9" spans="1:14" ht="15.6">
      <c r="A9" s="30" t="str">
        <v>Rochester - 5516 Valleyhigh NW</v>
      </c>
      <c r="B9" s="31" t="str">
        <v>MN</v>
      </c>
      <c r="C9" s="12"/>
      <c r="D9" s="19"/>
      <c r="E9" s="19" t="str">
        <f t="shared" si="4"/>
        <v/>
      </c>
      <c r="F9" s="20" t="str">
        <f t="shared" si="3"/>
        <v/>
      </c>
      <c r="G9" s="21"/>
      <c r="H9" s="21" t="str">
        <f t="shared" si="5"/>
        <v/>
      </c>
      <c r="I9" s="20" t="str">
        <f t="shared" si="6"/>
        <v/>
      </c>
      <c r="J9" s="48"/>
      <c r="K9" s="48"/>
      <c r="L9" s="22"/>
      <c r="M9" s="22"/>
      <c r="N9" s="22"/>
    </row>
    <row r="10" spans="1:14" ht="15.6">
      <c r="A10" s="32" t="str">
        <v>Warsaw - 2201 Richmond</v>
      </c>
      <c r="B10" s="29" t="str">
        <v>VA</v>
      </c>
      <c r="C10" s="25"/>
      <c r="D10" s="14"/>
      <c r="E10" s="14" t="str">
        <f t="shared" si="4"/>
        <v/>
      </c>
      <c r="F10" s="15" t="str">
        <f t="shared" si="3"/>
        <v/>
      </c>
      <c r="G10" s="16"/>
      <c r="H10" s="16" t="str">
        <f t="shared" si="5"/>
        <v/>
      </c>
      <c r="I10" s="17" t="str">
        <f t="shared" si="6"/>
        <v/>
      </c>
      <c r="J10" s="50"/>
      <c r="K10" s="50"/>
      <c r="L10" s="22"/>
      <c r="M10" s="22"/>
      <c r="N10" s="22"/>
    </row>
    <row r="11" spans="1:14" ht="15.6">
      <c r="A11" s="30" t="str">
        <v>Mount Jackson - Randolf</v>
      </c>
      <c r="B11" s="31" t="str">
        <v>VA</v>
      </c>
      <c r="C11" s="12"/>
      <c r="D11" s="19"/>
      <c r="E11" s="19" t="str">
        <f t="shared" si="4"/>
        <v/>
      </c>
      <c r="F11" s="20" t="str">
        <f t="shared" si="3"/>
        <v/>
      </c>
      <c r="G11" s="21"/>
      <c r="H11" s="21" t="str">
        <f t="shared" si="5"/>
        <v/>
      </c>
      <c r="I11" s="20" t="str">
        <f t="shared" si="6"/>
        <v/>
      </c>
      <c r="J11" s="48"/>
      <c r="K11" s="48"/>
      <c r="L11" s="22"/>
      <c r="M11" s="22"/>
      <c r="N11" s="22"/>
    </row>
    <row r="12" spans="1:14" ht="15.6">
      <c r="A12" s="32" t="str">
        <v>Callands Gretna - Monroe</v>
      </c>
      <c r="B12" s="29" t="str">
        <v>VA</v>
      </c>
      <c r="C12" s="25"/>
      <c r="D12" s="14"/>
      <c r="E12" s="14" t="str">
        <f t="shared" si="4"/>
        <v/>
      </c>
      <c r="F12" s="15" t="str">
        <f t="shared" si="3"/>
        <v/>
      </c>
      <c r="G12" s="16"/>
      <c r="H12" s="16" t="str">
        <f t="shared" si="5"/>
        <v/>
      </c>
      <c r="I12" s="17" t="str">
        <f t="shared" si="6"/>
        <v/>
      </c>
      <c r="J12" s="50"/>
      <c r="K12" s="50"/>
      <c r="L12" s="22"/>
      <c r="M12" s="22"/>
      <c r="N12" s="22"/>
    </row>
    <row r="13" spans="1:14" ht="15.6">
      <c r="A13" s="30" t="str">
        <v>Rockbridge Baths - Small Mouth Bass</v>
      </c>
      <c r="B13" s="31" t="str">
        <v>VA</v>
      </c>
      <c r="C13" s="12"/>
      <c r="D13" s="19"/>
      <c r="E13" s="19" t="str">
        <f t="shared" si="4"/>
        <v/>
      </c>
      <c r="F13" s="20" t="str">
        <f t="shared" si="3"/>
        <v/>
      </c>
      <c r="G13" s="21"/>
      <c r="H13" s="21" t="str">
        <f t="shared" si="5"/>
        <v/>
      </c>
      <c r="I13" s="20" t="str">
        <f t="shared" si="6"/>
        <v/>
      </c>
      <c r="J13" s="48"/>
      <c r="K13" s="48"/>
      <c r="L13" s="22"/>
      <c r="M13" s="22"/>
      <c r="N13" s="22"/>
    </row>
    <row r="14" spans="1:14">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c r="A15" s="22"/>
      <c r="B15" s="22"/>
      <c r="C15" s="22"/>
      <c r="D15" s="22"/>
      <c r="E15" s="22" t="str">
        <f t="shared" si="0"/>
        <v/>
      </c>
      <c r="F15" s="22" t="str">
        <f t="shared" si="7"/>
        <v/>
      </c>
      <c r="G15" s="22"/>
      <c r="H15" s="22" t="str">
        <f t="shared" si="1"/>
        <v/>
      </c>
      <c r="I15" s="22" t="str">
        <f t="shared" si="2"/>
        <v/>
      </c>
      <c r="J15" s="22"/>
      <c r="K15" s="22"/>
      <c r="L15" s="22"/>
      <c r="M15" s="22"/>
      <c r="N15" s="22"/>
    </row>
    <row r="16" spans="1:14">
      <c r="A16" s="22"/>
      <c r="B16" s="22"/>
      <c r="C16" s="22"/>
      <c r="D16" s="22"/>
      <c r="E16" s="22" t="str">
        <f t="shared" si="0"/>
        <v/>
      </c>
      <c r="F16" s="22" t="str">
        <f t="shared" si="7"/>
        <v/>
      </c>
      <c r="G16" s="22"/>
      <c r="H16" s="22" t="str">
        <f t="shared" si="1"/>
        <v/>
      </c>
      <c r="I16" s="22" t="str">
        <f t="shared" si="2"/>
        <v/>
      </c>
      <c r="J16" s="22"/>
      <c r="K16" s="22"/>
      <c r="L16" s="22"/>
      <c r="M16" s="22"/>
      <c r="N16" s="22"/>
    </row>
    <row r="17" spans="1:14">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c r="A19" s="22"/>
      <c r="B19" s="22"/>
      <c r="C19" s="22"/>
      <c r="D19" s="22"/>
      <c r="E19" s="22"/>
      <c r="F19" s="22"/>
      <c r="G19" s="22"/>
      <c r="H19" s="22"/>
      <c r="I19" s="22"/>
      <c r="J19" s="22"/>
      <c r="K19" s="22"/>
      <c r="L19" s="22"/>
      <c r="M19" s="22"/>
      <c r="N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B23" sqref="B23"/>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154</v>
      </c>
      <c r="B1" s="43" t="s">
        <v>155</v>
      </c>
    </row>
    <row r="3" spans="1:7" ht="13.15">
      <c r="A3" t="s">
        <v>156</v>
      </c>
      <c r="B3" t="s">
        <v>3</v>
      </c>
      <c r="C3" t="s">
        <v>4</v>
      </c>
      <c r="D3" t="s">
        <v>157</v>
      </c>
      <c r="E3" s="2" t="s">
        <v>158</v>
      </c>
    </row>
    <row r="4" spans="1:7" ht="14.45">
      <c r="A4" s="3" t="s">
        <v>159</v>
      </c>
      <c r="B4" t="s">
        <v>160</v>
      </c>
      <c r="C4" s="4" t="s">
        <v>161</v>
      </c>
      <c r="G4" s="3"/>
    </row>
    <row r="5" spans="1:7" ht="14.45">
      <c r="A5" s="3" t="s">
        <v>162</v>
      </c>
      <c r="B5" t="s">
        <v>163</v>
      </c>
      <c r="C5" s="4" t="s">
        <v>161</v>
      </c>
      <c r="G5" s="3"/>
    </row>
    <row r="6" spans="1:7" ht="14.45">
      <c r="A6" s="43" t="s">
        <v>164</v>
      </c>
      <c r="B6" t="s">
        <v>165</v>
      </c>
      <c r="C6" t="s">
        <v>161</v>
      </c>
      <c r="G6" s="3"/>
    </row>
    <row r="7" spans="1:7" ht="12.75" customHeight="1">
      <c r="A7" s="43" t="s">
        <v>166</v>
      </c>
      <c r="B7" t="s">
        <v>167</v>
      </c>
      <c r="C7" t="s">
        <v>161</v>
      </c>
    </row>
    <row r="8" spans="1:7" ht="12.75" customHeight="1">
      <c r="A8" s="4" t="s">
        <v>168</v>
      </c>
      <c r="B8" s="4" t="s">
        <v>169</v>
      </c>
      <c r="C8" s="4" t="s">
        <v>170</v>
      </c>
    </row>
    <row r="9" spans="1:7" ht="12.75" customHeight="1">
      <c r="A9" s="43" t="s">
        <v>171</v>
      </c>
      <c r="B9" t="s">
        <v>172</v>
      </c>
      <c r="C9" t="s">
        <v>173</v>
      </c>
    </row>
    <row r="10" spans="1:7" ht="12.75" customHeight="1">
      <c r="A10" s="4" t="s">
        <v>174</v>
      </c>
      <c r="B10" s="4" t="s">
        <v>175</v>
      </c>
      <c r="C10" s="4" t="s">
        <v>176</v>
      </c>
    </row>
    <row r="11" spans="1:7" ht="12.75" customHeight="1">
      <c r="A11" s="4" t="s">
        <v>177</v>
      </c>
      <c r="B11" s="4" t="s">
        <v>178</v>
      </c>
      <c r="C11" s="4" t="s">
        <v>176</v>
      </c>
    </row>
    <row r="12" spans="1:7" ht="12.75" customHeight="1">
      <c r="A12" s="4" t="s">
        <v>179</v>
      </c>
      <c r="B12" s="4" t="s">
        <v>180</v>
      </c>
      <c r="C12" s="4" t="s">
        <v>176</v>
      </c>
    </row>
    <row r="13" spans="1:7" ht="12.75" customHeight="1">
      <c r="A13" s="4" t="s">
        <v>181</v>
      </c>
      <c r="B13" s="4" t="s">
        <v>182</v>
      </c>
      <c r="C13" s="4" t="s">
        <v>176</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89CF5C07-45EB-4100-9AFB-2C6AF77FA787}"/>
</file>

<file path=customXml/itemProps3.xml><?xml version="1.0" encoding="utf-8"?>
<ds:datastoreItem xmlns:ds="http://schemas.openxmlformats.org/officeDocument/2006/customXml" ds:itemID="{078388C9-06F9-42F4-B857-EF76B5CAF1FD}"/>
</file>

<file path=customXml/itemProps4.xml><?xml version="1.0" encoding="utf-8"?>
<ds:datastoreItem xmlns:ds="http://schemas.openxmlformats.org/officeDocument/2006/customXml" ds:itemID="{0389C43E-394D-44C0-87DC-4780FCFCFB40}"/>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F6B2B1A1-1C4B-4AC9-9A7D-7A102DD1C942}"/>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1954BBA4-0359-438C-B0EC-A756015F7C02}"/>
</file>

<file path=customXml/itemProps12.xml><?xml version="1.0" encoding="utf-8"?>
<ds:datastoreItem xmlns:ds="http://schemas.openxmlformats.org/officeDocument/2006/customXml" ds:itemID="{7946C510-7D04-49D8-9B25-EEC04582A1CA}"/>
</file>

<file path=customXml/itemProps13.xml><?xml version="1.0" encoding="utf-8"?>
<ds:datastoreItem xmlns:ds="http://schemas.openxmlformats.org/officeDocument/2006/customXml" ds:itemID="{3AEAA9D8-2182-46BA-A58E-96C72DDA1C54}"/>
</file>

<file path=customXml/itemProps14.xml><?xml version="1.0" encoding="utf-8"?>
<ds:datastoreItem xmlns:ds="http://schemas.openxmlformats.org/officeDocument/2006/customXml" ds:itemID="{E20E8303-6A67-485C-B6F4-303542CC295C}"/>
</file>

<file path=customXml/itemProps15.xml><?xml version="1.0" encoding="utf-8"?>
<ds:datastoreItem xmlns:ds="http://schemas.openxmlformats.org/officeDocument/2006/customXml" ds:itemID="{8D732231-4216-4543-A665-18A2886B0EB7}"/>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98A113BB-8B7A-453C-8BD4-8EFC67FC2D3F}"/>
</file>

<file path=customXml/itemProps18.xml><?xml version="1.0" encoding="utf-8"?>
<ds:datastoreItem xmlns:ds="http://schemas.openxmlformats.org/officeDocument/2006/customXml" ds:itemID="{CB52044A-5C0B-44A2-99D0-C1C315EC302D}"/>
</file>

<file path=customXml/itemProps19.xml><?xml version="1.0" encoding="utf-8"?>
<ds:datastoreItem xmlns:ds="http://schemas.openxmlformats.org/officeDocument/2006/customXml" ds:itemID="{2BC74AAC-D69B-4AF1-9649-B21EF3C1C463}"/>
</file>

<file path=customXml/itemProps20.xml><?xml version="1.0" encoding="utf-8"?>
<ds:datastoreItem xmlns:ds="http://schemas.openxmlformats.org/officeDocument/2006/customXml" ds:itemID="{374E1CB2-F578-4F19-BE69-833FB2C5F2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2025-08-11T07:28:13Z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