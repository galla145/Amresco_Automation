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" documentId="13_ncr:1_{52120B3E-811B-4687-895A-476C04C97C12}" xr6:coauthVersionLast="47" xr6:coauthVersionMax="47" xr10:uidLastSave="{929D6CB5-4B73-4E58-972A-603374A16438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<sst xmlns="http://schemas.openxmlformats.org/spreadsheetml/2006/main" count="256" uniqueCount="54">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</sst>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144936.31</v>
      </c>
      <c r="D2" s="5">
        <f>SUM(D4:D79)</f>
        <v>0</v>
      </c>
      <c r="E2" s="5">
        <f>C2-D2</f>
        <v>144936.31</v>
      </c>
      <c r="F2" s="6">
        <f>IFERROR(E2/D2, 0)</f>
        <v>0</v>
      </c>
      <c r="G2" s="5">
        <f>SUM(G4:G79)</f>
        <v>0</v>
      </c>
      <c r="H2" s="7">
        <f>C2-G2</f>
        <v>144936.31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144936.31</v>
      </c>
      <c r="D4" s="12">
        <f>SUM('1st Qtr'!D4, '2nd Qtr'!D4, '3rd Qtr'!D4, '4th Qtr'!D4)</f>
        <v>0</v>
      </c>
      <c r="E4" s="12">
        <f>IF(AND(ISNUMBER(C4),ISNUMBER(D4)), C4-D4, "")</f>
        <v>144936.31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82638.149999999994</v>
      </c>
      <c r="D2" s="5">
        <f>SUM(D4:D79)</f>
        <v>0</v>
      </c>
      <c r="E2" s="5">
        <f>C2-D2</f>
        <v>82638.149999999994</v>
      </c>
      <c r="F2" s="6">
        <f>IFERROR(E2/D2, 0)</f>
        <v>0</v>
      </c>
      <c r="G2" s="5">
        <f>SUM(G4:G79)</f>
        <v>0</v>
      </c>
      <c r="H2" s="7">
        <f>C2-G2</f>
        <v>82638.149999999994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82638.149999999994</v>
      </c>
      <c r="D4" s="12">
        <f>SUM(Apr!D4, May!D4, Jun!D4)</f>
        <v>0</v>
      </c>
      <c r="E4" s="12">
        <f>IF(AND(ISNUMBER(C4),ISNUMBER(D4)), C4-D4, "")</f>
        <v>82638.149999999994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32030.639999999999</v>
      </c>
      <c r="D2" s="5">
        <f>SUM(D4:D79)</f>
        <v>0</v>
      </c>
      <c r="E2" s="5">
        <f>C2-D2</f>
        <v>32030.639999999999</v>
      </c>
      <c r="F2" s="6">
        <f>IFERROR(E2/D2, 0)</f>
        <v>0</v>
      </c>
      <c r="G2" s="5">
        <f>SUM(G4:G79)</f>
        <v>0</v>
      </c>
      <c r="H2" s="7">
        <f>C2-G2</f>
        <v>32030.639999999999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32030.639999999999</v>
      </c>
      <c r="D4" s="12">
        <f>SUM(Jul!D4, Aug!D4, Sep!D4)</f>
        <v>0</v>
      </c>
      <c r="E4" s="12">
        <f>IF(AND(ISNUMBER(C4),ISNUMBER(D4)), C4-D4, "")</f>
        <v>32030.639999999999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29371.68</v>
      </c>
      <c r="D2" s="5">
        <f>SUM(D4:D79)</f>
        <v>0</v>
      </c>
      <c r="E2" s="5">
        <f>C2-D2</f>
        <v>29371.68</v>
      </c>
      <c r="F2" s="6">
        <f>IFERROR(E2/D2, 0)</f>
        <v>0</v>
      </c>
      <c r="G2" s="5">
        <f>SUM(G4:G79)</f>
        <v>0</v>
      </c>
      <c r="H2" s="7">
        <f>C2-G2</f>
        <v>29371.68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29371.68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4" sqref="G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32030.639999999999</v>
      </c>
      <c r="D2" s="5">
        <f>SUM(D4:D79)</f>
        <v>0</v>
      </c>
      <c r="E2" s="5">
        <f>C2-D2</f>
        <v>32030.639999999999</v>
      </c>
      <c r="F2" s="6">
        <f>IFERROR(E2/D2, 0)</f>
        <v>0</v>
      </c>
      <c r="G2" s="5">
        <f>SUM(G4:G79)</f>
        <v>0</v>
      </c>
      <c r="H2" s="7">
        <f>C2-G2</f>
        <v>32030.639999999999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32030.639999999999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F54C821C-332B-4350-8272-A2A7D0BAB756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2025-08-18T06:45:04Z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