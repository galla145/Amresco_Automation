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B499E7D6-AEE3-41D9-90DD-AA158DE1937D}" xr6:coauthVersionLast="47" xr6:coauthVersionMax="47" xr10:uidLastSave="{1AFEBDF7-964C-43DA-B1D0-4598B3869C81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C4" i="30"/>
  <c r="G4" i="29"/>
  <c r="G4" i="18"/>
  <c r="E4" i="19"/>
  <c r="E4" i="4"/>
  <c r="G2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<sst xmlns="http://schemas.openxmlformats.org/spreadsheetml/2006/main" count="272" uniqueCount="81">
  <si>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</si>
  <si>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</si>
  <si>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</si>
  <si>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</si>
  <si>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</si>
  <si>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</si>
  <si>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</si>
  <si>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</si>
  <si>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</si>
  <si>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</si>
  <si>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</si>
  <si>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</si>
  <si>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</si>
  <si>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</si>
  <si>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</si>
  <si>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</si>
  <si>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</si>
  <si>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</si>
  <si>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</si>
  <si>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</si>
  <si>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</si>
  <si>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</si>
  <si>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</si>
  <si>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</si>
  <si>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</si>
  <si>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</si>
  <si>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</si>
  <si>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</si>
  <si>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</si>
  <si>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</si>
  <si>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</si>
  <si>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</si>
  <si>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</si>
  <si>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</si>
  <si>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</si>
  <si>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</si>
  <si>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</si>
  <si>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</si>
  <si>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</si>
  <si>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</si>
  <si>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</si>
  <si>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</si>
  <si>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</si>
  <si>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</si>
  <si>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</si>
  <si>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</si>
  <si>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</si>
  <si>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</si>
  <si>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</si>
  <si>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</si>
  <si>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</si>
  <si>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</si>
  <si>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</si>
  <si>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</si>
  <si>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</si>
  <si>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</si>
  <si>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1.Inverter 1 offline from 06/30. On 07/23 inverter came back online at 09:00
2. Inverter B was derating by 1000kW from 07/01 to 07/10. Inverter B offline from 07/11. On 07/23 inverter came back online at 11:15 and again started derating byn 500kW from 07/23 to 07/31 at peek hours.
3. Inverter 1 is derating by 300 kW during high irradiance starting from 07/26 due to down a module. 
4. The ratio of meter to inverter production is 97%, it could be a CT issue affecting the total meter production v/s the inverter production for whole month.</t>
  </si>
  <si>
    <t>1. SR103746 , 	SR103157
2. SR103157
3.SR105299
4. SR104462</t>
  </si>
  <si>
    <t>SR105299</t>
  </si>
  <si>
    <t>SR104462</t>
  </si>
  <si>
    <t>August Actual v. Expected</t>
  </si>
  <si>
    <t>August Actual v. Forecasted</t>
  </si>
  <si>
    <t>2. SR089346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</si>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</sst>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57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3746" TargetMode="External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I4" sqref="I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Altus Power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SUM(C4:C72)</f>
        <v>4129380</v>
      </c>
      <c r="D2" s="5">
        <f>SUM(D4:D72)</f>
        <v>7446617.7510000002</v>
      </c>
      <c r="E2" s="5">
        <f>C2-D2</f>
        <v>-3317237.7510000002</v>
      </c>
      <c r="F2" s="6">
        <f>IFERROR(E2/D2, 0)</f>
        <v>-0.44546905211490562</v>
      </c>
      <c r="G2" s="5">
        <f>SUM(G4:G72)</f>
        <v>7305238.3500000006</v>
      </c>
      <c r="H2" s="7">
        <f>C2-G2</f>
        <v>-3175858.3500000006</v>
      </c>
      <c r="I2" s="6">
        <f>IFERROR(H2/G2, 0)</f>
        <v>-0.43473712941891901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4129380</v>
      </c>
      <c r="D4" s="11">
        <f>SUM('1st Qtr'!D4, '2nd Qtr'!D4, '3rd Qtr'!D4, '4th Qtr'!D4)</f>
        <v>7446617.7510000002</v>
      </c>
      <c r="E4" s="11">
        <f>IF(AND(ISNUMBER(C4),ISNUMBER(D4)), C4-D4, "")</f>
        <v>-3317237.7510000002</v>
      </c>
      <c r="F4" s="12">
        <f>IFERROR(E4/D4, "")</f>
        <v>-0.44546905211490562</v>
      </c>
      <c r="G4" s="13">
        <f>SUM('1st Qtr'!G4, '2nd Qtr'!G4, '3rd Qtr'!G4, '4th Qtr'!G4)</f>
        <v>7305238.3500000006</v>
      </c>
      <c r="H4" s="13">
        <f>SUM('1st Qtr'!H4, '2nd Qtr'!H4, '3rd Qtr'!H4, '4th Qtr'!H4)</f>
        <v>-3175858.3500000006</v>
      </c>
      <c r="I4" s="14">
        <f>IFERROR(H4/G4, "")</f>
        <v>-0.43473712941891901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Altus Power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Altus Power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Altus Power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477710</v>
      </c>
      <c r="D4" s="11">
        <f>SUM(Jul!D4, Aug!D4, Sep!D4)</f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f>SUM(Jul!G4,Aug!G4,Sep!G4)</f>
        <v>1189387.3600000001</v>
      </c>
      <c r="H4" s="13">
        <f>SUM(Jul!H4, Aug!H4, Sep!H4)</f>
        <v>-711677.3600000001</v>
      </c>
      <c r="I4" s="14">
        <f>IFERROR(H4/G4, "")</f>
        <v>-0.5983562495569148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D14" sqref="D1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Altus Power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 Nov!G4, 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0" t="str" cm="1">
        <f t="array" ref="A1">portfolio</f>
        <v>Altus Power</v>
      </c>
      <c r="B1" s="50"/>
      <c r="C1" s="50"/>
      <c r="D1" s="51" t="s">
        <v>27</v>
      </c>
      <c r="E1" s="51"/>
      <c r="F1" s="51"/>
      <c r="G1" s="49" t="s">
        <v>28</v>
      </c>
      <c r="H1" s="49"/>
      <c r="I1" s="49"/>
      <c r="J1" s="4"/>
      <c r="K1" s="4"/>
    </row>
    <row r="2" spans="1:14" ht="19.5" customHeight="1">
      <c r="A2" s="52" t="s">
        <v>2</v>
      </c>
      <c r="B2" s="52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0" t="str" cm="1">
        <f t="array" ref="A1">portfolio</f>
        <v>Altus Power</v>
      </c>
      <c r="B1" s="50"/>
      <c r="C1" s="50"/>
      <c r="D1" s="51" t="s">
        <v>34</v>
      </c>
      <c r="E1" s="51"/>
      <c r="F1" s="51"/>
      <c r="G1" s="49" t="s">
        <v>35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0" t="str" cm="1">
        <f t="array" ref="A1">portfolio</f>
        <v>Altus Power</v>
      </c>
      <c r="B1" s="50"/>
      <c r="C1" s="50"/>
      <c r="D1" s="51" t="s">
        <v>39</v>
      </c>
      <c r="E1" s="51"/>
      <c r="F1" s="51"/>
      <c r="G1" s="49" t="s">
        <v>40</v>
      </c>
      <c r="H1" s="49"/>
      <c r="I1" s="49"/>
      <c r="J1" s="4"/>
      <c r="K1" s="4"/>
    </row>
    <row r="2" spans="1:17" ht="19.5" customHeight="1">
      <c r="A2" s="52" t="s">
        <v>2</v>
      </c>
      <c r="B2" s="52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C4" activePane="bottomRight" state="frozen"/>
      <selection pane="bottomRight" activeCell="F21" sqref="F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0" t="str" cm="1">
        <f t="array" ref="A1">portfolio</f>
        <v>Altus Power</v>
      </c>
      <c r="B1" s="50"/>
      <c r="C1" s="50"/>
      <c r="D1" s="51" t="s">
        <v>48</v>
      </c>
      <c r="E1" s="51"/>
      <c r="F1" s="51"/>
      <c r="G1" s="49" t="s">
        <v>49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tabSelected="1" zoomScale="80" zoomScaleNormal="80" workbookViewId="0">
      <pane xSplit="2" ySplit="3" topLeftCell="C4" activePane="bottomRight" state="frozen"/>
      <selection pane="bottomRight" activeCell="J13" sqref="J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0" t="str" cm="1">
        <f t="array" ref="A1">portfolio</f>
        <v>Altus Power</v>
      </c>
      <c r="B1" s="50"/>
      <c r="C1" s="50"/>
      <c r="D1" s="51" t="s">
        <v>54</v>
      </c>
      <c r="E1" s="51"/>
      <c r="F1" s="51"/>
      <c r="G1" s="49" t="s">
        <v>55</v>
      </c>
      <c r="H1" s="49"/>
      <c r="I1" s="49"/>
      <c r="J1" s="4"/>
      <c r="K1" s="4"/>
    </row>
    <row r="2" spans="1:15" ht="19.5" customHeight="1">
      <c r="A2" s="52" t="s">
        <v>2</v>
      </c>
      <c r="B2" s="52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38.75" customHeight="1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477710</v>
      </c>
      <c r="D4" s="11"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v>1189387.3600000001</v>
      </c>
      <c r="H4" s="13">
        <f>IF(AND(ISNUMBER(C4),ISNUMBER(G4)), C4-G4, "")</f>
        <v>-711677.3600000001</v>
      </c>
      <c r="I4" s="14">
        <f>IFERROR(H4/G4, "")</f>
        <v>-0.5983562495569148</v>
      </c>
      <c r="J4" s="32" t="s">
        <v>56</v>
      </c>
      <c r="K4" s="46" t="s">
        <v>57</v>
      </c>
      <c r="L4" s="48" t="s">
        <v>52</v>
      </c>
      <c r="M4" s="48" t="s">
        <v>52</v>
      </c>
      <c r="N4" s="48" t="s">
        <v>58</v>
      </c>
      <c r="O4" s="48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746" xr:uid="{F17D34D8-EC9B-449D-8C6F-D6F8ECA66FA2}"/>
    <hyperlink ref="L4" r:id="rId2" display="https://us3.assetplanner.com/service_request?ID=103157" xr:uid="{FF478992-478D-4A9D-B45F-371DE38F59CA}"/>
    <hyperlink ref="M4" r:id="rId3" display="https://us3.assetplanner.com/service_request?ID=103157" xr:uid="{5992B095-025E-4AFA-8CBC-D984A7C32463}"/>
    <hyperlink ref="N4" r:id="rId4" display="https://us3.assetplanner.com/service_request?ID=105299" xr:uid="{D7161549-F917-461F-8CBA-CB73DD2B3B17}"/>
    <hyperlink ref="O4" r:id="rId5" display="https://us3.assetplanner.com/service_request?ID=104462" xr:uid="{457494EB-B042-48F7-9852-6BF55464BC3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E4" activePane="bottomRight" state="frozen"/>
      <selection pane="bottomRight" activeCell="J12" sqref="J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60</v>
      </c>
      <c r="E1" s="51"/>
      <c r="F1" s="51"/>
      <c r="G1" s="49" t="s">
        <v>61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42" t="str" cm="1">
        <f t="array" ref="A4">Sites[Site]</f>
        <v>Pratt Solar Farm</v>
      </c>
      <c r="B4" s="22" t="str" cm="1">
        <f t="array" ref="B4">Sites[State]</f>
        <v>KS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 t="s">
        <v>62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63</v>
      </c>
      <c r="E1" s="51"/>
      <c r="F1" s="51"/>
      <c r="G1" s="49" t="s">
        <v>64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65</v>
      </c>
      <c r="E1" s="51"/>
      <c r="F1" s="51"/>
      <c r="G1" s="49" t="s">
        <v>66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67</v>
      </c>
      <c r="E1" s="51"/>
      <c r="F1" s="51"/>
      <c r="G1" s="49" t="s">
        <v>68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69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Altus Power</v>
      </c>
      <c r="B1" s="50"/>
      <c r="C1" s="50"/>
      <c r="D1" s="51" t="s">
        <v>70</v>
      </c>
      <c r="E1" s="51"/>
      <c r="F1" s="51"/>
      <c r="G1" s="49" t="s">
        <v>71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72</v>
      </c>
      <c r="B1" s="40" t="s">
        <v>73</v>
      </c>
    </row>
    <row r="3" spans="1:12" ht="13.15">
      <c r="A3" t="s">
        <v>74</v>
      </c>
      <c r="B3" t="s">
        <v>3</v>
      </c>
      <c r="C3" t="s">
        <v>4</v>
      </c>
      <c r="D3" t="s">
        <v>75</v>
      </c>
      <c r="E3" s="2" t="s">
        <v>76</v>
      </c>
    </row>
    <row r="4" spans="1:12" ht="14.45">
      <c r="A4" s="38" t="s">
        <v>77</v>
      </c>
      <c r="B4" t="s">
        <v>78</v>
      </c>
      <c r="C4" s="36" t="s">
        <v>79</v>
      </c>
      <c r="D4" s="41"/>
      <c r="E4" s="40" t="s">
        <v>80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88F2439E-1A7A-470F-928E-CC8045B6BB03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2025-08-13T06:46:39Z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