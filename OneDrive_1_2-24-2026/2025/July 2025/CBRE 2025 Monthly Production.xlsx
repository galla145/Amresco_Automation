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B1B764C0-3A01-4D26-9155-FFD6EE1CFD56}" xr6:coauthVersionLast="47" xr6:coauthVersionMax="47" xr10:uidLastSave="{F1B6FEFA-C5BE-473D-9BC9-67C515D52623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4" l="1"/>
  <c r="F27" i="34"/>
  <c r="I25" i="34"/>
  <c r="I26" i="34"/>
  <c r="I27" i="34"/>
  <c r="C26" i="1"/>
  <c r="D26" i="1"/>
  <c r="E26" i="1"/>
  <c r="F26" i="1"/>
  <c r="G26" i="1"/>
  <c r="H26" i="1"/>
  <c r="I26" i="1"/>
  <c r="C27" i="1"/>
  <c r="D27" i="1"/>
  <c r="E27" i="1"/>
  <c r="F27" i="1"/>
  <c r="G27" i="1"/>
  <c r="H27" i="1"/>
  <c r="I27" i="1"/>
  <c r="F26" i="18"/>
  <c r="F27" i="18"/>
  <c r="D26" i="18"/>
  <c r="D27" i="18"/>
  <c r="E26" i="18"/>
  <c r="E27" i="18"/>
  <c r="I26" i="18"/>
  <c r="I27" i="18"/>
  <c r="H26" i="18"/>
  <c r="H27" i="18"/>
  <c r="G26" i="18"/>
  <c r="G27" i="18"/>
  <c r="C26" i="18"/>
  <c r="C27" i="18"/>
  <c r="E27" i="19"/>
  <c r="F27" i="19" s="1"/>
  <c r="H27" i="19"/>
  <c r="I27" i="19" s="1"/>
  <c r="E26" i="19"/>
  <c r="F26" i="19" s="1"/>
  <c r="H26" i="19"/>
  <c r="I26" i="19" s="1"/>
  <c r="E26" i="21"/>
  <c r="F26" i="21" s="1"/>
  <c r="H26" i="21"/>
  <c r="I26" i="21" s="1"/>
  <c r="H26" i="4"/>
  <c r="H27" i="4"/>
  <c r="E26" i="4"/>
  <c r="E27" i="4"/>
  <c r="H27" i="3"/>
  <c r="I27" i="3" s="1"/>
  <c r="E27" i="3"/>
  <c r="F27" i="3" s="1"/>
  <c r="H26" i="3"/>
  <c r="I26" i="3" s="1"/>
  <c r="E26" i="3"/>
  <c r="F26" i="3" s="1"/>
  <c r="H26" i="72"/>
  <c r="H27" i="72"/>
  <c r="E25" i="72"/>
  <c r="E26" i="72"/>
  <c r="E27" i="72"/>
  <c r="G26" i="30"/>
  <c r="G27" i="30"/>
  <c r="C26" i="30"/>
  <c r="C27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E26" i="30" s="1"/>
  <c r="D27" i="30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4" i="31"/>
  <c r="H25" i="31"/>
  <c r="H26" i="31"/>
  <c r="H27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4" i="31"/>
  <c r="E25" i="31"/>
  <c r="E26" i="31"/>
  <c r="E27" i="31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4" i="32"/>
  <c r="H25" i="32"/>
  <c r="H26" i="32"/>
  <c r="H27" i="32"/>
  <c r="H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4" i="32"/>
  <c r="E25" i="32"/>
  <c r="E26" i="32"/>
  <c r="E27" i="32"/>
  <c r="H5" i="33"/>
  <c r="H6" i="33"/>
  <c r="H4" i="33"/>
  <c r="H4" i="32"/>
  <c r="H26" i="34" l="1"/>
  <c r="H27" i="34"/>
  <c r="E27" i="30"/>
  <c r="H7" i="33"/>
  <c r="H27" i="33"/>
  <c r="I27" i="33" s="1"/>
  <c r="E27" i="33"/>
  <c r="F27" i="33" s="1"/>
  <c r="H26" i="33"/>
  <c r="E26" i="33"/>
  <c r="F26" i="33" s="1"/>
  <c r="H24" i="33"/>
  <c r="E9" i="33"/>
  <c r="C7" i="30"/>
  <c r="C24" i="30"/>
  <c r="C26" i="29"/>
  <c r="C26" i="34" s="1"/>
  <c r="D26" i="29"/>
  <c r="D26" i="34" s="1"/>
  <c r="G26" i="29"/>
  <c r="G26" i="34" s="1"/>
  <c r="H26" i="29"/>
  <c r="C27" i="29"/>
  <c r="C27" i="34" s="1"/>
  <c r="D27" i="29"/>
  <c r="D27" i="34" s="1"/>
  <c r="G27" i="29"/>
  <c r="G27" i="34" s="1"/>
  <c r="H27" i="29"/>
  <c r="I27" i="29"/>
  <c r="C24" i="29"/>
  <c r="F15" i="31"/>
  <c r="H24" i="26"/>
  <c r="E24" i="26"/>
  <c r="H24" i="27"/>
  <c r="E24" i="27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4" i="30"/>
  <c r="D4" i="30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4" i="29"/>
  <c r="D4" i="29"/>
  <c r="E27" i="29" l="1"/>
  <c r="F27" i="29" s="1"/>
  <c r="E27" i="34"/>
  <c r="I26" i="29"/>
  <c r="E26" i="34"/>
  <c r="H27" i="30"/>
  <c r="I26" i="33"/>
  <c r="H26" i="30"/>
  <c r="E26" i="29"/>
  <c r="F26" i="29" s="1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4" i="18"/>
  <c r="C4" i="18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 s="1"/>
  <c r="H21" i="33"/>
  <c r="I21" i="33" s="1"/>
  <c r="E22" i="33"/>
  <c r="F22" i="33" s="1"/>
  <c r="H22" i="33"/>
  <c r="I22" i="33" s="1"/>
  <c r="F23" i="33"/>
  <c r="I23" i="33"/>
  <c r="E24" i="33"/>
  <c r="F24" i="33" s="1"/>
  <c r="I24" i="33"/>
  <c r="E25" i="33"/>
  <c r="F25" i="33" s="1"/>
  <c r="H25" i="33"/>
  <c r="H25" i="30" s="1"/>
  <c r="I25" i="30" s="1"/>
  <c r="F18" i="32"/>
  <c r="I18" i="32"/>
  <c r="F19" i="32"/>
  <c r="I19" i="32"/>
  <c r="F20" i="32"/>
  <c r="I20" i="32"/>
  <c r="F21" i="32"/>
  <c r="I21" i="32"/>
  <c r="F22" i="32"/>
  <c r="I22" i="32"/>
  <c r="F23" i="32"/>
  <c r="I23" i="32"/>
  <c r="F24" i="32"/>
  <c r="I24" i="32"/>
  <c r="F25" i="32"/>
  <c r="I25" i="32"/>
  <c r="F18" i="31"/>
  <c r="I18" i="31"/>
  <c r="F19" i="31"/>
  <c r="I19" i="31"/>
  <c r="F20" i="31"/>
  <c r="I20" i="31"/>
  <c r="F21" i="31"/>
  <c r="I21" i="31"/>
  <c r="F22" i="31"/>
  <c r="I22" i="31"/>
  <c r="F23" i="31"/>
  <c r="I23" i="31"/>
  <c r="F24" i="31"/>
  <c r="I24" i="31"/>
  <c r="F25" i="31"/>
  <c r="I25" i="31"/>
  <c r="E18" i="28"/>
  <c r="F18" i="28" s="1"/>
  <c r="H18" i="28"/>
  <c r="I18" i="28" s="1"/>
  <c r="E19" i="28"/>
  <c r="F19" i="28" s="1"/>
  <c r="H19" i="28"/>
  <c r="I19" i="28" s="1"/>
  <c r="E20" i="28"/>
  <c r="F20" i="28" s="1"/>
  <c r="H20" i="28"/>
  <c r="I20" i="28" s="1"/>
  <c r="E21" i="28"/>
  <c r="F21" i="28" s="1"/>
  <c r="H21" i="28"/>
  <c r="I21" i="28" s="1"/>
  <c r="E22" i="28"/>
  <c r="F22" i="28" s="1"/>
  <c r="H22" i="28"/>
  <c r="I22" i="28" s="1"/>
  <c r="F23" i="28"/>
  <c r="I23" i="28"/>
  <c r="E24" i="28"/>
  <c r="F24" i="28" s="1"/>
  <c r="H24" i="28"/>
  <c r="I24" i="28" s="1"/>
  <c r="E25" i="28"/>
  <c r="F25" i="28" s="1"/>
  <c r="H25" i="28"/>
  <c r="I25" i="28" s="1"/>
  <c r="E18" i="27"/>
  <c r="F18" i="27" s="1"/>
  <c r="H18" i="27"/>
  <c r="I18" i="27" s="1"/>
  <c r="E19" i="27"/>
  <c r="F19" i="27" s="1"/>
  <c r="H19" i="27"/>
  <c r="I19" i="27" s="1"/>
  <c r="E20" i="27"/>
  <c r="F20" i="27" s="1"/>
  <c r="H20" i="27"/>
  <c r="I20" i="27"/>
  <c r="E21" i="27"/>
  <c r="F21" i="27" s="1"/>
  <c r="H21" i="27"/>
  <c r="I21" i="27" s="1"/>
  <c r="E22" i="27"/>
  <c r="F22" i="27" s="1"/>
  <c r="H22" i="27"/>
  <c r="I22" i="27" s="1"/>
  <c r="F23" i="27"/>
  <c r="I23" i="27"/>
  <c r="F24" i="27"/>
  <c r="I24" i="27"/>
  <c r="E25" i="27"/>
  <c r="F25" i="27" s="1"/>
  <c r="H25" i="27"/>
  <c r="I25" i="27" s="1"/>
  <c r="E18" i="26"/>
  <c r="F18" i="26" s="1"/>
  <c r="H18" i="26"/>
  <c r="I18" i="26" s="1"/>
  <c r="E19" i="26"/>
  <c r="F19" i="26" s="1"/>
  <c r="H19" i="26"/>
  <c r="I19" i="26" s="1"/>
  <c r="E20" i="26"/>
  <c r="F20" i="26" s="1"/>
  <c r="H20" i="26"/>
  <c r="I20" i="26" s="1"/>
  <c r="E21" i="26"/>
  <c r="F21" i="26" s="1"/>
  <c r="H21" i="26"/>
  <c r="I21" i="26" s="1"/>
  <c r="E22" i="26"/>
  <c r="F22" i="26" s="1"/>
  <c r="H22" i="26"/>
  <c r="I22" i="26" s="1"/>
  <c r="F23" i="26"/>
  <c r="I23" i="26"/>
  <c r="F24" i="26"/>
  <c r="I24" i="26"/>
  <c r="E25" i="26"/>
  <c r="F25" i="26" s="1"/>
  <c r="H25" i="26"/>
  <c r="I25" i="26" s="1"/>
  <c r="E18" i="19"/>
  <c r="F18" i="19" s="1"/>
  <c r="H18" i="19"/>
  <c r="I18" i="19" s="1"/>
  <c r="E19" i="19"/>
  <c r="F19" i="19" s="1"/>
  <c r="H19" i="19"/>
  <c r="I19" i="19" s="1"/>
  <c r="E20" i="19"/>
  <c r="F20" i="19" s="1"/>
  <c r="H20" i="19"/>
  <c r="I20" i="19" s="1"/>
  <c r="E21" i="19"/>
  <c r="F21" i="19" s="1"/>
  <c r="H21" i="19"/>
  <c r="I21" i="19" s="1"/>
  <c r="E22" i="19"/>
  <c r="F22" i="19" s="1"/>
  <c r="H22" i="19"/>
  <c r="I22" i="19" s="1"/>
  <c r="I23" i="19"/>
  <c r="E24" i="19"/>
  <c r="F24" i="19" s="1"/>
  <c r="H24" i="19"/>
  <c r="I24" i="19" s="1"/>
  <c r="E25" i="19"/>
  <c r="F25" i="19" s="1"/>
  <c r="H25" i="19"/>
  <c r="I25" i="19" s="1"/>
  <c r="E18" i="20"/>
  <c r="F18" i="20" s="1"/>
  <c r="H18" i="20"/>
  <c r="I18" i="20" s="1"/>
  <c r="E19" i="20"/>
  <c r="F19" i="20" s="1"/>
  <c r="H19" i="20"/>
  <c r="I19" i="20" s="1"/>
  <c r="E20" i="20"/>
  <c r="F20" i="20" s="1"/>
  <c r="H20" i="20"/>
  <c r="I20" i="20" s="1"/>
  <c r="E21" i="20"/>
  <c r="F21" i="20" s="1"/>
  <c r="H21" i="20"/>
  <c r="I21" i="20" s="1"/>
  <c r="E22" i="20"/>
  <c r="F22" i="20" s="1"/>
  <c r="H22" i="20"/>
  <c r="I22" i="20" s="1"/>
  <c r="I23" i="20"/>
  <c r="E24" i="20"/>
  <c r="F24" i="20" s="1"/>
  <c r="H24" i="20"/>
  <c r="E25" i="20"/>
  <c r="F25" i="20" s="1"/>
  <c r="H25" i="20"/>
  <c r="I25" i="20" s="1"/>
  <c r="E18" i="21"/>
  <c r="F18" i="21" s="1"/>
  <c r="H18" i="21"/>
  <c r="I18" i="21" s="1"/>
  <c r="E19" i="21"/>
  <c r="F19" i="21" s="1"/>
  <c r="H19" i="21"/>
  <c r="I19" i="21" s="1"/>
  <c r="E20" i="21"/>
  <c r="F20" i="21" s="1"/>
  <c r="H20" i="21"/>
  <c r="I20" i="21" s="1"/>
  <c r="E21" i="21"/>
  <c r="F21" i="21" s="1"/>
  <c r="H21" i="21"/>
  <c r="I21" i="21" s="1"/>
  <c r="E22" i="21"/>
  <c r="F22" i="21" s="1"/>
  <c r="H22" i="21"/>
  <c r="I22" i="21" s="1"/>
  <c r="I23" i="21"/>
  <c r="E24" i="21"/>
  <c r="F24" i="21" s="1"/>
  <c r="H24" i="21"/>
  <c r="I24" i="21" s="1"/>
  <c r="E25" i="21"/>
  <c r="F25" i="21" s="1"/>
  <c r="H25" i="21"/>
  <c r="I25" i="21" s="1"/>
  <c r="E18" i="4"/>
  <c r="F18" i="4" s="1"/>
  <c r="H18" i="4"/>
  <c r="I18" i="4"/>
  <c r="E19" i="4"/>
  <c r="F19" i="4" s="1"/>
  <c r="H19" i="4"/>
  <c r="I19" i="4" s="1"/>
  <c r="E20" i="4"/>
  <c r="F20" i="4" s="1"/>
  <c r="H20" i="4"/>
  <c r="I20" i="4" s="1"/>
  <c r="E21" i="4"/>
  <c r="F21" i="4" s="1"/>
  <c r="H21" i="4"/>
  <c r="I21" i="4" s="1"/>
  <c r="E22" i="4"/>
  <c r="F22" i="4" s="1"/>
  <c r="H22" i="4"/>
  <c r="I22" i="4" s="1"/>
  <c r="E23" i="4"/>
  <c r="F23" i="4" s="1"/>
  <c r="H23" i="4"/>
  <c r="I23" i="4" s="1"/>
  <c r="E24" i="4"/>
  <c r="F24" i="4" s="1"/>
  <c r="H24" i="4"/>
  <c r="I24" i="4" s="1"/>
  <c r="E25" i="4"/>
  <c r="F25" i="4" s="1"/>
  <c r="H25" i="4"/>
  <c r="I25" i="4" s="1"/>
  <c r="E18" i="3"/>
  <c r="F18" i="3" s="1"/>
  <c r="H18" i="3"/>
  <c r="I18" i="3" s="1"/>
  <c r="E19" i="3"/>
  <c r="F19" i="3" s="1"/>
  <c r="H19" i="3"/>
  <c r="E20" i="3"/>
  <c r="F20" i="3" s="1"/>
  <c r="H20" i="3"/>
  <c r="I20" i="3" s="1"/>
  <c r="E21" i="3"/>
  <c r="F21" i="3" s="1"/>
  <c r="H21" i="3"/>
  <c r="E22" i="3"/>
  <c r="F22" i="3" s="1"/>
  <c r="H22" i="3"/>
  <c r="I22" i="3" s="1"/>
  <c r="E23" i="3"/>
  <c r="F23" i="3" s="1"/>
  <c r="H23" i="3"/>
  <c r="E24" i="3"/>
  <c r="F24" i="3" s="1"/>
  <c r="H24" i="3"/>
  <c r="I24" i="3" s="1"/>
  <c r="E25" i="3"/>
  <c r="F25" i="3" s="1"/>
  <c r="H25" i="3"/>
  <c r="I25" i="3" s="1"/>
  <c r="E18" i="72"/>
  <c r="F18" i="72" s="1"/>
  <c r="H18" i="72"/>
  <c r="I18" i="72" s="1"/>
  <c r="E19" i="72"/>
  <c r="F19" i="72" s="1"/>
  <c r="H19" i="72"/>
  <c r="I19" i="72" s="1"/>
  <c r="E20" i="72"/>
  <c r="F20" i="72" s="1"/>
  <c r="H20" i="72"/>
  <c r="I20" i="72" s="1"/>
  <c r="E21" i="72"/>
  <c r="F21" i="72" s="1"/>
  <c r="H21" i="72"/>
  <c r="I21" i="72" s="1"/>
  <c r="E22" i="72"/>
  <c r="F22" i="72"/>
  <c r="H22" i="72"/>
  <c r="I22" i="72" s="1"/>
  <c r="E23" i="72"/>
  <c r="F23" i="72" s="1"/>
  <c r="H23" i="72"/>
  <c r="I23" i="72" s="1"/>
  <c r="E24" i="72"/>
  <c r="F24" i="72"/>
  <c r="H24" i="72"/>
  <c r="F25" i="72"/>
  <c r="H25" i="72"/>
  <c r="C18" i="30"/>
  <c r="C19" i="30"/>
  <c r="C20" i="30"/>
  <c r="C21" i="30"/>
  <c r="C22" i="30"/>
  <c r="H22" i="30"/>
  <c r="I22" i="30" s="1"/>
  <c r="C23" i="30"/>
  <c r="C25" i="30"/>
  <c r="C18" i="29"/>
  <c r="D18" i="29"/>
  <c r="C19" i="29"/>
  <c r="D19" i="29"/>
  <c r="C20" i="29"/>
  <c r="D20" i="29"/>
  <c r="C21" i="29"/>
  <c r="D21" i="29"/>
  <c r="C22" i="29"/>
  <c r="D22" i="29"/>
  <c r="C23" i="29"/>
  <c r="D23" i="29"/>
  <c r="D24" i="29"/>
  <c r="C25" i="29"/>
  <c r="D25" i="29"/>
  <c r="C18" i="18"/>
  <c r="D18" i="18"/>
  <c r="C19" i="18"/>
  <c r="D19" i="18"/>
  <c r="C20" i="18"/>
  <c r="D20" i="18"/>
  <c r="C21" i="18"/>
  <c r="D21" i="18"/>
  <c r="C22" i="18"/>
  <c r="D22" i="18"/>
  <c r="C23" i="18"/>
  <c r="D23" i="18"/>
  <c r="H23" i="18"/>
  <c r="C24" i="18"/>
  <c r="D24" i="18"/>
  <c r="C25" i="18"/>
  <c r="D25" i="18"/>
  <c r="C18" i="1"/>
  <c r="D18" i="1"/>
  <c r="G18" i="1"/>
  <c r="G18" i="34" s="1"/>
  <c r="C19" i="1"/>
  <c r="D19" i="1"/>
  <c r="G19" i="1"/>
  <c r="C20" i="1"/>
  <c r="D20" i="1"/>
  <c r="G20" i="1"/>
  <c r="C21" i="1"/>
  <c r="D21" i="1"/>
  <c r="G21" i="1"/>
  <c r="C22" i="1"/>
  <c r="D22" i="1"/>
  <c r="G22" i="1"/>
  <c r="C23" i="1"/>
  <c r="D23" i="1"/>
  <c r="G23" i="1"/>
  <c r="C24" i="1"/>
  <c r="D24" i="1"/>
  <c r="G24" i="1"/>
  <c r="G24" i="34" s="1"/>
  <c r="C25" i="1"/>
  <c r="D25" i="1"/>
  <c r="G25" i="1"/>
  <c r="C16" i="30"/>
  <c r="C17" i="30"/>
  <c r="C16" i="29"/>
  <c r="D16" i="29"/>
  <c r="C17" i="29"/>
  <c r="D17" i="29"/>
  <c r="C16" i="18"/>
  <c r="D16" i="18"/>
  <c r="C17" i="18"/>
  <c r="D17" i="18"/>
  <c r="C16" i="1"/>
  <c r="D16" i="1"/>
  <c r="G16" i="1"/>
  <c r="C17" i="1"/>
  <c r="D17" i="1"/>
  <c r="G17" i="1"/>
  <c r="G17" i="34" s="1"/>
  <c r="H17" i="33"/>
  <c r="I17" i="33" s="1"/>
  <c r="F17" i="33"/>
  <c r="H16" i="33"/>
  <c r="I16" i="33" s="1"/>
  <c r="E16" i="33"/>
  <c r="F16" i="33" s="1"/>
  <c r="I17" i="32"/>
  <c r="F17" i="32"/>
  <c r="I16" i="32"/>
  <c r="F16" i="32"/>
  <c r="I17" i="31"/>
  <c r="F17" i="31"/>
  <c r="I16" i="31"/>
  <c r="F16" i="3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I16" i="19"/>
  <c r="H17" i="20"/>
  <c r="I17" i="20" s="1"/>
  <c r="E17" i="20"/>
  <c r="F17" i="20" s="1"/>
  <c r="I16" i="20"/>
  <c r="H17" i="21"/>
  <c r="I17" i="21" s="1"/>
  <c r="E17" i="21"/>
  <c r="F17" i="21" s="1"/>
  <c r="I16" i="2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I16" i="72" s="1"/>
  <c r="E17" i="72"/>
  <c r="F17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8" i="34" s="1"/>
  <c r="G9" i="1"/>
  <c r="G9" i="34" s="1"/>
  <c r="G10" i="1"/>
  <c r="G10" i="34" s="1"/>
  <c r="G11" i="1"/>
  <c r="G12" i="1"/>
  <c r="G13" i="1"/>
  <c r="G14" i="1"/>
  <c r="G15" i="1"/>
  <c r="G5" i="1"/>
  <c r="G4" i="1"/>
  <c r="B4" i="34" a="1"/>
  <c r="B4" i="34" s="1"/>
  <c r="A4" i="34" a="1"/>
  <c r="A4" i="34" s="1"/>
  <c r="A1" i="34" a="1"/>
  <c r="A1" i="34" s="1"/>
  <c r="C15" i="30"/>
  <c r="C14" i="30"/>
  <c r="C13" i="30"/>
  <c r="C12" i="30"/>
  <c r="C11" i="30"/>
  <c r="C10" i="30"/>
  <c r="C9" i="30"/>
  <c r="D8" i="30"/>
  <c r="C8" i="30"/>
  <c r="D7" i="30"/>
  <c r="D6" i="30"/>
  <c r="C6" i="30"/>
  <c r="D5" i="30"/>
  <c r="C5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F9" i="33"/>
  <c r="H8" i="33"/>
  <c r="I8" i="33" s="1"/>
  <c r="E8" i="33"/>
  <c r="F8" i="33" s="1"/>
  <c r="I7" i="33"/>
  <c r="E7" i="33"/>
  <c r="F7" i="33" s="1"/>
  <c r="I6" i="33"/>
  <c r="E6" i="33"/>
  <c r="F6" i="33" s="1"/>
  <c r="I5" i="33"/>
  <c r="E5" i="33"/>
  <c r="F5" i="33" s="1"/>
  <c r="I4" i="33"/>
  <c r="E4" i="33"/>
  <c r="F4" i="33" s="1"/>
  <c r="G2" i="33"/>
  <c r="D2" i="33"/>
  <c r="C2" i="33"/>
  <c r="A1" i="33" a="1"/>
  <c r="A1" i="33" s="1"/>
  <c r="I15" i="32"/>
  <c r="F15" i="32"/>
  <c r="I14" i="32"/>
  <c r="F14" i="32"/>
  <c r="I13" i="32"/>
  <c r="F13" i="32"/>
  <c r="I12" i="32"/>
  <c r="F12" i="32"/>
  <c r="I11" i="32"/>
  <c r="F11" i="32"/>
  <c r="I10" i="32"/>
  <c r="F10" i="32"/>
  <c r="I9" i="32"/>
  <c r="F9" i="32"/>
  <c r="I8" i="32"/>
  <c r="F8" i="32"/>
  <c r="I7" i="32"/>
  <c r="F7" i="32"/>
  <c r="I6" i="32"/>
  <c r="F6" i="32"/>
  <c r="I5" i="32"/>
  <c r="E5" i="32"/>
  <c r="F5" i="32" s="1"/>
  <c r="I4" i="32"/>
  <c r="E4" i="32"/>
  <c r="F4" i="32" s="1"/>
  <c r="G2" i="32"/>
  <c r="D2" i="32"/>
  <c r="C2" i="32"/>
  <c r="A1" i="32" a="1"/>
  <c r="A1" i="32" s="1"/>
  <c r="I15" i="31"/>
  <c r="I14" i="31"/>
  <c r="F14" i="31"/>
  <c r="I13" i="31"/>
  <c r="F13" i="31"/>
  <c r="I12" i="31"/>
  <c r="F12" i="31"/>
  <c r="I11" i="31"/>
  <c r="F11" i="31"/>
  <c r="I10" i="31"/>
  <c r="F10" i="31"/>
  <c r="I9" i="31"/>
  <c r="F9" i="31"/>
  <c r="I8" i="31"/>
  <c r="F8" i="31"/>
  <c r="I7" i="31"/>
  <c r="F7" i="31"/>
  <c r="I6" i="31"/>
  <c r="F6" i="3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G4" i="34" l="1"/>
  <c r="H25" i="1"/>
  <c r="I25" i="1" s="1"/>
  <c r="H24" i="1"/>
  <c r="I24" i="1" s="1"/>
  <c r="G23" i="34"/>
  <c r="G21" i="34"/>
  <c r="G19" i="34"/>
  <c r="G15" i="34"/>
  <c r="G7" i="34"/>
  <c r="H23" i="34"/>
  <c r="H20" i="1"/>
  <c r="I20" i="1" s="1"/>
  <c r="G22" i="34"/>
  <c r="H19" i="34"/>
  <c r="H23" i="1"/>
  <c r="I23" i="1" s="1"/>
  <c r="H21" i="1"/>
  <c r="I21" i="1" s="1"/>
  <c r="I24" i="72"/>
  <c r="G20" i="34"/>
  <c r="G12" i="34"/>
  <c r="I25" i="72"/>
  <c r="H25" i="34"/>
  <c r="G11" i="34"/>
  <c r="H20" i="34"/>
  <c r="G14" i="34"/>
  <c r="H21" i="34"/>
  <c r="G25" i="34"/>
  <c r="G6" i="34"/>
  <c r="G13" i="34"/>
  <c r="H22" i="1"/>
  <c r="I22" i="1" s="1"/>
  <c r="G16" i="34"/>
  <c r="E21" i="1"/>
  <c r="F21" i="1" s="1"/>
  <c r="D22" i="34"/>
  <c r="D18" i="34"/>
  <c r="G5" i="34"/>
  <c r="H22" i="34"/>
  <c r="H18" i="1"/>
  <c r="I18" i="1" s="1"/>
  <c r="C2" i="1"/>
  <c r="D25" i="34"/>
  <c r="I23" i="18"/>
  <c r="H20" i="18"/>
  <c r="I20" i="18" s="1"/>
  <c r="I25" i="33"/>
  <c r="C17" i="34"/>
  <c r="C23" i="34"/>
  <c r="H20" i="30"/>
  <c r="I20" i="30" s="1"/>
  <c r="C18" i="34"/>
  <c r="E15" i="30"/>
  <c r="F15" i="30" s="1"/>
  <c r="E11" i="30"/>
  <c r="F11" i="30" s="1"/>
  <c r="E17" i="30"/>
  <c r="F17" i="30" s="1"/>
  <c r="D12" i="34"/>
  <c r="C4" i="34"/>
  <c r="H24" i="30"/>
  <c r="I24" i="30" s="1"/>
  <c r="H18" i="30"/>
  <c r="I18" i="30" s="1"/>
  <c r="H23" i="30"/>
  <c r="I23" i="30" s="1"/>
  <c r="E18" i="30"/>
  <c r="F18" i="30" s="1"/>
  <c r="C24" i="34"/>
  <c r="D23" i="34"/>
  <c r="D21" i="34"/>
  <c r="C7" i="34"/>
  <c r="C13" i="34"/>
  <c r="D13" i="34"/>
  <c r="H19" i="29"/>
  <c r="I19" i="29" s="1"/>
  <c r="D14" i="34"/>
  <c r="D9" i="34"/>
  <c r="D10" i="34"/>
  <c r="D20" i="34"/>
  <c r="D19" i="34"/>
  <c r="C11" i="34"/>
  <c r="C6" i="34"/>
  <c r="H22" i="29"/>
  <c r="I22" i="29" s="1"/>
  <c r="H21" i="29"/>
  <c r="I21" i="29" s="1"/>
  <c r="D24" i="34"/>
  <c r="D17" i="34"/>
  <c r="D16" i="34"/>
  <c r="D15" i="34"/>
  <c r="D11" i="34"/>
  <c r="D8" i="34"/>
  <c r="D7" i="34"/>
  <c r="D6" i="34"/>
  <c r="D5" i="34"/>
  <c r="C22" i="34"/>
  <c r="H18" i="29"/>
  <c r="I18" i="29" s="1"/>
  <c r="C16" i="34"/>
  <c r="H20" i="29"/>
  <c r="I20" i="29" s="1"/>
  <c r="C20" i="34"/>
  <c r="C21" i="34"/>
  <c r="H24" i="29"/>
  <c r="I24" i="29" s="1"/>
  <c r="H25" i="29"/>
  <c r="I25" i="29" s="1"/>
  <c r="C25" i="34"/>
  <c r="H23" i="29"/>
  <c r="I23" i="29" s="1"/>
  <c r="C15" i="34"/>
  <c r="C14" i="34"/>
  <c r="C19" i="34"/>
  <c r="C12" i="34"/>
  <c r="C10" i="34"/>
  <c r="C9" i="34"/>
  <c r="C8" i="34"/>
  <c r="H7" i="29"/>
  <c r="I7" i="29" s="1"/>
  <c r="C5" i="34"/>
  <c r="H24" i="18"/>
  <c r="I24" i="18" s="1"/>
  <c r="H19" i="18"/>
  <c r="I19" i="18" s="1"/>
  <c r="G2" i="18"/>
  <c r="H19" i="30"/>
  <c r="I19" i="30" s="1"/>
  <c r="E21" i="30"/>
  <c r="F21" i="30" s="1"/>
  <c r="H21" i="30"/>
  <c r="I21" i="30" s="1"/>
  <c r="E25" i="30"/>
  <c r="F25" i="30" s="1"/>
  <c r="E24" i="30"/>
  <c r="F24" i="30" s="1"/>
  <c r="E9" i="30"/>
  <c r="F9" i="30" s="1"/>
  <c r="E13" i="30"/>
  <c r="F13" i="30" s="1"/>
  <c r="E8" i="30"/>
  <c r="F8" i="30" s="1"/>
  <c r="E12" i="30"/>
  <c r="F12" i="30" s="1"/>
  <c r="E23" i="30"/>
  <c r="F23" i="30" s="1"/>
  <c r="H16" i="30"/>
  <c r="I16" i="30" s="1"/>
  <c r="E16" i="30"/>
  <c r="F16" i="30" s="1"/>
  <c r="E22" i="30"/>
  <c r="F22" i="30" s="1"/>
  <c r="E20" i="30"/>
  <c r="F20" i="30" s="1"/>
  <c r="D2" i="30"/>
  <c r="E10" i="30"/>
  <c r="F10" i="30" s="1"/>
  <c r="E14" i="30"/>
  <c r="F14" i="30" s="1"/>
  <c r="H17" i="30"/>
  <c r="I17" i="30" s="1"/>
  <c r="H6" i="30"/>
  <c r="I6" i="30" s="1"/>
  <c r="E19" i="30"/>
  <c r="F19" i="30" s="1"/>
  <c r="E23" i="29"/>
  <c r="F23" i="29" s="1"/>
  <c r="H17" i="29"/>
  <c r="I17" i="29" s="1"/>
  <c r="E25" i="29"/>
  <c r="F25" i="29" s="1"/>
  <c r="E19" i="29"/>
  <c r="F19" i="29" s="1"/>
  <c r="E16" i="29"/>
  <c r="F16" i="29" s="1"/>
  <c r="H9" i="29"/>
  <c r="I9" i="29" s="1"/>
  <c r="E11" i="29"/>
  <c r="F11" i="29" s="1"/>
  <c r="E21" i="29"/>
  <c r="F21" i="29" s="1"/>
  <c r="H6" i="29"/>
  <c r="I6" i="29" s="1"/>
  <c r="H15" i="29"/>
  <c r="I15" i="29" s="1"/>
  <c r="E5" i="29"/>
  <c r="F5" i="29" s="1"/>
  <c r="E9" i="29"/>
  <c r="F9" i="29" s="1"/>
  <c r="E13" i="29"/>
  <c r="F13" i="29" s="1"/>
  <c r="H12" i="29"/>
  <c r="I12" i="29" s="1"/>
  <c r="E6" i="29"/>
  <c r="F6" i="29" s="1"/>
  <c r="E10" i="29"/>
  <c r="F10" i="29" s="1"/>
  <c r="E14" i="29"/>
  <c r="F14" i="29" s="1"/>
  <c r="E20" i="29"/>
  <c r="F20" i="29" s="1"/>
  <c r="H10" i="29"/>
  <c r="I10" i="29" s="1"/>
  <c r="H13" i="29"/>
  <c r="I13" i="29" s="1"/>
  <c r="E8" i="29"/>
  <c r="F8" i="29" s="1"/>
  <c r="E12" i="29"/>
  <c r="F12" i="29" s="1"/>
  <c r="E18" i="29"/>
  <c r="F18" i="29" s="1"/>
  <c r="E17" i="29"/>
  <c r="F17" i="29" s="1"/>
  <c r="E22" i="29"/>
  <c r="F22" i="29" s="1"/>
  <c r="H16" i="29"/>
  <c r="I16" i="29" s="1"/>
  <c r="E24" i="29"/>
  <c r="F24" i="29" s="1"/>
  <c r="I24" i="20"/>
  <c r="E25" i="18"/>
  <c r="F25" i="18" s="1"/>
  <c r="H21" i="18"/>
  <c r="I21" i="18" s="1"/>
  <c r="E22" i="18"/>
  <c r="F22" i="18" s="1"/>
  <c r="H18" i="18"/>
  <c r="I18" i="18" s="1"/>
  <c r="E17" i="18"/>
  <c r="F17" i="18" s="1"/>
  <c r="E19" i="18"/>
  <c r="F19" i="18" s="1"/>
  <c r="H25" i="18"/>
  <c r="I25" i="18" s="1"/>
  <c r="E5" i="18"/>
  <c r="F5" i="18" s="1"/>
  <c r="E9" i="18"/>
  <c r="F9" i="18" s="1"/>
  <c r="E13" i="18"/>
  <c r="F13" i="18" s="1"/>
  <c r="H22" i="18"/>
  <c r="I22" i="18" s="1"/>
  <c r="E6" i="18"/>
  <c r="F6" i="18" s="1"/>
  <c r="E10" i="18"/>
  <c r="F10" i="18" s="1"/>
  <c r="E14" i="18"/>
  <c r="F14" i="18" s="1"/>
  <c r="E16" i="18"/>
  <c r="F16" i="18" s="1"/>
  <c r="E21" i="18"/>
  <c r="F21" i="18" s="1"/>
  <c r="E23" i="18"/>
  <c r="F23" i="18" s="1"/>
  <c r="E18" i="18"/>
  <c r="F18" i="18" s="1"/>
  <c r="H17" i="18"/>
  <c r="I17" i="18" s="1"/>
  <c r="E24" i="18"/>
  <c r="F24" i="18" s="1"/>
  <c r="E20" i="18"/>
  <c r="F20" i="18" s="1"/>
  <c r="D2" i="18"/>
  <c r="H16" i="18"/>
  <c r="I16" i="18" s="1"/>
  <c r="E20" i="1"/>
  <c r="F20" i="1" s="1"/>
  <c r="H18" i="34"/>
  <c r="I18" i="34" s="1"/>
  <c r="E16" i="1"/>
  <c r="F16" i="1" s="1"/>
  <c r="H19" i="1"/>
  <c r="I19" i="1" s="1"/>
  <c r="I23" i="3"/>
  <c r="I21" i="3"/>
  <c r="I19" i="3"/>
  <c r="H24" i="34"/>
  <c r="I24" i="34" s="1"/>
  <c r="E24" i="1"/>
  <c r="F24" i="1" s="1"/>
  <c r="E22" i="1"/>
  <c r="F22" i="1" s="1"/>
  <c r="E17" i="1"/>
  <c r="F17" i="1" s="1"/>
  <c r="E18" i="1"/>
  <c r="F18" i="1" s="1"/>
  <c r="H17" i="34"/>
  <c r="I17" i="34" s="1"/>
  <c r="E25" i="1"/>
  <c r="F25" i="1" s="1"/>
  <c r="E23" i="1"/>
  <c r="F23" i="1" s="1"/>
  <c r="E19" i="1"/>
  <c r="F19" i="1" s="1"/>
  <c r="E4" i="30"/>
  <c r="F4" i="30" s="1"/>
  <c r="E5" i="30"/>
  <c r="F5" i="30" s="1"/>
  <c r="E6" i="30"/>
  <c r="F6" i="30" s="1"/>
  <c r="D2" i="29"/>
  <c r="E4" i="18"/>
  <c r="F4" i="18" s="1"/>
  <c r="E8" i="18"/>
  <c r="F8" i="18" s="1"/>
  <c r="E12" i="18"/>
  <c r="F12" i="18" s="1"/>
  <c r="D4" i="34"/>
  <c r="E7" i="18"/>
  <c r="F7" i="18" s="1"/>
  <c r="E11" i="18"/>
  <c r="F11" i="18" s="1"/>
  <c r="E15" i="18"/>
  <c r="F15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H7" i="34"/>
  <c r="H8" i="34"/>
  <c r="I8" i="34" s="1"/>
  <c r="H5" i="34"/>
  <c r="H9" i="34"/>
  <c r="I9" i="34" s="1"/>
  <c r="H10" i="34"/>
  <c r="I10" i="34" s="1"/>
  <c r="H11" i="34"/>
  <c r="I11" i="34" s="1"/>
  <c r="H12" i="34"/>
  <c r="H13" i="34"/>
  <c r="H14" i="34"/>
  <c r="H15" i="34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2" i="34" l="1"/>
  <c r="I21" i="34"/>
  <c r="I23" i="34"/>
  <c r="I15" i="34"/>
  <c r="I5" i="34"/>
  <c r="I7" i="34"/>
  <c r="E22" i="34"/>
  <c r="F22" i="34" s="1"/>
  <c r="I20" i="34"/>
  <c r="I19" i="34"/>
  <c r="E18" i="34"/>
  <c r="F18" i="34" s="1"/>
  <c r="I14" i="34"/>
  <c r="E13" i="34"/>
  <c r="F13" i="34" s="1"/>
  <c r="I12" i="34"/>
  <c r="G2" i="34"/>
  <c r="E17" i="34"/>
  <c r="F17" i="34" s="1"/>
  <c r="I13" i="34"/>
  <c r="I6" i="34"/>
  <c r="E25" i="34"/>
  <c r="F25" i="34" s="1"/>
  <c r="E23" i="34"/>
  <c r="F23" i="34" s="1"/>
  <c r="E21" i="34"/>
  <c r="F21" i="34" s="1"/>
  <c r="E12" i="34"/>
  <c r="F12" i="34" s="1"/>
  <c r="E7" i="34"/>
  <c r="F7" i="34" s="1"/>
  <c r="C2" i="34"/>
  <c r="E4" i="34"/>
  <c r="F4" i="34" s="1"/>
  <c r="E9" i="34"/>
  <c r="F9" i="34" s="1"/>
  <c r="E24" i="34"/>
  <c r="F24" i="34" s="1"/>
  <c r="E10" i="34"/>
  <c r="F10" i="34" s="1"/>
  <c r="E14" i="34"/>
  <c r="F14" i="34" s="1"/>
  <c r="E15" i="34"/>
  <c r="F15" i="34" s="1"/>
  <c r="E6" i="34"/>
  <c r="F6" i="34" s="1"/>
  <c r="E20" i="34"/>
  <c r="F20" i="34" s="1"/>
  <c r="E19" i="34"/>
  <c r="F19" i="34" s="1"/>
  <c r="E11" i="34"/>
  <c r="F11" i="34" s="1"/>
  <c r="E8" i="34"/>
  <c r="F8" i="34" s="1"/>
  <c r="E16" i="34"/>
  <c r="F16" i="34" s="1"/>
  <c r="E5" i="34"/>
  <c r="F5" i="34" s="1"/>
  <c r="D2" i="34"/>
  <c r="E2" i="29"/>
  <c r="F2" i="29" s="1"/>
  <c r="H2" i="1"/>
  <c r="I2" i="1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<sst xmlns="http://schemas.openxmlformats.org/spreadsheetml/2006/main" count="755" uniqueCount="157">
  <si>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</si>
  <si>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</si>
  <si>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</si>
  <si>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</si>
  <si>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</si>
  <si>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</si>
  <si>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</si>
  <si>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</si>
  <si>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</si>
  <si>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</si>
  <si>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</si>
  <si>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</si>
  <si>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</si>
  <si>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</si>
  <si>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</si>
  <si>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</si>
  <si>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</si>
  <si>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</si>
  <si>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</si>
  <si>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</si>
  <si>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</si>
  <si>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</si>
  <si>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</si>
  <si>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14 Microinverters not started for production on 01/17/25 due to a Residual snow event issues and back online on 01/21/25 after the snow event.</t>
  </si>
  <si>
    <t>1. SR095676</t>
  </si>
  <si>
    <t>1. 4 Micro inverters are offline from 01/16/25 due to Residual snow event issues and back online on 01/21/25 after the snow event.</t>
  </si>
  <si>
    <t>1. SR095625</t>
  </si>
  <si>
    <t>1. 16 microinverters are offline from 01/15/25 due to a Residual snow event issues and back online on 01/21/25 after the snow event.</t>
  </si>
  <si>
    <t>1. SR095602</t>
  </si>
  <si>
    <t>1. 31 microinverters are failed to  report on 01/06/25 due to a Residual snow event issues and back online on 01/21/25  after the snow event.</t>
  </si>
  <si>
    <t>1. SR095334</t>
  </si>
  <si>
    <t>1. 51 microinverters are offline from 01/06/25 due to a Residual snow event issues and all microinverters back online on 01/21/25 after the snow event.
2. One microinverter offline since 12/26 and was RMA'd on 12/30, remaining offline throughout the month.</t>
  </si>
  <si>
    <t>1. SR095335
2. SR095094, SR095335</t>
  </si>
  <si>
    <t>SR095094</t>
  </si>
  <si>
    <t>SR095335</t>
  </si>
  <si>
    <t>1. 11 microinverters are offline from 01/14/25 due to a Residual snow event issues and all microinverters back online on 01/21/25 after the snow event.</t>
  </si>
  <si>
    <t>1. SR095548</t>
  </si>
  <si>
    <t>1. One microinverter 202036040228 is not reporting from 4/15/23.</t>
  </si>
  <si>
    <t>1. SR088366</t>
  </si>
  <si>
    <t>1. 3 microinverters are not producing from 01/16/25 due to a Residual snow event issues and all microinverters back online on 01/21/25 after the snow event.</t>
  </si>
  <si>
    <t>1. SR095626</t>
  </si>
  <si>
    <t>1. 2 microinverters are currently not reporting from 12/18/24</t>
  </si>
  <si>
    <t>1.SR094910</t>
  </si>
  <si>
    <t>February Actual v. Expected</t>
  </si>
  <si>
    <t>February Actual v. Forecasted</t>
  </si>
  <si>
    <t>1. One microinverter is offline on 02/14 and later self resolved.</t>
  </si>
  <si>
    <t>1.SR097110</t>
  </si>
  <si>
    <t>1. One microinverter offline since 12/26 and was RMA'd on 12/30, remaining offline throughout the month.</t>
  </si>
  <si>
    <t>1. SR095094, SR095335</t>
  </si>
  <si>
    <t>1. Site was offline from 02/10/25 and back online at 15:15 on 02/11 due to a Residual snow event issue.</t>
  </si>
  <si>
    <t>1. SR096673</t>
  </si>
  <si>
    <t>1. One microinverter 202036040228 is not reporting from 4/15/23 and being RMA'd on 02/18/25.</t>
  </si>
  <si>
    <t>1. SR094910</t>
  </si>
  <si>
    <t>March Actual v. Expected</t>
  </si>
  <si>
    <t>March Actual v. Forecasted</t>
  </si>
  <si>
    <t>1. Site was de-energized at 02:45 on 03/05 as per the customer’s request. The technician de-energized the system for 2 months as a test to rule out the solar system’s contribution to the iC3 communication issues being experienced on-site. The site remained offline throughout the month.</t>
  </si>
  <si>
    <t>1.	SR097860</t>
  </si>
  <si>
    <t>April Actual v. Expected</t>
  </si>
  <si>
    <t>April Actual v. Forecasted</t>
  </si>
  <si>
    <t>1.Site remained offline from 15:00 to 17:00 on 04/10</t>
  </si>
  <si>
    <t>1.PM9694</t>
  </si>
  <si>
    <t>1.One microinverter (SN: 202315108645) remained offline throughout the month, and an RMA for the unit was requested</t>
  </si>
  <si>
    <t>1.One microinverter (device # 202305095896) remained offline throughout the month and the inverter is being RMA'D</t>
  </si>
  <si>
    <t>1.SR095094,SR095335</t>
  </si>
  <si>
    <t>1.Site remained offline throughout the month.Dispatch to be scheduled in the next month.</t>
  </si>
  <si>
    <t>1.SR101229</t>
  </si>
  <si>
    <t>1.All the microinverters tripped offline at  15:15 on 04/11.Once they are back online at 06:30 on 04/13,but constantly produced at 6.04kW up to 15:30 and later on production was normalized.</t>
  </si>
  <si>
    <t>1.SR099702</t>
  </si>
  <si>
    <t/>
  </si>
  <si>
    <t>1.Microinverter 202036040228 is not reporting any production data for the whole month and inverter is being RMA'D</t>
  </si>
  <si>
    <t>1.SR088366</t>
  </si>
  <si>
    <t>1.Two microinverters are not reporting the production data for whole month,but the system is producing</t>
  </si>
  <si>
    <r>
      <rPr>
        <sz val="10"/>
        <color rgb="FF000000"/>
        <rFont val="Arial"/>
        <family val="2"/>
      </rPr>
      <t>1.</t>
    </r>
    <r>
      <rPr>
        <sz val="11"/>
        <color rgb="FF000000"/>
        <rFont val="Calibri"/>
        <family val="2"/>
        <scheme val="minor"/>
      </rPr>
      <t>Site was offline from 04/01 to 12:30 on 04/14</t>
    </r>
  </si>
  <si>
    <t>1.SR095895</t>
  </si>
  <si>
    <t>May Actual v. Expected</t>
  </si>
  <si>
    <t>May Actual v. Forecasted</t>
  </si>
  <si>
    <t>1.Site was offline from 05/01 to 09:30 on 05/20.Site was back online after technician has re-energized all the inverters</t>
  </si>
  <si>
    <t>June Actual v. Expected</t>
  </si>
  <si>
    <t>June Actual v. Forecasted</t>
  </si>
  <si>
    <t>1.	SR097110</t>
  </si>
  <si>
    <t>July Actual v. Expected</t>
  </si>
  <si>
    <t>July Actual v. Forecasted</t>
  </si>
  <si>
    <t>1.Site tripped offline at 16:15 on 07/24 and auto reclosed on 07/25 at 14:30</t>
  </si>
  <si>
    <t>1.	SR105029</t>
  </si>
  <si>
    <t>1. 1 microinverter was offline for whole month and being RMA'd</t>
  </si>
  <si>
    <t>1.SR095094, SR095335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</si>
  <si>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</si>
  <si>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</si>
  <si>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</si>
  <si>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</si>
  <si>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</si>
  <si>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</si>
  <si>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</si>
  <si>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</si>
  <si>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</si>
  <si>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</si>
  <si>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</si>
  <si>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CBRE</t>
  </si>
  <si>
    <t>Site DAS Name</t>
  </si>
  <si>
    <t>Update</t>
  </si>
  <si>
    <t>DAS</t>
  </si>
  <si>
    <t>Bank of America - CT2-120 (East Hartford, CT) (FC - East Hartford)</t>
  </si>
  <si>
    <t>East Hartford - BA</t>
  </si>
  <si>
    <t>CT</t>
  </si>
  <si>
    <t xml:space="preserve">Enlighten Manager </t>
  </si>
  <si>
    <t>Bank of America - INW-060 (Speedway, IN)</t>
  </si>
  <si>
    <t>Indianapolis - BA Speedway</t>
  </si>
  <si>
    <t>IN</t>
  </si>
  <si>
    <t>Bank of America - INW-035 (Greenwood,IN)</t>
  </si>
  <si>
    <t>Greenwood - BA</t>
  </si>
  <si>
    <t>Bank of America - OH2-211 (West Chester, OH)</t>
  </si>
  <si>
    <t>West Chester - BA</t>
  </si>
  <si>
    <t>OH</t>
  </si>
  <si>
    <t>Bank of America - OH2-215 (Cincinnati, OH)</t>
  </si>
  <si>
    <t>Cincinnati - BA MLK and Burnet</t>
  </si>
  <si>
    <t>Bank of America - OHW-185 (Columbus, OH) (FC - Harrisburg Pike and Hopkins)</t>
  </si>
  <si>
    <t>Columbus - BA Harrisburg Pike</t>
  </si>
  <si>
    <t>Bank of America - OH2-255 (Cincinnati,OH)</t>
  </si>
  <si>
    <t>Cincinnati - BA Hyde Pk Plaza</t>
  </si>
  <si>
    <t>Bank of America - OH2-208 (Cincinnati,OH)</t>
  </si>
  <si>
    <t>Cleveland - BA Carnegie &amp; 79th</t>
  </si>
  <si>
    <t>Bank of America - OHW-097 (Sharonville, OH)</t>
  </si>
  <si>
    <t>Cincinnati - BA Sharonville</t>
  </si>
  <si>
    <t>Bank of America - INW-049 (Zionsville, IN) (FC - Zionsville)</t>
  </si>
  <si>
    <t>Zionsville - BA</t>
  </si>
  <si>
    <t>Bank of America - OH2-238 (Cleveland, OH)</t>
  </si>
  <si>
    <t>Columbus - BA  Eastgate</t>
  </si>
  <si>
    <t>Bank of America - OH2-223 (Columbus, OH)</t>
  </si>
  <si>
    <t>Columbus - BA Eastmoor</t>
  </si>
  <si>
    <t>Brooklyn - BA Canarsie</t>
  </si>
  <si>
    <t>NY</t>
  </si>
  <si>
    <t>Bank of America - PAW-144 (Pittsburgh, PA) (843 Freeport Rd, Pittsburgh, PA 15238)</t>
  </si>
  <si>
    <t>Pittsburg - BA Fox Chapel</t>
  </si>
  <si>
    <t>PA</t>
  </si>
  <si>
    <t>Bank of America - 2 Bryant Park</t>
  </si>
  <si>
    <t>New York - BA Two Bryant Pk</t>
  </si>
  <si>
    <t>Bank of America - MD4-640 (Baltimore, MD) (FC - Sudbrook Ln)</t>
  </si>
  <si>
    <t>Baltimore - BA Sudbrook Lane</t>
  </si>
  <si>
    <t>MD</t>
  </si>
  <si>
    <t>Bank of America - CT2-273 (Stamford, CT) (FC - West Stamford)</t>
  </si>
  <si>
    <t>Stamford - BA West Stamford</t>
  </si>
  <si>
    <t>Bank of America - MD4-948 (Hanover, MD) (FC - Arundel Mills)</t>
  </si>
  <si>
    <t>Hanover - BA Arundel Mills</t>
  </si>
  <si>
    <t>Glen Cove - BA Forest Ave</t>
  </si>
  <si>
    <t>Bank of America - NYW-616 (Brooklyn, NY) (FC - North 4th and Berry)</t>
  </si>
  <si>
    <t>Brooklyn - BA North 4th &amp; Berry</t>
  </si>
  <si>
    <t>Bank of America - VA2-916 (Midlothian, VA) (FC - Brandermill)</t>
  </si>
  <si>
    <t>Midlothian - BA Brandermill</t>
  </si>
  <si>
    <t>VA</t>
  </si>
  <si>
    <t>Bank of America - KY1-122 (Lexington, KY)</t>
  </si>
  <si>
    <t>Lexington - BA North Park</t>
  </si>
  <si>
    <t>KY</t>
  </si>
  <si>
    <t>Bank of America - RIW-035 (Coventry, RI)</t>
  </si>
  <si>
    <t>Coventry - BA ATM</t>
  </si>
  <si>
    <t>RI</t>
  </si>
  <si>
    <t xml:space="preserve">Bank of America - VAW-154 (WoodBridge, VA) </t>
  </si>
  <si>
    <t>Woodbridge - BA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</si>
</sst>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8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/>
    <xf numFmtId="0" fontId="22" fillId="0" borderId="12" xfId="43" applyFont="1" applyBorder="1"/>
    <xf numFmtId="49" fontId="28" fillId="0" borderId="0" xfId="0" applyNumberFormat="1" applyFont="1" applyAlignment="1">
      <alignment vertical="top" wrapText="1"/>
    </xf>
    <xf numFmtId="0" fontId="22" fillId="40" borderId="12" xfId="0" applyFont="1" applyFill="1" applyBorder="1"/>
    <xf numFmtId="0" fontId="22" fillId="40" borderId="13" xfId="0" applyFont="1" applyFill="1" applyBorder="1"/>
    <xf numFmtId="0" fontId="22" fillId="0" borderId="12" xfId="0" applyFont="1" applyBorder="1"/>
    <xf numFmtId="0" fontId="22" fillId="0" borderId="13" xfId="0" applyFont="1" applyBorder="1"/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0" fontId="22" fillId="0" borderId="14" xfId="43" applyFont="1" applyBorder="1" applyAlignment="1">
      <alignment horizontal="left"/>
    </xf>
    <xf numFmtId="0" fontId="22" fillId="0" borderId="15" xfId="43" applyFont="1" applyBorder="1"/>
    <xf numFmtId="0" fontId="35" fillId="0" borderId="0" xfId="0" applyFont="1"/>
    <xf numFmtId="0" fontId="3" fillId="45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0" fontId="32" fillId="0" borderId="0" xfId="0" applyFont="1" applyAlignment="1">
      <alignment horizontal="right"/>
    </xf>
    <xf numFmtId="49" fontId="36" fillId="0" borderId="0" xfId="45" applyNumberFormat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49" fontId="36" fillId="0" borderId="0" xfId="45" applyNumberFormat="1" applyAlignment="1">
      <alignment vertical="top" wrapText="1"/>
    </xf>
    <xf numFmtId="49" fontId="36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49" fontId="36" fillId="0" borderId="0" xfId="45" applyNumberFormat="1" applyAlignment="1">
      <alignment vertical="center" wrapText="1"/>
    </xf>
    <xf numFmtId="0" fontId="38" fillId="0" borderId="0" xfId="0" applyFont="1"/>
    <xf numFmtId="164" fontId="0" fillId="0" borderId="0" xfId="0" applyNumberFormat="1" applyAlignment="1">
      <alignment horizontal="left" vertical="top"/>
    </xf>
    <xf numFmtId="164" fontId="36" fillId="0" borderId="0" xfId="45" applyNumberFormat="1" applyAlignment="1">
      <alignment horizontal="left" vertical="top"/>
    </xf>
    <xf numFmtId="0" fontId="36" fillId="0" borderId="0" xfId="45"/>
    <xf numFmtId="164" fontId="28" fillId="44" borderId="0" xfId="1" applyNumberFormat="1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9" fontId="30" fillId="37" borderId="0" xfId="2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3" fontId="30" fillId="4" borderId="0" xfId="1" applyNumberFormat="1" applyFont="1" applyFill="1" applyAlignment="1">
      <alignment horizontal="right"/>
    </xf>
    <xf numFmtId="3" fontId="30" fillId="0" borderId="0" xfId="1" applyNumberFormat="1" applyFont="1" applyAlignment="1">
      <alignment horizontal="right"/>
    </xf>
    <xf numFmtId="0" fontId="22" fillId="0" borderId="15" xfId="0" applyFont="1" applyBorder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7" totalsRowShown="0">
  <autoFilter ref="A3:E2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48" TargetMode="External"/><Relationship Id="rId3" Type="http://schemas.openxmlformats.org/officeDocument/2006/relationships/hyperlink" Target="https://us3.assetplanner.com/service_request?ID=095602" TargetMode="External"/><Relationship Id="rId7" Type="http://schemas.openxmlformats.org/officeDocument/2006/relationships/hyperlink" Target="https://us3.assetplanner.com/service_request?ID=095335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625" TargetMode="External"/><Relationship Id="rId1" Type="http://schemas.openxmlformats.org/officeDocument/2006/relationships/hyperlink" Target="https://us3.assetplanner.com/service_request?ID=095676" TargetMode="External"/><Relationship Id="rId6" Type="http://schemas.openxmlformats.org/officeDocument/2006/relationships/hyperlink" Target="https://us3.assetplanner.com/service_request?ID=095094" TargetMode="External"/><Relationship Id="rId11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95335" TargetMode="External"/><Relationship Id="rId10" Type="http://schemas.openxmlformats.org/officeDocument/2006/relationships/hyperlink" Target="https://us3.assetplanner.com/service_request?ID=095626" TargetMode="External"/><Relationship Id="rId4" Type="http://schemas.openxmlformats.org/officeDocument/2006/relationships/hyperlink" Target="https://us3.assetplanner.com/service_request?ID=095334" TargetMode="External"/><Relationship Id="rId9" Type="http://schemas.openxmlformats.org/officeDocument/2006/relationships/hyperlink" Target="https://us3.assetplanner.com/service_request?ID=088366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667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8366" TargetMode="External"/><Relationship Id="rId2" Type="http://schemas.openxmlformats.org/officeDocument/2006/relationships/hyperlink" Target="https://us3.assetplanner.com/service_request?ID=097860" TargetMode="External"/><Relationship Id="rId1" Type="http://schemas.openxmlformats.org/officeDocument/2006/relationships/hyperlink" Target="https://us3.assetplanner.com/service_request?ID=095094" TargetMode="External"/><Relationship Id="rId4" Type="http://schemas.openxmlformats.org/officeDocument/2006/relationships/hyperlink" Target="https://us3.assetplanner.com/service_request?ID=094910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895" TargetMode="External"/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hyperlink" Target="https://us3.assetplanner.com/service_request?ID=094910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88366" TargetMode="External"/><Relationship Id="rId5" Type="http://schemas.openxmlformats.org/officeDocument/2006/relationships/hyperlink" Target="https://us3.assetplanner.com/service_request?ID=099702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6" Type="http://schemas.openxmlformats.org/officeDocument/2006/relationships/hyperlink" Target="https://us3.assetplanner.com/service_request?ID=094910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10122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335" TargetMode="External"/><Relationship Id="rId2" Type="http://schemas.openxmlformats.org/officeDocument/2006/relationships/hyperlink" Target="https://us3.assetplanner.com/service_request?ID=095094" TargetMode="External"/><Relationship Id="rId1" Type="http://schemas.openxmlformats.org/officeDocument/2006/relationships/hyperlink" Target="https://us3.assetplanner.com/service_request?ID=097110" TargetMode="External"/><Relationship Id="rId5" Type="http://schemas.openxmlformats.org/officeDocument/2006/relationships/hyperlink" Target="https://us3.assetplanner.com/service_request?ID=094910" TargetMode="External"/><Relationship Id="rId4" Type="http://schemas.openxmlformats.org/officeDocument/2006/relationships/hyperlink" Target="https://us3.assetplanner.com/service_request?ID=08836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094" TargetMode="External"/><Relationship Id="rId2" Type="http://schemas.openxmlformats.org/officeDocument/2006/relationships/hyperlink" Target="https://us3.assetplanner.com/service_request?ID=097110" TargetMode="External"/><Relationship Id="rId1" Type="http://schemas.openxmlformats.org/officeDocument/2006/relationships/hyperlink" Target="https://us3.assetplanner.com/service_request?ID=105029" TargetMode="External"/><Relationship Id="rId5" Type="http://schemas.openxmlformats.org/officeDocument/2006/relationships/hyperlink" Target="https://us3.assetplanner.com/service_request?ID=088366" TargetMode="External"/><Relationship Id="rId4" Type="http://schemas.openxmlformats.org/officeDocument/2006/relationships/hyperlink" Target="https://us3.assetplanner.com/service_request?ID=09533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zoomScale="90" zoomScaleNormal="90" workbookViewId="0">
      <pane xSplit="2" ySplit="3" topLeftCell="C11" activePane="bottomRight" state="frozen"/>
      <selection pane="bottomRight" activeCell="H33" sqref="H3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CBRE</v>
      </c>
      <c r="B1" s="85"/>
      <c r="C1" s="85"/>
      <c r="D1" s="86" t="s">
        <v>0</v>
      </c>
      <c r="E1" s="86"/>
      <c r="F1" s="86"/>
      <c r="G1" s="84" t="s">
        <v>1</v>
      </c>
      <c r="H1" s="84"/>
      <c r="I1" s="84"/>
    </row>
    <row r="2" spans="1:9" ht="19.5" customHeight="1">
      <c r="A2" s="87" t="s">
        <v>2</v>
      </c>
      <c r="B2" s="87"/>
      <c r="C2" s="5">
        <f>SUM(C4:C87)</f>
        <v>216340.804</v>
      </c>
      <c r="D2" s="5">
        <f>SUM(D4:D87)</f>
        <v>0</v>
      </c>
      <c r="E2" s="5">
        <f>C2-D2</f>
        <v>216340.804</v>
      </c>
      <c r="F2" s="6">
        <f>IFERROR(E2/D2, 0)</f>
        <v>0</v>
      </c>
      <c r="G2" s="5">
        <f>SUM(G4:G87)</f>
        <v>0</v>
      </c>
      <c r="H2" s="7">
        <f>C2-G2</f>
        <v>216340.804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SUM('1st Qtr'!C4, '2nd Qtr'!C4, '3rd Qtr'!C4, '4th Qtr'!C4)</f>
        <v>15665.238000000001</v>
      </c>
      <c r="D4" s="13">
        <f>SUM('1st Qtr'!D4, '2nd Qtr'!D4, '3rd Qtr'!D4, '4th Qtr'!D4)</f>
        <v>0</v>
      </c>
      <c r="E4" s="13">
        <f>IF(AND(ISNUMBER(C4),ISNUMBER(D4)), C4-D4, "")</f>
        <v>15665.238000000001</v>
      </c>
      <c r="F4" s="14" t="str">
        <f>IFERROR(E4/D4, "")</f>
        <v/>
      </c>
      <c r="G4" s="16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SUM('1st Qtr'!C5, '2nd Qtr'!C5, '3rd Qtr'!C5, '4th Qtr'!C5)</f>
        <v>9163.889000000001</v>
      </c>
      <c r="D5" s="18">
        <f>SUM('1st Qtr'!D5, '2nd Qtr'!D5, '3rd Qtr'!D5, '4th Qtr'!D5)</f>
        <v>0</v>
      </c>
      <c r="E5" s="18">
        <f t="shared" ref="E5:E13" si="0">IF(AND(ISNUMBER(C5),ISNUMBER(D5)), C5-D5, "")</f>
        <v>9163.889000000001</v>
      </c>
      <c r="F5" s="19" t="str">
        <f>IFERROR(E5/D5, "")</f>
        <v/>
      </c>
      <c r="G5" s="19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SUM('1st Qtr'!C6, '2nd Qtr'!C6, '3rd Qtr'!C6, '4th Qtr'!C6)</f>
        <v>4027.7290000000003</v>
      </c>
      <c r="D6" s="13">
        <f>SUM('1st Qtr'!D6, '2nd Qtr'!D6, '3rd Qtr'!D6, '4th Qtr'!D6)</f>
        <v>0</v>
      </c>
      <c r="E6" s="13">
        <f t="shared" si="0"/>
        <v>4027.7290000000003</v>
      </c>
      <c r="F6" s="14" t="str">
        <f t="shared" ref="F6:F13" si="1">IFERROR(E6/D6, "")</f>
        <v/>
      </c>
      <c r="G6" s="16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SUM('1st Qtr'!C7, '2nd Qtr'!C7, '3rd Qtr'!C7, '4th Qtr'!C7)</f>
        <v>8879.482</v>
      </c>
      <c r="D7" s="18">
        <f>SUM('1st Qtr'!D7, '2nd Qtr'!D7, '3rd Qtr'!D7, '4th Qtr'!D7)</f>
        <v>0</v>
      </c>
      <c r="E7" s="18">
        <f t="shared" si="0"/>
        <v>8879.482</v>
      </c>
      <c r="F7" s="19" t="str">
        <f t="shared" si="1"/>
        <v/>
      </c>
      <c r="G7" s="19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SUM('1st Qtr'!C8, '2nd Qtr'!C8, '3rd Qtr'!C8, '4th Qtr'!C8)</f>
        <v>12109.191999999999</v>
      </c>
      <c r="D8" s="13">
        <f>SUM('1st Qtr'!D8, '2nd Qtr'!D8, '3rd Qtr'!D8, '4th Qtr'!D8)</f>
        <v>0</v>
      </c>
      <c r="E8" s="13">
        <f t="shared" si="0"/>
        <v>12109.191999999999</v>
      </c>
      <c r="F8" s="14" t="str">
        <f t="shared" si="1"/>
        <v/>
      </c>
      <c r="G8" s="16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SUM('1st Qtr'!C9, '2nd Qtr'!C9, '3rd Qtr'!C9, '4th Qtr'!C9)</f>
        <v>10286.096999999998</v>
      </c>
      <c r="D9" s="18">
        <f>SUM('1st Qtr'!D9, '2nd Qtr'!D9, '3rd Qtr'!D9, '4th Qtr'!D9)</f>
        <v>0</v>
      </c>
      <c r="E9" s="18">
        <f t="shared" si="0"/>
        <v>10286.096999999998</v>
      </c>
      <c r="F9" s="19" t="str">
        <f t="shared" si="1"/>
        <v/>
      </c>
      <c r="G9" s="19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SUM('1st Qtr'!C10, '2nd Qtr'!C10, '3rd Qtr'!C10, '4th Qtr'!C10)</f>
        <v>12174.583999999999</v>
      </c>
      <c r="D10" s="13">
        <f>SUM('1st Qtr'!D10, '2nd Qtr'!D10, '3rd Qtr'!D10, '4th Qtr'!D10)</f>
        <v>0</v>
      </c>
      <c r="E10" s="13">
        <f t="shared" si="0"/>
        <v>12174.583999999999</v>
      </c>
      <c r="F10" s="14" t="str">
        <f t="shared" si="1"/>
        <v/>
      </c>
      <c r="G10" s="16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SUM('1st Qtr'!C11, '2nd Qtr'!C11, '3rd Qtr'!C11, '4th Qtr'!C11)</f>
        <v>9347.9809999999998</v>
      </c>
      <c r="D11" s="18">
        <f>SUM('1st Qtr'!D11, '2nd Qtr'!D11, '3rd Qtr'!D11, '4th Qtr'!D11)</f>
        <v>0</v>
      </c>
      <c r="E11" s="18">
        <f t="shared" si="0"/>
        <v>9347.9809999999998</v>
      </c>
      <c r="F11" s="19" t="str">
        <f t="shared" si="1"/>
        <v/>
      </c>
      <c r="G11" s="19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SUM('1st Qtr'!C12, '2nd Qtr'!C12, '3rd Qtr'!C12, '4th Qtr'!C12)</f>
        <v>9427.3209999999999</v>
      </c>
      <c r="D12" s="13">
        <f>SUM('1st Qtr'!D12, '2nd Qtr'!D12, '3rd Qtr'!D12, '4th Qtr'!D12)</f>
        <v>0</v>
      </c>
      <c r="E12" s="13">
        <f t="shared" si="0"/>
        <v>9427.3209999999999</v>
      </c>
      <c r="F12" s="14" t="str">
        <f t="shared" si="1"/>
        <v/>
      </c>
      <c r="G12" s="16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SUM('1st Qtr'!C13, '2nd Qtr'!C13, '3rd Qtr'!C13, '4th Qtr'!C13)</f>
        <v>16874.272999999997</v>
      </c>
      <c r="D13" s="18">
        <f>SUM('1st Qtr'!D13, '2nd Qtr'!D13, '3rd Qtr'!D13, '4th Qtr'!D13)</f>
        <v>0</v>
      </c>
      <c r="E13" s="18">
        <f t="shared" si="0"/>
        <v>16874.272999999997</v>
      </c>
      <c r="F13" s="19" t="str">
        <f t="shared" si="1"/>
        <v/>
      </c>
      <c r="G13" s="19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SUM('1st Qtr'!C14, '2nd Qtr'!C14, '3rd Qtr'!C14, '4th Qtr'!C14)</f>
        <v>8494.6730000000007</v>
      </c>
      <c r="D14" s="13">
        <f>SUM('1st Qtr'!D14, '2nd Qtr'!D14, '3rd Qtr'!D14, '4th Qtr'!D14)</f>
        <v>0</v>
      </c>
      <c r="E14" s="13">
        <f>IF(AND(ISNUMBER(C14),ISNUMBER(D14)), C14-D14, "")</f>
        <v>8494.6730000000007</v>
      </c>
      <c r="F14" s="14" t="str">
        <f>IFERROR(E14/D14, "")</f>
        <v/>
      </c>
      <c r="G14" s="16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>Columbus - BA Eastmoor</v>
      </c>
      <c r="B15" s="10" t="str">
        <v>OH</v>
      </c>
      <c r="C15" s="11">
        <f>SUM('1st Qtr'!C15, '2nd Qtr'!C15, '3rd Qtr'!C15, '4th Qtr'!C15)</f>
        <v>14490.687000000002</v>
      </c>
      <c r="D15" s="18">
        <f>SUM('1st Qtr'!D15, '2nd Qtr'!D15, '3rd Qtr'!D15, '4th Qtr'!D15)</f>
        <v>0</v>
      </c>
      <c r="E15" s="18">
        <f>IF(AND(ISNUMBER(C15),ISNUMBER(D15)), C15-D15, "")</f>
        <v>14490.687000000002</v>
      </c>
      <c r="F15" s="19" t="str">
        <f>IFERROR(E15/D15, "")</f>
        <v/>
      </c>
      <c r="G15" s="19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>Brooklyn - BA Canarsie</v>
      </c>
      <c r="B16" s="9" t="str">
        <v>NY</v>
      </c>
      <c r="C16" s="24">
        <f>SUM('1st Qtr'!C16, '2nd Qtr'!C16, '3rd Qtr'!C16, '4th Qtr'!C16)</f>
        <v>0</v>
      </c>
      <c r="D16" s="13">
        <f>SUM('1st Qtr'!D16, '2nd Qtr'!D16, '3rd Qtr'!D16, '4th Qtr'!D16)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6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SUM('1st Qtr'!C17, '2nd Qtr'!C17, '3rd Qtr'!C17, '4th Qtr'!C17)</f>
        <v>7209.6720000000005</v>
      </c>
      <c r="D17" s="18">
        <f>SUM('1st Qtr'!D17, '2nd Qtr'!D17, '3rd Qtr'!D17, '4th Qtr'!D17)</f>
        <v>0</v>
      </c>
      <c r="E17" s="18">
        <f t="shared" si="3"/>
        <v>7209.6720000000005</v>
      </c>
      <c r="F17" s="19" t="str">
        <f t="shared" si="4"/>
        <v/>
      </c>
      <c r="G17" s="19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SUM('1st Qtr'!C18, '2nd Qtr'!C18, '3rd Qtr'!C18, '4th Qtr'!C18)</f>
        <v>775</v>
      </c>
      <c r="D18" s="13">
        <f>SUM('1st Qtr'!D18, '2nd Qtr'!D18, '3rd Qtr'!D18, '4th Qtr'!D18)</f>
        <v>0</v>
      </c>
      <c r="E18" s="13">
        <f t="shared" ref="E18:E27" si="6">IF(AND(ISNUMBER(C18),ISNUMBER(D18)), C18-D18, "")</f>
        <v>775</v>
      </c>
      <c r="F18" s="14" t="str">
        <f t="shared" ref="F18:F25" si="7">IFERROR(E18/D18, "")</f>
        <v/>
      </c>
      <c r="G18" s="16">
        <f>SUM('1st Qtr'!G18, '2nd Qtr'!G18, '3rd Qtr'!G18, '4th Qtr'!G18)</f>
        <v>0</v>
      </c>
      <c r="H18" s="15">
        <f>SUM(Jan!H18, Feb!H18, Mar!H18)</f>
        <v>0</v>
      </c>
      <c r="I18" s="16" t="str">
        <f t="shared" ref="I18:I24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SUM('1st Qtr'!C19, '2nd Qtr'!C19, '3rd Qtr'!C19, '4th Qtr'!C19)</f>
        <v>10230.048999999999</v>
      </c>
      <c r="D19" s="18">
        <f>SUM('1st Qtr'!D19, '2nd Qtr'!D19, '3rd Qtr'!D19, '4th Qtr'!D19)</f>
        <v>0</v>
      </c>
      <c r="E19" s="18">
        <f t="shared" si="6"/>
        <v>10230.048999999999</v>
      </c>
      <c r="F19" s="19" t="str">
        <f t="shared" si="7"/>
        <v/>
      </c>
      <c r="G19" s="19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SUM('1st Qtr'!C20, '2nd Qtr'!C20, '3rd Qtr'!C20, '4th Qtr'!C20)</f>
        <v>10972.302000000001</v>
      </c>
      <c r="D20" s="13">
        <f>SUM('1st Qtr'!D20, '2nd Qtr'!D20, '3rd Qtr'!D20, '4th Qtr'!D20)</f>
        <v>0</v>
      </c>
      <c r="E20" s="13">
        <f t="shared" si="6"/>
        <v>10972.302000000001</v>
      </c>
      <c r="F20" s="14" t="str">
        <f t="shared" si="7"/>
        <v/>
      </c>
      <c r="G20" s="16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SUM('1st Qtr'!C21, '2nd Qtr'!C21, '3rd Qtr'!C21, '4th Qtr'!C21)</f>
        <v>13538.37</v>
      </c>
      <c r="D21" s="18">
        <f>SUM('1st Qtr'!D21, '2nd Qtr'!D21, '3rd Qtr'!D21, '4th Qtr'!D21)</f>
        <v>0</v>
      </c>
      <c r="E21" s="18">
        <f t="shared" si="6"/>
        <v>13538.37</v>
      </c>
      <c r="F21" s="19" t="str">
        <f t="shared" si="7"/>
        <v/>
      </c>
      <c r="G21" s="19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SUM('1st Qtr'!C22, '2nd Qtr'!C22, '3rd Qtr'!C22, '4th Qtr'!C22)</f>
        <v>0</v>
      </c>
      <c r="D22" s="13">
        <f>SUM('1st Qtr'!D22, '2nd Qtr'!D22, '3rd Qtr'!D22, '4th Qtr'!D22)</f>
        <v>0</v>
      </c>
      <c r="E22" s="13">
        <f t="shared" si="6"/>
        <v>0</v>
      </c>
      <c r="F22" s="14" t="str">
        <f t="shared" si="7"/>
        <v/>
      </c>
      <c r="G22" s="16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SUM('1st Qtr'!C23, '2nd Qtr'!C23, '3rd Qtr'!C23, '4th Qtr'!C23)</f>
        <v>14671.108000000002</v>
      </c>
      <c r="D23" s="18">
        <f>SUM('1st Qtr'!D23, '2nd Qtr'!D23, '3rd Qtr'!D23, '4th Qtr'!D23)</f>
        <v>0</v>
      </c>
      <c r="E23" s="18">
        <f t="shared" si="6"/>
        <v>14671.108000000002</v>
      </c>
      <c r="F23" s="19" t="str">
        <f t="shared" si="7"/>
        <v/>
      </c>
      <c r="G23" s="19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SUM('1st Qtr'!C24, '2nd Qtr'!C24, '3rd Qtr'!C24, '4th Qtr'!C24)</f>
        <v>11008.366</v>
      </c>
      <c r="D24" s="13">
        <f>SUM('1st Qtr'!D24, '2nd Qtr'!D24, '3rd Qtr'!D24, '4th Qtr'!D24)</f>
        <v>0</v>
      </c>
      <c r="E24" s="13">
        <f t="shared" si="6"/>
        <v>11008.366</v>
      </c>
      <c r="F24" s="14" t="str">
        <f t="shared" si="7"/>
        <v/>
      </c>
      <c r="G24" s="16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SUM('1st Qtr'!C25, '2nd Qtr'!C25, '3rd Qtr'!C25, '4th Qtr'!C25)</f>
        <v>7984.8130000000001</v>
      </c>
      <c r="D25" s="18">
        <f>SUM('1st Qtr'!D25, '2nd Qtr'!D25, '3rd Qtr'!D25, '4th Qtr'!D25)</f>
        <v>0</v>
      </c>
      <c r="E25" s="18">
        <f t="shared" si="6"/>
        <v>7984.8130000000001</v>
      </c>
      <c r="F25" s="19" t="str">
        <f t="shared" si="7"/>
        <v/>
      </c>
      <c r="G25" s="19">
        <f>SUM('1st Qtr'!G25, '2nd Qtr'!G25, '3rd Qtr'!G25, '4th Qtr'!G25)</f>
        <v>0</v>
      </c>
      <c r="H25" s="20">
        <f>SUM(Jan!H25, Feb!H25, Mar!H25)</f>
        <v>0</v>
      </c>
      <c r="I25" s="19" t="str">
        <f>IFERROR(H25/G25, "")</f>
        <v/>
      </c>
    </row>
    <row r="26" spans="1:9" ht="15.6">
      <c r="A26" s="12" t="str">
        <v>Coventry - BA ATM</v>
      </c>
      <c r="B26" s="9" t="str">
        <v>RI</v>
      </c>
      <c r="C26" s="24">
        <f>SUM('1st Qtr'!C26, '2nd Qtr'!C26, '3rd Qtr'!C26, '4th Qtr'!C26)</f>
        <v>8485.362000000001</v>
      </c>
      <c r="D26" s="13">
        <f>SUM('1st Qtr'!D26, '2nd Qtr'!D26, '3rd Qtr'!D26, '4th Qtr'!D26)</f>
        <v>0</v>
      </c>
      <c r="E26" s="13">
        <f t="shared" si="6"/>
        <v>8485.362000000001</v>
      </c>
      <c r="F26" s="14" t="str">
        <f>IFERROR(E26/D26, "")</f>
        <v/>
      </c>
      <c r="G26" s="16">
        <f>SUM('1st Qtr'!G26, '2nd Qtr'!G26, '3rd Qtr'!G26, '4th Qtr'!G26)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SUM('1st Qtr'!C27, '2nd Qtr'!C27, '3rd Qtr'!C27, '4th Qtr'!C27)</f>
        <v>524.61599999999999</v>
      </c>
      <c r="D27" s="18">
        <f>SUM('1st Qtr'!D27, '2nd Qtr'!D27, '3rd Qtr'!D27, '4th Qtr'!D27)</f>
        <v>0</v>
      </c>
      <c r="E27" s="11">
        <f t="shared" si="6"/>
        <v>524.61599999999999</v>
      </c>
      <c r="F27" s="19" t="str">
        <f>IFERROR(E27/D27, "")</f>
        <v/>
      </c>
      <c r="G27" s="19">
        <f>SUM('1st Qtr'!G27, '2nd Qtr'!G27, '3rd Qtr'!G27, '4th Qtr'!G27)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">
    <cfRule type="cellIs" dxfId="66" priority="5" stopIfTrue="1" operator="lessThanOrEqual">
      <formula>-0.1</formula>
    </cfRule>
    <cfRule type="expression" dxfId="65" priority="6">
      <formula>AND(ISNUMBER(F2), F2&gt;=0.1)</formula>
    </cfRule>
  </conditionalFormatting>
  <conditionalFormatting sqref="F4:G24 G25:G27">
    <cfRule type="cellIs" dxfId="64" priority="3" stopIfTrue="1" operator="lessThanOrEqual">
      <formula>-0.1</formula>
    </cfRule>
    <cfRule type="expression" dxfId="63" priority="4">
      <formula>AND(ISNUMBER(F4), F4&gt;=0.1)</formula>
    </cfRule>
  </conditionalFormatting>
  <conditionalFormatting sqref="I4:I87 F25:F87">
    <cfRule type="cellIs" dxfId="62" priority="1" stopIfTrue="1" operator="lessThanOrEqual">
      <formula>-0.1</formula>
    </cfRule>
    <cfRule type="expression" dxfId="6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10" activePane="bottomRight" state="frozen"/>
      <selection pane="bottomRight" activeCell="F28" sqref="F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CBRE</v>
      </c>
      <c r="B1" s="85"/>
      <c r="C1" s="85"/>
      <c r="D1" s="86" t="s">
        <v>10</v>
      </c>
      <c r="E1" s="86"/>
      <c r="F1" s="86"/>
      <c r="G1" s="84" t="s">
        <v>11</v>
      </c>
      <c r="H1" s="84"/>
      <c r="I1" s="84"/>
    </row>
    <row r="2" spans="1:9" ht="19.5" customHeight="1">
      <c r="A2" s="87" t="s">
        <v>2</v>
      </c>
      <c r="B2" s="87"/>
      <c r="C2" s="5">
        <f>SUM(C4:C87)</f>
        <v>57970.9</v>
      </c>
      <c r="D2" s="5">
        <f>SUM(D4:D87)</f>
        <v>0</v>
      </c>
      <c r="E2" s="5">
        <f>C2-D2</f>
        <v>57970.9</v>
      </c>
      <c r="F2" s="6">
        <f>IFERROR(E2/D2, 0)</f>
        <v>0</v>
      </c>
      <c r="G2" s="5">
        <f>SUM(G4:G87)</f>
        <v>0</v>
      </c>
      <c r="H2" s="7">
        <f>C2-G2</f>
        <v>57970.9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SUM(Jan!C4, Feb!C4, Mar!C4)</f>
        <v>4024.1000000000004</v>
      </c>
      <c r="D4" s="13">
        <f>SUM(Jan!D4, Feb!D4, Mar!D4)</f>
        <v>0</v>
      </c>
      <c r="E4" s="13">
        <f>IF(AND(ISNUMBER(C4),ISNUMBER(D4)), C4-D4, "")</f>
        <v>4024.1000000000004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SUM(Jan!C5, Feb!C5, Mar!C5)</f>
        <v>2628.6</v>
      </c>
      <c r="D5" s="18">
        <f>SUM(Jan!D5, Feb!D5, Mar!D5)</f>
        <v>0</v>
      </c>
      <c r="E5" s="18">
        <f t="shared" ref="E5:E15" si="0">IF(AND(ISNUMBER(C5),ISNUMBER(D5)), C5-D5, "")</f>
        <v>2628.6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SUM(Jan!C6, Feb!C6, Mar!C6)</f>
        <v>1105.5</v>
      </c>
      <c r="D6" s="13">
        <f>SUM(Jan!D6, Feb!D6, Mar!D6)</f>
        <v>0</v>
      </c>
      <c r="E6" s="13">
        <f t="shared" si="0"/>
        <v>1105.5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SUM(Jan!C7, Feb!C7, Mar!C7)</f>
        <v>2681.6</v>
      </c>
      <c r="D7" s="18">
        <f>SUM(Jan!D7, Feb!D7, Mar!D7)</f>
        <v>0</v>
      </c>
      <c r="E7" s="18">
        <f t="shared" si="0"/>
        <v>2681.6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SUM(Jan!C8, Feb!C8, Mar!C8)</f>
        <v>3320.2</v>
      </c>
      <c r="D8" s="13">
        <f>SUM(Jan!D8, Feb!D8, Mar!D8)</f>
        <v>0</v>
      </c>
      <c r="E8" s="13">
        <f t="shared" si="0"/>
        <v>3320.2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SUM(Jan!C9, Feb!C9, Mar!C9)</f>
        <v>2862.2</v>
      </c>
      <c r="D9" s="18">
        <f>SUM(Jan!D9, Feb!D9, Mar!D9)</f>
        <v>0</v>
      </c>
      <c r="E9" s="18">
        <f t="shared" si="0"/>
        <v>2862.2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SUM(Jan!C10, Feb!C10, Mar!C10)</f>
        <v>3350.3</v>
      </c>
      <c r="D10" s="13">
        <f>SUM(Jan!D10, Feb!D10, Mar!D10)</f>
        <v>0</v>
      </c>
      <c r="E10" s="13">
        <f t="shared" si="0"/>
        <v>3350.3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SUM(Jan!C11, Feb!C11, Mar!C11)</f>
        <v>2717.9</v>
      </c>
      <c r="D11" s="18">
        <f>SUM(Jan!D11, Feb!D11, Mar!D11)</f>
        <v>0</v>
      </c>
      <c r="E11" s="18">
        <f t="shared" si="0"/>
        <v>2717.9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SUM(Jan!C12, Feb!C12, Mar!C12)</f>
        <v>2719.1</v>
      </c>
      <c r="D12" s="13">
        <f>SUM(Jan!D12, Feb!D12, Mar!D12)</f>
        <v>0</v>
      </c>
      <c r="E12" s="13">
        <f t="shared" si="0"/>
        <v>2719.1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SUM(Jan!C13, Feb!C13, Mar!C13)</f>
        <v>4872.3</v>
      </c>
      <c r="D13" s="18">
        <f>SUM(Jan!D13, Feb!D13, Mar!D13)</f>
        <v>0</v>
      </c>
      <c r="E13" s="18">
        <f t="shared" si="0"/>
        <v>4872.3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SUM(Jan!C14, Feb!C14, Mar!C14)</f>
        <v>1927</v>
      </c>
      <c r="D14" s="13">
        <f>SUM(Jan!D14, Feb!D14, Mar!D14)</f>
        <v>0</v>
      </c>
      <c r="E14" s="13">
        <f t="shared" si="0"/>
        <v>1927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SUM(Jan!C15, Feb!C15, Mar!C15)</f>
        <v>3740.7</v>
      </c>
      <c r="D15" s="18">
        <f>SUM(Jan!D15, Feb!D15, Mar!D15)</f>
        <v>0</v>
      </c>
      <c r="E15" s="18">
        <f t="shared" si="0"/>
        <v>3740.7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SUM(Jan!C16, Feb!C16, Mar!C16)</f>
        <v>0</v>
      </c>
      <c r="D16" s="13">
        <f>SUM(Jan!D16, Feb!D16, Mar!D16)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SUM(Jan!C17, Feb!C17, Mar!C17)</f>
        <v>1578.8</v>
      </c>
      <c r="D17" s="18">
        <f>SUM(Jan!D17, Feb!D17, Mar!D17)</f>
        <v>0</v>
      </c>
      <c r="E17" s="18">
        <f t="shared" si="3"/>
        <v>1578.8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SUM(Jan!C18, Feb!C18, Mar!C18)</f>
        <v>0</v>
      </c>
      <c r="D18" s="13">
        <f>SUM(Jan!D18, Feb!D18, Mar!D18)</f>
        <v>0</v>
      </c>
      <c r="E18" s="13">
        <f t="shared" ref="E18:E25" si="6">IF(AND(ISNUMBER(C18),ISNUMBER(D18)), C18-D18, "")</f>
        <v>0</v>
      </c>
      <c r="F18" s="14" t="str">
        <f t="shared" ref="F18:F25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SUM(Jan!C19, Feb!C19, Mar!C19)</f>
        <v>2937.1</v>
      </c>
      <c r="D19" s="18">
        <f>SUM(Jan!D19, Feb!D19, Mar!D19)</f>
        <v>0</v>
      </c>
      <c r="E19" s="18">
        <f t="shared" si="6"/>
        <v>2937.1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SUM(Jan!C20, Feb!C20, Mar!C20)</f>
        <v>3416.3</v>
      </c>
      <c r="D20" s="13">
        <f>SUM(Jan!D20, Feb!D20, Mar!D20)</f>
        <v>0</v>
      </c>
      <c r="E20" s="13">
        <f t="shared" si="6"/>
        <v>3416.3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SUM(Jan!C21, Feb!C21, Mar!C21)</f>
        <v>3997.1000000000004</v>
      </c>
      <c r="D21" s="18">
        <f>SUM(Jan!D21, Feb!D21, Mar!D21)</f>
        <v>0</v>
      </c>
      <c r="E21" s="18">
        <f t="shared" si="6"/>
        <v>3997.1000000000004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SUM(Jan!C22, Feb!C22, Mar!C22)</f>
        <v>0</v>
      </c>
      <c r="D22" s="13">
        <f>SUM(Jan!D22, Feb!D22, Mar!D22)</f>
        <v>0</v>
      </c>
      <c r="E22" s="13">
        <f t="shared" si="6"/>
        <v>0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SUM(Jan!C23, Feb!C23, Mar!C23)</f>
        <v>4387.8</v>
      </c>
      <c r="D23" s="18">
        <f>SUM(Jan!D23, Feb!D23, Mar!D23)</f>
        <v>0</v>
      </c>
      <c r="E23" s="18">
        <f t="shared" si="6"/>
        <v>4387.8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SUM(Jan!C24, Feb!C24, Mar!C24)</f>
        <v>3203.5</v>
      </c>
      <c r="D24" s="13">
        <f>SUM(Jan!D24, Feb!D24, Mar!D24)</f>
        <v>0</v>
      </c>
      <c r="E24" s="13">
        <f t="shared" si="6"/>
        <v>3203.5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SUM(Jan!C25, Feb!C25, Mar!C25)</f>
        <v>2151.6999999999998</v>
      </c>
      <c r="D25" s="18">
        <f>SUM(Jan!D25, Feb!D25, Mar!D25)</f>
        <v>0</v>
      </c>
      <c r="E25" s="18">
        <f t="shared" si="6"/>
        <v>2151.6999999999998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SUM(Jan!C26, Feb!C26, Mar!C26)</f>
        <v>215</v>
      </c>
      <c r="D26" s="13">
        <f>SUM(Jan!D26, Feb!D26, Mar!D26)</f>
        <v>0</v>
      </c>
      <c r="E26" s="13">
        <f>IF(AND(ISNUMBER(C26),ISNUMBER(D26)), C26-D26, "")</f>
        <v>215</v>
      </c>
      <c r="F26" s="14" t="str">
        <f>IFERROR(E26/D26, "")</f>
        <v/>
      </c>
      <c r="G26" s="15">
        <f>SUM(Jan!G26, Feb!G26, Mar!G26)</f>
        <v>0</v>
      </c>
      <c r="H26" s="15">
        <f>SUM(Jan!H26, Feb!H26, Mar!H26)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SUM(Jan!C27, Feb!C27, Mar!C27)</f>
        <v>134.10000000000002</v>
      </c>
      <c r="D27" s="18">
        <f>SUM(Jan!D27, Feb!D27, Mar!D27)</f>
        <v>0</v>
      </c>
      <c r="E27" s="18">
        <f>IF(AND(ISNUMBER(C27),ISNUMBER(D27)), C27-D27, "")</f>
        <v>134.10000000000002</v>
      </c>
      <c r="F27" s="19" t="str">
        <f>IFERROR(E27/D27, "")</f>
        <v/>
      </c>
      <c r="G27" s="20">
        <f>SUM(Jan!G27, Feb!G27, Mar!G27)</f>
        <v>0</v>
      </c>
      <c r="H27" s="20">
        <f>SUM(Jan!H27, Feb!H27, Mar!H27)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60" priority="3" stopIfTrue="1" operator="lessThanOrEqual">
      <formula>-0.1</formula>
    </cfRule>
    <cfRule type="expression" dxfId="59" priority="4">
      <formula>AND(ISNUMBER(F2), F2&gt;=0.1)</formula>
    </cfRule>
  </conditionalFormatting>
  <conditionalFormatting sqref="F4:F87 I4:I87">
    <cfRule type="cellIs" dxfId="58" priority="1" stopIfTrue="1" operator="lessThanOrEqual">
      <formula>-0.1</formula>
    </cfRule>
    <cfRule type="expression" dxfId="57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8"/>
  <sheetViews>
    <sheetView workbookViewId="0">
      <pane xSplit="2" ySplit="3" topLeftCell="C18" activePane="bottomRight" state="frozen"/>
      <selection pane="bottomRight" activeCell="I32" sqref="I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CBRE</v>
      </c>
      <c r="B1" s="85"/>
      <c r="C1" s="85"/>
      <c r="D1" s="86" t="s">
        <v>12</v>
      </c>
      <c r="E1" s="86"/>
      <c r="F1" s="86"/>
      <c r="G1" s="84" t="s">
        <v>13</v>
      </c>
      <c r="H1" s="84"/>
      <c r="I1" s="84"/>
    </row>
    <row r="2" spans="1:9" ht="19.5" customHeight="1">
      <c r="A2" s="87" t="s">
        <v>2</v>
      </c>
      <c r="B2" s="87"/>
      <c r="C2" s="5">
        <f>SUM(C4:C86)</f>
        <v>114284.3</v>
      </c>
      <c r="D2" s="5">
        <f>SUM(D4:D86)</f>
        <v>0</v>
      </c>
      <c r="E2" s="5">
        <f>C2-D2</f>
        <v>114284.3</v>
      </c>
      <c r="F2" s="6">
        <f>IFERROR(E2/D2, 0)</f>
        <v>0</v>
      </c>
      <c r="G2" s="5">
        <f>SUM(G4:G86)</f>
        <v>0</v>
      </c>
      <c r="H2" s="7">
        <f>C2-G2</f>
        <v>114284.3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SUM(Apr!C4, May!C4, Jun!C4)</f>
        <v>8329.6</v>
      </c>
      <c r="D4" s="13">
        <f>SUM(Apr!D4, May!D4, Jun!D4)</f>
        <v>0</v>
      </c>
      <c r="E4" s="13">
        <f>IF(AND(ISNUMBER(C4),ISNUMBER(D4)), C4-D4, "")</f>
        <v>8329.6</v>
      </c>
      <c r="F4" s="14" t="str">
        <f>IFERROR(E4/D4, "")</f>
        <v/>
      </c>
      <c r="G4" s="16">
        <f>SUM(Apr!G4, May!G4, 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SUM(Apr!C5, May!C5, Jun!C5)</f>
        <v>4814.1000000000004</v>
      </c>
      <c r="D5" s="18">
        <f>SUM(Apr!D5, May!D5, Jun!D5)</f>
        <v>0</v>
      </c>
      <c r="E5" s="18">
        <f t="shared" ref="E5:E15" si="0">IF(AND(ISNUMBER(C5),ISNUMBER(D5)), C5-D5, "")</f>
        <v>4814.1000000000004</v>
      </c>
      <c r="F5" s="19" t="str">
        <f>IFERROR(E5/D5, "")</f>
        <v/>
      </c>
      <c r="G5" s="19">
        <f>SUM(Apr!G5, May!G5, Jun!G5)</f>
        <v>0</v>
      </c>
      <c r="H5" s="20">
        <f>SUM(Apr!H5, May!H5, Jun!H5)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SUM(Apr!C6, May!C6, Jun!C6)</f>
        <v>2135.5</v>
      </c>
      <c r="D6" s="13">
        <f>SUM(Apr!D6, May!D6, Jun!D6)</f>
        <v>0</v>
      </c>
      <c r="E6" s="13">
        <f t="shared" si="0"/>
        <v>2135.5</v>
      </c>
      <c r="F6" s="14" t="str">
        <f t="shared" ref="F6:F15" si="1">IFERROR(E6/D6, "")</f>
        <v/>
      </c>
      <c r="G6" s="16">
        <f>SUM(Apr!G6, May!G6, Jun!G6)</f>
        <v>0</v>
      </c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SUM(Apr!C7, May!C7, Jun!C7)</f>
        <v>4520.3</v>
      </c>
      <c r="D7" s="18">
        <f>SUM(Apr!D7, May!D7, Jun!D7)</f>
        <v>0</v>
      </c>
      <c r="E7" s="18">
        <f t="shared" si="0"/>
        <v>4520.3</v>
      </c>
      <c r="F7" s="19" t="str">
        <f t="shared" si="1"/>
        <v/>
      </c>
      <c r="G7" s="19">
        <f>SUM(Apr!G7, May!G7, Jun!G7)</f>
        <v>0</v>
      </c>
      <c r="H7" s="20">
        <f>SUM(Apr!H7, May!H7, Jun!H7)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SUM(Apr!C8, May!C8, Jun!C8)</f>
        <v>6404.6</v>
      </c>
      <c r="D8" s="13">
        <f>SUM(Apr!D8, May!D8, Jun!D8)</f>
        <v>0</v>
      </c>
      <c r="E8" s="13">
        <f t="shared" si="0"/>
        <v>6404.6</v>
      </c>
      <c r="F8" s="14" t="str">
        <f t="shared" si="1"/>
        <v/>
      </c>
      <c r="G8" s="16">
        <f>SUM(Apr!G8, May!G8, Jun!G8)</f>
        <v>0</v>
      </c>
      <c r="H8" s="15">
        <f>SUM(Apr!H8, May!H8, Jun!H8)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SUM(Apr!C9, May!C9, Jun!C9)</f>
        <v>5428.4</v>
      </c>
      <c r="D9" s="18">
        <f>SUM(Apr!D9, May!D9, Jun!D9)</f>
        <v>0</v>
      </c>
      <c r="E9" s="18">
        <f t="shared" si="0"/>
        <v>5428.4</v>
      </c>
      <c r="F9" s="19" t="str">
        <f t="shared" si="1"/>
        <v/>
      </c>
      <c r="G9" s="19">
        <f>SUM(Apr!G9, May!G9, Jun!G9)</f>
        <v>0</v>
      </c>
      <c r="H9" s="20">
        <f>SUM(Apr!H9, May!H9, Jun!H9)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SUM(Apr!C10, May!C10, Jun!C10)</f>
        <v>6473.5</v>
      </c>
      <c r="D10" s="13">
        <f>SUM(Apr!D10, May!D10, Jun!D10)</f>
        <v>0</v>
      </c>
      <c r="E10" s="13">
        <f t="shared" si="0"/>
        <v>6473.5</v>
      </c>
      <c r="F10" s="14" t="str">
        <f t="shared" si="1"/>
        <v/>
      </c>
      <c r="G10" s="16">
        <f>SUM(Apr!G10, May!G10, Jun!G10)</f>
        <v>0</v>
      </c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SUM(Apr!C11, May!C11, Jun!C11)</f>
        <v>4824.8999999999996</v>
      </c>
      <c r="D11" s="18">
        <f>SUM(Apr!D11, May!D11, Jun!D11)</f>
        <v>0</v>
      </c>
      <c r="E11" s="18">
        <f t="shared" si="0"/>
        <v>4824.8999999999996</v>
      </c>
      <c r="F11" s="19" t="str">
        <f t="shared" si="1"/>
        <v/>
      </c>
      <c r="G11" s="19">
        <f>SUM(Apr!G11, May!G11, Jun!G11)</f>
        <v>0</v>
      </c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SUM(Apr!C12, May!C12, Jun!C12)</f>
        <v>4895.7</v>
      </c>
      <c r="D12" s="13">
        <f>SUM(Apr!D12, May!D12, Jun!D12)</f>
        <v>0</v>
      </c>
      <c r="E12" s="13">
        <f t="shared" si="0"/>
        <v>4895.7</v>
      </c>
      <c r="F12" s="14" t="str">
        <f t="shared" si="1"/>
        <v/>
      </c>
      <c r="G12" s="16">
        <f>SUM(Apr!G12, May!G12, Jun!G12)</f>
        <v>0</v>
      </c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SUM(Apr!C13, May!C13, Jun!C13)</f>
        <v>8780.2999999999993</v>
      </c>
      <c r="D13" s="18">
        <f>SUM(Apr!D13, May!D13, Jun!D13)</f>
        <v>0</v>
      </c>
      <c r="E13" s="18">
        <f t="shared" si="0"/>
        <v>8780.2999999999993</v>
      </c>
      <c r="F13" s="19" t="str">
        <f t="shared" si="1"/>
        <v/>
      </c>
      <c r="G13" s="19">
        <f>SUM(Apr!G13, May!G13, Jun!G13)</f>
        <v>0</v>
      </c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SUM(Apr!C14, May!C14, Jun!C14)</f>
        <v>4737.1000000000004</v>
      </c>
      <c r="D14" s="13">
        <f>SUM(Apr!D14, May!D14, Jun!D14)</f>
        <v>0</v>
      </c>
      <c r="E14" s="13">
        <f t="shared" si="0"/>
        <v>4737.1000000000004</v>
      </c>
      <c r="F14" s="14" t="str">
        <f t="shared" si="1"/>
        <v/>
      </c>
      <c r="G14" s="16">
        <f>SUM(Apr!G14, May!G14, Jun!G14)</f>
        <v>0</v>
      </c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SUM(Apr!C15, May!C15, Jun!C15)</f>
        <v>7828.5</v>
      </c>
      <c r="D15" s="18">
        <f>SUM(Apr!D15, May!D15, Jun!D15)</f>
        <v>0</v>
      </c>
      <c r="E15" s="18">
        <f t="shared" si="0"/>
        <v>7828.5</v>
      </c>
      <c r="F15" s="19" t="str">
        <f t="shared" si="1"/>
        <v/>
      </c>
      <c r="G15" s="19">
        <f>SUM(Apr!G15, May!G15, Jun!G15)</f>
        <v>0</v>
      </c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SUM(Apr!C16, May!C16, Jun!C16)</f>
        <v>0</v>
      </c>
      <c r="D16" s="13">
        <f>SUM(Apr!D16, May!D16, Jun!D16)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6">
        <f>SUM(Apr!G16, May!G16, Jun!G16)</f>
        <v>0</v>
      </c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SUM(Apr!C17, May!C17, Jun!C17)</f>
        <v>3135.3</v>
      </c>
      <c r="D17" s="18">
        <f>SUM(Apr!D17, May!D17, Jun!D17)</f>
        <v>0</v>
      </c>
      <c r="E17" s="18">
        <f t="shared" si="3"/>
        <v>3135.3</v>
      </c>
      <c r="F17" s="19" t="str">
        <f t="shared" si="4"/>
        <v/>
      </c>
      <c r="G17" s="19">
        <f>SUM(Apr!G17, May!G17, Jun!G17)</f>
        <v>0</v>
      </c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6">
        <f>SUM(Apr!G18, May!G18, Jun!G18)</f>
        <v>0</v>
      </c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SUM(Apr!C19, May!C19, Jun!C19)</f>
        <v>5318.9</v>
      </c>
      <c r="D19" s="18">
        <f>SUM(Apr!D19, May!D19, Jun!D19)</f>
        <v>0</v>
      </c>
      <c r="E19" s="18">
        <f t="shared" si="3"/>
        <v>5318.9</v>
      </c>
      <c r="F19" s="19" t="str">
        <f t="shared" si="4"/>
        <v/>
      </c>
      <c r="G19" s="19">
        <f>SUM(Apr!G19, May!G19, Jun!G19)</f>
        <v>0</v>
      </c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SUM(Apr!C20, May!C20, Jun!C20)</f>
        <v>5317.6</v>
      </c>
      <c r="D20" s="13">
        <f>SUM(Apr!D20, May!D20, Jun!D20)</f>
        <v>0</v>
      </c>
      <c r="E20" s="13">
        <f t="shared" ref="E20:E25" si="6">IF(AND(ISNUMBER(C20),ISNUMBER(D20)), C20-D20, "")</f>
        <v>5317.6</v>
      </c>
      <c r="F20" s="14" t="str">
        <f t="shared" ref="F20:F25" si="7">IFERROR(E20/D20, "")</f>
        <v/>
      </c>
      <c r="G20" s="16">
        <f>SUM(Apr!G20, May!G20, Jun!G20)</f>
        <v>0</v>
      </c>
      <c r="H20" s="15">
        <f>SUM(Apr!H20, May!H20, Jun!H20)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SUM(Apr!C21, May!C21, Jun!C21)</f>
        <v>6977.7000000000007</v>
      </c>
      <c r="D21" s="18">
        <f>SUM(Apr!D21, May!D21, Jun!D21)</f>
        <v>0</v>
      </c>
      <c r="E21" s="18">
        <f t="shared" si="6"/>
        <v>6977.7000000000007</v>
      </c>
      <c r="F21" s="19" t="str">
        <f t="shared" si="7"/>
        <v/>
      </c>
      <c r="G21" s="19">
        <f>SUM(Apr!G21, May!G21, Jun!G21)</f>
        <v>0</v>
      </c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SUM(Apr!C22, May!C22, Jun!C22)</f>
        <v>0</v>
      </c>
      <c r="D22" s="13">
        <f>SUM(Apr!D22, May!D22, Jun!D22)</f>
        <v>0</v>
      </c>
      <c r="E22" s="13">
        <f t="shared" si="6"/>
        <v>0</v>
      </c>
      <c r="F22" s="14" t="str">
        <f t="shared" si="7"/>
        <v/>
      </c>
      <c r="G22" s="16">
        <f>SUM(Apr!G22, May!G22, Jun!G22)</f>
        <v>0</v>
      </c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SUM(Apr!C23, May!C23, Jun!C23)</f>
        <v>7333.6</v>
      </c>
      <c r="D23" s="18">
        <f>SUM(Apr!D23, May!D23, Jun!D23)</f>
        <v>0</v>
      </c>
      <c r="E23" s="18">
        <f t="shared" si="6"/>
        <v>7333.6</v>
      </c>
      <c r="F23" s="19" t="str">
        <f t="shared" si="7"/>
        <v/>
      </c>
      <c r="G23" s="19">
        <f>SUM(Apr!G23, May!G23, Jun!G23)</f>
        <v>0</v>
      </c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SUM(Apr!C24, May!C24, Jun!C24)</f>
        <v>4531.6000000000004</v>
      </c>
      <c r="D24" s="13">
        <f>SUM(Apr!D24, May!D24, Jun!D24)</f>
        <v>0</v>
      </c>
      <c r="E24" s="13">
        <f t="shared" si="6"/>
        <v>4531.6000000000004</v>
      </c>
      <c r="F24" s="14" t="str">
        <f t="shared" si="7"/>
        <v/>
      </c>
      <c r="G24" s="16">
        <f>SUM(Apr!G24, May!G24, Jun!G24)</f>
        <v>0</v>
      </c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SUM(Apr!C25, May!C25, Jun!C25)</f>
        <v>4208.2</v>
      </c>
      <c r="D25" s="18">
        <f>SUM(Apr!D25, May!D25, Jun!D25)</f>
        <v>0</v>
      </c>
      <c r="E25" s="18">
        <f t="shared" si="6"/>
        <v>4208.2</v>
      </c>
      <c r="F25" s="19" t="str">
        <f t="shared" si="7"/>
        <v/>
      </c>
      <c r="G25" s="19">
        <f>SUM(Apr!G25, May!G25, Jun!G25)</f>
        <v>0</v>
      </c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75">
        <f>SUM(Apr!C26, May!C26, Jun!C26)</f>
        <v>8016.7</v>
      </c>
      <c r="D26" s="13">
        <f>SUM(Apr!D26, May!D26, Jun!D26)</f>
        <v>0</v>
      </c>
      <c r="E26" s="13">
        <f>IF(AND(ISNUMBER(C26),ISNUMBER(D26)), C26-D26, "")</f>
        <v>8016.7</v>
      </c>
      <c r="F26" s="78" t="str">
        <f>IFERROR(E26/D26, "")</f>
        <v/>
      </c>
      <c r="G26" s="77">
        <f>SUM(Apr!G26, May!G26, Jun!G26)</f>
        <v>0</v>
      </c>
      <c r="H26" s="15">
        <f>SUM(Apr!H26, May!H26, Jun!H26)</f>
        <v>0</v>
      </c>
      <c r="I26" s="16" t="str">
        <f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SUM(Apr!C27, May!C27, Jun!C27)</f>
        <v>272.2</v>
      </c>
      <c r="D27" s="18">
        <f>SUM(Apr!D27, May!D27, Jun!D27)</f>
        <v>0</v>
      </c>
      <c r="E27" s="18">
        <f>IF(AND(ISNUMBER(C27),ISNUMBER(D27)), C27-D27, "")</f>
        <v>272.2</v>
      </c>
      <c r="F27" s="19" t="str">
        <f>IFERROR(E27/D27, "")</f>
        <v/>
      </c>
      <c r="G27" s="76">
        <f>SUM(Apr!G27, May!G27, Jun!G27)</f>
        <v>0</v>
      </c>
      <c r="H27" s="20">
        <f>SUM(Apr!H27, May!H27, Jun!H27)</f>
        <v>0</v>
      </c>
      <c r="I27" s="19" t="str">
        <f>IFERROR(H27/G27, "")</f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">
    <cfRule type="cellIs" dxfId="56" priority="5" stopIfTrue="1" operator="lessThanOrEqual">
      <formula>-0.1</formula>
    </cfRule>
    <cfRule type="expression" dxfId="55" priority="6">
      <formula>AND(ISNUMBER(F2), F2&gt;=0.1)</formula>
    </cfRule>
  </conditionalFormatting>
  <conditionalFormatting sqref="F4:G27">
    <cfRule type="cellIs" dxfId="54" priority="3" stopIfTrue="1" operator="lessThanOrEqual">
      <formula>-0.1</formula>
    </cfRule>
    <cfRule type="expression" dxfId="53" priority="4">
      <formula>AND(ISNUMBER(F4), F4&gt;=0.1)</formula>
    </cfRule>
  </conditionalFormatting>
  <conditionalFormatting sqref="I4:I86 F28:F86">
    <cfRule type="cellIs" dxfId="52" priority="1" stopIfTrue="1" operator="lessThanOrEqual">
      <formula>-0.1</formula>
    </cfRule>
    <cfRule type="expression" dxfId="5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xSplit="2" ySplit="3" topLeftCell="C17" activePane="bottomRight" state="frozen"/>
      <selection pane="bottomRight" activeCell="L23" sqref="L2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CBRE</v>
      </c>
      <c r="B1" s="85"/>
      <c r="C1" s="85"/>
      <c r="D1" s="86" t="s">
        <v>14</v>
      </c>
      <c r="E1" s="86"/>
      <c r="F1" s="86"/>
      <c r="G1" s="84" t="s">
        <v>15</v>
      </c>
      <c r="H1" s="84"/>
      <c r="I1" s="84"/>
    </row>
    <row r="2" spans="1:9" ht="19.5" customHeight="1">
      <c r="A2" s="87" t="s">
        <v>2</v>
      </c>
      <c r="B2" s="87"/>
      <c r="C2" s="5">
        <f>SUM(C4:C85)</f>
        <v>44085.603999999999</v>
      </c>
      <c r="D2" s="5">
        <f>SUM(D4:D85)</f>
        <v>0</v>
      </c>
      <c r="E2" s="5">
        <f>C2-D2</f>
        <v>44085.603999999999</v>
      </c>
      <c r="F2" s="6">
        <f>IFERROR(E2/D2, 0)</f>
        <v>0</v>
      </c>
      <c r="G2" s="5">
        <f>SUM(G4:G85)</f>
        <v>0</v>
      </c>
      <c r="H2" s="7">
        <f>C2-G2</f>
        <v>44085.603999999999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SUM(Jul!C4, Aug!C4, Sep!C4)</f>
        <v>3311.538</v>
      </c>
      <c r="D4" s="13">
        <f>SUM(Jul!D4, Aug!D4, Sep!D4)</f>
        <v>0</v>
      </c>
      <c r="E4" s="13">
        <f>IF(AND(ISNUMBER(C4),ISNUMBER(D4)), C4-D4, "")</f>
        <v>3311.538</v>
      </c>
      <c r="F4" s="14" t="str">
        <f>IFERROR(E4/D4, "")</f>
        <v/>
      </c>
      <c r="G4" s="15">
        <f>SUM(Jul!G4, Aug!G4, 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SUM(Jul!C5, Aug!C5, Sep!C5)</f>
        <v>1721.1890000000001</v>
      </c>
      <c r="D5" s="18">
        <f>SUM(Jul!D5, Aug!D5, Sep!D5)</f>
        <v>0</v>
      </c>
      <c r="E5" s="18">
        <f t="shared" ref="E5:E15" si="0">IF(AND(ISNUMBER(C5),ISNUMBER(D5)), C5-D5, "")</f>
        <v>1721.1890000000001</v>
      </c>
      <c r="F5" s="19" t="str">
        <f>IFERROR(E5/D5, "")</f>
        <v/>
      </c>
      <c r="G5" s="20">
        <f>SUM(Jul!G5, Aug!G5, Sep!G5)</f>
        <v>0</v>
      </c>
      <c r="H5" s="20">
        <f>SUM(Jul!H5, Aug!H5, Sep!H5)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SUM(Jul!C6, Aug!C6, Sep!C6)</f>
        <v>786.72900000000004</v>
      </c>
      <c r="D6" s="13">
        <f>SUM(Jul!D6, Aug!D6, Sep!D6)</f>
        <v>0</v>
      </c>
      <c r="E6" s="13">
        <f t="shared" si="0"/>
        <v>786.72900000000004</v>
      </c>
      <c r="F6" s="14" t="str">
        <f t="shared" ref="F6:F15" si="1">IFERROR(E6/D6, "")</f>
        <v/>
      </c>
      <c r="G6" s="15">
        <f>SUM(Jul!G6, Aug!G6, Sep!G6)</f>
        <v>0</v>
      </c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SUM(Jul!C7, Aug!C7, Sep!C7)</f>
        <v>1677.5820000000001</v>
      </c>
      <c r="D7" s="18">
        <f>SUM(Jul!D7, Aug!D7, Sep!D7)</f>
        <v>0</v>
      </c>
      <c r="E7" s="18">
        <f t="shared" si="0"/>
        <v>1677.5820000000001</v>
      </c>
      <c r="F7" s="19" t="str">
        <f t="shared" si="1"/>
        <v/>
      </c>
      <c r="G7" s="20">
        <f>SUM(Jul!G7, Aug!G7, Sep!G7)</f>
        <v>0</v>
      </c>
      <c r="H7" s="20">
        <f>SUM(Jul!H7, Aug!H7, Sep!H7)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SUM(Jul!C8, Aug!C8, Sep!C8)</f>
        <v>2384.3919999999998</v>
      </c>
      <c r="D8" s="13">
        <f>SUM(Jul!D8, Aug!D8, Sep!D8)</f>
        <v>0</v>
      </c>
      <c r="E8" s="13">
        <f t="shared" si="0"/>
        <v>2384.3919999999998</v>
      </c>
      <c r="F8" s="14" t="str">
        <f t="shared" si="1"/>
        <v/>
      </c>
      <c r="G8" s="15">
        <f>SUM(Jul!G8, Aug!G8, Sep!G8)</f>
        <v>0</v>
      </c>
      <c r="H8" s="15">
        <f>SUM(Jul!H8, Aug!H8, Sep!H8)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SUM(Jul!C9, Aug!C9, Sep!C9)</f>
        <v>1995.4970000000001</v>
      </c>
      <c r="D9" s="18">
        <f>SUM(Jul!D9, Aug!D9, Sep!D9)</f>
        <v>0</v>
      </c>
      <c r="E9" s="18">
        <f t="shared" si="0"/>
        <v>1995.4970000000001</v>
      </c>
      <c r="F9" s="19" t="str">
        <f t="shared" si="1"/>
        <v/>
      </c>
      <c r="G9" s="20">
        <f>SUM(Jul!G9, Aug!G9, Sep!G9)</f>
        <v>0</v>
      </c>
      <c r="H9" s="20">
        <f>SUM(Jul!H9, Aug!H9, Sep!H9)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SUM(Jul!C10, Aug!C10, Sep!C10)</f>
        <v>2350.7840000000001</v>
      </c>
      <c r="D10" s="13">
        <f>SUM(Jul!D10, Aug!D10, Sep!D10)</f>
        <v>0</v>
      </c>
      <c r="E10" s="13">
        <f t="shared" si="0"/>
        <v>2350.7840000000001</v>
      </c>
      <c r="F10" s="14" t="str">
        <f t="shared" si="1"/>
        <v/>
      </c>
      <c r="G10" s="15">
        <f>SUM(Jul!G10, Aug!G10, Sep!G10)</f>
        <v>0</v>
      </c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SUM(Jul!C11, Aug!C11, Sep!C11)</f>
        <v>1805.181</v>
      </c>
      <c r="D11" s="18">
        <f>SUM(Jul!D11, Aug!D11, Sep!D11)</f>
        <v>0</v>
      </c>
      <c r="E11" s="18">
        <f t="shared" si="0"/>
        <v>1805.181</v>
      </c>
      <c r="F11" s="19" t="str">
        <f t="shared" si="1"/>
        <v/>
      </c>
      <c r="G11" s="20">
        <f>SUM(Jul!G11, Aug!G11, Sep!G11)</f>
        <v>0</v>
      </c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SUM(Jul!C12, Aug!C12, Sep!C12)</f>
        <v>1812.521</v>
      </c>
      <c r="D12" s="13">
        <f>SUM(Jul!D12, Aug!D12, Sep!D12)</f>
        <v>0</v>
      </c>
      <c r="E12" s="13">
        <f t="shared" si="0"/>
        <v>1812.521</v>
      </c>
      <c r="F12" s="14" t="str">
        <f t="shared" si="1"/>
        <v/>
      </c>
      <c r="G12" s="15">
        <f>SUM(Jul!G12, Aug!G12, Sep!G12)</f>
        <v>0</v>
      </c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SUM(Jul!C13, Aug!C13, Sep!C13)</f>
        <v>3221.6729999999998</v>
      </c>
      <c r="D13" s="18">
        <f>SUM(Jul!D13, Aug!D13, Sep!D13)</f>
        <v>0</v>
      </c>
      <c r="E13" s="18">
        <f t="shared" si="0"/>
        <v>3221.6729999999998</v>
      </c>
      <c r="F13" s="19" t="str">
        <f t="shared" si="1"/>
        <v/>
      </c>
      <c r="G13" s="20">
        <f>SUM(Jul!G13, Aug!G13, Sep!G13)</f>
        <v>0</v>
      </c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SUM(Jul!C14, Aug!C14, Sep!C14)</f>
        <v>1830.5730000000001</v>
      </c>
      <c r="D14" s="13">
        <f>SUM(Jul!D14, Aug!D14, Sep!D14)</f>
        <v>0</v>
      </c>
      <c r="E14" s="13">
        <f t="shared" si="0"/>
        <v>1830.5730000000001</v>
      </c>
      <c r="F14" s="14" t="str">
        <f t="shared" si="1"/>
        <v/>
      </c>
      <c r="G14" s="15">
        <f>SUM(Jul!G14, Aug!G14, Sep!G14)</f>
        <v>0</v>
      </c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SUM(Jul!C15, Aug!C15, Sep!C15)</f>
        <v>2921.4870000000001</v>
      </c>
      <c r="D15" s="18">
        <f>SUM(Jul!D15, Aug!D15, Sep!D15)</f>
        <v>0</v>
      </c>
      <c r="E15" s="18">
        <f t="shared" si="0"/>
        <v>2921.4870000000001</v>
      </c>
      <c r="F15" s="19" t="str">
        <f t="shared" si="1"/>
        <v/>
      </c>
      <c r="G15" s="20">
        <f>SUM(Jul!G15, Aug!G15, Sep!G15)</f>
        <v>0</v>
      </c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>
        <f>SUM(Jul!G16, Aug!G16, Sep!G16)</f>
        <v>0</v>
      </c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SUM(Jul!C17, Aug!C17, Sep!C17)</f>
        <v>2495.5720000000001</v>
      </c>
      <c r="D17" s="18">
        <f>SUM(Jul!D17, Aug!D17, Sep!D17)</f>
        <v>0</v>
      </c>
      <c r="E17" s="18">
        <f t="shared" si="3"/>
        <v>2495.5720000000001</v>
      </c>
      <c r="F17" s="19" t="str">
        <f t="shared" si="4"/>
        <v/>
      </c>
      <c r="G17" s="20">
        <f>SUM(Jul!G17, Aug!G17, Sep!G17)</f>
        <v>0</v>
      </c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SUM(Jul!C18, Aug!C18, Sep!C18)</f>
        <v>775</v>
      </c>
      <c r="D18" s="13">
        <f>SUM(Jul!D18, Aug!D18, Sep!D18)</f>
        <v>0</v>
      </c>
      <c r="E18" s="13">
        <f t="shared" si="3"/>
        <v>775</v>
      </c>
      <c r="F18" s="14" t="str">
        <f t="shared" si="4"/>
        <v/>
      </c>
      <c r="G18" s="15">
        <f>SUM(Jul!G18, Aug!G18, Sep!G18)</f>
        <v>0</v>
      </c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>Baltimore - BA Sudbrook Lane</v>
      </c>
      <c r="B19" s="10" t="str">
        <v>MD</v>
      </c>
      <c r="C19" s="11">
        <f>SUM(Jul!C19, Aug!C19, Sep!C19)</f>
        <v>1974.049</v>
      </c>
      <c r="D19" s="18">
        <f>SUM(Jul!D19, Aug!D19, Sep!D19)</f>
        <v>0</v>
      </c>
      <c r="E19" s="18">
        <f t="shared" si="3"/>
        <v>1974.049</v>
      </c>
      <c r="F19" s="19" t="str">
        <f t="shared" si="4"/>
        <v/>
      </c>
      <c r="G19" s="20">
        <f>SUM(Jul!G19, Aug!G19, Sep!G19)</f>
        <v>0</v>
      </c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>Stamford - BA West Stamford</v>
      </c>
      <c r="B20" s="9" t="str">
        <v>CT</v>
      </c>
      <c r="C20" s="24">
        <f>SUM(Jul!C20, Aug!C20, Sep!C20)</f>
        <v>2238.402</v>
      </c>
      <c r="D20" s="13">
        <f>SUM(Jul!D20, Aug!D20, Sep!D20)</f>
        <v>0</v>
      </c>
      <c r="E20" s="13">
        <f t="shared" ref="E20:E25" si="6">IF(AND(ISNUMBER(C20),ISNUMBER(D20)), C20-D20, "")</f>
        <v>2238.402</v>
      </c>
      <c r="F20" s="14" t="str">
        <f t="shared" ref="F20:F25" si="7">IFERROR(E20/D20, "")</f>
        <v/>
      </c>
      <c r="G20" s="15">
        <f>SUM(Jul!G20, Aug!G20, Sep!G20)</f>
        <v>0</v>
      </c>
      <c r="H20" s="15">
        <f>SUM(Jul!H20, Aug!H20, Sep!H20)</f>
        <v>0</v>
      </c>
      <c r="I20" s="16" t="str">
        <f t="shared" ref="I20:I25" si="8">IFERROR(H20/G20, "")</f>
        <v/>
      </c>
    </row>
    <row r="21" spans="1:9" ht="15.6">
      <c r="A21" s="17" t="str">
        <v>Hanover - BA Arundel Mills</v>
      </c>
      <c r="B21" s="10" t="str">
        <v>MD</v>
      </c>
      <c r="C21" s="11">
        <f>SUM(Jul!C21, Aug!C21, Sep!C21)</f>
        <v>2563.5700000000002</v>
      </c>
      <c r="D21" s="18">
        <f>SUM(Jul!D21, Aug!D21, Sep!D21)</f>
        <v>0</v>
      </c>
      <c r="E21" s="18">
        <f t="shared" si="6"/>
        <v>2563.5700000000002</v>
      </c>
      <c r="F21" s="19" t="str">
        <f t="shared" si="7"/>
        <v/>
      </c>
      <c r="G21" s="20">
        <f>SUM(Jul!G21, Aug!G21, Sep!G21)</f>
        <v>0</v>
      </c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>
        <f>SUM(Jul!G22, Aug!G22, Sep!G22)</f>
        <v>0</v>
      </c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SUM(Jul!C23, Aug!C23, Sep!C23)</f>
        <v>2949.7080000000001</v>
      </c>
      <c r="D23" s="18">
        <f>SUM(Jul!D23, Aug!D23, Sep!D23)</f>
        <v>0</v>
      </c>
      <c r="E23" s="18">
        <f t="shared" si="6"/>
        <v>2949.7080000000001</v>
      </c>
      <c r="F23" s="19" t="str">
        <f t="shared" si="7"/>
        <v/>
      </c>
      <c r="G23" s="20">
        <f>SUM(Jul!G23, Aug!G23, Sep!G23)</f>
        <v>0</v>
      </c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SUM(Jul!C24, Jul!C24, Sep!C24)</f>
        <v>3273.2660000000001</v>
      </c>
      <c r="D24" s="13">
        <f>SUM(Jul!D24, Aug!D24, Sep!D24)</f>
        <v>0</v>
      </c>
      <c r="E24" s="13">
        <f t="shared" si="6"/>
        <v>3273.2660000000001</v>
      </c>
      <c r="F24" s="14" t="str">
        <f t="shared" si="7"/>
        <v/>
      </c>
      <c r="G24" s="15">
        <f>SUM(Jul!G24, Aug!G24, Sep!G24)</f>
        <v>0</v>
      </c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SUM(Jul!C25, Aug!C25, Sep!C25)</f>
        <v>1624.913</v>
      </c>
      <c r="D25" s="18">
        <f>SUM(Jul!D25, Aug!D25, Sep!D25)</f>
        <v>0</v>
      </c>
      <c r="E25" s="18">
        <f t="shared" si="6"/>
        <v>1624.913</v>
      </c>
      <c r="F25" s="19" t="str">
        <f t="shared" si="7"/>
        <v/>
      </c>
      <c r="G25" s="20">
        <f>SUM(Jul!G25, Aug!G25, Sep!G25)</f>
        <v>0</v>
      </c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SUM(Jul!C26, Jul!C26, Sep!C26)</f>
        <v>253.66200000000001</v>
      </c>
      <c r="D26" s="13">
        <f>SUM(Jul!D26, Aug!D26, Sep!D26)</f>
        <v>0</v>
      </c>
      <c r="E26" s="13">
        <f t="shared" ref="E26:E27" si="9">IF(AND(ISNUMBER(C26),ISNUMBER(D26)), C26-D26, "")</f>
        <v>253.66200000000001</v>
      </c>
      <c r="F26" s="14" t="str">
        <f t="shared" ref="F26:F27" si="10">IFERROR(E26/D26, "")</f>
        <v/>
      </c>
      <c r="G26" s="15">
        <f>SUM(Jul!G26, Aug!G26, Sep!G26)</f>
        <v>0</v>
      </c>
      <c r="H26" s="15">
        <f>SUM(Jul!H26, Aug!H26, Sep!H26)</f>
        <v>0</v>
      </c>
      <c r="I26" s="16" t="str">
        <f t="shared" ref="I26:I27" si="11">IFERROR(H26/G26, "")</f>
        <v/>
      </c>
    </row>
    <row r="27" spans="1:9" ht="15.6">
      <c r="A27" s="17" t="str">
        <v>Woodbridge - BA ATM</v>
      </c>
      <c r="B27" s="10" t="str">
        <v>VA</v>
      </c>
      <c r="C27" s="11">
        <f>SUM(Jul!C27, Aug!C27, Sep!C27)</f>
        <v>118.316</v>
      </c>
      <c r="D27" s="18">
        <f>SUM(Jul!D27, Aug!D27, Sep!D27)</f>
        <v>0</v>
      </c>
      <c r="E27" s="18">
        <f t="shared" si="9"/>
        <v>118.316</v>
      </c>
      <c r="F27" s="19" t="str">
        <f t="shared" si="10"/>
        <v/>
      </c>
      <c r="G27" s="20">
        <f>SUM(Jul!G27, Aug!G27, Sep!G27)</f>
        <v>0</v>
      </c>
      <c r="H27" s="20">
        <f>SUM(Jul!H27, Aug!H27, Sep!H27)</f>
        <v>0</v>
      </c>
      <c r="I27" s="19" t="str">
        <f t="shared" si="11"/>
        <v/>
      </c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</sheetData>
  <mergeCells count="4">
    <mergeCell ref="G1:I1"/>
    <mergeCell ref="A1:C1"/>
    <mergeCell ref="D1:F1"/>
    <mergeCell ref="A2:B2"/>
  </mergeCells>
  <conditionalFormatting sqref="F2 I2 F4:F85 I4:I8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8"/>
  <sheetViews>
    <sheetView workbookViewId="0">
      <pane xSplit="2" ySplit="3" topLeftCell="H32" activePane="bottomRight" state="frozen"/>
      <selection pane="bottomRight" activeCell="H32" sqref="H3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5" t="str" cm="1">
        <f t="array" ref="A1">portfolio</f>
        <v>CBRE</v>
      </c>
      <c r="B1" s="85"/>
      <c r="C1" s="85"/>
      <c r="D1" s="86" t="s">
        <v>16</v>
      </c>
      <c r="E1" s="86"/>
      <c r="F1" s="86"/>
      <c r="G1" s="84" t="s">
        <v>17</v>
      </c>
      <c r="H1" s="84"/>
      <c r="I1" s="84"/>
    </row>
    <row r="2" spans="1:9" ht="19.5" customHeight="1">
      <c r="A2" s="87" t="s">
        <v>2</v>
      </c>
      <c r="B2" s="8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27">Sites[Site]</f>
        <v>East Hartford - BA</v>
      </c>
      <c r="B4" s="9" t="str" cm="1">
        <f t="array" ref="B4:B27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 Nov!G4, 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17" t="str">
        <v>Indianapolis - BA Speedway</v>
      </c>
      <c r="B5" s="10" t="str">
        <v>IN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SUM(Oct!G5, Nov!G5, Dec!G5)</f>
        <v>0</v>
      </c>
      <c r="H5" s="20">
        <f>SUM(Oct!H5, Nov!H5, Dec!H5)</f>
        <v>0</v>
      </c>
      <c r="I5" s="19" t="str">
        <f>IFERROR(H5/G5, "")</f>
        <v/>
      </c>
    </row>
    <row r="6" spans="1:9" ht="15.6">
      <c r="A6" s="12" t="str">
        <v>Greenwood - BA</v>
      </c>
      <c r="B6" s="9" t="str">
        <v>IN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>
        <f>SUM(Oct!G6, Nov!G6, Dec!G6)</f>
        <v>0</v>
      </c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>West Chester - BA</v>
      </c>
      <c r="B7" s="10" t="str">
        <v>OH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>
        <f>SUM(Oct!G7, Nov!G7, Dec!G7)</f>
        <v>0</v>
      </c>
      <c r="H7" s="20">
        <f>SUM(Oct!H7, Nov!H7, Dec!H7)</f>
        <v>0</v>
      </c>
      <c r="I7" s="19" t="str">
        <f t="shared" si="2"/>
        <v/>
      </c>
    </row>
    <row r="8" spans="1:9" ht="15.6">
      <c r="A8" s="12" t="str">
        <v>Cincinnati - BA MLK and Burnet</v>
      </c>
      <c r="B8" s="9" t="str">
        <v>OH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>
        <f>SUM(Oct!G8, Nov!G8, Dec!G8)</f>
        <v>0</v>
      </c>
      <c r="H8" s="15">
        <f>SUM(Oct!H8, Nov!H8, Dec!H8)</f>
        <v>0</v>
      </c>
      <c r="I8" s="16" t="str">
        <f t="shared" si="2"/>
        <v/>
      </c>
    </row>
    <row r="9" spans="1:9" ht="15.6">
      <c r="A9" s="17" t="str">
        <v>Columbus - BA Harrisburg Pike</v>
      </c>
      <c r="B9" s="10" t="str">
        <v>OH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>
        <f>SUM(Oct!G9, Nov!G9, Dec!G9)</f>
        <v>0</v>
      </c>
      <c r="H9" s="20">
        <f>SUM(Oct!H9, Nov!H9, Dec!H9)</f>
        <v>0</v>
      </c>
      <c r="I9" s="19" t="str">
        <f t="shared" si="2"/>
        <v/>
      </c>
    </row>
    <row r="10" spans="1:9" ht="15.6">
      <c r="A10" s="12" t="str">
        <v>Cincinnati - BA Hyde Pk Plaza</v>
      </c>
      <c r="B10" s="9" t="str">
        <v>OH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>
        <f>SUM(Oct!G10, Nov!G10, Dec!G10)</f>
        <v>0</v>
      </c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>Cleveland - BA Carnegie &amp; 79th</v>
      </c>
      <c r="B11" s="10" t="str">
        <v>OH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>
        <f>SUM(Oct!G11, Nov!G11, Dec!G11)</f>
        <v>0</v>
      </c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>Cincinnati - BA Sharonville</v>
      </c>
      <c r="B12" s="9" t="str">
        <v>OH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>
        <f>SUM(Oct!G12, Nov!G12, Dec!G12)</f>
        <v>0</v>
      </c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>Zionsville - BA</v>
      </c>
      <c r="B13" s="10" t="str">
        <v>IN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>
        <f>SUM(Oct!G13, Nov!G13, Dec!G13)</f>
        <v>0</v>
      </c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>Columbus - BA  Eastgate</v>
      </c>
      <c r="B14" s="9" t="str">
        <v>OH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>
        <f>SUM(Oct!G14, Nov!G14, Dec!G14)</f>
        <v>0</v>
      </c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>Columbus - BA Eastmoor</v>
      </c>
      <c r="B15" s="10" t="str">
        <v>OH</v>
      </c>
      <c r="C15" s="11">
        <f>SUM(Oct!C7, Nov!C7,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>
        <f>SUM(Oct!G15, Nov!G15, Dec!G15)</f>
        <v>0</v>
      </c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>Brooklyn - BA Canarsie</v>
      </c>
      <c r="B16" s="9" t="str">
        <v>NY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>
        <f>SUM(Oct!G16, Nov!G16, Dec!G16)</f>
        <v>0</v>
      </c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>Pittsburg - BA Fox Chapel</v>
      </c>
      <c r="B17" s="10" t="str">
        <v>PA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>
        <f>SUM(Oct!G17, Nov!G17, Dec!G17)</f>
        <v>0</v>
      </c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>New York - BA Two Bryant Pk</v>
      </c>
      <c r="B18" s="9" t="str">
        <v>NY</v>
      </c>
      <c r="C18" s="24">
        <f>SUM(Oct!C18, Nov!C18, Dec!C18)</f>
        <v>0</v>
      </c>
      <c r="D18" s="13">
        <f>SUM(Oct!D18, Nov!D18, Dec!D18)</f>
        <v>0</v>
      </c>
      <c r="E18" s="13">
        <f t="shared" ref="E18:E26" si="6">IF(AND(ISNUMBER(C18),ISNUMBER(D18)), C18-D18, "")</f>
        <v>0</v>
      </c>
      <c r="F18" s="14" t="str">
        <f t="shared" ref="F18:F24" si="7">IFERROR(E18/D18, "")</f>
        <v/>
      </c>
      <c r="G18" s="15">
        <f>SUM(Oct!G18, Nov!G18, Dec!G18)</f>
        <v>0</v>
      </c>
      <c r="H18" s="15">
        <f>SUM(Oct!H18, Nov!H18, Dec!H18)</f>
        <v>0</v>
      </c>
      <c r="I18" s="16" t="str">
        <f t="shared" ref="I18:I25" si="8">IFERROR(H18/G18, "")</f>
        <v/>
      </c>
    </row>
    <row r="19" spans="1:9" ht="15.6">
      <c r="A19" s="17" t="str">
        <v>Baltimore - BA Sudbrook Lane</v>
      </c>
      <c r="B19" s="10" t="str">
        <v>MD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>
        <f>SUM(Oct!G19, Nov!G19, Dec!G19)</f>
        <v>0</v>
      </c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>Stamford - BA West Stamford</v>
      </c>
      <c r="B20" s="9" t="str">
        <v>CT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>
        <f>SUM(Oct!G20, Nov!G20, Dec!G20)</f>
        <v>0</v>
      </c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>Hanover - BA Arundel Mills</v>
      </c>
      <c r="B21" s="10" t="str">
        <v>MD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>
        <f>SUM(Oct!G21, Nov!G21, Dec!G21)</f>
        <v>0</v>
      </c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>Glen Cove - BA Forest Ave</v>
      </c>
      <c r="B22" s="9" t="str">
        <v>NY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>
        <f>SUM(Oct!G22, Nov!G22, Dec!G22)</f>
        <v>0</v>
      </c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>Brooklyn - BA North 4th &amp; Berry</v>
      </c>
      <c r="B23" s="10" t="str">
        <v>NY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>
        <f>SUM(Oct!G23, Nov!G23, Dec!G23)</f>
        <v>0</v>
      </c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>Midlothian - BA Brandermill</v>
      </c>
      <c r="B24" s="9" t="str">
        <v>VA</v>
      </c>
      <c r="C24" s="24">
        <f>SUM(Oct!C24, Oct!C24,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>
        <f>SUM(Oct!G24, Nov!G24, Dec!G24)</f>
        <v>0</v>
      </c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>Lexington - BA North Park</v>
      </c>
      <c r="B25" s="10" t="str">
        <v>KY</v>
      </c>
      <c r="C25" s="11">
        <f>SUM(Oct!C25, Nov!C25, Dec!C25)</f>
        <v>0</v>
      </c>
      <c r="D25" s="18">
        <f>SUM(Oct!D25, Nov!D25, Dec!D25)</f>
        <v>0</v>
      </c>
      <c r="E25" s="18">
        <f>IF(AND(ISNUMBER(C25),ISNUMBER(D26)), C25-D26, "")</f>
        <v>0</v>
      </c>
      <c r="F25" s="19" t="str">
        <f>IFERROR(E25/D26, "")</f>
        <v/>
      </c>
      <c r="G25" s="20">
        <f>SUM(Oct!G25, Nov!G25, Dec!G25)</f>
        <v>0</v>
      </c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>Coventry - BA ATM</v>
      </c>
      <c r="B26" s="9" t="str">
        <v>RI</v>
      </c>
      <c r="C26" s="24">
        <f>SUM(Oct!C26, Oct!C26, Dec!C26)</f>
        <v>0</v>
      </c>
      <c r="D26" s="13">
        <f>SUM(Oct!D26, Nov!D26, Dec!D26)</f>
        <v>0</v>
      </c>
      <c r="E26" s="13">
        <f t="shared" si="6"/>
        <v>0</v>
      </c>
      <c r="F26" s="14"/>
      <c r="G26" s="15">
        <f>SUM(Oct!G26, Nov!G26, Dec!G26)</f>
        <v>0</v>
      </c>
      <c r="H26" s="15">
        <f>SUM(Oct!H26, Nov!H26, Dec!H26)</f>
        <v>0</v>
      </c>
      <c r="I26" s="16"/>
    </row>
    <row r="27" spans="1:9" ht="15.6">
      <c r="A27" s="17" t="str">
        <v>Woodbridge - BA ATM</v>
      </c>
      <c r="B27" s="10" t="str">
        <v>VA</v>
      </c>
      <c r="C27" s="11">
        <f>SUM(Oct!C27, Nov!C27, Dec!C27)</f>
        <v>0</v>
      </c>
      <c r="D27" s="18">
        <f>SUM(Oct!D27, Nov!D27, Dec!D27)</f>
        <v>0</v>
      </c>
      <c r="E27" s="18">
        <f>IF(AND(ISNUMBER(C27),ISNUMBER(D27)), C27-D27, "")</f>
        <v>0</v>
      </c>
      <c r="F27" s="19"/>
      <c r="G27" s="20">
        <f>SUM(Oct!G27, Nov!G27, Dec!G27)</f>
        <v>0</v>
      </c>
      <c r="H27" s="20">
        <f>SUM(Oct!H27, Nov!H27, Dec!H27)</f>
        <v>0</v>
      </c>
      <c r="I27" s="19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</sheetData>
  <mergeCells count="4">
    <mergeCell ref="G1:I1"/>
    <mergeCell ref="A1:C1"/>
    <mergeCell ref="D1:F1"/>
    <mergeCell ref="A2:B2"/>
  </mergeCells>
  <conditionalFormatting sqref="F2 I2">
    <cfRule type="cellIs" dxfId="48" priority="3" stopIfTrue="1" operator="lessThanOrEqual">
      <formula>-0.1</formula>
    </cfRule>
    <cfRule type="expression" dxfId="47" priority="4">
      <formula>AND(ISNUMBER(F2), F2&gt;=0.1)</formula>
    </cfRule>
  </conditionalFormatting>
  <conditionalFormatting sqref="F4:F86 I4:I86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7"/>
  <sheetViews>
    <sheetView zoomScale="60" zoomScaleNormal="60" workbookViewId="0">
      <pane xSplit="2" ySplit="3" topLeftCell="O6" activePane="bottomRight" state="frozen"/>
      <selection pane="bottomRight" activeCell="O6" sqref="O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5" t="str" cm="1">
        <f t="array" ref="A1">portfolio</f>
        <v>CBRE</v>
      </c>
      <c r="B1" s="85"/>
      <c r="C1" s="85"/>
      <c r="D1" s="86" t="s">
        <v>18</v>
      </c>
      <c r="E1" s="86"/>
      <c r="F1" s="86"/>
      <c r="G1" s="84" t="s">
        <v>19</v>
      </c>
      <c r="H1" s="84"/>
      <c r="I1" s="84"/>
      <c r="J1" s="4"/>
      <c r="K1" s="4"/>
    </row>
    <row r="2" spans="1:14" ht="19.5" customHeight="1">
      <c r="A2" s="87" t="s">
        <v>2</v>
      </c>
      <c r="B2" s="87"/>
      <c r="C2" s="5">
        <f>SUM(C4:C85)</f>
        <v>11574.800000000001</v>
      </c>
      <c r="D2" s="5">
        <f>SUM(D4:D85)</f>
        <v>0</v>
      </c>
      <c r="E2" s="5">
        <f>C2-D2</f>
        <v>11574.800000000001</v>
      </c>
      <c r="F2" s="6">
        <f>IFERROR(E2/D2, 0)</f>
        <v>0</v>
      </c>
      <c r="G2" s="5">
        <f>SUM(G4:G85)</f>
        <v>0</v>
      </c>
      <c r="H2" s="7">
        <f>C2-G2</f>
        <v>11574.800000000001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975.3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9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28.9">
      <c r="A5" s="30" t="str">
        <v>Indianapolis - BA Speedway</v>
      </c>
      <c r="B5" s="31" t="str">
        <v>IN</v>
      </c>
      <c r="C5" s="11">
        <v>545.79999999999995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 t="s">
        <v>23</v>
      </c>
      <c r="K5" s="62" t="s">
        <v>24</v>
      </c>
    </row>
    <row r="6" spans="1:14" ht="28.9">
      <c r="A6" s="28" t="str">
        <v>Greenwood - BA</v>
      </c>
      <c r="B6" s="29" t="str">
        <v>IN</v>
      </c>
      <c r="C6" s="24">
        <v>219.1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9" t="s">
        <v>22</v>
      </c>
      <c r="H6" s="15" t="str">
        <f t="shared" si="1"/>
        <v/>
      </c>
      <c r="I6" s="16" t="str">
        <f t="shared" si="2"/>
        <v/>
      </c>
      <c r="J6" s="41" t="s">
        <v>25</v>
      </c>
      <c r="K6" s="63" t="s">
        <v>26</v>
      </c>
      <c r="L6" s="68"/>
      <c r="M6" s="68"/>
      <c r="N6" s="68"/>
    </row>
    <row r="7" spans="1:14" ht="15.6">
      <c r="A7" s="30" t="str">
        <v>West Chester - BA</v>
      </c>
      <c r="B7" s="31" t="str">
        <v>OH</v>
      </c>
      <c r="C7" s="11">
        <v>658.6</v>
      </c>
      <c r="D7" s="18" t="s">
        <v>22</v>
      </c>
      <c r="E7" s="18" t="str">
        <f t="shared" si="0"/>
        <v/>
      </c>
      <c r="F7" s="19" t="str">
        <f t="shared" si="3"/>
        <v/>
      </c>
      <c r="G7" s="60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  <c r="L7" s="68"/>
      <c r="M7" s="68"/>
      <c r="N7" s="68"/>
    </row>
    <row r="8" spans="1:14" ht="15.6">
      <c r="A8" s="28" t="str">
        <v>Cincinnati - BA MLK and Burnet</v>
      </c>
      <c r="B8" s="29" t="str">
        <v>OH</v>
      </c>
      <c r="C8" s="24">
        <v>667.3</v>
      </c>
      <c r="D8" s="13" t="s">
        <v>22</v>
      </c>
      <c r="E8" s="13" t="str">
        <f t="shared" si="0"/>
        <v/>
      </c>
      <c r="F8" s="14" t="str">
        <f t="shared" si="3"/>
        <v/>
      </c>
      <c r="G8" s="59" t="s">
        <v>22</v>
      </c>
      <c r="H8" s="15" t="str">
        <f t="shared" si="4"/>
        <v/>
      </c>
      <c r="I8" s="16" t="str">
        <f t="shared" si="5"/>
        <v/>
      </c>
      <c r="J8" s="41"/>
      <c r="K8" s="41"/>
      <c r="L8" s="68"/>
      <c r="M8" s="68"/>
      <c r="N8" s="68"/>
    </row>
    <row r="9" spans="1:14" ht="15.6">
      <c r="A9" s="30" t="str">
        <v>Columbus - BA Harrisburg Pike</v>
      </c>
      <c r="B9" s="31" t="str">
        <v>OH</v>
      </c>
      <c r="C9" s="11">
        <v>472.4</v>
      </c>
      <c r="D9" s="18" t="s">
        <v>22</v>
      </c>
      <c r="E9" s="18" t="str">
        <f t="shared" si="0"/>
        <v/>
      </c>
      <c r="F9" s="19" t="str">
        <f t="shared" si="3"/>
        <v/>
      </c>
      <c r="G9" s="60" t="s">
        <v>22</v>
      </c>
      <c r="H9" s="20" t="str">
        <f t="shared" si="4"/>
        <v/>
      </c>
      <c r="I9" s="19" t="str">
        <f t="shared" si="5"/>
        <v/>
      </c>
      <c r="J9" s="42"/>
      <c r="K9" s="43"/>
      <c r="L9" s="68"/>
      <c r="M9" s="68"/>
      <c r="N9" s="68"/>
    </row>
    <row r="10" spans="1:14" ht="15.6">
      <c r="A10" s="28" t="str">
        <v>Cincinnati - BA Hyde Pk Plaza</v>
      </c>
      <c r="B10" s="29" t="str">
        <v>OH</v>
      </c>
      <c r="C10" s="24">
        <v>628.20000000000005</v>
      </c>
      <c r="D10" s="13" t="s">
        <v>22</v>
      </c>
      <c r="E10" s="13" t="str">
        <f t="shared" si="0"/>
        <v/>
      </c>
      <c r="F10" s="14" t="str">
        <f t="shared" si="3"/>
        <v/>
      </c>
      <c r="G10" s="59" t="s">
        <v>22</v>
      </c>
      <c r="H10" s="15" t="str">
        <f t="shared" si="4"/>
        <v/>
      </c>
      <c r="I10" s="16" t="str">
        <f t="shared" si="5"/>
        <v/>
      </c>
      <c r="J10" s="41"/>
      <c r="K10" s="41"/>
      <c r="L10" s="68"/>
      <c r="M10" s="68"/>
      <c r="N10" s="68"/>
    </row>
    <row r="11" spans="1:14" ht="15.6">
      <c r="A11" s="30" t="str">
        <v>Cleveland - BA Carnegie &amp; 79th</v>
      </c>
      <c r="B11" s="31" t="str">
        <v>OH</v>
      </c>
      <c r="C11" s="11">
        <v>537.20000000000005</v>
      </c>
      <c r="D11" s="18" t="s">
        <v>22</v>
      </c>
      <c r="E11" s="18" t="str">
        <f t="shared" si="0"/>
        <v/>
      </c>
      <c r="F11" s="19" t="str">
        <f t="shared" si="3"/>
        <v/>
      </c>
      <c r="G11" s="60" t="s">
        <v>22</v>
      </c>
      <c r="H11" s="20" t="str">
        <f t="shared" si="4"/>
        <v/>
      </c>
      <c r="I11" s="19" t="str">
        <f t="shared" si="5"/>
        <v/>
      </c>
      <c r="J11" s="42"/>
      <c r="K11" s="43"/>
      <c r="L11" s="68"/>
      <c r="M11" s="68"/>
      <c r="N11" s="68"/>
    </row>
    <row r="12" spans="1:14" ht="15.6">
      <c r="A12" s="28" t="str">
        <v>Cincinnati - BA Sharonville</v>
      </c>
      <c r="B12" s="29" t="str">
        <v>OH</v>
      </c>
      <c r="C12" s="24">
        <v>540.1</v>
      </c>
      <c r="D12" s="13" t="s">
        <v>22</v>
      </c>
      <c r="E12" s="13" t="str">
        <f t="shared" si="0"/>
        <v/>
      </c>
      <c r="F12" s="14" t="str">
        <f t="shared" si="3"/>
        <v/>
      </c>
      <c r="G12" s="59" t="s">
        <v>22</v>
      </c>
      <c r="H12" s="15" t="str">
        <f t="shared" si="4"/>
        <v/>
      </c>
      <c r="I12" s="16" t="str">
        <f t="shared" si="5"/>
        <v/>
      </c>
      <c r="J12" s="41"/>
      <c r="K12" s="41"/>
      <c r="L12" s="68"/>
      <c r="M12" s="68"/>
      <c r="N12" s="68"/>
    </row>
    <row r="13" spans="1:14" ht="28.9">
      <c r="A13" s="30" t="str">
        <v>Zionsville - BA</v>
      </c>
      <c r="B13" s="31" t="str">
        <v>IN</v>
      </c>
      <c r="C13" s="11">
        <v>1062</v>
      </c>
      <c r="D13" s="18" t="s">
        <v>22</v>
      </c>
      <c r="E13" s="18" t="str">
        <f t="shared" si="0"/>
        <v/>
      </c>
      <c r="F13" s="19" t="str">
        <f t="shared" si="3"/>
        <v/>
      </c>
      <c r="G13" s="60" t="s">
        <v>22</v>
      </c>
      <c r="H13" s="20" t="str">
        <f t="shared" si="4"/>
        <v/>
      </c>
      <c r="I13" s="19" t="str">
        <f t="shared" si="5"/>
        <v/>
      </c>
      <c r="J13" s="42" t="s">
        <v>27</v>
      </c>
      <c r="K13" s="64" t="s">
        <v>28</v>
      </c>
      <c r="L13" s="68"/>
      <c r="M13" s="68"/>
      <c r="N13" s="68"/>
    </row>
    <row r="14" spans="1:14" ht="28.9">
      <c r="A14" s="28" t="str">
        <v>Columbus - BA  Eastgate</v>
      </c>
      <c r="B14" s="29" t="str">
        <v>OH</v>
      </c>
      <c r="C14" s="24">
        <v>244.3</v>
      </c>
      <c r="D14" s="13" t="s">
        <v>22</v>
      </c>
      <c r="E14" s="13" t="str">
        <f t="shared" si="0"/>
        <v/>
      </c>
      <c r="F14" s="14" t="str">
        <f t="shared" si="3"/>
        <v/>
      </c>
      <c r="G14" s="59" t="s">
        <v>22</v>
      </c>
      <c r="H14" s="15" t="str">
        <f t="shared" si="4"/>
        <v/>
      </c>
      <c r="I14" s="16" t="str">
        <f t="shared" si="5"/>
        <v/>
      </c>
      <c r="J14" s="41" t="s">
        <v>29</v>
      </c>
      <c r="K14" s="63" t="s">
        <v>30</v>
      </c>
      <c r="L14" s="68"/>
      <c r="M14" s="68"/>
      <c r="N14" s="68"/>
    </row>
    <row r="15" spans="1:14" ht="57.6">
      <c r="A15" s="30" t="str">
        <v>Columbus - BA Eastmoor</v>
      </c>
      <c r="B15" s="31" t="str">
        <v>OH</v>
      </c>
      <c r="C15" s="11">
        <v>543.5</v>
      </c>
      <c r="D15" s="18" t="s">
        <v>22</v>
      </c>
      <c r="E15" s="18" t="str">
        <f t="shared" si="0"/>
        <v/>
      </c>
      <c r="F15" s="19" t="str">
        <f t="shared" si="3"/>
        <v/>
      </c>
      <c r="G15" s="60" t="s">
        <v>22</v>
      </c>
      <c r="H15" s="20" t="str">
        <f t="shared" si="4"/>
        <v/>
      </c>
      <c r="I15" s="19" t="str">
        <f t="shared" si="5"/>
        <v/>
      </c>
      <c r="J15" s="42" t="s">
        <v>31</v>
      </c>
      <c r="K15" s="62" t="s">
        <v>32</v>
      </c>
      <c r="L15" s="69" t="s">
        <v>33</v>
      </c>
      <c r="M15" s="69" t="s">
        <v>34</v>
      </c>
      <c r="N15" s="68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59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  <c r="L16" s="68"/>
      <c r="M16" s="68"/>
      <c r="N16" s="68"/>
    </row>
    <row r="17" spans="1:14" ht="15.6">
      <c r="A17" s="30" t="str">
        <v>Pittsburg - BA Fox Chapel</v>
      </c>
      <c r="B17" s="31" t="str">
        <v>PA</v>
      </c>
      <c r="C17" s="11">
        <v>411.6</v>
      </c>
      <c r="D17" s="18" t="s">
        <v>22</v>
      </c>
      <c r="E17" s="18" t="str">
        <f t="shared" si="6"/>
        <v/>
      </c>
      <c r="F17" s="19" t="str">
        <f t="shared" si="7"/>
        <v/>
      </c>
      <c r="G17" s="60" t="s">
        <v>22</v>
      </c>
      <c r="H17" s="20" t="str">
        <f t="shared" si="8"/>
        <v/>
      </c>
      <c r="I17" s="19" t="str">
        <f t="shared" si="9"/>
        <v/>
      </c>
      <c r="J17" s="42"/>
      <c r="K17" s="43"/>
      <c r="L17" s="68"/>
      <c r="M17" s="68"/>
      <c r="N17" s="68"/>
    </row>
    <row r="18" spans="1:14" ht="15.6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10">IF(AND(ISNUMBER(C18),ISNUMBER(D18)), C18-D18, "")</f>
        <v/>
      </c>
      <c r="F18" s="14" t="str">
        <f t="shared" ref="F18:F25" si="11">IFERROR(E18/D18, "")</f>
        <v/>
      </c>
      <c r="G18" s="59" t="s">
        <v>22</v>
      </c>
      <c r="H18" s="15" t="str">
        <f t="shared" ref="H18:H27" si="12">IF(AND(ISNUMBER(C18),ISNUMBER(G18)), C18-G18, "")</f>
        <v/>
      </c>
      <c r="I18" s="16" t="str">
        <f t="shared" ref="I18:I25" si="13">IFERROR(H18/G18, "")</f>
        <v/>
      </c>
      <c r="J18" s="41"/>
      <c r="K18" s="41"/>
      <c r="L18" s="68"/>
      <c r="M18" s="68"/>
      <c r="N18" s="68"/>
    </row>
    <row r="19" spans="1:14" ht="28.9">
      <c r="A19" s="30" t="str">
        <v>Baltimore - BA Sudbrook Lane</v>
      </c>
      <c r="B19" s="31" t="str">
        <v>MD</v>
      </c>
      <c r="C19" s="11">
        <v>278.5</v>
      </c>
      <c r="D19" s="18" t="s">
        <v>22</v>
      </c>
      <c r="E19" s="18" t="str">
        <f t="shared" si="10"/>
        <v/>
      </c>
      <c r="F19" s="19" t="str">
        <f t="shared" si="11"/>
        <v/>
      </c>
      <c r="G19" s="60" t="s">
        <v>22</v>
      </c>
      <c r="H19" s="20" t="str">
        <f t="shared" si="12"/>
        <v/>
      </c>
      <c r="I19" s="19" t="str">
        <f t="shared" si="13"/>
        <v/>
      </c>
      <c r="J19" s="42" t="s">
        <v>35</v>
      </c>
      <c r="K19" s="62" t="s">
        <v>36</v>
      </c>
      <c r="L19" s="68"/>
      <c r="M19" s="68"/>
      <c r="N19" s="68"/>
    </row>
    <row r="20" spans="1:14" ht="15.6">
      <c r="A20" s="28" t="str">
        <v>Stamford - BA West Stamford</v>
      </c>
      <c r="B20" s="29" t="str">
        <v>CT</v>
      </c>
      <c r="C20" s="24">
        <v>782</v>
      </c>
      <c r="D20" s="13" t="s">
        <v>22</v>
      </c>
      <c r="E20" s="13" t="str">
        <f t="shared" si="10"/>
        <v/>
      </c>
      <c r="F20" s="14" t="str">
        <f t="shared" si="11"/>
        <v/>
      </c>
      <c r="G20" s="59" t="s">
        <v>22</v>
      </c>
      <c r="H20" s="15" t="str">
        <f t="shared" si="12"/>
        <v/>
      </c>
      <c r="I20" s="16" t="str">
        <f t="shared" si="13"/>
        <v/>
      </c>
      <c r="J20" s="41"/>
      <c r="K20" s="41"/>
      <c r="L20" s="68"/>
      <c r="M20" s="68"/>
      <c r="N20" s="68"/>
    </row>
    <row r="21" spans="1:14" ht="15.6">
      <c r="A21" s="30" t="str">
        <v>Hanover - BA Arundel Mills</v>
      </c>
      <c r="B21" s="31" t="str">
        <v>MD</v>
      </c>
      <c r="C21" s="11">
        <v>719.2</v>
      </c>
      <c r="D21" s="18" t="s">
        <v>22</v>
      </c>
      <c r="E21" s="18" t="str">
        <f t="shared" si="10"/>
        <v/>
      </c>
      <c r="F21" s="19" t="str">
        <f t="shared" si="11"/>
        <v/>
      </c>
      <c r="G21" s="60" t="s">
        <v>22</v>
      </c>
      <c r="H21" s="20" t="str">
        <f t="shared" si="12"/>
        <v/>
      </c>
      <c r="I21" s="19" t="str">
        <f t="shared" si="13"/>
        <v/>
      </c>
      <c r="J21" s="42"/>
      <c r="K21" s="43"/>
      <c r="L21" s="68"/>
      <c r="M21" s="68"/>
      <c r="N21" s="68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10"/>
        <v/>
      </c>
      <c r="F22" s="14" t="str">
        <f t="shared" si="11"/>
        <v/>
      </c>
      <c r="G22" s="59" t="s">
        <v>22</v>
      </c>
      <c r="H22" s="15" t="str">
        <f t="shared" si="12"/>
        <v/>
      </c>
      <c r="I22" s="16" t="str">
        <f t="shared" si="13"/>
        <v/>
      </c>
      <c r="J22" s="41"/>
      <c r="K22" s="41"/>
      <c r="L22" s="68"/>
      <c r="M22" s="68"/>
      <c r="N22" s="68"/>
    </row>
    <row r="23" spans="1:14" ht="15.6">
      <c r="A23" s="30" t="str">
        <v>Brooklyn - BA North 4th &amp; Berry</v>
      </c>
      <c r="B23" s="31" t="str">
        <v>NY</v>
      </c>
      <c r="C23" s="11">
        <v>911.3</v>
      </c>
      <c r="D23" s="18" t="s">
        <v>22</v>
      </c>
      <c r="E23" s="18" t="str">
        <f t="shared" si="10"/>
        <v/>
      </c>
      <c r="F23" s="19" t="str">
        <f t="shared" si="11"/>
        <v/>
      </c>
      <c r="G23" s="60" t="s">
        <v>22</v>
      </c>
      <c r="H23" s="20" t="str">
        <f t="shared" si="12"/>
        <v/>
      </c>
      <c r="I23" s="19" t="str">
        <f t="shared" si="13"/>
        <v/>
      </c>
      <c r="J23" s="42"/>
      <c r="K23" s="43"/>
      <c r="L23" s="68"/>
      <c r="M23" s="68"/>
      <c r="N23" s="68"/>
    </row>
    <row r="24" spans="1:14" ht="15.6">
      <c r="A24" s="28" t="str">
        <v>Midlothian - BA Brandermill</v>
      </c>
      <c r="B24" s="29" t="str">
        <v>VA</v>
      </c>
      <c r="C24" s="24">
        <v>895.7</v>
      </c>
      <c r="D24" s="13" t="s">
        <v>22</v>
      </c>
      <c r="E24" s="13" t="str">
        <f t="shared" si="10"/>
        <v/>
      </c>
      <c r="F24" s="14" t="str">
        <f t="shared" si="11"/>
        <v/>
      </c>
      <c r="G24" s="59" t="s">
        <v>22</v>
      </c>
      <c r="H24" s="15" t="str">
        <f t="shared" si="12"/>
        <v/>
      </c>
      <c r="I24" s="16" t="str">
        <f t="shared" si="13"/>
        <v/>
      </c>
      <c r="J24" s="41" t="s">
        <v>37</v>
      </c>
      <c r="K24" s="63" t="s">
        <v>38</v>
      </c>
      <c r="L24" s="68"/>
      <c r="M24" s="68"/>
      <c r="N24" s="68"/>
    </row>
    <row r="25" spans="1:14" ht="42" customHeight="1">
      <c r="A25" s="30" t="str">
        <v>Lexington - BA North Park</v>
      </c>
      <c r="B25" s="31" t="str">
        <v>KY</v>
      </c>
      <c r="C25" s="11">
        <v>372.4</v>
      </c>
      <c r="D25" s="18" t="s">
        <v>22</v>
      </c>
      <c r="E25" s="18" t="str">
        <f t="shared" si="10"/>
        <v/>
      </c>
      <c r="F25" s="19" t="str">
        <f t="shared" si="11"/>
        <v/>
      </c>
      <c r="G25" s="60" t="s">
        <v>22</v>
      </c>
      <c r="H25" s="20" t="str">
        <f t="shared" si="12"/>
        <v/>
      </c>
      <c r="I25" s="19" t="str">
        <f t="shared" si="13"/>
        <v/>
      </c>
      <c r="J25" s="42" t="s">
        <v>39</v>
      </c>
      <c r="K25" s="62" t="s">
        <v>40</v>
      </c>
      <c r="L25" s="68"/>
      <c r="M25" s="68"/>
      <c r="N25" s="68"/>
    </row>
    <row r="26" spans="1:14" ht="15.6">
      <c r="A26" s="28" t="str">
        <v>Coventry - BA ATM</v>
      </c>
      <c r="B26" s="29" t="str">
        <v>RI</v>
      </c>
      <c r="C26" s="24">
        <v>55.4</v>
      </c>
      <c r="D26" s="13" t="s">
        <v>22</v>
      </c>
      <c r="E26" s="13" t="str">
        <f t="shared" si="10"/>
        <v/>
      </c>
      <c r="F26" s="14"/>
      <c r="G26" s="59" t="s">
        <v>22</v>
      </c>
      <c r="H26" s="15" t="str">
        <f t="shared" si="12"/>
        <v/>
      </c>
      <c r="I26" s="16"/>
      <c r="J26" s="58" t="s">
        <v>41</v>
      </c>
      <c r="K26" s="65" t="s">
        <v>42</v>
      </c>
    </row>
    <row r="27" spans="1:14" ht="38.25" customHeight="1">
      <c r="A27" s="17" t="str">
        <v>Woodbridge - BA ATM</v>
      </c>
      <c r="B27" s="10" t="str">
        <v>VA</v>
      </c>
      <c r="C27" s="11">
        <v>54.9</v>
      </c>
      <c r="D27" s="18" t="s">
        <v>22</v>
      </c>
      <c r="E27" s="18" t="str">
        <f t="shared" si="10"/>
        <v/>
      </c>
      <c r="F27" s="19"/>
      <c r="G27" s="60" t="s">
        <v>22</v>
      </c>
      <c r="H27" s="20" t="str">
        <f t="shared" si="12"/>
        <v/>
      </c>
      <c r="I27" s="19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D1:F1"/>
    <mergeCell ref="A1:C1"/>
    <mergeCell ref="G1:I1"/>
    <mergeCell ref="A2:B2"/>
  </mergeCells>
  <conditionalFormatting sqref="F2 I2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85 I4:I85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hyperlinks>
    <hyperlink ref="K5" r:id="rId1" display="https://us3.assetplanner.com/service_request?ID=095676" xr:uid="{17195376-433E-4205-8076-5034704240B5}"/>
    <hyperlink ref="K6" r:id="rId2" display="https://us3.assetplanner.com/service_request?ID=095625" xr:uid="{4B209D1C-8D1D-4333-8EB1-AC5E70CEA40D}"/>
    <hyperlink ref="K13" r:id="rId3" display="https://us3.assetplanner.com/service_request?ID=095602" xr:uid="{04F1204A-1116-4D7A-BB8B-17D63B91CFF6}"/>
    <hyperlink ref="K14" r:id="rId4" display="https://us3.assetplanner.com/service_request?ID=095334" xr:uid="{741B0BDA-9447-4DF1-82EC-AF997AA7F656}"/>
    <hyperlink ref="K15" r:id="rId5" display="https://us3.assetplanner.com/service_request?ID=095335" xr:uid="{12BB234F-6868-4247-8925-68F662EBEF9B}"/>
    <hyperlink ref="L15" r:id="rId6" display="https://us3.assetplanner.com/service_request?ID=095094" xr:uid="{B53D8113-17A7-46DC-9789-13BE73189D0C}"/>
    <hyperlink ref="M15" r:id="rId7" display="https://us3.assetplanner.com/service_request?ID=095335" xr:uid="{572F33FE-958A-47FB-B7A0-57E02BEB5D38}"/>
    <hyperlink ref="K19" r:id="rId8" display="https://us3.assetplanner.com/service_request?ID=095548" xr:uid="{C3F4DF96-B922-4CF8-BA50-C0B08E9EFB00}"/>
    <hyperlink ref="K24" r:id="rId9" display="https://us3.assetplanner.com/service_request?ID=088366" xr:uid="{B49AA9BD-2619-4969-86B8-297ABA1EB768}"/>
    <hyperlink ref="K25" r:id="rId10" display="https://us3.assetplanner.com/service_request?ID=095626" xr:uid="{19A0CC6C-24AE-4AD6-A3FC-0761B798300C}"/>
    <hyperlink ref="K26" r:id="rId11" display="https://us3.assetplanner.com/service_request?ID=094910" xr:uid="{159FDA16-F907-494F-A1C6-0176339685B1}"/>
  </hyperlinks>
  <pageMargins left="0.4" right="0.7" top="0.25" bottom="0.25" header="0.3" footer="0.3"/>
  <pageSetup fitToHeight="99" orientation="landscape" r:id="rId1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8"/>
  <sheetViews>
    <sheetView zoomScale="70" zoomScaleNormal="70" workbookViewId="0">
      <pane xSplit="2" ySplit="3" topLeftCell="D4" activePane="bottomRight" state="frozen"/>
      <selection pane="bottomRight" activeCell="D34" sqref="D34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5" t="str" cm="1">
        <f t="array" ref="A1">portfolio</f>
        <v>CBRE</v>
      </c>
      <c r="B1" s="85"/>
      <c r="C1" s="85"/>
      <c r="D1" s="86" t="s">
        <v>43</v>
      </c>
      <c r="E1" s="86"/>
      <c r="F1" s="86"/>
      <c r="G1" s="84" t="s">
        <v>44</v>
      </c>
      <c r="H1" s="84"/>
      <c r="I1" s="84"/>
      <c r="J1" s="4"/>
      <c r="K1" s="4"/>
    </row>
    <row r="2" spans="1:14" ht="19.5" customHeight="1">
      <c r="A2" s="87" t="s">
        <v>2</v>
      </c>
      <c r="B2" s="87"/>
      <c r="C2" s="5">
        <f>SUM(C4:C86)</f>
        <v>16905</v>
      </c>
      <c r="D2" s="5">
        <f>SUM(D4:D86)</f>
        <v>0</v>
      </c>
      <c r="E2" s="5">
        <f>C2-D2</f>
        <v>16905</v>
      </c>
      <c r="F2" s="6">
        <f>IFERROR(E2/D2, 0)</f>
        <v>0</v>
      </c>
      <c r="G2" s="5">
        <f>SUM(G4:G86)</f>
        <v>0</v>
      </c>
      <c r="H2" s="7">
        <f>C2-G2</f>
        <v>16905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705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9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803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330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59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781</v>
      </c>
      <c r="D7" s="18" t="s">
        <v>22</v>
      </c>
      <c r="E7" s="18" t="str">
        <f t="shared" si="0"/>
        <v/>
      </c>
      <c r="F7" s="19" t="str">
        <f t="shared" si="3"/>
        <v/>
      </c>
      <c r="G7" s="60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883</v>
      </c>
      <c r="D8" s="13" t="s">
        <v>22</v>
      </c>
      <c r="E8" s="13" t="str">
        <f t="shared" si="0"/>
        <v/>
      </c>
      <c r="F8" s="14" t="str">
        <f t="shared" si="3"/>
        <v/>
      </c>
      <c r="G8" s="59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8"/>
      <c r="M8" s="68"/>
      <c r="N8" s="68"/>
    </row>
    <row r="9" spans="1:14" ht="15.6">
      <c r="A9" s="30" t="str">
        <v>Columbus - BA Harrisburg Pike</v>
      </c>
      <c r="B9" s="31" t="str">
        <v>OH</v>
      </c>
      <c r="C9" s="11">
        <v>875</v>
      </c>
      <c r="D9" s="18" t="s">
        <v>22</v>
      </c>
      <c r="E9" s="18" t="str">
        <f t="shared" si="0"/>
        <v/>
      </c>
      <c r="F9" s="19" t="str">
        <f t="shared" si="3"/>
        <v/>
      </c>
      <c r="G9" s="60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8"/>
      <c r="M9" s="68"/>
      <c r="N9" s="68"/>
    </row>
    <row r="10" spans="1:14" ht="15.6">
      <c r="A10" s="28" t="str">
        <v>Cincinnati - BA Hyde Pk Plaza</v>
      </c>
      <c r="B10" s="29" t="str">
        <v>OH</v>
      </c>
      <c r="C10" s="24">
        <v>976</v>
      </c>
      <c r="D10" s="13" t="s">
        <v>22</v>
      </c>
      <c r="E10" s="13" t="str">
        <f t="shared" si="0"/>
        <v/>
      </c>
      <c r="F10" s="14" t="str">
        <f t="shared" si="3"/>
        <v/>
      </c>
      <c r="G10" s="59" t="s">
        <v>22</v>
      </c>
      <c r="H10" s="15" t="str">
        <f t="shared" si="1"/>
        <v/>
      </c>
      <c r="I10" s="16" t="str">
        <f t="shared" si="2"/>
        <v/>
      </c>
      <c r="J10" s="41" t="s">
        <v>45</v>
      </c>
      <c r="K10" s="63" t="s">
        <v>46</v>
      </c>
      <c r="L10" s="68"/>
      <c r="M10" s="68"/>
      <c r="N10" s="68"/>
    </row>
    <row r="11" spans="1:14" ht="15.6">
      <c r="A11" s="30" t="str">
        <v>Cleveland - BA Carnegie &amp; 79th</v>
      </c>
      <c r="B11" s="31" t="str">
        <v>OH</v>
      </c>
      <c r="C11" s="11">
        <v>855</v>
      </c>
      <c r="D11" s="18" t="s">
        <v>22</v>
      </c>
      <c r="E11" s="18" t="str">
        <f t="shared" si="0"/>
        <v/>
      </c>
      <c r="F11" s="19" t="str">
        <f t="shared" si="3"/>
        <v/>
      </c>
      <c r="G11" s="60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8"/>
      <c r="M11" s="68"/>
      <c r="N11" s="68"/>
    </row>
    <row r="12" spans="1:14" ht="15.6">
      <c r="A12" s="28" t="str">
        <v>Cincinnati - BA Sharonville</v>
      </c>
      <c r="B12" s="29" t="str">
        <v>OH</v>
      </c>
      <c r="C12" s="24">
        <v>819</v>
      </c>
      <c r="D12" s="13" t="s">
        <v>22</v>
      </c>
      <c r="E12" s="13" t="str">
        <f t="shared" si="0"/>
        <v/>
      </c>
      <c r="F12" s="14" t="str">
        <f t="shared" si="3"/>
        <v/>
      </c>
      <c r="G12" s="59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8"/>
      <c r="M12" s="68"/>
      <c r="N12" s="68"/>
    </row>
    <row r="13" spans="1:14" ht="15.6">
      <c r="A13" s="30" t="str">
        <v>Zionsville - BA</v>
      </c>
      <c r="B13" s="31" t="str">
        <v>IN</v>
      </c>
      <c r="C13" s="11">
        <v>1508</v>
      </c>
      <c r="D13" s="18" t="s">
        <v>22</v>
      </c>
      <c r="E13" s="18" t="str">
        <f t="shared" si="0"/>
        <v/>
      </c>
      <c r="F13" s="19" t="str">
        <f t="shared" si="3"/>
        <v/>
      </c>
      <c r="G13" s="60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8"/>
      <c r="M13" s="68"/>
      <c r="N13" s="68"/>
    </row>
    <row r="14" spans="1:14" ht="15.6">
      <c r="A14" s="28" t="str">
        <v>Columbus - BA  Eastgate</v>
      </c>
      <c r="B14" s="29" t="str">
        <v>OH</v>
      </c>
      <c r="C14" s="24">
        <v>427</v>
      </c>
      <c r="D14" s="13" t="s">
        <v>22</v>
      </c>
      <c r="E14" s="13" t="str">
        <f t="shared" si="0"/>
        <v/>
      </c>
      <c r="F14" s="14" t="str">
        <f t="shared" si="3"/>
        <v/>
      </c>
      <c r="G14" s="59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8"/>
      <c r="M14" s="68"/>
      <c r="N14" s="68"/>
    </row>
    <row r="15" spans="1:14" ht="39" customHeight="1">
      <c r="A15" s="30" t="str">
        <v>Columbus - BA Eastmoor</v>
      </c>
      <c r="B15" s="31" t="str">
        <v>OH</v>
      </c>
      <c r="C15" s="11">
        <v>967</v>
      </c>
      <c r="D15" s="18" t="s">
        <v>22</v>
      </c>
      <c r="E15" s="18" t="str">
        <f t="shared" si="0"/>
        <v/>
      </c>
      <c r="F15" s="19" t="str">
        <f t="shared" si="3"/>
        <v/>
      </c>
      <c r="G15" s="60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62" t="s">
        <v>48</v>
      </c>
      <c r="L15" s="69" t="s">
        <v>34</v>
      </c>
      <c r="M15" s="68"/>
      <c r="N15" s="68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59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  <c r="L16" s="68"/>
      <c r="M16" s="68"/>
      <c r="N16" s="68"/>
    </row>
    <row r="17" spans="1:14" ht="15.6">
      <c r="A17" s="30" t="str">
        <v>Pittsburg - BA Fox Chapel</v>
      </c>
      <c r="B17" s="31" t="str">
        <v>PA</v>
      </c>
      <c r="C17" s="11">
        <v>933</v>
      </c>
      <c r="D17" s="18" t="s">
        <v>22</v>
      </c>
      <c r="E17" s="18" t="str">
        <f t="shared" si="4"/>
        <v/>
      </c>
      <c r="F17" s="19" t="str">
        <f t="shared" si="5"/>
        <v/>
      </c>
      <c r="G17" s="60" t="s">
        <v>22</v>
      </c>
      <c r="H17" s="20" t="str">
        <f t="shared" si="6"/>
        <v/>
      </c>
      <c r="I17" s="19" t="str">
        <f t="shared" si="7"/>
        <v/>
      </c>
      <c r="J17" s="42"/>
      <c r="K17" s="43"/>
      <c r="L17" s="68"/>
      <c r="M17" s="68"/>
      <c r="N17" s="68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8">IF(AND(ISNUMBER(C18),ISNUMBER(D18)), C18-D18, "")</f>
        <v/>
      </c>
      <c r="F18" s="14" t="str">
        <f t="shared" ref="F18:F27" si="9">IFERROR(E18/D18, "")</f>
        <v/>
      </c>
      <c r="G18" s="59" t="s">
        <v>22</v>
      </c>
      <c r="H18" s="15" t="str">
        <f t="shared" ref="H18:H27" si="10">IF(AND(ISNUMBER(C18),ISNUMBER(G18)), C18-G18, "")</f>
        <v/>
      </c>
      <c r="I18" s="16" t="str">
        <f t="shared" ref="I18:I27" si="11">IFERROR(H18/G18, "")</f>
        <v/>
      </c>
      <c r="J18" s="41"/>
      <c r="K18" s="41"/>
      <c r="L18" s="68"/>
      <c r="M18" s="68"/>
      <c r="N18" s="68"/>
    </row>
    <row r="19" spans="1:14" ht="15.6">
      <c r="A19" s="30" t="str">
        <v>Baltimore - BA Sudbrook Lane</v>
      </c>
      <c r="B19" s="31" t="str">
        <v>MD</v>
      </c>
      <c r="C19" s="11">
        <v>986</v>
      </c>
      <c r="D19" s="18" t="s">
        <v>22</v>
      </c>
      <c r="E19" s="18" t="str">
        <f t="shared" si="8"/>
        <v/>
      </c>
      <c r="F19" s="19" t="str">
        <f t="shared" si="9"/>
        <v/>
      </c>
      <c r="G19" s="60" t="s">
        <v>22</v>
      </c>
      <c r="H19" s="20" t="str">
        <f t="shared" si="10"/>
        <v/>
      </c>
      <c r="I19" s="19" t="str">
        <f t="shared" si="11"/>
        <v/>
      </c>
      <c r="J19" s="42"/>
      <c r="K19" s="43"/>
      <c r="L19" s="68"/>
      <c r="M19" s="68"/>
      <c r="N19" s="68"/>
    </row>
    <row r="20" spans="1:14" ht="15.6">
      <c r="A20" s="28" t="str">
        <v>Stamford - BA West Stamford</v>
      </c>
      <c r="B20" s="29" t="str">
        <v>CT</v>
      </c>
      <c r="C20" s="24">
        <v>1010</v>
      </c>
      <c r="D20" s="13" t="s">
        <v>22</v>
      </c>
      <c r="E20" s="13" t="str">
        <f t="shared" si="8"/>
        <v/>
      </c>
      <c r="F20" s="14" t="str">
        <f t="shared" si="9"/>
        <v/>
      </c>
      <c r="G20" s="59" t="s">
        <v>22</v>
      </c>
      <c r="H20" s="15" t="str">
        <f t="shared" si="10"/>
        <v/>
      </c>
      <c r="I20" s="16" t="str">
        <f t="shared" si="11"/>
        <v/>
      </c>
      <c r="J20" s="41"/>
      <c r="K20" s="41"/>
      <c r="L20" s="68"/>
      <c r="M20" s="68"/>
      <c r="N20" s="68"/>
    </row>
    <row r="21" spans="1:14" ht="15.6">
      <c r="A21" s="30" t="str">
        <v>Hanover - BA Arundel Mills</v>
      </c>
      <c r="B21" s="31" t="str">
        <v>MD</v>
      </c>
      <c r="C21" s="11">
        <v>1190</v>
      </c>
      <c r="D21" s="18" t="s">
        <v>22</v>
      </c>
      <c r="E21" s="18" t="str">
        <f t="shared" si="8"/>
        <v/>
      </c>
      <c r="F21" s="19" t="str">
        <f t="shared" si="9"/>
        <v/>
      </c>
      <c r="G21" s="60" t="s">
        <v>22</v>
      </c>
      <c r="H21" s="20" t="str">
        <f t="shared" si="10"/>
        <v/>
      </c>
      <c r="I21" s="19" t="str">
        <f t="shared" si="11"/>
        <v/>
      </c>
      <c r="J21" s="42"/>
      <c r="K21" s="43"/>
      <c r="L21" s="68"/>
      <c r="M21" s="68"/>
      <c r="N21" s="68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8"/>
        <v/>
      </c>
      <c r="F22" s="14" t="str">
        <f t="shared" si="9"/>
        <v/>
      </c>
      <c r="G22" s="59" t="s">
        <v>22</v>
      </c>
      <c r="H22" s="15" t="str">
        <f t="shared" si="10"/>
        <v/>
      </c>
      <c r="I22" s="16" t="str">
        <f t="shared" si="11"/>
        <v/>
      </c>
      <c r="J22" s="41"/>
      <c r="K22" s="41"/>
      <c r="L22" s="68"/>
      <c r="M22" s="68"/>
      <c r="N22" s="68"/>
    </row>
    <row r="23" spans="1:14" ht="28.9">
      <c r="A23" s="30" t="str">
        <v>Brooklyn - BA North 4th &amp; Berry</v>
      </c>
      <c r="B23" s="31" t="str">
        <v>NY</v>
      </c>
      <c r="C23" s="11">
        <v>1275</v>
      </c>
      <c r="D23" s="18" t="s">
        <v>22</v>
      </c>
      <c r="E23" s="18" t="str">
        <f t="shared" si="8"/>
        <v/>
      </c>
      <c r="F23" s="19" t="str">
        <f t="shared" si="9"/>
        <v/>
      </c>
      <c r="G23" s="60" t="s">
        <v>22</v>
      </c>
      <c r="H23" s="20" t="str">
        <f t="shared" si="10"/>
        <v/>
      </c>
      <c r="I23" s="19" t="str">
        <f t="shared" si="11"/>
        <v/>
      </c>
      <c r="J23" s="42" t="s">
        <v>49</v>
      </c>
      <c r="K23" s="62" t="s">
        <v>50</v>
      </c>
      <c r="L23" s="68"/>
      <c r="M23" s="68"/>
      <c r="N23" s="68"/>
    </row>
    <row r="24" spans="1:14" ht="28.9">
      <c r="A24" s="28" t="str">
        <v>Midlothian - BA Brandermill</v>
      </c>
      <c r="B24" s="29" t="str">
        <v>VA</v>
      </c>
      <c r="C24" s="24">
        <v>894</v>
      </c>
      <c r="D24" s="13" t="s">
        <v>22</v>
      </c>
      <c r="E24" s="13" t="str">
        <f t="shared" si="8"/>
        <v/>
      </c>
      <c r="F24" s="14" t="str">
        <f t="shared" si="9"/>
        <v/>
      </c>
      <c r="G24" s="59" t="s">
        <v>22</v>
      </c>
      <c r="H24" s="15" t="str">
        <f t="shared" si="10"/>
        <v/>
      </c>
      <c r="I24" s="16" t="str">
        <f t="shared" si="11"/>
        <v/>
      </c>
      <c r="J24" s="41" t="s">
        <v>51</v>
      </c>
      <c r="K24" s="63" t="s">
        <v>38</v>
      </c>
      <c r="L24" s="68"/>
      <c r="M24" s="68"/>
      <c r="N24" s="68"/>
    </row>
    <row r="25" spans="1:14" ht="15.6">
      <c r="A25" s="30" t="str">
        <v>Lexington - BA North Park</v>
      </c>
      <c r="B25" s="31" t="str">
        <v>KY</v>
      </c>
      <c r="C25" s="11">
        <v>587</v>
      </c>
      <c r="D25" s="18" t="s">
        <v>22</v>
      </c>
      <c r="E25" s="18" t="str">
        <f t="shared" si="8"/>
        <v/>
      </c>
      <c r="F25" s="19" t="str">
        <f t="shared" si="9"/>
        <v/>
      </c>
      <c r="G25" s="60" t="s">
        <v>22</v>
      </c>
      <c r="H25" s="20" t="str">
        <f t="shared" si="10"/>
        <v/>
      </c>
      <c r="I25" s="19" t="str">
        <f t="shared" si="11"/>
        <v/>
      </c>
      <c r="J25" s="42"/>
      <c r="K25" s="43"/>
      <c r="L25" s="68"/>
      <c r="M25" s="68"/>
      <c r="N25" s="68"/>
    </row>
    <row r="26" spans="1:14" ht="15.6">
      <c r="A26" s="12" t="str">
        <v>Coventry - BA ATM</v>
      </c>
      <c r="B26" s="9" t="str">
        <v>RI</v>
      </c>
      <c r="C26" s="24">
        <v>64</v>
      </c>
      <c r="D26" s="13" t="s">
        <v>22</v>
      </c>
      <c r="E26" s="13" t="str">
        <f t="shared" si="8"/>
        <v/>
      </c>
      <c r="F26" s="14" t="str">
        <f t="shared" si="9"/>
        <v/>
      </c>
      <c r="G26" s="59" t="s">
        <v>22</v>
      </c>
      <c r="H26" s="15" t="str">
        <f t="shared" si="10"/>
        <v/>
      </c>
      <c r="I26" s="16" t="str">
        <f t="shared" si="11"/>
        <v/>
      </c>
      <c r="J26" s="58" t="s">
        <v>41</v>
      </c>
      <c r="K26" s="65" t="s">
        <v>52</v>
      </c>
      <c r="L26" s="68"/>
      <c r="M26" s="68"/>
      <c r="N26" s="68"/>
    </row>
    <row r="27" spans="1:14" ht="15.6">
      <c r="A27" s="17" t="str">
        <v>Woodbridge - BA ATM</v>
      </c>
      <c r="B27" s="10" t="str">
        <v>VA</v>
      </c>
      <c r="C27" s="11">
        <v>37</v>
      </c>
      <c r="D27" s="18" t="s">
        <v>22</v>
      </c>
      <c r="E27" s="18" t="str">
        <f t="shared" si="8"/>
        <v/>
      </c>
      <c r="F27" s="19" t="str">
        <f t="shared" si="9"/>
        <v/>
      </c>
      <c r="G27" s="60" t="s">
        <v>22</v>
      </c>
      <c r="H27" s="20" t="str">
        <f t="shared" si="10"/>
        <v/>
      </c>
      <c r="I27" s="19" t="str">
        <f t="shared" si="11"/>
        <v/>
      </c>
      <c r="L27" s="68"/>
      <c r="M27" s="68"/>
      <c r="N27" s="68"/>
    </row>
    <row r="28" spans="1:14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40" priority="3" stopIfTrue="1" operator="lessThanOrEqual">
      <formula>-0.1</formula>
    </cfRule>
    <cfRule type="expression" dxfId="39" priority="4">
      <formula>AND(ISNUMBER(F2), F2&gt;=0.1)</formula>
    </cfRule>
  </conditionalFormatting>
  <conditionalFormatting sqref="F4:F86 I4:I86">
    <cfRule type="cellIs" dxfId="38" priority="1" stopIfTrue="1" operator="lessThanOrEqual">
      <formula>-0.1</formula>
    </cfRule>
    <cfRule type="expression" dxfId="37" priority="2">
      <formula>AND(ISNUMBER(F4), F4&gt;=0.1)</formula>
    </cfRule>
  </conditionalFormatting>
  <hyperlinks>
    <hyperlink ref="K10" r:id="rId1" display="https://us3.assetplanner.com/service_request?ID=097110" xr:uid="{BB6F1189-8FBB-4CFA-96B0-E5EB551C45F9}"/>
    <hyperlink ref="K15" r:id="rId2" display="https://us3.assetplanner.com/service_request?ID=095094" xr:uid="{7BCB843A-028F-48A9-BCDA-AA3ADFA7CE1B}"/>
    <hyperlink ref="L15" r:id="rId3" display="https://us3.assetplanner.com/service_request?ID=095335" xr:uid="{73181494-7A07-4DB8-8C63-003DE8B58B4F}"/>
    <hyperlink ref="K23" r:id="rId4" display="https://us3.assetplanner.com/service_request?ID=096673" xr:uid="{5E26CF51-A47D-41D3-A93D-750EEE3B5930}"/>
    <hyperlink ref="K24" r:id="rId5" display="https://us3.assetplanner.com/service_request?ID=088366" xr:uid="{DA843423-349D-41BD-B1A2-D968446CFAF4}"/>
    <hyperlink ref="K26" r:id="rId6" display="https://us3.assetplanner.com/service_request?ID=094910" xr:uid="{A6B504CA-67B1-400B-B24B-DA5B729C60F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27"/>
  <sheetViews>
    <sheetView zoomScale="80" zoomScaleNormal="80" workbookViewId="0">
      <pane xSplit="2" ySplit="3" topLeftCell="C20" activePane="bottomRight" state="frozen"/>
      <selection pane="bottomRight" activeCell="C27" sqref="C27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5" t="str" cm="1">
        <f t="array" ref="A1">portfolio</f>
        <v>CBRE</v>
      </c>
      <c r="B1" s="85"/>
      <c r="C1" s="85"/>
      <c r="D1" s="86" t="s">
        <v>53</v>
      </c>
      <c r="E1" s="86"/>
      <c r="F1" s="86"/>
      <c r="G1" s="84" t="s">
        <v>54</v>
      </c>
      <c r="H1" s="84"/>
      <c r="I1" s="84"/>
      <c r="J1" s="4"/>
      <c r="K1" s="4"/>
    </row>
    <row r="2" spans="1:14" ht="19.5" customHeight="1">
      <c r="A2" s="87" t="s">
        <v>2</v>
      </c>
      <c r="B2" s="87"/>
      <c r="C2" s="5">
        <f>SUM(C4:C85)</f>
        <v>29491.1</v>
      </c>
      <c r="D2" s="5">
        <f>SUM(D4:D85)</f>
        <v>0</v>
      </c>
      <c r="E2" s="5">
        <f>C2-D2</f>
        <v>29491.1</v>
      </c>
      <c r="F2" s="6">
        <f>IFERROR(E2/D2, 0)</f>
        <v>0</v>
      </c>
      <c r="G2" s="5">
        <f>SUM(G4:G85)</f>
        <v>0</v>
      </c>
      <c r="H2" s="7">
        <f>C2-G2</f>
        <v>29491.1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4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2343.8000000000002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9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4" ht="15.6">
      <c r="A5" s="30" t="str">
        <v>Indianapolis - BA Speedway</v>
      </c>
      <c r="B5" s="31" t="str">
        <v>IN</v>
      </c>
      <c r="C5" s="11">
        <v>1279.8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4" ht="15.6">
      <c r="A6" s="28" t="str">
        <v>Greenwood - BA</v>
      </c>
      <c r="B6" s="29" t="str">
        <v>IN</v>
      </c>
      <c r="C6" s="24">
        <v>556.4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9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4" ht="15.6">
      <c r="A7" s="30" t="str">
        <v>West Chester - BA</v>
      </c>
      <c r="B7" s="31" t="str">
        <v>OH</v>
      </c>
      <c r="C7" s="11">
        <v>1242</v>
      </c>
      <c r="D7" s="18" t="s">
        <v>22</v>
      </c>
      <c r="E7" s="18" t="str">
        <f t="shared" si="0"/>
        <v/>
      </c>
      <c r="F7" s="19" t="str">
        <f t="shared" si="3"/>
        <v/>
      </c>
      <c r="G7" s="60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4" ht="15.6">
      <c r="A8" s="28" t="str">
        <v>Cincinnati - BA MLK and Burnet</v>
      </c>
      <c r="B8" s="29" t="str">
        <v>OH</v>
      </c>
      <c r="C8" s="24">
        <v>1769.9</v>
      </c>
      <c r="D8" s="13" t="s">
        <v>22</v>
      </c>
      <c r="E8" s="13" t="str">
        <f t="shared" si="0"/>
        <v/>
      </c>
      <c r="F8" s="14" t="str">
        <f t="shared" si="3"/>
        <v/>
      </c>
      <c r="G8" s="59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68"/>
      <c r="M8" s="68"/>
      <c r="N8" s="68"/>
    </row>
    <row r="9" spans="1:14" ht="15.6">
      <c r="A9" s="30" t="str">
        <v>Columbus - BA Harrisburg Pike</v>
      </c>
      <c r="B9" s="31" t="str">
        <v>OH</v>
      </c>
      <c r="C9" s="11">
        <v>1514.8</v>
      </c>
      <c r="D9" s="18" t="s">
        <v>22</v>
      </c>
      <c r="E9" s="18" t="str">
        <f t="shared" si="0"/>
        <v/>
      </c>
      <c r="F9" s="19" t="str">
        <f t="shared" si="3"/>
        <v/>
      </c>
      <c r="G9" s="60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68"/>
      <c r="M9" s="68"/>
      <c r="N9" s="68"/>
    </row>
    <row r="10" spans="1:14" ht="15.6">
      <c r="A10" s="28" t="str">
        <v>Cincinnati - BA Hyde Pk Plaza</v>
      </c>
      <c r="B10" s="29" t="str">
        <v>OH</v>
      </c>
      <c r="C10" s="24">
        <v>1746.1</v>
      </c>
      <c r="D10" s="13" t="s">
        <v>22</v>
      </c>
      <c r="E10" s="13" t="str">
        <f t="shared" si="0"/>
        <v/>
      </c>
      <c r="F10" s="14" t="str">
        <f t="shared" si="3"/>
        <v/>
      </c>
      <c r="G10" s="59" t="s">
        <v>22</v>
      </c>
      <c r="H10" s="15" t="str">
        <f t="shared" si="1"/>
        <v/>
      </c>
      <c r="I10" s="16" t="str">
        <f t="shared" si="2"/>
        <v/>
      </c>
      <c r="J10" s="41"/>
      <c r="K10" s="63"/>
      <c r="L10" s="68"/>
      <c r="M10" s="68"/>
      <c r="N10" s="68"/>
    </row>
    <row r="11" spans="1:14" ht="15.6">
      <c r="A11" s="30" t="str">
        <v>Cleveland - BA Carnegie &amp; 79th</v>
      </c>
      <c r="B11" s="31" t="str">
        <v>OH</v>
      </c>
      <c r="C11" s="11">
        <v>1325.7</v>
      </c>
      <c r="D11" s="18" t="s">
        <v>22</v>
      </c>
      <c r="E11" s="18" t="str">
        <f t="shared" si="0"/>
        <v/>
      </c>
      <c r="F11" s="19" t="str">
        <f t="shared" si="3"/>
        <v/>
      </c>
      <c r="G11" s="60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66"/>
      <c r="M11" s="68"/>
      <c r="N11" s="68"/>
    </row>
    <row r="12" spans="1:14" ht="15.6">
      <c r="A12" s="28" t="str">
        <v>Cincinnati - BA Sharonville</v>
      </c>
      <c r="B12" s="29" t="str">
        <v>OH</v>
      </c>
      <c r="C12" s="24">
        <v>1360</v>
      </c>
      <c r="D12" s="13" t="s">
        <v>22</v>
      </c>
      <c r="E12" s="13" t="str">
        <f t="shared" si="0"/>
        <v/>
      </c>
      <c r="F12" s="14" t="str">
        <f t="shared" si="3"/>
        <v/>
      </c>
      <c r="G12" s="59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66"/>
      <c r="M12" s="68"/>
      <c r="N12" s="68"/>
    </row>
    <row r="13" spans="1:14" ht="15.6">
      <c r="A13" s="30" t="str">
        <v>Zionsville - BA</v>
      </c>
      <c r="B13" s="31" t="str">
        <v>IN</v>
      </c>
      <c r="C13" s="11">
        <v>2302.3000000000002</v>
      </c>
      <c r="D13" s="18" t="s">
        <v>22</v>
      </c>
      <c r="E13" s="18" t="str">
        <f t="shared" si="0"/>
        <v/>
      </c>
      <c r="F13" s="19" t="str">
        <f t="shared" si="3"/>
        <v/>
      </c>
      <c r="G13" s="60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66"/>
      <c r="M13" s="68"/>
      <c r="N13" s="68"/>
    </row>
    <row r="14" spans="1:14" ht="15.6">
      <c r="A14" s="28" t="str">
        <v>Columbus - BA  Eastgate</v>
      </c>
      <c r="B14" s="29" t="str">
        <v>OH</v>
      </c>
      <c r="C14" s="24">
        <v>1255.7</v>
      </c>
      <c r="D14" s="13" t="s">
        <v>22</v>
      </c>
      <c r="E14" s="13" t="str">
        <f t="shared" si="0"/>
        <v/>
      </c>
      <c r="F14" s="14" t="str">
        <f t="shared" si="3"/>
        <v/>
      </c>
      <c r="G14" s="59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66"/>
      <c r="M14" s="68"/>
      <c r="N14" s="68"/>
    </row>
    <row r="15" spans="1:14" ht="33" customHeight="1">
      <c r="A15" s="30" t="str">
        <v>Columbus - BA Eastmoor</v>
      </c>
      <c r="B15" s="31" t="str">
        <v>OH</v>
      </c>
      <c r="C15" s="11">
        <v>2230.1999999999998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60" t="s">
        <v>22</v>
      </c>
      <c r="H15" s="20" t="str">
        <f t="shared" si="1"/>
        <v/>
      </c>
      <c r="I15" s="19" t="str">
        <f t="shared" si="2"/>
        <v/>
      </c>
      <c r="J15" s="42" t="s">
        <v>47</v>
      </c>
      <c r="K15" s="70" t="s">
        <v>48</v>
      </c>
      <c r="L15" s="67"/>
      <c r="M15" s="68"/>
      <c r="N15" s="68"/>
    </row>
    <row r="16" spans="1:14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59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66"/>
      <c r="M16" s="68"/>
      <c r="N16" s="68"/>
    </row>
    <row r="17" spans="1:14" ht="54" customHeight="1">
      <c r="A17" s="30" t="str">
        <v>Pittsburg - BA Fox Chapel</v>
      </c>
      <c r="B17" s="31" t="str">
        <v>PA</v>
      </c>
      <c r="C17" s="11">
        <v>234.2</v>
      </c>
      <c r="D17" s="18" t="s">
        <v>22</v>
      </c>
      <c r="E17" s="18" t="str">
        <f t="shared" si="0"/>
        <v/>
      </c>
      <c r="F17" s="19" t="str">
        <f t="shared" si="3"/>
        <v/>
      </c>
      <c r="G17" s="60" t="s">
        <v>22</v>
      </c>
      <c r="H17" s="20" t="str">
        <f t="shared" si="1"/>
        <v/>
      </c>
      <c r="I17" s="19" t="str">
        <f t="shared" si="2"/>
        <v/>
      </c>
      <c r="J17" s="42" t="s">
        <v>55</v>
      </c>
      <c r="K17" s="64" t="s">
        <v>56</v>
      </c>
      <c r="L17" s="66"/>
      <c r="M17" s="68"/>
      <c r="N17" s="68"/>
    </row>
    <row r="18" spans="1:14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5" si="5">IFERROR(E18/D18, "")</f>
        <v/>
      </c>
      <c r="G18" s="59" t="s">
        <v>22</v>
      </c>
      <c r="H18" s="15" t="str">
        <f t="shared" ref="H18:H27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66"/>
      <c r="M18" s="68"/>
      <c r="N18" s="68"/>
    </row>
    <row r="19" spans="1:14" ht="15.6">
      <c r="A19" s="30" t="str">
        <v>Baltimore - BA Sudbrook Lane</v>
      </c>
      <c r="B19" s="31" t="str">
        <v>MD</v>
      </c>
      <c r="C19" s="11">
        <v>1672.6</v>
      </c>
      <c r="D19" s="18" t="s">
        <v>22</v>
      </c>
      <c r="E19" s="18" t="str">
        <f t="shared" si="4"/>
        <v/>
      </c>
      <c r="F19" s="19" t="str">
        <f t="shared" si="5"/>
        <v/>
      </c>
      <c r="G19" s="60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66"/>
      <c r="M19" s="68"/>
      <c r="N19" s="68"/>
    </row>
    <row r="20" spans="1:14" ht="15.6">
      <c r="A20" s="28" t="str">
        <v>Stamford - BA West Stamford</v>
      </c>
      <c r="B20" s="29" t="str">
        <v>CT</v>
      </c>
      <c r="C20" s="24">
        <v>1624.3</v>
      </c>
      <c r="D20" s="13" t="s">
        <v>22</v>
      </c>
      <c r="E20" s="13" t="str">
        <f t="shared" si="4"/>
        <v/>
      </c>
      <c r="F20" s="14" t="str">
        <f t="shared" si="5"/>
        <v/>
      </c>
      <c r="G20" s="59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66"/>
      <c r="M20" s="68"/>
      <c r="N20" s="68"/>
    </row>
    <row r="21" spans="1:14" ht="15.6">
      <c r="A21" s="30" t="str">
        <v>Hanover - BA Arundel Mills</v>
      </c>
      <c r="B21" s="31" t="str">
        <v>MD</v>
      </c>
      <c r="C21" s="11">
        <v>2087.9</v>
      </c>
      <c r="D21" s="18" t="s">
        <v>22</v>
      </c>
      <c r="E21" s="18" t="str">
        <f t="shared" si="4"/>
        <v/>
      </c>
      <c r="F21" s="19" t="str">
        <f t="shared" si="5"/>
        <v/>
      </c>
      <c r="G21" s="60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66"/>
      <c r="M21" s="68"/>
      <c r="N21" s="68"/>
    </row>
    <row r="22" spans="1:14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9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66"/>
      <c r="M22" s="68"/>
      <c r="N22" s="68"/>
    </row>
    <row r="23" spans="1:14" ht="15.6">
      <c r="A23" s="30" t="str">
        <v>Brooklyn - BA North 4th &amp; Berry</v>
      </c>
      <c r="B23" s="31" t="str">
        <v>NY</v>
      </c>
      <c r="C23" s="11">
        <v>2201.5</v>
      </c>
      <c r="D23" s="18" t="s">
        <v>22</v>
      </c>
      <c r="E23" s="18" t="str">
        <f t="shared" si="4"/>
        <v/>
      </c>
      <c r="F23" s="19" t="str">
        <f t="shared" si="5"/>
        <v/>
      </c>
      <c r="G23" s="60" t="s">
        <v>22</v>
      </c>
      <c r="H23" s="20" t="str">
        <f t="shared" si="6"/>
        <v/>
      </c>
      <c r="I23" s="19" t="str">
        <f t="shared" si="7"/>
        <v/>
      </c>
      <c r="J23" s="42"/>
      <c r="K23" s="70"/>
      <c r="L23" s="66"/>
      <c r="M23" s="68"/>
      <c r="N23" s="68"/>
    </row>
    <row r="24" spans="1:14" ht="28.9">
      <c r="A24" s="28" t="str">
        <v>Midlothian - BA Brandermill</v>
      </c>
      <c r="B24" s="29" t="str">
        <v>VA</v>
      </c>
      <c r="C24" s="24">
        <v>1413.8</v>
      </c>
      <c r="D24" s="13" t="s">
        <v>22</v>
      </c>
      <c r="E24" s="13" t="str">
        <f t="shared" si="4"/>
        <v/>
      </c>
      <c r="F24" s="14" t="str">
        <f t="shared" si="5"/>
        <v/>
      </c>
      <c r="G24" s="59" t="s">
        <v>22</v>
      </c>
      <c r="H24" s="15" t="str">
        <f t="shared" si="6"/>
        <v/>
      </c>
      <c r="I24" s="16" t="str">
        <f t="shared" si="7"/>
        <v/>
      </c>
      <c r="J24" s="41" t="s">
        <v>51</v>
      </c>
      <c r="K24" s="63" t="s">
        <v>38</v>
      </c>
      <c r="L24" s="68"/>
      <c r="M24" s="68"/>
      <c r="N24" s="68"/>
    </row>
    <row r="25" spans="1:14" ht="15.6">
      <c r="A25" s="30" t="str">
        <v>Lexington - BA North Park</v>
      </c>
      <c r="B25" s="31" t="str">
        <v>KY</v>
      </c>
      <c r="C25" s="11">
        <v>1192.3</v>
      </c>
      <c r="D25" s="18" t="s">
        <v>22</v>
      </c>
      <c r="E25" s="18" t="str">
        <f t="shared" si="4"/>
        <v/>
      </c>
      <c r="F25" s="19" t="str">
        <f t="shared" si="5"/>
        <v/>
      </c>
      <c r="G25" s="60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68"/>
      <c r="M25" s="68"/>
      <c r="N25" s="68"/>
    </row>
    <row r="26" spans="1:14" ht="15.6">
      <c r="A26" s="28" t="str">
        <v>Coventry - BA ATM</v>
      </c>
      <c r="B26" s="29" t="str">
        <v>RI</v>
      </c>
      <c r="C26" s="24">
        <v>95.6</v>
      </c>
      <c r="D26" s="13" t="s">
        <v>22</v>
      </c>
      <c r="E26" s="13" t="str">
        <f t="shared" si="4"/>
        <v/>
      </c>
      <c r="F26" s="14"/>
      <c r="G26" s="59" t="s">
        <v>22</v>
      </c>
      <c r="H26" s="15" t="str">
        <f t="shared" si="6"/>
        <v/>
      </c>
      <c r="I26" s="16"/>
      <c r="J26" s="58" t="s">
        <v>41</v>
      </c>
      <c r="K26" s="65" t="s">
        <v>52</v>
      </c>
      <c r="L26" s="68"/>
      <c r="M26" s="68"/>
      <c r="N26" s="68"/>
    </row>
    <row r="27" spans="1:14" ht="15.6">
      <c r="A27" s="17" t="str">
        <v>Woodbridge - BA ATM</v>
      </c>
      <c r="B27" s="10" t="str">
        <v>VA</v>
      </c>
      <c r="C27" s="11">
        <v>42.2</v>
      </c>
      <c r="D27" s="18" t="s">
        <v>22</v>
      </c>
      <c r="E27" s="18" t="str">
        <f t="shared" si="4"/>
        <v/>
      </c>
      <c r="F27" s="19"/>
      <c r="G27" s="60" t="s">
        <v>22</v>
      </c>
      <c r="H27" s="20" t="str">
        <f t="shared" si="6"/>
        <v/>
      </c>
      <c r="I27" s="19"/>
      <c r="L27" s="68"/>
      <c r="M27" s="68"/>
      <c r="N27" s="68"/>
    </row>
    <row r="28" spans="1:14" ht="14.45">
      <c r="A28" s="21"/>
      <c r="B28" s="33"/>
      <c r="C28" s="21"/>
      <c r="D28" s="21"/>
      <c r="E28" s="21"/>
      <c r="F28" s="22"/>
      <c r="G28" s="61"/>
      <c r="H28" s="21"/>
      <c r="I28" s="22"/>
      <c r="J28" s="21"/>
      <c r="K28" s="21"/>
    </row>
    <row r="29" spans="1:14" ht="14.45">
      <c r="A29" s="21"/>
      <c r="B29" s="33"/>
      <c r="C29" s="21"/>
      <c r="D29" s="21"/>
      <c r="E29" s="21"/>
      <c r="F29" s="22"/>
      <c r="G29" s="61"/>
      <c r="H29" s="21"/>
      <c r="I29" s="22"/>
      <c r="J29" s="21"/>
      <c r="K29" s="21"/>
    </row>
    <row r="30" spans="1:14" ht="14.45">
      <c r="A30" s="21"/>
      <c r="B30" s="33"/>
      <c r="C30" s="21"/>
      <c r="D30" s="21"/>
      <c r="E30" s="21"/>
      <c r="F30" s="22"/>
      <c r="G30" s="61"/>
      <c r="H30" s="21"/>
      <c r="I30" s="22"/>
      <c r="J30" s="21"/>
      <c r="K30" s="21"/>
    </row>
    <row r="31" spans="1:14" ht="14.45">
      <c r="A31" s="21"/>
      <c r="B31" s="33"/>
      <c r="C31" s="21"/>
      <c r="D31" s="21"/>
      <c r="E31" s="21"/>
      <c r="F31" s="22"/>
      <c r="G31" s="61"/>
      <c r="H31" s="21"/>
      <c r="I31" s="22"/>
      <c r="J31" s="21"/>
      <c r="K31" s="21"/>
    </row>
    <row r="32" spans="1:14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6" priority="5" stopIfTrue="1" operator="lessThanOrEqual">
      <formula>-0.1</formula>
    </cfRule>
    <cfRule type="expression" dxfId="35" priority="6">
      <formula>AND(ISNUMBER(F2), F2&gt;=0.1)</formula>
    </cfRule>
  </conditionalFormatting>
  <conditionalFormatting sqref="F4:F85 I4:I85">
    <cfRule type="cellIs" dxfId="34" priority="1" stopIfTrue="1" operator="lessThanOrEqual">
      <formula>-0.1</formula>
    </cfRule>
    <cfRule type="expression" dxfId="33" priority="2">
      <formula>AND(ISNUMBER(F4), F4&gt;=0.1)</formula>
    </cfRule>
  </conditionalFormatting>
  <hyperlinks>
    <hyperlink ref="K15" r:id="rId1" display="https://us3.assetplanner.com/service_request?ID=095094" xr:uid="{18A062DF-E5E9-41F3-A23D-5B3ACA2F4E64}"/>
    <hyperlink ref="K17" r:id="rId2" display="https://us3.assetplanner.com/service_request?ID=097860" xr:uid="{7B786849-D3D2-468C-AA4E-9258E1ACF337}"/>
    <hyperlink ref="K24" r:id="rId3" display="https://us3.assetplanner.com/service_request?ID=088366" xr:uid="{3901A2EC-ECAA-454B-8FFF-7C919ACE382A}"/>
    <hyperlink ref="K26" r:id="rId4" display="https://us3.assetplanner.com/service_request?ID=094910" xr:uid="{69A81F12-87EA-4D37-A2FF-A30FB236643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27"/>
  <sheetViews>
    <sheetView zoomScale="70" zoomScaleNormal="70" workbookViewId="0">
      <pane xSplit="2" ySplit="3" topLeftCell="C4" activePane="bottomRight" state="frozen"/>
      <selection pane="bottomRight" activeCell="P11" sqref="P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8"/>
  </cols>
  <sheetData>
    <row r="1" spans="1:12" ht="19.5" customHeight="1">
      <c r="A1" s="85" t="str" cm="1">
        <f t="array" ref="A1">portfolio</f>
        <v>CBRE</v>
      </c>
      <c r="B1" s="85"/>
      <c r="C1" s="85"/>
      <c r="D1" s="86" t="s">
        <v>57</v>
      </c>
      <c r="E1" s="86"/>
      <c r="F1" s="86"/>
      <c r="G1" s="84" t="s">
        <v>58</v>
      </c>
      <c r="H1" s="84"/>
      <c r="I1" s="84"/>
      <c r="J1" s="4"/>
      <c r="K1" s="4"/>
    </row>
    <row r="2" spans="1:12" ht="19.5" customHeight="1">
      <c r="A2" s="87" t="s">
        <v>2</v>
      </c>
      <c r="B2" s="87"/>
      <c r="C2" s="5">
        <f>SUM(C4:C85)</f>
        <v>32389.000000000004</v>
      </c>
      <c r="D2" s="5">
        <f>SUM(D4:D85)</f>
        <v>0</v>
      </c>
      <c r="E2" s="5">
        <f>C2-D2</f>
        <v>32389.000000000004</v>
      </c>
      <c r="F2" s="6">
        <f>IFERROR(E2/D2, 0)</f>
        <v>0</v>
      </c>
      <c r="G2" s="5">
        <f>SUM(G4:G85)</f>
        <v>0</v>
      </c>
      <c r="H2" s="7">
        <f>C2-G2</f>
        <v>32389.000000000004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2711.3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9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2"/>
    </row>
    <row r="5" spans="1:12" ht="15.6">
      <c r="A5" s="30" t="str">
        <v>Indianapolis - BA Speedway</v>
      </c>
      <c r="B5" s="31" t="str">
        <v>IN</v>
      </c>
      <c r="C5" s="11">
        <v>1434.1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59</v>
      </c>
      <c r="K5" s="42" t="s">
        <v>60</v>
      </c>
      <c r="L5" s="72"/>
    </row>
    <row r="6" spans="1:12" ht="15.6">
      <c r="A6" s="28" t="str">
        <v>Greenwood - BA</v>
      </c>
      <c r="B6" s="29" t="str">
        <v>IN</v>
      </c>
      <c r="C6" s="24">
        <v>649.29999999999995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9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2"/>
    </row>
    <row r="7" spans="1:12" ht="15.6">
      <c r="A7" s="30" t="str">
        <v>West Chester - BA</v>
      </c>
      <c r="B7" s="31" t="str">
        <v>OH</v>
      </c>
      <c r="C7" s="11">
        <v>1386.3</v>
      </c>
      <c r="D7" s="18" t="s">
        <v>22</v>
      </c>
      <c r="E7" s="18" t="str">
        <f t="shared" si="0"/>
        <v/>
      </c>
      <c r="F7" s="19" t="str">
        <f t="shared" si="3"/>
        <v/>
      </c>
      <c r="G7" s="60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2"/>
    </row>
    <row r="8" spans="1:12" ht="15.6">
      <c r="A8" s="28" t="str">
        <v>Cincinnati - BA MLK and Burnet</v>
      </c>
      <c r="B8" s="29" t="str">
        <v>OH</v>
      </c>
      <c r="C8" s="24">
        <v>1955.9</v>
      </c>
      <c r="D8" s="13" t="s">
        <v>22</v>
      </c>
      <c r="E8" s="13" t="str">
        <f t="shared" si="0"/>
        <v/>
      </c>
      <c r="F8" s="14" t="str">
        <f t="shared" si="3"/>
        <v/>
      </c>
      <c r="G8" s="59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2"/>
    </row>
    <row r="9" spans="1:12" ht="15.6">
      <c r="A9" s="30" t="str">
        <v>Columbus - BA Harrisburg Pike</v>
      </c>
      <c r="B9" s="31" t="str">
        <v>OH</v>
      </c>
      <c r="C9" s="11">
        <v>1738.3</v>
      </c>
      <c r="D9" s="18" t="s">
        <v>22</v>
      </c>
      <c r="E9" s="18" t="str">
        <f t="shared" si="0"/>
        <v/>
      </c>
      <c r="F9" s="19" t="str">
        <f t="shared" si="3"/>
        <v/>
      </c>
      <c r="G9" s="60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2"/>
    </row>
    <row r="10" spans="1:12" ht="28.9">
      <c r="A10" s="28" t="str">
        <v>Cincinnati - BA Hyde Pk Plaza</v>
      </c>
      <c r="B10" s="29" t="str">
        <v>OH</v>
      </c>
      <c r="C10" s="24">
        <v>1967.8</v>
      </c>
      <c r="D10" s="13" t="s">
        <v>22</v>
      </c>
      <c r="E10" s="13" t="str">
        <f t="shared" si="0"/>
        <v/>
      </c>
      <c r="F10" s="14" t="str">
        <f t="shared" si="3"/>
        <v/>
      </c>
      <c r="G10" s="59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3" t="s">
        <v>46</v>
      </c>
      <c r="L10" s="72"/>
    </row>
    <row r="11" spans="1:12" ht="15.6">
      <c r="A11" s="30" t="str">
        <v>Cleveland - BA Carnegie &amp; 79th</v>
      </c>
      <c r="B11" s="31" t="str">
        <v>OH</v>
      </c>
      <c r="C11" s="11">
        <v>1467.8</v>
      </c>
      <c r="D11" s="18" t="s">
        <v>22</v>
      </c>
      <c r="E11" s="18" t="str">
        <f t="shared" si="0"/>
        <v/>
      </c>
      <c r="F11" s="19" t="str">
        <f t="shared" si="3"/>
        <v/>
      </c>
      <c r="G11" s="60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2"/>
    </row>
    <row r="12" spans="1:12" ht="15.6">
      <c r="A12" s="28" t="str">
        <v>Cincinnati - BA Sharonville</v>
      </c>
      <c r="B12" s="29" t="str">
        <v>OH</v>
      </c>
      <c r="C12" s="24">
        <v>1505.6</v>
      </c>
      <c r="D12" s="13" t="s">
        <v>22</v>
      </c>
      <c r="E12" s="13" t="str">
        <f t="shared" si="0"/>
        <v/>
      </c>
      <c r="F12" s="14" t="str">
        <f t="shared" si="3"/>
        <v/>
      </c>
      <c r="G12" s="59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2"/>
    </row>
    <row r="13" spans="1:12" ht="15.6">
      <c r="A13" s="30" t="str">
        <v>Zionsville - BA</v>
      </c>
      <c r="B13" s="31" t="str">
        <v>IN</v>
      </c>
      <c r="C13" s="11">
        <v>2677.6</v>
      </c>
      <c r="D13" s="18" t="s">
        <v>22</v>
      </c>
      <c r="E13" s="18" t="str">
        <f t="shared" si="0"/>
        <v/>
      </c>
      <c r="F13" s="19" t="str">
        <f t="shared" si="3"/>
        <v/>
      </c>
      <c r="G13" s="60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2"/>
    </row>
    <row r="14" spans="1:12" ht="15.6">
      <c r="A14" s="28" t="str">
        <v>Columbus - BA  Eastgate</v>
      </c>
      <c r="B14" s="29" t="str">
        <v>OH</v>
      </c>
      <c r="C14" s="24">
        <v>1418.2</v>
      </c>
      <c r="D14" s="13" t="s">
        <v>22</v>
      </c>
      <c r="E14" s="13" t="str">
        <f t="shared" si="0"/>
        <v/>
      </c>
      <c r="F14" s="14" t="str">
        <f t="shared" si="3"/>
        <v/>
      </c>
      <c r="G14" s="59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2"/>
    </row>
    <row r="15" spans="1:12" ht="28.9">
      <c r="A15" s="30" t="str">
        <v>Columbus - BA Eastmoor</v>
      </c>
      <c r="B15" s="31" t="str">
        <v>OH</v>
      </c>
      <c r="C15" s="11">
        <v>2500.6999999999998</v>
      </c>
      <c r="D15" s="18" t="s">
        <v>22</v>
      </c>
      <c r="E15" s="18" t="str">
        <f t="shared" si="0"/>
        <v/>
      </c>
      <c r="F15" s="19" t="str">
        <f t="shared" si="3"/>
        <v/>
      </c>
      <c r="G15" s="60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4" t="s">
        <v>63</v>
      </c>
      <c r="L15" s="73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9" t="s">
        <v>22</v>
      </c>
      <c r="H16" s="15"/>
      <c r="I16" s="16" t="str">
        <f t="shared" si="2"/>
        <v/>
      </c>
      <c r="J16" s="41"/>
      <c r="K16" s="41"/>
      <c r="L16" s="72"/>
    </row>
    <row r="17" spans="1:12" ht="28.9">
      <c r="A17" s="30" t="str">
        <v>Pittsburg - BA Fox Chapel</v>
      </c>
      <c r="B17" s="31" t="str">
        <v>PA</v>
      </c>
      <c r="C17" s="11">
        <v>0</v>
      </c>
      <c r="D17" s="18" t="s">
        <v>22</v>
      </c>
      <c r="E17" s="18" t="str">
        <f t="shared" si="0"/>
        <v/>
      </c>
      <c r="F17" s="19" t="str">
        <f t="shared" si="3"/>
        <v/>
      </c>
      <c r="G17" s="60" t="s">
        <v>22</v>
      </c>
      <c r="H17" s="20" t="str">
        <f t="shared" si="1"/>
        <v/>
      </c>
      <c r="I17" s="19" t="str">
        <f t="shared" si="2"/>
        <v/>
      </c>
      <c r="J17" s="42" t="s">
        <v>64</v>
      </c>
      <c r="K17" s="64" t="s">
        <v>65</v>
      </c>
      <c r="L17" s="72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6" si="4">IF(AND(ISNUMBER(C18),ISNUMBER(D18)), C18-D18, "")</f>
        <v/>
      </c>
      <c r="F18" s="14" t="str">
        <f t="shared" ref="F18:F26" si="5">IFERROR(E18/D18, "")</f>
        <v/>
      </c>
      <c r="G18" s="59" t="s">
        <v>22</v>
      </c>
      <c r="H18" s="15" t="str">
        <f t="shared" ref="H18:H26" si="6">IF(AND(ISNUMBER(C18),ISNUMBER(G18)), C18-G18, "")</f>
        <v/>
      </c>
      <c r="I18" s="16" t="str">
        <f t="shared" ref="I18:I26" si="7">IFERROR(H18/G18, "")</f>
        <v/>
      </c>
      <c r="J18" s="41"/>
      <c r="K18" s="41"/>
      <c r="L18" s="72"/>
    </row>
    <row r="19" spans="1:12" ht="43.15">
      <c r="A19" s="30" t="str">
        <v>Baltimore - BA Sudbrook Lane</v>
      </c>
      <c r="B19" s="31" t="str">
        <v>MD</v>
      </c>
      <c r="C19" s="11">
        <v>1690</v>
      </c>
      <c r="D19" s="18" t="s">
        <v>22</v>
      </c>
      <c r="E19" s="18" t="str">
        <f t="shared" si="4"/>
        <v/>
      </c>
      <c r="F19" s="19" t="str">
        <f t="shared" si="5"/>
        <v/>
      </c>
      <c r="G19" s="60" t="s">
        <v>22</v>
      </c>
      <c r="H19" s="20" t="str">
        <f t="shared" si="6"/>
        <v/>
      </c>
      <c r="I19" s="19" t="str">
        <f t="shared" si="7"/>
        <v/>
      </c>
      <c r="J19" s="42" t="s">
        <v>66</v>
      </c>
      <c r="K19" s="64" t="s">
        <v>67</v>
      </c>
      <c r="L19" s="72"/>
    </row>
    <row r="20" spans="1:12" ht="15.6">
      <c r="A20" s="28" t="str">
        <v>Stamford - BA West Stamford</v>
      </c>
      <c r="B20" s="29" t="str">
        <v>CT</v>
      </c>
      <c r="C20" s="24">
        <v>1721.4</v>
      </c>
      <c r="D20" s="13" t="s">
        <v>22</v>
      </c>
      <c r="E20" s="13" t="str">
        <f t="shared" si="4"/>
        <v/>
      </c>
      <c r="F20" s="14" t="str">
        <f t="shared" si="5"/>
        <v/>
      </c>
      <c r="G20" s="59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2"/>
    </row>
    <row r="21" spans="1:12" ht="15.6">
      <c r="A21" s="30" t="str">
        <v>Hanover - BA Arundel Mills</v>
      </c>
      <c r="B21" s="31" t="str">
        <v>MD</v>
      </c>
      <c r="C21" s="11">
        <v>2198.9</v>
      </c>
      <c r="D21" s="18" t="s">
        <v>22</v>
      </c>
      <c r="E21" s="18" t="str">
        <f t="shared" si="4"/>
        <v/>
      </c>
      <c r="F21" s="19" t="str">
        <f t="shared" si="5"/>
        <v/>
      </c>
      <c r="G21" s="60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2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9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2"/>
    </row>
    <row r="23" spans="1:12" ht="15.6">
      <c r="A23" s="30" t="str">
        <v>Brooklyn - BA North 4th &amp; Berry</v>
      </c>
      <c r="B23" s="31" t="str">
        <v>NY</v>
      </c>
      <c r="C23" s="11">
        <v>2396.9</v>
      </c>
      <c r="D23" s="18" t="s">
        <v>22</v>
      </c>
      <c r="E23" s="18"/>
      <c r="F23" s="19" t="s">
        <v>68</v>
      </c>
      <c r="G23" s="60" t="s">
        <v>22</v>
      </c>
      <c r="H23" s="20"/>
      <c r="I23" s="19" t="str">
        <f t="shared" si="7"/>
        <v/>
      </c>
      <c r="J23" s="42"/>
      <c r="K23" s="43"/>
      <c r="L23" s="72"/>
    </row>
    <row r="24" spans="1:12" ht="28.9">
      <c r="A24" s="28" t="str">
        <v>Midlothian - BA Brandermill</v>
      </c>
      <c r="B24" s="29" t="str">
        <v>VA</v>
      </c>
      <c r="C24" s="24">
        <v>1498.2</v>
      </c>
      <c r="D24" s="13" t="s">
        <v>22</v>
      </c>
      <c r="E24" s="13" t="str">
        <f t="shared" si="4"/>
        <v/>
      </c>
      <c r="F24" s="14" t="str">
        <f t="shared" si="5"/>
        <v/>
      </c>
      <c r="G24" s="59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3" t="s">
        <v>70</v>
      </c>
      <c r="L24" s="72"/>
    </row>
    <row r="25" spans="1:12" ht="15.6">
      <c r="A25" s="30" t="str">
        <v>Lexington - BA North Park</v>
      </c>
      <c r="B25" s="31" t="str">
        <v>KY</v>
      </c>
      <c r="C25" s="11">
        <v>1306.9000000000001</v>
      </c>
      <c r="D25" s="18" t="s">
        <v>22</v>
      </c>
      <c r="E25" s="18" t="str">
        <f t="shared" si="4"/>
        <v/>
      </c>
      <c r="F25" s="19" t="str">
        <f t="shared" si="5"/>
        <v/>
      </c>
      <c r="G25" s="60" t="s">
        <v>22</v>
      </c>
      <c r="H25" s="20" t="str">
        <f t="shared" si="6"/>
        <v/>
      </c>
      <c r="I25" s="19" t="str">
        <f t="shared" si="7"/>
        <v/>
      </c>
      <c r="J25" s="42"/>
      <c r="K25" s="42"/>
    </row>
    <row r="26" spans="1:12" ht="28.9">
      <c r="A26" s="28" t="str">
        <v>Coventry - BA ATM</v>
      </c>
      <c r="B26" s="29" t="str">
        <v>RI</v>
      </c>
      <c r="C26" s="24">
        <v>104</v>
      </c>
      <c r="D26" s="13" t="s">
        <v>22</v>
      </c>
      <c r="E26" s="13" t="str">
        <f t="shared" si="4"/>
        <v/>
      </c>
      <c r="F26" s="14" t="str">
        <f t="shared" si="5"/>
        <v/>
      </c>
      <c r="G26" s="59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3" t="s">
        <v>42</v>
      </c>
      <c r="L26" s="72"/>
    </row>
    <row r="27" spans="1:12" ht="15.6">
      <c r="A27" s="17" t="str">
        <v>Woodbridge - BA ATM</v>
      </c>
      <c r="B27" s="10" t="str">
        <v>VA</v>
      </c>
      <c r="C27" s="11">
        <v>59.8</v>
      </c>
      <c r="D27" s="18" t="s">
        <v>22</v>
      </c>
      <c r="E27" s="18"/>
      <c r="F27" s="19"/>
      <c r="G27" s="60" t="s">
        <v>22</v>
      </c>
      <c r="H27" s="20"/>
      <c r="I27" s="19"/>
      <c r="J27" s="71" t="s">
        <v>72</v>
      </c>
      <c r="K27" s="74" t="s">
        <v>73</v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85 I4:I85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hyperlinks>
    <hyperlink ref="K10" r:id="rId1" display="https://us3.assetplanner.com/service_request?ID=097110" xr:uid="{F10B8147-017B-43E2-AD6B-5D5F769D4025}"/>
    <hyperlink ref="K15" r:id="rId2" display="https://us3.assetplanner.com/service_request?ID=095094" xr:uid="{3F8D94AA-D3D2-4921-BB0B-95BEC9C977A5}"/>
    <hyperlink ref="L15" r:id="rId3" display="https://us3.assetplanner.com/service_request?ID=095335" xr:uid="{35EEFF63-C065-4DB6-AF9A-7F0BA265A54A}"/>
    <hyperlink ref="K17" r:id="rId4" display="https://us3.assetplanner.com/service_request?ID=101229" xr:uid="{7FD7EC5B-432C-4001-BFF9-6B92891E824E}"/>
    <hyperlink ref="K19" r:id="rId5" display="https://us3.assetplanner.com/service_request?ID=099702" xr:uid="{84AB92D8-2C5E-45EF-8787-38D3AF75E7A7}"/>
    <hyperlink ref="K24" r:id="rId6" display="https://us3.assetplanner.com/service_request?ID=088366" xr:uid="{F418F907-584D-4486-ADF2-5385553E6213}"/>
    <hyperlink ref="K26" r:id="rId7" display="https://us3.assetplanner.com/service_request?ID=094910" xr:uid="{0CF3BB78-036F-44ED-87A6-C985D599DC5D}"/>
    <hyperlink ref="K27" r:id="rId8" display="https://us3.assetplanner.com/service_request?ID=095895" xr:uid="{CDA80070-2083-4F19-B1F3-E59A07B917BF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8"/>
  <sheetViews>
    <sheetView zoomScale="70" zoomScaleNormal="70" workbookViewId="0">
      <pane xSplit="2" ySplit="3" topLeftCell="C15" activePane="bottomRight" state="frozen"/>
      <selection pane="bottomRight" activeCell="L1" sqref="L1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8"/>
  </cols>
  <sheetData>
    <row r="1" spans="1:12" ht="19.5" customHeight="1">
      <c r="A1" s="85" t="str" cm="1">
        <f t="array" ref="A1">portfolio</f>
        <v>CBRE</v>
      </c>
      <c r="B1" s="85"/>
      <c r="C1" s="85"/>
      <c r="D1" s="86" t="s">
        <v>74</v>
      </c>
      <c r="E1" s="86"/>
      <c r="F1" s="86"/>
      <c r="G1" s="84" t="s">
        <v>75</v>
      </c>
      <c r="H1" s="84"/>
      <c r="I1" s="84"/>
      <c r="J1" s="4"/>
      <c r="K1" s="4"/>
    </row>
    <row r="2" spans="1:12" ht="19.5" customHeight="1">
      <c r="A2" s="87" t="s">
        <v>2</v>
      </c>
      <c r="B2" s="87"/>
      <c r="C2" s="5">
        <f>SUM(C4:C86)</f>
        <v>34220.6</v>
      </c>
      <c r="D2" s="5">
        <f>SUM(D4:D86)</f>
        <v>0</v>
      </c>
      <c r="E2" s="5">
        <f>C2-D2</f>
        <v>34220.6</v>
      </c>
      <c r="F2" s="6">
        <f>IFERROR(E2/D2, 0)</f>
        <v>0</v>
      </c>
      <c r="G2" s="5">
        <f>SUM(G4:G86)</f>
        <v>0</v>
      </c>
      <c r="H2" s="7">
        <f>C2-G2</f>
        <v>34220.6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2607.3000000000002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9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2"/>
    </row>
    <row r="5" spans="1:12" ht="15.6">
      <c r="A5" s="30" t="str">
        <v>Indianapolis - BA Speedway</v>
      </c>
      <c r="B5" s="31" t="str">
        <v>IN</v>
      </c>
      <c r="C5" s="11">
        <v>1631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2"/>
    </row>
    <row r="6" spans="1:12" ht="15.6">
      <c r="A6" s="28" t="str">
        <v>Greenwood - BA</v>
      </c>
      <c r="B6" s="29" t="str">
        <v>IN</v>
      </c>
      <c r="C6" s="24">
        <v>705.3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9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2"/>
    </row>
    <row r="7" spans="1:12" ht="15.6">
      <c r="A7" s="30" t="str">
        <v>West Chester - BA</v>
      </c>
      <c r="B7" s="31" t="str">
        <v>OH</v>
      </c>
      <c r="C7" s="11">
        <v>1456</v>
      </c>
      <c r="D7" s="18" t="s">
        <v>22</v>
      </c>
      <c r="E7" s="18" t="str">
        <f t="shared" si="0"/>
        <v/>
      </c>
      <c r="F7" s="19" t="str">
        <f t="shared" si="3"/>
        <v/>
      </c>
      <c r="G7" s="60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2"/>
    </row>
    <row r="8" spans="1:12" ht="15.6">
      <c r="A8" s="28" t="str">
        <v>Cincinnati - BA MLK and Burnet</v>
      </c>
      <c r="B8" s="29" t="str">
        <v>OH</v>
      </c>
      <c r="C8" s="24">
        <v>2057.6999999999998</v>
      </c>
      <c r="D8" s="13" t="s">
        <v>22</v>
      </c>
      <c r="E8" s="13" t="str">
        <f t="shared" si="0"/>
        <v/>
      </c>
      <c r="F8" s="14" t="str">
        <f t="shared" si="3"/>
        <v/>
      </c>
      <c r="G8" s="59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2"/>
    </row>
    <row r="9" spans="1:12" ht="15.6">
      <c r="A9" s="30" t="str">
        <v>Columbus - BA Harrisburg Pike</v>
      </c>
      <c r="B9" s="31" t="str">
        <v>OH</v>
      </c>
      <c r="C9" s="11">
        <v>1725.1</v>
      </c>
      <c r="D9" s="18" t="s">
        <v>22</v>
      </c>
      <c r="E9" s="18" t="str">
        <f t="shared" si="0"/>
        <v/>
      </c>
      <c r="F9" s="19" t="str">
        <f t="shared" si="3"/>
        <v/>
      </c>
      <c r="G9" s="60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2"/>
    </row>
    <row r="10" spans="1:12" ht="28.9">
      <c r="A10" s="28" t="str">
        <v>Cincinnati - BA Hyde Pk Plaza</v>
      </c>
      <c r="B10" s="29" t="str">
        <v>OH</v>
      </c>
      <c r="C10" s="24">
        <v>2090.6999999999998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59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3" t="s">
        <v>46</v>
      </c>
      <c r="L10" s="72"/>
    </row>
    <row r="11" spans="1:12" ht="15.6">
      <c r="A11" s="30" t="str">
        <v>Cleveland - BA Carnegie &amp; 79th</v>
      </c>
      <c r="B11" s="31" t="str">
        <v>OH</v>
      </c>
      <c r="C11" s="11">
        <v>1550.1</v>
      </c>
      <c r="D11" s="18" t="s">
        <v>22</v>
      </c>
      <c r="E11" s="18" t="str">
        <f t="shared" si="0"/>
        <v/>
      </c>
      <c r="F11" s="19" t="str">
        <f t="shared" si="3"/>
        <v/>
      </c>
      <c r="G11" s="60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2"/>
    </row>
    <row r="12" spans="1:12" ht="15.6">
      <c r="A12" s="28" t="str">
        <v>Cincinnati - BA Sharonville</v>
      </c>
      <c r="B12" s="29" t="str">
        <v>OH</v>
      </c>
      <c r="C12" s="24">
        <v>1572.1</v>
      </c>
      <c r="D12" s="13" t="s">
        <v>22</v>
      </c>
      <c r="E12" s="13" t="str">
        <f t="shared" si="0"/>
        <v/>
      </c>
      <c r="F12" s="14" t="str">
        <f t="shared" si="3"/>
        <v/>
      </c>
      <c r="G12" s="59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2"/>
    </row>
    <row r="13" spans="1:12" ht="15.6">
      <c r="A13" s="30" t="str">
        <v>Zionsville - BA</v>
      </c>
      <c r="B13" s="31" t="str">
        <v>IN</v>
      </c>
      <c r="C13" s="11">
        <v>2949.7</v>
      </c>
      <c r="D13" s="18" t="s">
        <v>22</v>
      </c>
      <c r="E13" s="18" t="str">
        <f t="shared" si="0"/>
        <v/>
      </c>
      <c r="F13" s="19" t="str">
        <f t="shared" si="3"/>
        <v/>
      </c>
      <c r="G13" s="60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2"/>
    </row>
    <row r="14" spans="1:12" ht="15.6">
      <c r="A14" s="28" t="str">
        <v>Columbus - BA  Eastgate</v>
      </c>
      <c r="B14" s="29" t="str">
        <v>OH</v>
      </c>
      <c r="C14" s="24">
        <v>1544.9</v>
      </c>
      <c r="D14" s="13" t="s">
        <v>22</v>
      </c>
      <c r="E14" s="13" t="str">
        <f t="shared" si="0"/>
        <v/>
      </c>
      <c r="F14" s="14" t="str">
        <f t="shared" si="3"/>
        <v/>
      </c>
      <c r="G14" s="59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2"/>
    </row>
    <row r="15" spans="1:12" ht="28.9">
      <c r="A15" s="30" t="str">
        <v>Columbus - BA Eastmoor</v>
      </c>
      <c r="B15" s="31" t="str">
        <v>OH</v>
      </c>
      <c r="C15" s="11">
        <v>2466.8000000000002</v>
      </c>
      <c r="D15" s="18" t="s">
        <v>22</v>
      </c>
      <c r="E15" s="18" t="str">
        <f t="shared" si="0"/>
        <v/>
      </c>
      <c r="F15" s="19" t="str">
        <f t="shared" si="3"/>
        <v/>
      </c>
      <c r="G15" s="60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4" t="s">
        <v>63</v>
      </c>
      <c r="L15" s="73" t="s">
        <v>34</v>
      </c>
    </row>
    <row r="16" spans="1:12" ht="15.6">
      <c r="A16" s="28" t="str">
        <v>Brooklyn - BA Canarsie</v>
      </c>
      <c r="B16" s="29" t="str">
        <v>NY</v>
      </c>
      <c r="C16" s="24"/>
      <c r="D16" s="13" t="s">
        <v>22</v>
      </c>
      <c r="E16" s="13"/>
      <c r="F16" s="14"/>
      <c r="G16" s="59" t="s">
        <v>22</v>
      </c>
      <c r="H16" s="15"/>
      <c r="I16" s="16" t="str">
        <f t="shared" si="2"/>
        <v/>
      </c>
      <c r="J16" s="41"/>
      <c r="K16" s="41"/>
      <c r="L16" s="72"/>
    </row>
    <row r="17" spans="1:12" ht="28.9">
      <c r="A17" s="30" t="str">
        <v>Pittsburg - BA Fox Chapel</v>
      </c>
      <c r="B17" s="31" t="str">
        <v>PA</v>
      </c>
      <c r="C17" s="11">
        <v>744.3</v>
      </c>
      <c r="D17" s="18" t="s">
        <v>22</v>
      </c>
      <c r="E17" s="18" t="str">
        <f t="shared" si="0"/>
        <v/>
      </c>
      <c r="F17" s="19" t="str">
        <f t="shared" si="3"/>
        <v/>
      </c>
      <c r="G17" s="60" t="s">
        <v>22</v>
      </c>
      <c r="H17" s="20" t="str">
        <f t="shared" si="1"/>
        <v/>
      </c>
      <c r="I17" s="19" t="str">
        <f t="shared" si="2"/>
        <v/>
      </c>
      <c r="J17" s="42" t="s">
        <v>76</v>
      </c>
      <c r="K17" s="64" t="s">
        <v>65</v>
      </c>
      <c r="L17" s="72"/>
    </row>
    <row r="18" spans="1:12" ht="12.75" customHeight="1">
      <c r="A18" s="28" t="str">
        <v>New York - BA Two Bryant Pk</v>
      </c>
      <c r="B18" s="29" t="str">
        <v>NY</v>
      </c>
      <c r="C18" s="24"/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59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  <c r="L18" s="72"/>
    </row>
    <row r="19" spans="1:12" ht="15.6">
      <c r="A19" s="30" t="str">
        <v>Baltimore - BA Sudbrook Lane</v>
      </c>
      <c r="B19" s="31" t="str">
        <v>MD</v>
      </c>
      <c r="C19" s="11">
        <v>1726.9</v>
      </c>
      <c r="D19" s="18" t="s">
        <v>22</v>
      </c>
      <c r="E19" s="18" t="str">
        <f t="shared" si="4"/>
        <v/>
      </c>
      <c r="F19" s="19" t="str">
        <f t="shared" si="5"/>
        <v/>
      </c>
      <c r="G19" s="60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2"/>
    </row>
    <row r="20" spans="1:12" ht="15.6">
      <c r="A20" s="28" t="str">
        <v>Stamford - BA West Stamford</v>
      </c>
      <c r="B20" s="29" t="str">
        <v>CT</v>
      </c>
      <c r="C20" s="24">
        <v>1686.2</v>
      </c>
      <c r="D20" s="13" t="s">
        <v>22</v>
      </c>
      <c r="E20" s="13" t="str">
        <f t="shared" si="4"/>
        <v/>
      </c>
      <c r="F20" s="14" t="str">
        <f t="shared" si="5"/>
        <v/>
      </c>
      <c r="G20" s="59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2"/>
    </row>
    <row r="21" spans="1:12" ht="15.6">
      <c r="A21" s="30" t="str">
        <v>Hanover - BA Arundel Mills</v>
      </c>
      <c r="B21" s="31" t="str">
        <v>MD</v>
      </c>
      <c r="C21" s="11">
        <v>2287.8000000000002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60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2"/>
    </row>
    <row r="22" spans="1:12" ht="15.6">
      <c r="A22" s="28" t="str">
        <v>Glen Cove - BA Forest Ave</v>
      </c>
      <c r="B22" s="29" t="str">
        <v>NY</v>
      </c>
      <c r="C22" s="24"/>
      <c r="D22" s="13" t="s">
        <v>22</v>
      </c>
      <c r="E22" s="13" t="str">
        <f t="shared" si="4"/>
        <v/>
      </c>
      <c r="F22" s="14" t="str">
        <f t="shared" si="5"/>
        <v/>
      </c>
      <c r="G22" s="59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2"/>
    </row>
    <row r="23" spans="1:12" ht="15.6">
      <c r="A23" s="30" t="str">
        <v>Brooklyn - BA North 4th &amp; Berry</v>
      </c>
      <c r="B23" s="31" t="str">
        <v>NY</v>
      </c>
      <c r="C23" s="11">
        <v>2397.6999999999998</v>
      </c>
      <c r="D23" s="18" t="s">
        <v>22</v>
      </c>
      <c r="E23" s="18"/>
      <c r="F23" s="19" t="s">
        <v>68</v>
      </c>
      <c r="G23" s="60" t="s">
        <v>22</v>
      </c>
      <c r="H23" s="20"/>
      <c r="I23" s="19" t="str">
        <f t="shared" si="7"/>
        <v/>
      </c>
      <c r="J23" s="42"/>
      <c r="K23" s="43"/>
      <c r="L23" s="72"/>
    </row>
    <row r="24" spans="1:12" ht="28.9">
      <c r="A24" s="28" t="str">
        <v>Midlothian - BA Brandermill</v>
      </c>
      <c r="B24" s="29" t="str">
        <v>VA</v>
      </c>
      <c r="C24" s="24">
        <v>1408.4</v>
      </c>
      <c r="D24" s="13" t="s">
        <v>22</v>
      </c>
      <c r="E24" s="13" t="str">
        <f t="shared" si="4"/>
        <v/>
      </c>
      <c r="F24" s="14" t="str">
        <f t="shared" si="5"/>
        <v/>
      </c>
      <c r="G24" s="59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3" t="s">
        <v>70</v>
      </c>
      <c r="L24" s="72"/>
    </row>
    <row r="25" spans="1:12" ht="15.6">
      <c r="A25" s="30" t="str">
        <v>Lexington - BA North Park</v>
      </c>
      <c r="B25" s="31" t="str">
        <v>KY</v>
      </c>
      <c r="C25" s="11">
        <v>1409.3</v>
      </c>
      <c r="D25" s="18" t="s">
        <v>22</v>
      </c>
      <c r="E25" s="18" t="str">
        <f t="shared" si="4"/>
        <v/>
      </c>
      <c r="F25" s="19" t="str">
        <f t="shared" si="5"/>
        <v/>
      </c>
      <c r="G25" s="60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2"/>
    </row>
    <row r="26" spans="1:12" ht="28.9">
      <c r="A26" s="28" t="str">
        <v>Coventry - BA ATM</v>
      </c>
      <c r="B26" s="29" t="str">
        <v>RI</v>
      </c>
      <c r="C26" s="24">
        <v>103.7</v>
      </c>
      <c r="D26" s="13" t="s">
        <v>22</v>
      </c>
      <c r="E26" s="13"/>
      <c r="F26" s="14"/>
      <c r="G26" s="59" t="s">
        <v>22</v>
      </c>
      <c r="H26" s="15"/>
      <c r="I26" s="16"/>
      <c r="J26" s="41" t="s">
        <v>71</v>
      </c>
      <c r="K26" s="63" t="s">
        <v>42</v>
      </c>
      <c r="L26" s="72"/>
    </row>
    <row r="27" spans="1:12" ht="15.6">
      <c r="A27" s="17" t="str">
        <v>Woodbridge - BA ATM</v>
      </c>
      <c r="B27" s="10" t="str">
        <v>VA</v>
      </c>
      <c r="C27" s="11">
        <v>99.6</v>
      </c>
      <c r="D27" s="18" t="s">
        <v>22</v>
      </c>
      <c r="E27" s="18"/>
      <c r="F27" s="19"/>
      <c r="G27" s="60" t="s">
        <v>22</v>
      </c>
      <c r="H27" s="20"/>
      <c r="I27" s="19"/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8" priority="5" stopIfTrue="1" operator="lessThanOrEqual">
      <formula>-0.1</formula>
    </cfRule>
    <cfRule type="expression" dxfId="27" priority="6">
      <formula>AND(ISNUMBER(F2), F2&gt;=0.1)</formula>
    </cfRule>
  </conditionalFormatting>
  <conditionalFormatting sqref="F4:F86 I4:I86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10" r:id="rId1" display="https://us3.assetplanner.com/service_request?ID=097110" xr:uid="{FE715EA7-C583-4BAE-BAC7-A27389182B22}"/>
    <hyperlink ref="K15" r:id="rId2" display="https://us3.assetplanner.com/service_request?ID=095094" xr:uid="{6661E721-35D0-4FD1-AAAC-422232F0EC98}"/>
    <hyperlink ref="L15" r:id="rId3" display="https://us3.assetplanner.com/service_request?ID=095335" xr:uid="{C09F82E0-901A-4737-BFE6-5CAB392E3C65}"/>
    <hyperlink ref="K17" r:id="rId4" display="https://us3.assetplanner.com/service_request?ID=101229" xr:uid="{9488E6A0-4D0D-4F14-8D05-7B020CEBF8FE}"/>
    <hyperlink ref="K24" r:id="rId5" display="https://us3.assetplanner.com/service_request?ID=088366" xr:uid="{CFB73227-AA47-44E6-8D38-1C07C2D203D8}"/>
    <hyperlink ref="K26" r:id="rId6" display="https://us3.assetplanner.com/service_request?ID=094910" xr:uid="{4D61E0F4-1BF4-4017-803F-173D48CC5B6D}"/>
  </hyperlinks>
  <pageMargins left="0.4" right="0.7" top="0.25" bottom="0.25" header="0.3" footer="0.3"/>
  <pageSetup scale="48" fitToHeight="99" orientation="landscape" r:id="rId7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28"/>
  <sheetViews>
    <sheetView zoomScale="70" zoomScaleNormal="70" workbookViewId="0">
      <pane xSplit="2" ySplit="3" topLeftCell="C4" activePane="bottomRight" state="frozen"/>
      <selection pane="bottomRight" activeCell="H32" sqref="H32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8"/>
  </cols>
  <sheetData>
    <row r="1" spans="1:12" ht="19.5" customHeight="1">
      <c r="A1" s="85" t="str" cm="1">
        <f t="array" ref="A1">portfolio</f>
        <v>CBRE</v>
      </c>
      <c r="B1" s="85"/>
      <c r="C1" s="85"/>
      <c r="D1" s="86" t="s">
        <v>77</v>
      </c>
      <c r="E1" s="86"/>
      <c r="F1" s="86"/>
      <c r="G1" s="84" t="s">
        <v>78</v>
      </c>
      <c r="H1" s="84"/>
      <c r="I1" s="84"/>
      <c r="J1" s="4"/>
      <c r="K1" s="4"/>
    </row>
    <row r="2" spans="1:12" ht="19.5" customHeight="1">
      <c r="A2" s="87" t="s">
        <v>2</v>
      </c>
      <c r="B2" s="87"/>
      <c r="C2" s="5">
        <f>SUM(C4:C86)</f>
        <v>47674.700000000004</v>
      </c>
      <c r="D2" s="5">
        <f>SUM(D4:D86)</f>
        <v>0</v>
      </c>
      <c r="E2" s="5">
        <f>C2-D2</f>
        <v>47674.700000000004</v>
      </c>
      <c r="F2" s="6">
        <f>IFERROR(E2/D2, 0)</f>
        <v>0</v>
      </c>
      <c r="G2" s="5">
        <f>SUM(G4:G86)</f>
        <v>0</v>
      </c>
      <c r="H2" s="7">
        <f>C2-G2</f>
        <v>47674.700000000004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3011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9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72"/>
    </row>
    <row r="5" spans="1:12" ht="15.6">
      <c r="A5" s="30" t="str">
        <v>Indianapolis - BA Speedway</v>
      </c>
      <c r="B5" s="31" t="str">
        <v>IN</v>
      </c>
      <c r="C5" s="11">
        <v>1749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72"/>
    </row>
    <row r="6" spans="1:12" ht="15.6">
      <c r="A6" s="28" t="str">
        <v>Greenwood - BA</v>
      </c>
      <c r="B6" s="29" t="str">
        <v>IN</v>
      </c>
      <c r="C6" s="24">
        <v>780.9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59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72"/>
    </row>
    <row r="7" spans="1:12" ht="15.6">
      <c r="A7" s="30" t="str">
        <v>West Chester - BA</v>
      </c>
      <c r="B7" s="31" t="str">
        <v>OH</v>
      </c>
      <c r="C7" s="11">
        <v>1678</v>
      </c>
      <c r="D7" s="18" t="s">
        <v>22</v>
      </c>
      <c r="E7" s="18" t="str">
        <f t="shared" si="0"/>
        <v/>
      </c>
      <c r="F7" s="19" t="str">
        <f t="shared" si="3"/>
        <v/>
      </c>
      <c r="G7" s="60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72"/>
    </row>
    <row r="8" spans="1:12" ht="15.6">
      <c r="A8" s="28" t="str">
        <v>Cincinnati - BA MLK and Burnet</v>
      </c>
      <c r="B8" s="29" t="str">
        <v>OH</v>
      </c>
      <c r="C8" s="24">
        <v>2391</v>
      </c>
      <c r="D8" s="13" t="s">
        <v>22</v>
      </c>
      <c r="E8" s="13" t="str">
        <f t="shared" si="0"/>
        <v/>
      </c>
      <c r="F8" s="14" t="str">
        <f t="shared" si="3"/>
        <v/>
      </c>
      <c r="G8" s="59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72"/>
    </row>
    <row r="9" spans="1:12" ht="15.6">
      <c r="A9" s="30" t="str">
        <v>Columbus - BA Harrisburg Pike</v>
      </c>
      <c r="B9" s="31" t="str">
        <v>OH</v>
      </c>
      <c r="C9" s="11">
        <v>1965</v>
      </c>
      <c r="D9" s="18" t="s">
        <v>22</v>
      </c>
      <c r="E9" s="18" t="str">
        <f t="shared" si="0"/>
        <v/>
      </c>
      <c r="F9" s="19" t="str">
        <f t="shared" si="3"/>
        <v/>
      </c>
      <c r="G9" s="60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72"/>
    </row>
    <row r="10" spans="1:12" ht="28.9">
      <c r="A10" s="28" t="str">
        <v>Cincinnati - BA Hyde Pk Plaza</v>
      </c>
      <c r="B10" s="29" t="str">
        <v>OH</v>
      </c>
      <c r="C10" s="24">
        <v>2415</v>
      </c>
      <c r="D10" s="13" t="s">
        <v>22</v>
      </c>
      <c r="E10" s="13" t="str">
        <f t="shared" si="0"/>
        <v/>
      </c>
      <c r="F10" s="14" t="str">
        <f t="shared" si="3"/>
        <v/>
      </c>
      <c r="G10" s="59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3" t="s">
        <v>79</v>
      </c>
      <c r="L10" s="72"/>
    </row>
    <row r="11" spans="1:12" ht="15.6">
      <c r="A11" s="30" t="str">
        <v>Cleveland - BA Carnegie &amp; 79th</v>
      </c>
      <c r="B11" s="31" t="str">
        <v>OH</v>
      </c>
      <c r="C11" s="11">
        <v>1807</v>
      </c>
      <c r="D11" s="18" t="s">
        <v>22</v>
      </c>
      <c r="E11" s="18" t="str">
        <f t="shared" si="0"/>
        <v/>
      </c>
      <c r="F11" s="19" t="str">
        <f t="shared" si="3"/>
        <v/>
      </c>
      <c r="G11" s="60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72"/>
    </row>
    <row r="12" spans="1:12" ht="15.6">
      <c r="A12" s="28" t="str">
        <v>Cincinnati - BA Sharonville</v>
      </c>
      <c r="B12" s="29" t="str">
        <v>OH</v>
      </c>
      <c r="C12" s="24">
        <v>1818</v>
      </c>
      <c r="D12" s="13" t="s">
        <v>22</v>
      </c>
      <c r="E12" s="13" t="str">
        <f t="shared" si="0"/>
        <v/>
      </c>
      <c r="F12" s="14" t="str">
        <f t="shared" si="3"/>
        <v/>
      </c>
      <c r="G12" s="59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72"/>
    </row>
    <row r="13" spans="1:12" ht="15.6">
      <c r="A13" s="30" t="str">
        <v>Zionsville - BA</v>
      </c>
      <c r="B13" s="31" t="str">
        <v>IN</v>
      </c>
      <c r="C13" s="11">
        <v>3153</v>
      </c>
      <c r="D13" s="18" t="s">
        <v>22</v>
      </c>
      <c r="E13" s="18" t="str">
        <f t="shared" si="0"/>
        <v/>
      </c>
      <c r="F13" s="19" t="str">
        <f t="shared" si="3"/>
        <v/>
      </c>
      <c r="G13" s="60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72"/>
    </row>
    <row r="14" spans="1:12" ht="15.6">
      <c r="A14" s="28" t="str">
        <v>Columbus - BA  Eastgate</v>
      </c>
      <c r="B14" s="29" t="str">
        <v>OH</v>
      </c>
      <c r="C14" s="24">
        <v>1774</v>
      </c>
      <c r="D14" s="13" t="s">
        <v>22</v>
      </c>
      <c r="E14" s="13" t="str">
        <f t="shared" si="0"/>
        <v/>
      </c>
      <c r="F14" s="14" t="str">
        <f t="shared" si="3"/>
        <v/>
      </c>
      <c r="G14" s="59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72"/>
    </row>
    <row r="15" spans="1:12" ht="28.9">
      <c r="A15" s="30" t="str">
        <v>Columbus - BA Eastmoor</v>
      </c>
      <c r="B15" s="31" t="str">
        <v>OH</v>
      </c>
      <c r="C15" s="11">
        <v>2861</v>
      </c>
      <c r="D15" s="18" t="s">
        <v>22</v>
      </c>
      <c r="E15" s="18" t="str">
        <f t="shared" si="0"/>
        <v/>
      </c>
      <c r="F15" s="19" t="str">
        <f t="shared" si="3"/>
        <v/>
      </c>
      <c r="G15" s="60" t="s">
        <v>22</v>
      </c>
      <c r="H15" s="20" t="str">
        <f t="shared" si="1"/>
        <v/>
      </c>
      <c r="I15" s="19" t="str">
        <f t="shared" si="2"/>
        <v/>
      </c>
      <c r="J15" s="42" t="s">
        <v>62</v>
      </c>
      <c r="K15" s="64" t="s">
        <v>63</v>
      </c>
      <c r="L15" s="73" t="s">
        <v>34</v>
      </c>
    </row>
    <row r="16" spans="1:12" ht="15.6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/>
      <c r="F16" s="14"/>
      <c r="G16" s="59" t="s">
        <v>22</v>
      </c>
      <c r="H16" s="15"/>
      <c r="I16" s="16" t="str">
        <f t="shared" si="2"/>
        <v/>
      </c>
      <c r="J16" s="41"/>
      <c r="K16" s="41"/>
      <c r="L16" s="72"/>
    </row>
    <row r="17" spans="1:12" ht="15.6">
      <c r="A17" s="30" t="str">
        <v>Pittsburg - BA Fox Chapel</v>
      </c>
      <c r="B17" s="31" t="str">
        <v>PA</v>
      </c>
      <c r="C17" s="11">
        <v>2391</v>
      </c>
      <c r="D17" s="18" t="s">
        <v>22</v>
      </c>
      <c r="E17" s="18" t="str">
        <f t="shared" si="0"/>
        <v/>
      </c>
      <c r="F17" s="19" t="str">
        <f t="shared" si="3"/>
        <v/>
      </c>
      <c r="G17" s="60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72"/>
    </row>
    <row r="18" spans="1:12" ht="12.75" customHeight="1">
      <c r="A18" s="28" t="str">
        <v>New York - BA Two Bryant Pk</v>
      </c>
      <c r="B18" s="29" t="str">
        <v>NY</v>
      </c>
      <c r="C18" s="24">
        <v>0</v>
      </c>
      <c r="D18" s="13" t="s">
        <v>22</v>
      </c>
      <c r="E18" s="13" t="str">
        <f t="shared" ref="E18:E27" si="4">IF(AND(ISNUMBER(C18),ISNUMBER(D18)), C18-D18, "")</f>
        <v/>
      </c>
      <c r="F18" s="14" t="str">
        <f t="shared" ref="F18:F27" si="5">IFERROR(E18/D18, "")</f>
        <v/>
      </c>
      <c r="G18" s="59" t="s">
        <v>22</v>
      </c>
      <c r="H18" s="15" t="str">
        <f t="shared" ref="H18:H27" si="6">IF(AND(ISNUMBER(C18),ISNUMBER(G18)), C18-G18, "")</f>
        <v/>
      </c>
      <c r="I18" s="16" t="str">
        <f t="shared" ref="I18:I27" si="7">IFERROR(H18/G18, "")</f>
        <v/>
      </c>
      <c r="J18" s="41"/>
      <c r="K18" s="41"/>
      <c r="L18" s="72"/>
    </row>
    <row r="19" spans="1:12" ht="15.6">
      <c r="A19" s="30" t="str">
        <v>Baltimore - BA Sudbrook Lane</v>
      </c>
      <c r="B19" s="31" t="str">
        <v>MD</v>
      </c>
      <c r="C19" s="11">
        <v>1902</v>
      </c>
      <c r="D19" s="18" t="s">
        <v>22</v>
      </c>
      <c r="E19" s="18" t="str">
        <f t="shared" si="4"/>
        <v/>
      </c>
      <c r="F19" s="19" t="str">
        <f t="shared" si="5"/>
        <v/>
      </c>
      <c r="G19" s="60" t="s">
        <v>22</v>
      </c>
      <c r="H19" s="20" t="str">
        <f t="shared" si="6"/>
        <v/>
      </c>
      <c r="I19" s="19" t="str">
        <f t="shared" si="7"/>
        <v/>
      </c>
      <c r="J19" s="42"/>
      <c r="K19" s="42"/>
      <c r="L19" s="72"/>
    </row>
    <row r="20" spans="1:12" ht="15.6">
      <c r="A20" s="28" t="str">
        <v>Stamford - BA West Stamford</v>
      </c>
      <c r="B20" s="29" t="str">
        <v>CT</v>
      </c>
      <c r="C20" s="24">
        <v>1910</v>
      </c>
      <c r="D20" s="13" t="s">
        <v>22</v>
      </c>
      <c r="E20" s="13" t="str">
        <f t="shared" si="4"/>
        <v/>
      </c>
      <c r="F20" s="14" t="str">
        <f t="shared" si="5"/>
        <v/>
      </c>
      <c r="G20" s="59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72"/>
    </row>
    <row r="21" spans="1:12" ht="15.6">
      <c r="A21" s="30" t="str">
        <v>Hanover - BA Arundel Mills</v>
      </c>
      <c r="B21" s="31" t="str">
        <v>MD</v>
      </c>
      <c r="C21" s="11">
        <v>2491</v>
      </c>
      <c r="D21" s="18" t="s">
        <v>22</v>
      </c>
      <c r="E21" s="18" t="str">
        <f t="shared" si="4"/>
        <v/>
      </c>
      <c r="F21" s="19" t="str">
        <f t="shared" si="5"/>
        <v/>
      </c>
      <c r="G21" s="60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72"/>
    </row>
    <row r="22" spans="1:12" ht="15.6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59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72"/>
    </row>
    <row r="23" spans="1:12" ht="15.6">
      <c r="A23" s="30" t="str">
        <v>Brooklyn - BA North 4th &amp; Berry</v>
      </c>
      <c r="B23" s="31" t="str">
        <v>NY</v>
      </c>
      <c r="C23" s="11">
        <v>2539</v>
      </c>
      <c r="D23" s="18" t="s">
        <v>22</v>
      </c>
      <c r="E23" s="18"/>
      <c r="F23" s="19" t="s">
        <v>68</v>
      </c>
      <c r="G23" s="60" t="s">
        <v>22</v>
      </c>
      <c r="H23" s="20"/>
      <c r="I23" s="19" t="str">
        <f t="shared" si="7"/>
        <v/>
      </c>
      <c r="J23" s="42"/>
      <c r="K23" s="43"/>
      <c r="L23" s="72"/>
    </row>
    <row r="24" spans="1:12" ht="28.9">
      <c r="A24" s="28" t="str">
        <v>Midlothian - BA Brandermill</v>
      </c>
      <c r="B24" s="29" t="str">
        <v>VA</v>
      </c>
      <c r="C24" s="24">
        <v>1625</v>
      </c>
      <c r="D24" s="13" t="s">
        <v>22</v>
      </c>
      <c r="E24" s="13" t="str">
        <f t="shared" si="4"/>
        <v/>
      </c>
      <c r="F24" s="14" t="str">
        <f t="shared" si="5"/>
        <v/>
      </c>
      <c r="G24" s="59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3" t="s">
        <v>70</v>
      </c>
      <c r="L24" s="72"/>
    </row>
    <row r="25" spans="1:12" ht="15.6">
      <c r="A25" s="30" t="str">
        <v>Lexington - BA North Park</v>
      </c>
      <c r="B25" s="31" t="str">
        <v>KY</v>
      </c>
      <c r="C25" s="11">
        <v>1492</v>
      </c>
      <c r="D25" s="18" t="s">
        <v>22</v>
      </c>
      <c r="E25" s="18" t="str">
        <f t="shared" si="4"/>
        <v/>
      </c>
      <c r="F25" s="19" t="str">
        <f t="shared" si="5"/>
        <v/>
      </c>
      <c r="G25" s="60" t="s">
        <v>22</v>
      </c>
      <c r="H25" s="20" t="str">
        <f t="shared" si="6"/>
        <v/>
      </c>
      <c r="I25" s="19" t="str">
        <f t="shared" si="7"/>
        <v/>
      </c>
      <c r="J25" s="42"/>
      <c r="K25" s="42"/>
      <c r="L25" s="72"/>
    </row>
    <row r="26" spans="1:12" ht="28.9">
      <c r="A26" s="28" t="str">
        <v>Coventry - BA ATM</v>
      </c>
      <c r="B26" s="29" t="str">
        <v>RI</v>
      </c>
      <c r="C26" s="24">
        <v>7809</v>
      </c>
      <c r="D26" s="13" t="s">
        <v>22</v>
      </c>
      <c r="E26" s="13" t="str">
        <f t="shared" si="4"/>
        <v/>
      </c>
      <c r="F26" s="14" t="str">
        <f t="shared" si="5"/>
        <v/>
      </c>
      <c r="G26" s="59" t="s">
        <v>22</v>
      </c>
      <c r="H26" s="15" t="str">
        <f t="shared" si="6"/>
        <v/>
      </c>
      <c r="I26" s="16" t="str">
        <f t="shared" si="7"/>
        <v/>
      </c>
      <c r="J26" s="41" t="s">
        <v>71</v>
      </c>
      <c r="K26" s="63" t="s">
        <v>42</v>
      </c>
      <c r="L26" s="72"/>
    </row>
    <row r="27" spans="1:12" ht="15.6">
      <c r="A27" s="17" t="str">
        <v>Woodbridge - BA ATM</v>
      </c>
      <c r="B27" s="10" t="str">
        <v>VA</v>
      </c>
      <c r="C27" s="11">
        <v>112.8</v>
      </c>
      <c r="D27" s="18" t="s">
        <v>22</v>
      </c>
      <c r="E27" s="18" t="str">
        <f t="shared" si="4"/>
        <v/>
      </c>
      <c r="F27" s="19" t="str">
        <f t="shared" si="5"/>
        <v/>
      </c>
      <c r="G27" s="60" t="s">
        <v>22</v>
      </c>
      <c r="H27" s="20" t="str">
        <f t="shared" si="6"/>
        <v/>
      </c>
      <c r="I27" s="19" t="str">
        <f t="shared" si="7"/>
        <v/>
      </c>
    </row>
    <row r="28" spans="1:12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2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2" ht="14.45">
      <c r="A30" s="21"/>
      <c r="B30" s="33"/>
      <c r="C30" s="21"/>
      <c r="D30" s="21"/>
      <c r="E30" s="21"/>
      <c r="F30" s="22"/>
      <c r="H30" s="21"/>
      <c r="I30" s="22"/>
      <c r="J30" s="21"/>
      <c r="K30" s="21"/>
    </row>
    <row r="31" spans="1:12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2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F4:F86 I4:I86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10" r:id="rId1" display="https://us3.assetplanner.com/service_request?ID=097110" xr:uid="{43B7FE34-C823-4E3E-8C1D-F72AAF9B2F39}"/>
    <hyperlink ref="K15" r:id="rId2" display="https://us3.assetplanner.com/service_request?ID=095094" xr:uid="{FEA8277B-A2A6-4B2A-9AD1-46DF4C3FB568}"/>
    <hyperlink ref="L15" r:id="rId3" display="https://us3.assetplanner.com/service_request?ID=095335" xr:uid="{BE424951-8B90-476B-B5A5-8A581DBD9C5B}"/>
    <hyperlink ref="K24" r:id="rId4" display="https://us3.assetplanner.com/service_request?ID=088366" xr:uid="{E62F1C21-00E0-4A59-BB86-A2103E650AF8}"/>
    <hyperlink ref="K26" r:id="rId5" display="https://us3.assetplanner.com/service_request?ID=094910" xr:uid="{8216232C-3979-40BF-ACBB-E6C92B2FD561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9"/>
  <sheetViews>
    <sheetView tabSelected="1" zoomScale="70" zoomScaleNormal="70" workbookViewId="0">
      <pane xSplit="2" ySplit="3" topLeftCell="D4" activePane="bottomRight" state="frozen"/>
      <selection pane="bottomRight" activeCell="N16" sqref="N16"/>
      <selection pane="bottomLeft" activeCell="I28" sqref="I28"/>
      <selection pane="topRight" activeCell="I28" sqref="I28"/>
    </sheetView>
  </sheetViews>
  <sheetFormatPr defaultRowHeight="14.2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140625" style="66"/>
  </cols>
  <sheetData>
    <row r="1" spans="1:12" ht="19.5" customHeight="1">
      <c r="A1" s="85" t="str" cm="1">
        <f t="array" ref="A1">portfolio</f>
        <v>CBRE</v>
      </c>
      <c r="B1" s="85"/>
      <c r="C1" s="85"/>
      <c r="D1" s="86" t="s">
        <v>80</v>
      </c>
      <c r="E1" s="86"/>
      <c r="F1" s="86"/>
      <c r="G1" s="84" t="s">
        <v>81</v>
      </c>
      <c r="H1" s="84"/>
      <c r="I1" s="84"/>
      <c r="J1" s="4"/>
      <c r="K1" s="4"/>
    </row>
    <row r="2" spans="1:12" ht="19.5" customHeight="1">
      <c r="A2" s="87" t="s">
        <v>2</v>
      </c>
      <c r="B2" s="87"/>
      <c r="C2" s="5">
        <f>SUM(C4:C87)</f>
        <v>42322.14</v>
      </c>
      <c r="D2" s="5">
        <f>SUM(D4:D87)</f>
        <v>0</v>
      </c>
      <c r="E2" s="5">
        <f>C2-D2</f>
        <v>42322.14</v>
      </c>
      <c r="F2" s="6">
        <f>IFERROR(E2/D2, 0)</f>
        <v>0</v>
      </c>
      <c r="G2" s="5">
        <f>SUM(G4:G87)</f>
        <v>0</v>
      </c>
      <c r="H2" s="7">
        <f>C2-G2</f>
        <v>42322.14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75">
      <c r="A4" s="32" t="str" cm="1">
        <f t="array" ref="A4:A27">Sites[Site]</f>
        <v>East Hartford - BA</v>
      </c>
      <c r="B4" s="29" t="str" cm="1">
        <f t="array" ref="B4:B27">Sites[State]</f>
        <v>CT</v>
      </c>
      <c r="C4" s="24">
        <v>3311.538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9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75">
      <c r="A5" s="30" t="str">
        <v>Indianapolis - BA Speedway</v>
      </c>
      <c r="B5" s="31" t="str">
        <v>IN</v>
      </c>
      <c r="C5" s="11">
        <v>1721.1890000000001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8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 t="s">
        <v>82</v>
      </c>
      <c r="K5" s="70" t="s">
        <v>83</v>
      </c>
    </row>
    <row r="6" spans="1:12" ht="15.75">
      <c r="A6" s="28" t="str">
        <v>Greenwood - BA</v>
      </c>
      <c r="B6" s="29" t="str">
        <v>IN</v>
      </c>
      <c r="C6" s="24">
        <v>786.72900000000004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81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75">
      <c r="A7" s="30" t="str">
        <v>West Chester - BA</v>
      </c>
      <c r="B7" s="31" t="str">
        <v>OH</v>
      </c>
      <c r="C7" s="11">
        <v>1677.5820000000001</v>
      </c>
      <c r="D7" s="18" t="s">
        <v>22</v>
      </c>
      <c r="E7" s="18" t="str">
        <f t="shared" si="0"/>
        <v/>
      </c>
      <c r="F7" s="19" t="str">
        <f t="shared" si="3"/>
        <v/>
      </c>
      <c r="G7" s="82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75">
      <c r="A8" s="28" t="str">
        <v>Cincinnati - BA MLK and Burnet</v>
      </c>
      <c r="B8" s="29" t="str">
        <v>OH</v>
      </c>
      <c r="C8" s="24">
        <v>2384.3919999999998</v>
      </c>
      <c r="D8" s="13" t="s">
        <v>22</v>
      </c>
      <c r="E8" s="13" t="str">
        <f t="shared" si="0"/>
        <v/>
      </c>
      <c r="F8" s="14" t="str">
        <f t="shared" si="3"/>
        <v/>
      </c>
      <c r="G8" s="81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15.75">
      <c r="A9" s="30" t="str">
        <v>Columbus - BA Harrisburg Pike</v>
      </c>
      <c r="B9" s="31" t="str">
        <v>OH</v>
      </c>
      <c r="C9" s="11">
        <v>1995.4970000000001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82" t="s">
        <v>22</v>
      </c>
      <c r="H9" s="20" t="str">
        <f t="shared" si="1"/>
        <v/>
      </c>
      <c r="I9" s="19" t="str">
        <f t="shared" si="2"/>
        <v/>
      </c>
      <c r="J9" s="42"/>
      <c r="K9" s="53"/>
    </row>
    <row r="10" spans="1:12" ht="30.75">
      <c r="A10" s="28" t="str">
        <v>Cincinnati - BA Hyde Pk Plaza</v>
      </c>
      <c r="B10" s="29" t="str">
        <v>OH</v>
      </c>
      <c r="C10" s="24">
        <v>2350.7840000000001</v>
      </c>
      <c r="D10" s="13" t="s">
        <v>22</v>
      </c>
      <c r="E10" s="13" t="str">
        <f t="shared" si="0"/>
        <v/>
      </c>
      <c r="F10" s="14" t="str">
        <f t="shared" si="3"/>
        <v/>
      </c>
      <c r="G10" s="81" t="s">
        <v>22</v>
      </c>
      <c r="H10" s="15" t="str">
        <f t="shared" si="1"/>
        <v/>
      </c>
      <c r="I10" s="16" t="str">
        <f t="shared" si="2"/>
        <v/>
      </c>
      <c r="J10" s="41" t="s">
        <v>61</v>
      </c>
      <c r="K10" s="63" t="s">
        <v>46</v>
      </c>
    </row>
    <row r="11" spans="1:12" ht="15.75">
      <c r="A11" s="30" t="str">
        <v>Cleveland - BA Carnegie &amp; 79th</v>
      </c>
      <c r="B11" s="31" t="str">
        <v>OH</v>
      </c>
      <c r="C11" s="11">
        <v>1805.181</v>
      </c>
      <c r="D11" s="18" t="s">
        <v>22</v>
      </c>
      <c r="E11" s="18" t="str">
        <f t="shared" si="0"/>
        <v/>
      </c>
      <c r="F11" s="19" t="str">
        <f t="shared" si="3"/>
        <v/>
      </c>
      <c r="G11" s="82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2" ht="15.75">
      <c r="A12" s="28" t="str">
        <v>Cincinnati - BA Sharonville</v>
      </c>
      <c r="B12" s="29" t="str">
        <v>OH</v>
      </c>
      <c r="C12" s="24">
        <v>1812.521</v>
      </c>
      <c r="D12" s="13" t="s">
        <v>22</v>
      </c>
      <c r="E12" s="13" t="str">
        <f t="shared" si="0"/>
        <v/>
      </c>
      <c r="F12" s="14" t="str">
        <f t="shared" si="3"/>
        <v/>
      </c>
      <c r="G12" s="81" t="s">
        <v>22</v>
      </c>
      <c r="H12" s="15" t="str">
        <f t="shared" si="1"/>
        <v/>
      </c>
      <c r="I12" s="16" t="str">
        <f t="shared" si="2"/>
        <v/>
      </c>
      <c r="J12" s="41"/>
      <c r="K12" s="41"/>
    </row>
    <row r="13" spans="1:12" ht="15.75">
      <c r="A13" s="30" t="str">
        <v>Zionsville - BA</v>
      </c>
      <c r="B13" s="31" t="str">
        <v>IN</v>
      </c>
      <c r="C13" s="11">
        <v>3221.6729999999998</v>
      </c>
      <c r="D13" s="18" t="s">
        <v>22</v>
      </c>
      <c r="E13" s="18" t="str">
        <f t="shared" si="0"/>
        <v/>
      </c>
      <c r="F13" s="19" t="str">
        <f t="shared" si="3"/>
        <v/>
      </c>
      <c r="G13" s="82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75">
      <c r="A14" s="28" t="str">
        <v>Columbus - BA  Eastgate</v>
      </c>
      <c r="B14" s="29" t="str">
        <v>OH</v>
      </c>
      <c r="C14" s="24">
        <v>1830.5730000000001</v>
      </c>
      <c r="D14" s="13" t="s">
        <v>22</v>
      </c>
      <c r="E14" s="13" t="str">
        <f t="shared" si="0"/>
        <v/>
      </c>
      <c r="F14" s="14" t="str">
        <f t="shared" si="3"/>
        <v/>
      </c>
      <c r="G14" s="81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23.25">
      <c r="A15" s="30" t="str">
        <v>Columbus - BA Eastmoor</v>
      </c>
      <c r="B15" s="31" t="str">
        <v>OH</v>
      </c>
      <c r="C15" s="11">
        <v>2921.4870000000001</v>
      </c>
      <c r="D15" s="18" t="s">
        <v>22</v>
      </c>
      <c r="E15" s="18" t="str">
        <f t="shared" si="0"/>
        <v/>
      </c>
      <c r="F15" s="19" t="str">
        <f t="shared" si="3"/>
        <v/>
      </c>
      <c r="G15" s="82" t="s">
        <v>22</v>
      </c>
      <c r="H15" s="20" t="str">
        <f t="shared" si="1"/>
        <v/>
      </c>
      <c r="I15" s="19" t="str">
        <f t="shared" si="2"/>
        <v/>
      </c>
      <c r="J15" s="51" t="s">
        <v>84</v>
      </c>
      <c r="K15" s="62" t="s">
        <v>85</v>
      </c>
      <c r="L15" s="67" t="s">
        <v>34</v>
      </c>
    </row>
    <row r="16" spans="1:12" ht="15.75">
      <c r="A16" s="28" t="str">
        <v>Brooklyn - BA Canarsie</v>
      </c>
      <c r="B16" s="29" t="str">
        <v>NY</v>
      </c>
      <c r="C16" s="24">
        <v>0</v>
      </c>
      <c r="D16" s="13" t="s">
        <v>22</v>
      </c>
      <c r="E16" s="13" t="str">
        <f t="shared" si="0"/>
        <v/>
      </c>
      <c r="F16" s="14" t="str">
        <f t="shared" si="3"/>
        <v/>
      </c>
      <c r="G16" s="81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75">
      <c r="A17" s="30" t="str">
        <v>Pittsburg - BA Fox Chapel</v>
      </c>
      <c r="B17" s="31" t="str">
        <v>PA</v>
      </c>
      <c r="C17" s="11">
        <v>2495.5720000000001</v>
      </c>
      <c r="D17" s="18" t="s">
        <v>22</v>
      </c>
      <c r="E17" s="18" t="str">
        <f t="shared" si="0"/>
        <v/>
      </c>
      <c r="F17" s="19" t="str">
        <f t="shared" si="3"/>
        <v/>
      </c>
      <c r="G17" s="82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>
        <v>775</v>
      </c>
      <c r="D18" s="13" t="s">
        <v>22</v>
      </c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81" t="s">
        <v>22</v>
      </c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75">
      <c r="A19" s="30" t="str">
        <v>Baltimore - BA Sudbrook Lane</v>
      </c>
      <c r="B19" s="31" t="str">
        <v>MD</v>
      </c>
      <c r="C19" s="11">
        <v>1974.049</v>
      </c>
      <c r="D19" s="18" t="s">
        <v>22</v>
      </c>
      <c r="E19" s="18" t="str">
        <f t="shared" si="4"/>
        <v/>
      </c>
      <c r="F19" s="19" t="str">
        <f t="shared" si="5"/>
        <v/>
      </c>
      <c r="G19" s="82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75">
      <c r="A20" s="28" t="str">
        <v>Stamford - BA West Stamford</v>
      </c>
      <c r="B20" s="29" t="str">
        <v>CT</v>
      </c>
      <c r="C20" s="24">
        <v>2238.402</v>
      </c>
      <c r="D20" s="13" t="s">
        <v>22</v>
      </c>
      <c r="E20" s="13" t="str">
        <f t="shared" si="4"/>
        <v/>
      </c>
      <c r="F20" s="14" t="str">
        <f t="shared" si="5"/>
        <v/>
      </c>
      <c r="G20" s="81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75">
      <c r="A21" s="30" t="str">
        <v>Hanover - BA Arundel Mills</v>
      </c>
      <c r="B21" s="31" t="str">
        <v>MD</v>
      </c>
      <c r="C21" s="11">
        <v>2563.5700000000002</v>
      </c>
      <c r="D21" s="18" t="s">
        <v>22</v>
      </c>
      <c r="E21" s="18" t="str">
        <f t="shared" si="4"/>
        <v/>
      </c>
      <c r="F21" s="19" t="str">
        <f t="shared" si="5"/>
        <v/>
      </c>
      <c r="G21" s="82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75">
      <c r="A22" s="28" t="str">
        <v>Glen Cove - BA Forest Ave</v>
      </c>
      <c r="B22" s="29" t="str">
        <v>NY</v>
      </c>
      <c r="C22" s="24">
        <v>0</v>
      </c>
      <c r="D22" s="13" t="s">
        <v>22</v>
      </c>
      <c r="E22" s="13" t="str">
        <f t="shared" si="4"/>
        <v/>
      </c>
      <c r="F22" s="14" t="str">
        <f t="shared" si="5"/>
        <v/>
      </c>
      <c r="G22" s="81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75">
      <c r="A23" s="30" t="str">
        <v>Brooklyn - BA North 4th &amp; Berry</v>
      </c>
      <c r="B23" s="31" t="str">
        <v>NY</v>
      </c>
      <c r="C23" s="11">
        <v>2949.7080000000001</v>
      </c>
      <c r="D23" s="18" t="s">
        <v>22</v>
      </c>
      <c r="E23" s="18"/>
      <c r="F23" s="19" t="str">
        <f t="shared" si="5"/>
        <v/>
      </c>
      <c r="G23" s="82" t="s">
        <v>22</v>
      </c>
      <c r="H23" s="20"/>
      <c r="I23" s="19" t="str">
        <f t="shared" si="7"/>
        <v/>
      </c>
      <c r="J23" s="42"/>
      <c r="K23" s="43"/>
    </row>
    <row r="24" spans="1:11" ht="30.75">
      <c r="A24" s="28" t="str">
        <v>Midlothian - BA Brandermill</v>
      </c>
      <c r="B24" s="29" t="str">
        <v>VA</v>
      </c>
      <c r="C24" s="24">
        <v>1636.633</v>
      </c>
      <c r="D24" s="13" t="s">
        <v>22</v>
      </c>
      <c r="E24" s="13" t="str">
        <f t="shared" si="4"/>
        <v/>
      </c>
      <c r="F24" s="14" t="str">
        <f t="shared" si="5"/>
        <v/>
      </c>
      <c r="G24" s="81" t="s">
        <v>22</v>
      </c>
      <c r="H24" s="15" t="str">
        <f t="shared" si="6"/>
        <v/>
      </c>
      <c r="I24" s="16" t="str">
        <f t="shared" si="7"/>
        <v/>
      </c>
      <c r="J24" s="41" t="s">
        <v>69</v>
      </c>
      <c r="K24" s="63" t="s">
        <v>70</v>
      </c>
    </row>
    <row r="25" spans="1:11" ht="15.75">
      <c r="A25" s="30" t="str">
        <v>Lexington - BA North Park</v>
      </c>
      <c r="B25" s="31" t="str">
        <v>KY</v>
      </c>
      <c r="C25" s="11">
        <v>1624.913</v>
      </c>
      <c r="D25" s="18" t="s">
        <v>22</v>
      </c>
      <c r="E25" s="18" t="str">
        <f t="shared" si="4"/>
        <v/>
      </c>
      <c r="F25" s="19" t="str">
        <f t="shared" si="5"/>
        <v/>
      </c>
      <c r="G25" s="82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75">
      <c r="A26" s="28" t="str">
        <v>Coventry - BA ATM</v>
      </c>
      <c r="B26" s="29" t="str">
        <v>RI</v>
      </c>
      <c r="C26" s="24">
        <v>126.831</v>
      </c>
      <c r="D26" s="13" t="s">
        <v>22</v>
      </c>
      <c r="E26" s="13"/>
      <c r="F26" s="14"/>
      <c r="G26" s="81" t="s">
        <v>22</v>
      </c>
      <c r="H26" s="15"/>
      <c r="I26" s="16"/>
      <c r="J26" s="41"/>
      <c r="K26" s="41"/>
    </row>
    <row r="27" spans="1:11" ht="15.75">
      <c r="A27" s="17" t="str">
        <v>Woodbridge - BA ATM</v>
      </c>
      <c r="B27" s="10" t="str">
        <v>VA</v>
      </c>
      <c r="C27" s="11">
        <v>118.316</v>
      </c>
      <c r="D27" s="18" t="s">
        <v>22</v>
      </c>
      <c r="E27" s="18"/>
      <c r="F27" s="19"/>
      <c r="G27" s="82" t="s">
        <v>22</v>
      </c>
      <c r="H27" s="20"/>
      <c r="I27" s="19"/>
    </row>
    <row r="28" spans="1:11" ht="1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>
      <c r="C329" s="21"/>
      <c r="D329" s="21"/>
      <c r="E329" s="21"/>
      <c r="F329" s="22"/>
      <c r="G329" s="21"/>
      <c r="H329" s="21"/>
      <c r="I329" s="22"/>
      <c r="J329" s="21"/>
      <c r="K329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0" priority="5" stopIfTrue="1" operator="lessThanOrEqual">
      <formula>-0.1</formula>
    </cfRule>
    <cfRule type="expression" dxfId="19" priority="6">
      <formula>AND(ISNUMBER(F2), F2&gt;=0.1)</formula>
    </cfRule>
  </conditionalFormatting>
  <conditionalFormatting sqref="F4:F87 I4:I87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hyperlinks>
    <hyperlink ref="K5" r:id="rId1" display="https://us3.assetplanner.com/service_request?ID=105029" xr:uid="{773C2F96-330F-49E2-8AC1-872E5A7CA09A}"/>
    <hyperlink ref="K10" r:id="rId2" display="https://us3.assetplanner.com/service_request?ID=097110" xr:uid="{E923EE6F-E1B3-42CA-92CE-E179064EAC81}"/>
    <hyperlink ref="K15" r:id="rId3" display="https://us3.assetplanner.com/service_request?ID=095094" xr:uid="{FD5148A2-D5C4-4D69-A072-3EC8F80467EC}"/>
    <hyperlink ref="L15" r:id="rId4" display="https://us3.assetplanner.com/service_request?ID=095335" xr:uid="{62CDC3F7-CF0F-4312-8D17-E279B65ADF58}"/>
    <hyperlink ref="K24" r:id="rId5" display="https://us3.assetplanner.com/service_request?ID=088366" xr:uid="{34C58BB3-A15E-409A-A84F-B13BD35FD90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8"/>
  <sheetViews>
    <sheetView workbookViewId="0">
      <pane xSplit="2" ySplit="3" topLeftCell="C16" activePane="bottomRight" state="frozen"/>
      <selection pane="bottomRight" activeCell="E34" sqref="E34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CBRE</v>
      </c>
      <c r="B1" s="85"/>
      <c r="C1" s="85"/>
      <c r="D1" s="86" t="s">
        <v>86</v>
      </c>
      <c r="E1" s="86"/>
      <c r="F1" s="86"/>
      <c r="G1" s="84" t="s">
        <v>87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51"/>
      <c r="K5" s="46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17" t="str">
        <v>Woodbridge - BA ATM</v>
      </c>
      <c r="B27" s="10" t="str">
        <v>VA</v>
      </c>
      <c r="C27" s="11"/>
      <c r="D27" s="18"/>
      <c r="E27" s="18"/>
      <c r="F27" s="19"/>
      <c r="G27" s="20"/>
      <c r="H27" s="20"/>
      <c r="I27" s="19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4:F86 I4:I86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zoomScale="70" zoomScaleNormal="70" workbookViewId="0">
      <pane xSplit="2" ySplit="3" topLeftCell="C4" activePane="bottomRight" state="frozen"/>
      <selection pane="bottomRight" activeCell="I28" sqref="I28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CBRE</v>
      </c>
      <c r="B1" s="85"/>
      <c r="C1" s="85"/>
      <c r="D1" s="86" t="s">
        <v>88</v>
      </c>
      <c r="E1" s="86"/>
      <c r="F1" s="86"/>
      <c r="G1" s="84" t="s">
        <v>89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5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5" si="4">IF(AND(ISNUMBER(C18),ISNUMBER(D18)), C18-D18, "")</f>
        <v/>
      </c>
      <c r="F18" s="14" t="str">
        <f t="shared" ref="F18:F25" si="5">IFERROR(E18/D18, "")</f>
        <v/>
      </c>
      <c r="G18" s="15"/>
      <c r="H18" s="15" t="str">
        <f t="shared" ref="H18:H25" si="6">IF(AND(ISNUMBER(C18),ISNUMBER(G18)), C18-G18, "")</f>
        <v/>
      </c>
      <c r="I18" s="16" t="str">
        <f t="shared" ref="I18:I25" si="7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5"/>
        <v/>
      </c>
      <c r="G23" s="20"/>
      <c r="H23" s="20"/>
      <c r="I23" s="19" t="str">
        <f t="shared" si="7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/>
      <c r="F26" s="14"/>
      <c r="G26" s="15"/>
      <c r="H26" s="15"/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/>
      <c r="F27" s="19"/>
      <c r="G27" s="20"/>
      <c r="H27" s="20"/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zoomScale="50" zoomScaleNormal="50" workbookViewId="0">
      <pane xSplit="2" ySplit="3" topLeftCell="C4" activePane="bottomRight" state="frozen"/>
      <selection pane="bottomRight" activeCell="G37" sqref="G37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CBRE</v>
      </c>
      <c r="B1" s="85"/>
      <c r="C1" s="85"/>
      <c r="D1" s="86" t="s">
        <v>90</v>
      </c>
      <c r="E1" s="86"/>
      <c r="F1" s="86"/>
      <c r="G1" s="84" t="s">
        <v>91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SUM(C4:C85)</f>
        <v>0</v>
      </c>
      <c r="D2" s="5">
        <f>SUM(D4:D85)</f>
        <v>0</v>
      </c>
      <c r="E2" s="5">
        <f>C2-D2</f>
        <v>0</v>
      </c>
      <c r="F2" s="6">
        <f>IFERROR(E2/D2, 0)</f>
        <v>0</v>
      </c>
      <c r="G2" s="5">
        <f>SUM(G4:G85)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57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D15" s="18"/>
      <c r="E15" s="18" t="str">
        <f t="shared" si="0"/>
        <v/>
      </c>
      <c r="F15" s="19" t="str">
        <f>IFERROR(E15/D15, "")</f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2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C327" s="21"/>
      <c r="D327" s="21"/>
      <c r="E327" s="21"/>
      <c r="F327" s="22"/>
      <c r="G327" s="21"/>
      <c r="H327" s="21"/>
      <c r="I327" s="22"/>
      <c r="J327" s="21"/>
      <c r="K327" s="21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zoomScale="50" zoomScaleNormal="50" workbookViewId="0">
      <pane xSplit="2" ySplit="3" topLeftCell="C5" activePane="bottomRight" state="frozen"/>
      <selection pane="bottomRight" activeCell="F26" sqref="F26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CBRE</v>
      </c>
      <c r="B1" s="85"/>
      <c r="C1" s="85"/>
      <c r="D1" s="86" t="s">
        <v>92</v>
      </c>
      <c r="E1" s="86"/>
      <c r="F1" s="86"/>
      <c r="G1" s="84" t="s">
        <v>93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27" si="0">IF(AND(ISNUMBER(C5),ISNUMBER(D5)), C5-D5, "")</f>
        <v/>
      </c>
      <c r="F5" s="19" t="str">
        <f>IFERROR(E5/D5, "")</f>
        <v/>
      </c>
      <c r="G5" s="20"/>
      <c r="H5" s="20" t="str">
        <f t="shared" ref="H5:H2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2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2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2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56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2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si="0"/>
        <v/>
      </c>
      <c r="F18" s="14" t="str">
        <f t="shared" ref="F18:F25" si="4">IFERROR(E18/D18, "")</f>
        <v/>
      </c>
      <c r="G18" s="15"/>
      <c r="H18" s="15" t="str">
        <f t="shared" si="1"/>
        <v/>
      </c>
      <c r="I18" s="16" t="str">
        <f t="shared" ref="I18:I25" si="5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0"/>
        <v/>
      </c>
      <c r="F19" s="19" t="str">
        <f t="shared" si="4"/>
        <v/>
      </c>
      <c r="G19" s="20"/>
      <c r="H19" s="20" t="str">
        <f t="shared" si="1"/>
        <v/>
      </c>
      <c r="I19" s="19" t="str">
        <f t="shared" si="5"/>
        <v/>
      </c>
      <c r="J19" s="42"/>
      <c r="K19" s="42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0"/>
        <v/>
      </c>
      <c r="F20" s="14" t="str">
        <f t="shared" si="4"/>
        <v/>
      </c>
      <c r="G20" s="15"/>
      <c r="H20" s="15" t="str">
        <f t="shared" si="1"/>
        <v/>
      </c>
      <c r="I20" s="16" t="str">
        <f t="shared" si="5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0"/>
        <v/>
      </c>
      <c r="F21" s="19" t="str">
        <f t="shared" si="4"/>
        <v/>
      </c>
      <c r="G21" s="20"/>
      <c r="H21" s="20" t="str">
        <f t="shared" si="1"/>
        <v/>
      </c>
      <c r="I21" s="19" t="str">
        <f t="shared" si="5"/>
        <v/>
      </c>
      <c r="J21" s="42"/>
      <c r="K21" s="42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0"/>
        <v/>
      </c>
      <c r="F22" s="14" t="str">
        <f t="shared" si="4"/>
        <v/>
      </c>
      <c r="G22" s="15"/>
      <c r="H22" s="15" t="str">
        <f t="shared" si="1"/>
        <v/>
      </c>
      <c r="I22" s="16" t="str">
        <f t="shared" si="5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4"/>
        <v/>
      </c>
      <c r="G23" s="20"/>
      <c r="H23" s="20"/>
      <c r="I23" s="19" t="str">
        <f t="shared" si="5"/>
        <v/>
      </c>
      <c r="J23" s="42"/>
      <c r="K23" s="42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0"/>
        <v/>
      </c>
      <c r="F24" s="14" t="str">
        <f t="shared" si="4"/>
        <v/>
      </c>
      <c r="G24" s="15"/>
      <c r="H24" s="15" t="str">
        <f t="shared" si="1"/>
        <v/>
      </c>
      <c r="I24" s="16" t="str">
        <f t="shared" si="5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0"/>
        <v/>
      </c>
      <c r="F25" s="19" t="str">
        <f t="shared" si="4"/>
        <v/>
      </c>
      <c r="G25" s="20"/>
      <c r="H25" s="20" t="str">
        <f t="shared" si="1"/>
        <v/>
      </c>
      <c r="I25" s="19" t="str">
        <f t="shared" si="5"/>
        <v/>
      </c>
      <c r="J25" s="42"/>
      <c r="K25" s="42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0"/>
        <v/>
      </c>
      <c r="F26" s="14"/>
      <c r="G26" s="15"/>
      <c r="H26" s="15" t="str">
        <f t="shared" si="1"/>
        <v/>
      </c>
      <c r="I26" s="16"/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0"/>
        <v/>
      </c>
      <c r="F27" s="19"/>
      <c r="G27" s="20"/>
      <c r="H27" s="20" t="str">
        <f t="shared" si="1"/>
        <v/>
      </c>
      <c r="I27" s="19"/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C320" s="21"/>
      <c r="D320" s="21"/>
      <c r="E320" s="21"/>
      <c r="F320" s="22"/>
      <c r="G320" s="21"/>
      <c r="H320" s="21"/>
      <c r="I320" s="22"/>
      <c r="J320" s="21"/>
      <c r="K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8"/>
  <sheetViews>
    <sheetView zoomScale="70" zoomScaleNormal="70" workbookViewId="0">
      <pane xSplit="2" ySplit="3" topLeftCell="C4" activePane="bottomRight" state="frozen"/>
      <selection pane="bottomRight" activeCell="G33" sqref="G33"/>
      <selection pane="bottomLeft" activeCell="I28" sqref="I28"/>
      <selection pane="topRight" activeCell="I28" sqref="I28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5" t="str" cm="1">
        <f t="array" ref="A1">portfolio</f>
        <v>CBRE</v>
      </c>
      <c r="B1" s="85"/>
      <c r="C1" s="85"/>
      <c r="D1" s="86" t="s">
        <v>94</v>
      </c>
      <c r="E1" s="86"/>
      <c r="F1" s="86"/>
      <c r="G1" s="84" t="s">
        <v>95</v>
      </c>
      <c r="H1" s="84"/>
      <c r="I1" s="84"/>
      <c r="J1" s="4"/>
      <c r="K1" s="4"/>
    </row>
    <row r="2" spans="1:11" ht="19.5" customHeight="1">
      <c r="A2" s="87" t="s">
        <v>2</v>
      </c>
      <c r="B2" s="87"/>
      <c r="C2" s="5">
        <f>SUM(C4:C86)</f>
        <v>0</v>
      </c>
      <c r="D2" s="5">
        <f>SUM(D4:D86)</f>
        <v>0</v>
      </c>
      <c r="E2" s="5">
        <f>C2-D2</f>
        <v>0</v>
      </c>
      <c r="F2" s="6">
        <f>IFERROR(E2/D2, 0)</f>
        <v>0</v>
      </c>
      <c r="G2" s="5">
        <f>SUM(G4:G86)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27">Sites[Site]</f>
        <v>East Hartford - BA</v>
      </c>
      <c r="B4" s="29" t="str" cm="1">
        <f t="array" ref="B4:B27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>Indianapolis - BA Speedway</v>
      </c>
      <c r="B5" s="31" t="str">
        <v>IN</v>
      </c>
      <c r="C5" s="11"/>
      <c r="D5" s="18"/>
      <c r="E5" s="18" t="str">
        <f t="shared" ref="E5:E16" si="0">IF(AND(ISNUMBER(C5),ISNUMBER(D5)), C5-D5, "")</f>
        <v/>
      </c>
      <c r="F5" s="19" t="str">
        <f>IFERROR(E5/D5, "")</f>
        <v/>
      </c>
      <c r="G5" s="20"/>
      <c r="H5" s="11" t="str">
        <f t="shared" ref="H5:H6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>Greenwood - BA</v>
      </c>
      <c r="B6" s="29" t="str">
        <v>IN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>West Chester - BA</v>
      </c>
      <c r="B7" s="31" t="str">
        <v>OH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>IF(AND(ISNUMBER(C7),ISNUMBER(G7)), C7-G7, "")</f>
        <v/>
      </c>
      <c r="I7" s="19" t="str">
        <f t="shared" si="2"/>
        <v/>
      </c>
      <c r="J7" s="42"/>
      <c r="K7" s="43"/>
    </row>
    <row r="8" spans="1:11" ht="15.6">
      <c r="A8" s="28" t="str">
        <v>Cincinnati - BA MLK and Burnet</v>
      </c>
      <c r="B8" s="29" t="str">
        <v>OH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ref="H8:H17" si="4">IF(AND(ISNUMBER(C8),ISNUMBER(G8)), C8-G8, "")</f>
        <v/>
      </c>
      <c r="I8" s="16" t="str">
        <f t="shared" si="2"/>
        <v/>
      </c>
      <c r="J8" s="41"/>
      <c r="K8" s="41"/>
    </row>
    <row r="9" spans="1:11" ht="15.6">
      <c r="A9" s="30" t="str">
        <v>Columbus - BA Harrisburg Pike</v>
      </c>
      <c r="B9" s="31" t="str">
        <v>OH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4"/>
        <v/>
      </c>
      <c r="I9" s="19" t="str">
        <f t="shared" si="2"/>
        <v/>
      </c>
      <c r="J9" s="42"/>
      <c r="K9" s="43"/>
    </row>
    <row r="10" spans="1:11" ht="15.6">
      <c r="A10" s="28" t="str">
        <v>Cincinnati - BA Hyde Pk Plaza</v>
      </c>
      <c r="B10" s="29" t="str">
        <v>OH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4"/>
        <v/>
      </c>
      <c r="I10" s="16" t="str">
        <f t="shared" si="2"/>
        <v/>
      </c>
      <c r="J10" s="41"/>
      <c r="K10" s="41"/>
    </row>
    <row r="11" spans="1:11" ht="15.6">
      <c r="A11" s="30" t="str">
        <v>Cleveland - BA Carnegie &amp; 79th</v>
      </c>
      <c r="B11" s="31" t="str">
        <v>OH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4"/>
        <v/>
      </c>
      <c r="I11" s="19" t="str">
        <f t="shared" si="2"/>
        <v/>
      </c>
      <c r="J11" s="42"/>
      <c r="K11" s="43"/>
    </row>
    <row r="12" spans="1:11" ht="15.6">
      <c r="A12" s="28" t="str">
        <v>Cincinnati - BA Sharonville</v>
      </c>
      <c r="B12" s="29" t="str">
        <v>OH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4"/>
        <v/>
      </c>
      <c r="I12" s="16" t="str">
        <f t="shared" si="2"/>
        <v/>
      </c>
      <c r="J12" s="41"/>
      <c r="K12" s="41"/>
    </row>
    <row r="13" spans="1:11" ht="15.6">
      <c r="A13" s="30" t="str">
        <v>Zionsville - BA</v>
      </c>
      <c r="B13" s="31" t="str">
        <v>IN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>Columbus - BA  Eastgate</v>
      </c>
      <c r="B14" s="29" t="str">
        <v>OH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>Columbus - BA Eastmoor</v>
      </c>
      <c r="B15" s="31" t="str">
        <v>OH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>Brooklyn - BA Canarsie</v>
      </c>
      <c r="B16" s="29" t="str">
        <v>NY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>Pittsburg - BA Fox Chapel</v>
      </c>
      <c r="B17" s="31" t="str">
        <v>PA</v>
      </c>
      <c r="C17" s="11"/>
      <c r="D17" s="18"/>
      <c r="E17" s="18"/>
      <c r="F17" s="19" t="str">
        <f t="shared" si="3"/>
        <v/>
      </c>
      <c r="G17" s="20"/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>New York - BA Two Bryant Pk</v>
      </c>
      <c r="B18" s="29" t="str">
        <v>NY</v>
      </c>
      <c r="C18" s="24"/>
      <c r="D18" s="13"/>
      <c r="E18" s="13" t="str">
        <f t="shared" ref="E18:E27" si="5">IF(AND(ISNUMBER(C18),ISNUMBER(D18)), C18-D18, "")</f>
        <v/>
      </c>
      <c r="F18" s="14" t="str">
        <f t="shared" ref="F18:F27" si="6">IFERROR(E18/D18, "")</f>
        <v/>
      </c>
      <c r="G18" s="15"/>
      <c r="H18" s="15" t="str">
        <f t="shared" ref="H18:H27" si="7">IF(AND(ISNUMBER(C18),ISNUMBER(G18)), C18-G18, "")</f>
        <v/>
      </c>
      <c r="I18" s="16" t="str">
        <f t="shared" ref="I18:I27" si="8">IFERROR(H18/G18, "")</f>
        <v/>
      </c>
      <c r="J18" s="41"/>
      <c r="K18" s="41"/>
    </row>
    <row r="19" spans="1:11" ht="15.6">
      <c r="A19" s="30" t="str">
        <v>Baltimore - BA Sudbrook Lane</v>
      </c>
      <c r="B19" s="31" t="str">
        <v>MD</v>
      </c>
      <c r="C19" s="11"/>
      <c r="D19" s="18"/>
      <c r="E19" s="18" t="str">
        <f t="shared" si="5"/>
        <v/>
      </c>
      <c r="F19" s="19" t="str">
        <f t="shared" si="6"/>
        <v/>
      </c>
      <c r="G19" s="20"/>
      <c r="H19" s="20" t="str">
        <f t="shared" si="7"/>
        <v/>
      </c>
      <c r="I19" s="19" t="str">
        <f t="shared" si="8"/>
        <v/>
      </c>
      <c r="J19" s="42"/>
      <c r="K19" s="43"/>
    </row>
    <row r="20" spans="1:11" ht="15.6">
      <c r="A20" s="28" t="str">
        <v>Stamford - BA West Stamford</v>
      </c>
      <c r="B20" s="29" t="str">
        <v>CT</v>
      </c>
      <c r="C20" s="24"/>
      <c r="D20" s="13"/>
      <c r="E20" s="13" t="str">
        <f t="shared" si="5"/>
        <v/>
      </c>
      <c r="F20" s="14" t="str">
        <f t="shared" si="6"/>
        <v/>
      </c>
      <c r="G20" s="15"/>
      <c r="H20" s="15" t="str">
        <f t="shared" si="7"/>
        <v/>
      </c>
      <c r="I20" s="16" t="str">
        <f t="shared" si="8"/>
        <v/>
      </c>
      <c r="J20" s="41"/>
      <c r="K20" s="41"/>
    </row>
    <row r="21" spans="1:11" ht="15.6">
      <c r="A21" s="30" t="str">
        <v>Hanover - BA Arundel Mills</v>
      </c>
      <c r="B21" s="31" t="str">
        <v>MD</v>
      </c>
      <c r="C21" s="11"/>
      <c r="D21" s="18"/>
      <c r="E21" s="18" t="str">
        <f t="shared" si="5"/>
        <v/>
      </c>
      <c r="F21" s="19" t="str">
        <f t="shared" si="6"/>
        <v/>
      </c>
      <c r="G21" s="20"/>
      <c r="H21" s="20" t="str">
        <f t="shared" si="7"/>
        <v/>
      </c>
      <c r="I21" s="19" t="str">
        <f t="shared" si="8"/>
        <v/>
      </c>
      <c r="J21" s="42"/>
      <c r="K21" s="43"/>
    </row>
    <row r="22" spans="1:11" ht="15.6">
      <c r="A22" s="28" t="str">
        <v>Glen Cove - BA Forest Ave</v>
      </c>
      <c r="B22" s="29" t="str">
        <v>NY</v>
      </c>
      <c r="C22" s="24"/>
      <c r="D22" s="13"/>
      <c r="E22" s="13" t="str">
        <f t="shared" si="5"/>
        <v/>
      </c>
      <c r="F22" s="14" t="str">
        <f t="shared" si="6"/>
        <v/>
      </c>
      <c r="G22" s="15"/>
      <c r="H22" s="15" t="str">
        <f t="shared" si="7"/>
        <v/>
      </c>
      <c r="I22" s="16" t="str">
        <f t="shared" si="8"/>
        <v/>
      </c>
      <c r="J22" s="41"/>
      <c r="K22" s="41"/>
    </row>
    <row r="23" spans="1:11" ht="15.6">
      <c r="A23" s="30" t="str">
        <v>Brooklyn - BA North 4th &amp; Berry</v>
      </c>
      <c r="B23" s="31" t="str">
        <v>NY</v>
      </c>
      <c r="C23" s="11"/>
      <c r="D23" s="18"/>
      <c r="E23" s="18"/>
      <c r="F23" s="19" t="str">
        <f t="shared" si="6"/>
        <v/>
      </c>
      <c r="G23" s="20"/>
      <c r="H23" s="20"/>
      <c r="I23" s="19" t="str">
        <f t="shared" si="8"/>
        <v/>
      </c>
      <c r="J23" s="42"/>
      <c r="K23" s="43"/>
    </row>
    <row r="24" spans="1:11" ht="15.6">
      <c r="A24" s="28" t="str">
        <v>Midlothian - BA Brandermill</v>
      </c>
      <c r="B24" s="29" t="str">
        <v>VA</v>
      </c>
      <c r="C24" s="24"/>
      <c r="D24" s="13"/>
      <c r="E24" s="13" t="str">
        <f t="shared" si="5"/>
        <v/>
      </c>
      <c r="F24" s="14" t="str">
        <f t="shared" si="6"/>
        <v/>
      </c>
      <c r="G24" s="15"/>
      <c r="H24" s="15" t="str">
        <f t="shared" si="7"/>
        <v/>
      </c>
      <c r="I24" s="16" t="str">
        <f t="shared" si="8"/>
        <v/>
      </c>
      <c r="J24" s="41"/>
      <c r="K24" s="41"/>
    </row>
    <row r="25" spans="1:11" ht="15.6">
      <c r="A25" s="30" t="str">
        <v>Lexington - BA North Park</v>
      </c>
      <c r="B25" s="31" t="str">
        <v>KY</v>
      </c>
      <c r="C25" s="11"/>
      <c r="D25" s="18"/>
      <c r="E25" s="18" t="str">
        <f t="shared" si="5"/>
        <v/>
      </c>
      <c r="F25" s="19" t="str">
        <f t="shared" si="6"/>
        <v/>
      </c>
      <c r="G25" s="20"/>
      <c r="H25" s="20" t="str">
        <f t="shared" si="7"/>
        <v/>
      </c>
      <c r="I25" s="19" t="str">
        <f t="shared" si="8"/>
        <v/>
      </c>
      <c r="J25" s="42"/>
      <c r="K25" s="43"/>
    </row>
    <row r="26" spans="1:11" ht="15.6">
      <c r="A26" s="28" t="str">
        <v>Coventry - BA ATM</v>
      </c>
      <c r="B26" s="29" t="str">
        <v>RI</v>
      </c>
      <c r="C26" s="24"/>
      <c r="D26" s="13"/>
      <c r="E26" s="13" t="str">
        <f t="shared" si="5"/>
        <v/>
      </c>
      <c r="F26" s="14" t="str">
        <f t="shared" si="6"/>
        <v/>
      </c>
      <c r="G26" s="15"/>
      <c r="H26" s="15" t="str">
        <f t="shared" si="7"/>
        <v/>
      </c>
      <c r="I26" s="16" t="str">
        <f t="shared" si="8"/>
        <v/>
      </c>
      <c r="J26" s="41"/>
      <c r="K26" s="41"/>
    </row>
    <row r="27" spans="1:11" ht="15.6">
      <c r="A27" s="30" t="str">
        <v>Woodbridge - BA ATM</v>
      </c>
      <c r="B27" s="31" t="str">
        <v>VA</v>
      </c>
      <c r="C27" s="11"/>
      <c r="D27" s="18"/>
      <c r="E27" s="18" t="str">
        <f t="shared" si="5"/>
        <v/>
      </c>
      <c r="F27" s="19" t="str">
        <f t="shared" si="6"/>
        <v/>
      </c>
      <c r="G27" s="20"/>
      <c r="H27" s="20" t="str">
        <f t="shared" si="7"/>
        <v/>
      </c>
      <c r="I27" s="19" t="str">
        <f t="shared" si="8"/>
        <v/>
      </c>
      <c r="J27" s="42"/>
      <c r="K27" s="43"/>
    </row>
    <row r="28" spans="1:11" ht="14.4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C328" s="21"/>
      <c r="D328" s="21"/>
      <c r="E328" s="21"/>
      <c r="F328" s="22"/>
      <c r="G328" s="21"/>
      <c r="H328" s="21"/>
      <c r="I328" s="22"/>
      <c r="J328" s="21"/>
      <c r="K328" s="21"/>
    </row>
  </sheetData>
  <mergeCells count="4">
    <mergeCell ref="G1:I1"/>
    <mergeCell ref="A1:C1"/>
    <mergeCell ref="D1:F1"/>
    <mergeCell ref="A2:B2"/>
  </mergeCells>
  <conditionalFormatting sqref="F2 I2 F4:F86 I4:I86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27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1" width="71.8554687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96</v>
      </c>
      <c r="B1" t="s">
        <v>97</v>
      </c>
    </row>
    <row r="3" spans="1:7" ht="13.15">
      <c r="A3" t="s">
        <v>98</v>
      </c>
      <c r="B3" t="s">
        <v>3</v>
      </c>
      <c r="C3" t="s">
        <v>4</v>
      </c>
      <c r="D3" t="s">
        <v>99</v>
      </c>
      <c r="E3" s="2" t="s">
        <v>100</v>
      </c>
    </row>
    <row r="4" spans="1:7" ht="14.45">
      <c r="A4" t="s">
        <v>101</v>
      </c>
      <c r="B4" t="s">
        <v>102</v>
      </c>
      <c r="C4" s="44" t="s">
        <v>103</v>
      </c>
      <c r="D4" s="47"/>
      <c r="E4" s="48" t="s">
        <v>104</v>
      </c>
      <c r="G4" s="3"/>
    </row>
    <row r="5" spans="1:7" ht="14.45">
      <c r="A5" t="s">
        <v>105</v>
      </c>
      <c r="B5" t="s">
        <v>106</v>
      </c>
      <c r="C5" s="45" t="s">
        <v>107</v>
      </c>
      <c r="D5" s="49"/>
      <c r="E5" s="50" t="s">
        <v>104</v>
      </c>
      <c r="G5" s="3"/>
    </row>
    <row r="6" spans="1:7" ht="14.45">
      <c r="A6" t="s">
        <v>108</v>
      </c>
      <c r="B6" t="s">
        <v>109</v>
      </c>
      <c r="C6" s="44" t="s">
        <v>107</v>
      </c>
      <c r="D6" s="47"/>
      <c r="E6" s="48" t="s">
        <v>104</v>
      </c>
      <c r="G6" s="3"/>
    </row>
    <row r="7" spans="1:7" ht="12.75" customHeight="1">
      <c r="A7" t="s">
        <v>110</v>
      </c>
      <c r="B7" t="s">
        <v>111</v>
      </c>
      <c r="C7" s="45" t="s">
        <v>112</v>
      </c>
      <c r="D7" s="49"/>
      <c r="E7" s="50" t="s">
        <v>104</v>
      </c>
    </row>
    <row r="8" spans="1:7" ht="12.75" customHeight="1">
      <c r="A8" t="s">
        <v>113</v>
      </c>
      <c r="B8" t="s">
        <v>114</v>
      </c>
      <c r="C8" s="44" t="s">
        <v>112</v>
      </c>
      <c r="D8" s="47"/>
      <c r="E8" s="48" t="s">
        <v>104</v>
      </c>
    </row>
    <row r="9" spans="1:7" ht="12.75" customHeight="1">
      <c r="A9" t="s">
        <v>115</v>
      </c>
      <c r="B9" t="s">
        <v>116</v>
      </c>
      <c r="C9" s="45" t="s">
        <v>112</v>
      </c>
      <c r="D9" s="49"/>
      <c r="E9" s="50" t="s">
        <v>104</v>
      </c>
    </row>
    <row r="10" spans="1:7" ht="12.75" customHeight="1">
      <c r="A10" t="s">
        <v>117</v>
      </c>
      <c r="B10" t="s">
        <v>118</v>
      </c>
      <c r="C10" s="44" t="s">
        <v>112</v>
      </c>
      <c r="D10" s="47"/>
      <c r="E10" s="48" t="s">
        <v>104</v>
      </c>
    </row>
    <row r="11" spans="1:7" ht="12.75" customHeight="1">
      <c r="A11" t="s">
        <v>119</v>
      </c>
      <c r="B11" t="s">
        <v>120</v>
      </c>
      <c r="C11" s="45" t="s">
        <v>112</v>
      </c>
      <c r="D11" s="49"/>
      <c r="E11" s="50" t="s">
        <v>104</v>
      </c>
    </row>
    <row r="12" spans="1:7" ht="12.75" customHeight="1">
      <c r="A12" t="s">
        <v>121</v>
      </c>
      <c r="B12" t="s">
        <v>122</v>
      </c>
      <c r="C12" s="44" t="s">
        <v>112</v>
      </c>
      <c r="D12" s="47"/>
      <c r="E12" s="48" t="s">
        <v>104</v>
      </c>
    </row>
    <row r="13" spans="1:7" ht="12.75" customHeight="1">
      <c r="A13" t="s">
        <v>123</v>
      </c>
      <c r="B13" t="s">
        <v>124</v>
      </c>
      <c r="C13" s="45" t="s">
        <v>107</v>
      </c>
      <c r="D13" s="49"/>
      <c r="E13" s="50" t="s">
        <v>104</v>
      </c>
    </row>
    <row r="14" spans="1:7" ht="12.75" customHeight="1">
      <c r="A14" t="s">
        <v>125</v>
      </c>
      <c r="B14" t="s">
        <v>126</v>
      </c>
      <c r="C14" s="44" t="s">
        <v>112</v>
      </c>
      <c r="D14" s="47"/>
      <c r="E14" s="48" t="s">
        <v>104</v>
      </c>
    </row>
    <row r="15" spans="1:7" ht="12.75" customHeight="1">
      <c r="A15" t="s">
        <v>127</v>
      </c>
      <c r="B15" t="s">
        <v>128</v>
      </c>
      <c r="C15" s="45" t="s">
        <v>112</v>
      </c>
      <c r="D15" s="49"/>
      <c r="E15" s="50" t="s">
        <v>104</v>
      </c>
    </row>
    <row r="16" spans="1:7" ht="12.75" customHeight="1">
      <c r="A16" t="s">
        <v>68</v>
      </c>
      <c r="B16" t="s">
        <v>129</v>
      </c>
      <c r="C16" s="44" t="s">
        <v>130</v>
      </c>
      <c r="D16" s="47"/>
      <c r="E16" s="48" t="s">
        <v>104</v>
      </c>
    </row>
    <row r="17" spans="1:5" ht="12.75" customHeight="1">
      <c r="A17" t="s">
        <v>131</v>
      </c>
      <c r="B17" t="s">
        <v>132</v>
      </c>
      <c r="C17" s="45" t="s">
        <v>133</v>
      </c>
      <c r="D17" s="49"/>
      <c r="E17" s="50" t="s">
        <v>104</v>
      </c>
    </row>
    <row r="18" spans="1:5" ht="12.75" customHeight="1">
      <c r="A18" t="s">
        <v>134</v>
      </c>
      <c r="B18" t="s">
        <v>135</v>
      </c>
      <c r="C18" s="45" t="s">
        <v>130</v>
      </c>
      <c r="D18" s="47"/>
      <c r="E18" s="48" t="s">
        <v>104</v>
      </c>
    </row>
    <row r="19" spans="1:5" ht="12.75" customHeight="1">
      <c r="A19" t="s">
        <v>136</v>
      </c>
      <c r="B19" t="s">
        <v>137</v>
      </c>
      <c r="C19" s="45" t="s">
        <v>138</v>
      </c>
      <c r="D19" s="49"/>
      <c r="E19" s="50" t="s">
        <v>104</v>
      </c>
    </row>
    <row r="20" spans="1:5" ht="12.75" customHeight="1">
      <c r="A20" t="s">
        <v>139</v>
      </c>
      <c r="B20" t="s">
        <v>140</v>
      </c>
      <c r="C20" s="45" t="s">
        <v>103</v>
      </c>
      <c r="D20" s="47"/>
      <c r="E20" s="48" t="s">
        <v>104</v>
      </c>
    </row>
    <row r="21" spans="1:5" ht="12.75" customHeight="1">
      <c r="A21" t="s">
        <v>141</v>
      </c>
      <c r="B21" t="s">
        <v>142</v>
      </c>
      <c r="C21" s="45" t="s">
        <v>138</v>
      </c>
      <c r="D21" s="49"/>
      <c r="E21" s="50" t="s">
        <v>104</v>
      </c>
    </row>
    <row r="22" spans="1:5" ht="12.75" customHeight="1">
      <c r="A22" t="s">
        <v>68</v>
      </c>
      <c r="B22" t="s">
        <v>143</v>
      </c>
      <c r="C22" s="45" t="s">
        <v>130</v>
      </c>
      <c r="D22" s="47"/>
      <c r="E22" s="48" t="s">
        <v>104</v>
      </c>
    </row>
    <row r="23" spans="1:5" ht="12.75" customHeight="1">
      <c r="A23" t="s">
        <v>144</v>
      </c>
      <c r="B23" t="s">
        <v>145</v>
      </c>
      <c r="C23" s="45" t="s">
        <v>130</v>
      </c>
      <c r="D23" s="49"/>
      <c r="E23" s="50" t="s">
        <v>104</v>
      </c>
    </row>
    <row r="24" spans="1:5" ht="12.75" customHeight="1">
      <c r="A24" t="s">
        <v>146</v>
      </c>
      <c r="B24" t="s">
        <v>147</v>
      </c>
      <c r="C24" s="45" t="s">
        <v>148</v>
      </c>
      <c r="D24" s="47"/>
      <c r="E24" s="48" t="s">
        <v>104</v>
      </c>
    </row>
    <row r="25" spans="1:5" ht="12.75" customHeight="1">
      <c r="A25" t="s">
        <v>149</v>
      </c>
      <c r="B25" t="s">
        <v>150</v>
      </c>
      <c r="C25" s="45" t="s">
        <v>151</v>
      </c>
      <c r="D25" s="49"/>
      <c r="E25" s="50" t="s">
        <v>104</v>
      </c>
    </row>
    <row r="26" spans="1:5" ht="12.75" customHeight="1">
      <c r="A26" s="54" t="s">
        <v>152</v>
      </c>
      <c r="B26" s="55" t="s">
        <v>153</v>
      </c>
      <c r="C26" s="55" t="s">
        <v>154</v>
      </c>
      <c r="D26" s="83"/>
      <c r="E26" s="50" t="s">
        <v>104</v>
      </c>
    </row>
    <row r="27" spans="1:5" ht="12.75" customHeight="1">
      <c r="A27" s="54" t="s">
        <v>155</v>
      </c>
      <c r="B27" s="55" t="s">
        <v>156</v>
      </c>
      <c r="C27" s="55" t="s">
        <v>148</v>
      </c>
      <c r="D27" s="83"/>
      <c r="E27" s="50" t="s">
        <v>104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3E35ED39-C875-49BC-A939-E627385A51E8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2025-08-15T18:03:13Z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2024-10-17T17:00:47Z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c61e1433-bcae-4506-89e5-09b49842656b</vt:lpwstr>
  </property>
  <property fmtid="{D5CDD505-2E9C-101B-9397-08002B2CF9AE}" pid="9" name="MSIP_Label_9d817c99-0b37-4a07-8277-96aa1f96b74b_ContentBits">
    <vt:lpwstr>0</vt:lpwstr>
  </property>
</Properties>
</file>