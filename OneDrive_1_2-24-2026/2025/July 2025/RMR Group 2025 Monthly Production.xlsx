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868E878A-233D-4EEE-802E-70ED238AA116}" xr6:coauthVersionLast="47" xr6:coauthVersionMax="47" xr10:uidLastSave="{00000000-0000-0000-0000-000000000000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H2" i="28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<sst xmlns="http://schemas.openxmlformats.org/spreadsheetml/2006/main" count="252" uniqueCount="60">
  <si>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</si>
  <si>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</si>
  <si>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</si>
  <si>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</si>
  <si>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</si>
  <si>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</si>
  <si>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</si>
  <si>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</si>
  <si>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</si>
  <si>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</si>
  <si>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</si>
  <si>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</si>
  <si>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</si>
  <si>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</si>
  <si>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</si>
  <si>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</si>
  <si>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</si>
  <si>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</si>
  <si>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</si>
  <si>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</si>
  <si>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</si>
  <si>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</si>
  <si>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</si>
  <si>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</si>
  <si>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</si>
  <si>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</si>
  <si>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</si>
  <si>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</si>
  <si>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</si>
  <si>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</si>
  <si>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</si>
  <si>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</si>
  <si>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</si>
  <si>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</si>
  <si>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</si>
  <si>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</si>
  <si>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</si>
  <si>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1. SR092283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</si>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</sst>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228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D4" sqref="D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SUM(C4:C60)</f>
        <v>165646.995</v>
      </c>
      <c r="D2" s="6">
        <f>SUM(D4:D60)</f>
        <v>105890.66213899999</v>
      </c>
      <c r="E2" s="6">
        <f>C2-D2</f>
        <v>59756.332861000003</v>
      </c>
      <c r="F2" s="7">
        <f>IFERROR(E2/D2, 0)</f>
        <v>0.56432108038534479</v>
      </c>
      <c r="G2" s="6">
        <f>SUM(G4:G60)</f>
        <v>0</v>
      </c>
      <c r="H2" s="8">
        <f>C2-G2</f>
        <v>165646.995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165646.995</v>
      </c>
      <c r="D4" s="14">
        <f>SUM('1st Qtr'!D4, '2nd Qtr'!D4, '3rd Qtr'!D4, '4th Qtr'!D4)</f>
        <v>105890.66213899999</v>
      </c>
      <c r="E4" s="14">
        <f>IF(AND(ISNUMBER(C4),ISNUMBER(D4)), C4-D4, "")</f>
        <v>59756.332861000003</v>
      </c>
      <c r="F4" s="15">
        <f>IFERROR(E4/D4, "")</f>
        <v>0.56432108038534479</v>
      </c>
      <c r="G4" s="16">
        <f>SUM('1st Qtr'!G4,'2nd Qtr'!G4,'3rd Qtr'!G4,'4th Qtr'!G4)</f>
        <v>0</v>
      </c>
      <c r="H4" s="16">
        <f>SUM('1st Qtr'!H4, '2nd Qtr'!H4, '3rd Qtr'!H4, '4th Qtr'!H4)</f>
        <v>165646.995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L16" sqref="L16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SUM(C4:C90)</f>
        <v>88768.422999999995</v>
      </c>
      <c r="D2" s="6">
        <f>SUM(D4:D90)</f>
        <v>37069.85</v>
      </c>
      <c r="E2" s="6">
        <f>C2-D2</f>
        <v>51698.572999999997</v>
      </c>
      <c r="F2" s="7">
        <f>IFERROR(E2/D2, 0)</f>
        <v>1.3946259021819618</v>
      </c>
      <c r="G2" s="6">
        <f>SUM(G4:G90)</f>
        <v>0</v>
      </c>
      <c r="H2" s="8">
        <f>C2-G2</f>
        <v>88768.422999999995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88768.422999999995</v>
      </c>
      <c r="D4" s="14">
        <f>SUM(Apr!D4, May!D4, Jun!D4)</f>
        <v>37069.85</v>
      </c>
      <c r="E4" s="14">
        <f>IF(AND(ISNUMBER(C4),ISNUMBER(D4)), C4-D4, "")</f>
        <v>51698.572999999997</v>
      </c>
      <c r="F4" s="15">
        <f>IFERROR(E4/D4, "")</f>
        <v>1.3946259021819618</v>
      </c>
      <c r="G4" s="16">
        <f>SUM(Apr!G4+May!G4+Jun!G4)</f>
        <v>0</v>
      </c>
      <c r="H4" s="16">
        <f>SUM(Apr!H4, May!H4, Jun!H4)</f>
        <v>88768.422999999995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SUM(C4:C89)</f>
        <v>35625.478999999999</v>
      </c>
      <c r="D2" s="6">
        <f>SUM(D4:D89)</f>
        <v>28464.798138999999</v>
      </c>
      <c r="E2" s="6">
        <f>C2-D2</f>
        <v>7160.6808610000007</v>
      </c>
      <c r="F2" s="7">
        <f>IFERROR(E2/D2, 0)</f>
        <v>0.25156267843645996</v>
      </c>
      <c r="G2" s="6">
        <f>SUM(G4:G89)</f>
        <v>0</v>
      </c>
      <c r="H2" s="8">
        <f>C2-G2</f>
        <v>35625.478999999999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35625.478999999999</v>
      </c>
      <c r="D4" s="14">
        <f>SUM(Jul!D4, Aug!D4, Sep!D4)</f>
        <v>28464.798138999999</v>
      </c>
      <c r="E4" s="14">
        <f>IF(AND(ISNUMBER(C4),ISNUMBER(D4)), C4-D4, "")</f>
        <v>7160.6808610000007</v>
      </c>
      <c r="F4" s="15">
        <f>IFERROR(E4/D4, "")</f>
        <v>0.25156267843645996</v>
      </c>
      <c r="G4" s="16">
        <f>SUM(Jul!G4, Aug!G4, Sep!G4)</f>
        <v>0</v>
      </c>
      <c r="H4" s="16">
        <f>SUM(Jul!H4, Aug!H4, Sep!H4)</f>
        <v>35625.478999999999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J14" sqref="J1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7" t="str" cm="1">
        <f t="array" ref="A1">portfolio</f>
        <v>RMR Group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C1" zoomScaleNormal="100" workbookViewId="0">
      <pane ySplit="2" topLeftCell="A3" activePane="bottomLeft" state="frozen"/>
      <selection pane="bottomLeft" activeCell="H16" sqref="H16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44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scale="56" fitToHeight="9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7" sqref="J17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27649.523000000001</v>
      </c>
      <c r="D2" s="6">
        <f>SUM(D4:D90)</f>
        <v>8317.7000000000007</v>
      </c>
      <c r="E2" s="6">
        <f>C2-D2</f>
        <v>19331.823</v>
      </c>
      <c r="F2" s="7">
        <f>IFERROR(E2/D2, 0)</f>
        <v>2.3241789196532694</v>
      </c>
      <c r="G2" s="6">
        <f>SUM(G4:G90)</f>
        <v>0</v>
      </c>
      <c r="H2" s="8">
        <f>C2-G2</f>
        <v>27649.523000000001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27649.523000000001</v>
      </c>
      <c r="D4" s="14">
        <v>8317.7000000000007</v>
      </c>
      <c r="E4" s="14">
        <f>IF(AND(ISNUMBER(C4),ISNUMBER(D4)), C4-D4, "")</f>
        <v>19331.823</v>
      </c>
      <c r="F4" s="15">
        <f>IFERROR(E4/D4, "")</f>
        <v>2.3241789196532694</v>
      </c>
      <c r="G4" s="44">
        <v>0</v>
      </c>
      <c r="H4" s="16">
        <f>IF(AND(ISNUMBER(C4),ISNUMBER(G4)), C4-G4, "")</f>
        <v>27649.523000000001</v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2283" xr:uid="{AAFFE0AE-8CBF-4EE1-917C-43E3AA82AAF9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H20" sqref="H19:H20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32168.7</v>
      </c>
      <c r="D2" s="6">
        <f>SUM(D4:D90)</f>
        <v>23446.959999999999</v>
      </c>
      <c r="E2" s="6">
        <f>C2-D2</f>
        <v>8721.7400000000016</v>
      </c>
      <c r="F2" s="7">
        <f>IFERROR(E2/D2, 0)</f>
        <v>0.37197743332184652</v>
      </c>
      <c r="G2" s="6">
        <f>SUM(G4:G90)</f>
        <v>0</v>
      </c>
      <c r="H2" s="8">
        <f>C2-G2</f>
        <v>32168.7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32168.7</v>
      </c>
      <c r="D4" s="14">
        <v>23446.959999999999</v>
      </c>
      <c r="E4" s="14">
        <f>IF(AND(ISNUMBER(C4),ISNUMBER(D4)), C4-D4, "")</f>
        <v>8721.7400000000016</v>
      </c>
      <c r="F4" s="15">
        <f>IFERROR(E4/D4, "")</f>
        <v>0.37197743332184652</v>
      </c>
      <c r="G4" s="45">
        <v>0</v>
      </c>
      <c r="H4" s="16">
        <f>IF(AND(ISNUMBER(C4),ISNUMBER(G4)), C4-G4, "")</f>
        <v>32168.7</v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2283" xr:uid="{C9E70AA1-707C-44BB-B59A-EFD8644008EF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zoomScaleNormal="100" workbookViewId="0">
      <pane ySplit="2" topLeftCell="A3" activePane="bottomLeft" state="frozen"/>
      <selection pane="bottomLeft" activeCell="J12" sqref="J12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35625.478999999999</v>
      </c>
      <c r="D2" s="6">
        <f>SUM(D4:D90)</f>
        <v>28464.798138999999</v>
      </c>
      <c r="E2" s="6">
        <f>C2-D2</f>
        <v>7160.6808610000007</v>
      </c>
      <c r="F2" s="7">
        <f>IFERROR(E2/D2, 0)</f>
        <v>0.25156267843645996</v>
      </c>
      <c r="G2" s="6">
        <f>SUM(G4:G90)</f>
        <v>0</v>
      </c>
      <c r="H2" s="8">
        <f>C2-G2</f>
        <v>35625.478999999999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35625.478999999999</v>
      </c>
      <c r="D4" s="14">
        <v>28464.798138999999</v>
      </c>
      <c r="E4" s="14">
        <f>IF(AND(ISNUMBER(C4),ISNUMBER(D4)), C4-D4, "")</f>
        <v>7160.6808610000007</v>
      </c>
      <c r="F4" s="15">
        <f>IFERROR(E4/D4, "")</f>
        <v>0.25156267843645996</v>
      </c>
      <c r="G4" s="44">
        <v>0</v>
      </c>
      <c r="H4" s="16">
        <f>IF(AND(ISNUMBER(C4),ISNUMBER(G4)), C4-G4, "")</f>
        <v>35625.478999999999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2283" xr:uid="{EC859F7E-81E1-4C2C-AD68-09B99E73DBF4}"/>
  </hyperlinks>
  <pageMargins left="0.4" right="0.7" top="0.25" bottom="0.25" header="0.3" footer="0.3"/>
  <pageSetup scale="56" fitToHeight="9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46</v>
      </c>
      <c r="E1" s="48"/>
      <c r="F1" s="48"/>
      <c r="G1" s="46" t="s">
        <v>47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48</v>
      </c>
      <c r="E1" s="48"/>
      <c r="F1" s="48"/>
      <c r="G1" s="46" t="s">
        <v>49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50</v>
      </c>
      <c r="E1" s="48"/>
      <c r="F1" s="48"/>
      <c r="G1" s="46" t="s">
        <v>51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t="s">
        <v>53</v>
      </c>
    </row>
    <row r="3" spans="1:7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5">
      <c r="A4" t="s">
        <v>57</v>
      </c>
      <c r="B4" t="s">
        <v>57</v>
      </c>
      <c r="C4" s="4" t="s">
        <v>58</v>
      </c>
      <c r="E4" t="s">
        <v>59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3B813D1-56DD-47C3-862A-5F226DB40836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2025-08-11T07:27:41Z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