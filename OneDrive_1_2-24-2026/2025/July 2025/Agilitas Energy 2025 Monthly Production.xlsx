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2" documentId="13_ncr:1_{9710E749-2F11-4BE8-AA60-EC2BB70AAA59}" xr6:coauthVersionLast="47" xr6:coauthVersionMax="47" xr10:uidLastSave="{CC0E946F-B2A8-41F2-81A0-C51387980190}"/>
  <bookViews>
    <workbookView xWindow="-108" yWindow="-108" windowWidth="23256" windowHeight="13896" tabRatio="866" firstSheet="11"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29" l="1"/>
  <c r="I9" i="26"/>
  <c r="I10" i="26"/>
  <c r="H7" i="26"/>
  <c r="I7" i="26" s="1"/>
  <c r="H8" i="26"/>
  <c r="I8" i="26" s="1"/>
  <c r="H9" i="26"/>
  <c r="H10" i="26"/>
  <c r="H10" i="29" s="1"/>
  <c r="F9" i="26"/>
  <c r="F10" i="26"/>
  <c r="E7" i="26"/>
  <c r="F7" i="26" s="1"/>
  <c r="E8" i="26"/>
  <c r="F8" i="26" s="1"/>
  <c r="E9" i="26"/>
  <c r="E10" i="26"/>
  <c r="F9" i="19"/>
  <c r="F10" i="19"/>
  <c r="E9" i="19"/>
  <c r="E10" i="19"/>
  <c r="I9" i="19"/>
  <c r="I10" i="19"/>
  <c r="H9" i="19"/>
  <c r="H10" i="19"/>
  <c r="G5" i="18"/>
  <c r="I9" i="20"/>
  <c r="I10" i="20"/>
  <c r="H7" i="20"/>
  <c r="I7" i="20" s="1"/>
  <c r="H8" i="20"/>
  <c r="I8" i="20" s="1"/>
  <c r="H9" i="20"/>
  <c r="H10" i="20"/>
  <c r="F9" i="20"/>
  <c r="F10" i="20"/>
  <c r="E7" i="20"/>
  <c r="F7" i="20" s="1"/>
  <c r="E8" i="20"/>
  <c r="F8" i="20" s="1"/>
  <c r="E9" i="20"/>
  <c r="E10" i="20"/>
  <c r="G8" i="18"/>
  <c r="G9" i="18"/>
  <c r="G10" i="18"/>
  <c r="G7" i="18"/>
  <c r="H9" i="18"/>
  <c r="H10" i="18"/>
  <c r="I10" i="18" s="1"/>
  <c r="G6" i="18"/>
  <c r="I9" i="21"/>
  <c r="I10" i="21"/>
  <c r="H7" i="21"/>
  <c r="I7" i="21" s="1"/>
  <c r="H8" i="21"/>
  <c r="H9" i="21"/>
  <c r="H10" i="21"/>
  <c r="F9" i="21"/>
  <c r="F10" i="21"/>
  <c r="E7" i="21"/>
  <c r="F7" i="21" s="1"/>
  <c r="E8" i="21"/>
  <c r="F8" i="21" s="1"/>
  <c r="E9" i="21"/>
  <c r="E10" i="21"/>
  <c r="H10" i="4"/>
  <c r="H9" i="4"/>
  <c r="E6" i="4"/>
  <c r="F6" i="4" s="1"/>
  <c r="E7" i="4"/>
  <c r="F7" i="4" s="1"/>
  <c r="E8" i="4"/>
  <c r="E9" i="4"/>
  <c r="E10" i="4"/>
  <c r="F8" i="4"/>
  <c r="F9" i="4"/>
  <c r="F10" i="4"/>
  <c r="I6" i="4"/>
  <c r="I9" i="4"/>
  <c r="I10" i="4"/>
  <c r="I5" i="72"/>
  <c r="I10" i="72"/>
  <c r="E7" i="3"/>
  <c r="E8" i="3"/>
  <c r="E9" i="3"/>
  <c r="E10" i="3"/>
  <c r="F6" i="3"/>
  <c r="F7" i="3"/>
  <c r="F8" i="3"/>
  <c r="F9" i="3"/>
  <c r="F10" i="3"/>
  <c r="I10" i="3"/>
  <c r="H9" i="3"/>
  <c r="H10" i="3"/>
  <c r="D10" i="18"/>
  <c r="C10" i="18"/>
  <c r="E10" i="18" s="1"/>
  <c r="F10" i="18" s="1"/>
  <c r="H9" i="29"/>
  <c r="G9" i="29"/>
  <c r="G10" i="29"/>
  <c r="D10" i="29"/>
  <c r="C10" i="29"/>
  <c r="E10" i="29" s="1"/>
  <c r="F10" i="29" s="1"/>
  <c r="G10" i="1"/>
  <c r="D10" i="1"/>
  <c r="C10" i="1"/>
  <c r="I10" i="30"/>
  <c r="H10" i="30"/>
  <c r="G10" i="30"/>
  <c r="H8" i="30"/>
  <c r="H9" i="30"/>
  <c r="F10" i="30"/>
  <c r="E10" i="30"/>
  <c r="D10" i="30"/>
  <c r="C10" i="30"/>
  <c r="H10" i="72"/>
  <c r="E10" i="72"/>
  <c r="F10" i="72" s="1"/>
  <c r="H9" i="72"/>
  <c r="I9" i="72" s="1"/>
  <c r="E9" i="72"/>
  <c r="F9" i="72" s="1"/>
  <c r="A4" i="72" a="1"/>
  <c r="A4" i="72"/>
  <c r="B4" i="72" a="1"/>
  <c r="B4" i="72"/>
  <c r="E4" i="72"/>
  <c r="F4" i="72"/>
  <c r="H4" i="72"/>
  <c r="I4" i="72"/>
  <c r="D9" i="18"/>
  <c r="C9" i="18"/>
  <c r="G8" i="1"/>
  <c r="G9" i="1"/>
  <c r="D8" i="1"/>
  <c r="D9" i="1"/>
  <c r="C9" i="1"/>
  <c r="D9" i="30"/>
  <c r="C9" i="30"/>
  <c r="E9" i="30" s="1"/>
  <c r="F9" i="30" s="1"/>
  <c r="G6" i="30"/>
  <c r="G7" i="30"/>
  <c r="G8" i="30"/>
  <c r="G9" i="30"/>
  <c r="G5" i="30"/>
  <c r="G4" i="30"/>
  <c r="H9" i="33"/>
  <c r="I9" i="33"/>
  <c r="E9" i="33"/>
  <c r="F9" i="33" s="1"/>
  <c r="I9" i="31"/>
  <c r="I6" i="31"/>
  <c r="I8" i="31"/>
  <c r="H9" i="31"/>
  <c r="E9" i="31"/>
  <c r="F9" i="31" s="1"/>
  <c r="H9" i="32"/>
  <c r="I9" i="32" s="1"/>
  <c r="F8" i="32"/>
  <c r="E9" i="32"/>
  <c r="F9" i="32" s="1"/>
  <c r="E8" i="32"/>
  <c r="E6" i="31"/>
  <c r="H5" i="31"/>
  <c r="D9" i="29"/>
  <c r="C9" i="29"/>
  <c r="G5" i="29"/>
  <c r="G6" i="29"/>
  <c r="G7" i="29"/>
  <c r="G8" i="29"/>
  <c r="G4" i="29"/>
  <c r="H9" i="28"/>
  <c r="I9" i="28" s="1"/>
  <c r="E9" i="28"/>
  <c r="F9" i="28" s="1"/>
  <c r="E6" i="26"/>
  <c r="G4" i="18"/>
  <c r="E4" i="4"/>
  <c r="E5" i="72"/>
  <c r="F5" i="72" s="1"/>
  <c r="E6" i="72"/>
  <c r="F6" i="72" s="1"/>
  <c r="E7" i="72"/>
  <c r="F7" i="72" s="1"/>
  <c r="E8" i="72"/>
  <c r="F8" i="72" s="1"/>
  <c r="E9" i="29" l="1"/>
  <c r="F9" i="29" s="1"/>
  <c r="I9" i="18"/>
  <c r="D10" i="34"/>
  <c r="I8" i="21"/>
  <c r="G10" i="34"/>
  <c r="E9" i="18"/>
  <c r="F9" i="18" s="1"/>
  <c r="H9" i="34"/>
  <c r="I9" i="3"/>
  <c r="H9" i="1"/>
  <c r="H10" i="1"/>
  <c r="H10" i="34" s="1"/>
  <c r="I9" i="1"/>
  <c r="G8" i="34"/>
  <c r="E10" i="1"/>
  <c r="F10" i="1" s="1"/>
  <c r="C10" i="34"/>
  <c r="I10" i="1"/>
  <c r="E9" i="1"/>
  <c r="F9" i="1" s="1"/>
  <c r="I9" i="30"/>
  <c r="C9" i="34"/>
  <c r="G9" i="34"/>
  <c r="I9" i="34" s="1"/>
  <c r="D9" i="34"/>
  <c r="I9" i="29"/>
  <c r="C2" i="3"/>
  <c r="E10" i="34" l="1"/>
  <c r="F10" i="34" s="1"/>
  <c r="I10" i="34"/>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7" i="34" s="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I8" i="32" s="1"/>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7" i="29"/>
  <c r="H6" i="26"/>
  <c r="H6" i="29" s="1"/>
  <c r="F6" i="26"/>
  <c r="H5" i="26"/>
  <c r="E5" i="26"/>
  <c r="F5" i="26" s="1"/>
  <c r="H4" i="26"/>
  <c r="E4" i="26"/>
  <c r="F4" i="26" s="1"/>
  <c r="G2" i="26"/>
  <c r="D2" i="26"/>
  <c r="C2" i="26"/>
  <c r="A1" i="26" a="1"/>
  <c r="A1" i="26" s="1"/>
  <c r="H8" i="19"/>
  <c r="E8" i="19"/>
  <c r="F8" i="19" s="1"/>
  <c r="H7" i="19"/>
  <c r="E7" i="19"/>
  <c r="F7" i="19" s="1"/>
  <c r="H6" i="19"/>
  <c r="I6" i="19" s="1"/>
  <c r="E6" i="19"/>
  <c r="F6" i="19" s="1"/>
  <c r="H5" i="19"/>
  <c r="I5" i="19" s="1"/>
  <c r="E5" i="19"/>
  <c r="F5" i="19" s="1"/>
  <c r="H4" i="19"/>
  <c r="I4" i="19" s="1"/>
  <c r="E4" i="19"/>
  <c r="F4" i="19" s="1"/>
  <c r="G2" i="19"/>
  <c r="D2" i="19"/>
  <c r="C2" i="19"/>
  <c r="A1" i="19" a="1"/>
  <c r="A1" i="19" s="1"/>
  <c r="H6" i="20"/>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H5" i="4"/>
  <c r="I5" i="4" s="1"/>
  <c r="E5" i="4"/>
  <c r="F5" i="4" s="1"/>
  <c r="H4" i="4"/>
  <c r="I4" i="4" s="1"/>
  <c r="F4" i="4"/>
  <c r="G2" i="4"/>
  <c r="D2" i="4"/>
  <c r="C2" i="4"/>
  <c r="A1" i="4" a="1"/>
  <c r="A1" i="4" s="1"/>
  <c r="G2" i="3"/>
  <c r="H2" i="3" s="1"/>
  <c r="D2" i="3"/>
  <c r="J2" i="3"/>
  <c r="A1" i="3" a="1"/>
  <c r="A1" i="3" s="1"/>
  <c r="H6" i="72"/>
  <c r="I6" i="72" s="1"/>
  <c r="H7" i="72"/>
  <c r="I7" i="72" s="1"/>
  <c r="H8" i="72"/>
  <c r="I8" i="72" s="1"/>
  <c r="H5" i="72"/>
  <c r="G2" i="72"/>
  <c r="D2" i="72"/>
  <c r="C2" i="72"/>
  <c r="J2" i="72" s="1"/>
  <c r="A1" i="72" a="1"/>
  <c r="A1" i="72" s="1"/>
  <c r="I7" i="19" l="1"/>
  <c r="H7" i="18"/>
  <c r="I7" i="18" s="1"/>
  <c r="I8" i="19"/>
  <c r="H8" i="18"/>
  <c r="I8" i="18" s="1"/>
  <c r="I6" i="20"/>
  <c r="H6" i="18"/>
  <c r="I6" i="18" s="1"/>
  <c r="H8" i="1"/>
  <c r="H7" i="34"/>
  <c r="I7" i="34" s="1"/>
  <c r="C6" i="34"/>
  <c r="E8" i="1"/>
  <c r="F8" i="1" s="1"/>
  <c r="C8" i="34"/>
  <c r="H8" i="29"/>
  <c r="I8" i="29" s="1"/>
  <c r="D5" i="34"/>
  <c r="I4" i="26"/>
  <c r="H4" i="29"/>
  <c r="I4" i="29" s="1"/>
  <c r="D6" i="34"/>
  <c r="D7" i="34"/>
  <c r="I5" i="26"/>
  <c r="H5" i="29"/>
  <c r="C5" i="34"/>
  <c r="D8" i="34"/>
  <c r="E5" i="30"/>
  <c r="F5" i="30" s="1"/>
  <c r="E8" i="29"/>
  <c r="F8" i="29" s="1"/>
  <c r="E7" i="18"/>
  <c r="F7" i="18" s="1"/>
  <c r="E5" i="18"/>
  <c r="F5" i="18" s="1"/>
  <c r="D2" i="18"/>
  <c r="I6" i="29"/>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6" i="26"/>
  <c r="I5" i="29"/>
  <c r="H4" i="18"/>
  <c r="I4" i="18" s="1"/>
  <c r="C4" i="34"/>
  <c r="H5" i="18"/>
  <c r="I5" i="18" s="1"/>
  <c r="H5" i="34"/>
  <c r="I5" i="34" s="1"/>
  <c r="E7" i="34"/>
  <c r="F7"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<sst xmlns="http://schemas.openxmlformats.org/spreadsheetml/2006/main" count="425" uniqueCount="189">
  <si>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</si>
  <si>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</si>
  <si>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</si>
  <si>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</si>
  <si>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</si>
  <si>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</si>
  <si>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</si>
  <si>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</si>
  <si>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</si>
  <si>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</si>
  <si>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</si>
  <si>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</si>
  <si>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</si>
  <si>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</si>
  <si>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</si>
  <si>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</si>
  <si>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</si>
  <si>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</si>
  <si>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</si>
  <si>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</si>
  <si>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</si>
  <si>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</si>
  <si>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Fans to be replaced for inverter 13.
2. Site was offline from 10:11 to 14:12on 01/14/25 due to a planned outage.</t>
  </si>
  <si>
    <t>1. SR085127 , SR093008
2. SR095541</t>
  </si>
  <si>
    <t>SR093008</t>
  </si>
  <si>
    <t>SR095541</t>
  </si>
  <si>
    <t>1. Inverters 13, 14, and 15 of Pad 5 were taken offline on 01/07/25 by a technician to replace the CAN cards  and back online on 01/09/25.
2. Pad 2 is tripped offline at 8:15AM on 01/26 due to an power derating and back online at 11:15AM the same day.</t>
  </si>
  <si>
    <t>1. SR095250
2. SR095250</t>
  </si>
  <si>
    <t>SR095250</t>
  </si>
  <si>
    <t>1. Site was offline from 10:00 AM to 12:15 PM on 01/03/25 due to a brief site outage.
2. Site was tripped offline at 6:30 AM on 01/20/25 due to a fire on a pole and came back online at 3:45 PM on 01/21/25 after repairs were made to the circuit by the Eversource crew</t>
  </si>
  <si>
    <t>1.SR095271
2.SR095714</t>
  </si>
  <si>
    <t>SR095714</t>
  </si>
  <si>
    <t>1. Inverter 13 has been offline since 11/07/24. It has been RMA'd on 02/04/24,  and parts need to be replaced in order to bring the inverter back online.
2. Inverter 7 has been offline since 12/18/24. It was RMA'd on 12/19/24, and parts need to be replaced in order to bring the inverter back online.
3. Inverter 11 tripped offline at 12:00 PM on 01/07/25 and back online on 01/08, again tripped offline at 12:35PM on 01/14/25 and back online on 01/15.</t>
  </si>
  <si>
    <t>1. SR092635
2. SR094914
3. SR095569</t>
  </si>
  <si>
    <t>SR094914</t>
  </si>
  <si>
    <t>SR095569</t>
  </si>
  <si>
    <t>1. Inverters 3,4,5,8,10,12,19,26,29,30,31,34 and 35 tripped offline at 10:30 AM to 13:45 on 01/02 due to "Grid voltage out of range".
2. Inverter 31 tripped offline at 12:00 PM  on 01/05 and back online at 07:00 AM on 01/06 due to "Inverter Over Current Fault".</t>
  </si>
  <si>
    <t>1. SR095238
2. SR095323</t>
  </si>
  <si>
    <t>SR095323</t>
  </si>
  <si>
    <t>1. Inverter 3 tripped offline at 11:36 AM on 01/04 due to a Bus Sum High fault and came back online at 7:00 AM on 01/05/25. It tripped offline again at 12:30 PM on 01/07 and came back online at 7:00 AM on 01/08/25.
2. Inverter 2 tripped offline at 8:45 AM on 01/18 due to a Steady State GFCI fault and back online at 7:00 AM on 01/19/25 .
3. Inverters 2, 5, 6, 7, 8, 9, 13, 15, 16, 18, 19, 20, and 21 tripped offline at 11:00 AM on 01/31 due to a steady-state GFCI fault throgh out the day.</t>
  </si>
  <si>
    <t>1. SR095310
2. SR095696
3. SR096176</t>
  </si>
  <si>
    <t>SR095696</t>
  </si>
  <si>
    <t>SR096176</t>
  </si>
  <si>
    <t>February Actual v. Expected</t>
  </si>
  <si>
    <t>February Actual v. Forecasted</t>
  </si>
  <si>
    <t>1.Technician replaced the RMA'd fan for Inverter 13  and Inverter 9 communication board was RMAd on 02/20 . Both inverters producing in line with peers.</t>
  </si>
  <si>
    <t>1.SR085127, SR093008 &amp; SR088882.</t>
  </si>
  <si>
    <t>SR088882</t>
  </si>
  <si>
    <t>1.Inverters 4,5&amp;6 tripped offline at 08:45AM on 02/05 due to AC disconnect fault and back online at 10:30AM after couple of resets from Solectria page on 02/05 and pad 2 inverters (4,5 &amp;6) are having daily issues with the batteries and inverters, meaning, this pad most likely every night will have the batteries down for unknown reason and the morning times are having ground faults.
Again Inverters 4,5&amp;6 tripped offline at 09:15AM on 02/21 due to AC disconnected fault and back online at 15:15 on 02/21.
2. Inverters 13,14 &amp;15 of Pad 5 tripped offline at 10:30AM on 02/08due to AC Disconnected fault and back online at 13:15 on 02/08. Again tripped offline from 02/09 at 14:15 due to AC disconnected fault till date.
3.Site tripped offline from 10:15 to 12:30 due to utility power outage on 02/17. Pad 5 inverters and 30 - 38 Inverters were offline on 02/18 and back online on 02/19.</t>
  </si>
  <si>
    <t>1.SR096327
2.SR096327, SR095250
3.SR097185</t>
  </si>
  <si>
    <t>SR096327</t>
  </si>
  <si>
    <t>SR097185</t>
  </si>
  <si>
    <t>1.Site was taken offline from 10:00 to 14:30 on 02/25 due to planned outage.
2.Site was tripped offline at 03:30AM due to utility outage and after technician checked-in and closed SEL relay site back online at 08:30AM on 02/07. 
Again site tripped offline from 11:15 to 13:00 on 02/07 due to SEL relay open and technician re-energized the site.
Site tripped offline from 08:30 to 13:15 on 02/17 due to SEL relay open later technician closed the relay.</t>
  </si>
  <si>
    <t>1.SR096404
2.SR096414</t>
  </si>
  <si>
    <t>SR096414</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</si>
  <si>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3.Inverter 11 has tripped offline at 10AM on 02/04 and back online by self-resolve on 02/05.</t>
  </si>
  <si>
    <t>1.SR092635
2.SR094914
3.SR095569</t>
  </si>
  <si>
    <t>1. Inverter 28 tripped offline at 10AM on 02/04 due to Over current - Protect 0030 fault and back online on 02/05.
2.Inverter 11 tripped offline at 09:30AM on 02/05 due to Overcurrent fault and back online on 02/06.
3.Site was taken offline from 08:15 to 09:45 on 02/27 due to Agilitas checked in to work on the switch gear and other items.</t>
  </si>
  <si>
    <t>1.SR096292
2.SR096335
3.SR097855</t>
  </si>
  <si>
    <t>SR096335</t>
  </si>
  <si>
    <t>SR097855</t>
  </si>
  <si>
    <t>1.Inverters 2,5,6-9,13,15,16,18,19-21 tripped offline at 11:15AM on 01/31 due to Steady state GFCI fault and back online on 02/01.</t>
  </si>
  <si>
    <t>1.SR096176</t>
  </si>
  <si>
    <t>March Actual v. Expected</t>
  </si>
  <si>
    <t>March Actual v. Forecasted</t>
  </si>
  <si>
    <t>1. Inverters 13, 14, and 15 of Pad 5 tripped offline at 14:15 on 02/09 due to an AC disconnected fault. After troubleshooting by Agilitas and Solectria, the inverters were brought back online at 09:00 AM on 03/11.
2. Inverters 4, 5, and 6 tripped offline at 09:45 AM on 03/24 due to an AC disconnect fault and came back online at 10:30 AM after couple of resets from Solectria page on 03/24.
3. Multiple inverters have been experiencing power derating issues since 03/29, with inverters 1 to 12 being the most affected. After troubleshooting, the inverters were brought back online at 09:15 AM on 03/31.</t>
  </si>
  <si>
    <t>1. SR095250
2. SR096327, 	SR098922
3. SR099164</t>
  </si>
  <si>
    <t>SR098922</t>
  </si>
  <si>
    <t>SR099164</t>
  </si>
  <si>
    <t>1.Inverter 2 went offline at 10:00 AM on 03/07. Additionally, inverter 3 experienced multiple trippings. After a brief outage, as per the meter, the technician tried power cycling the DAS equipment, and inverters 1 and 3 came back online at 13:15 on 03/08.
2.The site tripped offline at 11:45 on 03/07 due to the grid recloser being open. After the technician re-energized the site is back online at 13:15 on 03/08.</t>
  </si>
  <si>
    <t>1. SR098255
2. SR098255</t>
  </si>
  <si>
    <t>SR098255</t>
  </si>
  <si>
    <t>N/A</t>
  </si>
  <si>
    <t>1. Inverter 8 tripped offline at 16:25 on 03/14 due to a fault with an ARC Protect code. After the technician troubleshot the inverter, it came back online at 10:05 AM on 03/18.
2. The meter stopped communicating at 09:55 AM on 03/15 and it's under replacement.</t>
  </si>
  <si>
    <t>1. SR098603, 	SR098617
2. SR098617</t>
  </si>
  <si>
    <t>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</si>
  <si>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The inverter (11) tripped offline at 10:10 AM on 03/07 and came back online at 07:00 AM on 03/08. It later self-resolved.
4. Inverters 4 and 21 appear to be down, as one string for both inverters dropped by 4 kW compared to peers. Additionally, inverter 22 appears to be down by two strings, with a production drop of 8 kW compared to peers.</t>
  </si>
  <si>
    <t>1. SR092635
2. SR094914
3. SR095569
4. SR099233</t>
  </si>
  <si>
    <t>SR099233</t>
  </si>
  <si>
    <t>1. The site tripped offline at 12:45 on 03/08, possibly due to a main breaker trip. The technician found that the recloser was in the open position. The technician immediately reset the relays and closed it. The site was then re-energized and came back online at 15:15 on 03/08.
2. Inverters 1, 13, and 21 tripped offline from 13:00 to 16:30 on 03/10 and later self-resolved.
3.Inverter 28 tripped offline at 12:00 PM on 03/15 and came back online at 06:45 AM on 03/16.
4. The site tripped offline at 14:45 on 03/19 after the client noted that the BESS recloser had tripped late this morning. While troubleshooting, the PV recloser was opened. The site came back online at 17:30 on 03/19 after the PV recloser was closed.
5.The site tripped offline at 16:00 on 03/25 due to the PV recloser being opened to test ESS capacity. After the completion of the ESS capacity test, the site came back online at 18:00 on 03/25.
6.Inverters 5 and 8 tripped offline at 14:30 on 03/27 and later self-resolved, and back online at 16:15 on 03/27. Additionally, inverters 5 and 17 tripped offline at 12:45 PM on 03/28 and later self-resolved, and back online at 03:00 PM on 03/28.</t>
  </si>
  <si>
    <t>1. SR098299
2. SR098355
3. SR098616
4. SR098773
5. SR098773
6. SR099056</t>
  </si>
  <si>
    <t>SR098355</t>
  </si>
  <si>
    <t>SR098616</t>
  </si>
  <si>
    <t>SR098773</t>
  </si>
  <si>
    <t>SR099056</t>
  </si>
  <si>
    <t>1. Inverter 3 tripped offline at 11:45 AM on 03/03, reporting a Bus Sum High fault. It later self-resolved and came back online at 06:45 AM on 03/04. It tripped offline again at 09:00 AM on 03/07, reporting the same Bus Sum High fault. It later self-resolved and came back online at 12:30 PM on 03/08.
2.The site was offline at 11:30 AM on 03/07. After the technician re-energized the site, it came back online at 12:30 PM on 03/08. Additionally, inverters 4 and 23 remained offline and later came back online at 06:45 AM on 03/09.
3. Inverter 3 tripped offline at 13:55 on 03/13, reporting a Bus Sum High fault (Fault 0130), and came back online at 06:45 AM on 03/14. Additionally, Inverter 4 tripped offline from 13:55 to 14:30 on 03/13 and later self-resolved.
4. Inverter 4 tripped offline from 11:45 AM to 03:00 PM on 03/21 and later self-resolved. Additionally, Inverter 3 tripped offline at 03:15 PM on 03/21, reporting a Bus Sum High fault, and later self-resolved at 06:45 AM on 03/22.</t>
  </si>
  <si>
    <t>1. SR095310
2. SR098276
3. SR098520
4. SR098880</t>
  </si>
  <si>
    <t>SR098276</t>
  </si>
  <si>
    <t>SR098520</t>
  </si>
  <si>
    <t>SR098880</t>
  </si>
  <si>
    <t>April Actual v. Expected</t>
  </si>
  <si>
    <t>April Actual v. Forecasted</t>
  </si>
  <si>
    <t>1. Multiple inverters have been experiencing power derating issues since 03/29, with Inverters 1 to 12 being the most affected. After Agilitas reset the inverters, all are currently producing as expected with no curtailment as of 04/01. Additionally, Inverters 16 to 18 were tripped offline between 09:15AM and 09:25AM on 04/01 due to technician activity on site.
2. The site was taken offline at 08:45 AM on 04/03 due to subcontractors working on the replacement of bushings in the transformer and cable pulling. After the new cables were installed, the site was brought back online at 14:45 on 04/10.
3.  Inverters 1, 2, 3, 28, 29, and 39 went offline at 14:45 on 04/10. After Agilitas reset them, the inverters came back online at 10:45AM on 04/12.</t>
  </si>
  <si>
    <t>1. SR099164
2. SR094026
3. SR099689</t>
  </si>
  <si>
    <t>SR094026</t>
  </si>
  <si>
    <t>SR099689</t>
  </si>
  <si>
    <t>1. Inverter 2 tripped offline at 16:00 on 04/14, reporting 'Error Error.' It later self-resolved and came back online at 16:30 on 04/14.</t>
  </si>
  <si>
    <t>1. SR099783</t>
  </si>
  <si>
    <t>1. The meter stopped communicating at 09:55AM on 03/15. After a technician replaced the meter on 04/01, it has been communicating as expected. As part of this work, the site was taken offline from 10:10AM to 12:05PM while the technician was on-site to replace the meter.</t>
  </si>
  <si>
    <t>1. SR098617</t>
  </si>
  <si>
    <t>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3. Inverters 4 and 21 appear to be down, as one string for both inverters dropped by 4 kW compared to peers. Additionally, inverter 22 appears to be down by two strings, with a production drop of 8 kW compared to peers. After a technician checked the site and replaced the faulty fuses in Inverters 4 and 21, both inverters came back online and have been producing in line with their peers as of 04/01.</t>
  </si>
  <si>
    <t>1. SR092635, SR100128
2. SR094914, SR100127
3. SR099233</t>
  </si>
  <si>
    <t>SR100128</t>
  </si>
  <si>
    <t>SR100127</t>
  </si>
  <si>
    <t>1. Inverter 17 tripped offline at 12:15PM on 04/17, later self-resolved, and back online at 17:15 on 04/17. It tripped offline again at 11:45AM on 04/18 and later self-resolved, coming back online at 16:30 on 04/18.Tripping issue was occuring during high irradiance days.
2. The site tripped offline at 13:45 on 04/27, possibly due to a main breaker trip. Eversource visited the site and discovered an unknown issue on the circuit, which was resolved. The site came back online at 12:00PM on 04/28.
3. Inverters 13 and 14 tripped offline at 13:30 on 04/28, later self-resolved, and came back online at 16:00 on 04/28. Inverter 14 tripped offline again at 10:15AM on 04/29 and self-resolved by 16:00 on 04/29. These inverters have been intermittently tripping frequently. A technician checked the site, updated the firmware on Inverters 13 and 14, and collected fault logs. Both inverters are currently online and producing as expected.</t>
  </si>
  <si>
    <t xml:space="preserve">1. SR099955
2. SR100465
3. SR100579
</t>
  </si>
  <si>
    <t>SR100465</t>
  </si>
  <si>
    <t>SR100579</t>
  </si>
  <si>
    <t>1.Inverter 3 tripped offline at 15:00 on 04/08, reporting a 'Bus Sum High Fault.' It self-resolved and came back online at 6:00AM on 04/09. The inverter tripped again at 10:15AM on 04/09 and once again self-resolved, returning online at 6:00AM on 04/10. A technician visited the site on 04/15, replaced the failed LCD screen, and placed the inverter in independent mode as recommended by the manufacturer. The inverter is currently producing as expected
2.  Inverters 3 &amp; 4 are underperforming approximately 6kW each compared with inverter 11 of same capacity from 04/16 at 09:30AM.</t>
  </si>
  <si>
    <t>1. SR095310
2. SR100683</t>
  </si>
  <si>
    <t>SR100683</t>
  </si>
  <si>
    <t>May Actual v. Expected</t>
  </si>
  <si>
    <t>May Actual v. Forecasted</t>
  </si>
  <si>
    <t>1. Site was offline from 16:00 on 05/28 until 00:15 on 05/29 due to a brief outage.</t>
  </si>
  <si>
    <t>1.SR102063</t>
  </si>
  <si>
    <t xml:space="preserve">1. Inverters 22, 23, and 24 were barely producing, and inverter 22 reported 'Power derating – customer command AC disconnected' on 05/03. It started producing as expected from 05/04, and the issue resolved itself.
</t>
  </si>
  <si>
    <t>1. SR100953</t>
  </si>
  <si>
    <t xml:space="preserve">1. Inverter 2 tripped offline at 15:15 on 05/03, reporting 'Error Error.' It self-resolved and came back online at 10:30 on 05/04. It went offline again from 17:00 to 18:15 on 05/07, and it again tripped offline at 11:30 on 05/08 and back online at 12:30 the same day.
</t>
  </si>
  <si>
    <t>1. SR100978</t>
  </si>
  <si>
    <t xml:space="preserve">1.Inverter 13 has been offline since 11/07/24. It was been RMA'd on 11/08/24 and parts need to be replaced in order to bring the inverter back online.
2.Inverter 7 has been offline since 12/18/24. It was RMA'd on 12/19/24, and parts need to be replaced in order to bring the inverter back online.
</t>
  </si>
  <si>
    <t xml:space="preserve">1. SR092635, SR100128
2. SR094914, SR100127
</t>
  </si>
  <si>
    <t>1. Inverter 11 tripped offline at 11:30 on 05/03 due to 'Fault Inverter Over Current,' self-resolved, and came back online at 06:00 on 05/04. It went offline again at 14:45 on 05/12 and recovered by 06:00 on 05/13. It tripped once more at 09:45 on 05/18 and came back online on 05/19. A technician found grid-related faults. After following Chint’s troubleshooting steps, the inverter failed to exit standby. Photos and inverter details were sent to Chint for the RMA process
2. Inverters 13 and 14 have been producing as expected since the technician updated the firmware on 05/01.</t>
  </si>
  <si>
    <t>1. SR100959
2. SR100579</t>
  </si>
  <si>
    <t>1. Inverters 2, 3, 4, 7, 8, 11, and 17 had been underperforming since 04/16 but have been producing as expected since the technician replaced the LCD screens and performed troubleshooting on 05/20.</t>
  </si>
  <si>
    <t>1. SR100683</t>
  </si>
  <si>
    <t>June Actual v. Expected</t>
  </si>
  <si>
    <t>June Actual v. Forecasted</t>
  </si>
  <si>
    <t>1. Inverter 7 was offline for whole month and being RMA'd.
2. Inverter 13 was offline for whole month and being RMA'd.</t>
  </si>
  <si>
    <t>1. SR100127
2. SR100128</t>
  </si>
  <si>
    <t>1. Inverter 35 has been left offline from 06/16 to end of the month due to thermal damage on combiner box.
2. Inverter 11 was offline from 15:00 on 06/11 to 13:00 on 06/20.
3. Inverter 31 tripped offline on 06/02 at 15:00 and back online on 06/03 at 07:00.</t>
  </si>
  <si>
    <t>1. SR103034
2. SR100959
3. SR102318</t>
  </si>
  <si>
    <t>SR100959</t>
  </si>
  <si>
    <t>SR102318</t>
  </si>
  <si>
    <t>1. Inverter 16 was underproduced by 6kW compared to peers from 06/02 after replacing fuse on string 6 the inverter started to produce as expected.
2. Inverter 15 waas tripped offline on 06/11 at 18:45 due to Arc protection fault and back online at 13:30 on 06/12.
3. Site was offline from 15:30 on 06/12 to 08:30 on 06/16
4. Inverter 4 was offline from 17:00 on 06/03 to through out the month and comms board being RMA'd.</t>
  </si>
  <si>
    <t>1. SR102869
2. SR102863
3. SR102972
4. SR102438</t>
  </si>
  <si>
    <t>SR102863</t>
  </si>
  <si>
    <t>SR102972</t>
  </si>
  <si>
    <t>SR102438</t>
  </si>
  <si>
    <t>July Actual v. Expected</t>
  </si>
  <si>
    <t>July Actual v. Forecasted</t>
  </si>
  <si>
    <t>1. Inverter 6 tripped offline at 11:24 on 07/28 and back online at 18:00 on 07/28.</t>
  </si>
  <si>
    <t>1. SR105168</t>
  </si>
  <si>
    <t xml:space="preserve">1.The site was offline from 08:00 to 13:15 on 07/01 due to USNE transformer repairs
2. Site tripped offline at 19:15 on 07/08 and came back online at 08:45 on 07/09
</t>
  </si>
  <si>
    <t>1.SR102892
2.SR104167</t>
  </si>
  <si>
    <t>SR104167</t>
  </si>
  <si>
    <t xml:space="preserve">1.Site tripped offline at 19:45 on 07/03 due to utility outage and it came back online on 07/08 at 07:00
</t>
  </si>
  <si>
    <t>1.SR103997</t>
  </si>
  <si>
    <t>1. Inverter 7 was offline for whole month and being RMA'd.
2. Inverter 13 was offline for whole month and being RMA'd.
3. Inverter 2 tripped offline at 12:35 on 07/30 and offline for end of month.</t>
  </si>
  <si>
    <t>1. SR100127
2. SR100128
3. SR105359</t>
  </si>
  <si>
    <t>SR105359</t>
  </si>
  <si>
    <t>1. Inverter 35 has been left offline from 06/16 due to thermal damage on combiner box.
2.Inverter 31 tripped offline at 12:30 on 07/01 and came back online at 08:00 on 07/08</t>
  </si>
  <si>
    <t>1.SR103034
2.SR103844</t>
  </si>
  <si>
    <t>SR103844</t>
  </si>
  <si>
    <t xml:space="preserve">1.Inverter 4 was offline from 17:00 on 06/03 to through out the month and comms board being RMA'd.
</t>
  </si>
  <si>
    <t>1.	SR102438</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</si>
  <si>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</si>
  <si>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</si>
  <si>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</si>
  <si>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</si>
  <si>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</si>
  <si>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</si>
  <si>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</si>
  <si>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</si>
  <si>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</si>
  <si>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</si>
  <si>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</si>
  <si>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Agilitas Energy</t>
  </si>
  <si>
    <t>Site DAS Name</t>
  </si>
  <si>
    <t>Update</t>
  </si>
  <si>
    <t>DAS</t>
  </si>
  <si>
    <t>Central Street Solar, Rowley</t>
  </si>
  <si>
    <t>Rowley - Central Street Solar</t>
  </si>
  <si>
    <t>MA</t>
  </si>
  <si>
    <t>AEF</t>
  </si>
  <si>
    <t>PowerTrack</t>
  </si>
  <si>
    <t>Leicester Street Solar: DAS + BESS</t>
  </si>
  <si>
    <t>Auburn - Leicester Street Solar</t>
  </si>
  <si>
    <t>Middleboro Road</t>
  </si>
  <si>
    <t>Rochester - Old Middleboro</t>
  </si>
  <si>
    <t>Littleworth Road Solar</t>
  </si>
  <si>
    <t>Dover - Littleworth Road</t>
  </si>
  <si>
    <t>NH</t>
  </si>
  <si>
    <t>SolrenView</t>
  </si>
  <si>
    <t>Milton Municipal Landfill</t>
  </si>
  <si>
    <t>Milton - Landfill</t>
  </si>
  <si>
    <t>Frankland Solar</t>
  </si>
  <si>
    <t>Hopkinton - 71 Frankland Rd</t>
  </si>
  <si>
    <t>Rustcraft Road Solar, LLC 100013</t>
  </si>
  <si>
    <t>Dedham - 100 Rustcraft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</si>
</sst>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89">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0" fillId="0" borderId="0" xfId="0" applyAlignment="1">
      <alignment horizontal="center" wrapText="1"/>
    </xf>
    <xf numFmtId="9" fontId="30" fillId="3" borderId="0" xfId="2" applyFont="1" applyFill="1" applyAlignment="1">
      <alignment horizontal="right"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0" fontId="27" fillId="40" borderId="0" xfId="0" applyFont="1" applyFill="1" applyAlignment="1">
      <alignment horizontal="left" vertical="center"/>
    </xf>
    <xf numFmtId="49" fontId="28" fillId="0" borderId="0" xfId="0" applyNumberFormat="1" applyFont="1" applyAlignment="1">
      <alignment horizontal="left" vertical="top" wrapText="1"/>
    </xf>
    <xf numFmtId="0" fontId="35" fillId="43" borderId="1" xfId="0" applyFont="1" applyFill="1" applyBorder="1" applyAlignment="1">
      <alignment horizontal="center" vertical="center" wrapText="1"/>
    </xf>
    <xf numFmtId="0" fontId="22" fillId="0" borderId="0" xfId="43" applyFont="1" applyAlignment="1">
      <alignment horizontal="left" wrapText="1"/>
    </xf>
    <xf numFmtId="0" fontId="22" fillId="0" borderId="0" xfId="43" applyFont="1"/>
    <xf numFmtId="49" fontId="28" fillId="0" borderId="0" xfId="0" applyNumberFormat="1" applyFont="1" applyAlignment="1">
      <alignment vertical="top" wrapText="1"/>
    </xf>
    <xf numFmtId="0" fontId="34" fillId="40" borderId="0" xfId="0" applyFont="1" applyFill="1" applyAlignment="1">
      <alignment vertical="top"/>
    </xf>
    <xf numFmtId="49" fontId="23" fillId="38" borderId="0" xfId="2" applyNumberFormat="1" applyFont="1" applyFill="1" applyBorder="1" applyAlignment="1">
      <alignment vertical="top" wrapText="1"/>
    </xf>
    <xf numFmtId="49" fontId="36" fillId="38" borderId="0" xfId="45" applyNumberFormat="1" applyFill="1" applyBorder="1" applyAlignment="1">
      <alignment vertical="top" wrapText="1"/>
    </xf>
    <xf numFmtId="49" fontId="36" fillId="0" borderId="0" xfId="45" applyNumberFormat="1" applyAlignment="1">
      <alignment horizontal="left" vertical="top" wrapText="1"/>
    </xf>
    <xf numFmtId="49" fontId="36" fillId="0" borderId="0" xfId="45" applyNumberFormat="1" applyAlignment="1">
      <alignment vertical="top" wrapText="1"/>
    </xf>
    <xf numFmtId="0" fontId="36" fillId="0" borderId="0" xfId="45" applyAlignment="1">
      <alignment horizontal="left" vertical="top"/>
    </xf>
    <xf numFmtId="0" fontId="36" fillId="0" borderId="0" xfId="45" applyAlignment="1">
      <alignment vertical="top"/>
    </xf>
    <xf numFmtId="10" fontId="30" fillId="0" borderId="0" xfId="0" applyNumberFormat="1" applyFont="1" applyAlignment="1">
      <alignment horizontal="center" vertical="center"/>
    </xf>
    <xf numFmtId="0" fontId="34" fillId="40" borderId="0" xfId="0" applyFont="1" applyFill="1" applyAlignment="1">
      <alignment horizontal="center" vertical="center"/>
    </xf>
    <xf numFmtId="0" fontId="36" fillId="0" borderId="0" xfId="45"/>
    <xf numFmtId="3" fontId="30" fillId="0" borderId="0" xfId="1" applyNumberFormat="1" applyFont="1" applyFill="1" applyBorder="1" applyAlignment="1">
      <alignment horizontal="right" vertical="center"/>
    </xf>
    <xf numFmtId="3" fontId="30" fillId="4" borderId="0" xfId="1" applyNumberFormat="1" applyFont="1" applyFill="1" applyBorder="1" applyAlignment="1">
      <alignment horizontal="right" vertical="center"/>
    </xf>
    <xf numFmtId="0" fontId="0" fillId="0" borderId="0" xfId="0" applyAlignment="1">
      <alignment horizontal="left" vertical="top"/>
    </xf>
    <xf numFmtId="49" fontId="28" fillId="0" borderId="0" xfId="0" applyNumberFormat="1" applyFont="1" applyAlignment="1">
      <alignment horizontal="left" vertical="center" wrapText="1"/>
    </xf>
    <xf numFmtId="49" fontId="30" fillId="38" borderId="0" xfId="2" applyNumberFormat="1" applyFont="1" applyFill="1" applyBorder="1" applyAlignment="1">
      <alignment horizontal="left" vertical="top" wrapText="1"/>
    </xf>
    <xf numFmtId="0" fontId="32" fillId="0" borderId="0" xfId="0" applyFont="1" applyAlignment="1">
      <alignment vertical="center"/>
    </xf>
    <xf numFmtId="49" fontId="36" fillId="38" borderId="0" xfId="45" applyNumberFormat="1" applyFill="1" applyBorder="1" applyAlignment="1">
      <alignment horizontal="left" vertical="top" wrapText="1"/>
    </xf>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vertical="top" wrapText="1"/>
    </xf>
    <xf numFmtId="3" fontId="30" fillId="0" borderId="0" xfId="1" applyNumberFormat="1" applyFont="1" applyFill="1" applyBorder="1" applyAlignment="1">
      <alignment horizontal="right"/>
    </xf>
    <xf numFmtId="3" fontId="30" fillId="4" borderId="0" xfId="1" applyNumberFormat="1" applyFont="1" applyFill="1" applyBorder="1" applyAlignment="1">
      <alignment horizontal="right"/>
    </xf>
    <xf numFmtId="3" fontId="30" fillId="0" borderId="0" xfId="1" applyNumberFormat="1" applyFont="1" applyAlignment="1">
      <alignment vertical="center"/>
    </xf>
    <xf numFmtId="49" fontId="36" fillId="38" borderId="0" xfId="45" applyNumberFormat="1" applyFill="1" applyAlignment="1">
      <alignment vertical="top" wrapText="1"/>
    </xf>
    <xf numFmtId="49" fontId="27" fillId="0" borderId="0" xfId="0" applyNumberFormat="1" applyFont="1" applyAlignment="1">
      <alignment vertical="top" wrapText="1"/>
    </xf>
    <xf numFmtId="0" fontId="0" fillId="0" borderId="0" xfId="0"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0" totalsRowShown="0">
  <autoFilter ref="A3:E10"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2635" TargetMode="External"/><Relationship Id="rId13" Type="http://schemas.openxmlformats.org/officeDocument/2006/relationships/hyperlink" Target="https://us3.assetplanner.com/service_request?ID=095310" TargetMode="External"/><Relationship Id="rId3" Type="http://schemas.openxmlformats.org/officeDocument/2006/relationships/hyperlink" Target="https://us3.assetplanner.com/service_request?ID=095541" TargetMode="External"/><Relationship Id="rId7" Type="http://schemas.openxmlformats.org/officeDocument/2006/relationships/hyperlink" Target="https://us3.assetplanner.com/service_request?ID=095714" TargetMode="External"/><Relationship Id="rId12" Type="http://schemas.openxmlformats.org/officeDocument/2006/relationships/hyperlink" Target="https://us3.assetplanner.com/service_request?ID=095323" TargetMode="External"/><Relationship Id="rId2" Type="http://schemas.openxmlformats.org/officeDocument/2006/relationships/hyperlink" Target="https://us3.assetplanner.com/service_request?ID=093008" TargetMode="External"/><Relationship Id="rId16" Type="http://schemas.openxmlformats.org/officeDocument/2006/relationships/printerSettings" Target="../printerSettings/printerSettings3.bin"/><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71" TargetMode="External"/><Relationship Id="rId11" Type="http://schemas.openxmlformats.org/officeDocument/2006/relationships/hyperlink" Target="https://us3.assetplanner.com/service_request?ID=095238" TargetMode="External"/><Relationship Id="rId5" Type="http://schemas.openxmlformats.org/officeDocument/2006/relationships/hyperlink" Target="https://us3.assetplanner.com/service_request?ID=095250" TargetMode="External"/><Relationship Id="rId15" Type="http://schemas.openxmlformats.org/officeDocument/2006/relationships/hyperlink" Target="https://us3.assetplanner.com/service_request?ID=096176" TargetMode="External"/><Relationship Id="rId10" Type="http://schemas.openxmlformats.org/officeDocument/2006/relationships/hyperlink" Target="https://us3.assetplanner.com/service_request?ID=095569" TargetMode="External"/><Relationship Id="rId4" Type="http://schemas.openxmlformats.org/officeDocument/2006/relationships/hyperlink" Target="https://us3.assetplanner.com/service_request?ID=095250" TargetMode="External"/><Relationship Id="rId9" Type="http://schemas.openxmlformats.org/officeDocument/2006/relationships/hyperlink" Target="https://us3.assetplanner.com/service_request?ID=094914" TargetMode="External"/><Relationship Id="rId14" Type="http://schemas.openxmlformats.org/officeDocument/2006/relationships/hyperlink" Target="https://us3.assetplanner.com/service_request?ID=095696"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404" TargetMode="External"/><Relationship Id="rId13" Type="http://schemas.openxmlformats.org/officeDocument/2006/relationships/hyperlink" Target="https://us3.assetplanner.com/service_request?ID=096292" TargetMode="External"/><Relationship Id="rId3" Type="http://schemas.openxmlformats.org/officeDocument/2006/relationships/hyperlink" Target="https://us3.assetplanner.com/service_request?ID=088882" TargetMode="External"/><Relationship Id="rId7" Type="http://schemas.openxmlformats.org/officeDocument/2006/relationships/hyperlink" Target="https://us3.assetplanner.com/service_request?ID=097185" TargetMode="External"/><Relationship Id="rId12" Type="http://schemas.openxmlformats.org/officeDocument/2006/relationships/hyperlink" Target="https://us3.assetplanner.com/service_request?ID=095569" TargetMode="External"/><Relationship Id="rId2" Type="http://schemas.openxmlformats.org/officeDocument/2006/relationships/hyperlink" Target="https://us3.assetplanner.com/service_request?ID=093008" TargetMode="External"/><Relationship Id="rId16" Type="http://schemas.openxmlformats.org/officeDocument/2006/relationships/hyperlink" Target="https://us3.assetplanner.com/service_request?ID=096176" TargetMode="External"/><Relationship Id="rId1" Type="http://schemas.openxmlformats.org/officeDocument/2006/relationships/hyperlink" Target="https://us3.assetplanner.com/service_request?ID=085127" TargetMode="External"/><Relationship Id="rId6" Type="http://schemas.openxmlformats.org/officeDocument/2006/relationships/hyperlink" Target="https://us3.assetplanner.com/service_request?ID=095250"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6327" TargetMode="External"/><Relationship Id="rId15" Type="http://schemas.openxmlformats.org/officeDocument/2006/relationships/hyperlink" Target="https://us3.assetplanner.com/service_request?ID=097855" TargetMode="External"/><Relationship Id="rId10" Type="http://schemas.openxmlformats.org/officeDocument/2006/relationships/hyperlink" Target="https://us3.assetplanner.com/service_request?ID=092635" TargetMode="External"/><Relationship Id="rId4" Type="http://schemas.openxmlformats.org/officeDocument/2006/relationships/hyperlink" Target="https://us3.assetplanner.com/service_request?ID=096327" TargetMode="External"/><Relationship Id="rId9" Type="http://schemas.openxmlformats.org/officeDocument/2006/relationships/hyperlink" Target="https://us3.assetplanner.com/service_request?ID=096414" TargetMode="External"/><Relationship Id="rId14" Type="http://schemas.openxmlformats.org/officeDocument/2006/relationships/hyperlink" Target="https://us3.assetplanner.com/service_request?ID=096335"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617" TargetMode="External"/><Relationship Id="rId13" Type="http://schemas.openxmlformats.org/officeDocument/2006/relationships/hyperlink" Target="https://us3.assetplanner.com/service_request?ID=099233" TargetMode="External"/><Relationship Id="rId18" Type="http://schemas.openxmlformats.org/officeDocument/2006/relationships/hyperlink" Target="https://us3.assetplanner.com/service_request?ID=098773" TargetMode="External"/><Relationship Id="rId3" Type="http://schemas.openxmlformats.org/officeDocument/2006/relationships/hyperlink" Target="https://us3.assetplanner.com/service_request?ID=098922" TargetMode="External"/><Relationship Id="rId21" Type="http://schemas.openxmlformats.org/officeDocument/2006/relationships/hyperlink" Target="https://us3.assetplanner.com/service_request?ID=098276" TargetMode="External"/><Relationship Id="rId7" Type="http://schemas.openxmlformats.org/officeDocument/2006/relationships/hyperlink" Target="https://us3.assetplanner.com/service_request?ID=098603" TargetMode="External"/><Relationship Id="rId12" Type="http://schemas.openxmlformats.org/officeDocument/2006/relationships/hyperlink" Target="https://us3.assetplanner.com/service_request?ID=095569" TargetMode="External"/><Relationship Id="rId17" Type="http://schemas.openxmlformats.org/officeDocument/2006/relationships/hyperlink" Target="https://us3.assetplanner.com/service_request?ID=098773" TargetMode="External"/><Relationship Id="rId2" Type="http://schemas.openxmlformats.org/officeDocument/2006/relationships/hyperlink" Target="https://us3.assetplanner.com/service_request?ID=096327" TargetMode="External"/><Relationship Id="rId16" Type="http://schemas.openxmlformats.org/officeDocument/2006/relationships/hyperlink" Target="https://us3.assetplanner.com/service_request?ID=098616" TargetMode="External"/><Relationship Id="rId20" Type="http://schemas.openxmlformats.org/officeDocument/2006/relationships/hyperlink" Target="https://us3.assetplanner.com/service_request?ID=095310" TargetMode="External"/><Relationship Id="rId1" Type="http://schemas.openxmlformats.org/officeDocument/2006/relationships/hyperlink" Target="https://us3.assetplanner.com/service_request?ID=095250" TargetMode="External"/><Relationship Id="rId6" Type="http://schemas.openxmlformats.org/officeDocument/2006/relationships/hyperlink" Target="https://us3.assetplanner.com/service_request?ID=098255" TargetMode="External"/><Relationship Id="rId11"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098255" TargetMode="External"/><Relationship Id="rId15" Type="http://schemas.openxmlformats.org/officeDocument/2006/relationships/hyperlink" Target="https://us3.assetplanner.com/service_request?ID=098355" TargetMode="External"/><Relationship Id="rId23" Type="http://schemas.openxmlformats.org/officeDocument/2006/relationships/hyperlink" Target="https://us3.assetplanner.com/service_request?ID=098880" TargetMode="External"/><Relationship Id="rId10" Type="http://schemas.openxmlformats.org/officeDocument/2006/relationships/hyperlink" Target="https://us3.assetplanner.com/service_request?ID=092635" TargetMode="External"/><Relationship Id="rId19" Type="http://schemas.openxmlformats.org/officeDocument/2006/relationships/hyperlink" Target="https://us3.assetplanner.com/service_request?ID=099056" TargetMode="External"/><Relationship Id="rId4" Type="http://schemas.openxmlformats.org/officeDocument/2006/relationships/hyperlink" Target="https://us3.assetplanner.com/service_request?ID=099164" TargetMode="External"/><Relationship Id="rId9" Type="http://schemas.openxmlformats.org/officeDocument/2006/relationships/hyperlink" Target="https://us3.assetplanner.com/service_request?ID=098617" TargetMode="External"/><Relationship Id="rId14" Type="http://schemas.openxmlformats.org/officeDocument/2006/relationships/hyperlink" Target="https://us3.assetplanner.com/service_request?ID=098299" TargetMode="External"/><Relationship Id="rId22" Type="http://schemas.openxmlformats.org/officeDocument/2006/relationships/hyperlink" Target="https://us3.assetplanner.com/service_request?ID=098520"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4914" TargetMode="External"/><Relationship Id="rId13" Type="http://schemas.openxmlformats.org/officeDocument/2006/relationships/hyperlink" Target="https://us3.assetplanner.com/service_request?ID=100579" TargetMode="External"/><Relationship Id="rId3" Type="http://schemas.openxmlformats.org/officeDocument/2006/relationships/hyperlink" Target="https://us3.assetplanner.com/service_request?ID=099689" TargetMode="External"/><Relationship Id="rId7" Type="http://schemas.openxmlformats.org/officeDocument/2006/relationships/hyperlink" Target="https://us3.assetplanner.com/service_request?ID=100128" TargetMode="External"/><Relationship Id="rId12" Type="http://schemas.openxmlformats.org/officeDocument/2006/relationships/hyperlink" Target="https://us3.assetplanner.com/service_request?ID=100465" TargetMode="External"/><Relationship Id="rId2" Type="http://schemas.openxmlformats.org/officeDocument/2006/relationships/hyperlink" Target="https://us3.assetplanner.com/service_request?ID=094026" TargetMode="External"/><Relationship Id="rId1" Type="http://schemas.openxmlformats.org/officeDocument/2006/relationships/hyperlink" Target="https://us3.assetplanner.com/service_request?ID=099164" TargetMode="External"/><Relationship Id="rId6" Type="http://schemas.openxmlformats.org/officeDocument/2006/relationships/hyperlink" Target="https://us3.assetplanner.com/service_request?ID=092635" TargetMode="External"/><Relationship Id="rId11" Type="http://schemas.openxmlformats.org/officeDocument/2006/relationships/hyperlink" Target="https://us3.assetplanner.com/service_request?ID=099955" TargetMode="External"/><Relationship Id="rId5" Type="http://schemas.openxmlformats.org/officeDocument/2006/relationships/hyperlink" Target="https://us3.assetplanner.com/service_request?ID=098617" TargetMode="External"/><Relationship Id="rId15" Type="http://schemas.openxmlformats.org/officeDocument/2006/relationships/hyperlink" Target="https://us3.assetplanner.com/service_request?ID=100683" TargetMode="External"/><Relationship Id="rId10" Type="http://schemas.openxmlformats.org/officeDocument/2006/relationships/hyperlink" Target="https://us3.assetplanner.com/service_request?ID=099233" TargetMode="External"/><Relationship Id="rId4" Type="http://schemas.openxmlformats.org/officeDocument/2006/relationships/hyperlink" Target="https://us3.assetplanner.com/service_request?ID=099783" TargetMode="External"/><Relationship Id="rId9" Type="http://schemas.openxmlformats.org/officeDocument/2006/relationships/hyperlink" Target="https://us3.assetplanner.com/service_request?ID=100127" TargetMode="External"/><Relationship Id="rId14" Type="http://schemas.openxmlformats.org/officeDocument/2006/relationships/hyperlink" Target="https://us3.assetplanner.com/service_request?ID=095310"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959" TargetMode="External"/><Relationship Id="rId3" Type="http://schemas.openxmlformats.org/officeDocument/2006/relationships/hyperlink" Target="https://us3.assetplanner.com/service_request?ID=100978" TargetMode="External"/><Relationship Id="rId7" Type="http://schemas.openxmlformats.org/officeDocument/2006/relationships/hyperlink" Target="https://us3.assetplanner.com/service_request?ID=100127" TargetMode="External"/><Relationship Id="rId2" Type="http://schemas.openxmlformats.org/officeDocument/2006/relationships/hyperlink" Target="https://us3.assetplanner.com/service_request?ID=100953" TargetMode="External"/><Relationship Id="rId1" Type="http://schemas.openxmlformats.org/officeDocument/2006/relationships/hyperlink" Target="https://us3.assetplanner.com/service_request?ID=102063" TargetMode="External"/><Relationship Id="rId6" Type="http://schemas.openxmlformats.org/officeDocument/2006/relationships/hyperlink" Target="https://us3.assetplanner.com/service_request?ID=094914" TargetMode="External"/><Relationship Id="rId5" Type="http://schemas.openxmlformats.org/officeDocument/2006/relationships/hyperlink" Target="https://us3.assetplanner.com/service_request?ID=100128" TargetMode="External"/><Relationship Id="rId10" Type="http://schemas.openxmlformats.org/officeDocument/2006/relationships/hyperlink" Target="https://us3.assetplanner.com/service_request?ID=100683" TargetMode="External"/><Relationship Id="rId4" Type="http://schemas.openxmlformats.org/officeDocument/2006/relationships/hyperlink" Target="https://us3.assetplanner.com/service_request?ID=092635" TargetMode="External"/><Relationship Id="rId9" Type="http://schemas.openxmlformats.org/officeDocument/2006/relationships/hyperlink" Target="https://us3.assetplanner.com/service_request?ID=100579"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2972" TargetMode="External"/><Relationship Id="rId3" Type="http://schemas.openxmlformats.org/officeDocument/2006/relationships/hyperlink" Target="https://us3.assetplanner.com/service_request?ID=103034" TargetMode="External"/><Relationship Id="rId7" Type="http://schemas.openxmlformats.org/officeDocument/2006/relationships/hyperlink" Target="https://us3.assetplanner.com/service_request?ID=102863" TargetMode="External"/><Relationship Id="rId2" Type="http://schemas.openxmlformats.org/officeDocument/2006/relationships/hyperlink" Target="https://us3.assetplanner.com/service_request?ID=100128" TargetMode="External"/><Relationship Id="rId1" Type="http://schemas.openxmlformats.org/officeDocument/2006/relationships/hyperlink" Target="https://us3.assetplanner.com/service_request?ID=100127" TargetMode="External"/><Relationship Id="rId6" Type="http://schemas.openxmlformats.org/officeDocument/2006/relationships/hyperlink" Target="https://us3.assetplanner.com/service_request?ID=102869" TargetMode="External"/><Relationship Id="rId5" Type="http://schemas.openxmlformats.org/officeDocument/2006/relationships/hyperlink" Target="https://us3.assetplanner.com/service_request?ID=102318" TargetMode="External"/><Relationship Id="rId4" Type="http://schemas.openxmlformats.org/officeDocument/2006/relationships/hyperlink" Target="https://us3.assetplanner.com/service_request?ID=100959" TargetMode="External"/><Relationship Id="rId9" Type="http://schemas.openxmlformats.org/officeDocument/2006/relationships/hyperlink" Target="https://us3.assetplanner.com/service_request?ID=102438"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3034" TargetMode="External"/><Relationship Id="rId3" Type="http://schemas.openxmlformats.org/officeDocument/2006/relationships/hyperlink" Target="https://us3.assetplanner.com/service_request?ID=102892" TargetMode="External"/><Relationship Id="rId7" Type="http://schemas.openxmlformats.org/officeDocument/2006/relationships/hyperlink" Target="https://us3.assetplanner.com/service_request?ID=105359" TargetMode="External"/><Relationship Id="rId2" Type="http://schemas.openxmlformats.org/officeDocument/2006/relationships/hyperlink" Target="https://us3.assetplanner.com/service_request?ID=105168" TargetMode="External"/><Relationship Id="rId1" Type="http://schemas.openxmlformats.org/officeDocument/2006/relationships/hyperlink" Target="https://us3.assetplanner.com/service_request?ID=100127" TargetMode="External"/><Relationship Id="rId6" Type="http://schemas.openxmlformats.org/officeDocument/2006/relationships/hyperlink" Target="https://us3.assetplanner.com/service_request?ID=100128" TargetMode="External"/><Relationship Id="rId5" Type="http://schemas.openxmlformats.org/officeDocument/2006/relationships/hyperlink" Target="https://us3.assetplanner.com/service_request?ID=103997" TargetMode="External"/><Relationship Id="rId10" Type="http://schemas.openxmlformats.org/officeDocument/2006/relationships/hyperlink" Target="https://us3.assetplanner.com/service_request?ID=102438" TargetMode="External"/><Relationship Id="rId4" Type="http://schemas.openxmlformats.org/officeDocument/2006/relationships/hyperlink" Target="https://us3.assetplanner.com/service_request?ID=104167" TargetMode="External"/><Relationship Id="rId9" Type="http://schemas.openxmlformats.org/officeDocument/2006/relationships/hyperlink" Target="https://us3.assetplanner.com/service_request?ID=10384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H19" sqref="H19"/>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6" t="str" cm="1">
        <f t="array" ref="A1">portfolio</f>
        <v>Agilitas Energy</v>
      </c>
      <c r="B1" s="86"/>
      <c r="C1" s="86"/>
      <c r="D1" s="87" t="s">
        <v>0</v>
      </c>
      <c r="E1" s="87"/>
      <c r="F1" s="87"/>
      <c r="G1" s="85" t="s">
        <v>1</v>
      </c>
      <c r="H1" s="85"/>
      <c r="I1" s="85"/>
    </row>
    <row r="2" spans="1:9" ht="19.5" customHeight="1">
      <c r="A2" s="88" t="s">
        <v>2</v>
      </c>
      <c r="B2" s="88"/>
      <c r="C2" s="5">
        <f>SUM(C4:C80)</f>
        <v>17685156.840248637</v>
      </c>
      <c r="D2" s="5">
        <f>SUM(D4:D80)</f>
        <v>18152991.591999996</v>
      </c>
      <c r="E2" s="5">
        <f>C2-D2</f>
        <v>-467834.75175135955</v>
      </c>
      <c r="F2" s="6">
        <f>IFERROR(E2/D2, 0)</f>
        <v>-2.5771771522085308E-2</v>
      </c>
      <c r="G2" s="5">
        <f>SUM(G4:G80)</f>
        <v>10479305.904999999</v>
      </c>
      <c r="H2" s="7">
        <f>C2-G2</f>
        <v>7205850.9352486376</v>
      </c>
      <c r="I2" s="6">
        <f>IFERROR(H2/G2, 0)</f>
        <v>0.68762673793218543</v>
      </c>
    </row>
    <row r="3" spans="1:9" ht="14.25" customHeight="1">
      <c r="A3" s="8" t="s">
        <v>3</v>
      </c>
      <c r="B3" s="8" t="s">
        <v>4</v>
      </c>
      <c r="C3" s="21" t="s">
        <v>5</v>
      </c>
      <c r="D3" s="33" t="s">
        <v>6</v>
      </c>
      <c r="E3" s="33" t="s">
        <v>7</v>
      </c>
      <c r="F3" s="34" t="s">
        <v>8</v>
      </c>
      <c r="G3" s="35" t="s">
        <v>9</v>
      </c>
      <c r="H3" s="36" t="s">
        <v>7</v>
      </c>
      <c r="I3" s="37" t="s">
        <v>8</v>
      </c>
    </row>
    <row r="4" spans="1:9" ht="15.6">
      <c r="A4" s="49" t="str" cm="1">
        <f t="array" ref="A4:A10">Sites[Site]</f>
        <v>Rowley - Central Street Solar</v>
      </c>
      <c r="B4" s="30" t="str" cm="1">
        <f t="array" ref="B4:B10">Sites[State]</f>
        <v>MA</v>
      </c>
      <c r="C4" s="22">
        <f>SUM('1st Qtr'!C4, '2nd Qtr'!C4, '3rd Qtr'!C4, '4th Qtr'!C4)</f>
        <v>492097.47518844262</v>
      </c>
      <c r="D4" s="12">
        <f>SUM('1st Qtr'!D4, '2nd Qtr'!D4, '3rd Qtr'!D4, '4th Qtr'!D4)</f>
        <v>532819.93000000005</v>
      </c>
      <c r="E4" s="12">
        <f>IF(AND(ISNUMBER(C4),ISNUMBER(D4)), C4-D4, "")</f>
        <v>-40722.454811557429</v>
      </c>
      <c r="F4" s="13">
        <f>IFERROR(E4/D4, "")</f>
        <v>-7.6428174921229816E-2</v>
      </c>
      <c r="G4" s="14">
        <f>SUM('1st Qtr'!G4, '2nd Qtr'!G4, '3rd Qtr'!G4, '4th Qtr'!G4)</f>
        <v>515132.85</v>
      </c>
      <c r="H4" s="14">
        <f>SUM('1st Qtr'!H4, '2nd Qtr'!H4, '3rd Qtr'!H4, '4th Qtr'!H4)</f>
        <v>-23035.374811557405</v>
      </c>
      <c r="I4" s="15">
        <f>IFERROR(H4/G4, "")</f>
        <v>-4.4717347790103869E-2</v>
      </c>
    </row>
    <row r="5" spans="1:9" ht="15.6">
      <c r="A5" s="50" t="str">
        <v>Auburn - Leicester Street Solar</v>
      </c>
      <c r="B5" s="28" t="str">
        <v>MA</v>
      </c>
      <c r="C5" s="16">
        <f>SUM('1st Qtr'!C5, '2nd Qtr'!C5, '3rd Qtr'!C5, '4th Qtr'!C5)</f>
        <v>4931549</v>
      </c>
      <c r="D5" s="16">
        <f>SUM('1st Qtr'!D5, '2nd Qtr'!D5, '3rd Qtr'!D5, '4th Qtr'!D5)</f>
        <v>5994178.5</v>
      </c>
      <c r="E5" s="16">
        <f t="shared" ref="E5:E10" si="0">IF(AND(ISNUMBER(C5),ISNUMBER(D5)), C5-D5, "")</f>
        <v>-1062629.5</v>
      </c>
      <c r="F5" s="17">
        <f>IFERROR(E5/D5, "")</f>
        <v>-0.17727691959790653</v>
      </c>
      <c r="G5" s="18">
        <f>SUM('1st Qtr'!G5, '2nd Qtr'!G5, '3rd Qtr'!G5, '4th Qtr'!G5)</f>
        <v>0</v>
      </c>
      <c r="H5" s="18">
        <f>SUM(Jan!H5, Feb!H5, Mar!H5)</f>
        <v>1498297</v>
      </c>
      <c r="I5" s="17" t="str">
        <f>IFERROR(H5/G5, "")</f>
        <v/>
      </c>
    </row>
    <row r="6" spans="1:9" ht="15.6">
      <c r="A6" s="51" t="str">
        <v>Rochester - Old Middleboro</v>
      </c>
      <c r="B6" s="26" t="str">
        <v>MA</v>
      </c>
      <c r="C6" s="22">
        <f>SUM('1st Qtr'!C6, '2nd Qtr'!C6, '3rd Qtr'!C6, '4th Qtr'!C6)</f>
        <v>6903631.8653984331</v>
      </c>
      <c r="D6" s="12">
        <f>SUM('1st Qtr'!D6, '2nd Qtr'!D6, '3rd Qtr'!D6, '4th Qtr'!D6)</f>
        <v>6209763.9999999991</v>
      </c>
      <c r="E6" s="12">
        <f t="shared" si="0"/>
        <v>693867.86539843399</v>
      </c>
      <c r="F6" s="13">
        <f t="shared" ref="F6:F10" si="1">IFERROR(E6/D6, "")</f>
        <v>0.11173820219229492</v>
      </c>
      <c r="G6" s="14">
        <f>SUM('1st Qtr'!G6, '2nd Qtr'!G6, '3rd Qtr'!G6, '4th Qtr'!G6)</f>
        <v>4639616.9999999991</v>
      </c>
      <c r="H6" s="14">
        <f>SUM('1st Qtr'!H6, '2nd Qtr'!H6, '3rd Qtr'!H6, '4th Qtr'!H6)</f>
        <v>2264014.8653984331</v>
      </c>
      <c r="I6" s="15">
        <f t="shared" ref="I6:I10" si="2">IFERROR(H6/G6, "")</f>
        <v>0.48797451716347134</v>
      </c>
    </row>
    <row r="7" spans="1:9" ht="15.6">
      <c r="A7" s="50" t="str">
        <v>Dover - Littleworth Road</v>
      </c>
      <c r="B7" s="28" t="str">
        <v>NH</v>
      </c>
      <c r="C7" s="16">
        <f>SUM('1st Qtr'!C7, '2nd Qtr'!C7, '3rd Qtr'!C7, '4th Qtr'!C7)</f>
        <v>212185</v>
      </c>
      <c r="D7" s="16">
        <f>SUM('1st Qtr'!D7, '2nd Qtr'!D7, '3rd Qtr'!D7, '4th Qtr'!D7)</f>
        <v>0</v>
      </c>
      <c r="E7" s="16">
        <f t="shared" si="0"/>
        <v>212185</v>
      </c>
      <c r="F7" s="17" t="str">
        <f>IFERROR(E7/D7, "")</f>
        <v/>
      </c>
      <c r="G7" s="18">
        <f>SUM('1st Qtr'!G7, '2nd Qtr'!G7, '3rd Qtr'!G7, '4th Qtr'!G7)</f>
        <v>0</v>
      </c>
      <c r="H7" s="18">
        <f>SUM(Jan!H7, Feb!H7, Mar!H7)</f>
        <v>23295</v>
      </c>
      <c r="I7" s="17" t="str">
        <f t="shared" si="2"/>
        <v/>
      </c>
    </row>
    <row r="8" spans="1:9" ht="15.6">
      <c r="A8" s="51" t="str">
        <v>Milton - Landfill</v>
      </c>
      <c r="B8" s="26" t="str">
        <v>NH</v>
      </c>
      <c r="C8" s="22">
        <f>SUM('1st Qtr'!C8, '2nd Qtr'!C8, '3rd Qtr'!C8, '4th Qtr'!C8)</f>
        <v>592605</v>
      </c>
      <c r="D8" s="12">
        <f>SUM('1st Qtr'!D8, '2nd Qtr'!D8, '3rd Qtr'!D8, '4th Qtr'!D8)</f>
        <v>0</v>
      </c>
      <c r="E8" s="12">
        <f t="shared" si="0"/>
        <v>592605</v>
      </c>
      <c r="F8" s="13" t="str">
        <f t="shared" si="1"/>
        <v/>
      </c>
      <c r="G8" s="14">
        <f>SUM('1st Qtr'!G8, '2nd Qtr'!G8, '3rd Qtr'!G8, '4th Qtr'!G8)</f>
        <v>0</v>
      </c>
      <c r="H8" s="14">
        <f>SUM('1st Qtr'!H8, '2nd Qtr'!H8, '3rd Qtr'!H8, '4th Qtr'!H8)</f>
        <v>71381</v>
      </c>
      <c r="I8" s="15" t="str">
        <f t="shared" si="2"/>
        <v/>
      </c>
    </row>
    <row r="9" spans="1:9" ht="15.6">
      <c r="A9" s="50" t="str">
        <v>Hopkinton - 71 Frankland Rd</v>
      </c>
      <c r="B9" s="28" t="str">
        <v>MA</v>
      </c>
      <c r="C9" s="16">
        <f>SUM('1st Qtr'!C9, '2nd Qtr'!C9, '3rd Qtr'!C9, '4th Qtr'!C9)</f>
        <v>3884335.9996617623</v>
      </c>
      <c r="D9" s="16">
        <f>SUM('1st Qtr'!D9, '2nd Qtr'!D9, '3rd Qtr'!D9, '4th Qtr'!D9)</f>
        <v>4507652.4000000004</v>
      </c>
      <c r="E9" s="16">
        <f t="shared" si="0"/>
        <v>-623316.40033823811</v>
      </c>
      <c r="F9" s="17">
        <f t="shared" si="1"/>
        <v>-0.13827960655046029</v>
      </c>
      <c r="G9" s="18">
        <f>SUM('1st Qtr'!G9, '2nd Qtr'!G9, '3rd Qtr'!G9, '4th Qtr'!G9)</f>
        <v>4581581.3</v>
      </c>
      <c r="H9" s="18">
        <f>SUM(Jan!H9, Feb!H9, Mar!H9)</f>
        <v>-71061.800338238012</v>
      </c>
      <c r="I9" s="17">
        <f t="shared" si="2"/>
        <v>-1.5510321804883832E-2</v>
      </c>
    </row>
    <row r="10" spans="1:9" ht="15.6">
      <c r="A10" s="51" t="str">
        <v>Dedham - 100 Rustcraft Rd</v>
      </c>
      <c r="B10" s="26" t="str">
        <v>MA</v>
      </c>
      <c r="C10" s="22">
        <f>SUM('1st Qtr'!C10, '2nd Qtr'!C10, '3rd Qtr'!C10, '4th Qtr'!C10)</f>
        <v>668752.5</v>
      </c>
      <c r="D10" s="12">
        <f>SUM('1st Qtr'!D10, '2nd Qtr'!D10, '3rd Qtr'!D10, '4th Qtr'!D10)</f>
        <v>908576.76199999999</v>
      </c>
      <c r="E10" s="12">
        <f t="shared" si="0"/>
        <v>-239824.26199999999</v>
      </c>
      <c r="F10" s="13">
        <f t="shared" si="1"/>
        <v>-0.26395597161442702</v>
      </c>
      <c r="G10" s="14">
        <f>SUM('1st Qtr'!G10, '2nd Qtr'!G10, '3rd Qtr'!G10, '4th Qtr'!G10)</f>
        <v>742974.755</v>
      </c>
      <c r="H10" s="14">
        <f>SUM('1st Qtr'!H10, '2nd Qtr'!H10, '3rd Qtr'!H10, '4th Qtr'!H10)</f>
        <v>-74222.255000000005</v>
      </c>
      <c r="I10" s="15">
        <f t="shared" si="2"/>
        <v>-9.9898757663710938E-2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6" priority="1" stopIfTrue="1" operator="lessThanOrEqual">
      <formula>-0.1</formula>
    </cfRule>
    <cfRule type="expression" dxfId="5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I8" sqref="I8"/>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6" t="str" cm="1">
        <f t="array" ref="A1">portfolio</f>
        <v>Agilitas Energy</v>
      </c>
      <c r="B1" s="86"/>
      <c r="C1" s="86"/>
      <c r="D1" s="87" t="s">
        <v>10</v>
      </c>
      <c r="E1" s="87"/>
      <c r="F1" s="87"/>
      <c r="G1" s="85" t="s">
        <v>11</v>
      </c>
      <c r="H1" s="85"/>
      <c r="I1" s="85"/>
    </row>
    <row r="2" spans="1:9" ht="19.5" customHeight="1">
      <c r="A2" s="88" t="s">
        <v>2</v>
      </c>
      <c r="B2" s="88"/>
      <c r="C2" s="5">
        <f>SUM(C4:C80)</f>
        <v>5534770.9324354874</v>
      </c>
      <c r="D2" s="5">
        <f>SUM(D4:D80)</f>
        <v>6757593.8320000004</v>
      </c>
      <c r="E2" s="5">
        <f>C2-D2</f>
        <v>-1222822.899564513</v>
      </c>
      <c r="F2" s="6">
        <f>IFERROR(E2/D2, 0)</f>
        <v>-0.1809553710928794</v>
      </c>
      <c r="G2" s="5">
        <f>SUM(G4:G80)</f>
        <v>3264188.2349999999</v>
      </c>
      <c r="H2" s="7">
        <f>C2-G2</f>
        <v>2270582.6974354875</v>
      </c>
      <c r="I2" s="6">
        <f>IFERROR(H2/G2, 0)</f>
        <v>0.69560409325949535</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SUM(Jan!C4, Feb!C4, Mar!C4)</f>
        <v>147392.76206344238</v>
      </c>
      <c r="D4" s="12">
        <f>SUM(Jan!D4, Feb!D4, Mar!D4)</f>
        <v>185255.87</v>
      </c>
      <c r="E4" s="12">
        <f>IF(AND(ISNUMBER(C4),ISNUMBER(D4)), C4-D4, "")</f>
        <v>-37863.107936557615</v>
      </c>
      <c r="F4" s="13">
        <f>IFERROR(E4/D4, "")</f>
        <v>-0.20438277036272923</v>
      </c>
      <c r="G4" s="14">
        <f>SUM(Jan!G4, Feb!G4, Mar!G4)</f>
        <v>166677.47999999998</v>
      </c>
      <c r="H4" s="14">
        <f>SUM(Jan!H4, Feb!H4, Mar!H4)</f>
        <v>-19284.717936557594</v>
      </c>
      <c r="I4" s="15">
        <f>IFERROR(H4/G4, "")</f>
        <v>-0.11570080095137986</v>
      </c>
    </row>
    <row r="5" spans="1:9" ht="15.6">
      <c r="A5" s="47" t="str">
        <v>Auburn - Leicester Street Solar</v>
      </c>
      <c r="B5" s="10" t="str">
        <v>MA</v>
      </c>
      <c r="C5" s="11">
        <f>SUM(Jan!C5, Feb!C5, Mar!C5)</f>
        <v>1498297</v>
      </c>
      <c r="D5" s="16">
        <f>SUM(Jan!D5, Feb!D5, Mar!D5)</f>
        <v>2480547.2000000002</v>
      </c>
      <c r="E5" s="16">
        <f t="shared" ref="E5:E10" si="0">IF(AND(ISNUMBER(C5),ISNUMBER(D5)), C5-D5, "")</f>
        <v>-982250.20000000019</v>
      </c>
      <c r="F5" s="17">
        <f>IFERROR(E5/D5, "")</f>
        <v>-0.3959812576837885</v>
      </c>
      <c r="G5" s="18">
        <f>SUM(Jan!G5, Feb!G5, Mar!G5)</f>
        <v>0</v>
      </c>
      <c r="H5" s="18">
        <f>SUM(Jan!H5, Feb!H5, Mar!H5)</f>
        <v>1498297</v>
      </c>
      <c r="I5" s="17" t="str">
        <f>IFERROR(H5/G5, "")</f>
        <v/>
      </c>
    </row>
    <row r="6" spans="1:9" ht="15.6">
      <c r="A6" s="46" t="str">
        <v>Rochester - Old Middleboro</v>
      </c>
      <c r="B6" s="9" t="str">
        <v>MA</v>
      </c>
      <c r="C6" s="22">
        <f>SUM(Jan!C6, Feb!C6, Mar!C6)</f>
        <v>2264045.6707102829</v>
      </c>
      <c r="D6" s="12">
        <f>SUM(Jan!D6, Feb!D6, Mar!D6)</f>
        <v>2265143.5999999996</v>
      </c>
      <c r="E6" s="12">
        <f t="shared" si="0"/>
        <v>-1097.9292897167616</v>
      </c>
      <c r="F6" s="13">
        <f t="shared" ref="F6:F10" si="1">IFERROR(E6/D6, "")</f>
        <v>-4.847062630893519E-4</v>
      </c>
      <c r="G6" s="14">
        <f>SUM(Jan!G6, Feb!G6, Mar!G6)</f>
        <v>1544599.2999999998</v>
      </c>
      <c r="H6" s="14">
        <f>SUM(Jan!H6, Feb!H6, Mar!H6)</f>
        <v>719446.37071028305</v>
      </c>
      <c r="I6" s="15">
        <f t="shared" ref="I6:I10" si="2">IFERROR(H6/G6, "")</f>
        <v>0.46578188317855845</v>
      </c>
    </row>
    <row r="7" spans="1:9" ht="15.6">
      <c r="A7" s="47" t="str">
        <v>Dover - Littleworth Road</v>
      </c>
      <c r="B7" s="10" t="str">
        <v>NH</v>
      </c>
      <c r="C7" s="11">
        <f>SUM(Jan!C7, Feb!C7, Mar!C7)</f>
        <v>41948</v>
      </c>
      <c r="D7" s="16">
        <f>SUM(Jan!D7, Feb!D7, Mar!D7)</f>
        <v>0</v>
      </c>
      <c r="E7" s="16">
        <f t="shared" si="0"/>
        <v>41948</v>
      </c>
      <c r="F7" s="17" t="str">
        <f t="shared" si="1"/>
        <v/>
      </c>
      <c r="G7" s="18">
        <f>SUM(Jan!G7, Feb!G7, Mar!G7)</f>
        <v>0</v>
      </c>
      <c r="H7" s="18">
        <f>SUM(Jan!H7, Feb!H7, Mar!H7)</f>
        <v>23295</v>
      </c>
      <c r="I7" s="17" t="str">
        <f t="shared" si="2"/>
        <v/>
      </c>
    </row>
    <row r="8" spans="1:9" ht="15.6">
      <c r="A8" s="46" t="str">
        <v>Milton - Landfill</v>
      </c>
      <c r="B8" s="9" t="str">
        <v>NH</v>
      </c>
      <c r="C8" s="22">
        <f>SUM(Jan!C8, Feb!C8, Mar!C8)</f>
        <v>162763</v>
      </c>
      <c r="D8" s="12">
        <f>SUM(Jan!D8, Feb!D8, Mar!D8)</f>
        <v>0</v>
      </c>
      <c r="E8" s="12">
        <f t="shared" si="0"/>
        <v>162763</v>
      </c>
      <c r="F8" s="13" t="str">
        <f t="shared" si="1"/>
        <v/>
      </c>
      <c r="G8" s="14">
        <f>SUM(Jan!G8, Feb!G8, Mar!G8)</f>
        <v>0</v>
      </c>
      <c r="H8" s="14">
        <f>SUM(Jan!H8, Feb!H8, Mar!H8)</f>
        <v>71381</v>
      </c>
      <c r="I8" s="15" t="str">
        <f t="shared" si="2"/>
        <v/>
      </c>
    </row>
    <row r="9" spans="1:9" ht="15.6">
      <c r="A9" s="47" t="str">
        <v>Hopkinton - 71 Frankland Rd</v>
      </c>
      <c r="B9" s="10" t="str">
        <v>MA</v>
      </c>
      <c r="C9" s="11">
        <f>SUM(Jan!C9, Feb!C9, Mar!C9)</f>
        <v>1244561.999661762</v>
      </c>
      <c r="D9" s="16">
        <f>SUM(Jan!D9, Feb!D9, Mar!D9)</f>
        <v>1525430.5</v>
      </c>
      <c r="E9" s="16">
        <f t="shared" si="0"/>
        <v>-280868.50033823797</v>
      </c>
      <c r="F9" s="17">
        <f t="shared" si="1"/>
        <v>-0.18412408847091885</v>
      </c>
      <c r="G9" s="18">
        <f>SUM(Jan!G9, Feb!G9, Mar!G9)</f>
        <v>1315623.8</v>
      </c>
      <c r="H9" s="18">
        <f>SUM(Jan!H9, Feb!H9, Mar!H9)</f>
        <v>-71061.800338238012</v>
      </c>
      <c r="I9" s="17">
        <f t="shared" si="2"/>
        <v>-5.4013769238773282E-2</v>
      </c>
    </row>
    <row r="10" spans="1:9" ht="15.6">
      <c r="A10" s="46" t="str">
        <v>Dedham - 100 Rustcraft Rd</v>
      </c>
      <c r="B10" s="9" t="str">
        <v>MA</v>
      </c>
      <c r="C10" s="22">
        <f>SUM(Jan!C10, Feb!C10, Mar!C10)</f>
        <v>175762.5</v>
      </c>
      <c r="D10" s="12">
        <f>SUM(Jan!D10, Feb!D10, Mar!D10)</f>
        <v>301216.66200000001</v>
      </c>
      <c r="E10" s="12">
        <f t="shared" si="0"/>
        <v>-125454.16200000001</v>
      </c>
      <c r="F10" s="13">
        <f t="shared" si="1"/>
        <v>-0.41649144229611046</v>
      </c>
      <c r="G10" s="14">
        <f>SUM(Jan!G10, Feb!G10, Mar!G10)</f>
        <v>237287.655</v>
      </c>
      <c r="H10" s="14">
        <f>SUM(Jan!H10, Feb!H10, Mar!H10)</f>
        <v>-61525.154999999999</v>
      </c>
      <c r="I10" s="15">
        <f t="shared" si="2"/>
        <v>-0.25928510693065765</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4" priority="1" stopIfTrue="1" operator="lessThanOrEqual">
      <formula>-0.1</formula>
    </cfRule>
    <cfRule type="expression" dxfId="5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I8" sqref="I8"/>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6" t="str" cm="1">
        <f t="array" ref="A1">portfolio</f>
        <v>Agilitas Energy</v>
      </c>
      <c r="B1" s="86"/>
      <c r="C1" s="86"/>
      <c r="D1" s="87" t="s">
        <v>12</v>
      </c>
      <c r="E1" s="87"/>
      <c r="F1" s="87"/>
      <c r="G1" s="85" t="s">
        <v>13</v>
      </c>
      <c r="H1" s="85"/>
      <c r="I1" s="85"/>
    </row>
    <row r="2" spans="1:9" ht="19.5" customHeight="1">
      <c r="A2" s="88" t="s">
        <v>2</v>
      </c>
      <c r="B2" s="88"/>
      <c r="C2" s="5">
        <f>SUM(C4:C80)</f>
        <v>8945578.25347507</v>
      </c>
      <c r="D2" s="5">
        <f>SUM(D4:D80)</f>
        <v>8273532.3100000005</v>
      </c>
      <c r="E2" s="5">
        <f>C2-D2</f>
        <v>672045.94347506948</v>
      </c>
      <c r="F2" s="6">
        <f>IFERROR(E2/D2, 0)</f>
        <v>8.1228418321734872E-2</v>
      </c>
      <c r="G2" s="5">
        <f>SUM(G4:G80)</f>
        <v>5270593.4699999988</v>
      </c>
      <c r="H2" s="7">
        <f>C2-G2</f>
        <v>3674984.7834750712</v>
      </c>
      <c r="I2" s="6">
        <f>IFERROR(H2/G2, 0)</f>
        <v>0.69726204542105807</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SUM(Apr!C4, May!C4, Jun!C4)</f>
        <v>246963.71312500001</v>
      </c>
      <c r="D4" s="12">
        <f>SUM(Apr!D4, May!D4, Jun!D4)</f>
        <v>249300.51</v>
      </c>
      <c r="E4" s="12">
        <f>IF(AND(ISNUMBER(C4),ISNUMBER(D4)), C4-D4, "")</f>
        <v>-2336.796875</v>
      </c>
      <c r="F4" s="13">
        <f>IFERROR(E4/D4, "")</f>
        <v>-9.3734139372598953E-3</v>
      </c>
      <c r="G4" s="14">
        <f>SUM(Apr!G4+May!G4+Jun!G4)</f>
        <v>255303.77</v>
      </c>
      <c r="H4" s="14">
        <f>SUM(Apr!H4, May!H4, Jun!H4)</f>
        <v>-8340.0568750000093</v>
      </c>
      <c r="I4" s="15">
        <f>IFERROR(H4/G4, "")</f>
        <v>-3.2667190441410282E-2</v>
      </c>
    </row>
    <row r="5" spans="1:9" ht="15.6">
      <c r="A5" s="47" t="str">
        <v>Auburn - Leicester Street Solar</v>
      </c>
      <c r="B5" s="10" t="str">
        <v>MA</v>
      </c>
      <c r="C5" s="11">
        <f>SUM(Apr!C5, May!C5, Jun!C5)</f>
        <v>2449871</v>
      </c>
      <c r="D5" s="16">
        <f>SUM(Apr!D5, May!D5, Jun!D5)</f>
        <v>2476127.2999999998</v>
      </c>
      <c r="E5" s="16">
        <f t="shared" ref="E5:E10" si="0">IF(AND(ISNUMBER(C5),ISNUMBER(D5)), C5-D5, "")</f>
        <v>-26256.299999999814</v>
      </c>
      <c r="F5" s="17">
        <f>IFERROR(E5/D5, "")</f>
        <v>-1.0603776308269698E-2</v>
      </c>
      <c r="G5" s="81">
        <f>SUM(Apr!G5+May!G5+Jun!G5)</f>
        <v>0</v>
      </c>
      <c r="H5" s="18">
        <f>SUM(Apr!H5, May!H5, Jun!H5)</f>
        <v>2449871</v>
      </c>
      <c r="I5" s="17" t="str">
        <f>IFERROR(H5/G5, "")</f>
        <v/>
      </c>
    </row>
    <row r="6" spans="1:9" ht="15.6">
      <c r="A6" s="46" t="str">
        <v>Rochester - Old Middleboro</v>
      </c>
      <c r="B6" s="9" t="str">
        <v>MA</v>
      </c>
      <c r="C6" s="22">
        <f>SUM(Apr!C6, May!C6, Jun!C6)</f>
        <v>3542039.5403500698</v>
      </c>
      <c r="D6" s="12">
        <f>SUM(Apr!D6, May!D6, Jun!D6)</f>
        <v>2974789.1</v>
      </c>
      <c r="E6" s="12">
        <f t="shared" si="0"/>
        <v>567250.44035006966</v>
      </c>
      <c r="F6" s="13">
        <f t="shared" ref="F6:F10" si="1">IFERROR(E6/D6, "")</f>
        <v>0.190685934794527</v>
      </c>
      <c r="G6" s="14">
        <f>SUM(Apr!G6+May!G6+Jun!G6)</f>
        <v>2281942.5999999996</v>
      </c>
      <c r="H6" s="14">
        <f>SUM(Apr!H6, May!H6, Jun!H6)</f>
        <v>1260096.9403500701</v>
      </c>
      <c r="I6" s="15">
        <f t="shared" ref="I6:I10" si="2">IFERROR(H6/G6, "")</f>
        <v>0.55220360948170666</v>
      </c>
    </row>
    <row r="7" spans="1:9" ht="15.6">
      <c r="A7" s="47" t="str">
        <v>Dover - Littleworth Road</v>
      </c>
      <c r="B7" s="10" t="str">
        <v>NH</v>
      </c>
      <c r="C7" s="11">
        <f>SUM(Apr!C7, May!C7, Jun!C7)</f>
        <v>125423</v>
      </c>
      <c r="D7" s="16">
        <f>SUM(Apr!D7, May!D7, Jun!D7)</f>
        <v>0</v>
      </c>
      <c r="E7" s="16">
        <f t="shared" si="0"/>
        <v>125423</v>
      </c>
      <c r="F7" s="17" t="str">
        <f t="shared" si="1"/>
        <v/>
      </c>
      <c r="G7" s="18">
        <f>SUM(Apr!G7,May!G7,Jun!G7)</f>
        <v>0</v>
      </c>
      <c r="H7" s="18">
        <f>SUM(Apr!H7, May!H7, Jun!H7)</f>
        <v>0</v>
      </c>
      <c r="I7" s="17" t="str">
        <f t="shared" si="2"/>
        <v/>
      </c>
    </row>
    <row r="8" spans="1:9" ht="15.6">
      <c r="A8" s="46" t="str">
        <v>Milton - Landfill</v>
      </c>
      <c r="B8" s="9" t="str">
        <v>NH</v>
      </c>
      <c r="C8" s="22">
        <f>SUM(Apr!C8, May!C8, Jun!C8)</f>
        <v>316021</v>
      </c>
      <c r="D8" s="12">
        <f>SUM(Apr!D8, May!D8, Jun!D8)</f>
        <v>0</v>
      </c>
      <c r="E8" s="12">
        <f t="shared" si="0"/>
        <v>316021</v>
      </c>
      <c r="F8" s="13" t="str">
        <f t="shared" si="1"/>
        <v/>
      </c>
      <c r="G8" s="14">
        <f>SUM(Apr!G8,May!G8,Jun!G8)</f>
        <v>0</v>
      </c>
      <c r="H8" s="14">
        <f>SUM(Apr!H8, May!H8, Jun!H8)</f>
        <v>0</v>
      </c>
      <c r="I8" s="15" t="str">
        <f t="shared" si="2"/>
        <v/>
      </c>
    </row>
    <row r="9" spans="1:9" ht="15.6">
      <c r="A9" s="47" t="str">
        <v>Hopkinton - 71 Frankland Rd</v>
      </c>
      <c r="B9" s="10" t="str">
        <v>MA</v>
      </c>
      <c r="C9" s="11">
        <f>SUM(Apr!C9, May!C9, Jun!C9)</f>
        <v>1912545</v>
      </c>
      <c r="D9" s="16">
        <f>SUM(Apr!D9, May!D9, Jun!D9)</f>
        <v>2145162.4000000004</v>
      </c>
      <c r="E9" s="16">
        <f t="shared" si="0"/>
        <v>-232617.40000000037</v>
      </c>
      <c r="F9" s="17">
        <f t="shared" si="1"/>
        <v>-0.10843813037185451</v>
      </c>
      <c r="G9" s="18">
        <f>SUM(Apr!G9,May!G9,Jun!G9)</f>
        <v>2362712.5999999996</v>
      </c>
      <c r="H9" s="18">
        <f>SUM(Apr!H9, May!H9, Jun!H9)</f>
        <v>-450167.6</v>
      </c>
      <c r="I9" s="17">
        <f t="shared" si="2"/>
        <v>-0.19052998659252932</v>
      </c>
    </row>
    <row r="10" spans="1:9" ht="15.6">
      <c r="A10" s="46" t="str">
        <v>Dedham - 100 Rustcraft Rd</v>
      </c>
      <c r="B10" s="9" t="str">
        <v>MA</v>
      </c>
      <c r="C10" s="22">
        <f>SUM(Apr!C10, May!C10, Jun!C10)</f>
        <v>352715</v>
      </c>
      <c r="D10" s="12">
        <f>SUM(Apr!D10, May!D10, Jun!D10)</f>
        <v>428153.00000000006</v>
      </c>
      <c r="E10" s="12">
        <f t="shared" si="0"/>
        <v>-75438.000000000058</v>
      </c>
      <c r="F10" s="13">
        <f t="shared" si="1"/>
        <v>-0.17619402409886198</v>
      </c>
      <c r="G10" s="14">
        <f>SUM(Apr!G10+May!G10+Jun!G10)</f>
        <v>370634.5</v>
      </c>
      <c r="H10" s="14">
        <f>SUM(Apr!H10, May!H10, Jun!H10)</f>
        <v>-17919.5</v>
      </c>
      <c r="I10" s="15">
        <f t="shared" si="2"/>
        <v>-4.8348170502206349E-2</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2" priority="1" stopIfTrue="1" operator="lessThanOrEqual">
      <formula>-0.1</formula>
    </cfRule>
    <cfRule type="expression" dxfId="5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G21" sqref="G21"/>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6" t="str" cm="1">
        <f t="array" ref="A1">portfolio</f>
        <v>Agilitas Energy</v>
      </c>
      <c r="B1" s="86"/>
      <c r="C1" s="86"/>
      <c r="D1" s="87" t="s">
        <v>14</v>
      </c>
      <c r="E1" s="87"/>
      <c r="F1" s="87"/>
      <c r="G1" s="85" t="s">
        <v>15</v>
      </c>
      <c r="H1" s="85"/>
      <c r="I1" s="85"/>
    </row>
    <row r="2" spans="1:9" ht="19.5" customHeight="1">
      <c r="A2" s="88" t="s">
        <v>2</v>
      </c>
      <c r="B2" s="88"/>
      <c r="C2" s="5">
        <f>SUM(C4:C79)</f>
        <v>3204807.6543380804</v>
      </c>
      <c r="D2" s="5">
        <f>SUM(D4:D79)</f>
        <v>3121865.45</v>
      </c>
      <c r="E2" s="5">
        <f>C2-D2</f>
        <v>82942.20433808025</v>
      </c>
      <c r="F2" s="6">
        <f>IFERROR(E2/D2, 0)</f>
        <v>2.656815473520175E-2</v>
      </c>
      <c r="G2" s="5">
        <f>SUM(G4:G79)</f>
        <v>1944524.2000000002</v>
      </c>
      <c r="H2" s="7">
        <f>C2-G2</f>
        <v>1260283.4543380802</v>
      </c>
      <c r="I2" s="6">
        <f>IFERROR(H2/G2, 0)</f>
        <v>0.6481191925192189</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SUM(Jul!C4, Aug!C4, Sep!C4)</f>
        <v>97741.000000000204</v>
      </c>
      <c r="D4" s="12">
        <f>SUM(Jul!D4, Aug!D4, Sep!D4)</f>
        <v>98263.55</v>
      </c>
      <c r="E4" s="12">
        <f>IF(AND(ISNUMBER(C4),ISNUMBER(D4)), C4-D4, "")</f>
        <v>-522.54999999979918</v>
      </c>
      <c r="F4" s="13">
        <f>IFERROR(E4/D4, "")</f>
        <v>-5.317841661529623E-3</v>
      </c>
      <c r="G4" s="14">
        <f>SUM(Jul!G4,Aug!G4,Sep!G4)</f>
        <v>93151.6</v>
      </c>
      <c r="H4" s="14">
        <f>SUM(Jul!H4, Aug!H4, Sep!H4)</f>
        <v>4589.4000000001979</v>
      </c>
      <c r="I4" s="15">
        <f t="shared" ref="I4:I10" si="0">IFERROR(H4/G4, "")</f>
        <v>4.926807483714931E-2</v>
      </c>
    </row>
    <row r="5" spans="1:9" ht="15.6">
      <c r="A5" s="47" t="str">
        <v>Auburn - Leicester Street Solar</v>
      </c>
      <c r="B5" s="10" t="str">
        <v>MA</v>
      </c>
      <c r="C5" s="11">
        <f>SUM(Jul!C5, Aug!C5, Sep!C5)</f>
        <v>983381</v>
      </c>
      <c r="D5" s="16">
        <f>SUM(Jul!D5, Aug!D5, Sep!D5)</f>
        <v>1037504</v>
      </c>
      <c r="E5" s="16">
        <f t="shared" ref="E5:E10" si="1">IF(AND(ISNUMBER(C5),ISNUMBER(D5)), C5-D5, "")</f>
        <v>-54123</v>
      </c>
      <c r="F5" s="17">
        <f>IFERROR(E5/D5, "")</f>
        <v>-5.2166545863919563E-2</v>
      </c>
      <c r="G5" s="16">
        <f>SUM(Jul!G5,Aug!G5,Sep!G5)</f>
        <v>0</v>
      </c>
      <c r="H5" s="18">
        <f>SUM(Jul!H5, Aug!H5, Sep!H5)</f>
        <v>983381</v>
      </c>
      <c r="I5" s="17" t="str">
        <f t="shared" si="0"/>
        <v/>
      </c>
    </row>
    <row r="6" spans="1:9" ht="15.6">
      <c r="A6" s="46" t="str">
        <v>Rochester - Old Middleboro</v>
      </c>
      <c r="B6" s="9" t="str">
        <v>MA</v>
      </c>
      <c r="C6" s="22">
        <f>SUM(Jul!C6, Aug!C6, Sep!C6)</f>
        <v>1097546.65433808</v>
      </c>
      <c r="D6" s="12">
        <f>SUM(Jul!D6, Aug!D6, Sep!D6)</f>
        <v>969831.3</v>
      </c>
      <c r="E6" s="12">
        <f t="shared" si="1"/>
        <v>127715.35433807992</v>
      </c>
      <c r="F6" s="13">
        <f t="shared" ref="F6:F10" si="2">IFERROR(E6/D6, "")</f>
        <v>0.13168821663940927</v>
      </c>
      <c r="G6" s="14">
        <f>SUM(Jul!G6,Aug!G6,Sep!G6)</f>
        <v>813075.1</v>
      </c>
      <c r="H6" s="14">
        <f>SUM(Jul!H6, Aug!H6, Sep!H6)</f>
        <v>284471.55433807999</v>
      </c>
      <c r="I6" s="15">
        <f t="shared" si="0"/>
        <v>0.34987119189614835</v>
      </c>
    </row>
    <row r="7" spans="1:9" ht="15.6">
      <c r="A7" s="47" t="str">
        <v>Dover - Littleworth Road</v>
      </c>
      <c r="B7" s="10" t="str">
        <v>NH</v>
      </c>
      <c r="C7" s="11">
        <f>SUM(Jul!C7, Aug!C7, Sep!C7)</f>
        <v>44814</v>
      </c>
      <c r="D7" s="16">
        <f>SUM(Jul!D7, Aug!D7, Sep!D7)</f>
        <v>0</v>
      </c>
      <c r="E7" s="16">
        <f t="shared" si="1"/>
        <v>44814</v>
      </c>
      <c r="F7" s="17" t="str">
        <f t="shared" si="2"/>
        <v/>
      </c>
      <c r="G7" s="16">
        <f>SUM(Jul!G7,Aug!G7,Sep!G7)</f>
        <v>0</v>
      </c>
      <c r="H7" s="18">
        <f>SUM(Jul!H7, Aug!H7, Sep!H7)</f>
        <v>0</v>
      </c>
      <c r="I7" s="17" t="str">
        <f t="shared" si="0"/>
        <v/>
      </c>
    </row>
    <row r="8" spans="1:9" ht="15.6">
      <c r="A8" s="46" t="str">
        <v>Milton - Landfill</v>
      </c>
      <c r="B8" s="9" t="str">
        <v>NH</v>
      </c>
      <c r="C8" s="22">
        <f>SUM(Jul!C8, Aug!C8, Sep!C8)</f>
        <v>113821</v>
      </c>
      <c r="D8" s="12">
        <f>SUM(Jul!D8, Aug!D8, Sep!D8)</f>
        <v>0</v>
      </c>
      <c r="E8" s="12">
        <f t="shared" si="1"/>
        <v>113821</v>
      </c>
      <c r="F8" s="13" t="str">
        <f t="shared" si="2"/>
        <v/>
      </c>
      <c r="G8" s="14">
        <f>SUM(Jul!G8,Aug!G8,Sep!G8)</f>
        <v>0</v>
      </c>
      <c r="H8" s="14">
        <f>SUM(Jul!H8, Aug!H8, Sep!H8)</f>
        <v>0</v>
      </c>
      <c r="I8" s="15" t="str">
        <f t="shared" si="0"/>
        <v/>
      </c>
    </row>
    <row r="9" spans="1:9" ht="15.6">
      <c r="A9" s="47" t="str">
        <v>Hopkinton - 71 Frankland Rd</v>
      </c>
      <c r="B9" s="10" t="str">
        <v>MA</v>
      </c>
      <c r="C9" s="11">
        <f>SUM(Jul!C9, Aug!C9, Sep!C9)</f>
        <v>727229</v>
      </c>
      <c r="D9" s="16">
        <f>SUM(Jul!D9, Aug!D9, Sep!D9)</f>
        <v>837059.5</v>
      </c>
      <c r="E9" s="16">
        <f t="shared" si="1"/>
        <v>-109830.5</v>
      </c>
      <c r="F9" s="17">
        <f t="shared" si="2"/>
        <v>-0.13120990801729149</v>
      </c>
      <c r="G9" s="16">
        <f>SUM(Jul!G9,Aug!G9,Sep!G9)</f>
        <v>903244.9</v>
      </c>
      <c r="H9" s="18">
        <f>SUM(Jul!H9, Aug!H9, Sep!H9)</f>
        <v>-176015.90000000002</v>
      </c>
      <c r="I9" s="17">
        <f t="shared" si="0"/>
        <v>-0.19487062700270991</v>
      </c>
    </row>
    <row r="10" spans="1:9" ht="15.6">
      <c r="A10" s="46" t="str">
        <v>Dedham - 100 Rustcraft Rd</v>
      </c>
      <c r="B10" s="9" t="str">
        <v>MA</v>
      </c>
      <c r="C10" s="22">
        <f>SUM(Jul!C10, Aug!C10, Sep!C10)</f>
        <v>140275</v>
      </c>
      <c r="D10" s="12">
        <f>SUM(Jul!D10, Aug!D10, Sep!D10)</f>
        <v>179207.1</v>
      </c>
      <c r="E10" s="16">
        <f t="shared" si="1"/>
        <v>-38932.100000000006</v>
      </c>
      <c r="F10" s="13">
        <f t="shared" si="2"/>
        <v>-0.21724641490208818</v>
      </c>
      <c r="G10" s="14">
        <f>SUM(Jul!G10,Aug!G10,Sep!G10)</f>
        <v>135052.6</v>
      </c>
      <c r="H10" s="14">
        <f>SUM(Jul!H10, Aug!H10, Sep!H10)</f>
        <v>5222.3999999999942</v>
      </c>
      <c r="I10" s="15">
        <f t="shared" si="0"/>
        <v>3.8669377709129586E-2</v>
      </c>
    </row>
    <row r="11" spans="1:9" ht="13.9">
      <c r="A11" s="19"/>
      <c r="B11" s="19"/>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17" activePane="bottomRight" state="frozen"/>
      <selection pane="bottomRight" activeCell="A17" sqref="A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6" t="str" cm="1">
        <f t="array" ref="A1">portfolio</f>
        <v>Agilitas Energy</v>
      </c>
      <c r="B1" s="86"/>
      <c r="C1" s="86"/>
      <c r="D1" s="87" t="s">
        <v>16</v>
      </c>
      <c r="E1" s="87"/>
      <c r="F1" s="87"/>
      <c r="G1" s="85" t="s">
        <v>17</v>
      </c>
      <c r="H1" s="85"/>
      <c r="I1" s="85"/>
    </row>
    <row r="2" spans="1:9" ht="19.5" customHeight="1">
      <c r="A2" s="88" t="s">
        <v>2</v>
      </c>
      <c r="B2" s="88"/>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0">Sites[Site]</f>
        <v>Rowley - Central Street Solar</v>
      </c>
      <c r="B4" s="9" t="str" cm="1">
        <f t="array" ref="B4:B10">Sites[State]</f>
        <v>MA</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6">
      <c r="A5" s="47" t="str">
        <v>Auburn - Leicester Street Solar</v>
      </c>
      <c r="B5" s="10" t="str">
        <v>MA</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6">
      <c r="A6" s="46" t="str">
        <v>Rochester - Old Middleboro</v>
      </c>
      <c r="B6" s="9" t="str">
        <v>MA</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6">
      <c r="A7" s="47" t="str">
        <v>Dover - Littleworth Road</v>
      </c>
      <c r="B7" s="10" t="str">
        <v>NH</v>
      </c>
      <c r="C7" s="11">
        <f>SUM(Oct!C7, Nov!C7, Dec!C7)</f>
        <v>0</v>
      </c>
      <c r="D7" s="16">
        <f>SUM(Oct!D7, Nov!D7, Dec!D7)</f>
        <v>0</v>
      </c>
      <c r="E7" s="16">
        <f t="shared" si="0"/>
        <v>0</v>
      </c>
      <c r="F7" s="17" t="str">
        <f t="shared" si="1"/>
        <v/>
      </c>
      <c r="G7" s="16">
        <f>SUM(Oct!G7,Nov!G7,Dec!G7)</f>
        <v>0</v>
      </c>
      <c r="H7" s="18">
        <f>SUM(Oct!H7, Nov!H7, Dec!H7)</f>
        <v>0</v>
      </c>
      <c r="I7" s="17" t="str">
        <f t="shared" si="2"/>
        <v/>
      </c>
    </row>
    <row r="8" spans="1:9" ht="15.6">
      <c r="A8" s="46" t="str">
        <v>Milton - Landfill</v>
      </c>
      <c r="B8" s="9" t="str">
        <v>NH</v>
      </c>
      <c r="C8" s="22">
        <f>SUM(Oct!C8, Nov!C8, Dec!C8)</f>
        <v>0</v>
      </c>
      <c r="D8" s="12">
        <f>SUM(Oct!D8, Nov!D8, Dec!D8)</f>
        <v>0</v>
      </c>
      <c r="E8" s="12">
        <f t="shared" si="0"/>
        <v>0</v>
      </c>
      <c r="F8" s="13" t="str">
        <f t="shared" si="1"/>
        <v/>
      </c>
      <c r="G8" s="14">
        <f>SUM(Oct!G8,Nov!G8,Dec!G8)</f>
        <v>0</v>
      </c>
      <c r="H8" s="14">
        <f>SUM(Oct!H8,Nov!H8,Dec!H8)</f>
        <v>0</v>
      </c>
      <c r="I8" s="15" t="str">
        <f t="shared" si="2"/>
        <v/>
      </c>
    </row>
    <row r="9" spans="1:9" ht="15.6">
      <c r="A9" s="47" t="str">
        <v>Hopkinton - 71 Frankland Rd</v>
      </c>
      <c r="B9" s="10" t="str">
        <v>MA</v>
      </c>
      <c r="C9" s="11">
        <f>SUM(Oct!C9, Nov!C9, Dec!C9)</f>
        <v>0</v>
      </c>
      <c r="D9" s="16">
        <f>SUM(Oct!D9, Nov!D9, Dec!D9)</f>
        <v>0</v>
      </c>
      <c r="E9" s="16">
        <f t="shared" si="0"/>
        <v>0</v>
      </c>
      <c r="F9" s="17" t="str">
        <f t="shared" si="1"/>
        <v/>
      </c>
      <c r="G9" s="16">
        <f>SUM(Oct!G9,Nov!G9,Dec!G9)</f>
        <v>0</v>
      </c>
      <c r="H9" s="18">
        <f>SUM(Oct!H9,Nov!H9,Dec!H9)</f>
        <v>0</v>
      </c>
      <c r="I9" s="17" t="str">
        <f t="shared" si="2"/>
        <v/>
      </c>
    </row>
    <row r="10" spans="1:9" ht="15.6">
      <c r="A10" s="46" t="str">
        <v>Dedham - 100 Rustcraft Rd</v>
      </c>
      <c r="B10" s="9" t="str">
        <v>MA</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ht="13.9">
      <c r="A11" s="19"/>
      <c r="B11" s="19"/>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C4" activePane="bottomRight" state="frozen"/>
      <selection pane="bottomRight" activeCell="A15" sqref="A15"/>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86" t="str" cm="1">
        <f t="array" ref="A1">portfolio</f>
        <v>Agilitas Energy</v>
      </c>
      <c r="B1" s="86"/>
      <c r="C1" s="86"/>
      <c r="D1" s="87" t="s">
        <v>18</v>
      </c>
      <c r="E1" s="87"/>
      <c r="F1" s="87"/>
      <c r="G1" s="85" t="s">
        <v>19</v>
      </c>
      <c r="H1" s="85"/>
      <c r="I1" s="85"/>
      <c r="J1" s="4"/>
      <c r="K1" s="4"/>
    </row>
    <row r="2" spans="1:13" ht="19.5" customHeight="1">
      <c r="A2" s="88" t="s">
        <v>2</v>
      </c>
      <c r="B2" s="88"/>
      <c r="C2" s="5">
        <f>SUM(C4:C79)</f>
        <v>1432705.4739164715</v>
      </c>
      <c r="D2" s="5">
        <f>SUM(D4:D79)</f>
        <v>2047587.852</v>
      </c>
      <c r="E2" s="5">
        <f>C2-D2</f>
        <v>-614882.37808352849</v>
      </c>
      <c r="F2" s="6">
        <f>IFERROR(E2/D2, 0)</f>
        <v>-0.30029596897780797</v>
      </c>
      <c r="G2" s="5">
        <f>SUM(G4:G79)</f>
        <v>806550.55499999993</v>
      </c>
      <c r="H2" s="7">
        <f>C2-G2</f>
        <v>626154.91891647154</v>
      </c>
      <c r="I2" s="6">
        <f>IFERROR(H2/G2, 0)</f>
        <v>0.77633685208544878</v>
      </c>
      <c r="J2" s="24" t="str">
        <f ca="1">IF(AND(TODAY()&gt;DATE(2024, 1, 1), COUNTA(Sites[Site])&lt;&gt;(COUNT(C:C)-1)), "Some sites are missing actual data; if new sites were added, make sure they are aligned correctly (including prior months!)", "")</f>
        <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39.6">
      <c r="A4" s="57" t="str" cm="1">
        <f t="array" ref="A4:A10">Sites[Site]</f>
        <v>Rowley - Central Street Solar</v>
      </c>
      <c r="B4" s="27" t="str" cm="1">
        <f t="array" ref="B4:B10">Sites[State]</f>
        <v>MA</v>
      </c>
      <c r="C4" s="22">
        <v>37932.475188442397</v>
      </c>
      <c r="D4" s="12">
        <v>55631.28</v>
      </c>
      <c r="E4" s="12">
        <f>IF(AND(ISNUMBER(C4),ISNUMBER(D4)), C4-D4, "")</f>
        <v>-17698.804811557602</v>
      </c>
      <c r="F4" s="13">
        <f>IFERROR(E4/D4, "")</f>
        <v>-0.3181448424619675</v>
      </c>
      <c r="G4" s="14">
        <v>41263.29</v>
      </c>
      <c r="H4" s="14">
        <f>IF(AND(ISNUMBER(C4),ISNUMBER(G4)), C4-G4, "")</f>
        <v>-3330.8148115576041</v>
      </c>
      <c r="I4" s="15">
        <f>IFERROR(H4/G4, "")</f>
        <v>-8.0721018890098292E-2</v>
      </c>
      <c r="J4" s="58" t="s">
        <v>22</v>
      </c>
      <c r="K4" s="59" t="s">
        <v>23</v>
      </c>
      <c r="L4" s="63" t="s">
        <v>24</v>
      </c>
      <c r="M4" s="63" t="s">
        <v>25</v>
      </c>
    </row>
    <row r="5" spans="1:13" ht="79.5" customHeight="1">
      <c r="A5" s="50" t="str">
        <v>Auburn - Leicester Street Solar</v>
      </c>
      <c r="B5" s="29" t="str">
        <v>MA</v>
      </c>
      <c r="C5" s="16">
        <v>403896</v>
      </c>
      <c r="D5" s="16">
        <v>787406.2</v>
      </c>
      <c r="E5" s="16">
        <f t="shared" ref="E5:E10" si="0">IF(AND(ISNUMBER(C5),ISNUMBER(D5)), C5-D5, "")</f>
        <v>-383510.19999999995</v>
      </c>
      <c r="F5" s="64">
        <f t="shared" ref="F5:F10" si="1">IFERROR(E5/D5, "")</f>
        <v>-0.48705509303838346</v>
      </c>
      <c r="G5" s="18">
        <v>0</v>
      </c>
      <c r="H5" s="18">
        <f t="shared" ref="H5:H6" si="2">IF(AND(ISNUMBER(C5),ISNUMBER(G5)), C5-G5, "")</f>
        <v>403896</v>
      </c>
      <c r="I5" s="17" t="str">
        <f>IFERROR(H5/G5, "")</f>
        <v/>
      </c>
      <c r="J5" s="52" t="s">
        <v>26</v>
      </c>
      <c r="K5" s="60" t="s">
        <v>27</v>
      </c>
      <c r="L5" s="63" t="s">
        <v>28</v>
      </c>
    </row>
    <row r="6" spans="1:13" ht="72">
      <c r="A6" s="51" t="str">
        <v>Rochester - Old Middleboro</v>
      </c>
      <c r="B6" s="27" t="str">
        <v>MA</v>
      </c>
      <c r="C6" s="22">
        <v>611256.99872802896</v>
      </c>
      <c r="D6" s="12">
        <v>702798</v>
      </c>
      <c r="E6" s="12">
        <f t="shared" si="0"/>
        <v>-91541.001271971036</v>
      </c>
      <c r="F6" s="13">
        <f t="shared" si="1"/>
        <v>-0.13025222222028382</v>
      </c>
      <c r="G6" s="14">
        <v>419559.3</v>
      </c>
      <c r="H6" s="14">
        <f t="shared" si="2"/>
        <v>191697.69872802898</v>
      </c>
      <c r="I6" s="15">
        <f t="shared" ref="I6:I10" si="3">IFERROR(H6/G6, "")</f>
        <v>0.45690251348981892</v>
      </c>
      <c r="J6" s="39" t="s">
        <v>29</v>
      </c>
      <c r="K6" s="59" t="s">
        <v>30</v>
      </c>
      <c r="L6" s="63" t="s">
        <v>31</v>
      </c>
    </row>
    <row r="7" spans="1:13" ht="15.6">
      <c r="A7" s="50" t="str">
        <v>Dover - Littleworth Road</v>
      </c>
      <c r="B7" s="29" t="str">
        <v>NH</v>
      </c>
      <c r="C7" s="16">
        <v>17331</v>
      </c>
      <c r="D7" s="16">
        <v>0</v>
      </c>
      <c r="E7" s="16">
        <f t="shared" si="0"/>
        <v>17331</v>
      </c>
      <c r="F7" s="16" t="str">
        <f t="shared" si="1"/>
        <v/>
      </c>
      <c r="G7" s="18">
        <v>0</v>
      </c>
      <c r="H7" s="18">
        <f t="shared" ref="H7:H10" si="4">IF(AND(ISNUMBER(C7),ISNUMBER(G7)), C7-G7, "")</f>
        <v>17331</v>
      </c>
      <c r="I7" s="17" t="str">
        <f t="shared" si="3"/>
        <v/>
      </c>
      <c r="J7" s="40"/>
      <c r="K7" s="40"/>
    </row>
    <row r="8" spans="1:13" ht="86.45">
      <c r="A8" s="51" t="str">
        <v>Milton - Landfill</v>
      </c>
      <c r="B8" s="27" t="str">
        <v>NH</v>
      </c>
      <c r="C8" s="22">
        <v>54795</v>
      </c>
      <c r="D8" s="12">
        <v>0</v>
      </c>
      <c r="E8" s="12">
        <f t="shared" si="0"/>
        <v>54795</v>
      </c>
      <c r="F8" s="43" t="str">
        <f t="shared" si="1"/>
        <v/>
      </c>
      <c r="G8" s="14">
        <v>0</v>
      </c>
      <c r="H8" s="14">
        <f t="shared" si="4"/>
        <v>54795</v>
      </c>
      <c r="I8" s="15" t="str">
        <f t="shared" si="3"/>
        <v/>
      </c>
      <c r="J8" s="39" t="s">
        <v>32</v>
      </c>
      <c r="K8" s="59" t="s">
        <v>33</v>
      </c>
      <c r="L8" s="62" t="s">
        <v>34</v>
      </c>
      <c r="M8" s="62" t="s">
        <v>35</v>
      </c>
    </row>
    <row r="9" spans="1:13" ht="57.6">
      <c r="A9" s="50" t="str">
        <v>Hopkinton - 71 Frankland Rd</v>
      </c>
      <c r="B9" s="29" t="str">
        <v>MA</v>
      </c>
      <c r="C9" s="16">
        <v>266892</v>
      </c>
      <c r="D9" s="16">
        <v>412403.20000000001</v>
      </c>
      <c r="E9" s="16">
        <f t="shared" si="0"/>
        <v>-145511.20000000001</v>
      </c>
      <c r="F9" s="64">
        <f t="shared" si="1"/>
        <v>-0.35283722337751017</v>
      </c>
      <c r="G9" s="18">
        <v>284177</v>
      </c>
      <c r="H9" s="18">
        <f t="shared" si="4"/>
        <v>-17285</v>
      </c>
      <c r="I9" s="17">
        <f t="shared" si="3"/>
        <v>-6.0824767662407582E-2</v>
      </c>
      <c r="J9" s="40" t="s">
        <v>36</v>
      </c>
      <c r="K9" s="61" t="s">
        <v>37</v>
      </c>
      <c r="L9" s="62" t="s">
        <v>38</v>
      </c>
    </row>
    <row r="10" spans="1:13" ht="100.9">
      <c r="A10" s="51" t="str">
        <v>Dedham - 100 Rustcraft Rd</v>
      </c>
      <c r="B10" s="27" t="str">
        <v>MA</v>
      </c>
      <c r="C10" s="22">
        <v>40602</v>
      </c>
      <c r="D10" s="12">
        <v>89349.172000000006</v>
      </c>
      <c r="E10" s="12">
        <f t="shared" si="0"/>
        <v>-48747.172000000006</v>
      </c>
      <c r="F10" s="13">
        <f t="shared" si="1"/>
        <v>-0.54558056788707565</v>
      </c>
      <c r="G10" s="14">
        <v>61550.964999999997</v>
      </c>
      <c r="H10" s="14">
        <f t="shared" si="4"/>
        <v>-20948.964999999997</v>
      </c>
      <c r="I10" s="17">
        <f t="shared" si="3"/>
        <v>-0.34035152820106068</v>
      </c>
      <c r="J10" s="39" t="s">
        <v>39</v>
      </c>
      <c r="K10" s="59" t="s">
        <v>40</v>
      </c>
      <c r="L10" s="62" t="s">
        <v>41</v>
      </c>
      <c r="M10" s="62" t="s">
        <v>42</v>
      </c>
    </row>
    <row r="11" spans="1:13" ht="14.45">
      <c r="A11" s="19"/>
      <c r="B11" s="31"/>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6" priority="12" stopIfTrue="1" operator="lessThanOrEqual">
      <formula>-0.1</formula>
    </cfRule>
    <cfRule type="expression" dxfId="45" priority="13">
      <formula>AND(ISNUMBER(F2), F2&gt;=0.1)</formula>
    </cfRule>
  </conditionalFormatting>
  <conditionalFormatting sqref="F4">
    <cfRule type="cellIs" dxfId="44" priority="3" stopIfTrue="1" operator="lessThanOrEqual">
      <formula>-0.1</formula>
    </cfRule>
    <cfRule type="expression" dxfId="43" priority="4">
      <formula>AND(ISNUMBER(F4), F4&gt;=0.1)</formula>
    </cfRule>
  </conditionalFormatting>
  <conditionalFormatting sqref="F6">
    <cfRule type="cellIs" dxfId="42" priority="1" stopIfTrue="1" operator="lessThanOrEqual">
      <formula>-0.1</formula>
    </cfRule>
    <cfRule type="expression" dxfId="41" priority="2">
      <formula>AND(ISNUMBER(F6), F6&gt;=0.1)</formula>
    </cfRule>
  </conditionalFormatting>
  <conditionalFormatting sqref="F10:F79">
    <cfRule type="cellIs" dxfId="40" priority="5" stopIfTrue="1" operator="lessThanOrEqual">
      <formula>-0.1</formula>
    </cfRule>
    <cfRule type="expression" dxfId="39" priority="6">
      <formula>AND(ISNUMBER(F10), F10&gt;=0.1)</formula>
    </cfRule>
  </conditionalFormatting>
  <hyperlinks>
    <hyperlink ref="K4" r:id="rId1" display="https://us3.assetplanner.com/service_request?ID=085127" xr:uid="{BD19405C-F23C-4670-B446-534A95F8AB84}"/>
    <hyperlink ref="L4" r:id="rId2" display="https://us3.assetplanner.com/service_request?ID=093008" xr:uid="{4AFD7112-F4EF-496A-B484-A7610C1F10FF}"/>
    <hyperlink ref="M4" r:id="rId3" display="https://us3.assetplanner.com/service_request?ID=095541" xr:uid="{D0C59FC7-4284-4E7C-BE4D-B288A88A2DE4}"/>
    <hyperlink ref="K5" r:id="rId4" display="https://us3.assetplanner.com/service_request?ID=095250" xr:uid="{8EB3F8A4-A9BC-4E72-9D3F-3336DF8EDB51}"/>
    <hyperlink ref="L5" r:id="rId5" display="https://us3.assetplanner.com/service_request?ID=095250" xr:uid="{E7AD15AC-05F4-46CF-8944-BAE4BA86CBA0}"/>
    <hyperlink ref="K6" r:id="rId6" display="https://us3.assetplanner.com/service_request?ID=095271" xr:uid="{2CDD91AF-B4B6-4D14-9213-E9EDD490BA8D}"/>
    <hyperlink ref="L6" r:id="rId7" display="https://us3.assetplanner.com/service_request?ID=095714" xr:uid="{80282B4E-1C58-4E96-81FD-4545A9BB1086}"/>
    <hyperlink ref="K8" r:id="rId8" display="https://us3.assetplanner.com/service_request?ID=092635" xr:uid="{60B663A8-AAB3-479A-B6F1-F27D5D7DBFE3}"/>
    <hyperlink ref="L8" r:id="rId9" display="https://us3.assetplanner.com/service_request?ID=094914" xr:uid="{EE85FFB3-0D74-40C5-9C11-7A069BB19B86}"/>
    <hyperlink ref="M8" r:id="rId10" display="https://us3.assetplanner.com/service_request?ID=095569" xr:uid="{59303FA6-AC51-4D9E-B528-359FDA89E63A}"/>
    <hyperlink ref="K9" r:id="rId11" display="https://us3.assetplanner.com/service_request?ID=095238" xr:uid="{00B9D682-9580-4DC4-A949-209DFB785AD9}"/>
    <hyperlink ref="L9" r:id="rId12" display="https://us3.assetplanner.com/service_request?ID=095323" xr:uid="{074FAD51-6C8D-406A-A4DF-4703302138B0}"/>
    <hyperlink ref="K10" r:id="rId13" display="https://us3.assetplanner.com/service_request?ID=095310" xr:uid="{E225D59D-5552-41D0-A2DD-5B3AC7F8939F}"/>
    <hyperlink ref="L10" r:id="rId14" display="https://us3.assetplanner.com/service_request?ID=095696" xr:uid="{B7C5FC2C-DFEA-4230-B111-EED326534328}"/>
    <hyperlink ref="M10" r:id="rId15" display="https://us3.assetplanner.com/service_request?ID=096176" xr:uid="{6780F989-1D5A-464D-9948-2387FF0B6CEB}"/>
  </hyperlinks>
  <pageMargins left="0.4" right="0.7" top="0.25" bottom="0.25" header="0.3" footer="0.3"/>
  <pageSetup fitToHeight="99" orientation="landscape"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P5" sqref="P5"/>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6" t="str" cm="1">
        <f t="array" ref="A1">portfolio</f>
        <v>Agilitas Energy</v>
      </c>
      <c r="B1" s="86"/>
      <c r="C1" s="86"/>
      <c r="D1" s="87" t="s">
        <v>43</v>
      </c>
      <c r="E1" s="87"/>
      <c r="F1" s="87"/>
      <c r="G1" s="85" t="s">
        <v>44</v>
      </c>
      <c r="H1" s="85"/>
      <c r="I1" s="85"/>
      <c r="J1" s="4"/>
      <c r="K1" s="4"/>
    </row>
    <row r="2" spans="1:14" ht="19.5" customHeight="1">
      <c r="A2" s="88" t="s">
        <v>2</v>
      </c>
      <c r="B2" s="88"/>
      <c r="C2" s="5">
        <f>SUM(C4:C80)</f>
        <v>1420953.1661759459</v>
      </c>
      <c r="D2" s="5">
        <f>SUM(D4:D80)</f>
        <v>2079297.2500000002</v>
      </c>
      <c r="E2" s="5">
        <f>C2-D2</f>
        <v>-658344.08382405434</v>
      </c>
      <c r="F2" s="6">
        <f>IFERROR(E2/D2, 0)</f>
        <v>-0.31661855168810243</v>
      </c>
      <c r="G2" s="5">
        <f>SUM(G4:G80)</f>
        <v>1031904.2400000001</v>
      </c>
      <c r="H2" s="7">
        <f>C2-G2</f>
        <v>389048.92617594579</v>
      </c>
      <c r="I2" s="6">
        <f>IFERROR(H2/G2, 0)</f>
        <v>0.3770203775652145</v>
      </c>
      <c r="J2" s="24"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0">Sites[Site]</f>
        <v>Rowley - Central Street Solar</v>
      </c>
      <c r="B4" s="27" t="str" cm="1">
        <f t="array" ref="B4:B10">Sites[State]</f>
        <v>MA</v>
      </c>
      <c r="C4" s="22">
        <v>37920.1875</v>
      </c>
      <c r="D4" s="12">
        <v>57349.06</v>
      </c>
      <c r="E4" s="12">
        <f>IF(AND(ISNUMBER(C4),ISNUMBER(D4)), C4-D4, "")</f>
        <v>-19428.872499999998</v>
      </c>
      <c r="F4" s="13">
        <f>IFERROR(E4/D4, "")</f>
        <v>-0.33878275424217935</v>
      </c>
      <c r="G4" s="14">
        <v>53130.43</v>
      </c>
      <c r="H4" s="14">
        <f>IF(AND(ISNUMBER(C4),ISNUMBER(G4)), C4-G4, "")</f>
        <v>-15210.2425</v>
      </c>
      <c r="I4" s="15">
        <f>IFERROR(H4/G4, "")</f>
        <v>-0.28628118575362554</v>
      </c>
      <c r="J4" s="39" t="s">
        <v>45</v>
      </c>
      <c r="K4" s="59" t="s">
        <v>46</v>
      </c>
      <c r="L4" s="66" t="s">
        <v>24</v>
      </c>
      <c r="M4" s="66" t="s">
        <v>47</v>
      </c>
    </row>
    <row r="5" spans="1:14" ht="201.6" customHeight="1">
      <c r="A5" s="28" t="str">
        <v>Auburn - Leicester Street Solar</v>
      </c>
      <c r="B5" s="29" t="str">
        <v>MA</v>
      </c>
      <c r="C5" s="11">
        <v>330277</v>
      </c>
      <c r="D5" s="16">
        <v>785932.80000000005</v>
      </c>
      <c r="E5" s="16">
        <f t="shared" ref="E5:E10" si="0">IF(AND(ISNUMBER(C5),ISNUMBER(D5)), C5-D5, "")</f>
        <v>-455655.80000000005</v>
      </c>
      <c r="F5" s="17">
        <f t="shared" ref="F5:F10" si="1">IFERROR(E5/D5, "")</f>
        <v>-0.5797643259067442</v>
      </c>
      <c r="G5" s="18">
        <v>0</v>
      </c>
      <c r="H5" s="18">
        <f t="shared" ref="H5:H10" si="2">IF(AND(ISNUMBER(C5),ISNUMBER(G5)), C5-G5, "")</f>
        <v>330277</v>
      </c>
      <c r="I5" s="17" t="str">
        <f>IFERROR(H5/G5, "")</f>
        <v/>
      </c>
      <c r="J5" s="52" t="s">
        <v>48</v>
      </c>
      <c r="K5" s="60" t="s">
        <v>49</v>
      </c>
      <c r="L5" s="66" t="s">
        <v>50</v>
      </c>
      <c r="M5" s="66" t="s">
        <v>28</v>
      </c>
      <c r="N5" s="66" t="s">
        <v>51</v>
      </c>
    </row>
    <row r="6" spans="1:14" ht="121.5" customHeight="1">
      <c r="A6" s="26" t="str">
        <v>Rochester - Old Middleboro</v>
      </c>
      <c r="B6" s="27" t="str">
        <v>MA</v>
      </c>
      <c r="C6" s="22">
        <v>641846.47901418398</v>
      </c>
      <c r="D6" s="12">
        <v>693935.9</v>
      </c>
      <c r="E6" s="12">
        <f t="shared" si="0"/>
        <v>-52089.420985816047</v>
      </c>
      <c r="F6" s="13">
        <f t="shared" si="1"/>
        <v>-7.5063735693478378E-2</v>
      </c>
      <c r="G6" s="14">
        <v>488422.1</v>
      </c>
      <c r="H6" s="14">
        <f t="shared" si="2"/>
        <v>153424.379014184</v>
      </c>
      <c r="I6" s="15">
        <f t="shared" ref="I6:I10" si="3">IFERROR(H6/G6, "")</f>
        <v>0.31412251618873105</v>
      </c>
      <c r="J6" s="39" t="s">
        <v>52</v>
      </c>
      <c r="K6" s="59" t="s">
        <v>53</v>
      </c>
      <c r="L6" s="66" t="s">
        <v>54</v>
      </c>
    </row>
    <row r="7" spans="1:14" ht="15.6">
      <c r="A7" s="28" t="str">
        <v>Dover - Littleworth Road</v>
      </c>
      <c r="B7" s="29" t="str">
        <v>NH</v>
      </c>
      <c r="C7" s="11">
        <v>5964</v>
      </c>
      <c r="D7" s="16">
        <v>0</v>
      </c>
      <c r="E7" s="16">
        <f t="shared" si="0"/>
        <v>5964</v>
      </c>
      <c r="F7" s="17" t="str">
        <f t="shared" si="1"/>
        <v/>
      </c>
      <c r="G7" s="18">
        <v>0</v>
      </c>
      <c r="H7" s="18">
        <f t="shared" si="2"/>
        <v>5964</v>
      </c>
      <c r="I7" s="17" t="str">
        <f t="shared" si="3"/>
        <v/>
      </c>
      <c r="J7" s="40"/>
      <c r="K7" s="41"/>
    </row>
    <row r="8" spans="1:14" ht="97.5" customHeight="1">
      <c r="A8" s="26" t="str">
        <v>Milton - Landfill</v>
      </c>
      <c r="B8" s="27" t="str">
        <v>NH</v>
      </c>
      <c r="C8" s="22">
        <v>16586</v>
      </c>
      <c r="D8" s="12">
        <v>0</v>
      </c>
      <c r="E8" s="12">
        <f t="shared" si="0"/>
        <v>16586</v>
      </c>
      <c r="F8" s="13" t="str">
        <f t="shared" si="1"/>
        <v/>
      </c>
      <c r="G8" s="14">
        <v>0</v>
      </c>
      <c r="H8" s="14">
        <f t="shared" si="2"/>
        <v>16586</v>
      </c>
      <c r="I8" s="15" t="str">
        <f t="shared" si="3"/>
        <v/>
      </c>
      <c r="J8" s="39" t="s">
        <v>55</v>
      </c>
      <c r="K8" s="59" t="s">
        <v>56</v>
      </c>
      <c r="L8" s="66" t="s">
        <v>34</v>
      </c>
      <c r="M8" s="66" t="s">
        <v>35</v>
      </c>
    </row>
    <row r="9" spans="1:14" ht="98.25" customHeight="1">
      <c r="A9" s="28" t="str">
        <v>Hopkinton - 71 Frankland Rd</v>
      </c>
      <c r="B9" s="29" t="str">
        <v>MA</v>
      </c>
      <c r="C9" s="11">
        <v>350943.99966176198</v>
      </c>
      <c r="D9" s="16">
        <v>450697.4</v>
      </c>
      <c r="E9" s="16">
        <f t="shared" si="0"/>
        <v>-99753.400338238047</v>
      </c>
      <c r="F9" s="17">
        <f t="shared" si="1"/>
        <v>-0.22133120878495868</v>
      </c>
      <c r="G9" s="18">
        <v>412974.3</v>
      </c>
      <c r="H9" s="18">
        <f t="shared" si="2"/>
        <v>-62030.300338238012</v>
      </c>
      <c r="I9" s="17">
        <f t="shared" si="3"/>
        <v>-0.15020377863280598</v>
      </c>
      <c r="J9" s="40" t="s">
        <v>57</v>
      </c>
      <c r="K9" s="60" t="s">
        <v>58</v>
      </c>
      <c r="L9" s="66" t="s">
        <v>59</v>
      </c>
      <c r="M9" s="66" t="s">
        <v>60</v>
      </c>
    </row>
    <row r="10" spans="1:14" ht="36" customHeight="1">
      <c r="A10" s="26" t="str">
        <v>Dedham - 100 Rustcraft Rd</v>
      </c>
      <c r="B10" s="27" t="str">
        <v>MA</v>
      </c>
      <c r="C10" s="22">
        <v>37415.5</v>
      </c>
      <c r="D10" s="12">
        <v>91382.09</v>
      </c>
      <c r="E10" s="12">
        <f t="shared" si="0"/>
        <v>-53966.59</v>
      </c>
      <c r="F10" s="13">
        <f t="shared" si="1"/>
        <v>-0.59055981319753137</v>
      </c>
      <c r="G10" s="14">
        <v>77377.41</v>
      </c>
      <c r="H10" s="14">
        <f t="shared" si="2"/>
        <v>-39961.910000000003</v>
      </c>
      <c r="I10" s="15">
        <f t="shared" si="3"/>
        <v>-0.51645447941459921</v>
      </c>
      <c r="J10" s="39" t="s">
        <v>61</v>
      </c>
      <c r="K10" s="59" t="s">
        <v>62</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8" priority="11" stopIfTrue="1" operator="lessThanOrEqual">
      <formula>-0.1</formula>
    </cfRule>
    <cfRule type="expression" dxfId="37" priority="12">
      <formula>AND(ISNUMBER(F2), F2&gt;=0.1)</formula>
    </cfRule>
  </conditionalFormatting>
  <conditionalFormatting sqref="F4:F80 I4:I80">
    <cfRule type="cellIs" dxfId="36" priority="1" stopIfTrue="1" operator="lessThanOrEqual">
      <formula>-0.1</formula>
    </cfRule>
    <cfRule type="expression" dxfId="35" priority="2">
      <formula>AND(ISNUMBER(F4), F4&gt;=0.1)</formula>
    </cfRule>
  </conditionalFormatting>
  <hyperlinks>
    <hyperlink ref="K4" r:id="rId1" display="https://us3.assetplanner.com/service_request?ID=085127" xr:uid="{F5EC291F-80CF-4AC9-8E3B-CE982C9B69F1}"/>
    <hyperlink ref="L4" r:id="rId2" display="https://us3.assetplanner.com/service_request?ID=093008" xr:uid="{B53EA27A-A5D3-4FB3-AABD-68938A156D1F}"/>
    <hyperlink ref="M4" r:id="rId3" display="https://us3.assetplanner.com/service_request?ID=088882" xr:uid="{D0E33F49-5A8D-42BC-99C1-4231E18A55CB}"/>
    <hyperlink ref="K5" r:id="rId4" display="https://us3.assetplanner.com/service_request?ID=096327" xr:uid="{B1A2D7FA-8F5A-48BC-9F42-E760CF5C6C68}"/>
    <hyperlink ref="L5" r:id="rId5" display="https://us3.assetplanner.com/service_request?ID=096327" xr:uid="{12A501D7-261E-4369-9010-122C3C109093}"/>
    <hyperlink ref="M5" r:id="rId6" display="https://us3.assetplanner.com/service_request?ID=095250" xr:uid="{DA4E2506-052F-433B-B387-DEB22115E614}"/>
    <hyperlink ref="N5" r:id="rId7" display="https://us3.assetplanner.com/service_request?ID=097185" xr:uid="{A675A3AD-3676-40CC-B722-ED6A8127643B}"/>
    <hyperlink ref="K6" r:id="rId8" display="https://us3.assetplanner.com/service_request?ID=096404" xr:uid="{B99F3C54-D5D3-427F-855D-6F56F36670C1}"/>
    <hyperlink ref="L6" r:id="rId9" display="https://us3.assetplanner.com/service_request?ID=096414" xr:uid="{557FD603-87B3-4953-84D5-0542DCF28A88}"/>
    <hyperlink ref="K8" r:id="rId10" display="https://us3.assetplanner.com/service_request?ID=092635" xr:uid="{633E2F08-9312-43E9-A8A6-1C99165AB989}"/>
    <hyperlink ref="L8" r:id="rId11" display="https://us3.assetplanner.com/service_request?ID=094914" xr:uid="{99773F5B-9E7C-4D09-9719-C9A8AC73F69A}"/>
    <hyperlink ref="M8" r:id="rId12" display="https://us3.assetplanner.com/service_request?ID=095569" xr:uid="{AA871EA9-AABA-451D-90C3-9A1F1695C136}"/>
    <hyperlink ref="K9" r:id="rId13" display="https://us3.assetplanner.com/service_request?ID=096292" xr:uid="{613A642F-083A-457F-A6B0-1C8A1BBD8E45}"/>
    <hyperlink ref="L9" r:id="rId14" display="https://us3.assetplanner.com/service_request?ID=096335" xr:uid="{53E36522-D4F3-46DC-B964-0FAB5903CBA8}"/>
    <hyperlink ref="M9" r:id="rId15" display="https://us3.assetplanner.com/service_request?ID=097855" xr:uid="{5EDCCC1F-87C2-42F3-AD78-8421BAD3F887}"/>
    <hyperlink ref="K10" r:id="rId16" display="https://us3.assetplanner.com/service_request?ID=096176" xr:uid="{07EE6ECC-2A21-4E10-9F1C-F7515A6C72E0}"/>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4" activePane="bottomRight" state="frozen"/>
      <selection pane="bottomRight" activeCell="J9" sqref="J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6" t="str" cm="1">
        <f t="array" ref="A1">portfolio</f>
        <v>Agilitas Energy</v>
      </c>
      <c r="B1" s="86"/>
      <c r="C1" s="86"/>
      <c r="D1" s="87" t="s">
        <v>63</v>
      </c>
      <c r="E1" s="87"/>
      <c r="F1" s="87"/>
      <c r="G1" s="85" t="s">
        <v>64</v>
      </c>
      <c r="H1" s="85"/>
      <c r="I1" s="85"/>
      <c r="J1" s="4"/>
      <c r="K1" s="4"/>
    </row>
    <row r="2" spans="1:17" ht="19.5" customHeight="1">
      <c r="A2" s="88" t="s">
        <v>2</v>
      </c>
      <c r="B2" s="88"/>
      <c r="C2" s="5">
        <f>SUM(C4:C80)</f>
        <v>2681112.2923430698</v>
      </c>
      <c r="D2" s="5">
        <f>SUM(D4:D80)</f>
        <v>2630708.73</v>
      </c>
      <c r="E2" s="5">
        <f>C2-D2</f>
        <v>50403.562343069818</v>
      </c>
      <c r="F2" s="6">
        <f>IFERROR(E2/D2, 0)</f>
        <v>1.9159689466294438E-2</v>
      </c>
      <c r="G2" s="5">
        <f>SUM(G4:G80)</f>
        <v>1425733.4400000002</v>
      </c>
      <c r="H2" s="7">
        <f>C2-G2</f>
        <v>1255378.8523430696</v>
      </c>
      <c r="I2" s="6">
        <f>IFERROR(H2/G2, 0)</f>
        <v>0.88051441954189524</v>
      </c>
      <c r="J2" s="24"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0">Sites[Site]</f>
        <v>Rowley - Central Street Solar</v>
      </c>
      <c r="B4" s="27" t="str" cm="1">
        <f t="array" ref="B4:B10">Sites[State]</f>
        <v>MA</v>
      </c>
      <c r="C4" s="22">
        <v>71540.099375000005</v>
      </c>
      <c r="D4" s="12">
        <v>72275.53</v>
      </c>
      <c r="E4" s="12">
        <f>IF(AND(ISNUMBER(C4),ISNUMBER(D4)), C4-D4, "")</f>
        <v>-735.4306249999936</v>
      </c>
      <c r="F4" s="13">
        <f>IFERROR(E4/D4, "")</f>
        <v>-1.0175375054323277E-2</v>
      </c>
      <c r="G4" s="14">
        <v>72283.759999999995</v>
      </c>
      <c r="H4" s="14">
        <f>IF(AND(ISNUMBER(C4),ISNUMBER(G4)), C4-G4, "")</f>
        <v>-743.66062499998952</v>
      </c>
      <c r="I4" s="15">
        <f>IFERROR(H4/G4, "")</f>
        <v>-1.0288073351469121E-2</v>
      </c>
      <c r="J4" s="39"/>
      <c r="K4" s="39"/>
    </row>
    <row r="5" spans="1:17" ht="141" customHeight="1">
      <c r="A5" s="28" t="str">
        <v>Auburn - Leicester Street Solar</v>
      </c>
      <c r="B5" s="29" t="str">
        <v>MA</v>
      </c>
      <c r="C5" s="11">
        <v>764124</v>
      </c>
      <c r="D5" s="16">
        <v>907208.2</v>
      </c>
      <c r="E5" s="16">
        <f t="shared" ref="E5:E10" si="0">IF(AND(ISNUMBER(C5),ISNUMBER(D5)), C5-D5, "")</f>
        <v>-143084.19999999995</v>
      </c>
      <c r="F5" s="17">
        <f>IFERROR(E5/D5, "")</f>
        <v>-0.15771925341944656</v>
      </c>
      <c r="G5" s="18">
        <v>0</v>
      </c>
      <c r="H5" s="18">
        <f t="shared" ref="H5:H10" si="1">IF(AND(ISNUMBER(C5),ISNUMBER(G5)), C5-G5, "")</f>
        <v>764124</v>
      </c>
      <c r="I5" s="17" t="str">
        <f t="shared" ref="I5:I10" si="2">IFERROR(H5/G5, "")</f>
        <v/>
      </c>
      <c r="J5" s="40" t="s">
        <v>65</v>
      </c>
      <c r="K5" s="61" t="s">
        <v>66</v>
      </c>
      <c r="L5" s="66" t="s">
        <v>50</v>
      </c>
      <c r="M5" s="66" t="s">
        <v>67</v>
      </c>
      <c r="N5" s="66" t="s">
        <v>68</v>
      </c>
    </row>
    <row r="6" spans="1:17" ht="98.25" customHeight="1">
      <c r="A6" s="26" t="str">
        <v>Rochester - Old Middleboro</v>
      </c>
      <c r="B6" s="27" t="str">
        <v>MA</v>
      </c>
      <c r="C6" s="22">
        <v>1010942.19296807</v>
      </c>
      <c r="D6" s="12">
        <v>868409.7</v>
      </c>
      <c r="E6" s="12">
        <f t="shared" si="0"/>
        <v>142532.49296807009</v>
      </c>
      <c r="F6" s="13">
        <f t="shared" ref="F6:F10" si="3">IFERROR(E6/D6, "")</f>
        <v>0.1641304708688423</v>
      </c>
      <c r="G6" s="14">
        <v>636617.9</v>
      </c>
      <c r="H6" s="14">
        <f t="shared" si="1"/>
        <v>374324.29296807002</v>
      </c>
      <c r="I6" s="15">
        <f t="shared" si="2"/>
        <v>0.58798895376342697</v>
      </c>
      <c r="J6" s="39" t="s">
        <v>69</v>
      </c>
      <c r="K6" s="59" t="s">
        <v>70</v>
      </c>
      <c r="L6" s="62" t="s">
        <v>71</v>
      </c>
      <c r="M6" s="69"/>
      <c r="N6" s="69"/>
      <c r="O6" s="69"/>
      <c r="P6" s="69"/>
      <c r="Q6" s="69"/>
    </row>
    <row r="7" spans="1:17" ht="78.75" customHeight="1">
      <c r="A7" s="28" t="str">
        <v>Dover - Littleworth Road</v>
      </c>
      <c r="B7" s="29" t="str">
        <v>NH</v>
      </c>
      <c r="C7" s="11">
        <v>18653</v>
      </c>
      <c r="D7" s="16" t="s">
        <v>72</v>
      </c>
      <c r="E7" s="16" t="str">
        <f t="shared" si="0"/>
        <v/>
      </c>
      <c r="F7" s="17" t="str">
        <f t="shared" si="3"/>
        <v/>
      </c>
      <c r="G7" s="67" t="s">
        <v>72</v>
      </c>
      <c r="H7" s="18" t="str">
        <f t="shared" si="1"/>
        <v/>
      </c>
      <c r="I7" s="17" t="str">
        <f t="shared" si="2"/>
        <v/>
      </c>
      <c r="J7" s="40" t="s">
        <v>73</v>
      </c>
      <c r="K7" s="61" t="s">
        <v>74</v>
      </c>
      <c r="L7" s="62" t="s">
        <v>75</v>
      </c>
      <c r="M7" s="62" t="s">
        <v>75</v>
      </c>
      <c r="N7" s="69"/>
      <c r="O7" s="69"/>
      <c r="P7" s="69"/>
      <c r="Q7" s="69"/>
    </row>
    <row r="8" spans="1:17" ht="142.5" customHeight="1">
      <c r="A8" s="26" t="str">
        <v>Milton - Landfill</v>
      </c>
      <c r="B8" s="27" t="str">
        <v>NH</v>
      </c>
      <c r="C8" s="22">
        <v>91382</v>
      </c>
      <c r="D8" s="12" t="s">
        <v>72</v>
      </c>
      <c r="E8" s="12" t="str">
        <f t="shared" si="0"/>
        <v/>
      </c>
      <c r="F8" s="13" t="str">
        <f t="shared" si="3"/>
        <v/>
      </c>
      <c r="G8" s="68" t="s">
        <v>72</v>
      </c>
      <c r="H8" s="14" t="str">
        <f t="shared" si="1"/>
        <v/>
      </c>
      <c r="I8" s="15" t="str">
        <f t="shared" si="2"/>
        <v/>
      </c>
      <c r="J8" s="39" t="s">
        <v>76</v>
      </c>
      <c r="K8" s="59" t="s">
        <v>77</v>
      </c>
      <c r="L8" s="62" t="s">
        <v>34</v>
      </c>
      <c r="M8" s="62" t="s">
        <v>35</v>
      </c>
      <c r="N8" s="62" t="s">
        <v>78</v>
      </c>
      <c r="O8" s="69"/>
      <c r="P8" s="69"/>
      <c r="Q8" s="69"/>
    </row>
    <row r="9" spans="1:17" ht="300.75" customHeight="1">
      <c r="A9" s="28" t="str">
        <v>Hopkinton - 71 Frankland Rd</v>
      </c>
      <c r="B9" s="29" t="str">
        <v>MA</v>
      </c>
      <c r="C9" s="11">
        <v>626726</v>
      </c>
      <c r="D9" s="16">
        <v>662329.9</v>
      </c>
      <c r="E9" s="16">
        <f t="shared" si="0"/>
        <v>-35603.900000000023</v>
      </c>
      <c r="F9" s="17">
        <f t="shared" si="3"/>
        <v>-5.3755537836960132E-2</v>
      </c>
      <c r="G9" s="18">
        <v>618472.5</v>
      </c>
      <c r="H9" s="18">
        <f t="shared" si="1"/>
        <v>8253.5</v>
      </c>
      <c r="I9" s="17">
        <f t="shared" si="2"/>
        <v>1.3344974918044051E-2</v>
      </c>
      <c r="J9" s="52" t="s">
        <v>79</v>
      </c>
      <c r="K9" s="61" t="s">
        <v>80</v>
      </c>
      <c r="L9" s="62" t="s">
        <v>81</v>
      </c>
      <c r="M9" s="62" t="s">
        <v>82</v>
      </c>
      <c r="N9" s="62" t="s">
        <v>83</v>
      </c>
      <c r="O9" s="62" t="s">
        <v>83</v>
      </c>
      <c r="P9" s="62" t="s">
        <v>84</v>
      </c>
      <c r="Q9" s="69"/>
    </row>
    <row r="10" spans="1:17" ht="220.5" customHeight="1">
      <c r="A10" s="26" t="str">
        <v>Dedham - 100 Rustcraft Rd</v>
      </c>
      <c r="B10" s="27" t="str">
        <v>MA</v>
      </c>
      <c r="C10" s="22">
        <v>97745</v>
      </c>
      <c r="D10" s="12">
        <v>120485.4</v>
      </c>
      <c r="E10" s="12">
        <f t="shared" si="0"/>
        <v>-22740.399999999994</v>
      </c>
      <c r="F10" s="13">
        <f t="shared" si="3"/>
        <v>-0.18873988051664348</v>
      </c>
      <c r="G10" s="14">
        <v>98359.28</v>
      </c>
      <c r="H10" s="14">
        <f t="shared" si="1"/>
        <v>-614.27999999999884</v>
      </c>
      <c r="I10" s="15">
        <f t="shared" si="2"/>
        <v>-6.2452673504726636E-3</v>
      </c>
      <c r="J10" s="39" t="s">
        <v>85</v>
      </c>
      <c r="K10" s="59" t="s">
        <v>86</v>
      </c>
      <c r="L10" s="62" t="s">
        <v>87</v>
      </c>
      <c r="M10" s="62" t="s">
        <v>88</v>
      </c>
      <c r="N10" s="62" t="s">
        <v>89</v>
      </c>
      <c r="O10" s="69"/>
      <c r="P10" s="69"/>
      <c r="Q10" s="69"/>
    </row>
    <row r="11" spans="1:17" ht="14.45">
      <c r="A11" s="19"/>
      <c r="B11" s="31"/>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4" priority="7" stopIfTrue="1" operator="lessThanOrEqual">
      <formula>-0.1</formula>
    </cfRule>
    <cfRule type="expression" dxfId="33" priority="8">
      <formula>AND(ISNUMBER(F2), F2&gt;=0.1)</formula>
    </cfRule>
  </conditionalFormatting>
  <conditionalFormatting sqref="F4:F80 I4:I80">
    <cfRule type="cellIs" dxfId="32" priority="1" stopIfTrue="1" operator="lessThanOrEqual">
      <formula>-0.1</formula>
    </cfRule>
    <cfRule type="expression" dxfId="31" priority="2">
      <formula>AND(ISNUMBER(F4), F4&gt;=0.1)</formula>
    </cfRule>
  </conditionalFormatting>
  <hyperlinks>
    <hyperlink ref="K5" r:id="rId1" display="https://us3.assetplanner.com/service_request?ID=095250" xr:uid="{D6A5B866-CA46-4640-BFA3-E4604F4C95B3}"/>
    <hyperlink ref="L5" r:id="rId2" display="https://us3.assetplanner.com/service_request?ID=096327" xr:uid="{EB27826A-C8EE-4804-97A0-124312527F80}"/>
    <hyperlink ref="M5" r:id="rId3" display="https://us3.assetplanner.com/service_request?ID=098922" xr:uid="{E485DB02-1C21-41FE-B605-6E2FF9F5382E}"/>
    <hyperlink ref="N5" r:id="rId4" display="https://us3.assetplanner.com/service_request?ID=099164" xr:uid="{187F0729-1D1C-49EC-A64A-36BE6C56B0F6}"/>
    <hyperlink ref="K6" r:id="rId5" display="https://us3.assetplanner.com/service_request?ID=098255" xr:uid="{25F11BAA-D009-42B6-988A-084E6EA5F819}"/>
    <hyperlink ref="L6" r:id="rId6" display="https://us3.assetplanner.com/service_request?ID=098255" xr:uid="{6F0A7AB0-53A0-4581-B1AE-98D2399941D5}"/>
    <hyperlink ref="K7" r:id="rId7" display="https://us3.assetplanner.com/service_request?ID=098603" xr:uid="{B6AAC75A-D851-442C-B137-9A978599F7DB}"/>
    <hyperlink ref="L7" r:id="rId8" display="https://us3.assetplanner.com/service_request?ID=098617" xr:uid="{592A9161-4CFF-4566-AEBA-796A520532C8}"/>
    <hyperlink ref="M7" r:id="rId9" display="https://us3.assetplanner.com/service_request?ID=098617" xr:uid="{22906569-D305-4801-8E31-0E5EE2CC0169}"/>
    <hyperlink ref="K8" r:id="rId10" display="https://us3.assetplanner.com/service_request?ID=092635" xr:uid="{AE051626-6A17-4AD2-8FFB-E37F22722668}"/>
    <hyperlink ref="L8" r:id="rId11" display="https://us3.assetplanner.com/service_request?ID=094914" xr:uid="{9AE5E42D-3E88-40F4-B36A-F663240ED9E2}"/>
    <hyperlink ref="M8" r:id="rId12" display="https://us3.assetplanner.com/service_request?ID=095569" xr:uid="{C5A67D76-E253-4377-A50F-29E8989B587B}"/>
    <hyperlink ref="N8" r:id="rId13" display="https://us3.assetplanner.com/service_request?ID=099233" xr:uid="{28426F48-A39F-4ACC-9EBE-EF42450C71F1}"/>
    <hyperlink ref="K9" r:id="rId14" display="https://us3.assetplanner.com/service_request?ID=098299" xr:uid="{CAFC6080-FFD6-4A9C-A4EB-5639AB5C47FD}"/>
    <hyperlink ref="L9" r:id="rId15" display="https://us3.assetplanner.com/service_request?ID=098355" xr:uid="{82DD4C1B-942B-4216-B136-18DCA0FF7B8D}"/>
    <hyperlink ref="M9" r:id="rId16" display="https://us3.assetplanner.com/service_request?ID=098616" xr:uid="{3D47FD43-9BA3-4AAB-AA8B-34F1064D223B}"/>
    <hyperlink ref="N9" r:id="rId17" display="https://us3.assetplanner.com/service_request?ID=098773" xr:uid="{A6A0E777-3D7F-46DE-A780-F2F6381AA105}"/>
    <hyperlink ref="O9" r:id="rId18" display="https://us3.assetplanner.com/service_request?ID=098773" xr:uid="{E1A38429-4862-4D79-A118-65BB9904E083}"/>
    <hyperlink ref="P9" r:id="rId19" display="https://us3.assetplanner.com/service_request?ID=099056" xr:uid="{2C774BFA-40E0-4176-8BA4-6E51FF4349F5}"/>
    <hyperlink ref="K10" r:id="rId20" display="https://us3.assetplanner.com/service_request?ID=095310" xr:uid="{2124CD16-5D9F-45B8-8D54-8A941E0B2218}"/>
    <hyperlink ref="L10" r:id="rId21" display="https://us3.assetplanner.com/service_request?ID=098276" xr:uid="{7B5B80E8-F9BC-4348-B966-C75B810902F9}"/>
    <hyperlink ref="M10" r:id="rId22" display="https://us3.assetplanner.com/service_request?ID=098520" xr:uid="{7E83BF7D-365D-403A-BA23-066DF51F9558}"/>
    <hyperlink ref="N10" r:id="rId23" display="https://us3.assetplanner.com/service_request?ID=098880" xr:uid="{80C34AB1-41D9-488C-B6DD-CA7310B3F4EE}"/>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P322"/>
  <sheetViews>
    <sheetView zoomScale="70" zoomScaleNormal="70" workbookViewId="0">
      <pane xSplit="2" ySplit="3" topLeftCell="C4" activePane="bottomRight" state="frozen"/>
      <selection pane="bottomRight" activeCell="J19" sqref="J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69"/>
  </cols>
  <sheetData>
    <row r="1" spans="1:15" ht="19.5" customHeight="1">
      <c r="A1" s="86" t="str" cm="1">
        <f t="array" ref="A1">portfolio</f>
        <v>Agilitas Energy</v>
      </c>
      <c r="B1" s="86"/>
      <c r="C1" s="86"/>
      <c r="D1" s="87" t="s">
        <v>90</v>
      </c>
      <c r="E1" s="87"/>
      <c r="F1" s="87"/>
      <c r="G1" s="85" t="s">
        <v>91</v>
      </c>
      <c r="H1" s="85"/>
      <c r="I1" s="85"/>
      <c r="J1" s="4"/>
      <c r="K1" s="4"/>
    </row>
    <row r="2" spans="1:15" ht="19.5" customHeight="1">
      <c r="A2" s="88" t="s">
        <v>2</v>
      </c>
      <c r="B2" s="88"/>
      <c r="C2" s="5">
        <f>SUM(C4:C80)</f>
        <v>2786921.2911654003</v>
      </c>
      <c r="D2" s="5">
        <f>SUM(D4:D80)</f>
        <v>2596421.5300000003</v>
      </c>
      <c r="E2" s="5">
        <f>C2-D2</f>
        <v>190499.76116540004</v>
      </c>
      <c r="F2" s="6">
        <f>IFERROR(E2/D2, 0)</f>
        <v>7.3370120746687847E-2</v>
      </c>
      <c r="G2" s="5">
        <f>SUM(G4:G80)</f>
        <v>1617277.21</v>
      </c>
      <c r="H2" s="7">
        <f>C2-G2</f>
        <v>1169644.0811654003</v>
      </c>
      <c r="I2" s="6">
        <f>IFERROR(H2/G2, 0)</f>
        <v>0.72321805682613949</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65" t="str" cm="1">
        <f t="array" ref="A4:A10">Sites[Site]</f>
        <v>Rowley - Central Street Solar</v>
      </c>
      <c r="B4" s="27" t="str" cm="1">
        <f t="array" ref="B4:B10">Sites[State]</f>
        <v>MA</v>
      </c>
      <c r="C4" s="22">
        <v>82040.963124999995</v>
      </c>
      <c r="D4" s="12">
        <v>82476.03</v>
      </c>
      <c r="E4" s="12">
        <f>IF(AND(ISNUMBER(C4),ISNUMBER(D4)), C4-D4, "")</f>
        <v>-435.06687500000407</v>
      </c>
      <c r="F4" s="13">
        <f>IFERROR(E4/D4, "")</f>
        <v>-5.2750705265518245E-3</v>
      </c>
      <c r="G4" s="14">
        <v>81850.41</v>
      </c>
      <c r="H4" s="14">
        <f>IF(AND(ISNUMBER(C4),ISNUMBER(G4)), C4-G4, "")</f>
        <v>190.55312499999127</v>
      </c>
      <c r="I4" s="15">
        <f>IFERROR(H4/G4, "")</f>
        <v>2.3280656138434893E-3</v>
      </c>
      <c r="J4" s="39"/>
      <c r="K4" s="39"/>
    </row>
    <row r="5" spans="1:15" ht="144">
      <c r="A5" s="28" t="str">
        <v>Auburn - Leicester Street Solar</v>
      </c>
      <c r="B5" s="29" t="str">
        <v>MA</v>
      </c>
      <c r="C5" s="11">
        <v>708193</v>
      </c>
      <c r="D5" s="16">
        <v>738902.9</v>
      </c>
      <c r="E5" s="16">
        <f t="shared" ref="E5:E10" si="0">IF(AND(ISNUMBER(C5),ISNUMBER(D5)), C5-D5, "")</f>
        <v>-30709.900000000023</v>
      </c>
      <c r="F5" s="17">
        <f>IFERROR(E5/D5, "")</f>
        <v>-4.1561482570984659E-2</v>
      </c>
      <c r="G5" s="18">
        <v>0</v>
      </c>
      <c r="H5" s="18">
        <f t="shared" ref="H5:H10" si="1">IF(AND(ISNUMBER(C5),ISNUMBER(G5)), C5-G5, "")</f>
        <v>708193</v>
      </c>
      <c r="I5" s="17" t="str">
        <f t="shared" ref="I5:I10" si="2">IFERROR(H5/G5, "")</f>
        <v/>
      </c>
      <c r="J5" s="52" t="s">
        <v>92</v>
      </c>
      <c r="K5" s="60" t="s">
        <v>93</v>
      </c>
      <c r="L5" s="62" t="s">
        <v>94</v>
      </c>
      <c r="M5" s="62" t="s">
        <v>95</v>
      </c>
    </row>
    <row r="6" spans="1:15" ht="46.5" customHeight="1">
      <c r="A6" s="26" t="str">
        <v>Rochester - Old Middleboro</v>
      </c>
      <c r="B6" s="27" t="str">
        <v>MA</v>
      </c>
      <c r="C6" s="22">
        <v>1100423.3280404001</v>
      </c>
      <c r="D6" s="12">
        <v>913176.1</v>
      </c>
      <c r="E6" s="12">
        <f t="shared" si="0"/>
        <v>187247.22804040008</v>
      </c>
      <c r="F6" s="13">
        <f t="shared" ref="F6:F10" si="3">IFERROR(E6/D6, "")</f>
        <v>0.20505051330230836</v>
      </c>
      <c r="G6" s="14">
        <v>694457.6</v>
      </c>
      <c r="H6" s="14">
        <f t="shared" si="1"/>
        <v>405965.72804040008</v>
      </c>
      <c r="I6" s="15">
        <f t="shared" si="2"/>
        <v>0.58457957410272432</v>
      </c>
      <c r="J6" s="71" t="s">
        <v>96</v>
      </c>
      <c r="K6" s="73" t="s">
        <v>97</v>
      </c>
    </row>
    <row r="7" spans="1:15" ht="57.6">
      <c r="A7" s="28" t="str">
        <v>Dover - Littleworth Road</v>
      </c>
      <c r="B7" s="29" t="str">
        <v>NH</v>
      </c>
      <c r="C7" s="11">
        <v>41468</v>
      </c>
      <c r="D7" s="16" t="s">
        <v>72</v>
      </c>
      <c r="E7" s="16" t="str">
        <f t="shared" si="0"/>
        <v/>
      </c>
      <c r="F7" s="17" t="str">
        <f t="shared" si="3"/>
        <v/>
      </c>
      <c r="G7" s="67" t="s">
        <v>72</v>
      </c>
      <c r="H7" s="18" t="str">
        <f t="shared" si="1"/>
        <v/>
      </c>
      <c r="I7" s="17" t="str">
        <f t="shared" si="2"/>
        <v/>
      </c>
      <c r="J7" s="70" t="s">
        <v>98</v>
      </c>
      <c r="K7" s="60" t="s">
        <v>99</v>
      </c>
    </row>
    <row r="8" spans="1:15" ht="150" customHeight="1">
      <c r="A8" s="26" t="str">
        <v>Milton - Landfill</v>
      </c>
      <c r="B8" s="27" t="str">
        <v>NH</v>
      </c>
      <c r="C8" s="22">
        <v>106949</v>
      </c>
      <c r="D8" s="12" t="s">
        <v>72</v>
      </c>
      <c r="E8" s="12" t="str">
        <f t="shared" si="0"/>
        <v/>
      </c>
      <c r="F8" s="13" t="str">
        <f t="shared" si="3"/>
        <v/>
      </c>
      <c r="G8" s="68" t="s">
        <v>72</v>
      </c>
      <c r="H8" s="14" t="str">
        <f t="shared" si="1"/>
        <v/>
      </c>
      <c r="I8" s="15" t="str">
        <f t="shared" si="2"/>
        <v/>
      </c>
      <c r="J8" s="71" t="s">
        <v>100</v>
      </c>
      <c r="K8" s="73" t="s">
        <v>101</v>
      </c>
      <c r="L8" s="62" t="s">
        <v>102</v>
      </c>
      <c r="M8" s="62" t="s">
        <v>34</v>
      </c>
      <c r="N8" s="62" t="s">
        <v>103</v>
      </c>
      <c r="O8" s="62" t="s">
        <v>78</v>
      </c>
    </row>
    <row r="9" spans="1:15" ht="187.15">
      <c r="A9" s="28" t="str">
        <v>Hopkinton - 71 Frankland Rd</v>
      </c>
      <c r="B9" s="29" t="str">
        <v>MA</v>
      </c>
      <c r="C9" s="11">
        <v>629515</v>
      </c>
      <c r="D9" s="16">
        <v>718867.3</v>
      </c>
      <c r="E9" s="16">
        <f t="shared" si="0"/>
        <v>-89352.300000000047</v>
      </c>
      <c r="F9" s="17">
        <f t="shared" si="3"/>
        <v>-0.12429595837785366</v>
      </c>
      <c r="G9" s="18">
        <v>724526.6</v>
      </c>
      <c r="H9" s="18">
        <f t="shared" si="1"/>
        <v>-95011.599999999977</v>
      </c>
      <c r="I9" s="17">
        <f t="shared" si="2"/>
        <v>-0.13113611011659196</v>
      </c>
      <c r="J9" s="52" t="s">
        <v>104</v>
      </c>
      <c r="K9" s="60" t="s">
        <v>105</v>
      </c>
      <c r="L9" s="62" t="s">
        <v>106</v>
      </c>
      <c r="M9" s="62" t="s">
        <v>107</v>
      </c>
    </row>
    <row r="10" spans="1:15" ht="120" customHeight="1">
      <c r="A10" s="26" t="str">
        <v>Dedham - 100 Rustcraft Rd</v>
      </c>
      <c r="B10" s="27" t="str">
        <v>MA</v>
      </c>
      <c r="C10" s="22">
        <v>118332</v>
      </c>
      <c r="D10" s="12">
        <v>142999.20000000001</v>
      </c>
      <c r="E10" s="12">
        <f t="shared" si="0"/>
        <v>-24667.200000000012</v>
      </c>
      <c r="F10" s="13">
        <f t="shared" si="3"/>
        <v>-0.17249886712652945</v>
      </c>
      <c r="G10" s="14">
        <v>116442.6</v>
      </c>
      <c r="H10" s="14">
        <f t="shared" si="1"/>
        <v>1889.3999999999942</v>
      </c>
      <c r="I10" s="15">
        <f t="shared" si="2"/>
        <v>1.622602037398679E-2</v>
      </c>
      <c r="J10" s="71" t="s">
        <v>108</v>
      </c>
      <c r="K10" s="73" t="s">
        <v>109</v>
      </c>
      <c r="L10" s="62" t="s">
        <v>110</v>
      </c>
    </row>
    <row r="11" spans="1:15" ht="14.45">
      <c r="A11" s="72"/>
      <c r="B11" s="31"/>
      <c r="C11" s="19"/>
      <c r="D11" s="19"/>
      <c r="E11" s="19"/>
      <c r="F11" s="19"/>
      <c r="G11" s="19"/>
      <c r="H11" s="19"/>
      <c r="I11" s="19"/>
      <c r="J11" s="19"/>
      <c r="K11" s="19"/>
    </row>
    <row r="12" spans="1:15" ht="14.45">
      <c r="A12" s="19"/>
      <c r="B12" s="31"/>
      <c r="C12" s="19"/>
      <c r="D12" s="19"/>
      <c r="E12" s="19"/>
      <c r="F12" s="19"/>
      <c r="G12" s="19"/>
      <c r="H12" s="19"/>
      <c r="I12" s="19"/>
      <c r="J12" s="19"/>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0 I4:I80">
    <cfRule type="cellIs" dxfId="28" priority="1" stopIfTrue="1" operator="lessThanOrEqual">
      <formula>-0.1</formula>
    </cfRule>
    <cfRule type="expression" dxfId="27" priority="2">
      <formula>AND(ISNUMBER(F4), F4&gt;=0.1)</formula>
    </cfRule>
  </conditionalFormatting>
  <hyperlinks>
    <hyperlink ref="K5" r:id="rId1" display="https://us3.assetplanner.com/service_request?ID=099164" xr:uid="{CFAACD05-5704-43E0-9AF6-3295FD0B02ED}"/>
    <hyperlink ref="L5" r:id="rId2" display="https://us3.assetplanner.com/service_request?ID=094026" xr:uid="{DCD6E12B-A53A-4792-A251-B548263E2DA4}"/>
    <hyperlink ref="M5" r:id="rId3" display="https://us3.assetplanner.com/service_request?ID=099689" xr:uid="{6B3E35C6-B95E-440A-ADD5-E3B2147B65BA}"/>
    <hyperlink ref="K6" r:id="rId4" display="https://us3.assetplanner.com/service_request?ID=099783" xr:uid="{3EE43613-B529-4219-8535-E4E704FC4957}"/>
    <hyperlink ref="K7" r:id="rId5" display="https://us3.assetplanner.com/service_request?ID=098617" xr:uid="{DCAE8ED2-E9D5-4CC4-9A08-E9D8CE747C47}"/>
    <hyperlink ref="K8" r:id="rId6" display="https://us3.assetplanner.com/service_request?ID=092635" xr:uid="{317844F3-50B6-4C76-A018-1AD98A107DD1}"/>
    <hyperlink ref="L8" r:id="rId7" display="https://us3.assetplanner.com/service_request?ID=100128" xr:uid="{B005BA5D-AE7F-495B-B925-6A48FB76745D}"/>
    <hyperlink ref="M8" r:id="rId8" display="https://us3.assetplanner.com/service_request?ID=094914" xr:uid="{452BF554-005A-43F3-8C81-BCEE911B0105}"/>
    <hyperlink ref="N8" r:id="rId9" display="https://us3.assetplanner.com/service_request?ID=100127" xr:uid="{B6A08407-5074-4D75-9FF6-358F3EE1B58F}"/>
    <hyperlink ref="O8" r:id="rId10" display="https://us3.assetplanner.com/service_request?ID=099233" xr:uid="{B864D61A-DC16-45AF-B785-8E41DB6A5B36}"/>
    <hyperlink ref="K9" r:id="rId11" display="https://us3.assetplanner.com/service_request?ID=099955" xr:uid="{994A9325-764F-45B4-983E-FBF94B3E2862}"/>
    <hyperlink ref="L9" r:id="rId12" display="https://us3.assetplanner.com/service_request?ID=100465" xr:uid="{3659F593-163E-4EA8-9AB3-D3E5D34F77D0}"/>
    <hyperlink ref="M9" r:id="rId13" display="https://us3.assetplanner.com/service_request?ID=100579" xr:uid="{0D9251D3-A15F-467E-8A54-D21FEE1D22B8}"/>
    <hyperlink ref="K10" r:id="rId14" display="https://us3.assetplanner.com/service_request?ID=095310" xr:uid="{E30593D0-6E8E-4CEB-A789-C4109558DF44}"/>
    <hyperlink ref="L10" r:id="rId15" display="https://us3.assetplanner.com/service_request?ID=100683" xr:uid="{55492261-4C68-4331-A874-2F88344F32D3}"/>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N322"/>
  <sheetViews>
    <sheetView zoomScale="80" zoomScaleNormal="80" workbookViewId="0">
      <pane xSplit="2" ySplit="3" topLeftCell="C4" activePane="bottomRight" state="frozen"/>
      <selection pane="bottomRight" activeCell="I19" sqref="I19"/>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6" t="str" cm="1">
        <f t="array" ref="A1">portfolio</f>
        <v>Agilitas Energy</v>
      </c>
      <c r="B1" s="86"/>
      <c r="C1" s="86"/>
      <c r="D1" s="87" t="s">
        <v>111</v>
      </c>
      <c r="E1" s="87"/>
      <c r="F1" s="87"/>
      <c r="G1" s="85" t="s">
        <v>112</v>
      </c>
      <c r="H1" s="85"/>
      <c r="I1" s="85"/>
      <c r="J1" s="4"/>
      <c r="K1" s="4"/>
    </row>
    <row r="2" spans="1:14" ht="19.5" customHeight="1">
      <c r="A2" s="88" t="s">
        <v>2</v>
      </c>
      <c r="B2" s="88"/>
      <c r="C2" s="5">
        <f>SUM(C4:C80)</f>
        <v>2888611.2631954001</v>
      </c>
      <c r="D2" s="5">
        <f>SUM(D4:D80)</f>
        <v>2665133.7200000002</v>
      </c>
      <c r="E2" s="5">
        <f>C2-D2</f>
        <v>223477.54319539992</v>
      </c>
      <c r="F2" s="6">
        <f>IFERROR(E2/D2, 0)</f>
        <v>8.3852281601615064E-2</v>
      </c>
      <c r="G2" s="5">
        <f>SUM(G4:G80)</f>
        <v>1809259.65</v>
      </c>
      <c r="H2" s="7">
        <f>C2-G2</f>
        <v>1079351.6131954002</v>
      </c>
      <c r="I2" s="6">
        <f>IFERROR(H2/G2, 0)</f>
        <v>0.59657087538286735</v>
      </c>
      <c r="J2" s="24" t="str">
        <f ca="1">IF(AND(TODAY()&gt;DATE(2024, 5,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15.6">
      <c r="A4" s="30" t="str" cm="1">
        <f t="array" ref="A4:A10">Sites[Site]</f>
        <v>Rowley - Central Street Solar</v>
      </c>
      <c r="B4" s="27" t="str" cm="1">
        <f t="array" ref="B4:B10">Sites[State]</f>
        <v>MA</v>
      </c>
      <c r="C4" s="22">
        <v>77791.375</v>
      </c>
      <c r="D4" s="12">
        <v>78899.62</v>
      </c>
      <c r="E4" s="12">
        <f>IF(AND(ISNUMBER(C4),ISNUMBER(D4)), C4-D4, "")</f>
        <v>-1108.2449999999953</v>
      </c>
      <c r="F4" s="13">
        <f>IFERROR(E4/D4, "")</f>
        <v>-1.4046265368578396E-2</v>
      </c>
      <c r="G4" s="14">
        <v>88286.95</v>
      </c>
      <c r="H4" s="14">
        <f>IF(AND(ISNUMBER(C4),ISNUMBER(G4)), C4-G4, "")</f>
        <v>-10495.574999999997</v>
      </c>
      <c r="I4" s="15">
        <f>IFERROR(H4/G4, "")</f>
        <v>-0.11888025353690435</v>
      </c>
      <c r="J4" s="39" t="s">
        <v>113</v>
      </c>
      <c r="K4" s="59" t="s">
        <v>114</v>
      </c>
    </row>
    <row r="5" spans="1:14" ht="57.6">
      <c r="A5" s="28" t="str">
        <v>Auburn - Leicester Street Solar</v>
      </c>
      <c r="B5" s="29" t="str">
        <v>MA</v>
      </c>
      <c r="C5" s="11">
        <v>787814</v>
      </c>
      <c r="D5" s="16">
        <v>792633.2</v>
      </c>
      <c r="E5" s="16">
        <f t="shared" ref="E5:E6" si="0">IF(AND(ISNUMBER(C5),ISNUMBER(D5)), C5-D5, "")</f>
        <v>-4819.1999999999534</v>
      </c>
      <c r="F5" s="17">
        <f>IFERROR(E5/D5, "")</f>
        <v>-6.0799875654968197E-3</v>
      </c>
      <c r="G5" s="79">
        <v>0</v>
      </c>
      <c r="H5" s="18">
        <f t="shared" ref="H5:H6" si="1">IF(AND(ISNUMBER(C5),ISNUMBER(G5)), C5-G5, "")</f>
        <v>787814</v>
      </c>
      <c r="I5" s="17" t="str">
        <f t="shared" ref="I5:I6" si="2">IFERROR(H5/G5, "")</f>
        <v/>
      </c>
      <c r="J5" s="40" t="s">
        <v>115</v>
      </c>
      <c r="K5" s="60" t="s">
        <v>116</v>
      </c>
    </row>
    <row r="6" spans="1:14" ht="72">
      <c r="A6" s="26" t="str">
        <v>Rochester - Old Middleboro</v>
      </c>
      <c r="B6" s="27" t="str">
        <v>MA</v>
      </c>
      <c r="C6" s="22">
        <v>1174443.8881953999</v>
      </c>
      <c r="D6" s="12">
        <v>1006086</v>
      </c>
      <c r="E6" s="12">
        <f t="shared" si="0"/>
        <v>168357.88819539989</v>
      </c>
      <c r="F6" s="13">
        <f t="shared" ref="F6" si="3">IFERROR(E6/D6, "")</f>
        <v>0.16733946024037696</v>
      </c>
      <c r="G6" s="14">
        <v>788377.3</v>
      </c>
      <c r="H6" s="14">
        <f t="shared" si="1"/>
        <v>386066.58819539985</v>
      </c>
      <c r="I6" s="15">
        <f t="shared" si="2"/>
        <v>0.48969774776036784</v>
      </c>
      <c r="J6" s="39" t="s">
        <v>117</v>
      </c>
      <c r="K6" s="59" t="s">
        <v>118</v>
      </c>
    </row>
    <row r="7" spans="1:14" ht="15.6">
      <c r="A7" s="28" t="str">
        <v>Dover - Littleworth Road</v>
      </c>
      <c r="B7" s="29" t="str">
        <v>NH</v>
      </c>
      <c r="C7" s="11">
        <v>39141</v>
      </c>
      <c r="D7" s="16" t="s">
        <v>72</v>
      </c>
      <c r="E7" s="16" t="str">
        <f>IF(AND(ISNUMBER(C7),ISNUMBER(D7)), C7-D7, "")</f>
        <v/>
      </c>
      <c r="F7" s="17" t="str">
        <f>IFERROR(E7/D7, "")</f>
        <v/>
      </c>
      <c r="G7" s="79" t="s">
        <v>72</v>
      </c>
      <c r="H7" s="18" t="str">
        <f>IF(AND(ISNUMBER(C7),ISNUMBER(G7)), C7-G7, "")</f>
        <v/>
      </c>
      <c r="I7" s="17" t="str">
        <f>IFERROR(H7/G7, "")</f>
        <v/>
      </c>
      <c r="J7" s="40"/>
      <c r="K7" s="41"/>
    </row>
    <row r="8" spans="1:14" ht="72">
      <c r="A8" s="26" t="str">
        <v>Milton - Landfill</v>
      </c>
      <c r="B8" s="27" t="str">
        <v>NH</v>
      </c>
      <c r="C8" s="22">
        <v>95251</v>
      </c>
      <c r="D8" s="12" t="s">
        <v>72</v>
      </c>
      <c r="E8" s="12" t="str">
        <f>IF(AND(ISNUMBER(C8),ISNUMBER(D8)), C8-D8, "")</f>
        <v/>
      </c>
      <c r="F8" s="13" t="str">
        <f>IFERROR(E8/D8, "")</f>
        <v/>
      </c>
      <c r="G8" s="80" t="s">
        <v>72</v>
      </c>
      <c r="H8" s="14" t="str">
        <f>IF(AND(ISNUMBER(C8),ISNUMBER(G8)), C8-G8, "")</f>
        <v/>
      </c>
      <c r="I8" s="15" t="str">
        <f>IFERROR(H8/G8, "")</f>
        <v/>
      </c>
      <c r="J8" s="39" t="s">
        <v>119</v>
      </c>
      <c r="K8" s="59" t="s">
        <v>120</v>
      </c>
      <c r="L8" s="63" t="s">
        <v>102</v>
      </c>
      <c r="M8" s="63" t="s">
        <v>34</v>
      </c>
      <c r="N8" s="63" t="s">
        <v>103</v>
      </c>
    </row>
    <row r="9" spans="1:14" ht="115.15">
      <c r="A9" s="28" t="str">
        <v>Hopkinton - 71 Frankland Rd</v>
      </c>
      <c r="B9" s="29" t="str">
        <v>MA</v>
      </c>
      <c r="C9" s="11">
        <v>597928</v>
      </c>
      <c r="D9" s="16">
        <v>648303.80000000005</v>
      </c>
      <c r="E9" s="16">
        <f>IF(AND(ISNUMBER(C9),ISNUMBER(D9)), C9-D9, "")</f>
        <v>-50375.800000000047</v>
      </c>
      <c r="F9" s="17">
        <f>IFERROR(E9/D9, "")</f>
        <v>-7.7704002351983811E-2</v>
      </c>
      <c r="G9" s="18">
        <v>808954.2</v>
      </c>
      <c r="H9" s="18">
        <f>IF(AND(ISNUMBER(C9),ISNUMBER(G9)), C9-G9, "")</f>
        <v>-211026.19999999995</v>
      </c>
      <c r="I9" s="17">
        <f>IFERROR(H9/G9, "")</f>
        <v>-0.26086297592620195</v>
      </c>
      <c r="J9" s="40" t="s">
        <v>121</v>
      </c>
      <c r="K9" s="60" t="s">
        <v>122</v>
      </c>
      <c r="L9" s="63" t="s">
        <v>107</v>
      </c>
    </row>
    <row r="10" spans="1:14" ht="43.15">
      <c r="A10" s="26" t="str">
        <v>Dedham - 100 Rustcraft Rd</v>
      </c>
      <c r="B10" s="27" t="str">
        <v>MA</v>
      </c>
      <c r="C10" s="74">
        <v>116242</v>
      </c>
      <c r="D10" s="12">
        <v>139211.1</v>
      </c>
      <c r="E10" s="12">
        <f>IF(AND(ISNUMBER(C10),ISNUMBER(D10)), C10-D10, "")</f>
        <v>-22969.100000000006</v>
      </c>
      <c r="F10" s="75">
        <f>IFERROR(E10/D10, "")</f>
        <v>-0.16499474539027423</v>
      </c>
      <c r="G10" s="76">
        <v>123641.2</v>
      </c>
      <c r="H10" s="76">
        <f>IF(AND(ISNUMBER(C10),ISNUMBER(G10)), C10-G10, "")</f>
        <v>-7399.1999999999971</v>
      </c>
      <c r="I10" s="77">
        <f>IFERROR(H10/G10, "")</f>
        <v>-5.9844129626693991E-2</v>
      </c>
      <c r="J10" s="78" t="s">
        <v>123</v>
      </c>
      <c r="K10" s="82" t="s">
        <v>124</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6" priority="5" stopIfTrue="1" operator="lessThanOrEqual">
      <formula>-0.1</formula>
    </cfRule>
    <cfRule type="expression" dxfId="25" priority="6">
      <formula>AND(ISNUMBER(F2), F2&gt;=0.1)</formula>
    </cfRule>
  </conditionalFormatting>
  <conditionalFormatting sqref="F4:F80 I4:I80">
    <cfRule type="cellIs" dxfId="24" priority="1" stopIfTrue="1" operator="lessThanOrEqual">
      <formula>-0.1</formula>
    </cfRule>
    <cfRule type="expression" dxfId="23" priority="2">
      <formula>AND(ISNUMBER(F4), F4&gt;=0.1)</formula>
    </cfRule>
  </conditionalFormatting>
  <hyperlinks>
    <hyperlink ref="K4" r:id="rId1" display="https://us3.assetplanner.com/service_request?ID=102063" xr:uid="{BE3F44DA-5502-4F19-9E9D-FEFF286B5C25}"/>
    <hyperlink ref="K5" r:id="rId2" display="https://us3.assetplanner.com/service_request?ID=100953" xr:uid="{7B220C65-34B2-47D6-B9F1-7218D5F19DCD}"/>
    <hyperlink ref="K6" r:id="rId3" display="https://us3.assetplanner.com/service_request?ID=100978" xr:uid="{B9659DA2-83E3-481C-AD5D-166520660922}"/>
    <hyperlink ref="K8" r:id="rId4" display="https://us3.assetplanner.com/service_request?ID=092635" xr:uid="{5C942DFD-DD25-4A89-81CB-14F339E3DFA4}"/>
    <hyperlink ref="L8" r:id="rId5" display="https://us3.assetplanner.com/service_request?ID=100128" xr:uid="{5C476CD4-DE89-4737-A557-7BC4F61E8151}"/>
    <hyperlink ref="M8" r:id="rId6" display="https://us3.assetplanner.com/service_request?ID=094914" xr:uid="{677834E5-9F1F-4982-80DD-FB82D2CF7D75}"/>
    <hyperlink ref="N8" r:id="rId7" display="https://us3.assetplanner.com/service_request?ID=100127" xr:uid="{02528A3D-D626-428D-8C13-863E137D8178}"/>
    <hyperlink ref="K9" r:id="rId8" display="https://us3.assetplanner.com/service_request?ID=100959" xr:uid="{102F481D-B416-4403-8511-A2BEEFC8FF75}"/>
    <hyperlink ref="L9" r:id="rId9" display="https://us3.assetplanner.com/service_request?ID=100579" xr:uid="{AAEFFB74-E306-4BB1-90A6-1E706F98A175}"/>
    <hyperlink ref="K10" r:id="rId10" display="https://us3.assetplanner.com/service_request?ID=100683" xr:uid="{5FBD556B-8A96-4305-894C-0FC04CB50E7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C4" activePane="bottomRight" state="frozen"/>
      <selection pane="bottomRight" activeCell="K8" sqref="K8"/>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4" ht="19.5" customHeight="1">
      <c r="A1" s="86" t="str" cm="1">
        <f t="array" ref="A1">portfolio</f>
        <v>Agilitas Energy</v>
      </c>
      <c r="B1" s="86"/>
      <c r="C1" s="86"/>
      <c r="D1" s="87" t="s">
        <v>125</v>
      </c>
      <c r="E1" s="87"/>
      <c r="F1" s="87"/>
      <c r="G1" s="85" t="s">
        <v>126</v>
      </c>
      <c r="H1" s="85"/>
      <c r="I1" s="85"/>
      <c r="J1" s="4"/>
      <c r="K1" s="4"/>
    </row>
    <row r="2" spans="1:14" ht="19.5" customHeight="1">
      <c r="A2" s="88" t="s">
        <v>2</v>
      </c>
      <c r="B2" s="88"/>
      <c r="C2" s="5">
        <f>SUM(C4:C80)</f>
        <v>3270045.69911427</v>
      </c>
      <c r="D2" s="5">
        <f>SUM(D4:D80)</f>
        <v>3011977.0600000005</v>
      </c>
      <c r="E2" s="5">
        <f>C2-D2</f>
        <v>258068.63911426952</v>
      </c>
      <c r="F2" s="6">
        <f>IFERROR(E2/D2, 0)</f>
        <v>8.5680811630839404E-2</v>
      </c>
      <c r="G2" s="5">
        <f>SUM(G4:G80)</f>
        <v>1844056.61</v>
      </c>
      <c r="H2" s="7">
        <f>C2-G2</f>
        <v>1425989.0891142699</v>
      </c>
      <c r="I2" s="6">
        <f>IFERROR(H2/G2, 0)</f>
        <v>0.77328921540769291</v>
      </c>
      <c r="J2" s="24"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15.6">
      <c r="A4" s="30" t="str" cm="1">
        <f t="array" ref="A4:A10">Sites[Site]</f>
        <v>Rowley - Central Street Solar</v>
      </c>
      <c r="B4" s="27" t="str" cm="1">
        <f t="array" ref="B4:B10">Sites[State]</f>
        <v>MA</v>
      </c>
      <c r="C4" s="22">
        <v>87131.375</v>
      </c>
      <c r="D4" s="12">
        <v>87924.86</v>
      </c>
      <c r="E4" s="12">
        <f>IF(AND(ISNUMBER(C4),ISNUMBER(D4)), C4-D4, "")</f>
        <v>-793.48500000000058</v>
      </c>
      <c r="F4" s="13">
        <f>IFERROR(E4/D4, "")</f>
        <v>-9.0245807613455464E-3</v>
      </c>
      <c r="G4" s="14">
        <v>85166.41</v>
      </c>
      <c r="H4" s="14">
        <f>IF(AND(ISNUMBER(C4),ISNUMBER(G4)), C4-G4, "")</f>
        <v>1964.9649999999965</v>
      </c>
      <c r="I4" s="15">
        <f>IFERROR(H4/G4, "")</f>
        <v>2.3072065618358183E-2</v>
      </c>
      <c r="J4" s="39"/>
      <c r="K4" s="39"/>
    </row>
    <row r="5" spans="1:14" ht="15.6">
      <c r="A5" s="28" t="str">
        <v>Auburn - Leicester Street Solar</v>
      </c>
      <c r="B5" s="29" t="str">
        <v>MA</v>
      </c>
      <c r="C5" s="11">
        <v>953864</v>
      </c>
      <c r="D5" s="16">
        <v>944591.2</v>
      </c>
      <c r="E5" s="16">
        <f t="shared" ref="E5:E10" si="0">IF(AND(ISNUMBER(C5),ISNUMBER(D5)), C5-D5, "")</f>
        <v>9272.8000000000466</v>
      </c>
      <c r="F5" s="17">
        <f>IFERROR(E5/D5, "")</f>
        <v>9.8167334186471857E-3</v>
      </c>
      <c r="G5" s="18">
        <v>0</v>
      </c>
      <c r="H5" s="18">
        <f t="shared" ref="H5:H10" si="1">IF(AND(ISNUMBER(C5),ISNUMBER(G5)), C5-G5, "")</f>
        <v>953864</v>
      </c>
      <c r="I5" s="17" t="str">
        <f t="shared" ref="I5:I10" si="2">IFERROR(H5/G5, "")</f>
        <v/>
      </c>
      <c r="J5" s="40"/>
      <c r="K5" s="40"/>
    </row>
    <row r="6" spans="1:14" ht="15.6">
      <c r="A6" s="26" t="str">
        <v>Rochester - Old Middleboro</v>
      </c>
      <c r="B6" s="27" t="str">
        <v>MA</v>
      </c>
      <c r="C6" s="22">
        <v>1267172.32411427</v>
      </c>
      <c r="D6" s="12">
        <v>1055527</v>
      </c>
      <c r="E6" s="12">
        <f t="shared" si="0"/>
        <v>211645.32411427004</v>
      </c>
      <c r="F6" s="13">
        <f t="shared" ref="F6:F10" si="3">IFERROR(E6/D6, "")</f>
        <v>0.20051152089361052</v>
      </c>
      <c r="G6" s="14">
        <v>799107.7</v>
      </c>
      <c r="H6" s="14">
        <f t="shared" si="1"/>
        <v>468064.62411427009</v>
      </c>
      <c r="I6" s="15">
        <f t="shared" si="2"/>
        <v>0.58573409330716009</v>
      </c>
      <c r="J6" s="39"/>
      <c r="K6" s="39"/>
    </row>
    <row r="7" spans="1:14" ht="15.6">
      <c r="A7" s="28" t="str">
        <v>Dover - Littleworth Road</v>
      </c>
      <c r="B7" s="29" t="str">
        <v>NH</v>
      </c>
      <c r="C7" s="11">
        <v>44814</v>
      </c>
      <c r="D7" s="16" t="s">
        <v>72</v>
      </c>
      <c r="E7" s="16" t="str">
        <f t="shared" si="0"/>
        <v/>
      </c>
      <c r="F7" s="17" t="str">
        <f t="shared" si="3"/>
        <v/>
      </c>
      <c r="G7" s="67" t="s">
        <v>72</v>
      </c>
      <c r="H7" s="18" t="str">
        <f t="shared" si="1"/>
        <v/>
      </c>
      <c r="I7" s="17" t="str">
        <f t="shared" si="2"/>
        <v/>
      </c>
      <c r="J7" s="40"/>
      <c r="K7" s="41"/>
    </row>
    <row r="8" spans="1:14" ht="34.9" customHeight="1">
      <c r="A8" s="26" t="str">
        <v>Milton - Landfill</v>
      </c>
      <c r="B8" s="27" t="str">
        <v>NH</v>
      </c>
      <c r="C8" s="22">
        <v>113821</v>
      </c>
      <c r="D8" s="12" t="s">
        <v>72</v>
      </c>
      <c r="E8" s="12" t="str">
        <f t="shared" si="0"/>
        <v/>
      </c>
      <c r="F8" s="13" t="str">
        <f t="shared" si="3"/>
        <v/>
      </c>
      <c r="G8" s="68" t="s">
        <v>72</v>
      </c>
      <c r="H8" s="14" t="str">
        <f t="shared" si="1"/>
        <v/>
      </c>
      <c r="I8" s="15" t="str">
        <f t="shared" si="2"/>
        <v/>
      </c>
      <c r="J8" s="39" t="s">
        <v>127</v>
      </c>
      <c r="K8" s="59" t="s">
        <v>128</v>
      </c>
      <c r="L8" s="62" t="s">
        <v>102</v>
      </c>
    </row>
    <row r="9" spans="1:14" ht="57.6">
      <c r="A9" s="28" t="str">
        <v>Hopkinton - 71 Frankland Rd</v>
      </c>
      <c r="B9" s="29" t="str">
        <v>MA</v>
      </c>
      <c r="C9" s="11">
        <v>685102</v>
      </c>
      <c r="D9" s="16">
        <v>777991.3</v>
      </c>
      <c r="E9" s="16">
        <f t="shared" si="0"/>
        <v>-92889.300000000047</v>
      </c>
      <c r="F9" s="13">
        <f t="shared" si="3"/>
        <v>-0.1193963222982057</v>
      </c>
      <c r="G9" s="18">
        <v>829231.8</v>
      </c>
      <c r="H9" s="18">
        <f t="shared" si="1"/>
        <v>-144129.80000000005</v>
      </c>
      <c r="I9" s="17">
        <f t="shared" si="2"/>
        <v>-0.17381123106952728</v>
      </c>
      <c r="J9" s="52" t="s">
        <v>129</v>
      </c>
      <c r="K9" s="60" t="s">
        <v>130</v>
      </c>
      <c r="L9" s="62" t="s">
        <v>131</v>
      </c>
      <c r="M9" s="62" t="s">
        <v>132</v>
      </c>
    </row>
    <row r="10" spans="1:14" ht="100.9">
      <c r="A10" s="26" t="str">
        <v>Dedham - 100 Rustcraft Rd</v>
      </c>
      <c r="B10" s="27" t="str">
        <v>MA</v>
      </c>
      <c r="C10" s="22">
        <v>118141</v>
      </c>
      <c r="D10" s="12">
        <v>145942.70000000001</v>
      </c>
      <c r="E10" s="12">
        <f t="shared" si="0"/>
        <v>-27801.700000000012</v>
      </c>
      <c r="F10" s="13">
        <f t="shared" si="3"/>
        <v>-0.1904973664321683</v>
      </c>
      <c r="G10" s="14">
        <v>130550.7</v>
      </c>
      <c r="H10" s="14">
        <f t="shared" si="1"/>
        <v>-12409.699999999997</v>
      </c>
      <c r="I10" s="15">
        <f t="shared" si="2"/>
        <v>-9.5056556571508216E-2</v>
      </c>
      <c r="J10" s="39" t="s">
        <v>133</v>
      </c>
      <c r="K10" s="59" t="s">
        <v>134</v>
      </c>
      <c r="L10" s="62" t="s">
        <v>135</v>
      </c>
      <c r="M10" s="62" t="s">
        <v>136</v>
      </c>
      <c r="N10" s="62" t="s">
        <v>137</v>
      </c>
    </row>
    <row r="11" spans="1:14" ht="14.45">
      <c r="A11" s="19"/>
      <c r="B11" s="31"/>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2" priority="5" stopIfTrue="1" operator="lessThanOrEqual">
      <formula>-0.1</formula>
    </cfRule>
    <cfRule type="expression" dxfId="21" priority="6">
      <formula>AND(ISNUMBER(F2), F2&gt;=0.1)</formula>
    </cfRule>
  </conditionalFormatting>
  <conditionalFormatting sqref="F4:F80 I4:I80">
    <cfRule type="cellIs" dxfId="20" priority="1" stopIfTrue="1" operator="lessThanOrEqual">
      <formula>-0.1</formula>
    </cfRule>
    <cfRule type="expression" dxfId="19" priority="2">
      <formula>AND(ISNUMBER(F4), F4&gt;=0.1)</formula>
    </cfRule>
  </conditionalFormatting>
  <hyperlinks>
    <hyperlink ref="K8" r:id="rId1" display="https://us3.assetplanner.com/service_request?ID=100127" xr:uid="{479572E1-5DC1-4EC0-BD4C-7BD520821961}"/>
    <hyperlink ref="L8" r:id="rId2" display="https://us3.assetplanner.com/service_request?ID=100128" xr:uid="{EC6DBFEB-CEF9-4E95-B72B-FAB9337F2C59}"/>
    <hyperlink ref="K9" r:id="rId3" display="https://us3.assetplanner.com/service_request?ID=103034" xr:uid="{D2B51AE0-EDB5-4225-9476-323FEC6A37B3}"/>
    <hyperlink ref="L9" r:id="rId4" display="https://us3.assetplanner.com/service_request?ID=100959" xr:uid="{AB50A0B5-D67E-49FD-A8D7-C2D403F94BFC}"/>
    <hyperlink ref="M9" r:id="rId5" display="https://us3.assetplanner.com/service_request?ID=102318" xr:uid="{A5F45DB2-04EC-4644-84F3-E4E243634463}"/>
    <hyperlink ref="K10" r:id="rId6" display="https://us3.assetplanner.com/service_request?ID=102869" xr:uid="{BDF25E3C-BCD2-4794-9EE8-F2B43DF7D0B9}"/>
    <hyperlink ref="L10" r:id="rId7" display="https://us3.assetplanner.com/service_request?ID=102863" xr:uid="{DAB5A022-21BE-431B-BC27-2DB14B3579E4}"/>
    <hyperlink ref="M10" r:id="rId8" display="https://us3.assetplanner.com/service_request?ID=102972" xr:uid="{E5473829-9290-4F39-8F6F-564297B5A732}"/>
    <hyperlink ref="N10" r:id="rId9" display="https://us3.assetplanner.com/service_request?ID=102438" xr:uid="{F91E3498-9D1A-4FC9-A946-FFFBCA87F1F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M322"/>
  <sheetViews>
    <sheetView tabSelected="1" zoomScale="70" zoomScaleNormal="70" workbookViewId="0">
      <pane xSplit="2" ySplit="3" topLeftCell="C4" activePane="bottomRight" state="frozen"/>
      <selection pane="bottomRight" activeCell="J9" sqref="J9"/>
      <selection pane="bottomLeft" activeCell="G13" sqref="G13"/>
      <selection pane="topRight" activeCell="G13" sqref="G13"/>
    </sheetView>
  </sheetViews>
  <sheetFormatPr defaultRowHeight="14.25"/>
  <cols>
    <col min="1" max="1" width="35.855468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 min="12" max="13" width="9.140625" style="84"/>
  </cols>
  <sheetData>
    <row r="1" spans="1:13" ht="19.5" customHeight="1">
      <c r="A1" s="86" t="str" cm="1">
        <f t="array" ref="A1">portfolio</f>
        <v>Agilitas Energy</v>
      </c>
      <c r="B1" s="86"/>
      <c r="C1" s="86"/>
      <c r="D1" s="87" t="s">
        <v>138</v>
      </c>
      <c r="E1" s="87"/>
      <c r="F1" s="87"/>
      <c r="G1" s="85" t="s">
        <v>139</v>
      </c>
      <c r="H1" s="85"/>
      <c r="I1" s="85"/>
      <c r="J1" s="4"/>
      <c r="K1" s="4"/>
    </row>
    <row r="2" spans="1:13" ht="19.5" customHeight="1">
      <c r="A2" s="88" t="s">
        <v>2</v>
      </c>
      <c r="B2" s="88"/>
      <c r="C2" s="5">
        <f>SUM(C4:C80)</f>
        <v>3204807.6543380804</v>
      </c>
      <c r="D2" s="5">
        <f>SUM(D4:D80)</f>
        <v>3121865.45</v>
      </c>
      <c r="E2" s="5">
        <f>C2-D2</f>
        <v>82942.20433808025</v>
      </c>
      <c r="F2" s="6">
        <f>IFERROR(E2/D2, 0)</f>
        <v>2.656815473520175E-2</v>
      </c>
      <c r="G2" s="5">
        <f>SUM(G4:G80)</f>
        <v>1944524.2000000002</v>
      </c>
      <c r="H2" s="7">
        <f>C2-G2</f>
        <v>1260283.4543380802</v>
      </c>
      <c r="I2" s="6">
        <f>IFERROR(H2/G2, 0)</f>
        <v>0.6481191925192189</v>
      </c>
      <c r="J2" s="24" t="str">
        <f ca="1">IF(AND(TODAY()&gt;DATE(2024, 7, 1), COUNTA(Sites[Site])&lt;&gt;(COUNT(C:C)-1)), "Some sites are missing actual data; if new sites were added, make sure they are aligned correctly (including prior months!)", "")</f>
        <v/>
      </c>
      <c r="K2" s="4"/>
    </row>
    <row r="3" spans="1:13" ht="14.25" customHeight="1">
      <c r="A3" s="8" t="s">
        <v>3</v>
      </c>
      <c r="B3" s="8" t="s">
        <v>4</v>
      </c>
      <c r="C3" s="21" t="s">
        <v>5</v>
      </c>
      <c r="D3" s="33" t="s">
        <v>6</v>
      </c>
      <c r="E3" s="33" t="s">
        <v>7</v>
      </c>
      <c r="F3" s="34" t="s">
        <v>8</v>
      </c>
      <c r="G3" s="35" t="s">
        <v>9</v>
      </c>
      <c r="H3" s="36" t="s">
        <v>7</v>
      </c>
      <c r="I3" s="37" t="s">
        <v>8</v>
      </c>
      <c r="J3" s="23" t="s">
        <v>20</v>
      </c>
      <c r="K3" s="23" t="s">
        <v>21</v>
      </c>
    </row>
    <row r="4" spans="1:13" ht="15.75">
      <c r="A4" s="30" t="str" cm="1">
        <f t="array" ref="A4:A10">Sites[Site]</f>
        <v>Rowley - Central Street Solar</v>
      </c>
      <c r="B4" s="27" t="str" cm="1">
        <f t="array" ref="B4:B10">Sites[State]</f>
        <v>MA</v>
      </c>
      <c r="C4" s="22">
        <v>97741.000000000204</v>
      </c>
      <c r="D4" s="12">
        <v>98263.55</v>
      </c>
      <c r="E4" s="12">
        <f>IF(AND(ISNUMBER(C4),ISNUMBER(D4)), C4-D4, "")</f>
        <v>-522.54999999979918</v>
      </c>
      <c r="F4" s="13">
        <f>IFERROR(E4/D4, "")</f>
        <v>-5.317841661529623E-3</v>
      </c>
      <c r="G4" s="14">
        <v>93151.6</v>
      </c>
      <c r="H4" s="14">
        <f>IF(AND(ISNUMBER(C4),ISNUMBER(G4)), C4-G4, "")</f>
        <v>4589.4000000001979</v>
      </c>
      <c r="I4" s="15">
        <f>IFERROR(H4/G4, "")</f>
        <v>4.926807483714931E-2</v>
      </c>
      <c r="J4" s="39" t="s">
        <v>140</v>
      </c>
      <c r="K4" s="59" t="s">
        <v>141</v>
      </c>
    </row>
    <row r="5" spans="1:13" ht="60.75">
      <c r="A5" s="28" t="str">
        <v>Auburn - Leicester Street Solar</v>
      </c>
      <c r="B5" s="29" t="str">
        <v>MA</v>
      </c>
      <c r="C5" s="11">
        <v>983381</v>
      </c>
      <c r="D5" s="16">
        <v>1037504</v>
      </c>
      <c r="E5" s="16">
        <f t="shared" ref="E5:E10" si="0">IF(AND(ISNUMBER(C5),ISNUMBER(D5)), C5-D5, "")</f>
        <v>-54123</v>
      </c>
      <c r="F5" s="17">
        <f>IFERROR(E5/D5, "")</f>
        <v>-5.2166545863919563E-2</v>
      </c>
      <c r="G5" s="18">
        <v>0</v>
      </c>
      <c r="H5" s="18">
        <f t="shared" ref="H5:H10" si="1">IF(AND(ISNUMBER(C5),ISNUMBER(G5)), C5-G5, "")</f>
        <v>983381</v>
      </c>
      <c r="I5" s="17" t="str">
        <f t="shared" ref="I5:I10" si="2">IFERROR(H5/G5, "")</f>
        <v/>
      </c>
      <c r="J5" s="52" t="s">
        <v>142</v>
      </c>
      <c r="K5" s="61" t="s">
        <v>143</v>
      </c>
      <c r="L5" s="63" t="s">
        <v>144</v>
      </c>
    </row>
    <row r="6" spans="1:13" ht="45.75">
      <c r="A6" s="26" t="str">
        <v>Rochester - Old Middleboro</v>
      </c>
      <c r="B6" s="27" t="str">
        <v>MA</v>
      </c>
      <c r="C6" s="22">
        <v>1097546.65433808</v>
      </c>
      <c r="D6" s="12">
        <v>969831.3</v>
      </c>
      <c r="E6" s="12">
        <f>IF(AND(ISNUMBER(C6),ISNUMBER(D6)), C6-D6, "")</f>
        <v>127715.35433807992</v>
      </c>
      <c r="F6" s="13">
        <f t="shared" ref="F6:F10" si="3">IFERROR(E6/D6, "")</f>
        <v>0.13168821663940927</v>
      </c>
      <c r="G6" s="14">
        <v>813075.1</v>
      </c>
      <c r="H6" s="14">
        <f t="shared" si="1"/>
        <v>284471.55433807999</v>
      </c>
      <c r="I6" s="15">
        <f t="shared" si="2"/>
        <v>0.34987119189614835</v>
      </c>
      <c r="J6" s="39" t="s">
        <v>145</v>
      </c>
      <c r="K6" s="59" t="s">
        <v>146</v>
      </c>
    </row>
    <row r="7" spans="1:13" ht="15.75">
      <c r="A7" s="28" t="str">
        <v>Dover - Littleworth Road</v>
      </c>
      <c r="B7" s="29" t="str">
        <v>NH</v>
      </c>
      <c r="C7" s="11">
        <v>44814</v>
      </c>
      <c r="D7" s="16" t="s">
        <v>72</v>
      </c>
      <c r="E7" s="16" t="str">
        <f t="shared" si="0"/>
        <v/>
      </c>
      <c r="F7" s="17" t="str">
        <f t="shared" si="3"/>
        <v/>
      </c>
      <c r="G7" s="67" t="s">
        <v>72</v>
      </c>
      <c r="H7" s="18" t="str">
        <f t="shared" si="1"/>
        <v/>
      </c>
      <c r="I7" s="17" t="str">
        <f t="shared" si="2"/>
        <v/>
      </c>
      <c r="J7" s="56"/>
      <c r="K7" s="83"/>
    </row>
    <row r="8" spans="1:13" ht="45.75">
      <c r="A8" s="26" t="str">
        <v>Milton - Landfill</v>
      </c>
      <c r="B8" s="27" t="str">
        <v>NH</v>
      </c>
      <c r="C8" s="22">
        <v>113821</v>
      </c>
      <c r="D8" s="12" t="s">
        <v>72</v>
      </c>
      <c r="E8" s="12" t="str">
        <f t="shared" si="0"/>
        <v/>
      </c>
      <c r="F8" s="13" t="str">
        <f t="shared" si="3"/>
        <v/>
      </c>
      <c r="G8" s="68" t="s">
        <v>72</v>
      </c>
      <c r="H8" s="14" t="str">
        <f t="shared" si="1"/>
        <v/>
      </c>
      <c r="I8" s="15" t="str">
        <f t="shared" si="2"/>
        <v/>
      </c>
      <c r="J8" s="39" t="s">
        <v>147</v>
      </c>
      <c r="K8" s="59" t="s">
        <v>148</v>
      </c>
      <c r="L8" s="63" t="s">
        <v>102</v>
      </c>
      <c r="M8" s="63" t="s">
        <v>149</v>
      </c>
    </row>
    <row r="9" spans="1:13" ht="58.15" customHeight="1">
      <c r="A9" s="28" t="str">
        <v>Hopkinton - 71 Frankland Rd</v>
      </c>
      <c r="B9" s="29" t="str">
        <v>MA</v>
      </c>
      <c r="C9" s="11">
        <v>727229</v>
      </c>
      <c r="D9" s="16">
        <v>837059.5</v>
      </c>
      <c r="E9" s="16">
        <f t="shared" si="0"/>
        <v>-109830.5</v>
      </c>
      <c r="F9" s="17">
        <f t="shared" si="3"/>
        <v>-0.13120990801729149</v>
      </c>
      <c r="G9" s="18">
        <v>903244.9</v>
      </c>
      <c r="H9" s="18">
        <f t="shared" si="1"/>
        <v>-176015.90000000002</v>
      </c>
      <c r="I9" s="17">
        <f t="shared" si="2"/>
        <v>-0.19487062700270991</v>
      </c>
      <c r="J9" s="56" t="s">
        <v>150</v>
      </c>
      <c r="K9" s="61" t="s">
        <v>151</v>
      </c>
      <c r="L9" s="63" t="s">
        <v>152</v>
      </c>
    </row>
    <row r="10" spans="1:13" ht="45.75">
      <c r="A10" s="26" t="str">
        <v>Dedham - 100 Rustcraft Rd</v>
      </c>
      <c r="B10" s="27" t="str">
        <v>MA</v>
      </c>
      <c r="C10" s="22">
        <v>140275</v>
      </c>
      <c r="D10" s="12">
        <v>179207.1</v>
      </c>
      <c r="E10" s="12">
        <f t="shared" si="0"/>
        <v>-38932.100000000006</v>
      </c>
      <c r="F10" s="13">
        <f t="shared" si="3"/>
        <v>-0.21724641490208818</v>
      </c>
      <c r="G10" s="14">
        <v>135052.6</v>
      </c>
      <c r="H10" s="14">
        <f t="shared" si="1"/>
        <v>5222.3999999999942</v>
      </c>
      <c r="I10" s="15">
        <f t="shared" si="2"/>
        <v>3.8669377709129586E-2</v>
      </c>
      <c r="J10" s="39" t="s">
        <v>153</v>
      </c>
      <c r="K10" s="59" t="s">
        <v>154</v>
      </c>
    </row>
    <row r="11" spans="1:13" ht="15">
      <c r="A11" s="19"/>
      <c r="B11" s="31"/>
      <c r="C11" s="19"/>
      <c r="D11" s="19"/>
      <c r="E11" s="19"/>
      <c r="F11" s="19"/>
      <c r="G11" s="19"/>
      <c r="H11" s="19"/>
      <c r="I11" s="19"/>
      <c r="J11" s="19"/>
      <c r="K11" s="19"/>
    </row>
    <row r="12" spans="1:13" ht="15">
      <c r="A12" s="19"/>
      <c r="B12" s="31"/>
      <c r="C12" s="19"/>
      <c r="D12" s="19"/>
      <c r="E12" s="19"/>
      <c r="F12" s="19"/>
      <c r="G12" s="19"/>
      <c r="H12" s="19"/>
      <c r="I12" s="19"/>
      <c r="J12" s="19"/>
      <c r="K12" s="19"/>
    </row>
    <row r="13" spans="1:13" ht="15">
      <c r="A13" s="19"/>
      <c r="B13" s="31"/>
      <c r="C13" s="19"/>
      <c r="D13" s="19"/>
      <c r="E13" s="19"/>
      <c r="F13" s="20"/>
      <c r="G13" s="19"/>
      <c r="H13" s="19"/>
      <c r="I13" s="20"/>
      <c r="J13" s="19"/>
      <c r="K13" s="19"/>
    </row>
    <row r="14" spans="1:13" ht="15">
      <c r="A14" s="19"/>
      <c r="B14" s="31"/>
      <c r="C14" s="19"/>
      <c r="D14" s="19"/>
      <c r="E14" s="19"/>
      <c r="F14" s="20"/>
      <c r="G14" s="19"/>
      <c r="H14" s="19"/>
      <c r="I14" s="20"/>
      <c r="J14" s="19"/>
      <c r="K14" s="19"/>
    </row>
    <row r="15" spans="1:13" ht="15">
      <c r="A15" s="19"/>
      <c r="B15" s="31"/>
      <c r="C15" s="19"/>
      <c r="D15" s="19"/>
      <c r="E15" s="19"/>
      <c r="F15" s="20"/>
      <c r="G15" s="19"/>
      <c r="H15" s="19"/>
      <c r="I15" s="20"/>
      <c r="J15" s="19"/>
      <c r="K15" s="19"/>
    </row>
    <row r="16" spans="1:13"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8" priority="5" stopIfTrue="1" operator="lessThanOrEqual">
      <formula>-0.1</formula>
    </cfRule>
    <cfRule type="expression" dxfId="17" priority="6">
      <formula>AND(ISNUMBER(F2), F2&gt;=0.1)</formula>
    </cfRule>
  </conditionalFormatting>
  <conditionalFormatting sqref="F4:F80 I4:I80">
    <cfRule type="cellIs" dxfId="16" priority="1" stopIfTrue="1" operator="lessThanOrEqual">
      <formula>-0.1</formula>
    </cfRule>
    <cfRule type="expression" dxfId="15" priority="2">
      <formula>AND(ISNUMBER(F4), F4&gt;=0.1)</formula>
    </cfRule>
  </conditionalFormatting>
  <hyperlinks>
    <hyperlink ref="K8" r:id="rId1" display="https://us3.assetplanner.com/service_request?ID=100127" xr:uid="{82FEA7F7-AEB4-43DD-B9C0-3CCD0F1CE521}"/>
    <hyperlink ref="K4" r:id="rId2" display="https://us3.assetplanner.com/service_request?ID=105168" xr:uid="{3FC523BE-385B-4F69-81F9-29CA79E11186}"/>
    <hyperlink ref="K5" r:id="rId3" display="https://us3.assetplanner.com/service_request?ID=102892" xr:uid="{CF909D8D-6B40-4529-8144-7C469672EF16}"/>
    <hyperlink ref="L5" r:id="rId4" display="https://us3.assetplanner.com/service_request?ID=104167" xr:uid="{B7538A38-AA71-4F81-9BAE-7F83D06DD347}"/>
    <hyperlink ref="K6" r:id="rId5" display="https://us3.assetplanner.com/service_request?ID=103997" xr:uid="{2ED136AE-B5D4-4FA3-B0C3-917A74E7EA3A}"/>
    <hyperlink ref="L8" r:id="rId6" display="https://us3.assetplanner.com/service_request?ID=100128" xr:uid="{E49D7541-D5B7-405D-8D93-5762E19B50D4}"/>
    <hyperlink ref="M8" r:id="rId7" display="https://us3.assetplanner.com/service_request?ID=105359" xr:uid="{5D24E5C4-3E32-43C3-83CF-62E2B3247C5D}"/>
    <hyperlink ref="K9" r:id="rId8" display="https://us3.assetplanner.com/service_request?ID=103034" xr:uid="{6C0A8F88-C428-4594-AFD1-F38480848825}"/>
    <hyperlink ref="L9" r:id="rId9" display="https://us3.assetplanner.com/service_request?ID=103844" xr:uid="{55DA7DF7-6828-472E-9447-17988438134F}"/>
    <hyperlink ref="K10" r:id="rId10" display="https://us3.assetplanner.com/service_request?ID=102438" xr:uid="{5AE19EE1-C887-4823-863C-8B59E7205F1D}"/>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G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6" t="str" cm="1">
        <f t="array" ref="A1">portfolio</f>
        <v>Agilitas Energy</v>
      </c>
      <c r="B1" s="86"/>
      <c r="C1" s="86"/>
      <c r="D1" s="87" t="s">
        <v>155</v>
      </c>
      <c r="E1" s="87"/>
      <c r="F1" s="87"/>
      <c r="G1" s="85" t="s">
        <v>156</v>
      </c>
      <c r="H1" s="85"/>
      <c r="I1" s="85"/>
      <c r="J1" s="4"/>
      <c r="K1" s="4"/>
    </row>
    <row r="2" spans="1:11" ht="19.5" customHeight="1">
      <c r="A2" s="88" t="s">
        <v>2</v>
      </c>
      <c r="B2" s="88"/>
      <c r="C2" s="5">
        <f>SUM(C4:C80)</f>
        <v>0</v>
      </c>
      <c r="D2" s="5">
        <f>SUM(D4:D80)</f>
        <v>0</v>
      </c>
      <c r="E2" s="5">
        <f>C2-D2</f>
        <v>0</v>
      </c>
      <c r="F2" s="6">
        <f>IFERROR(E2/D2, 0)</f>
        <v>0</v>
      </c>
      <c r="G2" s="5">
        <f>SUM(G4:G80)</f>
        <v>0</v>
      </c>
      <c r="H2" s="7">
        <f>C2-G2</f>
        <v>0</v>
      </c>
      <c r="I2" s="6">
        <f>IFERROR(H2/G2, 0)</f>
        <v>0</v>
      </c>
      <c r="J2" s="24"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Rochester - Old Middleboro</v>
      </c>
      <c r="B6" s="27" t="str">
        <v>MA</v>
      </c>
      <c r="C6" s="22"/>
      <c r="D6" s="12"/>
      <c r="E6" s="12" t="str">
        <f t="shared" si="0"/>
        <v/>
      </c>
      <c r="F6" s="13" t="str">
        <f t="shared" ref="F6:F8"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c r="F9" s="17"/>
      <c r="G9" s="18"/>
      <c r="H9" s="18"/>
      <c r="I9" s="17"/>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J4" activePane="bottomRight" state="frozen"/>
      <selection pane="bottomRight" activeCell="J10" sqref="J10"/>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6" t="str" cm="1">
        <f t="array" ref="A1">portfolio</f>
        <v>Agilitas Energy</v>
      </c>
      <c r="B1" s="86"/>
      <c r="C1" s="86"/>
      <c r="D1" s="87" t="s">
        <v>157</v>
      </c>
      <c r="E1" s="87"/>
      <c r="F1" s="87"/>
      <c r="G1" s="85" t="s">
        <v>158</v>
      </c>
      <c r="H1" s="85"/>
      <c r="I1" s="85"/>
      <c r="J1" s="4"/>
      <c r="K1" s="4"/>
    </row>
    <row r="2" spans="1:11" ht="19.5" customHeight="1">
      <c r="A2" s="88" t="s">
        <v>2</v>
      </c>
      <c r="B2" s="88"/>
      <c r="C2" s="5">
        <f>SUM(C4:C80)</f>
        <v>0</v>
      </c>
      <c r="D2" s="5">
        <f>SUM(D4:D80)</f>
        <v>0</v>
      </c>
      <c r="E2" s="5">
        <f>C2-D2</f>
        <v>0</v>
      </c>
      <c r="F2" s="6">
        <f>IFERROR(E2/D2, 0)</f>
        <v>0</v>
      </c>
      <c r="G2" s="5">
        <f>SUM(G4:G80)</f>
        <v>0</v>
      </c>
      <c r="H2" s="7">
        <f>C2-G2</f>
        <v>0</v>
      </c>
      <c r="I2" s="6">
        <f>IFERROR(H2/G2, 0)</f>
        <v>0</v>
      </c>
      <c r="J2" s="2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40"/>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H14" sqref="H14"/>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6" t="str" cm="1">
        <f t="array" ref="A1">portfolio</f>
        <v>Agilitas Energy</v>
      </c>
      <c r="B1" s="86"/>
      <c r="C1" s="86"/>
      <c r="D1" s="87" t="s">
        <v>159</v>
      </c>
      <c r="E1" s="87"/>
      <c r="F1" s="87"/>
      <c r="G1" s="85" t="s">
        <v>160</v>
      </c>
      <c r="H1" s="85"/>
      <c r="I1" s="85"/>
      <c r="J1" s="4"/>
      <c r="K1" s="4"/>
    </row>
    <row r="2" spans="1:11" ht="19.5" customHeight="1">
      <c r="A2" s="88" t="s">
        <v>2</v>
      </c>
      <c r="B2" s="88"/>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IF(AND(ISNUMBER(C5),ISNUMBER(G5)), C5-G5, "")</f>
        <v/>
      </c>
      <c r="I5" s="17" t="str">
        <f>IFERROR(H5/G6, "")</f>
        <v/>
      </c>
      <c r="J5" s="40"/>
      <c r="K5" s="41"/>
    </row>
    <row r="6" spans="1:11" ht="15.6">
      <c r="A6" s="30" t="str">
        <v>Rochester - Old Middleboro</v>
      </c>
      <c r="B6" s="27" t="str">
        <v>MA</v>
      </c>
      <c r="C6" s="22"/>
      <c r="D6" s="12"/>
      <c r="E6" s="12" t="str">
        <f>IF(AND(ISNUMBER(C6),ISNUMBER(D6)), C6-D6, "")</f>
        <v/>
      </c>
      <c r="F6" s="13" t="str">
        <f t="shared" ref="F6:F9" si="1">IFERROR(E6/D6, "")</f>
        <v/>
      </c>
      <c r="G6" s="14"/>
      <c r="H6" s="14"/>
      <c r="I6" s="15" t="str">
        <f t="shared" ref="I6" si="2">IFERROR(H6/G6, "")</f>
        <v/>
      </c>
      <c r="J6" s="39"/>
      <c r="K6" s="39"/>
    </row>
    <row r="7" spans="1:11" ht="15.6">
      <c r="A7" s="28" t="str">
        <v>Dover - Littleworth Road</v>
      </c>
      <c r="B7" s="29" t="str">
        <v>NH</v>
      </c>
      <c r="C7" s="11"/>
      <c r="D7" s="16"/>
      <c r="E7" s="16" t="str">
        <f t="shared" si="0"/>
        <v/>
      </c>
      <c r="F7" s="17" t="str">
        <f t="shared" si="1"/>
        <v/>
      </c>
      <c r="G7" s="18"/>
      <c r="H7" s="18" t="str">
        <f t="shared" ref="H7:H9" si="3">IF(AND(ISNUMBER(C7),ISNUMBER(G7)), C7-G7, "")</f>
        <v/>
      </c>
      <c r="I7" s="17" t="str">
        <f t="shared" ref="I7" si="4">IFERROR(H7/G8, "")</f>
        <v/>
      </c>
      <c r="J7" s="40"/>
      <c r="K7" s="41"/>
    </row>
    <row r="8" spans="1:11" ht="15.6">
      <c r="A8" s="26" t="str">
        <v>Milton - Landfill</v>
      </c>
      <c r="B8" s="27" t="str">
        <v>NH</v>
      </c>
      <c r="C8" s="22"/>
      <c r="D8" s="12"/>
      <c r="E8" s="12" t="str">
        <f t="shared" si="0"/>
        <v/>
      </c>
      <c r="F8" s="13" t="str">
        <f t="shared" si="1"/>
        <v/>
      </c>
      <c r="G8" s="14"/>
      <c r="H8" s="14"/>
      <c r="I8" s="15" t="str">
        <f t="shared" ref="I8" si="5">IFERROR(H8/G8, "")</f>
        <v/>
      </c>
      <c r="J8" s="39"/>
      <c r="K8" s="39"/>
    </row>
    <row r="9" spans="1:11" ht="15.6">
      <c r="A9" s="28" t="str">
        <v>Hopkinton - 71 Frankland Rd</v>
      </c>
      <c r="B9" s="29" t="str">
        <v>MA</v>
      </c>
      <c r="C9" s="11"/>
      <c r="D9" s="16"/>
      <c r="E9" s="16" t="str">
        <f t="shared" si="0"/>
        <v/>
      </c>
      <c r="F9" s="17" t="str">
        <f t="shared" si="1"/>
        <v/>
      </c>
      <c r="G9" s="18"/>
      <c r="H9" s="18" t="str">
        <f t="shared" si="3"/>
        <v/>
      </c>
      <c r="I9" s="17" t="str">
        <f>IFERROR(H9/G9, "")</f>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0" priority="5" stopIfTrue="1" operator="lessThanOrEqual">
      <formula>-0.1</formula>
    </cfRule>
    <cfRule type="expression" dxfId="9" priority="6">
      <formula>AND(ISNUMBER(F2), F2&gt;=0.1)</formula>
    </cfRule>
  </conditionalFormatting>
  <conditionalFormatting sqref="F4:F80 I4:I8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D16" sqref="D16"/>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86" t="str" cm="1">
        <f t="array" ref="A1">portfolio</f>
        <v>Agilitas Energy</v>
      </c>
      <c r="B1" s="86"/>
      <c r="C1" s="86"/>
      <c r="D1" s="87" t="s">
        <v>161</v>
      </c>
      <c r="E1" s="87"/>
      <c r="F1" s="87"/>
      <c r="G1" s="85" t="s">
        <v>162</v>
      </c>
      <c r="H1" s="85"/>
      <c r="I1" s="85"/>
      <c r="J1" s="4"/>
      <c r="K1" s="4"/>
    </row>
    <row r="2" spans="1:11" ht="19.5" customHeight="1">
      <c r="A2" s="88" t="s">
        <v>2</v>
      </c>
      <c r="B2" s="88"/>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40"/>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41"/>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G4" activePane="bottomRight" state="frozen"/>
      <selection pane="bottomRight" activeCell="G13" sqref="G13"/>
      <selection pane="bottomLeft" activeCell="G13" sqref="G13"/>
      <selection pane="topRight" activeCell="G13" sqref="G13"/>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6" t="str" cm="1">
        <f t="array" ref="A1">portfolio</f>
        <v>Agilitas Energy</v>
      </c>
      <c r="B1" s="86"/>
      <c r="C1" s="86"/>
      <c r="D1" s="87" t="s">
        <v>163</v>
      </c>
      <c r="E1" s="87"/>
      <c r="F1" s="87"/>
      <c r="G1" s="85" t="s">
        <v>164</v>
      </c>
      <c r="H1" s="85"/>
      <c r="I1" s="85"/>
      <c r="J1" s="4"/>
      <c r="K1" s="4"/>
    </row>
    <row r="2" spans="1:11" ht="19.5" customHeight="1">
      <c r="A2" s="88" t="s">
        <v>2</v>
      </c>
      <c r="B2" s="88"/>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0">Sites[Site]</f>
        <v>Rowley - Central Street Solar</v>
      </c>
      <c r="B4" s="27" t="str" cm="1">
        <f t="array" ref="B4:B10">Sites[State]</f>
        <v>MA</v>
      </c>
      <c r="C4" s="22"/>
      <c r="D4" s="12"/>
      <c r="E4" s="12" t="str">
        <f>IF(AND(ISNUMBER(C4),ISNUMBER(D4)), C4-D4, "")</f>
        <v/>
      </c>
      <c r="F4" s="13" t="str">
        <f>IFERROR(E4/D4, "")</f>
        <v/>
      </c>
      <c r="G4" s="14"/>
      <c r="H4" s="14" t="str">
        <f>IF(AND(ISNUMBER(C4),ISNUMBER(G4)), C4-G4, "")</f>
        <v/>
      </c>
      <c r="I4" s="15" t="str">
        <f>IFERROR(H4/G4, "")</f>
        <v/>
      </c>
      <c r="J4" s="39"/>
      <c r="K4" s="39"/>
    </row>
    <row r="5" spans="1:11" ht="15.6">
      <c r="A5" s="28" t="str">
        <v>Auburn - Leicester Street Solar</v>
      </c>
      <c r="B5" s="29" t="str">
        <v>MA</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Rochester - Old Middleboro</v>
      </c>
      <c r="B6" s="27" t="str">
        <v>MA</v>
      </c>
      <c r="C6" s="22"/>
      <c r="D6" s="12"/>
      <c r="E6" s="12" t="str">
        <f t="shared" si="0"/>
        <v/>
      </c>
      <c r="F6" s="13" t="str">
        <f t="shared" ref="F6:F9" si="3">IFERROR(E6/D6, "")</f>
        <v/>
      </c>
      <c r="G6" s="14"/>
      <c r="H6" s="14" t="str">
        <f t="shared" si="1"/>
        <v/>
      </c>
      <c r="I6" s="15" t="str">
        <f t="shared" si="2"/>
        <v/>
      </c>
      <c r="J6" s="39"/>
      <c r="K6" s="39"/>
    </row>
    <row r="7" spans="1:11" ht="15.6">
      <c r="A7" s="28" t="str">
        <v>Dover - Littleworth Road</v>
      </c>
      <c r="B7" s="29" t="str">
        <v>NH</v>
      </c>
      <c r="C7" s="11"/>
      <c r="D7" s="16"/>
      <c r="E7" s="16" t="str">
        <f t="shared" si="0"/>
        <v/>
      </c>
      <c r="F7" s="17" t="str">
        <f t="shared" si="3"/>
        <v/>
      </c>
      <c r="G7" s="18"/>
      <c r="H7" s="18" t="str">
        <f t="shared" si="1"/>
        <v/>
      </c>
      <c r="I7" s="17" t="str">
        <f t="shared" si="2"/>
        <v/>
      </c>
      <c r="J7" s="40"/>
      <c r="K7" s="41"/>
    </row>
    <row r="8" spans="1:11" ht="15.6">
      <c r="A8" s="26" t="str">
        <v>Milton - Landfill</v>
      </c>
      <c r="B8" s="27" t="str">
        <v>NH</v>
      </c>
      <c r="C8" s="22"/>
      <c r="D8" s="12"/>
      <c r="E8" s="12" t="str">
        <f t="shared" si="0"/>
        <v/>
      </c>
      <c r="F8" s="13" t="str">
        <f t="shared" si="3"/>
        <v/>
      </c>
      <c r="G8" s="14"/>
      <c r="H8" s="14" t="str">
        <f t="shared" si="1"/>
        <v/>
      </c>
      <c r="I8" s="15" t="str">
        <f t="shared" si="2"/>
        <v/>
      </c>
      <c r="J8" s="39"/>
      <c r="K8" s="39"/>
    </row>
    <row r="9" spans="1:11" ht="15.6">
      <c r="A9" s="28" t="str">
        <v>Hopkinton - 71 Frankland Rd</v>
      </c>
      <c r="B9" s="29" t="str">
        <v>MA</v>
      </c>
      <c r="C9" s="11"/>
      <c r="D9" s="16"/>
      <c r="E9" s="16" t="str">
        <f t="shared" si="0"/>
        <v/>
      </c>
      <c r="F9" s="17" t="str">
        <f t="shared" si="3"/>
        <v/>
      </c>
      <c r="G9" s="18"/>
      <c r="H9" s="18" t="str">
        <f t="shared" si="1"/>
        <v/>
      </c>
      <c r="I9" s="17" t="str">
        <f t="shared" si="2"/>
        <v/>
      </c>
      <c r="J9" s="40"/>
      <c r="K9" s="56"/>
    </row>
    <row r="10" spans="1:11" ht="14.45">
      <c r="A10" s="19" t="str">
        <v>Dedham - 100 Rustcraft Rd</v>
      </c>
      <c r="B10" s="31" t="str">
        <v>MA</v>
      </c>
      <c r="C10" s="19"/>
      <c r="D10" s="19"/>
      <c r="E10" s="19"/>
      <c r="F10" s="19"/>
      <c r="G10" s="19"/>
      <c r="H10" s="19"/>
      <c r="I10" s="19"/>
      <c r="J10" s="19"/>
      <c r="K10" s="19"/>
    </row>
    <row r="11" spans="1:11" ht="14.45">
      <c r="A11" s="19"/>
      <c r="B11" s="31"/>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B8" sqref="B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165</v>
      </c>
      <c r="B1" t="s">
        <v>166</v>
      </c>
    </row>
    <row r="3" spans="1:12" ht="13.15">
      <c r="A3" t="s">
        <v>167</v>
      </c>
      <c r="B3" t="s">
        <v>3</v>
      </c>
      <c r="C3" t="s">
        <v>4</v>
      </c>
      <c r="D3" t="s">
        <v>168</v>
      </c>
      <c r="E3" s="2" t="s">
        <v>169</v>
      </c>
    </row>
    <row r="4" spans="1:12" ht="14.45">
      <c r="A4" s="48" t="s">
        <v>170</v>
      </c>
      <c r="B4" t="s">
        <v>171</v>
      </c>
      <c r="C4" s="45" t="s">
        <v>172</v>
      </c>
      <c r="D4" s="44" t="s">
        <v>173</v>
      </c>
      <c r="E4" t="s">
        <v>174</v>
      </c>
      <c r="G4" s="3"/>
    </row>
    <row r="5" spans="1:12" ht="14.45">
      <c r="A5" s="48" t="s">
        <v>175</v>
      </c>
      <c r="B5" t="s">
        <v>176</v>
      </c>
      <c r="C5" s="45" t="s">
        <v>172</v>
      </c>
      <c r="D5" s="44" t="s">
        <v>173</v>
      </c>
      <c r="E5" t="s">
        <v>174</v>
      </c>
      <c r="G5" s="3"/>
    </row>
    <row r="6" spans="1:12" ht="14.45">
      <c r="A6" s="48" t="s">
        <v>177</v>
      </c>
      <c r="B6" t="s">
        <v>178</v>
      </c>
      <c r="C6" s="45" t="s">
        <v>172</v>
      </c>
      <c r="D6" s="44" t="s">
        <v>173</v>
      </c>
      <c r="E6" t="s">
        <v>174</v>
      </c>
      <c r="G6" s="3"/>
    </row>
    <row r="7" spans="1:12" ht="12.75" customHeight="1">
      <c r="A7" s="48" t="s">
        <v>179</v>
      </c>
      <c r="B7" t="s">
        <v>180</v>
      </c>
      <c r="C7" s="45" t="s">
        <v>181</v>
      </c>
      <c r="D7" s="44"/>
      <c r="E7" t="s">
        <v>182</v>
      </c>
    </row>
    <row r="8" spans="1:12" ht="12.75" customHeight="1">
      <c r="A8" s="48" t="s">
        <v>183</v>
      </c>
      <c r="B8" t="s">
        <v>184</v>
      </c>
      <c r="C8" s="45" t="s">
        <v>181</v>
      </c>
      <c r="D8" s="44"/>
      <c r="E8" t="s">
        <v>182</v>
      </c>
    </row>
    <row r="9" spans="1:12" ht="12.75" customHeight="1">
      <c r="A9" s="54" t="s">
        <v>185</v>
      </c>
      <c r="B9" s="55" t="s">
        <v>186</v>
      </c>
      <c r="C9" s="45" t="s">
        <v>172</v>
      </c>
      <c r="D9" t="s">
        <v>173</v>
      </c>
      <c r="E9" t="s">
        <v>174</v>
      </c>
      <c r="K9" s="42"/>
      <c r="L9" s="42"/>
    </row>
    <row r="10" spans="1:12" ht="12.75" customHeight="1">
      <c r="A10" s="54" t="s">
        <v>187</v>
      </c>
      <c r="B10" s="55" t="s">
        <v>188</v>
      </c>
      <c r="C10" s="45" t="s">
        <v>172</v>
      </c>
      <c r="D10" t="s">
        <v>173</v>
      </c>
      <c r="E10" t="s">
        <v>174</v>
      </c>
      <c r="K10" s="42"/>
      <c r="L10" s="42"/>
    </row>
    <row r="11" spans="1:12" ht="12.75" customHeight="1">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9.xml>��
</file>

<file path=customXml/item20.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BF5C6359-7763-4C37-8EAF-2BC4698CB285}"/>
</file>

<file path=customXml/itemProps4.xml><?xml version="1.0" encoding="utf-8"?>
<ds:datastoreItem xmlns:ds="http://schemas.openxmlformats.org/officeDocument/2006/customXml" ds:itemID="{F6B2B1A1-1C4B-4AC9-9A7D-7A102DD1C942}"/>
</file>

<file path=customXml/itemProps5.xml><?xml version="1.0" encoding="utf-8"?>
<ds:datastoreItem xmlns:ds="http://schemas.openxmlformats.org/officeDocument/2006/customXml" ds:itemID="{0389C43E-394D-44C0-87DC-4780FCFCFB40}"/>
</file>

<file path=customXml/itemProps6.xml><?xml version="1.0" encoding="utf-8"?>
<ds:datastoreItem xmlns:ds="http://schemas.openxmlformats.org/officeDocument/2006/customXml" ds:itemID="{66B09F59-6532-46F8-924A-9A02417E070D}"/>
</file>

<file path=customXml/itemProps7.xml><?xml version="1.0" encoding="utf-8"?>
<ds:datastoreItem xmlns:ds="http://schemas.openxmlformats.org/officeDocument/2006/customXml" ds:itemID="{3AEAA9D8-2182-46BA-A58E-96C72DDA1C54}"/>
</file>

<file path=customXml/itemProps8.xml><?xml version="1.0" encoding="utf-8"?>
<ds:datastoreItem xmlns:ds="http://schemas.openxmlformats.org/officeDocument/2006/customXml" ds:itemID="{8D732231-4216-4543-A665-18A2886B0EB7}"/>
</file>

<file path=customXml/itemProps9.xml><?xml version="1.0" encoding="utf-8"?>
<ds:datastoreItem xmlns:ds="http://schemas.openxmlformats.org/officeDocument/2006/customXml" ds:itemID="{E3716282-BFD2-4ED2-BA47-BFA1123827F0}"/>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E20E8303-6A67-485C-B6F4-303542CC295C}"/>
</file>

<file path=customXml/itemProps12.xml><?xml version="1.0" encoding="utf-8"?>
<ds:datastoreItem xmlns:ds="http://schemas.openxmlformats.org/officeDocument/2006/customXml" ds:itemID="{2BC74AAC-D69B-4AF1-9649-B21EF3C1C463}"/>
</file>

<file path=customXml/itemProps13.xml><?xml version="1.0" encoding="utf-8"?>
<ds:datastoreItem xmlns:ds="http://schemas.openxmlformats.org/officeDocument/2006/customXml" ds:itemID="{BE26B669-A686-459C-A5E9-FEC3409C4C81}"/>
</file>

<file path=customXml/itemProps14.xml><?xml version="1.0" encoding="utf-8"?>
<ds:datastoreItem xmlns:ds="http://schemas.openxmlformats.org/officeDocument/2006/customXml" ds:itemID="{D3A7101F-9A85-4235-8B03-415370C100B2}"/>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14966E4F-347B-477B-B74C-9DAC05405806}"/>
</file>

<file path=customXml/itemProps17.xml><?xml version="1.0" encoding="utf-8"?>
<ds:datastoreItem xmlns:ds="http://schemas.openxmlformats.org/officeDocument/2006/customXml" ds:itemID="{1954BBA4-0359-438C-B0EC-A756015F7C02}"/>
</file>

<file path=customXml/itemProps18.xml><?xml version="1.0" encoding="utf-8"?>
<ds:datastoreItem xmlns:ds="http://schemas.openxmlformats.org/officeDocument/2006/customXml" ds:itemID="{25A5DACD-381A-4464-8E8D-1769CF4CF95E}"/>
</file>

<file path=customXml/itemProps19.xml><?xml version="1.0" encoding="utf-8"?>
<ds:datastoreItem xmlns:ds="http://schemas.openxmlformats.org/officeDocument/2006/customXml" ds:itemID="{078388C9-06F9-42F4-B857-EF76B5CAF1FD}"/>
</file>

<file path=customXml/itemProps20.xml><?xml version="1.0" encoding="utf-8"?>
<ds:datastoreItem xmlns:ds="http://schemas.openxmlformats.org/officeDocument/2006/customXml" ds:itemID="{7946C510-7D04-49D8-9B25-EEC04582A1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Anusha Vempati</cp:lastModifiedBy>
  <cp:revision/>
  <dcterms:created xsi:type="dcterms:W3CDTF">2021-01-01T16:39:53Z</dcterms:created>
  <dcterms:modified xsi:type="dcterms:W3CDTF">2025-08-13T07:53:28Z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