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150" documentId="13_ncr:1_{76FBC769-6F8E-475A-A47D-76A4E5866244}" xr6:coauthVersionLast="47" xr6:coauthVersionMax="47" xr10:uidLastSave="{081A8B69-8FB2-4FB7-BBCB-3ED080336565}"/>
  <bookViews>
    <workbookView xWindow="-98" yWindow="-98" windowWidth="21795" windowHeight="12975" tabRatio="866" firstSheet="4"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0" l="1"/>
  <c r="E2" i="29"/>
  <c r="E2" i="18"/>
  <c r="D2" i="1"/>
  <c r="E2" i="1"/>
  <c r="E2" i="34"/>
  <c r="I6" i="34"/>
  <c r="I7" i="34"/>
  <c r="I8"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5" i="34"/>
  <c r="I36" i="34"/>
  <c r="I37" i="34"/>
  <c r="I38" i="34"/>
  <c r="I39" i="34"/>
  <c r="I40" i="34"/>
  <c r="I41" i="34"/>
  <c r="I42" i="34"/>
  <c r="I43" i="34"/>
  <c r="I44" i="34"/>
  <c r="I45" i="34"/>
  <c r="I46" i="34"/>
  <c r="I47" i="34"/>
  <c r="I48" i="34"/>
  <c r="I49" i="34"/>
  <c r="I50" i="34"/>
  <c r="I51" i="34"/>
  <c r="I52" i="34"/>
  <c r="I53" i="34"/>
  <c r="I54" i="34"/>
  <c r="I55" i="34"/>
  <c r="I56" i="34"/>
  <c r="I57" i="34"/>
  <c r="I58" i="34"/>
  <c r="I59" i="34"/>
  <c r="I60" i="34"/>
  <c r="I61" i="34"/>
  <c r="I62" i="34"/>
  <c r="I63" i="34"/>
  <c r="I64" i="34"/>
  <c r="I65" i="34"/>
  <c r="I66" i="34"/>
  <c r="I67" i="34"/>
  <c r="I68" i="34"/>
  <c r="I70" i="34"/>
  <c r="I71" i="34"/>
  <c r="I72" i="34"/>
  <c r="I73" i="34"/>
  <c r="I74" i="34"/>
  <c r="I75" i="34"/>
  <c r="I76" i="34"/>
  <c r="I77" i="34"/>
  <c r="I78" i="34"/>
  <c r="I79" i="34"/>
  <c r="I80" i="34"/>
  <c r="I81" i="34"/>
  <c r="I82" i="34"/>
  <c r="I83" i="34"/>
  <c r="I84" i="34"/>
  <c r="I85" i="34"/>
  <c r="I86" i="34"/>
  <c r="I87" i="34"/>
  <c r="I88" i="34"/>
  <c r="I89" i="34"/>
  <c r="I90" i="34"/>
  <c r="I91" i="34"/>
  <c r="I92" i="34"/>
  <c r="I93" i="34"/>
  <c r="I94" i="34"/>
  <c r="I95" i="34"/>
  <c r="I96" i="34"/>
  <c r="I97" i="34"/>
  <c r="I98" i="34"/>
  <c r="I99" i="34"/>
  <c r="I100" i="34"/>
  <c r="I101" i="34"/>
  <c r="I102" i="34"/>
  <c r="I103" i="34"/>
  <c r="I104" i="34"/>
  <c r="I105" i="34"/>
  <c r="I106" i="34"/>
  <c r="I107" i="34"/>
  <c r="I108" i="34"/>
  <c r="I109" i="34"/>
  <c r="I110" i="34"/>
  <c r="I111" i="34"/>
  <c r="I112" i="34"/>
  <c r="I113" i="34"/>
  <c r="I114" i="34"/>
  <c r="I115" i="34"/>
  <c r="I116" i="34"/>
  <c r="I117" i="34"/>
  <c r="I118" i="34"/>
  <c r="I119" i="34"/>
  <c r="I120" i="34"/>
  <c r="I121" i="34"/>
  <c r="I122" i="34"/>
  <c r="I123" i="34"/>
  <c r="I124" i="34"/>
  <c r="I125" i="34"/>
  <c r="I126" i="34"/>
  <c r="I127" i="34"/>
  <c r="I128" i="34"/>
  <c r="I129" i="34"/>
  <c r="I130" i="34"/>
  <c r="I131" i="34"/>
  <c r="I132" i="34"/>
  <c r="I133" i="34"/>
  <c r="I134" i="34"/>
  <c r="I135" i="34"/>
  <c r="I136" i="34"/>
  <c r="I137" i="34"/>
  <c r="I138" i="34"/>
  <c r="I139" i="34"/>
  <c r="I140" i="34"/>
  <c r="I141" i="34"/>
  <c r="I142" i="34"/>
  <c r="I143" i="34"/>
  <c r="I144" i="34"/>
  <c r="I145" i="34"/>
  <c r="I146" i="34"/>
  <c r="I147" i="34"/>
  <c r="I148" i="34"/>
  <c r="I149" i="34"/>
  <c r="I150" i="34"/>
  <c r="I151" i="34"/>
  <c r="I152" i="34"/>
  <c r="I153" i="34"/>
  <c r="I154" i="34"/>
  <c r="I155" i="34"/>
  <c r="I156" i="34"/>
  <c r="I157" i="34"/>
  <c r="I158" i="34"/>
  <c r="I5" i="34"/>
  <c r="H6" i="34"/>
  <c r="H7" i="34"/>
  <c r="H8" i="34"/>
  <c r="H9" i="34"/>
  <c r="H10" i="34"/>
  <c r="H11" i="34"/>
  <c r="H12" i="34"/>
  <c r="H13" i="34"/>
  <c r="H14" i="34"/>
  <c r="H15" i="34"/>
  <c r="H16" i="34"/>
  <c r="H17" i="34"/>
  <c r="H18" i="34"/>
  <c r="H19" i="34"/>
  <c r="H20" i="34"/>
  <c r="H21" i="34"/>
  <c r="H22" i="34"/>
  <c r="H23" i="34"/>
  <c r="H24" i="34"/>
  <c r="H25" i="34"/>
  <c r="H26" i="34"/>
  <c r="H27" i="34"/>
  <c r="H28" i="34"/>
  <c r="H29" i="34"/>
  <c r="H30" i="34"/>
  <c r="H31" i="34"/>
  <c r="H32" i="34"/>
  <c r="H33" i="34"/>
  <c r="H34" i="34"/>
  <c r="H35" i="34"/>
  <c r="H36" i="34"/>
  <c r="H37" i="34"/>
  <c r="H38" i="34"/>
  <c r="H39" i="34"/>
  <c r="H40" i="34"/>
  <c r="H41" i="34"/>
  <c r="H42" i="34"/>
  <c r="H43" i="34"/>
  <c r="H44" i="34"/>
  <c r="H45" i="34"/>
  <c r="H46" i="34"/>
  <c r="H47" i="34"/>
  <c r="H48" i="34"/>
  <c r="H49" i="34"/>
  <c r="H50" i="34"/>
  <c r="H51" i="34"/>
  <c r="H52" i="34"/>
  <c r="H53" i="34"/>
  <c r="H54" i="34"/>
  <c r="H55" i="34"/>
  <c r="H56" i="34"/>
  <c r="H57" i="34"/>
  <c r="H58" i="34"/>
  <c r="H59" i="34"/>
  <c r="H60" i="34"/>
  <c r="H61" i="34"/>
  <c r="H62" i="34"/>
  <c r="H63" i="34"/>
  <c r="H64" i="34"/>
  <c r="H65" i="34"/>
  <c r="H66" i="34"/>
  <c r="H67" i="34"/>
  <c r="H68" i="34"/>
  <c r="H70" i="34"/>
  <c r="H71" i="34"/>
  <c r="H72" i="34"/>
  <c r="H73" i="34"/>
  <c r="H74" i="34"/>
  <c r="H75" i="34"/>
  <c r="H76" i="34"/>
  <c r="H77" i="34"/>
  <c r="H78" i="34"/>
  <c r="H79" i="34"/>
  <c r="H80" i="34"/>
  <c r="H81" i="34"/>
  <c r="H82" i="34"/>
  <c r="H83" i="34"/>
  <c r="H84" i="34"/>
  <c r="H85" i="34"/>
  <c r="H86" i="34"/>
  <c r="H87" i="34"/>
  <c r="H88" i="34"/>
  <c r="H89" i="34"/>
  <c r="H90" i="34"/>
  <c r="H91" i="34"/>
  <c r="H92" i="34"/>
  <c r="H93" i="34"/>
  <c r="H94" i="34"/>
  <c r="H95" i="34"/>
  <c r="H96" i="34"/>
  <c r="H97" i="34"/>
  <c r="H98" i="34"/>
  <c r="H99" i="34"/>
  <c r="H100" i="34"/>
  <c r="H101" i="34"/>
  <c r="H102" i="34"/>
  <c r="H103" i="34"/>
  <c r="H104" i="34"/>
  <c r="H105" i="34"/>
  <c r="H106" i="34"/>
  <c r="H107" i="34"/>
  <c r="H108" i="34"/>
  <c r="H109" i="34"/>
  <c r="H110" i="34"/>
  <c r="H111" i="34"/>
  <c r="H112" i="34"/>
  <c r="H113" i="34"/>
  <c r="H114" i="34"/>
  <c r="H115" i="34"/>
  <c r="H116" i="34"/>
  <c r="H117" i="34"/>
  <c r="H118" i="34"/>
  <c r="H119" i="34"/>
  <c r="H120" i="34"/>
  <c r="H121" i="34"/>
  <c r="H122" i="34"/>
  <c r="H123" i="34"/>
  <c r="H124" i="34"/>
  <c r="H125" i="34"/>
  <c r="H126" i="34"/>
  <c r="H127" i="34"/>
  <c r="H128" i="34"/>
  <c r="H129" i="34"/>
  <c r="H130" i="34"/>
  <c r="H131" i="34"/>
  <c r="H132" i="34"/>
  <c r="H133" i="34"/>
  <c r="H134" i="34"/>
  <c r="H135" i="34"/>
  <c r="H136" i="34"/>
  <c r="H137" i="34"/>
  <c r="H138" i="34"/>
  <c r="H139" i="34"/>
  <c r="H140" i="34"/>
  <c r="H141" i="34"/>
  <c r="H142" i="34"/>
  <c r="H143" i="34"/>
  <c r="H144" i="34"/>
  <c r="H145" i="34"/>
  <c r="H146" i="34"/>
  <c r="H147" i="34"/>
  <c r="H148" i="34"/>
  <c r="H149" i="34"/>
  <c r="H150" i="34"/>
  <c r="H151" i="34"/>
  <c r="H152" i="34"/>
  <c r="H153" i="34"/>
  <c r="H154" i="34"/>
  <c r="H155" i="34"/>
  <c r="H156" i="34"/>
  <c r="H157" i="34"/>
  <c r="H158" i="34"/>
  <c r="I4" i="34"/>
  <c r="H5" i="34"/>
  <c r="H4" i="34"/>
  <c r="E6" i="34"/>
  <c r="E7" i="34"/>
  <c r="E8" i="34"/>
  <c r="E9" i="34"/>
  <c r="E10" i="34"/>
  <c r="E11" i="34"/>
  <c r="E12" i="34"/>
  <c r="E13" i="34"/>
  <c r="E14" i="34"/>
  <c r="E15" i="34"/>
  <c r="E16" i="34"/>
  <c r="E17" i="34"/>
  <c r="E18" i="34"/>
  <c r="E19" i="34"/>
  <c r="E20" i="34"/>
  <c r="E21" i="34"/>
  <c r="E22" i="34"/>
  <c r="E23" i="34"/>
  <c r="E24" i="34"/>
  <c r="E25" i="34"/>
  <c r="E26" i="34"/>
  <c r="E27" i="34"/>
  <c r="E28" i="34"/>
  <c r="E29" i="34"/>
  <c r="E30" i="34"/>
  <c r="E31" i="34"/>
  <c r="E32" i="34"/>
  <c r="E33" i="34"/>
  <c r="E34" i="34"/>
  <c r="E35" i="34"/>
  <c r="E36" i="34"/>
  <c r="E37" i="34"/>
  <c r="E38" i="34"/>
  <c r="E39" i="34"/>
  <c r="E40" i="34"/>
  <c r="E41" i="34"/>
  <c r="E42" i="34"/>
  <c r="E43" i="34"/>
  <c r="E44" i="34"/>
  <c r="E45" i="34"/>
  <c r="E46" i="34"/>
  <c r="E47" i="34"/>
  <c r="E48" i="34"/>
  <c r="E49" i="34"/>
  <c r="E50" i="34"/>
  <c r="E51" i="34"/>
  <c r="E52" i="34"/>
  <c r="E53" i="34"/>
  <c r="E54" i="34"/>
  <c r="E55" i="34"/>
  <c r="E56" i="34"/>
  <c r="E57" i="34"/>
  <c r="E58" i="34"/>
  <c r="E59" i="34"/>
  <c r="E60" i="34"/>
  <c r="E61" i="34"/>
  <c r="E62" i="34"/>
  <c r="E63" i="34"/>
  <c r="E64" i="34"/>
  <c r="E65" i="34"/>
  <c r="E66" i="34"/>
  <c r="E67" i="34"/>
  <c r="E68" i="34"/>
  <c r="E69" i="34"/>
  <c r="E70" i="34"/>
  <c r="E71" i="34"/>
  <c r="E72" i="34"/>
  <c r="E73" i="34"/>
  <c r="E74" i="34"/>
  <c r="E75" i="34"/>
  <c r="E76" i="34"/>
  <c r="E77" i="34"/>
  <c r="E78" i="34"/>
  <c r="E79" i="34"/>
  <c r="E80" i="34"/>
  <c r="E81" i="34"/>
  <c r="E82" i="34"/>
  <c r="E83" i="34"/>
  <c r="E84" i="34"/>
  <c r="E85" i="34"/>
  <c r="E86" i="34"/>
  <c r="E87" i="34"/>
  <c r="E88" i="34"/>
  <c r="E89" i="34"/>
  <c r="E90" i="34"/>
  <c r="E91" i="34"/>
  <c r="E92" i="34"/>
  <c r="E93" i="34"/>
  <c r="E94" i="34"/>
  <c r="E95" i="34"/>
  <c r="E96" i="34"/>
  <c r="E97" i="34"/>
  <c r="E98" i="34"/>
  <c r="E99" i="34"/>
  <c r="E100" i="34"/>
  <c r="E101" i="34"/>
  <c r="E102" i="34"/>
  <c r="E103" i="34"/>
  <c r="E104" i="34"/>
  <c r="E105" i="34"/>
  <c r="E106" i="34"/>
  <c r="E107" i="34"/>
  <c r="E108" i="34"/>
  <c r="E109" i="34"/>
  <c r="E110" i="34"/>
  <c r="E111" i="34"/>
  <c r="E112" i="34"/>
  <c r="E113" i="34"/>
  <c r="E114" i="34"/>
  <c r="E115" i="34"/>
  <c r="E116" i="34"/>
  <c r="E117" i="34"/>
  <c r="E118" i="34"/>
  <c r="E119" i="34"/>
  <c r="E120" i="34"/>
  <c r="E121" i="34"/>
  <c r="E122" i="34"/>
  <c r="E123" i="34"/>
  <c r="E124" i="34"/>
  <c r="E125" i="34"/>
  <c r="E126" i="34"/>
  <c r="E127" i="34"/>
  <c r="E128" i="34"/>
  <c r="E129" i="34"/>
  <c r="E130" i="34"/>
  <c r="E131" i="34"/>
  <c r="E132" i="34"/>
  <c r="E133" i="34"/>
  <c r="E134" i="34"/>
  <c r="E135" i="34"/>
  <c r="E136" i="34"/>
  <c r="E137" i="34"/>
  <c r="E138" i="34"/>
  <c r="E139" i="34"/>
  <c r="E140" i="34"/>
  <c r="E141" i="34"/>
  <c r="E142" i="34"/>
  <c r="E143" i="34"/>
  <c r="E144" i="34"/>
  <c r="E145" i="34"/>
  <c r="E146" i="34"/>
  <c r="E147" i="34"/>
  <c r="E148" i="34"/>
  <c r="E149" i="34"/>
  <c r="E150" i="34"/>
  <c r="E151" i="34"/>
  <c r="E152" i="34"/>
  <c r="E153" i="34"/>
  <c r="E154" i="34"/>
  <c r="E155" i="34"/>
  <c r="E156" i="34"/>
  <c r="E157" i="34"/>
  <c r="E158" i="34"/>
  <c r="E5" i="34"/>
  <c r="E4" i="34"/>
  <c r="C98" i="29"/>
  <c r="D98" i="29"/>
  <c r="E98" i="29"/>
  <c r="F98" i="29"/>
  <c r="G98" i="29"/>
  <c r="H98" i="29"/>
  <c r="I98" i="29"/>
  <c r="J98" i="29"/>
  <c r="C99" i="29"/>
  <c r="D99" i="29"/>
  <c r="E99" i="29"/>
  <c r="F99" i="29"/>
  <c r="G99" i="29"/>
  <c r="H99" i="29"/>
  <c r="I99" i="29"/>
  <c r="J99" i="29"/>
  <c r="C100" i="29"/>
  <c r="D100" i="29"/>
  <c r="E100" i="29"/>
  <c r="F100" i="29"/>
  <c r="G100" i="29"/>
  <c r="H100" i="29"/>
  <c r="I100" i="29"/>
  <c r="J100" i="29"/>
  <c r="C101" i="29"/>
  <c r="D101" i="29"/>
  <c r="E101" i="29"/>
  <c r="F101" i="29"/>
  <c r="G101" i="29"/>
  <c r="H101" i="29"/>
  <c r="I101" i="29"/>
  <c r="J101" i="29"/>
  <c r="C102" i="29"/>
  <c r="D102" i="29"/>
  <c r="E102" i="29"/>
  <c r="F102" i="29"/>
  <c r="G102" i="29"/>
  <c r="H102" i="29"/>
  <c r="I102" i="29"/>
  <c r="J102" i="29"/>
  <c r="C103" i="29"/>
  <c r="D103" i="29"/>
  <c r="E103" i="29"/>
  <c r="F103" i="29"/>
  <c r="G103" i="29"/>
  <c r="H103" i="29"/>
  <c r="I103" i="29"/>
  <c r="J103" i="29"/>
  <c r="C104" i="29"/>
  <c r="D104" i="29"/>
  <c r="E104" i="29"/>
  <c r="F104" i="29"/>
  <c r="G104" i="29"/>
  <c r="H104" i="29"/>
  <c r="I104" i="29"/>
  <c r="J104" i="29"/>
  <c r="C105" i="29"/>
  <c r="D105" i="29"/>
  <c r="E105" i="29"/>
  <c r="F105" i="29"/>
  <c r="G105" i="29"/>
  <c r="H105" i="29"/>
  <c r="I105" i="29"/>
  <c r="J105" i="29"/>
  <c r="C106" i="29"/>
  <c r="D106" i="29"/>
  <c r="E106" i="29"/>
  <c r="F106" i="29"/>
  <c r="G106" i="29"/>
  <c r="H106" i="29"/>
  <c r="I106" i="29"/>
  <c r="J106" i="29"/>
  <c r="C107" i="29"/>
  <c r="D107" i="29"/>
  <c r="E107" i="29"/>
  <c r="F107" i="29"/>
  <c r="G107" i="29"/>
  <c r="H107" i="29"/>
  <c r="I107" i="29"/>
  <c r="J107" i="29"/>
  <c r="C108" i="29"/>
  <c r="D108" i="29"/>
  <c r="E108" i="29"/>
  <c r="F108" i="29"/>
  <c r="G108" i="29"/>
  <c r="H108" i="29"/>
  <c r="I108" i="29"/>
  <c r="J108" i="29"/>
  <c r="C109" i="29"/>
  <c r="D109" i="29"/>
  <c r="E109" i="29"/>
  <c r="F109" i="29"/>
  <c r="G109" i="29"/>
  <c r="H109" i="29"/>
  <c r="I109" i="29"/>
  <c r="J109" i="29"/>
  <c r="C110" i="29"/>
  <c r="D110" i="29"/>
  <c r="E110" i="29"/>
  <c r="F110" i="29"/>
  <c r="G110" i="29"/>
  <c r="H110" i="29"/>
  <c r="I110" i="29"/>
  <c r="J110" i="29"/>
  <c r="C111" i="29"/>
  <c r="D111" i="29"/>
  <c r="E111" i="29"/>
  <c r="F111" i="29"/>
  <c r="G111" i="29"/>
  <c r="H111" i="29"/>
  <c r="I111" i="29"/>
  <c r="J111" i="29"/>
  <c r="C112" i="29"/>
  <c r="D112" i="29"/>
  <c r="E112" i="29"/>
  <c r="F112" i="29"/>
  <c r="G112" i="29"/>
  <c r="H112" i="29"/>
  <c r="I112" i="29"/>
  <c r="J112" i="29"/>
  <c r="C113" i="29"/>
  <c r="D113" i="29"/>
  <c r="E113" i="29"/>
  <c r="F113" i="29"/>
  <c r="G113" i="29"/>
  <c r="H113" i="29"/>
  <c r="I113" i="29"/>
  <c r="J113" i="29"/>
  <c r="C114" i="29"/>
  <c r="D114" i="29"/>
  <c r="E114" i="29"/>
  <c r="F114" i="29"/>
  <c r="G114" i="29"/>
  <c r="H114" i="29"/>
  <c r="I114" i="29"/>
  <c r="J114" i="29"/>
  <c r="C115" i="29"/>
  <c r="D115" i="29"/>
  <c r="E115" i="29"/>
  <c r="F115" i="29"/>
  <c r="G115" i="29"/>
  <c r="H115" i="29"/>
  <c r="I115" i="29"/>
  <c r="J115" i="29"/>
  <c r="C116" i="29"/>
  <c r="D116" i="29"/>
  <c r="E116" i="29"/>
  <c r="F116" i="29"/>
  <c r="G116" i="29"/>
  <c r="H116" i="29"/>
  <c r="I116" i="29"/>
  <c r="J116" i="29"/>
  <c r="C117" i="29"/>
  <c r="D117" i="29"/>
  <c r="E117" i="29"/>
  <c r="F117" i="29"/>
  <c r="G117" i="29"/>
  <c r="H117" i="29"/>
  <c r="I117" i="29"/>
  <c r="J117" i="29"/>
  <c r="C118" i="29"/>
  <c r="D118" i="29"/>
  <c r="E118" i="29"/>
  <c r="F118" i="29"/>
  <c r="G118" i="29"/>
  <c r="H118" i="29"/>
  <c r="I118" i="29"/>
  <c r="J118" i="29"/>
  <c r="C119" i="29"/>
  <c r="D119" i="29"/>
  <c r="E119" i="29"/>
  <c r="F119" i="29"/>
  <c r="G119" i="29"/>
  <c r="H119" i="29"/>
  <c r="I119" i="29"/>
  <c r="J119" i="29"/>
  <c r="C120" i="29"/>
  <c r="D120" i="29"/>
  <c r="E120" i="29"/>
  <c r="F120" i="29"/>
  <c r="G120" i="29"/>
  <c r="H120" i="29"/>
  <c r="I120" i="29"/>
  <c r="J120" i="29"/>
  <c r="C121" i="29"/>
  <c r="D121" i="29"/>
  <c r="E121" i="29"/>
  <c r="F121" i="29"/>
  <c r="G121" i="29"/>
  <c r="H121" i="29"/>
  <c r="I121" i="29"/>
  <c r="J121" i="29"/>
  <c r="C122" i="29"/>
  <c r="D122" i="29"/>
  <c r="E122" i="29"/>
  <c r="F122" i="29"/>
  <c r="G122" i="29"/>
  <c r="H122" i="29"/>
  <c r="I122" i="29"/>
  <c r="J122" i="29"/>
  <c r="C123" i="29"/>
  <c r="D123" i="29"/>
  <c r="E123" i="29"/>
  <c r="F123" i="29"/>
  <c r="G123" i="29"/>
  <c r="H123" i="29"/>
  <c r="I123" i="29"/>
  <c r="J123" i="29"/>
  <c r="C124" i="29"/>
  <c r="D124" i="29"/>
  <c r="E124" i="29"/>
  <c r="F124" i="29"/>
  <c r="G124" i="29"/>
  <c r="H124" i="29"/>
  <c r="I124" i="29"/>
  <c r="J124" i="29"/>
  <c r="C125" i="29"/>
  <c r="D125" i="29"/>
  <c r="E125" i="29"/>
  <c r="F125" i="29"/>
  <c r="G125" i="29"/>
  <c r="H125" i="29"/>
  <c r="I125" i="29"/>
  <c r="J125" i="29"/>
  <c r="C126" i="29"/>
  <c r="D126" i="29"/>
  <c r="E126" i="29"/>
  <c r="F126" i="29"/>
  <c r="G126" i="29"/>
  <c r="H126" i="29"/>
  <c r="I126" i="29"/>
  <c r="J126" i="29"/>
  <c r="C127" i="29"/>
  <c r="D127" i="29"/>
  <c r="E127" i="29"/>
  <c r="F127" i="29"/>
  <c r="G127" i="29"/>
  <c r="H127" i="29"/>
  <c r="I127" i="29"/>
  <c r="J127" i="29"/>
  <c r="C128" i="29"/>
  <c r="D128" i="29"/>
  <c r="E128" i="29"/>
  <c r="F128" i="29"/>
  <c r="G128" i="29"/>
  <c r="H128" i="29"/>
  <c r="I128" i="29"/>
  <c r="J128" i="29"/>
  <c r="C129" i="29"/>
  <c r="D129" i="29"/>
  <c r="E129" i="29"/>
  <c r="F129" i="29"/>
  <c r="G129" i="29"/>
  <c r="H129" i="29"/>
  <c r="I129" i="29"/>
  <c r="J129" i="29"/>
  <c r="C130" i="29"/>
  <c r="D130" i="29"/>
  <c r="E130" i="29"/>
  <c r="F130" i="29"/>
  <c r="G130" i="29"/>
  <c r="H130" i="29"/>
  <c r="I130" i="29"/>
  <c r="J130" i="29"/>
  <c r="C131" i="29"/>
  <c r="D131" i="29"/>
  <c r="E131" i="29"/>
  <c r="F131" i="29"/>
  <c r="G131" i="29"/>
  <c r="H131" i="29"/>
  <c r="I131" i="29"/>
  <c r="J131" i="29"/>
  <c r="C132" i="29"/>
  <c r="D132" i="29"/>
  <c r="E132" i="29"/>
  <c r="F132" i="29"/>
  <c r="G132" i="29"/>
  <c r="H132" i="29"/>
  <c r="I132" i="29"/>
  <c r="J132" i="29"/>
  <c r="C133" i="29"/>
  <c r="D133" i="29"/>
  <c r="E133" i="29"/>
  <c r="F133" i="29"/>
  <c r="G133" i="29"/>
  <c r="H133" i="29"/>
  <c r="I133" i="29"/>
  <c r="J133" i="29"/>
  <c r="C134" i="29"/>
  <c r="D134" i="29"/>
  <c r="E134" i="29"/>
  <c r="F134" i="29"/>
  <c r="G134" i="29"/>
  <c r="H134" i="29"/>
  <c r="I134" i="29"/>
  <c r="J134" i="29"/>
  <c r="C135" i="29"/>
  <c r="D135" i="29"/>
  <c r="E135" i="29"/>
  <c r="F135" i="29"/>
  <c r="G135" i="29"/>
  <c r="H135" i="29"/>
  <c r="I135" i="29"/>
  <c r="J135" i="29"/>
  <c r="C136" i="29"/>
  <c r="D136" i="29"/>
  <c r="E136" i="29"/>
  <c r="F136" i="29"/>
  <c r="G136" i="29"/>
  <c r="H136" i="29"/>
  <c r="I136" i="29"/>
  <c r="J136" i="29"/>
  <c r="C137" i="29"/>
  <c r="D137" i="29"/>
  <c r="E137" i="29"/>
  <c r="F137" i="29"/>
  <c r="G137" i="29"/>
  <c r="H137" i="29"/>
  <c r="I137" i="29"/>
  <c r="J137" i="29"/>
  <c r="C138" i="29"/>
  <c r="D138" i="29"/>
  <c r="E138" i="29"/>
  <c r="F138" i="29"/>
  <c r="G138" i="29"/>
  <c r="H138" i="29"/>
  <c r="I138" i="29"/>
  <c r="J138" i="29"/>
  <c r="C139" i="29"/>
  <c r="D139" i="29"/>
  <c r="E139" i="29"/>
  <c r="F139" i="29"/>
  <c r="G139" i="29"/>
  <c r="H139" i="29"/>
  <c r="I139" i="29"/>
  <c r="J139" i="29"/>
  <c r="C140" i="29"/>
  <c r="D140" i="29"/>
  <c r="E140" i="29"/>
  <c r="F140" i="29"/>
  <c r="G140" i="29"/>
  <c r="H140" i="29"/>
  <c r="I140" i="29"/>
  <c r="J140" i="29"/>
  <c r="C141" i="29"/>
  <c r="D141" i="29"/>
  <c r="E141" i="29"/>
  <c r="F141" i="29"/>
  <c r="G141" i="29"/>
  <c r="H141" i="29"/>
  <c r="I141" i="29"/>
  <c r="J141" i="29"/>
  <c r="C142" i="29"/>
  <c r="D142" i="29"/>
  <c r="E142" i="29"/>
  <c r="F142" i="29"/>
  <c r="G142" i="29"/>
  <c r="H142" i="29"/>
  <c r="I142" i="29"/>
  <c r="J142" i="29"/>
  <c r="C143" i="29"/>
  <c r="D143" i="29"/>
  <c r="E143" i="29"/>
  <c r="F143" i="29"/>
  <c r="G143" i="29"/>
  <c r="H143" i="29"/>
  <c r="I143" i="29"/>
  <c r="J143" i="29"/>
  <c r="C144" i="29"/>
  <c r="D144" i="29"/>
  <c r="E144" i="29"/>
  <c r="F144" i="29"/>
  <c r="G144" i="29"/>
  <c r="H144" i="29"/>
  <c r="I144" i="29"/>
  <c r="J144" i="29"/>
  <c r="C145" i="29"/>
  <c r="D145" i="29"/>
  <c r="E145" i="29"/>
  <c r="F145" i="29"/>
  <c r="G145" i="29"/>
  <c r="H145" i="29"/>
  <c r="I145" i="29"/>
  <c r="J145" i="29"/>
  <c r="C146" i="29"/>
  <c r="D146" i="29"/>
  <c r="E146" i="29"/>
  <c r="F146" i="29"/>
  <c r="G146" i="29"/>
  <c r="H146" i="29"/>
  <c r="I146" i="29"/>
  <c r="J146" i="29"/>
  <c r="C147" i="29"/>
  <c r="D147" i="29"/>
  <c r="E147" i="29"/>
  <c r="F147" i="29"/>
  <c r="G147" i="29"/>
  <c r="H147" i="29"/>
  <c r="I147" i="29"/>
  <c r="J147" i="29"/>
  <c r="C148" i="29"/>
  <c r="D148" i="29"/>
  <c r="E148" i="29"/>
  <c r="F148" i="29"/>
  <c r="G148" i="29"/>
  <c r="H148" i="29"/>
  <c r="I148" i="29"/>
  <c r="J148" i="29"/>
  <c r="C149" i="29"/>
  <c r="D149" i="29"/>
  <c r="E149" i="29"/>
  <c r="F149" i="29"/>
  <c r="G149" i="29"/>
  <c r="H149" i="29"/>
  <c r="I149" i="29"/>
  <c r="J149" i="29"/>
  <c r="C150" i="29"/>
  <c r="D150" i="29"/>
  <c r="E150" i="29"/>
  <c r="F150" i="29"/>
  <c r="G150" i="29"/>
  <c r="H150" i="29"/>
  <c r="I150" i="29"/>
  <c r="J150" i="29"/>
  <c r="C151" i="29"/>
  <c r="D151" i="29"/>
  <c r="E151" i="29"/>
  <c r="F151" i="29"/>
  <c r="G151" i="29"/>
  <c r="H151" i="29"/>
  <c r="I151" i="29"/>
  <c r="J151" i="29"/>
  <c r="C152" i="29"/>
  <c r="D152" i="29"/>
  <c r="E152" i="29"/>
  <c r="F152" i="29"/>
  <c r="G152" i="29"/>
  <c r="H152" i="29"/>
  <c r="I152" i="29"/>
  <c r="J152" i="29"/>
  <c r="C153" i="29"/>
  <c r="D153" i="29"/>
  <c r="E153" i="29"/>
  <c r="F153" i="29"/>
  <c r="G153" i="29"/>
  <c r="H153" i="29"/>
  <c r="I153" i="29"/>
  <c r="J153" i="29"/>
  <c r="C154" i="29"/>
  <c r="D154" i="29"/>
  <c r="E154" i="29"/>
  <c r="F154" i="29"/>
  <c r="G154" i="29"/>
  <c r="H154" i="29"/>
  <c r="I154" i="29"/>
  <c r="J154" i="29"/>
  <c r="C155" i="29"/>
  <c r="D155" i="29"/>
  <c r="E155" i="29"/>
  <c r="F155" i="29"/>
  <c r="G155" i="29"/>
  <c r="H155" i="29"/>
  <c r="I155" i="29"/>
  <c r="J155" i="29"/>
  <c r="C156" i="29"/>
  <c r="D156" i="29"/>
  <c r="E156" i="29"/>
  <c r="F156" i="29"/>
  <c r="G156" i="29"/>
  <c r="H156" i="29"/>
  <c r="I156" i="29"/>
  <c r="J156" i="29"/>
  <c r="C157" i="29"/>
  <c r="D157" i="29"/>
  <c r="E157" i="29"/>
  <c r="F157" i="29"/>
  <c r="G157" i="29"/>
  <c r="H157" i="29"/>
  <c r="I157" i="29"/>
  <c r="J157" i="29"/>
  <c r="C158" i="29"/>
  <c r="D158" i="29"/>
  <c r="E158" i="29"/>
  <c r="F158" i="29"/>
  <c r="G158" i="29"/>
  <c r="H158" i="29"/>
  <c r="I158" i="29"/>
  <c r="J158" i="29"/>
  <c r="C96" i="29"/>
  <c r="D96" i="29"/>
  <c r="E96" i="29"/>
  <c r="F96" i="29"/>
  <c r="G96" i="29"/>
  <c r="H96" i="29"/>
  <c r="I96" i="29"/>
  <c r="J96" i="29"/>
  <c r="C97" i="29"/>
  <c r="D97" i="29"/>
  <c r="E97" i="29"/>
  <c r="F97" i="29"/>
  <c r="G97" i="29"/>
  <c r="H97" i="29"/>
  <c r="I97" i="29"/>
  <c r="J97" i="29"/>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17" i="34"/>
  <c r="D118" i="34"/>
  <c r="D119" i="34"/>
  <c r="D120" i="34"/>
  <c r="D6" i="34"/>
  <c r="D7" i="34"/>
  <c r="D8" i="34"/>
  <c r="D9" i="34"/>
  <c r="D10" i="34"/>
  <c r="D11" i="34"/>
  <c r="D12" i="34"/>
  <c r="D13" i="34"/>
  <c r="D14" i="34"/>
  <c r="D15" i="34"/>
  <c r="D16" i="34"/>
  <c r="D17" i="34"/>
  <c r="D18" i="34"/>
  <c r="D19" i="34"/>
  <c r="D20" i="34"/>
  <c r="D21" i="34"/>
  <c r="D22" i="34"/>
  <c r="D23" i="34"/>
  <c r="D24" i="34"/>
  <c r="D25" i="34"/>
  <c r="D26" i="34"/>
  <c r="D27" i="34"/>
  <c r="D28" i="34"/>
  <c r="D29" i="34"/>
  <c r="D30" i="34"/>
  <c r="D31" i="34"/>
  <c r="D32" i="34"/>
  <c r="D33" i="34"/>
  <c r="D34" i="34"/>
  <c r="D35" i="34"/>
  <c r="D36" i="34"/>
  <c r="D37" i="34"/>
  <c r="D38" i="34"/>
  <c r="D39" i="34"/>
  <c r="D40" i="34"/>
  <c r="D41" i="34"/>
  <c r="D42" i="34"/>
  <c r="D43" i="34"/>
  <c r="D44" i="34"/>
  <c r="D45" i="34"/>
  <c r="D46" i="34"/>
  <c r="D47" i="34"/>
  <c r="D48" i="34"/>
  <c r="D49" i="34"/>
  <c r="D50" i="34"/>
  <c r="D51" i="34"/>
  <c r="D52" i="34"/>
  <c r="D53" i="34"/>
  <c r="D54" i="34"/>
  <c r="D55" i="34"/>
  <c r="D56" i="34"/>
  <c r="D57" i="34"/>
  <c r="D58" i="34"/>
  <c r="D59" i="34"/>
  <c r="D60" i="34"/>
  <c r="D61" i="34"/>
  <c r="D62" i="34"/>
  <c r="D63" i="34"/>
  <c r="D64" i="34"/>
  <c r="D65" i="34"/>
  <c r="D66" i="34"/>
  <c r="D67" i="34"/>
  <c r="D68" i="34"/>
  <c r="D69" i="34"/>
  <c r="D70" i="34"/>
  <c r="D71" i="34"/>
  <c r="D72" i="34"/>
  <c r="D73" i="34"/>
  <c r="D74" i="34"/>
  <c r="D75" i="34"/>
  <c r="D76" i="34"/>
  <c r="D77" i="34"/>
  <c r="D78" i="34"/>
  <c r="D79" i="34"/>
  <c r="D80" i="34"/>
  <c r="D81" i="34"/>
  <c r="D82" i="34"/>
  <c r="D83" i="34"/>
  <c r="D84" i="34"/>
  <c r="D85" i="34"/>
  <c r="D86" i="34"/>
  <c r="D87" i="34"/>
  <c r="D88" i="34"/>
  <c r="D89" i="34"/>
  <c r="D90" i="34"/>
  <c r="D91" i="34"/>
  <c r="D92" i="34"/>
  <c r="D93" i="34"/>
  <c r="D94" i="34"/>
  <c r="D95" i="34"/>
  <c r="D96" i="34"/>
  <c r="D97" i="34"/>
  <c r="D98" i="34"/>
  <c r="D99" i="34"/>
  <c r="D100" i="34"/>
  <c r="D101" i="34"/>
  <c r="D102" i="34"/>
  <c r="D103" i="34"/>
  <c r="D104" i="34"/>
  <c r="D105" i="34"/>
  <c r="D106" i="34"/>
  <c r="D107" i="34"/>
  <c r="D108" i="34"/>
  <c r="D109" i="34"/>
  <c r="D110" i="34"/>
  <c r="D111" i="34"/>
  <c r="D112" i="34"/>
  <c r="D113" i="34"/>
  <c r="D114" i="34"/>
  <c r="D115" i="34"/>
  <c r="D116" i="34"/>
  <c r="D121" i="34"/>
  <c r="D122" i="34"/>
  <c r="D123" i="34"/>
  <c r="D124" i="34"/>
  <c r="D125" i="34"/>
  <c r="D126" i="34"/>
  <c r="D127" i="34"/>
  <c r="D128" i="34"/>
  <c r="D129" i="34"/>
  <c r="D130" i="34"/>
  <c r="D131" i="34"/>
  <c r="D132" i="34"/>
  <c r="D133" i="34"/>
  <c r="D134" i="34"/>
  <c r="D135" i="34"/>
  <c r="D136" i="34"/>
  <c r="D137" i="34"/>
  <c r="D138" i="34"/>
  <c r="D139" i="34"/>
  <c r="D140" i="34"/>
  <c r="D141" i="34"/>
  <c r="D142" i="34"/>
  <c r="D143" i="34"/>
  <c r="D144" i="34"/>
  <c r="D145" i="34"/>
  <c r="D146" i="34"/>
  <c r="D147" i="34"/>
  <c r="D148" i="34"/>
  <c r="D149" i="34"/>
  <c r="D150" i="34"/>
  <c r="D151" i="34"/>
  <c r="D152" i="34"/>
  <c r="D153" i="34"/>
  <c r="D154" i="34"/>
  <c r="D155" i="34"/>
  <c r="D156" i="34"/>
  <c r="D157" i="34"/>
  <c r="D158" i="34"/>
  <c r="D5" i="34"/>
  <c r="D4" i="34"/>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I6" i="29"/>
  <c r="I7" i="29"/>
  <c r="I8" i="29"/>
  <c r="I9" i="29"/>
  <c r="I10" i="29"/>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52" i="29"/>
  <c r="I53" i="29"/>
  <c r="I54" i="29"/>
  <c r="I55" i="29"/>
  <c r="I56" i="29"/>
  <c r="I57" i="29"/>
  <c r="I58" i="29"/>
  <c r="I59" i="29"/>
  <c r="I60" i="29"/>
  <c r="I61" i="29"/>
  <c r="I62" i="29"/>
  <c r="I63" i="29"/>
  <c r="I64" i="29"/>
  <c r="I65" i="29"/>
  <c r="I66" i="29"/>
  <c r="I67" i="29"/>
  <c r="I68" i="29"/>
  <c r="I70" i="29"/>
  <c r="I71" i="29"/>
  <c r="I72" i="29"/>
  <c r="I73" i="29"/>
  <c r="I74" i="29"/>
  <c r="I75" i="29"/>
  <c r="I76" i="29"/>
  <c r="I77" i="29"/>
  <c r="I78" i="29"/>
  <c r="I79" i="29"/>
  <c r="I80" i="29"/>
  <c r="I81" i="29"/>
  <c r="I82" i="29"/>
  <c r="I83" i="29"/>
  <c r="I84" i="29"/>
  <c r="I85" i="29"/>
  <c r="I86" i="29"/>
  <c r="I87" i="29"/>
  <c r="I88" i="29"/>
  <c r="I89" i="29"/>
  <c r="I90" i="29"/>
  <c r="I91" i="29"/>
  <c r="I92" i="29"/>
  <c r="I93" i="29"/>
  <c r="I94" i="29"/>
  <c r="I95" i="29"/>
  <c r="I5" i="29"/>
  <c r="I4"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69" i="34" s="1"/>
  <c r="H2" i="34" s="1"/>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c r="A4" i="29" a="1"/>
  <c r="A4" i="29"/>
  <c r="B4" i="30" a="1"/>
  <c r="B4" i="30"/>
  <c r="A4" i="30" a="1"/>
  <c r="A4" i="30"/>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F142" i="34"/>
  <c r="G142" i="34"/>
  <c r="C143" i="34"/>
  <c r="F143" i="34"/>
  <c r="G143" i="34"/>
  <c r="C144" i="34"/>
  <c r="F144" i="34"/>
  <c r="G144" i="34"/>
  <c r="C145" i="34"/>
  <c r="F145" i="34"/>
  <c r="G145" i="34"/>
  <c r="C146" i="34"/>
  <c r="F146" i="34"/>
  <c r="G146" i="34"/>
  <c r="C147" i="34"/>
  <c r="F147" i="34"/>
  <c r="G147" i="34"/>
  <c r="C148" i="34"/>
  <c r="F148" i="34"/>
  <c r="G148" i="34"/>
  <c r="C149" i="34"/>
  <c r="F149" i="34"/>
  <c r="G149" i="34"/>
  <c r="C150" i="34"/>
  <c r="F150" i="34"/>
  <c r="G150" i="34"/>
  <c r="C151" i="34"/>
  <c r="F151" i="34"/>
  <c r="G151" i="34"/>
  <c r="C152" i="34"/>
  <c r="F152" i="34"/>
  <c r="G152" i="34"/>
  <c r="C153" i="34"/>
  <c r="F153" i="34"/>
  <c r="G153" i="34"/>
  <c r="C154" i="34"/>
  <c r="F154" i="34"/>
  <c r="G154" i="34"/>
  <c r="C155" i="34"/>
  <c r="F155" i="34"/>
  <c r="G155" i="34"/>
  <c r="C156" i="34"/>
  <c r="F156" i="34"/>
  <c r="G156" i="34"/>
  <c r="C157" i="34"/>
  <c r="F157" i="34"/>
  <c r="G157" i="34"/>
  <c r="C158" i="34"/>
  <c r="F158" i="34"/>
  <c r="G158" i="34"/>
  <c r="B4" i="34" a="1"/>
  <c r="B4" i="34"/>
  <c r="A4" i="34" a="1"/>
  <c r="A4" i="34"/>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F103" i="26"/>
  <c r="G103" i="26"/>
  <c r="J11" i="26"/>
  <c r="J24" i="26"/>
  <c r="J40" i="26"/>
  <c r="J59" i="26"/>
  <c r="J101" i="26"/>
  <c r="J133" i="26"/>
  <c r="J134" i="26"/>
  <c r="J138" i="26"/>
  <c r="I4" i="26"/>
  <c r="J4" i="26" s="1"/>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J155" i="26" s="1"/>
  <c r="I156" i="26"/>
  <c r="J156" i="26" s="1"/>
  <c r="I157" i="26"/>
  <c r="J157" i="26" s="1"/>
  <c r="I158" i="26"/>
  <c r="G139" i="26"/>
  <c r="G142" i="26"/>
  <c r="F128" i="26"/>
  <c r="G128" i="26" s="1"/>
  <c r="F129" i="26"/>
  <c r="G129" i="26" s="1"/>
  <c r="F130" i="26"/>
  <c r="G130" i="26" s="1"/>
  <c r="F131" i="26"/>
  <c r="G131" i="26" s="1"/>
  <c r="F132" i="26"/>
  <c r="G132" i="26" s="1"/>
  <c r="F133" i="26"/>
  <c r="G133" i="26" s="1"/>
  <c r="F134" i="26"/>
  <c r="G134" i="26" s="1"/>
  <c r="F135" i="26"/>
  <c r="G135" i="26" s="1"/>
  <c r="F136" i="26"/>
  <c r="G136" i="26" s="1"/>
  <c r="F137" i="26"/>
  <c r="G137" i="26" s="1"/>
  <c r="F138" i="26"/>
  <c r="G138" i="26" s="1"/>
  <c r="F139" i="26"/>
  <c r="F140" i="26"/>
  <c r="G140" i="26" s="1"/>
  <c r="F141" i="26"/>
  <c r="G141" i="26" s="1"/>
  <c r="F142" i="26"/>
  <c r="F143" i="26"/>
  <c r="G143" i="26" s="1"/>
  <c r="F144" i="26"/>
  <c r="G144" i="26" s="1"/>
  <c r="F145" i="26"/>
  <c r="G145" i="26" s="1"/>
  <c r="F146" i="26"/>
  <c r="G146"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F118" i="26"/>
  <c r="G118" i="26" s="1"/>
  <c r="F119" i="26"/>
  <c r="G119" i="26" s="1"/>
  <c r="F120" i="26"/>
  <c r="G120" i="26" s="1"/>
  <c r="F121" i="26"/>
  <c r="G121" i="26" s="1"/>
  <c r="F122" i="26"/>
  <c r="G122" i="26" s="1"/>
  <c r="F123" i="26"/>
  <c r="G123" i="26" s="1"/>
  <c r="F124" i="26"/>
  <c r="G124" i="26" s="1"/>
  <c r="F125" i="26"/>
  <c r="G125" i="26" s="1"/>
  <c r="F126" i="26"/>
  <c r="G126" i="26" s="1"/>
  <c r="F127" i="26"/>
  <c r="G127" i="26" s="1"/>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I158" i="19"/>
  <c r="J158" i="19" s="1"/>
  <c r="G108" i="19"/>
  <c r="G127" i="19"/>
  <c r="G140" i="19"/>
  <c r="G156" i="19"/>
  <c r="G157" i="19"/>
  <c r="G158"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F158"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I152" i="20"/>
  <c r="I153" i="20"/>
  <c r="I154" i="20"/>
  <c r="I155" i="20"/>
  <c r="I156" i="20"/>
  <c r="I157" i="20"/>
  <c r="I158"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I158" i="21"/>
  <c r="J158" i="21" s="1"/>
  <c r="I159" i="2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F158" i="21"/>
  <c r="G158"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F157" i="30"/>
  <c r="F158" i="30"/>
  <c r="C154" i="30"/>
  <c r="C155" i="30"/>
  <c r="C156" i="30"/>
  <c r="C157" i="30"/>
  <c r="C158" i="30"/>
  <c r="G97" i="4"/>
  <c r="G105" i="4"/>
  <c r="G106" i="4"/>
  <c r="G107" i="4"/>
  <c r="G109" i="4"/>
  <c r="G121" i="4"/>
  <c r="G122" i="4"/>
  <c r="G123" i="4"/>
  <c r="G124" i="4"/>
  <c r="G125" i="4"/>
  <c r="G127" i="4"/>
  <c r="G136" i="4"/>
  <c r="G137" i="4"/>
  <c r="G139" i="4"/>
  <c r="G152" i="4"/>
  <c r="G153" i="4"/>
  <c r="G155" i="4"/>
  <c r="G156" i="4"/>
  <c r="G157" i="4"/>
  <c r="G158"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J152" i="4" s="1"/>
  <c r="I153" i="4"/>
  <c r="J153" i="4" s="1"/>
  <c r="I154" i="4"/>
  <c r="I155" i="4"/>
  <c r="J155" i="4" s="1"/>
  <c r="I156" i="4"/>
  <c r="I157" i="4"/>
  <c r="I158" i="4"/>
  <c r="J158" i="4" s="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F153" i="30"/>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J152" i="3" s="1"/>
  <c r="I153" i="3"/>
  <c r="J153" i="3" s="1"/>
  <c r="F148" i="3"/>
  <c r="G148" i="3"/>
  <c r="F149" i="3"/>
  <c r="G149" i="3"/>
  <c r="F150" i="3"/>
  <c r="G150" i="3"/>
  <c r="F151" i="3"/>
  <c r="G151" i="3" s="1"/>
  <c r="F152" i="3"/>
  <c r="G152" i="3"/>
  <c r="F153" i="3"/>
  <c r="G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J153" i="72" s="1"/>
  <c r="F144" i="72"/>
  <c r="G144" i="72" s="1"/>
  <c r="F145" i="72"/>
  <c r="G145" i="72"/>
  <c r="F146" i="72"/>
  <c r="G146" i="72"/>
  <c r="F147" i="72"/>
  <c r="G147" i="72"/>
  <c r="F148" i="72"/>
  <c r="G148" i="72" s="1"/>
  <c r="F149" i="72"/>
  <c r="G149" i="72" s="1"/>
  <c r="F150" i="72"/>
  <c r="G150" i="72" s="1"/>
  <c r="F151" i="72"/>
  <c r="G151" i="72" s="1"/>
  <c r="F152" i="72"/>
  <c r="G152" i="72" s="1"/>
  <c r="F153" i="72"/>
  <c r="G153" i="72" s="1"/>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145" i="20"/>
  <c r="G145" i="20" s="1"/>
  <c r="F147" i="20"/>
  <c r="G147" i="20" s="1"/>
  <c r="F149" i="20"/>
  <c r="G149" i="20"/>
  <c r="F151" i="20"/>
  <c r="G151" i="20" s="1"/>
  <c r="F153" i="20"/>
  <c r="G153" i="20" s="1"/>
  <c r="F155" i="20"/>
  <c r="G155" i="20" s="1"/>
  <c r="F157" i="20"/>
  <c r="G157" i="20"/>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J120" i="30"/>
  <c r="C121" i="30"/>
  <c r="F121" i="30"/>
  <c r="G121" i="30" s="1"/>
  <c r="J121" i="30"/>
  <c r="C122" i="30"/>
  <c r="F122" i="30"/>
  <c r="G122" i="30" s="1"/>
  <c r="J122" i="30"/>
  <c r="C123" i="30"/>
  <c r="C124" i="30"/>
  <c r="C125" i="30"/>
  <c r="C126" i="30"/>
  <c r="J126" i="30"/>
  <c r="C127" i="30"/>
  <c r="C128" i="30"/>
  <c r="C129" i="30"/>
  <c r="C130" i="30"/>
  <c r="C131" i="30"/>
  <c r="C132" i="30"/>
  <c r="J132" i="30"/>
  <c r="C133" i="30"/>
  <c r="C134" i="30"/>
  <c r="J134" i="30"/>
  <c r="C135" i="30"/>
  <c r="C136" i="30"/>
  <c r="C137" i="30"/>
  <c r="C138" i="30"/>
  <c r="F138" i="30"/>
  <c r="G138" i="30" s="1"/>
  <c r="J138" i="30"/>
  <c r="C139" i="30"/>
  <c r="C140" i="30"/>
  <c r="J140" i="30"/>
  <c r="C141" i="30"/>
  <c r="J141" i="30"/>
  <c r="C142" i="30"/>
  <c r="J143" i="30"/>
  <c r="I117" i="19"/>
  <c r="I118" i="19"/>
  <c r="J118" i="19" s="1"/>
  <c r="C119" i="30"/>
  <c r="C118" i="30"/>
  <c r="C154" i="1"/>
  <c r="G18" i="27"/>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15" i="30" s="1"/>
  <c r="I33" i="33"/>
  <c r="J33" i="33"/>
  <c r="I34" i="33"/>
  <c r="I17" i="30" s="1"/>
  <c r="J17" i="30" s="1"/>
  <c r="J34" i="33"/>
  <c r="I35" i="33"/>
  <c r="J35" i="33" s="1"/>
  <c r="I36" i="33"/>
  <c r="J36" i="33" s="1"/>
  <c r="I37" i="33"/>
  <c r="J37" i="33"/>
  <c r="I38" i="33"/>
  <c r="I39" i="33"/>
  <c r="J39" i="33"/>
  <c r="I40" i="33"/>
  <c r="J40" i="33"/>
  <c r="I41" i="33"/>
  <c r="J41" i="33"/>
  <c r="I42" i="33"/>
  <c r="I25" i="30" s="1"/>
  <c r="J25" i="30" s="1"/>
  <c r="J42" i="33"/>
  <c r="I43" i="33"/>
  <c r="I26" i="30" s="1"/>
  <c r="I44" i="33"/>
  <c r="J44" i="33"/>
  <c r="I45" i="33"/>
  <c r="J45" i="33" s="1"/>
  <c r="I46" i="33"/>
  <c r="J46" i="33"/>
  <c r="I47" i="33"/>
  <c r="J47" i="33"/>
  <c r="I48" i="33"/>
  <c r="J48" i="33" s="1"/>
  <c r="I49" i="33"/>
  <c r="J49" i="33"/>
  <c r="I50" i="33"/>
  <c r="I33" i="30" s="1"/>
  <c r="J50" i="33"/>
  <c r="I51" i="33"/>
  <c r="J51" i="33" s="1"/>
  <c r="I52" i="33"/>
  <c r="J52" i="33"/>
  <c r="I53" i="33"/>
  <c r="J53" i="33" s="1"/>
  <c r="I54" i="33"/>
  <c r="J54" i="33"/>
  <c r="I55" i="33"/>
  <c r="J55" i="33"/>
  <c r="I56" i="33"/>
  <c r="J56" i="33" s="1"/>
  <c r="I57" i="33"/>
  <c r="I40" i="30" s="1"/>
  <c r="I58" i="33"/>
  <c r="J58" i="33" s="1"/>
  <c r="I59" i="33"/>
  <c r="I42" i="30" s="1"/>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I58" i="30" s="1"/>
  <c r="J75" i="33"/>
  <c r="I76" i="33"/>
  <c r="J76" i="33" s="1"/>
  <c r="I77" i="33"/>
  <c r="J77" i="33" s="1"/>
  <c r="I78" i="33"/>
  <c r="J78" i="33" s="1"/>
  <c r="I79" i="33"/>
  <c r="J79" i="33"/>
  <c r="I80" i="33"/>
  <c r="I63" i="30" s="1"/>
  <c r="J80" i="33"/>
  <c r="I81" i="33"/>
  <c r="J81" i="33" s="1"/>
  <c r="I82" i="33"/>
  <c r="J82" i="33"/>
  <c r="I83" i="33"/>
  <c r="J83" i="33"/>
  <c r="I84" i="33"/>
  <c r="I67" i="30" s="1"/>
  <c r="J67" i="30" s="1"/>
  <c r="J84" i="33"/>
  <c r="I85" i="33"/>
  <c r="J85" i="33" s="1"/>
  <c r="I86" i="33"/>
  <c r="J86" i="33" s="1"/>
  <c r="I87" i="33"/>
  <c r="J87" i="33"/>
  <c r="I88" i="33"/>
  <c r="J88" i="33"/>
  <c r="I89" i="33"/>
  <c r="J89" i="33" s="1"/>
  <c r="I90" i="33"/>
  <c r="J90" i="33"/>
  <c r="I91" i="33"/>
  <c r="J91" i="33"/>
  <c r="I92" i="33"/>
  <c r="I75" i="30" s="1"/>
  <c r="J92" i="33"/>
  <c r="I93" i="33"/>
  <c r="I76" i="30" s="1"/>
  <c r="J93" i="33"/>
  <c r="I94" i="33"/>
  <c r="I95" i="33"/>
  <c r="J95" i="33"/>
  <c r="I96" i="33"/>
  <c r="J96" i="33"/>
  <c r="I97" i="33"/>
  <c r="J97" i="33" s="1"/>
  <c r="I98" i="33"/>
  <c r="I81" i="30" s="1"/>
  <c r="J98" i="33"/>
  <c r="I99" i="33"/>
  <c r="I82" i="30" s="1"/>
  <c r="J99" i="33"/>
  <c r="I100" i="33"/>
  <c r="I83" i="30" s="1"/>
  <c r="J100" i="33"/>
  <c r="I101" i="33"/>
  <c r="I84" i="30" s="1"/>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99" i="30" s="1"/>
  <c r="J99" i="30" s="1"/>
  <c r="I142" i="33"/>
  <c r="J142" i="33" s="1"/>
  <c r="I143" i="33"/>
  <c r="J143" i="33"/>
  <c r="I144" i="33"/>
  <c r="J144" i="33"/>
  <c r="I145" i="33"/>
  <c r="I103" i="30" s="1"/>
  <c r="I146" i="33"/>
  <c r="J146" i="33"/>
  <c r="I147" i="33"/>
  <c r="J147" i="33"/>
  <c r="I148" i="33"/>
  <c r="I106" i="30" s="1"/>
  <c r="J148" i="33"/>
  <c r="I149" i="33"/>
  <c r="J149" i="33"/>
  <c r="I150" i="33"/>
  <c r="J150" i="33" s="1"/>
  <c r="I151" i="33"/>
  <c r="J151" i="33"/>
  <c r="I152" i="33"/>
  <c r="J152" i="33"/>
  <c r="I153" i="33"/>
  <c r="J153" i="33" s="1"/>
  <c r="I154" i="33"/>
  <c r="J154" i="33"/>
  <c r="I155" i="33"/>
  <c r="I113" i="30" s="1"/>
  <c r="J155" i="33"/>
  <c r="I156" i="33"/>
  <c r="I114" i="30" s="1"/>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I6" i="30" s="1"/>
  <c r="J23" i="32"/>
  <c r="I24" i="32"/>
  <c r="I7" i="30" s="1"/>
  <c r="J24" i="32"/>
  <c r="I25" i="32"/>
  <c r="I8" i="30" s="1"/>
  <c r="J25" i="32"/>
  <c r="I26" i="32"/>
  <c r="J26" i="32"/>
  <c r="I27" i="32"/>
  <c r="J27" i="32" s="1"/>
  <c r="I28" i="32"/>
  <c r="I29" i="32"/>
  <c r="I30" i="32"/>
  <c r="J30" i="32"/>
  <c r="I31" i="32"/>
  <c r="I14" i="30" s="1"/>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I29" i="30" s="1"/>
  <c r="J46" i="32"/>
  <c r="I47" i="32"/>
  <c r="J47" i="32"/>
  <c r="I48" i="32"/>
  <c r="J48" i="32"/>
  <c r="I49" i="32"/>
  <c r="J49" i="32"/>
  <c r="I50" i="32"/>
  <c r="J50" i="32"/>
  <c r="I51" i="32"/>
  <c r="J51" i="32"/>
  <c r="I52" i="32"/>
  <c r="I35" i="30" s="1"/>
  <c r="I53" i="32"/>
  <c r="I54" i="32"/>
  <c r="J54" i="32"/>
  <c r="I55" i="32"/>
  <c r="I38" i="30" s="1"/>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I74" i="30" s="1"/>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I90" i="30" s="1"/>
  <c r="J107" i="32"/>
  <c r="I108" i="32"/>
  <c r="J108" i="32"/>
  <c r="I109" i="32"/>
  <c r="I92" i="30" s="1"/>
  <c r="J109" i="32"/>
  <c r="I110" i="32"/>
  <c r="J110" i="32" s="1"/>
  <c r="I111" i="32"/>
  <c r="I94" i="30" s="1"/>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F131" i="30"/>
  <c r="G131" i="30" s="1"/>
  <c r="F124" i="30"/>
  <c r="G124" i="30" s="1"/>
  <c r="H2" i="26"/>
  <c r="D2" i="26"/>
  <c r="K2" i="26" s="1"/>
  <c r="H2" i="27"/>
  <c r="I2" i="27" s="1"/>
  <c r="J2" i="27" s="1"/>
  <c r="D2" i="27"/>
  <c r="H2" i="28"/>
  <c r="I2" i="28" s="1"/>
  <c r="J2" i="28" s="1"/>
  <c r="D2" i="28"/>
  <c r="H2" i="31"/>
  <c r="D2" i="31"/>
  <c r="K2" i="31" s="1"/>
  <c r="I18" i="31"/>
  <c r="J18" i="31" s="1"/>
  <c r="I19" i="31"/>
  <c r="I20" i="31"/>
  <c r="I21" i="31"/>
  <c r="I4" i="30"/>
  <c r="I22" i="31"/>
  <c r="J22" i="31" s="1"/>
  <c r="I23" i="31"/>
  <c r="J23" i="31" s="1"/>
  <c r="I24" i="31"/>
  <c r="I25" i="31"/>
  <c r="I26" i="31"/>
  <c r="J26" i="31" s="1"/>
  <c r="I27" i="31"/>
  <c r="J27" i="31"/>
  <c r="I28" i="31"/>
  <c r="J28" i="31" s="1"/>
  <c r="I29" i="31"/>
  <c r="I12" i="30" s="1"/>
  <c r="J29" i="31"/>
  <c r="I30" i="31"/>
  <c r="J30" i="31"/>
  <c r="I31" i="31"/>
  <c r="J31" i="31"/>
  <c r="I32" i="31"/>
  <c r="I33" i="31"/>
  <c r="I34" i="31"/>
  <c r="J34" i="31"/>
  <c r="I35" i="31"/>
  <c r="J35" i="31"/>
  <c r="I36" i="31"/>
  <c r="I37" i="31"/>
  <c r="J37" i="31" s="1"/>
  <c r="I38" i="31"/>
  <c r="J38" i="31"/>
  <c r="I39" i="31"/>
  <c r="J39" i="31"/>
  <c r="I40" i="31"/>
  <c r="I41" i="31"/>
  <c r="I42" i="31"/>
  <c r="J42" i="31"/>
  <c r="I43" i="31"/>
  <c r="J43" i="31"/>
  <c r="I44" i="31"/>
  <c r="J44" i="31" s="1"/>
  <c r="I45" i="31"/>
  <c r="J45" i="31"/>
  <c r="I46" i="31"/>
  <c r="J46" i="31"/>
  <c r="I47" i="31"/>
  <c r="J47" i="31"/>
  <c r="I48" i="31"/>
  <c r="I49" i="31"/>
  <c r="I50" i="31"/>
  <c r="J50" i="31" s="1"/>
  <c r="I51" i="31"/>
  <c r="I52" i="31"/>
  <c r="J52" i="31"/>
  <c r="I53" i="31"/>
  <c r="I54" i="31"/>
  <c r="J54" i="31"/>
  <c r="I55" i="31"/>
  <c r="J55" i="31"/>
  <c r="I56" i="31"/>
  <c r="I39" i="30" s="1"/>
  <c r="J56" i="31"/>
  <c r="I57" i="31"/>
  <c r="I58" i="31"/>
  <c r="J58" i="31" s="1"/>
  <c r="I59" i="31"/>
  <c r="J59" i="31"/>
  <c r="I60" i="31"/>
  <c r="J60" i="31"/>
  <c r="I61" i="31"/>
  <c r="J61" i="31" s="1"/>
  <c r="I62" i="31"/>
  <c r="J62" i="31"/>
  <c r="I63" i="31"/>
  <c r="J63" i="31"/>
  <c r="I64" i="31"/>
  <c r="J64" i="31" s="1"/>
  <c r="I65" i="31"/>
  <c r="I48" i="30"/>
  <c r="J65" i="31"/>
  <c r="I66" i="31"/>
  <c r="I67" i="31"/>
  <c r="J67" i="31"/>
  <c r="I68" i="31"/>
  <c r="J68" i="31"/>
  <c r="I69" i="31"/>
  <c r="J69" i="31" s="1"/>
  <c r="I70" i="31"/>
  <c r="J70" i="31"/>
  <c r="I71" i="31"/>
  <c r="J71" i="31" s="1"/>
  <c r="I72" i="31"/>
  <c r="J72" i="31"/>
  <c r="I73" i="31"/>
  <c r="I56" i="30" s="1"/>
  <c r="I74" i="31"/>
  <c r="J74" i="31" s="1"/>
  <c r="I75" i="31"/>
  <c r="I76" i="31"/>
  <c r="I59" i="30" s="1"/>
  <c r="J76" i="31"/>
  <c r="I77" i="31"/>
  <c r="J77" i="31" s="1"/>
  <c r="I78" i="31"/>
  <c r="J78" i="31"/>
  <c r="I79" i="31"/>
  <c r="J79" i="31" s="1"/>
  <c r="I80" i="31"/>
  <c r="I81" i="31"/>
  <c r="I64" i="30" s="1"/>
  <c r="J81" i="31"/>
  <c r="I82" i="31"/>
  <c r="J82" i="31"/>
  <c r="I83" i="31"/>
  <c r="J83" i="31" s="1"/>
  <c r="I84" i="31"/>
  <c r="J84" i="31"/>
  <c r="I85" i="31"/>
  <c r="I68" i="30" s="1"/>
  <c r="J68" i="30" s="1"/>
  <c r="J85" i="31"/>
  <c r="I86" i="31"/>
  <c r="J86" i="31"/>
  <c r="I87" i="31"/>
  <c r="J87" i="31"/>
  <c r="I88" i="31"/>
  <c r="J88" i="31" s="1"/>
  <c r="I89" i="31"/>
  <c r="I90" i="31"/>
  <c r="J90" i="31"/>
  <c r="I91" i="31"/>
  <c r="J91" i="31" s="1"/>
  <c r="I92" i="31"/>
  <c r="J92" i="31"/>
  <c r="I93" i="31"/>
  <c r="J93" i="31" s="1"/>
  <c r="I94" i="31"/>
  <c r="J94" i="31"/>
  <c r="I95" i="31"/>
  <c r="I78" i="30" s="1"/>
  <c r="J95" i="31"/>
  <c r="I96" i="31"/>
  <c r="J96" i="31"/>
  <c r="I97" i="31"/>
  <c r="I98" i="31"/>
  <c r="I99" i="31"/>
  <c r="J99" i="31" s="1"/>
  <c r="I100" i="31"/>
  <c r="J100" i="31"/>
  <c r="I101" i="31"/>
  <c r="J101" i="31"/>
  <c r="I102" i="31"/>
  <c r="I103" i="31"/>
  <c r="J103" i="31" s="1"/>
  <c r="I104" i="31"/>
  <c r="J104" i="31"/>
  <c r="I105" i="31"/>
  <c r="J105" i="31" s="1"/>
  <c r="I88" i="30"/>
  <c r="I106" i="31"/>
  <c r="I107" i="31"/>
  <c r="I108" i="31"/>
  <c r="J108" i="31" s="1"/>
  <c r="I109" i="31"/>
  <c r="J109" i="31"/>
  <c r="I110" i="31"/>
  <c r="I111" i="31"/>
  <c r="J111" i="31"/>
  <c r="I112" i="31"/>
  <c r="J112" i="31" s="1"/>
  <c r="I113" i="31"/>
  <c r="J113" i="31" s="1"/>
  <c r="I114" i="31"/>
  <c r="J114" i="31"/>
  <c r="I115" i="31"/>
  <c r="J115" i="31"/>
  <c r="I116" i="31"/>
  <c r="I117" i="31"/>
  <c r="J117" i="31"/>
  <c r="I118" i="31"/>
  <c r="J118" i="31"/>
  <c r="I119" i="31"/>
  <c r="J119" i="31"/>
  <c r="I120" i="31"/>
  <c r="J120" i="31"/>
  <c r="I121" i="31"/>
  <c r="J121" i="31"/>
  <c r="I122" i="31"/>
  <c r="J122" i="31" s="1"/>
  <c r="I123" i="31"/>
  <c r="J123" i="31" s="1"/>
  <c r="I124" i="31"/>
  <c r="J124" i="31"/>
  <c r="I125" i="31"/>
  <c r="I126" i="31"/>
  <c r="I127" i="31"/>
  <c r="J127" i="31"/>
  <c r="I128" i="31"/>
  <c r="J128" i="31"/>
  <c r="I129" i="31"/>
  <c r="J129" i="31" s="1"/>
  <c r="I130" i="31"/>
  <c r="I131" i="31"/>
  <c r="J131" i="31"/>
  <c r="I132" i="31"/>
  <c r="J132" i="31" s="1"/>
  <c r="I133" i="31"/>
  <c r="J133" i="31"/>
  <c r="I134" i="31"/>
  <c r="I135" i="31"/>
  <c r="J135" i="31"/>
  <c r="I136" i="31"/>
  <c r="I137" i="31"/>
  <c r="I138" i="31"/>
  <c r="J138" i="31"/>
  <c r="I139" i="31"/>
  <c r="I140" i="31"/>
  <c r="I141" i="31"/>
  <c r="J141" i="31"/>
  <c r="I142" i="31"/>
  <c r="I143" i="31"/>
  <c r="I101" i="30" s="1"/>
  <c r="J143" i="31"/>
  <c r="I144" i="31"/>
  <c r="I145" i="31"/>
  <c r="J145" i="31" s="1"/>
  <c r="I146" i="31"/>
  <c r="J146" i="31" s="1"/>
  <c r="I147" i="31"/>
  <c r="J147" i="31"/>
  <c r="I148" i="31"/>
  <c r="J148" i="31" s="1"/>
  <c r="I149" i="31"/>
  <c r="J149" i="31"/>
  <c r="I150" i="31"/>
  <c r="J150" i="31" s="1"/>
  <c r="I151" i="31"/>
  <c r="J151" i="31"/>
  <c r="I152" i="31"/>
  <c r="J152" i="31"/>
  <c r="I153" i="31"/>
  <c r="J153" i="31" s="1"/>
  <c r="I154" i="31"/>
  <c r="J154" i="31" s="1"/>
  <c r="I155" i="31"/>
  <c r="J155" i="31" s="1"/>
  <c r="I156" i="31"/>
  <c r="J156" i="31"/>
  <c r="I157" i="31"/>
  <c r="I158" i="31"/>
  <c r="J158" i="31"/>
  <c r="F18" i="31"/>
  <c r="G18" i="31" s="1"/>
  <c r="F19" i="31"/>
  <c r="G19" i="31"/>
  <c r="F20" i="31"/>
  <c r="G20" i="31" s="1"/>
  <c r="F21" i="31"/>
  <c r="G21" i="31"/>
  <c r="F22" i="31"/>
  <c r="G22" i="31" s="1"/>
  <c r="F23" i="31"/>
  <c r="G23" i="31"/>
  <c r="F24" i="31"/>
  <c r="G24" i="31"/>
  <c r="F25" i="31"/>
  <c r="G25" i="31"/>
  <c r="F26" i="31"/>
  <c r="G26" i="31" s="1"/>
  <c r="F27" i="31"/>
  <c r="G27" i="31"/>
  <c r="F28" i="31"/>
  <c r="G28" i="31"/>
  <c r="F29" i="31"/>
  <c r="G29" i="31"/>
  <c r="F30" i="31"/>
  <c r="G30" i="31" s="1"/>
  <c r="F31" i="31"/>
  <c r="G31" i="31"/>
  <c r="F32" i="31"/>
  <c r="G32" i="31"/>
  <c r="F33" i="31"/>
  <c r="G33" i="31"/>
  <c r="F34" i="31"/>
  <c r="G34" i="31"/>
  <c r="F35" i="31"/>
  <c r="G35" i="31" s="1"/>
  <c r="F36" i="31"/>
  <c r="G36" i="31"/>
  <c r="F37" i="31"/>
  <c r="G37" i="31"/>
  <c r="F38" i="31"/>
  <c r="G38" i="31" s="1"/>
  <c r="F39" i="31"/>
  <c r="G39" i="31"/>
  <c r="F40" i="31"/>
  <c r="G40" i="31"/>
  <c r="F41" i="31"/>
  <c r="G41" i="31"/>
  <c r="F42" i="31"/>
  <c r="G42" i="31"/>
  <c r="F43" i="31"/>
  <c r="G43" i="31" s="1"/>
  <c r="F44" i="31"/>
  <c r="G44" i="31"/>
  <c r="F45" i="31"/>
  <c r="G45" i="31"/>
  <c r="F46" i="31"/>
  <c r="G46" i="31" s="1"/>
  <c r="F47" i="31"/>
  <c r="G47" i="31"/>
  <c r="F48" i="31"/>
  <c r="G48" i="31"/>
  <c r="F49" i="31"/>
  <c r="G49" i="31"/>
  <c r="F50" i="31"/>
  <c r="G50" i="31"/>
  <c r="F51" i="31"/>
  <c r="G51" i="31"/>
  <c r="F52" i="31"/>
  <c r="G52" i="31" s="1"/>
  <c r="F53" i="31"/>
  <c r="G53" i="31"/>
  <c r="F54" i="31"/>
  <c r="G54" i="31" s="1"/>
  <c r="F55" i="31"/>
  <c r="G55" i="31"/>
  <c r="F56" i="31"/>
  <c r="G56" i="31" s="1"/>
  <c r="F57" i="31"/>
  <c r="G57" i="31"/>
  <c r="F58" i="31"/>
  <c r="G58" i="31"/>
  <c r="F59" i="31"/>
  <c r="G59" i="31"/>
  <c r="F60" i="31"/>
  <c r="G60" i="31" s="1"/>
  <c r="F61" i="31"/>
  <c r="G61" i="31"/>
  <c r="F62" i="31"/>
  <c r="G62" i="31" s="1"/>
  <c r="F63" i="31"/>
  <c r="G63" i="31"/>
  <c r="F64" i="31"/>
  <c r="G64" i="31"/>
  <c r="F65" i="31"/>
  <c r="G65" i="31"/>
  <c r="F66" i="31"/>
  <c r="G66" i="31"/>
  <c r="F67" i="31"/>
  <c r="G67" i="31"/>
  <c r="F68" i="31"/>
  <c r="G68" i="31"/>
  <c r="F69" i="31"/>
  <c r="G69" i="31"/>
  <c r="F70" i="31"/>
  <c r="G70" i="31" s="1"/>
  <c r="F71" i="31"/>
  <c r="G71" i="31"/>
  <c r="F72" i="31"/>
  <c r="G72" i="31" s="1"/>
  <c r="F73" i="31"/>
  <c r="G73" i="31" s="1"/>
  <c r="F74" i="31"/>
  <c r="G74" i="31"/>
  <c r="F75" i="31"/>
  <c r="G75" i="31"/>
  <c r="F76" i="31"/>
  <c r="G76" i="31"/>
  <c r="F77" i="31"/>
  <c r="G77" i="31"/>
  <c r="F78" i="31"/>
  <c r="G78" i="31" s="1"/>
  <c r="F79" i="31"/>
  <c r="G79" i="31"/>
  <c r="F80" i="31"/>
  <c r="G80" i="31" s="1"/>
  <c r="F81" i="31"/>
  <c r="G81" i="31"/>
  <c r="F82" i="31"/>
  <c r="G82" i="31"/>
  <c r="F83" i="31"/>
  <c r="G83" i="31"/>
  <c r="F84" i="31"/>
  <c r="G84" i="31"/>
  <c r="F85" i="31"/>
  <c r="G85" i="31"/>
  <c r="F86" i="31"/>
  <c r="G86" i="31" s="1"/>
  <c r="F87" i="31"/>
  <c r="G87" i="31"/>
  <c r="F88" i="31"/>
  <c r="G88" i="31"/>
  <c r="F89" i="31"/>
  <c r="G89" i="31" s="1"/>
  <c r="F90" i="31"/>
  <c r="G90" i="31" s="1"/>
  <c r="F91" i="31"/>
  <c r="G91" i="31"/>
  <c r="F92" i="31"/>
  <c r="G92" i="31"/>
  <c r="F93" i="31"/>
  <c r="G93" i="31"/>
  <c r="F94" i="31"/>
  <c r="G94" i="31" s="1"/>
  <c r="F95" i="31"/>
  <c r="G95" i="31"/>
  <c r="F96" i="31"/>
  <c r="G96" i="31"/>
  <c r="F97" i="31"/>
  <c r="G97" i="31" s="1"/>
  <c r="F98" i="31"/>
  <c r="G98" i="31"/>
  <c r="F99" i="31"/>
  <c r="G99" i="31"/>
  <c r="F100" i="31"/>
  <c r="G100" i="31"/>
  <c r="F101" i="31"/>
  <c r="G101" i="31"/>
  <c r="F102" i="31"/>
  <c r="G102" i="31" s="1"/>
  <c r="F103" i="31"/>
  <c r="G103" i="31"/>
  <c r="F104" i="31"/>
  <c r="G104" i="31"/>
  <c r="F105" i="31"/>
  <c r="G105" i="31"/>
  <c r="F106" i="31"/>
  <c r="G106" i="31" s="1"/>
  <c r="F107" i="31"/>
  <c r="G107" i="31" s="1"/>
  <c r="F108" i="31"/>
  <c r="G108" i="31"/>
  <c r="F109" i="31"/>
  <c r="G109" i="31"/>
  <c r="F110" i="31"/>
  <c r="G110" i="31" s="1"/>
  <c r="F111" i="31"/>
  <c r="G111" i="31"/>
  <c r="F112" i="31"/>
  <c r="G112" i="31" s="1"/>
  <c r="F113" i="31"/>
  <c r="G113" i="31"/>
  <c r="F114" i="31"/>
  <c r="G114" i="31" s="1"/>
  <c r="F115" i="31"/>
  <c r="G115" i="31"/>
  <c r="F116" i="31"/>
  <c r="G116" i="31"/>
  <c r="F117" i="31"/>
  <c r="G117" i="31"/>
  <c r="F118" i="31"/>
  <c r="G118" i="31" s="1"/>
  <c r="F119" i="31"/>
  <c r="G119" i="31"/>
  <c r="F120" i="31"/>
  <c r="G120" i="31" s="1"/>
  <c r="F121" i="31"/>
  <c r="G121" i="31"/>
  <c r="F122" i="31"/>
  <c r="G122" i="31"/>
  <c r="F123" i="31"/>
  <c r="G123" i="31" s="1"/>
  <c r="F124" i="31"/>
  <c r="G124" i="31" s="1"/>
  <c r="F125" i="31"/>
  <c r="G125" i="31"/>
  <c r="F126" i="31"/>
  <c r="G126" i="31" s="1"/>
  <c r="F127" i="31"/>
  <c r="G127" i="31"/>
  <c r="F128" i="31"/>
  <c r="G128" i="31"/>
  <c r="F129" i="31"/>
  <c r="G129" i="31" s="1"/>
  <c r="F130" i="31"/>
  <c r="G130" i="31"/>
  <c r="F131" i="31"/>
  <c r="G131" i="31" s="1"/>
  <c r="F132" i="31"/>
  <c r="G132" i="31"/>
  <c r="F133" i="31"/>
  <c r="G133" i="31"/>
  <c r="F134" i="31"/>
  <c r="G134" i="31" s="1"/>
  <c r="F135" i="31"/>
  <c r="G135" i="31"/>
  <c r="F136" i="31"/>
  <c r="G136" i="31"/>
  <c r="F137" i="31"/>
  <c r="G137" i="31" s="1"/>
  <c r="F138" i="31"/>
  <c r="G138" i="31"/>
  <c r="F139" i="31"/>
  <c r="G139" i="31"/>
  <c r="F140" i="31"/>
  <c r="G140" i="31" s="1"/>
  <c r="F141" i="31"/>
  <c r="G141" i="31"/>
  <c r="F142" i="31"/>
  <c r="G142" i="31" s="1"/>
  <c r="F143" i="31"/>
  <c r="G143" i="31"/>
  <c r="F144" i="31"/>
  <c r="G144" i="31"/>
  <c r="F145" i="31"/>
  <c r="G145" i="31"/>
  <c r="F146" i="31"/>
  <c r="G146" i="31" s="1"/>
  <c r="F147" i="31"/>
  <c r="G147" i="31"/>
  <c r="F148" i="31"/>
  <c r="G148" i="31" s="1"/>
  <c r="F149" i="31"/>
  <c r="G149" i="31"/>
  <c r="F150" i="31"/>
  <c r="G150" i="31" s="1"/>
  <c r="F151" i="31"/>
  <c r="G151" i="31"/>
  <c r="F152" i="31"/>
  <c r="G152" i="31"/>
  <c r="F153" i="31"/>
  <c r="G153" i="31"/>
  <c r="F154" i="31"/>
  <c r="G154" i="31" s="1"/>
  <c r="F155" i="31"/>
  <c r="G155" i="31"/>
  <c r="F156" i="31"/>
  <c r="G156" i="31"/>
  <c r="F157" i="31"/>
  <c r="G157" i="31"/>
  <c r="F158" i="31"/>
  <c r="G158" i="31" s="1"/>
  <c r="F136" i="28"/>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c r="I64" i="28"/>
  <c r="J64" i="28"/>
  <c r="I65" i="28"/>
  <c r="J65" i="28"/>
  <c r="I66" i="28"/>
  <c r="J66" i="28" s="1"/>
  <c r="I67" i="28"/>
  <c r="J67" i="28"/>
  <c r="I68" i="28"/>
  <c r="J68" i="28"/>
  <c r="I69" i="28"/>
  <c r="J69" i="28"/>
  <c r="I70" i="28"/>
  <c r="J70" i="28"/>
  <c r="I71" i="28"/>
  <c r="J71" i="28"/>
  <c r="I72" i="28"/>
  <c r="J72" i="28"/>
  <c r="I73" i="28"/>
  <c r="J73" i="28"/>
  <c r="I74" i="28"/>
  <c r="J74" i="28" s="1"/>
  <c r="I75" i="28"/>
  <c r="J75" i="28"/>
  <c r="I76" i="28"/>
  <c r="J76" i="28"/>
  <c r="I77" i="28"/>
  <c r="J77" i="28"/>
  <c r="I78" i="28"/>
  <c r="I79" i="28"/>
  <c r="I80" i="28"/>
  <c r="J80" i="28"/>
  <c r="I81" i="28"/>
  <c r="J81" i="28"/>
  <c r="I82" i="28"/>
  <c r="J82" i="28"/>
  <c r="I83" i="28"/>
  <c r="J83" i="28" s="1"/>
  <c r="I84" i="28"/>
  <c r="J84" i="28"/>
  <c r="I85" i="28"/>
  <c r="J85" i="28"/>
  <c r="I86" i="28"/>
  <c r="J86" i="28"/>
  <c r="I87" i="28"/>
  <c r="J87" i="28"/>
  <c r="I88" i="28"/>
  <c r="J88" i="28"/>
  <c r="I89" i="28"/>
  <c r="J89" i="28"/>
  <c r="I90" i="28"/>
  <c r="J90" i="28"/>
  <c r="I91" i="28"/>
  <c r="J91" i="28" s="1"/>
  <c r="I92" i="28"/>
  <c r="J92" i="28"/>
  <c r="I93" i="28"/>
  <c r="J93" i="28"/>
  <c r="I94" i="28"/>
  <c r="J94" i="28"/>
  <c r="I95" i="28"/>
  <c r="J95" i="28"/>
  <c r="I96" i="28"/>
  <c r="J96" i="28"/>
  <c r="I97" i="28"/>
  <c r="J97" i="28"/>
  <c r="I98" i="28"/>
  <c r="J98" i="28"/>
  <c r="I99" i="28"/>
  <c r="J99" i="28" s="1"/>
  <c r="I100" i="28"/>
  <c r="J100" i="28"/>
  <c r="I101" i="28"/>
  <c r="J101" i="28"/>
  <c r="I102" i="28"/>
  <c r="J102" i="28"/>
  <c r="I103" i="28"/>
  <c r="J103" i="28"/>
  <c r="I104" i="28"/>
  <c r="J104" i="28"/>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c r="J133" i="28"/>
  <c r="I134" i="28"/>
  <c r="J134" i="28"/>
  <c r="I135" i="28"/>
  <c r="J135" i="28"/>
  <c r="I137" i="28"/>
  <c r="J137" i="28"/>
  <c r="I138" i="28"/>
  <c r="J138" i="28"/>
  <c r="I139" i="28"/>
  <c r="J139" i="28"/>
  <c r="I140" i="28"/>
  <c r="J140" i="28" s="1"/>
  <c r="I141" i="28"/>
  <c r="J141" i="28"/>
  <c r="I142" i="28"/>
  <c r="J142" i="28"/>
  <c r="I143" i="28"/>
  <c r="J143" i="28"/>
  <c r="I144" i="28"/>
  <c r="J144" i="28"/>
  <c r="I145" i="28"/>
  <c r="J145" i="28"/>
  <c r="I146" i="28"/>
  <c r="J146" i="28"/>
  <c r="I147" i="28"/>
  <c r="J147" i="28"/>
  <c r="I148" i="28"/>
  <c r="J148" i="28" s="1"/>
  <c r="I149" i="28"/>
  <c r="J149" i="28"/>
  <c r="I150" i="28"/>
  <c r="J150" i="28"/>
  <c r="I151" i="28"/>
  <c r="J151" i="28"/>
  <c r="I152" i="28"/>
  <c r="J152" i="28"/>
  <c r="I153" i="28"/>
  <c r="J153" i="28"/>
  <c r="I154" i="28"/>
  <c r="J154" i="28"/>
  <c r="I155" i="28"/>
  <c r="J155" i="28"/>
  <c r="I156" i="28"/>
  <c r="J156" i="28" s="1"/>
  <c r="I157" i="28"/>
  <c r="J157" i="28"/>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G34" i="28"/>
  <c r="F35" i="28"/>
  <c r="G35" i="28"/>
  <c r="F36"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G50" i="28"/>
  <c r="F51" i="28"/>
  <c r="G51" i="28"/>
  <c r="F52" i="28"/>
  <c r="G52" i="28"/>
  <c r="F53" i="28"/>
  <c r="G53" i="28"/>
  <c r="F54" i="28"/>
  <c r="G54" i="28"/>
  <c r="F55" i="28"/>
  <c r="G55" i="28" s="1"/>
  <c r="F56" i="28"/>
  <c r="G56" i="28"/>
  <c r="F57" i="28"/>
  <c r="G57" i="28"/>
  <c r="F58" i="28"/>
  <c r="G58" i="28"/>
  <c r="F59" i="28"/>
  <c r="G59"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s="1"/>
  <c r="F152" i="28"/>
  <c r="G152" i="28"/>
  <c r="F153" i="28"/>
  <c r="G153" i="28"/>
  <c r="F154" i="28"/>
  <c r="G154" i="28"/>
  <c r="F155" i="28"/>
  <c r="G155" i="28"/>
  <c r="F156" i="28"/>
  <c r="G156" i="28"/>
  <c r="F157" i="28"/>
  <c r="G157" i="28"/>
  <c r="F158" i="28"/>
  <c r="G158" i="28"/>
  <c r="I18" i="27"/>
  <c r="J18" i="27"/>
  <c r="I19" i="27"/>
  <c r="J19" i="27"/>
  <c r="I20" i="27"/>
  <c r="J20" i="27"/>
  <c r="I21" i="27"/>
  <c r="J21" i="27"/>
  <c r="I22" i="27"/>
  <c r="J22" i="27"/>
  <c r="I23" i="27"/>
  <c r="J23" i="27"/>
  <c r="I24" i="27"/>
  <c r="J24" i="27" s="1"/>
  <c r="I25" i="27"/>
  <c r="J25" i="27" s="1"/>
  <c r="I26" i="27"/>
  <c r="J26" i="27"/>
  <c r="I27" i="27"/>
  <c r="J27" i="27"/>
  <c r="I28" i="27"/>
  <c r="J28" i="27"/>
  <c r="I29" i="27"/>
  <c r="J29" i="27"/>
  <c r="I30" i="27"/>
  <c r="J30" i="27"/>
  <c r="I31" i="27"/>
  <c r="J31" i="27"/>
  <c r="I32" i="27"/>
  <c r="J32" i="27" s="1"/>
  <c r="I33" i="27"/>
  <c r="J33" i="27" s="1"/>
  <c r="I34" i="27"/>
  <c r="J34" i="27"/>
  <c r="I35" i="27"/>
  <c r="J35" i="27"/>
  <c r="I36" i="27"/>
  <c r="J36" i="27"/>
  <c r="I37" i="27"/>
  <c r="J37" i="27"/>
  <c r="I38" i="27"/>
  <c r="J38" i="27"/>
  <c r="I39" i="27"/>
  <c r="J39" i="27"/>
  <c r="I40" i="27"/>
  <c r="J40" i="27" s="1"/>
  <c r="I41" i="27"/>
  <c r="J41" i="27" s="1"/>
  <c r="I42" i="27"/>
  <c r="J42" i="27"/>
  <c r="I43" i="27"/>
  <c r="J43" i="27"/>
  <c r="I44" i="27"/>
  <c r="J44" i="27"/>
  <c r="I45" i="27"/>
  <c r="J45" i="27"/>
  <c r="I46" i="27"/>
  <c r="J46" i="27"/>
  <c r="I47" i="27"/>
  <c r="J47" i="27"/>
  <c r="I48" i="27"/>
  <c r="J48" i="27" s="1"/>
  <c r="I49" i="27"/>
  <c r="J49" i="27" s="1"/>
  <c r="I50" i="27"/>
  <c r="J50" i="27"/>
  <c r="I51" i="27"/>
  <c r="J51" i="27"/>
  <c r="I52" i="27"/>
  <c r="J52" i="27"/>
  <c r="I53" i="27"/>
  <c r="J53" i="27"/>
  <c r="I54" i="27"/>
  <c r="J54" i="27"/>
  <c r="I55" i="27"/>
  <c r="J55" i="27"/>
  <c r="I56" i="27"/>
  <c r="J56" i="27" s="1"/>
  <c r="I57" i="27"/>
  <c r="I58" i="27"/>
  <c r="I59" i="27"/>
  <c r="J59" i="27"/>
  <c r="I60" i="27"/>
  <c r="J60" i="27"/>
  <c r="I61" i="27"/>
  <c r="J61" i="27"/>
  <c r="I62" i="27"/>
  <c r="J62" i="27"/>
  <c r="I63" i="27"/>
  <c r="J63" i="27"/>
  <c r="I64" i="27"/>
  <c r="J64" i="27"/>
  <c r="I65" i="27"/>
  <c r="J65" i="27" s="1"/>
  <c r="I66" i="27"/>
  <c r="J66" i="27" s="1"/>
  <c r="I67" i="27"/>
  <c r="J67" i="27"/>
  <c r="I68" i="27"/>
  <c r="J68" i="27"/>
  <c r="I69" i="27"/>
  <c r="J69" i="27"/>
  <c r="I70" i="27"/>
  <c r="J70" i="27"/>
  <c r="I71" i="27"/>
  <c r="J71" i="27"/>
  <c r="I72" i="27"/>
  <c r="J72" i="27"/>
  <c r="I73" i="27"/>
  <c r="J73" i="27" s="1"/>
  <c r="I74" i="27"/>
  <c r="J74" i="27" s="1"/>
  <c r="I75" i="27"/>
  <c r="J75" i="27"/>
  <c r="I76" i="27"/>
  <c r="J76" i="27"/>
  <c r="I77" i="27"/>
  <c r="J77" i="27"/>
  <c r="I78" i="27"/>
  <c r="J78" i="27"/>
  <c r="I79" i="27"/>
  <c r="J79" i="27"/>
  <c r="I80" i="27"/>
  <c r="J80" i="27"/>
  <c r="I81" i="27"/>
  <c r="I82" i="27"/>
  <c r="I83" i="27"/>
  <c r="J83" i="27" s="1"/>
  <c r="I84" i="27"/>
  <c r="J84" i="27"/>
  <c r="I85" i="27"/>
  <c r="J85" i="27"/>
  <c r="I86" i="27"/>
  <c r="J86" i="27"/>
  <c r="I87" i="27"/>
  <c r="J87" i="27"/>
  <c r="I88" i="27"/>
  <c r="J88" i="27"/>
  <c r="I89" i="27"/>
  <c r="J89" i="27" s="1"/>
  <c r="I90" i="27"/>
  <c r="J90" i="27" s="1"/>
  <c r="I91" i="27"/>
  <c r="J91" i="27"/>
  <c r="I92" i="27"/>
  <c r="J92" i="27"/>
  <c r="I93" i="27"/>
  <c r="J93" i="27"/>
  <c r="I94" i="27"/>
  <c r="J94" i="27"/>
  <c r="I95" i="27"/>
  <c r="I96" i="27"/>
  <c r="J96" i="27"/>
  <c r="I97" i="27"/>
  <c r="J97" i="27"/>
  <c r="I98" i="27"/>
  <c r="J98" i="27" s="1"/>
  <c r="I99" i="27"/>
  <c r="J99" i="27"/>
  <c r="I100" i="27"/>
  <c r="J100" i="27"/>
  <c r="I101" i="27"/>
  <c r="J101" i="27"/>
  <c r="I102" i="27"/>
  <c r="J102" i="27"/>
  <c r="I103" i="27"/>
  <c r="J103" i="27" s="1"/>
  <c r="I104" i="27"/>
  <c r="J104" i="27"/>
  <c r="I105" i="27"/>
  <c r="J105" i="27"/>
  <c r="I106" i="27"/>
  <c r="J106" i="27" s="1"/>
  <c r="I107" i="27"/>
  <c r="J107" i="27"/>
  <c r="I108" i="27"/>
  <c r="J108" i="27"/>
  <c r="I109" i="27"/>
  <c r="J109" i="27"/>
  <c r="I110" i="27"/>
  <c r="J110" i="27"/>
  <c r="I111" i="27"/>
  <c r="J111" i="27" s="1"/>
  <c r="I112" i="27"/>
  <c r="J112" i="27"/>
  <c r="I113" i="27"/>
  <c r="J113" i="27"/>
  <c r="I114" i="27"/>
  <c r="J114" i="27" s="1"/>
  <c r="I115" i="27"/>
  <c r="J115" i="27"/>
  <c r="I116" i="27"/>
  <c r="J116" i="27"/>
  <c r="I117" i="27"/>
  <c r="J117" i="27"/>
  <c r="I118" i="27"/>
  <c r="J118" i="27"/>
  <c r="I119" i="27"/>
  <c r="J119" i="27" s="1"/>
  <c r="I120" i="27"/>
  <c r="J120" i="27"/>
  <c r="I121" i="27"/>
  <c r="J121" i="27"/>
  <c r="I122" i="27"/>
  <c r="J122" i="27" s="1"/>
  <c r="I123" i="27"/>
  <c r="J123" i="27"/>
  <c r="I124" i="27"/>
  <c r="J124" i="27"/>
  <c r="I125" i="27"/>
  <c r="J125" i="27"/>
  <c r="I126" i="27"/>
  <c r="J126" i="27"/>
  <c r="I127" i="27"/>
  <c r="J127" i="27" s="1"/>
  <c r="I128" i="27"/>
  <c r="J128" i="27"/>
  <c r="I129" i="27"/>
  <c r="J129" i="27"/>
  <c r="I130" i="27"/>
  <c r="J130" i="27"/>
  <c r="I131" i="27"/>
  <c r="J131" i="27" s="1"/>
  <c r="I132" i="27"/>
  <c r="I133" i="27"/>
  <c r="J133" i="27"/>
  <c r="I134" i="27"/>
  <c r="J134" i="27"/>
  <c r="I135" i="27"/>
  <c r="J135" i="27"/>
  <c r="I136" i="27"/>
  <c r="J136" i="27" s="1"/>
  <c r="I137" i="27"/>
  <c r="J137" i="27"/>
  <c r="I138" i="27"/>
  <c r="J138" i="27"/>
  <c r="I139" i="27"/>
  <c r="J139" i="27"/>
  <c r="I140" i="27"/>
  <c r="J140" i="27" s="1"/>
  <c r="I141" i="27"/>
  <c r="J141" i="27" s="1"/>
  <c r="I142" i="27"/>
  <c r="J142" i="27"/>
  <c r="I143" i="27"/>
  <c r="J143" i="27"/>
  <c r="I144" i="27"/>
  <c r="J144" i="27"/>
  <c r="I145" i="27"/>
  <c r="I146" i="27"/>
  <c r="J146" i="27"/>
  <c r="I147" i="27"/>
  <c r="J147" i="27"/>
  <c r="I148" i="27"/>
  <c r="J148" i="27" s="1"/>
  <c r="I149" i="27"/>
  <c r="J149" i="27"/>
  <c r="I150" i="27"/>
  <c r="J150" i="27"/>
  <c r="I151" i="27"/>
  <c r="J151" i="27"/>
  <c r="I152" i="27"/>
  <c r="J152" i="27"/>
  <c r="I153" i="27"/>
  <c r="J153" i="27" s="1"/>
  <c r="I154" i="27"/>
  <c r="J154" i="27"/>
  <c r="I155" i="27"/>
  <c r="J155" i="27" s="1"/>
  <c r="I156" i="27"/>
  <c r="J156" i="27"/>
  <c r="I157" i="27"/>
  <c r="J157" i="27" s="1"/>
  <c r="I158" i="27"/>
  <c r="J158" i="27"/>
  <c r="F18" i="27"/>
  <c r="F19" i="27"/>
  <c r="G19" i="27"/>
  <c r="F20" i="27"/>
  <c r="G20" i="27"/>
  <c r="F21" i="27"/>
  <c r="G21" i="27"/>
  <c r="F22" i="27"/>
  <c r="G22" i="27"/>
  <c r="F23" i="27"/>
  <c r="G23" i="27"/>
  <c r="F24" i="27"/>
  <c r="G24" i="27"/>
  <c r="F25" i="27"/>
  <c r="G25" i="27" s="1"/>
  <c r="F26" i="27"/>
  <c r="G26" i="27" s="1"/>
  <c r="F27" i="27"/>
  <c r="G27" i="27"/>
  <c r="F28" i="27"/>
  <c r="G28" i="27"/>
  <c r="F29" i="27"/>
  <c r="G29" i="27"/>
  <c r="F30" i="27"/>
  <c r="G30" i="27"/>
  <c r="F31" i="27"/>
  <c r="G31" i="27"/>
  <c r="F32" i="27"/>
  <c r="G32" i="27"/>
  <c r="F33" i="27"/>
  <c r="G33" i="27" s="1"/>
  <c r="F34" i="27"/>
  <c r="G34" i="27" s="1"/>
  <c r="F35" i="27"/>
  <c r="G35" i="27"/>
  <c r="F36" i="27"/>
  <c r="G36" i="27"/>
  <c r="F37" i="27"/>
  <c r="G37" i="27"/>
  <c r="F38" i="27"/>
  <c r="G38" i="27"/>
  <c r="F39" i="27"/>
  <c r="G39" i="27"/>
  <c r="F40" i="27"/>
  <c r="G40" i="27"/>
  <c r="F41" i="27"/>
  <c r="G41" i="27"/>
  <c r="F42" i="27"/>
  <c r="G42" i="27" s="1"/>
  <c r="F43" i="27"/>
  <c r="G43" i="27"/>
  <c r="F44" i="27"/>
  <c r="G44" i="27"/>
  <c r="F45" i="27"/>
  <c r="G45" i="27"/>
  <c r="F46" i="27"/>
  <c r="G46" i="27"/>
  <c r="F47" i="27"/>
  <c r="G47" i="27"/>
  <c r="F48" i="27"/>
  <c r="G48" i="27"/>
  <c r="F49" i="27"/>
  <c r="G49" i="27"/>
  <c r="F50" i="27"/>
  <c r="G50" i="27" s="1"/>
  <c r="F51" i="27"/>
  <c r="G51" i="27"/>
  <c r="F52" i="27"/>
  <c r="G52" i="27"/>
  <c r="F53" i="27"/>
  <c r="G53" i="27"/>
  <c r="F54" i="27"/>
  <c r="G54" i="27"/>
  <c r="F55" i="27"/>
  <c r="G55" i="27"/>
  <c r="F56" i="27"/>
  <c r="G56" i="27"/>
  <c r="F57" i="27"/>
  <c r="G57" i="27"/>
  <c r="F58" i="27"/>
  <c r="G58" i="27" s="1"/>
  <c r="F59" i="27"/>
  <c r="G59" i="27"/>
  <c r="F60" i="27"/>
  <c r="G60" i="27"/>
  <c r="F61" i="27"/>
  <c r="G61" i="27"/>
  <c r="F62" i="27"/>
  <c r="G62" i="27"/>
  <c r="F63" i="27"/>
  <c r="G63" i="27"/>
  <c r="F64" i="27"/>
  <c r="G64" i="27"/>
  <c r="F65" i="27"/>
  <c r="G65" i="27"/>
  <c r="F66" i="27"/>
  <c r="G66" i="27" s="1"/>
  <c r="F67" i="27"/>
  <c r="G67" i="27"/>
  <c r="F68" i="27"/>
  <c r="G68" i="27"/>
  <c r="F69" i="27"/>
  <c r="G69" i="27"/>
  <c r="F70" i="27"/>
  <c r="G70" i="27"/>
  <c r="F71" i="27"/>
  <c r="G71" i="27"/>
  <c r="F72" i="27"/>
  <c r="G72" i="27"/>
  <c r="F73" i="27"/>
  <c r="G73" i="27"/>
  <c r="F74" i="27"/>
  <c r="G74" i="27" s="1"/>
  <c r="F75" i="27"/>
  <c r="G75" i="27"/>
  <c r="F76" i="27"/>
  <c r="G76" i="27"/>
  <c r="F77" i="27"/>
  <c r="G77" i="27"/>
  <c r="F78" i="27"/>
  <c r="G78" i="27"/>
  <c r="F79" i="27"/>
  <c r="G79" i="27"/>
  <c r="F80" i="27"/>
  <c r="G80" i="27"/>
  <c r="F81" i="27"/>
  <c r="G81" i="27"/>
  <c r="F82" i="27"/>
  <c r="G82" i="27" s="1"/>
  <c r="F83" i="27"/>
  <c r="G83" i="27"/>
  <c r="F84" i="27"/>
  <c r="G84" i="27"/>
  <c r="F85" i="27"/>
  <c r="G85" i="27"/>
  <c r="F86" i="27"/>
  <c r="G86" i="27"/>
  <c r="F87" i="27"/>
  <c r="G87" i="27"/>
  <c r="F88" i="27"/>
  <c r="G88" i="27"/>
  <c r="F89" i="27"/>
  <c r="G89" i="27"/>
  <c r="F90" i="27"/>
  <c r="G90" i="27" s="1"/>
  <c r="F91" i="27"/>
  <c r="G91" i="27"/>
  <c r="F92" i="27"/>
  <c r="G92" i="27"/>
  <c r="F93" i="27"/>
  <c r="G93" i="27"/>
  <c r="F94" i="27"/>
  <c r="G94" i="27"/>
  <c r="F95" i="27"/>
  <c r="G95" i="27"/>
  <c r="F96" i="27"/>
  <c r="G96" i="27"/>
  <c r="F97" i="27"/>
  <c r="G97" i="27"/>
  <c r="F98" i="27"/>
  <c r="G98" i="27" s="1"/>
  <c r="F99" i="27"/>
  <c r="G99" i="27"/>
  <c r="F100" i="27"/>
  <c r="G100" i="27"/>
  <c r="F101" i="27"/>
  <c r="G101" i="27"/>
  <c r="F102" i="27"/>
  <c r="G102" i="27"/>
  <c r="F103" i="27"/>
  <c r="G103" i="27"/>
  <c r="F104" i="27"/>
  <c r="G104" i="27"/>
  <c r="F105" i="27"/>
  <c r="G105" i="27"/>
  <c r="F106" i="27"/>
  <c r="G106" i="27" s="1"/>
  <c r="F107" i="27"/>
  <c r="G107" i="27"/>
  <c r="F108" i="27"/>
  <c r="G108" i="27"/>
  <c r="F109" i="27"/>
  <c r="G109" i="27"/>
  <c r="F110" i="27"/>
  <c r="G110" i="27"/>
  <c r="F111" i="27"/>
  <c r="G111" i="27"/>
  <c r="F112" i="27"/>
  <c r="G112" i="27"/>
  <c r="F113" i="27"/>
  <c r="G113" i="27"/>
  <c r="F114" i="27"/>
  <c r="G114" i="27" s="1"/>
  <c r="F115" i="27"/>
  <c r="G115" i="27"/>
  <c r="F116" i="27"/>
  <c r="G116" i="27"/>
  <c r="F117" i="27"/>
  <c r="G117" i="27"/>
  <c r="F118" i="27"/>
  <c r="G118" i="27"/>
  <c r="F119" i="27"/>
  <c r="G119" i="27"/>
  <c r="F120" i="27"/>
  <c r="G120" i="27"/>
  <c r="F121" i="27"/>
  <c r="G121" i="27"/>
  <c r="F122" i="27"/>
  <c r="G122" i="27" s="1"/>
  <c r="F123" i="27"/>
  <c r="G123" i="27"/>
  <c r="F124" i="27"/>
  <c r="G124" i="27"/>
  <c r="F125" i="27"/>
  <c r="G125" i="27"/>
  <c r="F126" i="27"/>
  <c r="G126" i="27"/>
  <c r="F127" i="27"/>
  <c r="G127" i="27"/>
  <c r="F128" i="27"/>
  <c r="G128" i="27"/>
  <c r="F129" i="27"/>
  <c r="G129" i="27"/>
  <c r="F130" i="27"/>
  <c r="G130" i="27" s="1"/>
  <c r="F131" i="27"/>
  <c r="G131" i="27"/>
  <c r="F132" i="27"/>
  <c r="G132" i="27"/>
  <c r="F133" i="27"/>
  <c r="G133" i="27"/>
  <c r="F134" i="27"/>
  <c r="G134" i="27"/>
  <c r="F135" i="27"/>
  <c r="G135" i="27"/>
  <c r="F136" i="27"/>
  <c r="G136" i="27"/>
  <c r="F137" i="27"/>
  <c r="G137" i="27"/>
  <c r="F138" i="27"/>
  <c r="G138" i="27" s="1"/>
  <c r="F139" i="27"/>
  <c r="G139" i="27"/>
  <c r="F140" i="27"/>
  <c r="G140" i="27"/>
  <c r="F141" i="27"/>
  <c r="G141" i="27"/>
  <c r="F142" i="27"/>
  <c r="G142" i="27"/>
  <c r="F143" i="27"/>
  <c r="G143" i="27"/>
  <c r="F144" i="27"/>
  <c r="G144" i="27"/>
  <c r="F145" i="27"/>
  <c r="G145" i="27"/>
  <c r="F146" i="27"/>
  <c r="G146" i="27" s="1"/>
  <c r="F147" i="27"/>
  <c r="G147" i="27"/>
  <c r="F148" i="27"/>
  <c r="G148" i="27"/>
  <c r="F149" i="27"/>
  <c r="G149" i="27"/>
  <c r="F150" i="27"/>
  <c r="G150" i="27"/>
  <c r="F151" i="27"/>
  <c r="G151" i="27"/>
  <c r="F152" i="27"/>
  <c r="G152" i="27"/>
  <c r="F153" i="27"/>
  <c r="G153" i="27"/>
  <c r="F154" i="27"/>
  <c r="G154" i="27" s="1"/>
  <c r="F155" i="27"/>
  <c r="G155" i="27"/>
  <c r="F156" i="27"/>
  <c r="G156" i="27"/>
  <c r="F157" i="27"/>
  <c r="G157" i="27"/>
  <c r="F158" i="27"/>
  <c r="G158" i="27"/>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D4" i="30"/>
  <c r="E4" i="30"/>
  <c r="D5" i="30"/>
  <c r="E5" i="30"/>
  <c r="I5" i="30"/>
  <c r="D6" i="30"/>
  <c r="E6" i="30"/>
  <c r="D7" i="30"/>
  <c r="E7" i="30"/>
  <c r="D8" i="30"/>
  <c r="E8" i="30"/>
  <c r="F8" i="30" s="1"/>
  <c r="G8" i="30" s="1"/>
  <c r="D9" i="30"/>
  <c r="E9" i="30"/>
  <c r="D10" i="30"/>
  <c r="E10" i="30"/>
  <c r="F10" i="30" s="1"/>
  <c r="G10" i="30" s="1"/>
  <c r="D11" i="30"/>
  <c r="E11" i="30"/>
  <c r="D12" i="30"/>
  <c r="E12" i="30"/>
  <c r="D13" i="30"/>
  <c r="E13" i="30"/>
  <c r="D14" i="30"/>
  <c r="E14" i="30"/>
  <c r="D15" i="30"/>
  <c r="E15" i="30"/>
  <c r="D16" i="30"/>
  <c r="E16" i="30"/>
  <c r="D17" i="30"/>
  <c r="E17" i="30"/>
  <c r="D18" i="30"/>
  <c r="E18" i="30"/>
  <c r="D19" i="30"/>
  <c r="E19" i="30"/>
  <c r="D20" i="30"/>
  <c r="E20" i="30"/>
  <c r="D21" i="30"/>
  <c r="E21" i="30"/>
  <c r="D22" i="30"/>
  <c r="E22" i="30"/>
  <c r="I22" i="30"/>
  <c r="D23" i="30"/>
  <c r="E23" i="30"/>
  <c r="D24" i="30"/>
  <c r="E24" i="30"/>
  <c r="D25" i="30"/>
  <c r="E25" i="30"/>
  <c r="D26" i="30"/>
  <c r="E26" i="30"/>
  <c r="D27" i="30"/>
  <c r="E27" i="30"/>
  <c r="D28" i="30"/>
  <c r="E28" i="30"/>
  <c r="D29" i="30"/>
  <c r="E29" i="30"/>
  <c r="D30" i="30"/>
  <c r="E30" i="30"/>
  <c r="D31" i="30"/>
  <c r="E31" i="30"/>
  <c r="D32" i="30"/>
  <c r="E32" i="30"/>
  <c r="D33" i="30"/>
  <c r="E33" i="30"/>
  <c r="D34" i="30"/>
  <c r="E34" i="30"/>
  <c r="D35" i="30"/>
  <c r="E35" i="30"/>
  <c r="D36" i="30"/>
  <c r="E36" i="30"/>
  <c r="D37" i="30"/>
  <c r="E37" i="30"/>
  <c r="D38" i="30"/>
  <c r="E38" i="30"/>
  <c r="F38" i="30" s="1"/>
  <c r="G38" i="30" s="1"/>
  <c r="D39" i="30"/>
  <c r="E39" i="30"/>
  <c r="D40" i="30"/>
  <c r="E40" i="30"/>
  <c r="D41" i="30"/>
  <c r="E41" i="30"/>
  <c r="D42" i="30"/>
  <c r="E42" i="30"/>
  <c r="D43" i="30"/>
  <c r="E43" i="30"/>
  <c r="D44" i="30"/>
  <c r="E44" i="30"/>
  <c r="D45" i="30"/>
  <c r="E45" i="30"/>
  <c r="I45" i="30"/>
  <c r="D46" i="30"/>
  <c r="E46" i="30"/>
  <c r="D47" i="30"/>
  <c r="E47" i="30"/>
  <c r="D48" i="30"/>
  <c r="E48" i="30"/>
  <c r="F48" i="30" s="1"/>
  <c r="G48" i="30" s="1"/>
  <c r="D49" i="30"/>
  <c r="E49" i="30"/>
  <c r="D50" i="30"/>
  <c r="E50" i="30"/>
  <c r="I50" i="30"/>
  <c r="J50" i="30" s="1"/>
  <c r="D51" i="30"/>
  <c r="E51" i="30"/>
  <c r="D52" i="30"/>
  <c r="E52" i="30"/>
  <c r="D53" i="30"/>
  <c r="E53" i="30"/>
  <c r="D54" i="30"/>
  <c r="E54" i="30"/>
  <c r="D55" i="30"/>
  <c r="E55" i="30"/>
  <c r="F55" i="30" s="1"/>
  <c r="G55" i="30" s="1"/>
  <c r="D56" i="30"/>
  <c r="E56" i="30"/>
  <c r="D57" i="30"/>
  <c r="E57" i="30"/>
  <c r="I57" i="30"/>
  <c r="D58" i="30"/>
  <c r="E58" i="30"/>
  <c r="D59" i="30"/>
  <c r="E59" i="30"/>
  <c r="D60" i="30"/>
  <c r="E60" i="30"/>
  <c r="D61" i="30"/>
  <c r="E61" i="30"/>
  <c r="D62" i="30"/>
  <c r="E62" i="30"/>
  <c r="D63" i="30"/>
  <c r="E63" i="30"/>
  <c r="D64" i="30"/>
  <c r="E64" i="30"/>
  <c r="D65" i="30"/>
  <c r="E65" i="30"/>
  <c r="F65" i="30" s="1"/>
  <c r="G65" i="30" s="1"/>
  <c r="I65" i="30"/>
  <c r="J65" i="30" s="1"/>
  <c r="D66" i="30"/>
  <c r="F66" i="30" s="1"/>
  <c r="G66" i="30" s="1"/>
  <c r="E66" i="30"/>
  <c r="D67" i="30"/>
  <c r="E67" i="30"/>
  <c r="D68" i="30"/>
  <c r="E68" i="30"/>
  <c r="D69" i="30"/>
  <c r="E69" i="30"/>
  <c r="D70" i="30"/>
  <c r="E70" i="30"/>
  <c r="F70" i="30"/>
  <c r="G70" i="30" s="1"/>
  <c r="D71" i="30"/>
  <c r="E71" i="30"/>
  <c r="D72" i="30"/>
  <c r="E72" i="30"/>
  <c r="D73" i="30"/>
  <c r="F73" i="30" s="1"/>
  <c r="G73" i="30" s="1"/>
  <c r="E73" i="30"/>
  <c r="D74" i="30"/>
  <c r="E74" i="30"/>
  <c r="D75" i="30"/>
  <c r="E75" i="30"/>
  <c r="D76" i="30"/>
  <c r="E76" i="30"/>
  <c r="D77" i="30"/>
  <c r="E77" i="30"/>
  <c r="D78" i="30"/>
  <c r="E78" i="30"/>
  <c r="D79" i="30"/>
  <c r="E79" i="30"/>
  <c r="D80" i="30"/>
  <c r="E80" i="30"/>
  <c r="D81" i="30"/>
  <c r="E81" i="30"/>
  <c r="D82" i="30"/>
  <c r="E82" i="30"/>
  <c r="D83" i="30"/>
  <c r="E83" i="30"/>
  <c r="D84" i="30"/>
  <c r="E84" i="30"/>
  <c r="D85" i="30"/>
  <c r="E85" i="30"/>
  <c r="D86" i="30"/>
  <c r="E86" i="30"/>
  <c r="D87" i="30"/>
  <c r="E87" i="30"/>
  <c r="F87" i="30"/>
  <c r="G87" i="30"/>
  <c r="D88" i="30"/>
  <c r="E88" i="30"/>
  <c r="D89" i="30"/>
  <c r="E89" i="30"/>
  <c r="D90" i="30"/>
  <c r="E90" i="30"/>
  <c r="D91" i="30"/>
  <c r="E91" i="30"/>
  <c r="I91" i="30"/>
  <c r="D92" i="30"/>
  <c r="E92" i="30"/>
  <c r="F92" i="30" s="1"/>
  <c r="G92" i="30" s="1"/>
  <c r="D93" i="30"/>
  <c r="E93" i="30"/>
  <c r="F93" i="30" s="1"/>
  <c r="G93" i="30" s="1"/>
  <c r="D94" i="30"/>
  <c r="E94" i="30"/>
  <c r="D95" i="30"/>
  <c r="E95" i="30"/>
  <c r="D96" i="30"/>
  <c r="E96" i="30"/>
  <c r="D97" i="30"/>
  <c r="E97" i="30"/>
  <c r="D98" i="30"/>
  <c r="E98" i="30"/>
  <c r="D99" i="30"/>
  <c r="E99" i="30"/>
  <c r="D100" i="30"/>
  <c r="E100" i="30"/>
  <c r="D101" i="30"/>
  <c r="E101" i="30"/>
  <c r="F101" i="30" s="1"/>
  <c r="G101" i="30" s="1"/>
  <c r="D102" i="30"/>
  <c r="E102" i="30"/>
  <c r="D103" i="30"/>
  <c r="E103" i="30"/>
  <c r="D104" i="30"/>
  <c r="E104" i="30"/>
  <c r="D105" i="30"/>
  <c r="E105" i="30"/>
  <c r="I105" i="30"/>
  <c r="D106" i="30"/>
  <c r="E106" i="30"/>
  <c r="D107" i="30"/>
  <c r="E107" i="30"/>
  <c r="D108" i="30"/>
  <c r="E108" i="30"/>
  <c r="D109" i="30"/>
  <c r="E109" i="30"/>
  <c r="I109" i="30"/>
  <c r="D110" i="30"/>
  <c r="E110" i="30"/>
  <c r="D111" i="30"/>
  <c r="E111" i="30"/>
  <c r="I111" i="30"/>
  <c r="J111" i="30" s="1"/>
  <c r="D112" i="30"/>
  <c r="E112" i="30"/>
  <c r="D113" i="30"/>
  <c r="E113" i="30"/>
  <c r="D114" i="30"/>
  <c r="E114" i="30"/>
  <c r="D115" i="30"/>
  <c r="E115" i="30"/>
  <c r="D116" i="30"/>
  <c r="E116" i="30"/>
  <c r="C158" i="18"/>
  <c r="C157" i="18"/>
  <c r="C156" i="18"/>
  <c r="C155" i="18"/>
  <c r="C154" i="18"/>
  <c r="C153" i="18"/>
  <c r="C152" i="18"/>
  <c r="C151" i="18"/>
  <c r="C150" i="18"/>
  <c r="C149" i="18"/>
  <c r="C148" i="18"/>
  <c r="C147" i="18"/>
  <c r="C146" i="18"/>
  <c r="C145" i="18"/>
  <c r="C144" i="18"/>
  <c r="C143" i="18"/>
  <c r="C142" i="18"/>
  <c r="C141" i="18"/>
  <c r="C140" i="18"/>
  <c r="F74" i="26"/>
  <c r="G74" i="26" s="1"/>
  <c r="G67" i="26"/>
  <c r="G64" i="26"/>
  <c r="G59" i="26"/>
  <c r="G60" i="26"/>
  <c r="G61" i="26"/>
  <c r="G62" i="26"/>
  <c r="G63" i="26"/>
  <c r="G65" i="26"/>
  <c r="G66" i="26"/>
  <c r="G58" i="26"/>
  <c r="F57" i="26"/>
  <c r="G57" i="26" s="1"/>
  <c r="F117" i="26"/>
  <c r="G117" i="26" s="1"/>
  <c r="F93" i="26"/>
  <c r="G93" i="26" s="1"/>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F68" i="26"/>
  <c r="G68" i="26" s="1"/>
  <c r="F69" i="26"/>
  <c r="G69" i="26" s="1"/>
  <c r="F70" i="26"/>
  <c r="G70" i="26" s="1"/>
  <c r="F71" i="26"/>
  <c r="G71" i="26" s="1"/>
  <c r="F72" i="26"/>
  <c r="G72" i="26" s="1"/>
  <c r="F73" i="26"/>
  <c r="G73" i="26" s="1"/>
  <c r="F75" i="26"/>
  <c r="G75" i="26" s="1"/>
  <c r="F76" i="26"/>
  <c r="G76" i="26" s="1"/>
  <c r="F77" i="26"/>
  <c r="G77" i="26"/>
  <c r="F78" i="26"/>
  <c r="G78" i="26" s="1"/>
  <c r="F79" i="26"/>
  <c r="G79" i="26" s="1"/>
  <c r="F80" i="26"/>
  <c r="G80" i="26" s="1"/>
  <c r="F81" i="26"/>
  <c r="G81" i="26" s="1"/>
  <c r="F82" i="26"/>
  <c r="G82" i="26" s="1"/>
  <c r="F83" i="26"/>
  <c r="G83" i="26" s="1"/>
  <c r="F84" i="26"/>
  <c r="G84" i="26" s="1"/>
  <c r="F85" i="26"/>
  <c r="G85" i="26" s="1"/>
  <c r="F86" i="26"/>
  <c r="G86" i="26" s="1"/>
  <c r="F87" i="26"/>
  <c r="G87" i="26" s="1"/>
  <c r="F88" i="26"/>
  <c r="G88" i="26" s="1"/>
  <c r="F89" i="26"/>
  <c r="G89" i="26" s="1"/>
  <c r="F90" i="26"/>
  <c r="G90" i="26" s="1"/>
  <c r="F91" i="26"/>
  <c r="G91" i="26" s="1"/>
  <c r="F92" i="26"/>
  <c r="G92" i="26" s="1"/>
  <c r="F94" i="26"/>
  <c r="G94" i="26" s="1"/>
  <c r="F95" i="26"/>
  <c r="G95" i="26" s="1"/>
  <c r="F96" i="26"/>
  <c r="G96" i="26" s="1"/>
  <c r="F97" i="26"/>
  <c r="G97" i="26" s="1"/>
  <c r="F98" i="26"/>
  <c r="G98" i="26" s="1"/>
  <c r="F99" i="26"/>
  <c r="G99" i="26" s="1"/>
  <c r="F100" i="26"/>
  <c r="G100" i="26" s="1"/>
  <c r="F101" i="26"/>
  <c r="G101" i="26" s="1"/>
  <c r="F102" i="26"/>
  <c r="G102" i="26" s="1"/>
  <c r="F105" i="26"/>
  <c r="G105" i="26" s="1"/>
  <c r="F106" i="26"/>
  <c r="G106" i="26" s="1"/>
  <c r="F107" i="26"/>
  <c r="G107" i="26"/>
  <c r="F108" i="26"/>
  <c r="G108" i="26" s="1"/>
  <c r="F109" i="26"/>
  <c r="G109" i="26" s="1"/>
  <c r="F110" i="26"/>
  <c r="G110" i="26" s="1"/>
  <c r="F111" i="26"/>
  <c r="G111" i="26" s="1"/>
  <c r="F112" i="26"/>
  <c r="G112" i="26" s="1"/>
  <c r="F113" i="26"/>
  <c r="G113" i="26" s="1"/>
  <c r="F114" i="26"/>
  <c r="G114" i="26" s="1"/>
  <c r="F115" i="26"/>
  <c r="G115" i="26" s="1"/>
  <c r="F116" i="26"/>
  <c r="G116" i="26" s="1"/>
  <c r="C97" i="30"/>
  <c r="C98" i="30"/>
  <c r="C99" i="30"/>
  <c r="C100" i="30"/>
  <c r="C101" i="30"/>
  <c r="C102" i="30"/>
  <c r="C103" i="30"/>
  <c r="C104" i="30"/>
  <c r="C105" i="30"/>
  <c r="C106" i="30"/>
  <c r="C107" i="30"/>
  <c r="C108" i="30"/>
  <c r="C109" i="30"/>
  <c r="C110" i="30"/>
  <c r="C111" i="30"/>
  <c r="C112" i="30"/>
  <c r="C113" i="30"/>
  <c r="C114" i="30"/>
  <c r="C115" i="30"/>
  <c r="C116" i="30"/>
  <c r="C117" i="30"/>
  <c r="C96" i="30"/>
  <c r="C140" i="1"/>
  <c r="C158"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F122" i="34"/>
  <c r="G122" i="34" s="1"/>
  <c r="F124" i="34"/>
  <c r="G124" i="34" s="1"/>
  <c r="F126" i="34"/>
  <c r="G126" i="34" s="1"/>
  <c r="F128" i="34"/>
  <c r="G128" i="34" s="1"/>
  <c r="F130" i="34"/>
  <c r="G130" i="34" s="1"/>
  <c r="F132" i="34"/>
  <c r="G132" i="34" s="1"/>
  <c r="F134" i="34"/>
  <c r="G134" i="34" s="1"/>
  <c r="F136" i="34"/>
  <c r="G136" i="34" s="1"/>
  <c r="F138" i="34"/>
  <c r="G138" i="34" s="1"/>
  <c r="F140" i="34"/>
  <c r="G140" i="34" s="1"/>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F111" i="20"/>
  <c r="G111" i="20"/>
  <c r="F112" i="20"/>
  <c r="G112" i="20"/>
  <c r="F113" i="20"/>
  <c r="G113" i="20"/>
  <c r="F114" i="20"/>
  <c r="G114" i="20" s="1"/>
  <c r="F115" i="20"/>
  <c r="G115" i="20"/>
  <c r="F116" i="20"/>
  <c r="G116" i="20"/>
  <c r="F117" i="20"/>
  <c r="G117" i="20"/>
  <c r="F118" i="20"/>
  <c r="G118" i="20"/>
  <c r="F119" i="20"/>
  <c r="G119" i="20"/>
  <c r="F120" i="20"/>
  <c r="G120" i="20"/>
  <c r="F121" i="20"/>
  <c r="G121" i="20"/>
  <c r="F122" i="20"/>
  <c r="G122" i="20" s="1"/>
  <c r="F123" i="20"/>
  <c r="G123" i="20" s="1"/>
  <c r="F124" i="20"/>
  <c r="G124" i="20"/>
  <c r="F125" i="20"/>
  <c r="G125" i="20"/>
  <c r="F126" i="20"/>
  <c r="F127" i="20"/>
  <c r="G127" i="20" s="1"/>
  <c r="F128" i="20"/>
  <c r="G128" i="20"/>
  <c r="F129" i="20"/>
  <c r="G129" i="20" s="1"/>
  <c r="F130" i="20"/>
  <c r="G130" i="20"/>
  <c r="F131" i="20"/>
  <c r="G131" i="20"/>
  <c r="F132" i="20"/>
  <c r="G132" i="20" s="1"/>
  <c r="F133" i="20"/>
  <c r="G133" i="20" s="1"/>
  <c r="F134" i="20"/>
  <c r="G134" i="20"/>
  <c r="F135" i="20"/>
  <c r="G135" i="20"/>
  <c r="F136" i="20"/>
  <c r="G136" i="20" s="1"/>
  <c r="F137" i="20"/>
  <c r="G137" i="20"/>
  <c r="F138" i="20"/>
  <c r="G138" i="20"/>
  <c r="F139" i="20"/>
  <c r="G139" i="20"/>
  <c r="F140" i="20"/>
  <c r="G140" i="20"/>
  <c r="F141" i="20"/>
  <c r="G141" i="20" s="1"/>
  <c r="F142" i="20"/>
  <c r="G142" i="20" s="1"/>
  <c r="F143" i="20"/>
  <c r="G143" i="20" s="1"/>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F118" i="34"/>
  <c r="G118" i="34" s="1"/>
  <c r="F120" i="34"/>
  <c r="G120" i="34" s="1"/>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140" i="31"/>
  <c r="J107" i="31"/>
  <c r="J51" i="31"/>
  <c r="J19" i="31"/>
  <c r="J68" i="21"/>
  <c r="I73" i="30"/>
  <c r="J125" i="31"/>
  <c r="J40" i="31"/>
  <c r="I23" i="30"/>
  <c r="J73" i="21"/>
  <c r="J49" i="21"/>
  <c r="J81" i="27"/>
  <c r="J116" i="31"/>
  <c r="J32" i="31"/>
  <c r="J50" i="21"/>
  <c r="J57" i="31"/>
  <c r="J56" i="21"/>
  <c r="J40" i="21"/>
  <c r="J16" i="21"/>
  <c r="J8" i="21"/>
  <c r="J66" i="31"/>
  <c r="I49" i="30"/>
  <c r="J24" i="31"/>
  <c r="J34" i="21"/>
  <c r="J18" i="21"/>
  <c r="J94" i="21"/>
  <c r="J79" i="28"/>
  <c r="J157" i="31"/>
  <c r="J98" i="31"/>
  <c r="J93" i="21"/>
  <c r="J13" i="21"/>
  <c r="J78" i="28"/>
  <c r="J130" i="31"/>
  <c r="J102" i="31"/>
  <c r="J48" i="31"/>
  <c r="I31" i="30"/>
  <c r="J31" i="30" s="1"/>
  <c r="J74" i="21"/>
  <c r="J80" i="31"/>
  <c r="J75" i="31"/>
  <c r="J137" i="31"/>
  <c r="J73" i="31"/>
  <c r="J41" i="31"/>
  <c r="J33" i="31"/>
  <c r="J25" i="31"/>
  <c r="J21" i="31"/>
  <c r="F69" i="30"/>
  <c r="G69" i="30" s="1"/>
  <c r="F54" i="30"/>
  <c r="G54" i="30"/>
  <c r="F21" i="30"/>
  <c r="G21" i="30" s="1"/>
  <c r="J57" i="27"/>
  <c r="J145" i="27"/>
  <c r="J132" i="27"/>
  <c r="J82" i="27"/>
  <c r="J58" i="27"/>
  <c r="E2" i="19"/>
  <c r="F59" i="3"/>
  <c r="G59" i="3" s="1"/>
  <c r="F19" i="1"/>
  <c r="G19" i="1" s="1"/>
  <c r="F29" i="1"/>
  <c r="G29" i="1" s="1"/>
  <c r="F97" i="34"/>
  <c r="G97" i="34" s="1"/>
  <c r="F99" i="34"/>
  <c r="G99" i="34" s="1"/>
  <c r="F101" i="34"/>
  <c r="G101" i="34" s="1"/>
  <c r="F119" i="1"/>
  <c r="G119" i="1" s="1"/>
  <c r="F103" i="34"/>
  <c r="G103" i="34" s="1"/>
  <c r="F105" i="34"/>
  <c r="G105" i="34" s="1"/>
  <c r="F107" i="34"/>
  <c r="G107" i="34" s="1"/>
  <c r="F109" i="34"/>
  <c r="G109" i="34" s="1"/>
  <c r="F111" i="34"/>
  <c r="G111" i="34" s="1"/>
  <c r="F113" i="34"/>
  <c r="G113" i="34" s="1"/>
  <c r="F115" i="34"/>
  <c r="G115" i="34" s="1"/>
  <c r="F117" i="34"/>
  <c r="G117" i="34" s="1"/>
  <c r="F119" i="34"/>
  <c r="G119" i="34"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J92" i="1" s="1"/>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111" i="34"/>
  <c r="J37" i="72"/>
  <c r="J21" i="72"/>
  <c r="J5" i="72"/>
  <c r="J22" i="72"/>
  <c r="J107" i="34"/>
  <c r="J43" i="72"/>
  <c r="I17" i="33"/>
  <c r="J17" i="33" s="1"/>
  <c r="F17" i="33"/>
  <c r="G17" i="33"/>
  <c r="J16" i="33"/>
  <c r="F16" i="33"/>
  <c r="G16" i="33"/>
  <c r="I17" i="32"/>
  <c r="J17" i="32"/>
  <c r="F17" i="32"/>
  <c r="G17" i="32"/>
  <c r="I16" i="32"/>
  <c r="G16" i="32"/>
  <c r="I17" i="31"/>
  <c r="J17" i="31" s="1"/>
  <c r="F17" i="31"/>
  <c r="G17" i="31" s="1"/>
  <c r="I16" i="31"/>
  <c r="F16" i="31"/>
  <c r="G16" i="31" s="1"/>
  <c r="I17" i="28"/>
  <c r="J17" i="28"/>
  <c r="F17" i="28"/>
  <c r="G17" i="28"/>
  <c r="I16" i="28"/>
  <c r="J16" i="28"/>
  <c r="F16" i="28"/>
  <c r="G16" i="28"/>
  <c r="I17" i="27"/>
  <c r="F17" i="27"/>
  <c r="G17" i="27" s="1"/>
  <c r="I16" i="27"/>
  <c r="J16" i="27" s="1"/>
  <c r="F16" i="27"/>
  <c r="G16" i="27"/>
  <c r="B4" i="33" a="1"/>
  <c r="B4" i="33" s="1"/>
  <c r="A4" i="33" a="1"/>
  <c r="A4" i="33" s="1"/>
  <c r="B4" i="32" a="1"/>
  <c r="B4" i="32" s="1"/>
  <c r="A4" i="32" a="1"/>
  <c r="A4" i="32" s="1"/>
  <c r="B4" i="31" a="1"/>
  <c r="B4" i="31" s="1"/>
  <c r="A4" i="31" a="1"/>
  <c r="A4" i="31" s="1"/>
  <c r="B4" i="27" a="1"/>
  <c r="B4" i="27" s="1"/>
  <c r="A4" i="27" a="1"/>
  <c r="A4" i="27" s="1"/>
  <c r="H2" i="1"/>
  <c r="A1" i="34" a="1"/>
  <c r="A1" i="34" s="1"/>
  <c r="A1" i="30" a="1"/>
  <c r="A1" i="30" s="1"/>
  <c r="A1" i="29" a="1"/>
  <c r="A1" i="29" s="1"/>
  <c r="B4" i="18" a="1"/>
  <c r="B4" i="18" s="1"/>
  <c r="A4" i="18" a="1"/>
  <c r="A4" i="18" s="1"/>
  <c r="A1" i="18" a="1"/>
  <c r="A1" i="18" s="1"/>
  <c r="B4" i="1" a="1"/>
  <c r="B4" i="1" s="1"/>
  <c r="A4" i="1" a="1"/>
  <c r="A4" i="1" s="1"/>
  <c r="A1" i="1" a="1"/>
  <c r="A1" i="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c r="I13" i="31"/>
  <c r="J13" i="31"/>
  <c r="F13" i="31"/>
  <c r="G13" i="31"/>
  <c r="I12" i="31"/>
  <c r="J12" i="31"/>
  <c r="F12" i="31"/>
  <c r="G12" i="31" s="1"/>
  <c r="I11" i="31"/>
  <c r="J11" i="31"/>
  <c r="F11" i="31"/>
  <c r="G11" i="31" s="1"/>
  <c r="I10" i="31"/>
  <c r="J10" i="31" s="1"/>
  <c r="F10" i="31"/>
  <c r="G10" i="31"/>
  <c r="I9" i="31"/>
  <c r="J9" i="31"/>
  <c r="F9" i="31"/>
  <c r="G9" i="31"/>
  <c r="I8" i="31"/>
  <c r="J8" i="31"/>
  <c r="F8" i="31"/>
  <c r="G8" i="31"/>
  <c r="I7" i="31"/>
  <c r="J7" i="31" s="1"/>
  <c r="F7" i="31"/>
  <c r="G7" i="31" s="1"/>
  <c r="I6" i="31"/>
  <c r="J6" i="31" s="1"/>
  <c r="F6" i="31"/>
  <c r="G6" i="31"/>
  <c r="I5" i="31"/>
  <c r="J5" i="31"/>
  <c r="F5" i="31"/>
  <c r="G5" i="31"/>
  <c r="I4" i="31"/>
  <c r="J4" i="31"/>
  <c r="F4" i="31"/>
  <c r="G4" i="31"/>
  <c r="E2" i="31"/>
  <c r="A1" i="31" a="1"/>
  <c r="A1" i="31" s="1"/>
  <c r="I15" i="28"/>
  <c r="J15" i="28"/>
  <c r="F15" i="28"/>
  <c r="G15" i="28"/>
  <c r="I14" i="28"/>
  <c r="J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E2" i="28"/>
  <c r="K2" i="28"/>
  <c r="A1" i="28" a="1"/>
  <c r="A1" i="28" s="1"/>
  <c r="I15" i="27"/>
  <c r="J15" i="27"/>
  <c r="F15" i="27"/>
  <c r="G15" i="27"/>
  <c r="I14" i="27"/>
  <c r="J14" i="27"/>
  <c r="F14" i="27"/>
  <c r="G14" i="27"/>
  <c r="I13" i="27"/>
  <c r="J13" i="27" s="1"/>
  <c r="F13" i="27"/>
  <c r="G13" i="27"/>
  <c r="I12" i="27"/>
  <c r="J12" i="27"/>
  <c r="F12" i="27"/>
  <c r="G12" i="27" s="1"/>
  <c r="I11" i="27"/>
  <c r="J11" i="27"/>
  <c r="F11" i="27"/>
  <c r="G11" i="27"/>
  <c r="I10" i="27"/>
  <c r="J10" i="27"/>
  <c r="F10" i="27"/>
  <c r="G10" i="27"/>
  <c r="I9" i="27"/>
  <c r="J9" i="27" s="1"/>
  <c r="F9" i="27"/>
  <c r="G9" i="27"/>
  <c r="I8" i="27"/>
  <c r="J8" i="27"/>
  <c r="F8" i="27"/>
  <c r="G8" i="27" s="1"/>
  <c r="I7" i="27"/>
  <c r="J7" i="27"/>
  <c r="F7" i="27"/>
  <c r="G7" i="27"/>
  <c r="I6" i="27"/>
  <c r="J6" i="27"/>
  <c r="F6" i="27"/>
  <c r="G6" i="27"/>
  <c r="I5" i="27"/>
  <c r="J5" i="27" s="1"/>
  <c r="F5" i="27"/>
  <c r="G5" i="27"/>
  <c r="I4" i="27"/>
  <c r="J4" i="27"/>
  <c r="F4" i="27"/>
  <c r="G4" i="27" s="1"/>
  <c r="E2" i="27"/>
  <c r="A1" i="27" a="1"/>
  <c r="A1" i="27" s="1"/>
  <c r="E2" i="26"/>
  <c r="A1" i="26" a="1"/>
  <c r="A1" i="26" s="1"/>
  <c r="A1" i="19" a="1"/>
  <c r="A1" i="19" s="1"/>
  <c r="A1" i="20" a="1"/>
  <c r="A1" i="20"/>
  <c r="A1" i="21" a="1"/>
  <c r="A1" i="21" s="1"/>
  <c r="A1" i="4" a="1"/>
  <c r="A1" i="4" s="1"/>
  <c r="K2" i="3"/>
  <c r="A1" i="3" a="1"/>
  <c r="A1" i="3" s="1"/>
  <c r="A1" i="72" a="1"/>
  <c r="A1" i="72" s="1"/>
  <c r="J16" i="31"/>
  <c r="J17" i="27"/>
  <c r="I2" i="33"/>
  <c r="J2" i="33"/>
  <c r="I2" i="32"/>
  <c r="J2" i="32" s="1"/>
  <c r="K2" i="32"/>
  <c r="F2" i="28"/>
  <c r="G2" i="28"/>
  <c r="K2" i="27"/>
  <c r="F2" i="32"/>
  <c r="G2" i="32"/>
  <c r="F2" i="27"/>
  <c r="G2" i="27" s="1"/>
  <c r="J69" i="26" l="1"/>
  <c r="I69" i="29"/>
  <c r="J158" i="34"/>
  <c r="J157" i="34"/>
  <c r="J156" i="34"/>
  <c r="J155" i="34"/>
  <c r="J154" i="34"/>
  <c r="J153" i="34"/>
  <c r="J152" i="34"/>
  <c r="J151" i="34"/>
  <c r="J150" i="34"/>
  <c r="J149" i="34"/>
  <c r="J148" i="34"/>
  <c r="J147" i="34"/>
  <c r="J146" i="34"/>
  <c r="J145" i="34"/>
  <c r="J144" i="34"/>
  <c r="J143" i="34"/>
  <c r="J142" i="34"/>
  <c r="J141" i="34"/>
  <c r="J140" i="34"/>
  <c r="J139" i="34"/>
  <c r="J138" i="34"/>
  <c r="J137" i="34"/>
  <c r="J136" i="34"/>
  <c r="J135" i="34"/>
  <c r="J134" i="34"/>
  <c r="J133" i="34"/>
  <c r="J132" i="34"/>
  <c r="J131" i="34"/>
  <c r="J130" i="34"/>
  <c r="J129" i="34"/>
  <c r="J128" i="34"/>
  <c r="J127" i="34"/>
  <c r="J126" i="34"/>
  <c r="J125" i="34"/>
  <c r="J124" i="34"/>
  <c r="J123" i="34"/>
  <c r="J122" i="34"/>
  <c r="J121" i="34"/>
  <c r="J120" i="34"/>
  <c r="J119" i="34"/>
  <c r="J118" i="34"/>
  <c r="D2" i="34"/>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J158" i="20"/>
  <c r="I157" i="18"/>
  <c r="J157" i="18" s="1"/>
  <c r="J157" i="20"/>
  <c r="I156" i="18"/>
  <c r="J156" i="18" s="1"/>
  <c r="J156" i="20"/>
  <c r="I155" i="18"/>
  <c r="J155" i="18" s="1"/>
  <c r="J155" i="20"/>
  <c r="I154" i="18"/>
  <c r="J154" i="18" s="1"/>
  <c r="J154" i="20"/>
  <c r="J153" i="20"/>
  <c r="I153" i="18"/>
  <c r="J153" i="18" s="1"/>
  <c r="J152" i="20"/>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F94" i="29"/>
  <c r="G94" i="29" s="1"/>
  <c r="F93" i="29"/>
  <c r="F92" i="29"/>
  <c r="F91" i="29"/>
  <c r="F90" i="29"/>
  <c r="F89" i="29"/>
  <c r="F88" i="29"/>
  <c r="F87" i="29"/>
  <c r="F86" i="29"/>
  <c r="F85" i="29"/>
  <c r="F84" i="29"/>
  <c r="F83" i="29"/>
  <c r="F82" i="29"/>
  <c r="F81" i="29"/>
  <c r="F80" i="29"/>
  <c r="F79" i="29"/>
  <c r="F78" i="29"/>
  <c r="G78" i="29" s="1"/>
  <c r="F77" i="29"/>
  <c r="F76" i="29"/>
  <c r="F75" i="29"/>
  <c r="F74" i="29"/>
  <c r="F73" i="29"/>
  <c r="F72" i="29"/>
  <c r="F71" i="29"/>
  <c r="F70" i="29"/>
  <c r="G70" i="29" s="1"/>
  <c r="F69" i="29"/>
  <c r="F68" i="29"/>
  <c r="F67" i="29"/>
  <c r="F66" i="29"/>
  <c r="F65" i="29"/>
  <c r="F64" i="29"/>
  <c r="F63" i="29"/>
  <c r="F62" i="29"/>
  <c r="F61" i="29"/>
  <c r="F60" i="29"/>
  <c r="F59" i="29"/>
  <c r="G59" i="29" s="1"/>
  <c r="F58" i="29"/>
  <c r="F57" i="29"/>
  <c r="F56" i="29"/>
  <c r="F55" i="29"/>
  <c r="F54" i="29"/>
  <c r="F53" i="29"/>
  <c r="F52" i="29"/>
  <c r="F51" i="29"/>
  <c r="F50" i="29"/>
  <c r="F49" i="29"/>
  <c r="F48" i="29"/>
  <c r="F47" i="29"/>
  <c r="F46" i="29"/>
  <c r="F45" i="29"/>
  <c r="F44" i="29"/>
  <c r="F43" i="29"/>
  <c r="F42" i="29"/>
  <c r="G42" i="29" s="1"/>
  <c r="F41" i="29"/>
  <c r="F40" i="29"/>
  <c r="F39" i="29"/>
  <c r="G39" i="29" s="1"/>
  <c r="F38" i="29"/>
  <c r="F37" i="29"/>
  <c r="F36" i="29"/>
  <c r="F35" i="29"/>
  <c r="F34" i="29"/>
  <c r="F33" i="29"/>
  <c r="F32" i="29"/>
  <c r="F31" i="29"/>
  <c r="F30" i="29"/>
  <c r="F29" i="29"/>
  <c r="F28" i="29"/>
  <c r="F27" i="29"/>
  <c r="G27" i="29" s="1"/>
  <c r="F26" i="29"/>
  <c r="F25" i="29"/>
  <c r="F24" i="29"/>
  <c r="F23" i="29"/>
  <c r="F22" i="29"/>
  <c r="F21" i="29"/>
  <c r="F20" i="29"/>
  <c r="F19" i="29"/>
  <c r="F18" i="29"/>
  <c r="F17" i="29"/>
  <c r="F16" i="29"/>
  <c r="F15" i="29"/>
  <c r="F14" i="29"/>
  <c r="F13" i="29"/>
  <c r="F12" i="29"/>
  <c r="F11" i="29"/>
  <c r="F10" i="29"/>
  <c r="F9" i="29"/>
  <c r="F8" i="29"/>
  <c r="F7" i="29"/>
  <c r="F6" i="29"/>
  <c r="F109" i="18"/>
  <c r="G109" i="18" s="1"/>
  <c r="F121" i="34"/>
  <c r="G121" i="34" s="1"/>
  <c r="F116" i="34"/>
  <c r="G116" i="34" s="1"/>
  <c r="F141" i="34"/>
  <c r="G141" i="34" s="1"/>
  <c r="F114" i="34"/>
  <c r="G114" i="34" s="1"/>
  <c r="F139" i="34"/>
  <c r="G139" i="34" s="1"/>
  <c r="F112" i="34"/>
  <c r="G112" i="34" s="1"/>
  <c r="F137" i="34"/>
  <c r="G137" i="34" s="1"/>
  <c r="F110" i="34"/>
  <c r="G110" i="34" s="1"/>
  <c r="F135" i="34"/>
  <c r="G135" i="34" s="1"/>
  <c r="F108" i="34"/>
  <c r="G108" i="34" s="1"/>
  <c r="F133" i="34"/>
  <c r="G133" i="34" s="1"/>
  <c r="F106" i="34"/>
  <c r="G106" i="34" s="1"/>
  <c r="F131" i="34"/>
  <c r="G131" i="34" s="1"/>
  <c r="F104" i="34"/>
  <c r="G104" i="34" s="1"/>
  <c r="F129" i="34"/>
  <c r="G129" i="34" s="1"/>
  <c r="F102" i="34"/>
  <c r="G102" i="34" s="1"/>
  <c r="F127" i="34"/>
  <c r="G127" i="34" s="1"/>
  <c r="F100" i="34"/>
  <c r="G100" i="34" s="1"/>
  <c r="F125" i="34"/>
  <c r="G125" i="34" s="1"/>
  <c r="F98" i="34"/>
  <c r="G98" i="34" s="1"/>
  <c r="F123" i="34"/>
  <c r="G123" i="34" s="1"/>
  <c r="J113" i="34"/>
  <c r="J105" i="34"/>
  <c r="J118" i="1"/>
  <c r="J101" i="34"/>
  <c r="F147" i="30"/>
  <c r="J76" i="30"/>
  <c r="F49" i="30"/>
  <c r="G49" i="30" s="1"/>
  <c r="J105" i="30"/>
  <c r="F14" i="30"/>
  <c r="G14" i="30" s="1"/>
  <c r="J74" i="30"/>
  <c r="J40" i="30"/>
  <c r="J136" i="30"/>
  <c r="F146" i="30"/>
  <c r="F128" i="30"/>
  <c r="G128" i="30" s="1"/>
  <c r="F105" i="30"/>
  <c r="G105" i="30" s="1"/>
  <c r="F67" i="30"/>
  <c r="G67" i="30" s="1"/>
  <c r="J33" i="30"/>
  <c r="F82" i="30"/>
  <c r="G82" i="30" s="1"/>
  <c r="F74" i="30"/>
  <c r="G74" i="30" s="1"/>
  <c r="F127" i="30"/>
  <c r="G127" i="30" s="1"/>
  <c r="F107" i="30"/>
  <c r="G107" i="30" s="1"/>
  <c r="F20" i="30"/>
  <c r="G20" i="30" s="1"/>
  <c r="F41" i="30"/>
  <c r="G41" i="30" s="1"/>
  <c r="J106" i="30"/>
  <c r="F85" i="30"/>
  <c r="G85" i="30" s="1"/>
  <c r="J38" i="30"/>
  <c r="F61" i="30"/>
  <c r="G61" i="30" s="1"/>
  <c r="F7" i="30"/>
  <c r="G7" i="30" s="1"/>
  <c r="F155" i="30"/>
  <c r="J135" i="30"/>
  <c r="F150" i="30"/>
  <c r="F154" i="30"/>
  <c r="F108" i="30"/>
  <c r="G108" i="30" s="1"/>
  <c r="F45" i="30"/>
  <c r="G45" i="30" s="1"/>
  <c r="F37" i="30"/>
  <c r="G37" i="30" s="1"/>
  <c r="J59" i="30"/>
  <c r="J48" i="30"/>
  <c r="F143" i="30"/>
  <c r="G143" i="30" s="1"/>
  <c r="F99" i="30"/>
  <c r="G99" i="30" s="1"/>
  <c r="F135" i="30"/>
  <c r="G135" i="30" s="1"/>
  <c r="F72" i="30"/>
  <c r="G72" i="30" s="1"/>
  <c r="F119" i="30"/>
  <c r="G119" i="30" s="1"/>
  <c r="J84" i="30"/>
  <c r="J83" i="30"/>
  <c r="F141" i="30"/>
  <c r="G141" i="30" s="1"/>
  <c r="F134" i="30"/>
  <c r="G134" i="30" s="1"/>
  <c r="J130" i="30"/>
  <c r="F120" i="30"/>
  <c r="G120" i="30" s="1"/>
  <c r="F47" i="30"/>
  <c r="G47" i="30" s="1"/>
  <c r="J123" i="30"/>
  <c r="J82" i="30"/>
  <c r="J133" i="30"/>
  <c r="J7" i="30"/>
  <c r="J103" i="30"/>
  <c r="J125" i="30"/>
  <c r="J23" i="30"/>
  <c r="F139" i="30"/>
  <c r="G139" i="30" s="1"/>
  <c r="J128" i="30"/>
  <c r="G51" i="29"/>
  <c r="G72" i="29"/>
  <c r="G53" i="29"/>
  <c r="G29" i="29"/>
  <c r="J35" i="30"/>
  <c r="F31" i="30"/>
  <c r="G31" i="30" s="1"/>
  <c r="J81" i="30"/>
  <c r="J32" i="33"/>
  <c r="F126" i="30"/>
  <c r="G126" i="30" s="1"/>
  <c r="F106" i="30"/>
  <c r="G106" i="30" s="1"/>
  <c r="F43" i="30"/>
  <c r="G43" i="30" s="1"/>
  <c r="F94" i="30"/>
  <c r="G94" i="30" s="1"/>
  <c r="F79" i="30"/>
  <c r="G79" i="30" s="1"/>
  <c r="I66" i="30"/>
  <c r="J66" i="30" s="1"/>
  <c r="F140" i="30"/>
  <c r="G140" i="30" s="1"/>
  <c r="F86" i="30"/>
  <c r="G86" i="30" s="1"/>
  <c r="F111" i="30"/>
  <c r="G111" i="30" s="1"/>
  <c r="J6" i="30"/>
  <c r="F24" i="30"/>
  <c r="G24" i="30" s="1"/>
  <c r="J43" i="33"/>
  <c r="J22" i="30"/>
  <c r="J49" i="30"/>
  <c r="F53" i="30"/>
  <c r="G53" i="30" s="1"/>
  <c r="F30" i="30"/>
  <c r="G30" i="30" s="1"/>
  <c r="F60" i="30"/>
  <c r="G60" i="30" s="1"/>
  <c r="F6" i="30"/>
  <c r="G6" i="30" s="1"/>
  <c r="J118" i="30"/>
  <c r="I100" i="30"/>
  <c r="J100" i="30" s="1"/>
  <c r="J141" i="33"/>
  <c r="J59" i="33"/>
  <c r="F118" i="30"/>
  <c r="G118" i="30" s="1"/>
  <c r="F104" i="30"/>
  <c r="G104" i="30" s="1"/>
  <c r="F29" i="30"/>
  <c r="G29" i="30" s="1"/>
  <c r="F133" i="30"/>
  <c r="G133" i="30" s="1"/>
  <c r="F51" i="30"/>
  <c r="G51" i="30" s="1"/>
  <c r="F44" i="30"/>
  <c r="G44" i="30" s="1"/>
  <c r="F28" i="30"/>
  <c r="G28" i="30" s="1"/>
  <c r="J94" i="33"/>
  <c r="I77" i="30"/>
  <c r="J77" i="30" s="1"/>
  <c r="F102" i="30"/>
  <c r="G102" i="30" s="1"/>
  <c r="F34" i="30"/>
  <c r="G34" i="30" s="1"/>
  <c r="F13" i="30"/>
  <c r="G13" i="30" s="1"/>
  <c r="J131" i="30"/>
  <c r="I115" i="30"/>
  <c r="J115" i="30" s="1"/>
  <c r="I71" i="30"/>
  <c r="J71" i="30" s="1"/>
  <c r="J145" i="33"/>
  <c r="J124" i="30"/>
  <c r="J109" i="30"/>
  <c r="I44" i="30"/>
  <c r="J44" i="30" s="1"/>
  <c r="F19" i="30"/>
  <c r="G19" i="30" s="1"/>
  <c r="F100" i="30"/>
  <c r="G100" i="30" s="1"/>
  <c r="F33" i="30"/>
  <c r="G33" i="30" s="1"/>
  <c r="I80" i="30"/>
  <c r="J80" i="30" s="1"/>
  <c r="I21" i="30"/>
  <c r="J21" i="30" s="1"/>
  <c r="I60" i="30"/>
  <c r="J60" i="30" s="1"/>
  <c r="F83" i="30"/>
  <c r="G83" i="30" s="1"/>
  <c r="F4" i="30"/>
  <c r="G4" i="30" s="1"/>
  <c r="I41" i="30"/>
  <c r="J41" i="30" s="1"/>
  <c r="I30" i="30"/>
  <c r="I104" i="30"/>
  <c r="J104" i="30" s="1"/>
  <c r="I85" i="30"/>
  <c r="J85" i="30" s="1"/>
  <c r="I9" i="30"/>
  <c r="J9" i="30" s="1"/>
  <c r="F116" i="30"/>
  <c r="G116" i="30" s="1"/>
  <c r="F78" i="30"/>
  <c r="G78" i="30" s="1"/>
  <c r="F50" i="30"/>
  <c r="G50" i="30" s="1"/>
  <c r="J5" i="30"/>
  <c r="J117" i="30"/>
  <c r="I107" i="30"/>
  <c r="J107" i="30" s="1"/>
  <c r="I34" i="30"/>
  <c r="J34" i="30" s="1"/>
  <c r="J64" i="30"/>
  <c r="I98" i="30"/>
  <c r="J98" i="30" s="1"/>
  <c r="I72" i="30"/>
  <c r="J72" i="30" s="1"/>
  <c r="I61" i="30"/>
  <c r="J61" i="30" s="1"/>
  <c r="I52" i="30"/>
  <c r="J52" i="30" s="1"/>
  <c r="F142" i="30"/>
  <c r="G142" i="30" s="1"/>
  <c r="F63" i="30"/>
  <c r="G63" i="30" s="1"/>
  <c r="F26" i="30"/>
  <c r="G26" i="30" s="1"/>
  <c r="J42" i="30"/>
  <c r="I96" i="30"/>
  <c r="J127" i="30"/>
  <c r="F2" i="33"/>
  <c r="G2" i="33" s="1"/>
  <c r="F88" i="30"/>
  <c r="G88" i="30" s="1"/>
  <c r="F75" i="30"/>
  <c r="G75" i="30" s="1"/>
  <c r="F25" i="30"/>
  <c r="G25" i="30" s="1"/>
  <c r="J119" i="30"/>
  <c r="J137" i="30"/>
  <c r="I87" i="30"/>
  <c r="J87" i="30" s="1"/>
  <c r="F59" i="30"/>
  <c r="G59" i="30" s="1"/>
  <c r="J94" i="30"/>
  <c r="J16" i="32"/>
  <c r="F96" i="30"/>
  <c r="G96" i="30" s="1"/>
  <c r="J101" i="30"/>
  <c r="F109" i="30"/>
  <c r="G109" i="30" s="1"/>
  <c r="J29" i="30"/>
  <c r="J8" i="32"/>
  <c r="F90" i="30"/>
  <c r="G90" i="30" s="1"/>
  <c r="F77" i="30"/>
  <c r="G77" i="30" s="1"/>
  <c r="F12" i="30"/>
  <c r="G12" i="30" s="1"/>
  <c r="I28" i="30"/>
  <c r="J28" i="30" s="1"/>
  <c r="J45" i="32"/>
  <c r="F32" i="30"/>
  <c r="G32" i="30" s="1"/>
  <c r="J14" i="30"/>
  <c r="J19" i="32"/>
  <c r="J15" i="30"/>
  <c r="J63" i="30"/>
  <c r="F89" i="30"/>
  <c r="G89" i="30" s="1"/>
  <c r="F130" i="30"/>
  <c r="G130" i="30" s="1"/>
  <c r="F18" i="30"/>
  <c r="G18" i="30" s="1"/>
  <c r="J30" i="30"/>
  <c r="F46" i="30"/>
  <c r="G46" i="30" s="1"/>
  <c r="F39" i="30"/>
  <c r="G39" i="30" s="1"/>
  <c r="F52" i="30"/>
  <c r="G52" i="30" s="1"/>
  <c r="J45" i="30"/>
  <c r="J78" i="30"/>
  <c r="F114" i="30"/>
  <c r="G114" i="30" s="1"/>
  <c r="F76" i="30"/>
  <c r="G76" i="30" s="1"/>
  <c r="J114" i="30"/>
  <c r="J75" i="30"/>
  <c r="I10" i="30"/>
  <c r="J10" i="30" s="1"/>
  <c r="J102" i="32"/>
  <c r="J78" i="32"/>
  <c r="J139" i="30"/>
  <c r="F144" i="30"/>
  <c r="F113" i="30"/>
  <c r="G113" i="30" s="1"/>
  <c r="I37" i="30"/>
  <c r="J37" i="30" s="1"/>
  <c r="F125" i="30"/>
  <c r="G125" i="30" s="1"/>
  <c r="F152" i="30"/>
  <c r="F57" i="30"/>
  <c r="G57" i="30" s="1"/>
  <c r="F23" i="30"/>
  <c r="G23" i="30" s="1"/>
  <c r="F16" i="30"/>
  <c r="G16" i="30" s="1"/>
  <c r="F9" i="30"/>
  <c r="G9" i="30" s="1"/>
  <c r="H2" i="30"/>
  <c r="I36" i="30"/>
  <c r="J36" i="30" s="1"/>
  <c r="I16" i="30"/>
  <c r="J16" i="30" s="1"/>
  <c r="J31" i="32"/>
  <c r="J142" i="30"/>
  <c r="F132" i="30"/>
  <c r="G132" i="30" s="1"/>
  <c r="F151" i="30"/>
  <c r="F5" i="30"/>
  <c r="G5" i="30" s="1"/>
  <c r="I110" i="30"/>
  <c r="J110" i="30" s="1"/>
  <c r="J90" i="30"/>
  <c r="J52" i="32"/>
  <c r="F129" i="30"/>
  <c r="G129" i="30" s="1"/>
  <c r="F145" i="30"/>
  <c r="F17" i="30"/>
  <c r="G17" i="30" s="1"/>
  <c r="J8" i="30"/>
  <c r="I116" i="30"/>
  <c r="J116" i="30" s="1"/>
  <c r="F56" i="30"/>
  <c r="G56" i="30" s="1"/>
  <c r="F15" i="30"/>
  <c r="G15" i="30" s="1"/>
  <c r="J4" i="30"/>
  <c r="F62" i="30"/>
  <c r="G62" i="30" s="1"/>
  <c r="I70" i="30"/>
  <c r="J70" i="30" s="1"/>
  <c r="I24" i="30"/>
  <c r="J24" i="30" s="1"/>
  <c r="J129" i="30"/>
  <c r="J92" i="30"/>
  <c r="I53" i="30"/>
  <c r="J53" i="30" s="1"/>
  <c r="F42" i="30"/>
  <c r="G42" i="30" s="1"/>
  <c r="F110" i="30"/>
  <c r="G110" i="30" s="1"/>
  <c r="F97" i="30"/>
  <c r="G97" i="30" s="1"/>
  <c r="I89" i="30"/>
  <c r="J89" i="30" s="1"/>
  <c r="I79" i="30"/>
  <c r="J79" i="30" s="1"/>
  <c r="I51" i="30"/>
  <c r="J51" i="30" s="1"/>
  <c r="I43" i="30"/>
  <c r="J43" i="30" s="1"/>
  <c r="J58" i="30"/>
  <c r="F58" i="30"/>
  <c r="G58" i="30" s="1"/>
  <c r="J96" i="30"/>
  <c r="J73" i="30"/>
  <c r="I18" i="30"/>
  <c r="J18" i="30" s="1"/>
  <c r="I93" i="30"/>
  <c r="J93" i="30" s="1"/>
  <c r="I55" i="30"/>
  <c r="J55" i="30" s="1"/>
  <c r="I46" i="30"/>
  <c r="J46" i="30" s="1"/>
  <c r="F80" i="30"/>
  <c r="G80" i="30" s="1"/>
  <c r="F98" i="30"/>
  <c r="G98" i="30" s="1"/>
  <c r="I102" i="30"/>
  <c r="J102" i="30" s="1"/>
  <c r="J88" i="30"/>
  <c r="I69" i="30"/>
  <c r="J69" i="30" s="1"/>
  <c r="I13" i="30"/>
  <c r="J13" i="30" s="1"/>
  <c r="F68" i="30"/>
  <c r="G68" i="30" s="1"/>
  <c r="J57" i="30"/>
  <c r="I11" i="30"/>
  <c r="J11" i="30" s="1"/>
  <c r="J134" i="31"/>
  <c r="I108" i="30"/>
  <c r="J108" i="30" s="1"/>
  <c r="F11" i="30"/>
  <c r="G11" i="30" s="1"/>
  <c r="J142" i="31"/>
  <c r="J97" i="31"/>
  <c r="F117" i="30"/>
  <c r="G117" i="30" s="1"/>
  <c r="F112" i="30"/>
  <c r="G112" i="30" s="1"/>
  <c r="F84" i="30"/>
  <c r="G84" i="30" s="1"/>
  <c r="J36" i="31"/>
  <c r="I19" i="30"/>
  <c r="J19" i="30" s="1"/>
  <c r="F136" i="30"/>
  <c r="G136" i="30" s="1"/>
  <c r="F95" i="30"/>
  <c r="G95" i="30" s="1"/>
  <c r="J106" i="31"/>
  <c r="I62" i="30"/>
  <c r="J62" i="30" s="1"/>
  <c r="J53" i="31"/>
  <c r="J113" i="30"/>
  <c r="F81" i="30"/>
  <c r="G81" i="30" s="1"/>
  <c r="F123" i="30"/>
  <c r="G123" i="30" s="1"/>
  <c r="F148" i="30"/>
  <c r="F115" i="30"/>
  <c r="G115" i="30" s="1"/>
  <c r="F71" i="30"/>
  <c r="G71" i="30" s="1"/>
  <c r="F36" i="30"/>
  <c r="G36" i="30" s="1"/>
  <c r="J144" i="31"/>
  <c r="F35" i="30"/>
  <c r="G35" i="30" s="1"/>
  <c r="F22" i="30"/>
  <c r="G22" i="30" s="1"/>
  <c r="I54" i="30"/>
  <c r="J54" i="30" s="1"/>
  <c r="F103" i="30"/>
  <c r="G103" i="30" s="1"/>
  <c r="F149" i="30"/>
  <c r="F2" i="31"/>
  <c r="G2" i="31" s="1"/>
  <c r="I2" i="31"/>
  <c r="J2" i="31" s="1"/>
  <c r="I95" i="30"/>
  <c r="J95" i="30" s="1"/>
  <c r="J91" i="30"/>
  <c r="F27" i="30"/>
  <c r="G27" i="30" s="1"/>
  <c r="I20" i="30"/>
  <c r="J20" i="30" s="1"/>
  <c r="J110" i="31"/>
  <c r="I32" i="30"/>
  <c r="J32" i="30" s="1"/>
  <c r="J49" i="31"/>
  <c r="J20" i="31"/>
  <c r="F137" i="30"/>
  <c r="G137" i="30" s="1"/>
  <c r="J89" i="31"/>
  <c r="J26" i="30"/>
  <c r="I86" i="30"/>
  <c r="J86" i="30" s="1"/>
  <c r="I27" i="30"/>
  <c r="J27" i="30" s="1"/>
  <c r="F91" i="30"/>
  <c r="G91" i="30" s="1"/>
  <c r="F64" i="30"/>
  <c r="G64" i="30" s="1"/>
  <c r="F40" i="30"/>
  <c r="G40" i="30" s="1"/>
  <c r="J136" i="31"/>
  <c r="J12" i="30"/>
  <c r="I97" i="30"/>
  <c r="J97" i="30" s="1"/>
  <c r="J139" i="31"/>
  <c r="I47" i="30"/>
  <c r="J47" i="30" s="1"/>
  <c r="D2" i="30"/>
  <c r="I112" i="30"/>
  <c r="J112" i="30" s="1"/>
  <c r="J126" i="31"/>
  <c r="J56" i="30"/>
  <c r="J39" i="30"/>
  <c r="G16" i="29"/>
  <c r="G63" i="29"/>
  <c r="G15" i="29"/>
  <c r="J95" i="27"/>
  <c r="G61" i="29"/>
  <c r="G60" i="29"/>
  <c r="G83" i="29"/>
  <c r="G11" i="29"/>
  <c r="G58" i="29"/>
  <c r="G18" i="29"/>
  <c r="J121" i="19"/>
  <c r="J130" i="19"/>
  <c r="F87" i="18"/>
  <c r="G87" i="18" s="1"/>
  <c r="F121" i="18"/>
  <c r="G121" i="18" s="1"/>
  <c r="F105" i="18"/>
  <c r="G105" i="18" s="1"/>
  <c r="F120" i="18"/>
  <c r="G120" i="18" s="1"/>
  <c r="J47" i="21"/>
  <c r="F119" i="18"/>
  <c r="G119" i="18" s="1"/>
  <c r="F117" i="18"/>
  <c r="G117" i="18" s="1"/>
  <c r="F85" i="18"/>
  <c r="G85" i="18" s="1"/>
  <c r="G80" i="29"/>
  <c r="G64" i="29"/>
  <c r="J57" i="26"/>
  <c r="J5" i="29"/>
  <c r="G31" i="29"/>
  <c r="F4" i="29"/>
  <c r="G4" i="29" s="1"/>
  <c r="J9" i="26"/>
  <c r="J8" i="26"/>
  <c r="J10" i="26"/>
  <c r="J70" i="26"/>
  <c r="J7" i="26"/>
  <c r="G34" i="29"/>
  <c r="G26" i="29"/>
  <c r="G81" i="29"/>
  <c r="G49" i="29"/>
  <c r="J145" i="26"/>
  <c r="J35" i="26"/>
  <c r="G79" i="29"/>
  <c r="G85" i="29"/>
  <c r="G77" i="29"/>
  <c r="G69" i="29"/>
  <c r="J96" i="26"/>
  <c r="G45" i="29"/>
  <c r="G21" i="29"/>
  <c r="G13" i="29"/>
  <c r="F5" i="29"/>
  <c r="G5" i="29" s="1"/>
  <c r="G92" i="29"/>
  <c r="G91" i="29"/>
  <c r="G52" i="29"/>
  <c r="G44" i="29"/>
  <c r="G36" i="29"/>
  <c r="G88" i="29"/>
  <c r="G48" i="29"/>
  <c r="J129" i="26"/>
  <c r="J109" i="26"/>
  <c r="J108" i="26"/>
  <c r="G54" i="29"/>
  <c r="G22" i="29"/>
  <c r="G14" i="29"/>
  <c r="G6" i="29"/>
  <c r="G76" i="29"/>
  <c r="J144" i="26"/>
  <c r="G56" i="29"/>
  <c r="J71" i="26"/>
  <c r="G73" i="29"/>
  <c r="J25" i="26"/>
  <c r="G46" i="29"/>
  <c r="J142" i="26"/>
  <c r="G43" i="29"/>
  <c r="G35" i="29"/>
  <c r="G66" i="29"/>
  <c r="J122" i="26"/>
  <c r="G40" i="29"/>
  <c r="G32" i="29"/>
  <c r="G24" i="29"/>
  <c r="G8" i="29"/>
  <c r="J22" i="26"/>
  <c r="G41" i="29"/>
  <c r="G9" i="29"/>
  <c r="J27" i="26"/>
  <c r="G17" i="29"/>
  <c r="J23" i="26"/>
  <c r="G47" i="29"/>
  <c r="J100" i="26"/>
  <c r="G65" i="29"/>
  <c r="J148" i="26"/>
  <c r="G50" i="29"/>
  <c r="J147" i="26"/>
  <c r="G95" i="29"/>
  <c r="G87" i="29"/>
  <c r="G25" i="29"/>
  <c r="J146" i="26"/>
  <c r="G55" i="29"/>
  <c r="G7" i="29"/>
  <c r="J66" i="26"/>
  <c r="J50" i="26"/>
  <c r="G68" i="29"/>
  <c r="G38" i="29"/>
  <c r="J65" i="26"/>
  <c r="J49" i="26"/>
  <c r="J33" i="26"/>
  <c r="J17" i="26"/>
  <c r="G37" i="29"/>
  <c r="G74" i="29"/>
  <c r="G20" i="29"/>
  <c r="I2" i="4"/>
  <c r="J2" i="4" s="1"/>
  <c r="J154" i="4"/>
  <c r="F62" i="1"/>
  <c r="G62" i="1" s="1"/>
  <c r="J156" i="4"/>
  <c r="J81" i="1"/>
  <c r="F121" i="1"/>
  <c r="G121" i="1" s="1"/>
  <c r="F105" i="1"/>
  <c r="G105" i="1" s="1"/>
  <c r="J157" i="4"/>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I2" i="1"/>
  <c r="J2" i="1" s="1"/>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F158" i="1"/>
  <c r="G158"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G93" i="29"/>
  <c r="J93" i="26"/>
  <c r="J153" i="26"/>
  <c r="J158" i="26"/>
  <c r="G71" i="29"/>
  <c r="G75" i="29"/>
  <c r="G82" i="29"/>
  <c r="G84" i="29"/>
  <c r="G86" i="29"/>
  <c r="G89" i="29"/>
  <c r="G90" i="29"/>
  <c r="G67" i="29"/>
  <c r="G62" i="29"/>
  <c r="G57" i="29"/>
  <c r="G33" i="29"/>
  <c r="G30" i="29"/>
  <c r="G28" i="29"/>
  <c r="G23" i="29"/>
  <c r="G19" i="29"/>
  <c r="G12" i="29"/>
  <c r="G10" i="29"/>
  <c r="J4" i="29"/>
  <c r="H2" i="29"/>
  <c r="F2" i="26"/>
  <c r="G2" i="26" s="1"/>
  <c r="I2" i="26"/>
  <c r="J2" i="26" s="1"/>
  <c r="D2" i="29"/>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69" i="34" l="1"/>
  <c r="J69" i="29"/>
  <c r="J126" i="18"/>
  <c r="J109" i="34"/>
  <c r="J134" i="18"/>
  <c r="J117" i="34"/>
  <c r="J136" i="18"/>
  <c r="J120" i="1"/>
  <c r="J103" i="34"/>
  <c r="J132" i="1"/>
  <c r="J115" i="34"/>
  <c r="J114" i="1"/>
  <c r="J97" i="34"/>
  <c r="J154" i="1"/>
  <c r="J112" i="34"/>
  <c r="J146" i="1"/>
  <c r="J104" i="34"/>
  <c r="J158" i="1"/>
  <c r="J116" i="34"/>
  <c r="J116" i="1"/>
  <c r="J99" i="34"/>
  <c r="J148" i="1"/>
  <c r="J106" i="34"/>
  <c r="J152" i="1"/>
  <c r="J110" i="34"/>
  <c r="J140" i="1"/>
  <c r="J98" i="34"/>
  <c r="J142" i="1"/>
  <c r="J100" i="34"/>
  <c r="J114" i="34"/>
  <c r="J102" i="34"/>
  <c r="J108" i="34"/>
  <c r="J5" i="34"/>
  <c r="I2" i="30"/>
  <c r="J2" i="30" s="1"/>
  <c r="F2" i="30"/>
  <c r="G2" i="30" s="1"/>
  <c r="J65" i="34"/>
  <c r="J85" i="34"/>
  <c r="J96" i="34"/>
  <c r="J58" i="34"/>
  <c r="J6" i="34"/>
  <c r="J61" i="34"/>
  <c r="J9" i="34"/>
  <c r="J38" i="34"/>
  <c r="J90" i="34"/>
  <c r="F10" i="34"/>
  <c r="G10" i="34" s="1"/>
  <c r="F96" i="34"/>
  <c r="G96" i="34" s="1"/>
  <c r="J44" i="34"/>
  <c r="F61" i="34"/>
  <c r="G61" i="34" s="1"/>
  <c r="F89" i="34"/>
  <c r="G89" i="34" s="1"/>
  <c r="F40" i="34"/>
  <c r="G40" i="34" s="1"/>
  <c r="J81" i="34"/>
  <c r="J43" i="34"/>
  <c r="J155" i="1"/>
  <c r="J60" i="34"/>
  <c r="J70" i="34"/>
  <c r="J74" i="34"/>
  <c r="J138" i="1"/>
  <c r="F65" i="34"/>
  <c r="G65" i="34" s="1"/>
  <c r="F9" i="34"/>
  <c r="G9" i="34" s="1"/>
  <c r="F73" i="34"/>
  <c r="G73" i="34" s="1"/>
  <c r="J64" i="34"/>
  <c r="F24" i="34"/>
  <c r="G24" i="34" s="1"/>
  <c r="J139" i="1"/>
  <c r="J47" i="34"/>
  <c r="J21" i="34"/>
  <c r="J56" i="34"/>
  <c r="J23" i="34"/>
  <c r="J150" i="1"/>
  <c r="J40" i="34"/>
  <c r="J7" i="34"/>
  <c r="J75" i="1"/>
  <c r="J83" i="34"/>
  <c r="J149" i="1"/>
  <c r="J110" i="1"/>
  <c r="F66" i="34"/>
  <c r="G66" i="34" s="1"/>
  <c r="J36" i="34"/>
  <c r="J31" i="34"/>
  <c r="J59" i="34"/>
  <c r="J16" i="34"/>
  <c r="J41" i="34"/>
  <c r="J73" i="34"/>
  <c r="F79" i="34"/>
  <c r="G79" i="34" s="1"/>
  <c r="F77" i="34"/>
  <c r="G77" i="34" s="1"/>
  <c r="F69" i="34"/>
  <c r="G69" i="34" s="1"/>
  <c r="J25" i="34"/>
  <c r="F57" i="34"/>
  <c r="G57" i="34" s="1"/>
  <c r="J82" i="34"/>
  <c r="J82" i="1"/>
  <c r="J18" i="34"/>
  <c r="F59" i="34"/>
  <c r="G59" i="34" s="1"/>
  <c r="F32" i="34"/>
  <c r="G32" i="34" s="1"/>
  <c r="J78" i="34"/>
  <c r="J94" i="34"/>
  <c r="J23" i="1"/>
  <c r="F39" i="34"/>
  <c r="G39" i="34" s="1"/>
  <c r="J57" i="34"/>
  <c r="F26" i="34"/>
  <c r="G26" i="34" s="1"/>
  <c r="J26" i="34"/>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J32" i="34"/>
  <c r="J71" i="34"/>
  <c r="F13" i="34"/>
  <c r="G13" i="34" s="1"/>
  <c r="F74" i="34"/>
  <c r="G74" i="34" s="1"/>
  <c r="J34" i="34"/>
  <c r="F8" i="34"/>
  <c r="G8" i="34" s="1"/>
  <c r="F56" i="34"/>
  <c r="G56" i="34" s="1"/>
  <c r="F80" i="34"/>
  <c r="G80" i="34" s="1"/>
  <c r="F72" i="34"/>
  <c r="G72" i="34" s="1"/>
  <c r="J42" i="34"/>
  <c r="F7" i="34"/>
  <c r="G7" i="34" s="1"/>
  <c r="F83" i="34"/>
  <c r="G83" i="34" s="1"/>
  <c r="F21" i="34"/>
  <c r="G21" i="34" s="1"/>
  <c r="F2" i="1"/>
  <c r="G2" i="1" s="1"/>
  <c r="J87" i="34"/>
  <c r="F91" i="34"/>
  <c r="G91" i="34" s="1"/>
  <c r="J8" i="34"/>
  <c r="F63" i="34"/>
  <c r="G63" i="34" s="1"/>
  <c r="F18" i="34"/>
  <c r="G18" i="34" s="1"/>
  <c r="F82" i="34"/>
  <c r="G82" i="34" s="1"/>
  <c r="J35" i="34"/>
  <c r="F47" i="34"/>
  <c r="G47" i="34" s="1"/>
  <c r="F86" i="34"/>
  <c r="G86" i="34" s="1"/>
  <c r="F23" i="34"/>
  <c r="G23" i="34" s="1"/>
  <c r="F64" i="34"/>
  <c r="G64" i="34" s="1"/>
  <c r="F95" i="34"/>
  <c r="G95" i="34" s="1"/>
  <c r="F60" i="34"/>
  <c r="G60" i="34" s="1"/>
  <c r="J137" i="1"/>
  <c r="F76" i="34"/>
  <c r="G76" i="34" s="1"/>
  <c r="J54" i="34"/>
  <c r="J92" i="34"/>
  <c r="J95" i="34"/>
  <c r="F17" i="34"/>
  <c r="G17" i="34" s="1"/>
  <c r="J48" i="34"/>
  <c r="F46" i="34"/>
  <c r="G46" i="34" s="1"/>
  <c r="F55" i="34"/>
  <c r="G55" i="34" s="1"/>
  <c r="F4" i="34"/>
  <c r="G4" i="34" s="1"/>
  <c r="F35" i="34"/>
  <c r="G35" i="34" s="1"/>
  <c r="F19" i="34"/>
  <c r="G19" i="34" s="1"/>
  <c r="J13" i="34"/>
  <c r="F15" i="34"/>
  <c r="G15" i="34" s="1"/>
  <c r="J10" i="34"/>
  <c r="F70" i="34"/>
  <c r="G70" i="34" s="1"/>
  <c r="F52" i="34"/>
  <c r="G52" i="34" s="1"/>
  <c r="J53" i="34"/>
  <c r="J93" i="34"/>
  <c r="F16" i="34"/>
  <c r="G16" i="34" s="1"/>
  <c r="J11" i="34"/>
  <c r="F6" i="34"/>
  <c r="G6" i="34" s="1"/>
  <c r="F43" i="34"/>
  <c r="G43" i="34" s="1"/>
  <c r="F68" i="34"/>
  <c r="G68" i="34" s="1"/>
  <c r="F50" i="34"/>
  <c r="G50" i="34" s="1"/>
  <c r="J67" i="34"/>
  <c r="J22" i="34"/>
  <c r="J72" i="34"/>
  <c r="F42" i="34"/>
  <c r="G42" i="34" s="1"/>
  <c r="F93" i="34"/>
  <c r="G93" i="34" s="1"/>
  <c r="J52" i="34"/>
  <c r="F49" i="34"/>
  <c r="G49" i="34" s="1"/>
  <c r="F45" i="34"/>
  <c r="G45" i="34" s="1"/>
  <c r="J66" i="34"/>
  <c r="F94" i="34"/>
  <c r="G94" i="34" s="1"/>
  <c r="F14" i="34"/>
  <c r="G14" i="34" s="1"/>
  <c r="F54" i="34"/>
  <c r="G54" i="34" s="1"/>
  <c r="J17" i="34"/>
  <c r="J80" i="34"/>
  <c r="F38" i="34"/>
  <c r="G38" i="34" s="1"/>
  <c r="F36" i="34"/>
  <c r="G36" i="34" s="1"/>
  <c r="F29" i="34"/>
  <c r="G29" i="34" s="1"/>
  <c r="J68" i="34"/>
  <c r="F92" i="34"/>
  <c r="G92" i="34" s="1"/>
  <c r="F41" i="34"/>
  <c r="G41" i="34" s="1"/>
  <c r="J69" i="34"/>
  <c r="J14" i="34"/>
  <c r="F75" i="34"/>
  <c r="G75" i="34" s="1"/>
  <c r="F58" i="34"/>
  <c r="G58" i="34" s="1"/>
  <c r="F53" i="34"/>
  <c r="G53" i="34" s="1"/>
  <c r="J55" i="34"/>
  <c r="J62" i="34"/>
  <c r="F25" i="34"/>
  <c r="G25" i="34" s="1"/>
  <c r="F11" i="34"/>
  <c r="G11" i="34" s="1"/>
  <c r="F88" i="34"/>
  <c r="G88" i="34" s="1"/>
  <c r="F81" i="34"/>
  <c r="G81" i="34" s="1"/>
  <c r="F22" i="34"/>
  <c r="G22" i="34" s="1"/>
  <c r="F12" i="34"/>
  <c r="G12" i="34" s="1"/>
  <c r="F27" i="34"/>
  <c r="G27" i="34" s="1"/>
  <c r="J79" i="34"/>
  <c r="J27" i="34"/>
  <c r="F37" i="34"/>
  <c r="G37" i="34" s="1"/>
  <c r="F34" i="34"/>
  <c r="G34" i="34" s="1"/>
  <c r="F84" i="34"/>
  <c r="G84" i="34" s="1"/>
  <c r="F62" i="34"/>
  <c r="G62" i="34" s="1"/>
  <c r="J28" i="34"/>
  <c r="F90" i="34"/>
  <c r="G90" i="34" s="1"/>
  <c r="J88" i="34"/>
  <c r="F67" i="34"/>
  <c r="G67" i="34" s="1"/>
  <c r="J77" i="34"/>
  <c r="J75" i="34"/>
  <c r="J91" i="34"/>
  <c r="J51" i="34"/>
  <c r="F51" i="34"/>
  <c r="G51" i="34" s="1"/>
  <c r="J19" i="34"/>
  <c r="I2" i="29"/>
  <c r="J2" i="29" s="1"/>
  <c r="F2" i="29"/>
  <c r="G2" i="29" s="1"/>
  <c r="J86" i="34"/>
  <c r="J84" i="34"/>
  <c r="J89" i="34"/>
  <c r="J46" i="34"/>
  <c r="J33" i="34"/>
  <c r="J39" i="34"/>
  <c r="J37" i="34"/>
  <c r="J30" i="34"/>
  <c r="J24" i="34"/>
  <c r="J20" i="34"/>
  <c r="J15" i="34"/>
  <c r="J12" i="34"/>
  <c r="J5" i="18"/>
  <c r="J45" i="34"/>
  <c r="J63" i="34"/>
  <c r="F2" i="18"/>
  <c r="G2" i="18" s="1"/>
  <c r="I2" i="18"/>
  <c r="J2" i="18" s="1"/>
  <c r="I2" i="34" l="1"/>
  <c r="J2" i="34" s="1"/>
  <c r="F2" i="34"/>
  <c r="G2" i="34" s="1"/>
  <c r="J21" i="1"/>
  <c r="J4" i="34"/>
  <c r="J4" i="72"/>
  <c r="I4" i="1"/>
  <c r="J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<sst xmlns="http://schemas.openxmlformats.org/spreadsheetml/2006/main" count="3304" uniqueCount="1999">
  <si>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</si>
  <si>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</si>
  <si>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</si>
  <si>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</si>
  <si>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</si>
  <si>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</si>
  <si>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</si>
  <si>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</si>
  <si>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</si>
  <si>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</si>
  <si>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</si>
  <si>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</si>
  <si>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</si>
  <si>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</si>
  <si>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</si>
  <si>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</si>
  <si>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</si>
  <si>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</si>
  <si>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</si>
  <si>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</si>
  <si>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</si>
  <si>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</si>
  <si>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</si>
  <si>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</si>
  <si>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</si>
  <si>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</si>
  <si>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</si>
  <si>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</si>
  <si>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</si>
  <si>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</si>
  <si>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</si>
  <si>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</si>
  <si>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</si>
  <si>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</si>
  <si>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</si>
  <si>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</si>
  <si>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</si>
  <si>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</si>
  <si>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</si>
  <si>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</si>
  <si>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</si>
  <si>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</si>
  <si>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</si>
  <si>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</si>
  <si>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</si>
  <si>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</si>
  <si>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</si>
  <si>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</si>
  <si>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</si>
  <si>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</si>
  <si>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</si>
  <si>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</si>
  <si>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</si>
  <si>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</si>
  <si>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</si>
  <si>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</si>
  <si>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</si>
  <si>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</si>
  <si>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</si>
  <si>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</si>
  <si>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</si>
  <si>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</si>
  <si>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</si>
  <si>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</si>
  <si>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</si>
  <si>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</si>
  <si>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</si>
  <si>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</si>
  <si>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</si>
  <si>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</si>
  <si>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</si>
  <si>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</si>
  <si>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</si>
  <si>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</si>
  <si>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</si>
  <si>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</si>
  <si>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</si>
  <si>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</si>
  <si>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</si>
  <si>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</si>
  <si>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</si>
  <si>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</si>
  <si>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</si>
  <si>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</si>
  <si>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</si>
  <si>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</si>
  <si>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</si>
  <si>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</si>
  <si>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</si>
  <si>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</si>
  <si>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</si>
  <si>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</si>
  <si>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</si>
  <si>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</si>
  <si>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</si>
  <si>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</si>
  <si>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</si>
  <si>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</si>
  <si>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</si>
  <si>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</si>
  <si>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</si>
  <si>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</si>
  <si>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</si>
  <si>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</si>
  <si>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</si>
  <si>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</si>
  <si>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</si>
  <si>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</si>
  <si>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</si>
  <si>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</si>
  <si>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</si>
  <si>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</si>
  <si>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</si>
  <si>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</si>
  <si>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</si>
  <si>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</si>
  <si>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</si>
  <si>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</si>
  <si>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</si>
  <si>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</si>
  <si>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</si>
  <si>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</si>
  <si>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</si>
  <si>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</si>
  <si>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</si>
  <si>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</si>
  <si>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</si>
  <si>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</si>
  <si>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</si>
  <si>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</si>
  <si>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</si>
  <si>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</si>
  <si>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</si>
  <si>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</si>
  <si>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</si>
  <si>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</si>
  <si>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</si>
  <si>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</si>
  <si>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</si>
  <si>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</si>
  <si>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</si>
  <si>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</si>
  <si>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</si>
  <si>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</si>
  <si>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</si>
  <si>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</si>
  <si>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</si>
  <si>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</si>
  <si>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</si>
  <si>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</si>
  <si>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</si>
  <si>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</si>
  <si>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</si>
  <si>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</si>
  <si>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</si>
  <si>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</si>
  <si>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</si>
  <si>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</si>
  <si>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</si>
  <si>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</si>
  <si>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</si>
  <si>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</si>
  <si>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</si>
  <si>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</si>
  <si>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</si>
  <si>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</si>
  <si>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</si>
  <si>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</si>
  <si>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</si>
  <si>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</si>
  <si>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</si>
  <si>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</si>
  <si>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</si>
  <si>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</si>
  <si>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</si>
  <si>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</si>
  <si>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</si>
  <si>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</si>
  <si>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</si>
  <si>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</si>
  <si>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</si>
  <si>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</si>
  <si>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</si>
  <si>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</si>
  <si>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</si>
  <si>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</si>
  <si>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</si>
  <si>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</si>
  <si>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</si>
  <si>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</si>
  <si>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</si>
  <si>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</si>
  <si>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</si>
  <si>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</si>
  <si>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</si>
  <si>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</si>
  <si>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</si>
  <si>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</si>
  <si>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</si>
  <si>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</si>
  <si>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</si>
  <si>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</si>
  <si>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</si>
  <si>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</si>
  <si>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</si>
  <si>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</si>
  <si>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</si>
  <si>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</si>
  <si>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</si>
  <si>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</si>
  <si>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</si>
  <si>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</si>
  <si>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</si>
  <si>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</si>
  <si>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</si>
  <si>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</si>
  <si>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</si>
  <si>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</si>
  <si>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</si>
  <si>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</si>
  <si>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</si>
  <si>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</si>
  <si>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</si>
  <si>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</si>
  <si>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</si>
  <si>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</si>
  <si>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</si>
  <si>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</si>
  <si>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</si>
  <si>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</si>
  <si>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</si>
  <si>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</si>
  <si>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</si>
  <si>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</si>
  <si>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</si>
  <si>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</si>
  <si>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</si>
  <si>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</si>
  <si>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</si>
  <si>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</si>
  <si>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</si>
  <si>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</si>
  <si>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</si>
  <si>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</si>
  <si>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</si>
  <si>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</si>
  <si>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</si>
  <si>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</si>
  <si>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</si>
  <si>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</si>
  <si>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</si>
  <si>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</si>
  <si>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</si>
  <si>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</si>
  <si>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</si>
  <si>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</si>
  <si>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</si>
  <si>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</si>
  <si>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</si>
  <si>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</si>
  <si>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</si>
  <si>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</si>
  <si>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</si>
  <si>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</si>
  <si>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</si>
  <si>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</si>
  <si>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</si>
  <si>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</si>
  <si>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</si>
  <si>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</si>
  <si>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</si>
  <si>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</si>
  <si>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</si>
  <si>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</si>
  <si>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</si>
  <si>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</si>
  <si>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</si>
  <si>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</si>
  <si>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</si>
  <si>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</si>
  <si>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</si>
  <si>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</si>
  <si>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</si>
  <si>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</si>
  <si>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</si>
  <si>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</si>
  <si>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</si>
  <si>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</si>
  <si>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</si>
  <si>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</si>
  <si>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</si>
  <si>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</si>
  <si>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</si>
  <si>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</si>
  <si>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</si>
  <si>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</si>
  <si>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</si>
  <si>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</si>
  <si>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</si>
  <si>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</si>
  <si>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</si>
  <si>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</si>
  <si>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</si>
  <si>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</si>
  <si>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</si>
  <si>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</si>
  <si>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</si>
  <si>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</si>
  <si>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</si>
  <si>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</si>
  <si>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</si>
  <si>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</si>
  <si>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</si>
  <si>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</si>
  <si>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</si>
  <si>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</si>
  <si>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</si>
  <si>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</si>
  <si>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</si>
  <si>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</si>
  <si>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</si>
  <si>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</si>
  <si>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</si>
  <si>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</si>
  <si>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</si>
  <si>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</si>
  <si>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</si>
  <si>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</si>
  <si>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</si>
  <si>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</si>
  <si>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</si>
  <si>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</si>
  <si>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</si>
  <si>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</si>
  <si>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</si>
  <si>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</si>
  <si>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</si>
  <si>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</si>
  <si>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</si>
  <si>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</si>
  <si>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</si>
  <si>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</si>
  <si>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</si>
  <si>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</si>
  <si>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</si>
  <si>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</si>
  <si>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</si>
  <si>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</si>
  <si>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</si>
  <si>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</si>
  <si>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</si>
  <si>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</si>
  <si>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</si>
  <si>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</si>
  <si>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</si>
  <si>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</si>
  <si>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</si>
  <si>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</si>
  <si>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</si>
  <si>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</si>
  <si>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</si>
  <si>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</si>
  <si>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</si>
  <si>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</si>
  <si>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</si>
  <si>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</si>
  <si>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</si>
  <si>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</si>
  <si>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</si>
  <si>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</si>
  <si>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</si>
  <si>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</si>
  <si>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</si>
  <si>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</si>
  <si>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</si>
  <si>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</si>
  <si>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</si>
  <si>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</si>
  <si>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</si>
  <si>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</si>
  <si>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</si>
  <si>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</si>
  <si>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</si>
  <si>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</si>
  <si>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</si>
  <si>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</si>
  <si>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</si>
  <si>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</si>
  <si>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</si>
  <si>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</si>
  <si>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</si>
  <si>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</si>
  <si>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</si>
  <si>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</si>
  <si>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</si>
  <si>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</si>
  <si>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</si>
  <si>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</si>
  <si>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</si>
  <si>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</si>
  <si>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</si>
  <si>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</si>
  <si>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</si>
  <si>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</si>
  <si>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</si>
  <si>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</si>
  <si>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</si>
  <si>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</si>
  <si>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</si>
  <si>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</si>
  <si>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</si>
  <si>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</si>
  <si>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</si>
  <si>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</si>
  <si>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</si>
  <si>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</si>
  <si>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</si>
  <si>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</si>
  <si>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</si>
  <si>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</si>
  <si>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</si>
  <si>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</si>
  <si>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</si>
  <si>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</si>
  <si>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</si>
  <si>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</si>
  <si>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</si>
  <si>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</si>
  <si>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</si>
  <si>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</si>
  <si>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</si>
  <si>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</si>
  <si>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</si>
  <si>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</si>
  <si>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</si>
  <si>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</si>
  <si>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</si>
  <si>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</si>
  <si>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</si>
  <si>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</si>
  <si>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</si>
  <si>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</si>
  <si>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</si>
  <si>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</si>
  <si>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</si>
  <si>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</si>
  <si>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</si>
  <si>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</si>
  <si>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</si>
  <si>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</si>
  <si>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</si>
  <si>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</si>
  <si>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</si>
  <si>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</si>
  <si>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</si>
  <si>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</si>
  <si>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</si>
  <si>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</si>
  <si>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</si>
  <si>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</si>
  <si>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</si>
  <si>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</si>
  <si>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</si>
  <si>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</si>
  <si>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</si>
  <si>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</si>
  <si>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</si>
  <si>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</si>
  <si>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</si>
  <si>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</si>
  <si>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</si>
  <si>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</si>
  <si>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</si>
  <si>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</si>
  <si>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</si>
  <si>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</si>
  <si>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</si>
  <si>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</si>
  <si>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</si>
  <si>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</si>
  <si>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</si>
  <si>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</si>
  <si>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</si>
  <si>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</si>
  <si>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</si>
  <si>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</si>
  <si>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</si>
  <si>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</si>
  <si>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</si>
  <si>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</si>
  <si>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</si>
  <si>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</si>
  <si>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</si>
  <si>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</si>
  <si>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</si>
  <si>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</si>
  <si>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</si>
  <si>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</si>
  <si>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</si>
  <si>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</si>
  <si>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</si>
  <si>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</si>
  <si>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</si>
  <si>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</si>
  <si>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</si>
  <si>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</si>
  <si>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</si>
  <si>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</si>
  <si>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</si>
  <si>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</si>
  <si>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</si>
  <si>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</si>
  <si>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</si>
  <si>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</si>
  <si>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</si>
  <si>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</si>
  <si>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</si>
  <si>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</si>
  <si>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</si>
  <si>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</si>
  <si>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</si>
  <si>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</si>
  <si>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</si>
  <si>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</si>
  <si>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</si>
  <si>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</si>
  <si>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</si>
  <si>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</si>
  <si>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</si>
  <si>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</si>
  <si>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</si>
  <si>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</si>
  <si>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</si>
  <si>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</si>
  <si>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</si>
  <si>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</si>
  <si>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</si>
  <si>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</si>
  <si>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</si>
  <si>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</si>
  <si>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</si>
  <si>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</si>
  <si>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</si>
  <si>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</si>
  <si>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</si>
  <si>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</si>
  <si>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</si>
  <si>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</si>
  <si>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</si>
  <si>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</si>
  <si>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</si>
  <si>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</si>
  <si>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</si>
  <si>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</si>
  <si>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</si>
  <si>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</si>
  <si>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</si>
  <si>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</si>
  <si>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</si>
  <si>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</si>
  <si>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</si>
  <si>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</si>
  <si>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</si>
  <si>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</si>
  <si>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</si>
  <si>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</si>
  <si>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</si>
  <si>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</si>
  <si>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</si>
  <si>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</si>
  <si>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</si>
  <si>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</si>
  <si>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</si>
  <si>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</si>
  <si>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</si>
  <si>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</si>
  <si>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</si>
  <si>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</si>
  <si>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</si>
  <si>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</si>
  <si>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</si>
  <si>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</si>
  <si>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</si>
  <si>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</si>
  <si>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</si>
  <si>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</si>
  <si>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</si>
  <si>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</si>
  <si>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</si>
  <si>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</si>
  <si>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</si>
  <si>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</si>
  <si>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</si>
  <si>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</si>
  <si>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</si>
  <si>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</si>
  <si>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</si>
  <si>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</si>
  <si>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</si>
  <si>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</si>
  <si>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</si>
  <si>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</si>
  <si>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</si>
  <si>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</si>
  <si>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</si>
  <si>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</si>
  <si>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</si>
  <si>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</si>
  <si>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</si>
  <si>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</si>
  <si>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</si>
  <si>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</si>
  <si>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</si>
  <si>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</si>
  <si>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</si>
  <si>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</si>
  <si>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</si>
  <si>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</si>
  <si>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</si>
  <si>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</si>
  <si>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</si>
  <si>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</si>
  <si>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</si>
  <si>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</si>
  <si>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</si>
  <si>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</si>
  <si>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</si>
  <si>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</si>
  <si>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</si>
  <si>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</si>
  <si>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</si>
  <si>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</si>
  <si>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</si>
  <si>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</si>
  <si>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</si>
  <si>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</si>
  <si>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</si>
  <si>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</si>
  <si>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</si>
  <si>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</si>
  <si>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</si>
  <si>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</si>
  <si>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</si>
  <si>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</si>
  <si>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</si>
  <si>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</si>
  <si>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</si>
  <si>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</si>
  <si>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</si>
  <si>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</si>
  <si>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</si>
  <si>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</si>
  <si>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</si>
  <si>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</si>
  <si>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</si>
  <si>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</si>
  <si>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</si>
  <si>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</si>
  <si>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</si>
  <si>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</si>
  <si>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</si>
  <si>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</si>
  <si>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</si>
  <si>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</si>
  <si>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</si>
  <si>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</si>
  <si>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</si>
  <si>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</si>
  <si>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</si>
  <si>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</si>
  <si>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</si>
  <si>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</si>
  <si>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</si>
  <si>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</si>
  <si>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</si>
  <si>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</si>
  <si>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</si>
  <si>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</si>
  <si>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</si>
  <si>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</si>
  <si>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</si>
  <si>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</si>
  <si>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</si>
  <si>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</si>
  <si>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</si>
  <si>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</si>
  <si>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</si>
  <si>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</si>
  <si>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</si>
  <si>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</si>
  <si>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</si>
  <si>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</si>
  <si>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</si>
  <si>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</si>
  <si>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</si>
  <si>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</si>
  <si>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</si>
  <si>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</si>
  <si>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</si>
  <si>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</si>
  <si>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</si>
  <si>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</si>
  <si>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</si>
  <si>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</si>
  <si>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</si>
  <si>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</si>
  <si>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</si>
  <si>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</si>
  <si>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</si>
  <si>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</si>
  <si>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</si>
  <si>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</si>
  <si>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</si>
  <si>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</si>
  <si>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</si>
  <si>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</si>
  <si>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</si>
  <si>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</si>
  <si>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</si>
  <si>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</si>
  <si>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</si>
  <si>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</si>
  <si>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</si>
  <si>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</si>
  <si>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</si>
  <si>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</si>
  <si>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</si>
  <si>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</si>
  <si>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</si>
  <si>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</si>
  <si>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</si>
  <si>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</si>
  <si>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</si>
  <si>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</si>
  <si>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</si>
  <si>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</si>
  <si>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</si>
  <si>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</si>
  <si>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</si>
  <si>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</si>
  <si>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</si>
  <si>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</si>
  <si>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</si>
  <si>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</si>
  <si>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</si>
  <si>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</si>
  <si>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</si>
  <si>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</si>
  <si>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</si>
  <si>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</si>
  <si>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</si>
  <si>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</si>
  <si>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</si>
  <si>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</si>
  <si>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</si>
  <si>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</si>
  <si>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</si>
  <si>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</si>
  <si>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</si>
  <si>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</si>
  <si>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</si>
  <si>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</si>
  <si>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</si>
  <si>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</si>
  <si>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</si>
  <si>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</si>
  <si>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</si>
  <si>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</si>
  <si>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</si>
  <si>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</si>
  <si>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</si>
  <si>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</si>
  <si>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</si>
  <si>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</si>
  <si>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</si>
  <si>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</si>
  <si>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</si>
  <si>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</si>
  <si>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</si>
  <si>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</si>
  <si>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</si>
  <si>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</si>
  <si>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</si>
  <si>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</si>
  <si>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</si>
  <si>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</si>
  <si>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</si>
  <si>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</si>
  <si>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</si>
  <si>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</si>
  <si>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</si>
  <si>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</si>
  <si>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</si>
  <si>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</si>
  <si>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</si>
  <si>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</si>
  <si>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</si>
  <si>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</si>
  <si>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</si>
  <si>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</si>
  <si>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</si>
  <si>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</si>
  <si>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</si>
  <si>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</si>
  <si>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</si>
  <si>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</si>
  <si>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</si>
  <si>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</si>
  <si>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</si>
  <si>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</si>
  <si>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</si>
  <si>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</si>
  <si>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</si>
  <si>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</si>
  <si>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</si>
  <si>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</si>
  <si>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</si>
  <si>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</si>
  <si>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</si>
  <si>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</si>
  <si>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</si>
  <si>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</si>
  <si>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</si>
  <si>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</si>
  <si>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</si>
  <si>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</si>
  <si>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</si>
  <si>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</si>
  <si>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</si>
  <si>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</si>
  <si>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</si>
  <si>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</si>
  <si>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</si>
  <si>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</si>
  <si>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</si>
  <si>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</si>
  <si>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</si>
  <si>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</si>
  <si>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</si>
  <si>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</si>
  <si>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</si>
  <si>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</si>
  <si>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</si>
  <si>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</si>
  <si>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</si>
  <si>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</si>
  <si>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</si>
  <si>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</si>
  <si>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</si>
  <si>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</si>
  <si>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</si>
  <si>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</si>
  <si>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</si>
  <si>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</si>
  <si>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</si>
  <si>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</si>
  <si>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</si>
  <si>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</si>
  <si>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</si>
  <si>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</si>
  <si>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</si>
  <si>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</si>
  <si>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</si>
  <si>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</si>
  <si>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</si>
  <si>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</si>
  <si>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</si>
  <si>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</si>
  <si>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</si>
  <si>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</si>
  <si>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</si>
  <si>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</si>
  <si>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</si>
  <si>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</si>
  <si>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</si>
  <si>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</si>
  <si>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</si>
  <si>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</si>
  <si>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</si>
  <si>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</si>
  <si>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</si>
  <si>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</si>
  <si>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</si>
  <si>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</si>
  <si>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</si>
  <si>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</si>
  <si>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</si>
  <si>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</si>
  <si>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</si>
  <si>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</si>
  <si>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</si>
  <si>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</si>
  <si>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</si>
  <si>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</si>
  <si>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</si>
  <si>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</si>
  <si>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</si>
  <si>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</si>
  <si>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</si>
  <si>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</si>
  <si>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</si>
  <si>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</si>
  <si>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</si>
  <si>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</si>
  <si>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</si>
  <si>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</si>
  <si>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</si>
  <si>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</si>
  <si>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</si>
  <si>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</si>
  <si>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</si>
  <si>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</si>
  <si>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</si>
  <si>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</si>
  <si>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</si>
  <si>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</si>
  <si>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</si>
  <si>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</si>
  <si>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</si>
  <si>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</si>
  <si>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</si>
  <si>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</si>
  <si>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</si>
  <si>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</si>
  <si>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</si>
  <si>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</si>
  <si>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</si>
  <si>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</si>
  <si>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</si>
  <si>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</si>
  <si>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</si>
  <si>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</si>
  <si>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</si>
  <si>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</si>
  <si>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</si>
  <si>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</si>
  <si>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</si>
  <si>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</si>
  <si>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</si>
  <si>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</si>
  <si>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</si>
  <si>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</si>
  <si>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</si>
  <si>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</si>
  <si>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</si>
  <si>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</si>
  <si>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</si>
  <si>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</si>
  <si>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</si>
  <si>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</si>
  <si>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</si>
  <si>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</si>
  <si>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</si>
  <si>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</si>
  <si>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</si>
  <si>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</si>
  <si>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</si>
  <si>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</si>
  <si>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</si>
  <si>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</si>
  <si>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</si>
  <si>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</si>
  <si>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</si>
  <si>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</si>
  <si>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</si>
  <si>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</si>
  <si>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</si>
  <si>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</si>
  <si>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</si>
  <si>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</si>
  <si>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</si>
  <si>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</si>
  <si>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</si>
  <si>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</si>
  <si>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</si>
  <si>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</si>
  <si>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</si>
  <si>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</si>
  <si>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</si>
  <si>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</si>
  <si>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</si>
  <si>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</si>
  <si>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</si>
  <si>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</si>
  <si>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</si>
  <si>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</si>
  <si>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</si>
  <si>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</si>
  <si>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</si>
  <si>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</si>
  <si>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</si>
  <si>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</si>
  <si>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</si>
  <si>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</si>
  <si>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</si>
  <si>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</si>
  <si>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</si>
  <si>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</si>
  <si>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</si>
  <si>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</si>
  <si>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</si>
  <si>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</si>
  <si>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</si>
  <si>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</si>
  <si>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</si>
  <si>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</si>
  <si>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</si>
  <si>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</si>
  <si>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</si>
  <si>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</si>
  <si>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</si>
  <si>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</si>
  <si>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</si>
  <si>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</si>
  <si>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</si>
  <si>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</si>
  <si>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</si>
  <si>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</si>
  <si>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</si>
  <si>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</si>
  <si>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</si>
  <si>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</si>
  <si>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</si>
  <si>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</si>
  <si>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</si>
  <si>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</si>
  <si>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</si>
  <si>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</si>
  <si>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</si>
  <si>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</si>
  <si>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</si>
  <si>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</si>
  <si>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</si>
  <si>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</si>
  <si>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</si>
  <si>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</si>
  <si>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</si>
  <si>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</si>
  <si>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</si>
  <si>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</si>
  <si>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</si>
  <si>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</si>
  <si>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</si>
  <si>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</si>
  <si>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</si>
  <si>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</si>
  <si>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</si>
  <si>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</si>
  <si>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</si>
  <si>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</si>
  <si>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</si>
  <si>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</si>
  <si>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</si>
  <si>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</si>
  <si>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</si>
  <si>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</si>
  <si>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</si>
  <si>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</si>
  <si>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</si>
  <si>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</si>
  <si>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</si>
  <si>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</si>
  <si>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</si>
  <si>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</si>
  <si>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</si>
  <si>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</si>
  <si>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</si>
  <si>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</si>
  <si>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</si>
  <si>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</si>
  <si>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</si>
  <si>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</si>
  <si>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</si>
  <si>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</si>
  <si>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</si>
  <si>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</si>
  <si>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</si>
  <si>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</si>
  <si>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</si>
  <si>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</si>
  <si>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</si>
  <si>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</si>
  <si>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</si>
  <si>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</si>
  <si>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</si>
  <si>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</si>
  <si>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</si>
  <si>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</si>
  <si>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</si>
  <si>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</si>
  <si>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</si>
  <si>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</si>
  <si>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</si>
  <si>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</si>
  <si>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</si>
  <si>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</si>
  <si>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</si>
  <si>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</si>
  <si>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</si>
  <si>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</si>
  <si>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</si>
  <si>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</si>
  <si>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</si>
  <si>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</si>
  <si>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</si>
  <si>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</si>
  <si>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</si>
  <si>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</si>
  <si>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</si>
  <si>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</si>
  <si>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</si>
  <si>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</si>
  <si>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</si>
  <si>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</si>
  <si>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</si>
  <si>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</si>
  <si>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</si>
  <si>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</si>
  <si>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</si>
  <si>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</si>
  <si>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</si>
  <si>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</si>
  <si>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</si>
  <si>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</si>
  <si>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</si>
  <si>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</si>
  <si>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</si>
  <si>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</si>
  <si>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</si>
  <si>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</si>
  <si>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</si>
  <si>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</si>
  <si>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</si>
  <si>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</si>
  <si>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</si>
  <si>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</si>
  <si>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</si>
  <si>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</si>
  <si>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</si>
  <si>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</si>
  <si>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</si>
  <si>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</si>
  <si>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</si>
  <si>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</si>
  <si>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</si>
  <si>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</si>
  <si>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</si>
  <si>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</si>
  <si>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</si>
  <si>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</si>
  <si>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</si>
  <si>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</si>
  <si>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</si>
  <si>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</si>
  <si>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</si>
  <si>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</si>
  <si>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</si>
  <si>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</si>
  <si>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</si>
  <si>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</si>
  <si>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</si>
  <si>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</si>
  <si>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</si>
  <si>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</si>
  <si>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</si>
  <si>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</si>
  <si>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</si>
  <si>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</si>
  <si>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</si>
  <si>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</si>
  <si>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</si>
  <si>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</si>
  <si>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</si>
  <si>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</si>
  <si>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</si>
  <si>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</si>
  <si>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</si>
  <si>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</si>
  <si>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</si>
  <si>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</si>
  <si>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</si>
  <si>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</si>
  <si>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</si>
  <si>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</si>
  <si>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</si>
  <si>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</si>
  <si>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</si>
  <si>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</si>
  <si>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</si>
  <si>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</si>
  <si>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</si>
  <si>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</si>
  <si>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</si>
  <si>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</si>
  <si>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</si>
  <si>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</si>
  <si>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</si>
  <si>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</si>
  <si>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</si>
  <si>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</si>
  <si>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</si>
  <si>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</si>
  <si>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</si>
  <si>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</si>
  <si>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</si>
  <si>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</si>
  <si>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</si>
  <si>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</si>
  <si>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</si>
  <si>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</si>
  <si>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</si>
  <si>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</si>
  <si>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</si>
  <si>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</si>
  <si>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</si>
  <si>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</si>
  <si>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</si>
  <si>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</si>
  <si>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</si>
  <si>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</si>
  <si>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</si>
  <si>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</si>
  <si>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</si>
  <si>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</si>
  <si>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</si>
  <si>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</si>
  <si>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</si>
  <si>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</si>
  <si>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</si>
  <si>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</si>
  <si>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</si>
  <si>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</si>
  <si>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</si>
  <si>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</si>
  <si>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</si>
  <si>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</si>
  <si>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</si>
  <si>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</si>
  <si>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</si>
  <si>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</si>
  <si>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</si>
  <si>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</si>
  <si>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</si>
  <si>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</si>
  <si>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</si>
  <si>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</si>
  <si>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</si>
  <si>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</si>
  <si>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</si>
  <si>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</si>
  <si>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</si>
  <si>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</si>
  <si>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</si>
  <si>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</si>
  <si>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</si>
  <si>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</si>
  <si>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</si>
  <si>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</si>
  <si>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</si>
  <si>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</si>
  <si>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</si>
  <si>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</si>
  <si>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</si>
  <si>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</si>
  <si>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</si>
  <si>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</si>
  <si>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</si>
  <si>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</si>
  <si>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</si>
  <si>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</si>
  <si>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</si>
  <si>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</si>
  <si>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</si>
  <si>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</si>
  <si>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</si>
  <si>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</si>
  <si>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</si>
  <si>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</si>
  <si>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</si>
  <si>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</si>
  <si>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</si>
  <si>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</si>
  <si>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</si>
  <si>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</si>
  <si>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</si>
  <si>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</si>
  <si>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</si>
  <si>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</si>
  <si>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</si>
  <si>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</si>
  <si>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</si>
  <si>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</si>
  <si>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</si>
  <si>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</si>
  <si>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</si>
  <si>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</si>
  <si>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</si>
  <si>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</si>
  <si>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</si>
  <si>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</si>
  <si>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</si>
  <si>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</si>
  <si>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</si>
  <si>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</si>
  <si>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</si>
  <si>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</si>
  <si>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</si>
  <si>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</si>
  <si>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</si>
  <si>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</si>
  <si>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</si>
  <si>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</si>
  <si>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</si>
  <si>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</si>
  <si>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</si>
  <si>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</si>
  <si>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</si>
  <si>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</si>
  <si>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</si>
  <si>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</si>
  <si>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</si>
  <si>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</si>
  <si>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</si>
  <si>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</si>
  <si>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</si>
  <si>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</si>
  <si>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</si>
  <si>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</si>
  <si>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</si>
  <si>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</si>
  <si>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</si>
  <si>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</si>
  <si>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</si>
  <si>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</si>
  <si>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</si>
  <si>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</si>
  <si>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</si>
  <si>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</si>
  <si>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</si>
  <si>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</si>
  <si>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</si>
  <si>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</si>
  <si>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</si>
  <si>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</si>
  <si>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</si>
  <si>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</si>
  <si>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</si>
  <si>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</si>
  <si>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</si>
  <si>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</si>
  <si>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</si>
  <si>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</si>
  <si>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</si>
  <si>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</si>
  <si>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</si>
  <si>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</si>
  <si>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</si>
  <si>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</si>
  <si>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</si>
  <si>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</si>
  <si>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</si>
  <si>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</si>
  <si>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</si>
  <si>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</si>
  <si>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</si>
  <si>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</si>
  <si>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</si>
  <si>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</si>
  <si>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</si>
  <si>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</si>
  <si>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</si>
  <si>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</si>
  <si>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</si>
  <si>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</si>
  <si>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</si>
  <si>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</si>
  <si>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</si>
  <si>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</si>
  <si>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</si>
  <si>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</si>
  <si>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</si>
  <si>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</si>
  <si>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</si>
  <si>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</si>
  <si>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</si>
  <si>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</si>
  <si>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</si>
  <si>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</si>
  <si>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</si>
  <si>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</si>
  <si>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</si>
  <si>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</si>
  <si>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</si>
  <si>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</si>
  <si>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</si>
  <si>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</si>
  <si>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</si>
  <si>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</si>
  <si>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</si>
  <si>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</si>
  <si>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</si>
  <si>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</si>
  <si>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</si>
  <si>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</si>
  <si>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</si>
  <si>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</si>
  <si>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</si>
  <si>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</si>
  <si>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</si>
  <si>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</si>
  <si>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</si>
  <si>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</si>
  <si>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</si>
  <si>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</si>
  <si>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</si>
  <si>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</si>
  <si>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</si>
  <si>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</si>
  <si>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</si>
  <si>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</si>
  <si>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</si>
  <si>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</si>
  <si>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</si>
  <si>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</si>
  <si>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</si>
  <si>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</si>
  <si>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</si>
  <si>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</si>
  <si>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</si>
  <si>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</si>
  <si>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</si>
  <si>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</si>
  <si>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</si>
  <si>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</si>
  <si>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</si>
  <si>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</si>
  <si>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</si>
  <si>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</si>
  <si>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</si>
  <si>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</si>
  <si>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</si>
  <si>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</si>
  <si>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</si>
  <si>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</si>
  <si>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</si>
  <si>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</si>
  <si>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</si>
  <si>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</si>
  <si>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</si>
  <si>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</si>
  <si>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</si>
  <si>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</si>
  <si>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</si>
  <si>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</si>
  <si>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</si>
  <si>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</si>
  <si>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</si>
  <si>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</si>
  <si>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</si>
  <si>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</si>
  <si>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</si>
  <si>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</si>
  <si>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</si>
  <si>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</si>
  <si>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</si>
  <si>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</si>
  <si>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</si>
  <si>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</si>
  <si>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</si>
  <si>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</si>
  <si>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</si>
  <si>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</si>
  <si>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</si>
  <si>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</si>
  <si>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</si>
  <si>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</si>
  <si>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</si>
  <si>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</si>
  <si>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</si>
  <si>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</si>
  <si>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</si>
  <si>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</si>
  <si>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</si>
  <si>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</si>
  <si>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</si>
  <si>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</si>
  <si>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</si>
  <si>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</si>
  <si>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</si>
  <si>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</si>
  <si>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</si>
  <si>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</si>
  <si>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</si>
  <si>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</si>
  <si>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</si>
  <si>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</si>
  <si>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</si>
  <si>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</si>
  <si>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</si>
  <si>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</si>
  <si>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</si>
  <si>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</si>
  <si>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</si>
  <si>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</si>
  <si>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</si>
  <si>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</si>
  <si>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</si>
  <si>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</si>
  <si>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</si>
  <si>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</si>
  <si>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</si>
  <si>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</si>
  <si>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</si>
  <si>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</si>
  <si>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</si>
  <si>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</si>
  <si>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</si>
  <si>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</si>
  <si>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</si>
  <si>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</si>
  <si>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</si>
  <si>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</si>
  <si>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</si>
  <si>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</si>
  <si>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</si>
  <si>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</si>
  <si>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</si>
  <si>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</si>
  <si>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</si>
  <si>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</si>
  <si>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</si>
  <si>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</si>
  <si>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</si>
  <si>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</si>
  <si>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</si>
  <si>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</si>
  <si>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</si>
  <si>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</si>
  <si>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</si>
  <si>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</si>
  <si>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</si>
  <si>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</si>
  <si>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</si>
  <si>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</si>
  <si>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</si>
  <si>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</si>
  <si>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</si>
  <si>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</si>
  <si>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</si>
  <si>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</si>
  <si>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</si>
  <si>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</si>
  <si>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</si>
  <si>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</si>
  <si>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</si>
  <si>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</si>
  <si>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</si>
  <si>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</si>
  <si>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</si>
  <si>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</si>
  <si>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</si>
  <si>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</si>
  <si>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</si>
  <si>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</si>
  <si>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</si>
  <si>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</si>
  <si>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</si>
  <si>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</si>
  <si>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</si>
  <si>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</si>
  <si>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</si>
  <si>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</si>
  <si>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</si>
  <si>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</si>
  <si>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</si>
  <si>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</si>
  <si>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</si>
  <si>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</si>
  <si>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</si>
  <si>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</si>
  <si>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</si>
  <si>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</si>
  <si>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</si>
  <si>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</si>
  <si>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</si>
  <si>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</si>
  <si>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</si>
  <si>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</si>
  <si>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</si>
  <si>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</si>
  <si>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</si>
  <si>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</si>
  <si>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</si>
  <si>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</si>
  <si>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</si>
  <si>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</si>
  <si>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</si>
  <si>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</si>
  <si>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</si>
  <si>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</si>
  <si>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</si>
  <si>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</si>
  <si>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</si>
  <si>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</si>
  <si>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</si>
  <si>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</si>
  <si>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</si>
  <si>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</si>
  <si>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</si>
  <si>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</si>
  <si>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</si>
  <si>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</si>
  <si>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</si>
  <si>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</si>
  <si>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</si>
  <si>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</si>
  <si>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</si>
  <si>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</si>
  <si>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</si>
  <si>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</si>
  <si>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</si>
  <si>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</si>
  <si>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</si>
  <si>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</si>
  <si>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</si>
  <si>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</si>
  <si>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</si>
  <si>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</si>
  <si>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</si>
  <si>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</si>
  <si>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</si>
  <si>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</si>
  <si>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</si>
  <si>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</si>
  <si>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</si>
  <si>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</si>
  <si>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</si>
  <si>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</si>
  <si>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</si>
  <si>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</si>
  <si>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</si>
  <si>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</si>
  <si>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</si>
  <si>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</si>
  <si>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</si>
  <si>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</si>
  <si>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</si>
  <si>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</si>
  <si>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</si>
  <si>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</si>
  <si>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</si>
  <si>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</si>
  <si>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</si>
  <si>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</si>
  <si>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</si>
  <si>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</si>
  <si>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</si>
  <si>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</si>
  <si>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</si>
  <si>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</si>
  <si>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</si>
  <si>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</si>
  <si>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</si>
  <si>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</si>
  <si>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</si>
  <si>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</si>
  <si>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</si>
  <si>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</si>
  <si>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</si>
  <si>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</si>
  <si>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</si>
  <si>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</si>
  <si>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</si>
  <si>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</si>
  <si>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</si>
  <si>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</si>
  <si>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</si>
  <si>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</si>
  <si>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</si>
  <si>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</si>
  <si>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</si>
  <si>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</si>
  <si>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</si>
  <si>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</si>
  <si>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</si>
  <si>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</si>
  <si>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</si>
  <si>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</si>
  <si>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</si>
  <si>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</si>
  <si>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</si>
  <si>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</si>
  <si>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</si>
  <si>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</si>
  <si>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</si>
  <si>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</si>
  <si>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</si>
  <si>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</si>
  <si>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</si>
  <si>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</si>
  <si>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</si>
  <si>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</si>
  <si>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</si>
  <si>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</si>
  <si>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</si>
  <si>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</si>
  <si>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</si>
  <si>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</si>
  <si>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</si>
  <si>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</si>
  <si>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</si>
  <si>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</si>
  <si>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</si>
  <si>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</si>
  <si>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</si>
  <si>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</si>
  <si>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</si>
  <si>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</si>
  <si>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</si>
  <si>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</si>
  <si>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</si>
  <si>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</si>
  <si>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</si>
  <si>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</si>
  <si>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</si>
  <si>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</si>
  <si>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</si>
  <si>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</si>
  <si>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</si>
  <si>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</si>
  <si>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</si>
  <si>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</si>
  <si>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</si>
  <si>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</si>
  <si>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</si>
  <si>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</si>
  <si>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</si>
  <si>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</si>
  <si>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</si>
  <si>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</si>
  <si>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</si>
  <si>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</si>
  <si>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</si>
  <si>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</si>
  <si>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</si>
  <si>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</si>
  <si>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</si>
  <si>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</si>
  <si>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</si>
  <si>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</si>
  <si>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</si>
  <si>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</si>
  <si>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</si>
  <si>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</si>
  <si>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</si>
  <si>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</si>
  <si>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</si>
  <si>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</si>
  <si>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</si>
  <si>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</si>
  <si>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</si>
  <si>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</si>
  <si>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</si>
  <si>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</si>
  <si>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</si>
  <si>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</si>
  <si>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</si>
  <si>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</si>
  <si>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</si>
  <si>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</si>
  <si>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</si>
  <si>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</si>
  <si>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</si>
  <si>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</si>
  <si>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</si>
  <si>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FEA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</si>
  <si>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</si>
  <si>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</si>
  <si>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</si>
  <si>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</si>
  <si>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</si>
  <si>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</si>
  <si>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</si>
  <si>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</si>
  <si>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</si>
  <si>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</si>
  <si>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</si>
  <si>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</si>
  <si>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</si>
  <si>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</si>
  <si>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</si>
  <si>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</si>
  <si>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</si>
  <si>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</si>
  <si>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</si>
  <si>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</si>
  <si>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</si>
  <si>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</si>
  <si>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</si>
  <si>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FA</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</si>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</sst>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8">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54">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9" fontId="5" fillId="0" borderId="0" xfId="2" applyFont="1" applyAlignment="1">
      <alignment horizontal="center" vertical="center"/>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49" fontId="1" fillId="0" borderId="0" xfId="0" applyNumberFormat="1" applyFont="1" applyAlignment="1">
      <alignment horizontal="left" vertical="top" wrapText="1"/>
    </xf>
    <xf numFmtId="0" fontId="24" fillId="50" borderId="0" xfId="0" applyFont="1" applyFill="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58" totalsRowShown="0">
  <autoFilter ref="A3:F158"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printerSettings" Target="../printerSettings/printerSettings4.bin"/><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58"/>
  <sheetViews>
    <sheetView zoomScale="90" zoomScaleNormal="90" workbookViewId="0">
      <pane xSplit="2" ySplit="3" topLeftCell="C146" activePane="bottomRight" state="frozen"/>
      <selection pane="bottomRight" activeCell="E164" sqref="E164"/>
      <selection pane="bottomLeft"/>
      <selection pane="topRight"/>
    </sheetView>
  </sheetViews>
  <sheetFormatPr defaultRowHeight="12.7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1" t="str" cm="1">
        <f t="array" ref="A1">portfolio</f>
        <v>Generate Capital</v>
      </c>
      <c r="B1" s="151"/>
      <c r="C1" s="151"/>
      <c r="D1" s="151"/>
      <c r="E1" s="152" t="s">
        <v>0</v>
      </c>
      <c r="F1" s="152"/>
      <c r="G1" s="152"/>
      <c r="H1" s="150" t="s">
        <v>1</v>
      </c>
      <c r="I1" s="150"/>
      <c r="J1" s="150"/>
    </row>
    <row r="2" spans="1:10" ht="19.5" customHeight="1">
      <c r="A2" s="153" t="s">
        <v>2</v>
      </c>
      <c r="B2" s="153"/>
      <c r="C2" s="57"/>
      <c r="D2" s="5">
        <f>SUM(D4:D160)</f>
        <v>247239015.29902133</v>
      </c>
      <c r="E2" s="5">
        <f>SUM(E4:E160)</f>
        <v>129670002.45599997</v>
      </c>
      <c r="F2" s="5">
        <f>D2-E2</f>
        <v>117569012.84302136</v>
      </c>
      <c r="G2" s="6">
        <f>IFERROR(F2/E2, 0)</f>
        <v>0.90667857342653513</v>
      </c>
      <c r="H2" s="5">
        <f>SUM(H4:H160)</f>
        <v>271169993.69880003</v>
      </c>
      <c r="I2" s="7">
        <f>D2-H2</f>
        <v>-23930978.399778694</v>
      </c>
      <c r="J2" s="6">
        <f>IFERROR(I2/H2, 0)</f>
        <v>-8.8250835106629982E-2</v>
      </c>
    </row>
    <row r="3" spans="1:10" ht="14.25" customHeight="1">
      <c r="A3" s="8" t="s">
        <v>3</v>
      </c>
      <c r="B3" s="8" t="s">
        <v>4</v>
      </c>
      <c r="C3" s="8" t="s">
        <v>5</v>
      </c>
      <c r="D3" s="19" t="s">
        <v>6</v>
      </c>
      <c r="E3" s="31" t="s">
        <v>7</v>
      </c>
      <c r="F3" s="31" t="s">
        <v>8</v>
      </c>
      <c r="G3" s="32" t="s">
        <v>9</v>
      </c>
      <c r="H3" s="33" t="s">
        <v>10</v>
      </c>
      <c r="I3" s="34" t="s">
        <v>8</v>
      </c>
      <c r="J3" s="35" t="s">
        <v>9</v>
      </c>
    </row>
    <row r="4" spans="1:10" ht="15.75">
      <c r="A4" s="26" t="str" cm="1">
        <f t="array" ref="A4:A158">Sites[Site]</f>
        <v>K026</v>
      </c>
      <c r="B4" s="27" t="str" cm="1">
        <f t="array" ref="B4:B158">Sites[State]</f>
        <v>NY</v>
      </c>
      <c r="C4" s="27" t="str">
        <f>Sites[[#This Row],[SOL'#]]</f>
        <v>SOL-10356</v>
      </c>
      <c r="D4" s="9">
        <f>SUM('1st Qtr'!D4,'2nd Qtr'!D4,'3rd Qtr'!D4,'4th Qtr'!D4)</f>
        <v>149928.75</v>
      </c>
      <c r="E4" s="14">
        <f>SUM('1st Qtr'!E4, '2nd Qtr'!E4, '3rd Qtr'!E4, '4th Qtr'!E4)</f>
        <v>221211.40999999997</v>
      </c>
      <c r="F4" s="14">
        <f t="shared" ref="F4:F64" si="0">IF(AND(ISNUMBER(D4),ISNUMBER(E4)), D4-E4, "")</f>
        <v>-71282.659999999974</v>
      </c>
      <c r="G4" s="15">
        <f t="shared" ref="G4:G64" si="1">IFERROR(F4/E4, "")</f>
        <v>-0.32223771820811586</v>
      </c>
      <c r="H4" s="16">
        <f>SUM('1st Qtr'!H4,'2nd Qtr'!H4,'3rd Qtr'!H4,'4th Qtr'!H4)</f>
        <v>200186.5</v>
      </c>
      <c r="I4" s="16">
        <f>SUM('1st Qtr'!I4, '2nd Qtr'!I4, '3rd Qtr'!I4, '4th Qtr'!I4)</f>
        <v>-50257.75</v>
      </c>
      <c r="J4" s="15">
        <f t="shared" ref="J4:J64" si="2">IFERROR(I4/H4, "")</f>
        <v>-0.25105464154675766</v>
      </c>
    </row>
    <row r="5" spans="1:10" ht="15.75">
      <c r="A5" s="24" t="str">
        <v>K041</v>
      </c>
      <c r="B5" s="25" t="str">
        <v>NY</v>
      </c>
      <c r="C5" s="25" t="str">
        <f>Sites[[#This Row],[SOL'#]]</f>
        <v>SOL-10357</v>
      </c>
      <c r="D5" s="20">
        <f>SUM('1st Qtr'!D5,'2nd Qtr'!D5,'3rd Qtr'!D5,'4th Qtr'!D5)</f>
        <v>151796.15625</v>
      </c>
      <c r="E5" s="10">
        <f>SUM('1st Qtr'!E5, '2nd Qtr'!E5, '3rd Qtr'!E5, '4th Qtr'!E5)</f>
        <v>178168.56</v>
      </c>
      <c r="F5" s="10">
        <f t="shared" si="0"/>
        <v>-26372.403749999998</v>
      </c>
      <c r="G5" s="11">
        <f t="shared" si="1"/>
        <v>-0.14801940224470578</v>
      </c>
      <c r="H5" s="12">
        <f>SUM('1st Qtr'!H5,'2nd Qtr'!H5,'3rd Qtr'!H5,'4th Qtr'!H5)</f>
        <v>167391</v>
      </c>
      <c r="I5" s="12">
        <f>SUM('1st Qtr'!I5, '2nd Qtr'!I5, '3rd Qtr'!I5, '4th Qtr'!I5)</f>
        <v>-15594.84375</v>
      </c>
      <c r="J5" s="13">
        <f t="shared" si="2"/>
        <v>-9.3164171012778463E-2</v>
      </c>
    </row>
    <row r="6" spans="1:10" ht="15.75">
      <c r="A6" s="26" t="str">
        <v>K043</v>
      </c>
      <c r="B6" s="27" t="str">
        <v>NY</v>
      </c>
      <c r="C6" s="27" t="str">
        <f>Sites[[#This Row],[SOL'#]]</f>
        <v>SOL-10358</v>
      </c>
      <c r="D6" s="9">
        <f>SUM('1st Qtr'!D6,'2nd Qtr'!D6,'3rd Qtr'!D6,'4th Qtr'!D6)</f>
        <v>180969.84424999999</v>
      </c>
      <c r="E6" s="14">
        <f>SUM('1st Qtr'!E6, '2nd Qtr'!E6, '3rd Qtr'!E6, '4th Qtr'!E6)</f>
        <v>197536.26900000003</v>
      </c>
      <c r="F6" s="14">
        <f t="shared" si="0"/>
        <v>-16566.424750000035</v>
      </c>
      <c r="G6" s="15">
        <f t="shared" si="1"/>
        <v>-8.3865230592160431E-2</v>
      </c>
      <c r="H6" s="16">
        <f>SUM('1st Qtr'!H6,'2nd Qtr'!H6,'3rd Qtr'!H6,'4th Qtr'!H6)</f>
        <v>36825.423000000003</v>
      </c>
      <c r="I6" s="16">
        <f>SUM('1st Qtr'!I6, '2nd Qtr'!I6, '3rd Qtr'!I6, '4th Qtr'!I6)</f>
        <v>144144.42124999998</v>
      </c>
      <c r="J6" s="15">
        <f t="shared" si="2"/>
        <v>3.914263829365924</v>
      </c>
    </row>
    <row r="7" spans="1:10" ht="15.75">
      <c r="A7" s="24" t="str">
        <v>K058</v>
      </c>
      <c r="B7" s="25" t="str">
        <v>NY</v>
      </c>
      <c r="C7" s="25" t="str">
        <f>Sites[[#This Row],[SOL'#]]</f>
        <v>SOL-10360</v>
      </c>
      <c r="D7" s="20">
        <f>SUM('1st Qtr'!D7,'2nd Qtr'!D7,'3rd Qtr'!D7,'4th Qtr'!D7)</f>
        <v>12634.75</v>
      </c>
      <c r="E7" s="10">
        <f>SUM('1st Qtr'!E7, '2nd Qtr'!E7, '3rd Qtr'!E7, '4th Qtr'!E7)</f>
        <v>22177.692999999999</v>
      </c>
      <c r="F7" s="10">
        <f t="shared" si="0"/>
        <v>-9542.9429999999993</v>
      </c>
      <c r="G7" s="11">
        <f t="shared" si="1"/>
        <v>-0.43029466590596233</v>
      </c>
      <c r="H7" s="12">
        <f>SUM('1st Qtr'!H7,'2nd Qtr'!H7,'3rd Qtr'!H7,'4th Qtr'!H7)</f>
        <v>128228.249</v>
      </c>
      <c r="I7" s="12">
        <f>SUM('1st Qtr'!I7, '2nd Qtr'!I7, '3rd Qtr'!I7, '4th Qtr'!I7)</f>
        <v>-115593.499</v>
      </c>
      <c r="J7" s="13">
        <f t="shared" si="2"/>
        <v>-0.90146671970854098</v>
      </c>
    </row>
    <row r="8" spans="1:10" ht="15.75">
      <c r="A8" s="26" t="str">
        <v>K115</v>
      </c>
      <c r="B8" s="27" t="str">
        <v>NY</v>
      </c>
      <c r="C8" s="27" t="str">
        <f>Sites[[#This Row],[SOL'#]]</f>
        <v>SOL-10361</v>
      </c>
      <c r="D8" s="9">
        <f>SUM('1st Qtr'!D8,'2nd Qtr'!D8,'3rd Qtr'!D8,'4th Qtr'!D8)</f>
        <v>35343.2890625</v>
      </c>
      <c r="E8" s="14">
        <f>SUM('1st Qtr'!E8, '2nd Qtr'!E8, '3rd Qtr'!E8, '4th Qtr'!E8)</f>
        <v>75921.395999999993</v>
      </c>
      <c r="F8" s="14">
        <f t="shared" si="0"/>
        <v>-40578.106937499993</v>
      </c>
      <c r="G8" s="15">
        <f t="shared" si="1"/>
        <v>-0.53447524776151367</v>
      </c>
      <c r="H8" s="16">
        <f>SUM('1st Qtr'!H8,'2nd Qtr'!H8,'3rd Qtr'!H8,'4th Qtr'!H8)</f>
        <v>94992.733999999997</v>
      </c>
      <c r="I8" s="16">
        <f>SUM('1st Qtr'!I8, '2nd Qtr'!I8, '3rd Qtr'!I8, '4th Qtr'!I8)</f>
        <v>-59649.444937499997</v>
      </c>
      <c r="J8" s="15">
        <f t="shared" si="2"/>
        <v>-0.62793692133863621</v>
      </c>
    </row>
    <row r="9" spans="1:10" ht="15.75">
      <c r="A9" s="24" t="str">
        <v>K152</v>
      </c>
      <c r="B9" s="25" t="str">
        <v>NY</v>
      </c>
      <c r="C9" s="25" t="str">
        <f>Sites[[#This Row],[SOL'#]]</f>
        <v>SOL-10362</v>
      </c>
      <c r="D9" s="20">
        <f>SUM('1st Qtr'!D9,'2nd Qtr'!D9,'3rd Qtr'!D9,'4th Qtr'!D9)</f>
        <v>55565.9375</v>
      </c>
      <c r="E9" s="10">
        <f>SUM('1st Qtr'!E9, '2nd Qtr'!E9, '3rd Qtr'!E9, '4th Qtr'!E9)</f>
        <v>59673.300999999999</v>
      </c>
      <c r="F9" s="10">
        <f t="shared" si="0"/>
        <v>-4107.3634999999995</v>
      </c>
      <c r="G9" s="11">
        <f t="shared" si="1"/>
        <v>-6.8830841116029426E-2</v>
      </c>
      <c r="H9" s="12">
        <f>SUM('1st Qtr'!H9,'2nd Qtr'!H9,'3rd Qtr'!H9,'4th Qtr'!H9)</f>
        <v>58322</v>
      </c>
      <c r="I9" s="12">
        <f>SUM('1st Qtr'!I9, '2nd Qtr'!I9, '3rd Qtr'!I9, '4th Qtr'!I9)</f>
        <v>-2756.0625</v>
      </c>
      <c r="J9" s="13">
        <f t="shared" si="2"/>
        <v>-4.7255966873564009E-2</v>
      </c>
    </row>
    <row r="10" spans="1:10" ht="15.75">
      <c r="A10" s="26" t="str">
        <v>K166</v>
      </c>
      <c r="B10" s="27" t="str">
        <v>NY</v>
      </c>
      <c r="C10" s="27" t="str">
        <f>Sites[[#This Row],[SOL'#]]</f>
        <v>SOL-10363</v>
      </c>
      <c r="D10" s="9">
        <f>SUM('1st Qtr'!D10,'2nd Qtr'!D10,'3rd Qtr'!D10,'4th Qtr'!D10)</f>
        <v>203766.625</v>
      </c>
      <c r="E10" s="14">
        <f>SUM('1st Qtr'!E10, '2nd Qtr'!E10, '3rd Qtr'!E10, '4th Qtr'!E10)</f>
        <v>227379.3</v>
      </c>
      <c r="F10" s="14">
        <f t="shared" si="0"/>
        <v>-23612.674999999988</v>
      </c>
      <c r="G10" s="15">
        <f t="shared" si="1"/>
        <v>-0.10384707403004578</v>
      </c>
      <c r="H10" s="16">
        <f>SUM('1st Qtr'!H10,'2nd Qtr'!H10,'3rd Qtr'!H10,'4th Qtr'!H10)</f>
        <v>211999.74</v>
      </c>
      <c r="I10" s="16">
        <f>SUM('1st Qtr'!I10, '2nd Qtr'!I10, '3rd Qtr'!I10, '4th Qtr'!I10)</f>
        <v>-8233.114999999998</v>
      </c>
      <c r="J10" s="15">
        <f t="shared" si="2"/>
        <v>-3.8835495741645715E-2</v>
      </c>
    </row>
    <row r="11" spans="1:10" ht="15.75">
      <c r="A11" s="24" t="str">
        <v>K206</v>
      </c>
      <c r="B11" s="25" t="str">
        <v>NY</v>
      </c>
      <c r="C11" s="25" t="str">
        <f>Sites[[#This Row],[SOL'#]]</f>
        <v>SOL-10927</v>
      </c>
      <c r="D11" s="20">
        <f>SUM('1st Qtr'!D11,'2nd Qtr'!D11,'3rd Qtr'!D11,'4th Qtr'!D11)</f>
        <v>121718.82398437499</v>
      </c>
      <c r="E11" s="10">
        <f>SUM('1st Qtr'!E11, '2nd Qtr'!E11, '3rd Qtr'!E11, '4th Qtr'!E11)</f>
        <v>125569.42</v>
      </c>
      <c r="F11" s="10">
        <f t="shared" si="0"/>
        <v>-3850.5960156250076</v>
      </c>
      <c r="G11" s="11">
        <f t="shared" si="1"/>
        <v>-3.0665077656845174E-2</v>
      </c>
      <c r="H11" s="12">
        <f>SUM('1st Qtr'!H11,'2nd Qtr'!H11,'3rd Qtr'!H11,'4th Qtr'!H11)</f>
        <v>122542</v>
      </c>
      <c r="I11" s="12">
        <f>SUM('1st Qtr'!I11, '2nd Qtr'!I11, '3rd Qtr'!I11, '4th Qtr'!I11)</f>
        <v>-823.17601562500113</v>
      </c>
      <c r="J11" s="13">
        <f t="shared" si="2"/>
        <v>-6.7175010659610672E-3</v>
      </c>
    </row>
    <row r="12" spans="1:10" ht="15.75">
      <c r="A12" s="26" t="str">
        <v>K251</v>
      </c>
      <c r="B12" s="27" t="str">
        <v>NY</v>
      </c>
      <c r="C12" s="27" t="str">
        <f>Sites[[#This Row],[SOL'#]]</f>
        <v>SOL-10365</v>
      </c>
      <c r="D12" s="9">
        <f>SUM('1st Qtr'!D12,'2nd Qtr'!D12,'3rd Qtr'!D12,'4th Qtr'!D12)</f>
        <v>115075.75</v>
      </c>
      <c r="E12" s="14">
        <f>SUM('1st Qtr'!E12, '2nd Qtr'!E12, '3rd Qtr'!E12, '4th Qtr'!E12)</f>
        <v>0</v>
      </c>
      <c r="F12" s="14">
        <f t="shared" si="0"/>
        <v>115075.75</v>
      </c>
      <c r="G12" s="15" t="str">
        <f t="shared" si="1"/>
        <v/>
      </c>
      <c r="H12" s="16">
        <f>SUM('1st Qtr'!H12,'2nd Qtr'!H12,'3rd Qtr'!H12,'4th Qtr'!H12)</f>
        <v>135807.20199999999</v>
      </c>
      <c r="I12" s="16">
        <f>SUM('1st Qtr'!I12, '2nd Qtr'!I12, '3rd Qtr'!I12, '4th Qtr'!I12)</f>
        <v>-20731.451999999997</v>
      </c>
      <c r="J12" s="15">
        <f t="shared" si="2"/>
        <v>-0.15265355367530509</v>
      </c>
    </row>
    <row r="13" spans="1:10" ht="15.75">
      <c r="A13" s="24" t="str">
        <v>K269</v>
      </c>
      <c r="B13" s="25" t="str">
        <v>NY</v>
      </c>
      <c r="C13" s="25" t="str">
        <f>Sites[[#This Row],[SOL'#]]</f>
        <v>SOL-10366</v>
      </c>
      <c r="D13" s="20">
        <f>SUM('1st Qtr'!D13,'2nd Qtr'!D13,'3rd Qtr'!D13,'4th Qtr'!D13)</f>
        <v>120744.4375</v>
      </c>
      <c r="E13" s="10">
        <f>SUM('1st Qtr'!E13, '2nd Qtr'!E13, '3rd Qtr'!E13, '4th Qtr'!E13)</f>
        <v>146697.03</v>
      </c>
      <c r="F13" s="10">
        <f t="shared" si="0"/>
        <v>-25952.592499999999</v>
      </c>
      <c r="G13" s="11">
        <f t="shared" si="1"/>
        <v>-0.17691286933348274</v>
      </c>
      <c r="H13" s="12">
        <f>SUM('1st Qtr'!H13,'2nd Qtr'!H13,'3rd Qtr'!H13,'4th Qtr'!H13)</f>
        <v>131529.772</v>
      </c>
      <c r="I13" s="12">
        <f>SUM('1st Qtr'!I13, '2nd Qtr'!I13, '3rd Qtr'!I13, '4th Qtr'!I13)</f>
        <v>-10785.334499999997</v>
      </c>
      <c r="J13" s="13">
        <f t="shared" si="2"/>
        <v>-8.1999187986123767E-2</v>
      </c>
    </row>
    <row r="14" spans="1:10" ht="15.75">
      <c r="A14" s="26" t="str">
        <v>K273</v>
      </c>
      <c r="B14" s="27" t="str">
        <v>NY</v>
      </c>
      <c r="C14" s="27" t="str">
        <f>Sites[[#This Row],[SOL'#]]</f>
        <v>SOL-10367</v>
      </c>
      <c r="D14" s="9">
        <f>SUM('1st Qtr'!D14,'2nd Qtr'!D14,'3rd Qtr'!D14,'4th Qtr'!D14)</f>
        <v>120161.0625</v>
      </c>
      <c r="E14" s="14">
        <f>SUM('1st Qtr'!E14, '2nd Qtr'!E14, '3rd Qtr'!E14, '4th Qtr'!E14)</f>
        <v>0</v>
      </c>
      <c r="F14" s="14">
        <f t="shared" si="0"/>
        <v>120161.0625</v>
      </c>
      <c r="G14" s="15" t="str">
        <f t="shared" si="1"/>
        <v/>
      </c>
      <c r="H14" s="16">
        <f>SUM('1st Qtr'!H14,'2nd Qtr'!H14,'3rd Qtr'!H14,'4th Qtr'!H14)</f>
        <v>162684</v>
      </c>
      <c r="I14" s="16">
        <f>SUM('1st Qtr'!I14, '2nd Qtr'!I14, '3rd Qtr'!I14, '4th Qtr'!I14)</f>
        <v>-42522.9375</v>
      </c>
      <c r="J14" s="15">
        <f t="shared" si="2"/>
        <v>-0.26138364866858449</v>
      </c>
    </row>
    <row r="15" spans="1:10" ht="15.75">
      <c r="A15" s="24" t="str">
        <v>K287</v>
      </c>
      <c r="B15" s="25" t="str">
        <v>NY</v>
      </c>
      <c r="C15" s="25" t="str">
        <f>Sites[[#This Row],[SOL'#]]</f>
        <v>SOL-10919</v>
      </c>
      <c r="D15" s="20">
        <f>SUM('1st Qtr'!D15,'2nd Qtr'!D15,'3rd Qtr'!D15,'4th Qtr'!D15)</f>
        <v>106034.625</v>
      </c>
      <c r="E15" s="10">
        <f>SUM('1st Qtr'!E15, '2nd Qtr'!E15, '3rd Qtr'!E15, '4th Qtr'!E15)</f>
        <v>96143.305000000008</v>
      </c>
      <c r="F15" s="10">
        <f t="shared" si="0"/>
        <v>9891.3199999999924</v>
      </c>
      <c r="G15" s="11">
        <f t="shared" si="1"/>
        <v>0.10288100663899573</v>
      </c>
      <c r="H15" s="12">
        <f>SUM('1st Qtr'!H15,'2nd Qtr'!H15,'3rd Qtr'!H15,'4th Qtr'!H15)</f>
        <v>115436</v>
      </c>
      <c r="I15" s="12">
        <f>SUM('1st Qtr'!I15, '2nd Qtr'!I15, '3rd Qtr'!I15, '4th Qtr'!I15)</f>
        <v>-9401.375</v>
      </c>
      <c r="J15" s="13">
        <f t="shared" si="2"/>
        <v>-8.1442314356006795E-2</v>
      </c>
    </row>
    <row r="16" spans="1:10" ht="15.75">
      <c r="A16" s="26" t="str">
        <v>K298</v>
      </c>
      <c r="B16" s="27" t="str">
        <v>NY</v>
      </c>
      <c r="C16" s="27" t="str">
        <f>Sites[[#This Row],[SOL'#]]</f>
        <v>SOL-10368</v>
      </c>
      <c r="D16" s="9">
        <f>SUM('1st Qtr'!D16,'2nd Qtr'!D16,'3rd Qtr'!D16,'4th Qtr'!D16)</f>
        <v>112198.84375</v>
      </c>
      <c r="E16" s="14">
        <f>SUM('1st Qtr'!E16, '2nd Qtr'!E16, '3rd Qtr'!E16, '4th Qtr'!E16)</f>
        <v>126595.69</v>
      </c>
      <c r="F16" s="14">
        <f t="shared" si="0"/>
        <v>-14396.846250000002</v>
      </c>
      <c r="G16" s="15">
        <f t="shared" si="1"/>
        <v>-0.11372303630558041</v>
      </c>
      <c r="H16" s="16">
        <f>SUM('1st Qtr'!H16,'2nd Qtr'!H16,'3rd Qtr'!H16,'4th Qtr'!H16)</f>
        <v>128708</v>
      </c>
      <c r="I16" s="16">
        <f>SUM('1st Qtr'!I16, '2nd Qtr'!I16, '3rd Qtr'!I16, '4th Qtr'!I16)</f>
        <v>-16509.15625</v>
      </c>
      <c r="J16" s="15">
        <f t="shared" si="2"/>
        <v>-0.12826829917332255</v>
      </c>
    </row>
    <row r="17" spans="1:10" ht="15.75">
      <c r="A17" s="24" t="str">
        <v>K335</v>
      </c>
      <c r="B17" s="25" t="str">
        <v>NY</v>
      </c>
      <c r="C17" s="25" t="str">
        <f>Sites[[#This Row],[SOL'#]]</f>
        <v>SOL-10370</v>
      </c>
      <c r="D17" s="20">
        <f>SUM('1st Qtr'!D17,'2nd Qtr'!D17,'3rd Qtr'!D17,'4th Qtr'!D17)</f>
        <v>118457.75</v>
      </c>
      <c r="E17" s="10">
        <f>SUM('1st Qtr'!E17, '2nd Qtr'!E17, '3rd Qtr'!E17, '4th Qtr'!E17)</f>
        <v>139254.65000000002</v>
      </c>
      <c r="F17" s="10">
        <f t="shared" si="0"/>
        <v>-20796.900000000023</v>
      </c>
      <c r="G17" s="11">
        <f t="shared" si="1"/>
        <v>-0.14934438455017496</v>
      </c>
      <c r="H17" s="12">
        <f>SUM('1st Qtr'!H17,'2nd Qtr'!H17,'3rd Qtr'!H17,'4th Qtr'!H17)</f>
        <v>116969.59699999999</v>
      </c>
      <c r="I17" s="12">
        <f>SUM('1st Qtr'!I17, '2nd Qtr'!I17, '3rd Qtr'!I17, '4th Qtr'!I17)</f>
        <v>1488.1529999999984</v>
      </c>
      <c r="J17" s="13">
        <f t="shared" si="2"/>
        <v>1.2722562427910207E-2</v>
      </c>
    </row>
    <row r="18" spans="1:10" ht="15.75">
      <c r="A18" s="26" t="str">
        <v>K345</v>
      </c>
      <c r="B18" s="27" t="str">
        <v>NY</v>
      </c>
      <c r="C18" s="27" t="str">
        <f>Sites[[#This Row],[SOL'#]]</f>
        <v>SOL-10920</v>
      </c>
      <c r="D18" s="9">
        <f>SUM('1st Qtr'!D18,'2nd Qtr'!D18,'3rd Qtr'!D18,'4th Qtr'!D18)</f>
        <v>139602.84375</v>
      </c>
      <c r="E18" s="14">
        <f>SUM('1st Qtr'!E18, '2nd Qtr'!E18, '3rd Qtr'!E18, '4th Qtr'!E18)</f>
        <v>88326.186000000002</v>
      </c>
      <c r="F18" s="14">
        <f t="shared" si="0"/>
        <v>51276.657749999998</v>
      </c>
      <c r="G18" s="15">
        <f t="shared" si="1"/>
        <v>0.5805374382405688</v>
      </c>
      <c r="H18" s="16">
        <f>SUM('1st Qtr'!H18,'2nd Qtr'!H18,'3rd Qtr'!H18,'4th Qtr'!H18)</f>
        <v>149687</v>
      </c>
      <c r="I18" s="16">
        <f>SUM('1st Qtr'!I18, '2nd Qtr'!I18, '3rd Qtr'!I18, '4th Qtr'!I18)</f>
        <v>-10084.156249999989</v>
      </c>
      <c r="J18" s="15">
        <f t="shared" si="2"/>
        <v>-6.7368283484871699E-2</v>
      </c>
    </row>
    <row r="19" spans="1:10" ht="15.75">
      <c r="A19" s="24" t="str">
        <v>K445</v>
      </c>
      <c r="B19" s="25" t="str">
        <v>NY</v>
      </c>
      <c r="C19" s="25" t="str">
        <f>Sites[[#This Row],[SOL'#]]</f>
        <v>SOL-10373</v>
      </c>
      <c r="D19" s="20">
        <f>SUM('1st Qtr'!D19,'2nd Qtr'!D19,'3rd Qtr'!D19,'4th Qtr'!D19)</f>
        <v>116263.859375</v>
      </c>
      <c r="E19" s="10">
        <f>SUM('1st Qtr'!E19, '2nd Qtr'!E19, '3rd Qtr'!E19, '4th Qtr'!E19)</f>
        <v>133016.13999999998</v>
      </c>
      <c r="F19" s="10">
        <f t="shared" si="0"/>
        <v>-16752.280624999985</v>
      </c>
      <c r="G19" s="11">
        <f t="shared" si="1"/>
        <v>-0.12594171372737162</v>
      </c>
      <c r="H19" s="12">
        <f>SUM('1st Qtr'!H19,'2nd Qtr'!H19,'3rd Qtr'!H19,'4th Qtr'!H19)</f>
        <v>122057.01699999999</v>
      </c>
      <c r="I19" s="12">
        <f>SUM('1st Qtr'!I19, '2nd Qtr'!I19, '3rd Qtr'!I19, '4th Qtr'!I19)</f>
        <v>-5793.1576250000007</v>
      </c>
      <c r="J19" s="13">
        <f t="shared" si="2"/>
        <v>-4.7462716748189915E-2</v>
      </c>
    </row>
    <row r="20" spans="1:10" ht="15.75">
      <c r="A20" s="26" t="str">
        <v>K495</v>
      </c>
      <c r="B20" s="27" t="str">
        <v>NY</v>
      </c>
      <c r="C20" s="27" t="str">
        <f>Sites[[#This Row],[SOL'#]]</f>
        <v>SOL-10374</v>
      </c>
      <c r="D20" s="9">
        <f>SUM('1st Qtr'!D20,'2nd Qtr'!D20,'3rd Qtr'!D20,'4th Qtr'!D20)</f>
        <v>302070.84547738702</v>
      </c>
      <c r="E20" s="14">
        <f>SUM('1st Qtr'!E20, '2nd Qtr'!E20, '3rd Qtr'!E20, '4th Qtr'!E20)</f>
        <v>476004.14999999997</v>
      </c>
      <c r="F20" s="14">
        <f t="shared" si="0"/>
        <v>-173933.30452261295</v>
      </c>
      <c r="G20" s="15">
        <f t="shared" si="1"/>
        <v>-0.36540291617754372</v>
      </c>
      <c r="H20" s="16">
        <f>SUM('1st Qtr'!H20,'2nd Qtr'!H20,'3rd Qtr'!H20,'4th Qtr'!H20)</f>
        <v>530406.13</v>
      </c>
      <c r="I20" s="16">
        <f>SUM('1st Qtr'!I20, '2nd Qtr'!I20, '3rd Qtr'!I20, '4th Qtr'!I20)</f>
        <v>-228335.28452261299</v>
      </c>
      <c r="J20" s="15">
        <f t="shared" si="2"/>
        <v>-0.4304914132923256</v>
      </c>
    </row>
    <row r="21" spans="1:10" ht="15.75">
      <c r="A21" s="24" t="str">
        <v>M020</v>
      </c>
      <c r="B21" s="25" t="str">
        <v>NY</v>
      </c>
      <c r="C21" s="25" t="str">
        <f>Sites[[#This Row],[SOL'#]]</f>
        <v>SOL-10380</v>
      </c>
      <c r="D21" s="20">
        <f>SUM('1st Qtr'!D21,'2nd Qtr'!D21,'3rd Qtr'!D21,'4th Qtr'!D21)</f>
        <v>122173.46875</v>
      </c>
      <c r="E21" s="10">
        <f>SUM('1st Qtr'!E21, '2nd Qtr'!E21, '3rd Qtr'!E21, '4th Qtr'!E21)</f>
        <v>136482.25</v>
      </c>
      <c r="F21" s="10">
        <f t="shared" si="0"/>
        <v>-14308.78125</v>
      </c>
      <c r="G21" s="11">
        <f t="shared" si="1"/>
        <v>-0.10483986928703183</v>
      </c>
      <c r="H21" s="12">
        <f>SUM('1st Qtr'!H21,'2nd Qtr'!H21,'3rd Qtr'!H21,'4th Qtr'!H21)</f>
        <v>143667</v>
      </c>
      <c r="I21" s="12">
        <f>SUM('1st Qtr'!I21, '2nd Qtr'!I21, '3rd Qtr'!I21, '4th Qtr'!I21)</f>
        <v>-21493.53125</v>
      </c>
      <c r="J21" s="13">
        <f t="shared" si="2"/>
        <v>-0.14960659894060571</v>
      </c>
    </row>
    <row r="22" spans="1:10" ht="15.75">
      <c r="A22" s="26" t="str">
        <v>M092</v>
      </c>
      <c r="B22" s="27" t="str">
        <v>NY</v>
      </c>
      <c r="C22" s="27" t="str">
        <f>Sites[[#This Row],[SOL'#]]</f>
        <v>SOL-10383</v>
      </c>
      <c r="D22" s="9">
        <f>SUM('1st Qtr'!D22,'2nd Qtr'!D22,'3rd Qtr'!D22,'4th Qtr'!D22)</f>
        <v>123223.56250000003</v>
      </c>
      <c r="E22" s="14">
        <f>SUM('1st Qtr'!E22, '2nd Qtr'!E22, '3rd Qtr'!E22, '4th Qtr'!E22)</f>
        <v>136917.96</v>
      </c>
      <c r="F22" s="14">
        <f t="shared" si="0"/>
        <v>-13694.397499999963</v>
      </c>
      <c r="G22" s="15">
        <f t="shared" si="1"/>
        <v>-0.10001900042916184</v>
      </c>
      <c r="H22" s="16">
        <f>SUM('1st Qtr'!H22,'2nd Qtr'!H22,'3rd Qtr'!H22,'4th Qtr'!H22)</f>
        <v>136852.03999999998</v>
      </c>
      <c r="I22" s="16">
        <f>SUM('1st Qtr'!I22, '2nd Qtr'!I22, '3rd Qtr'!I22, '4th Qtr'!I22)</f>
        <v>-13628.477499999979</v>
      </c>
      <c r="J22" s="15">
        <f t="shared" si="2"/>
        <v>-9.9585490285712813E-2</v>
      </c>
    </row>
    <row r="23" spans="1:10" ht="15.75">
      <c r="A23" s="24" t="str">
        <v>M143</v>
      </c>
      <c r="B23" s="25" t="str">
        <v>NY</v>
      </c>
      <c r="C23" s="25" t="str">
        <f>Sites[[#This Row],[SOL'#]]</f>
        <v>SOL-10384</v>
      </c>
      <c r="D23" s="20">
        <f>SUM('1st Qtr'!D23,'2nd Qtr'!D23,'3rd Qtr'!D23,'4th Qtr'!D23)</f>
        <v>137240.96875</v>
      </c>
      <c r="E23" s="10">
        <f>SUM('1st Qtr'!E23, '2nd Qtr'!E23, '3rd Qtr'!E23, '4th Qtr'!E23)</f>
        <v>165101.34</v>
      </c>
      <c r="F23" s="10">
        <f t="shared" si="0"/>
        <v>-27860.371249999997</v>
      </c>
      <c r="G23" s="11">
        <f t="shared" si="1"/>
        <v>-0.16874709345181571</v>
      </c>
      <c r="H23" s="12">
        <f>SUM('1st Qtr'!H23,'2nd Qtr'!H23,'3rd Qtr'!H23,'4th Qtr'!H23)</f>
        <v>150693.85399999999</v>
      </c>
      <c r="I23" s="12">
        <f>SUM('1st Qtr'!I23, '2nd Qtr'!I23, '3rd Qtr'!I23, '4th Qtr'!I23)</f>
        <v>-13452.885250000003</v>
      </c>
      <c r="J23" s="13">
        <f t="shared" si="2"/>
        <v>-8.9272952366060018E-2</v>
      </c>
    </row>
    <row r="24" spans="1:10" ht="15.75">
      <c r="A24" s="26" t="str">
        <v>M144</v>
      </c>
      <c r="B24" s="27" t="str">
        <v>NY</v>
      </c>
      <c r="C24" s="27" t="str">
        <f>Sites[[#This Row],[SOL'#]]</f>
        <v>SOL-10385</v>
      </c>
      <c r="D24" s="9">
        <f>SUM('1st Qtr'!D24,'2nd Qtr'!D24,'3rd Qtr'!D24,'4th Qtr'!D24)</f>
        <v>205157.875</v>
      </c>
      <c r="E24" s="14">
        <f>SUM('1st Qtr'!E24, '2nd Qtr'!E24, '3rd Qtr'!E24, '4th Qtr'!E24)</f>
        <v>121327.56999999999</v>
      </c>
      <c r="F24" s="14">
        <f t="shared" si="0"/>
        <v>83830.305000000008</v>
      </c>
      <c r="G24" s="15">
        <f t="shared" si="1"/>
        <v>0.69094192688438427</v>
      </c>
      <c r="H24" s="16">
        <f>SUM('1st Qtr'!H24,'2nd Qtr'!H24,'3rd Qtr'!H24,'4th Qtr'!H24)</f>
        <v>240666.65</v>
      </c>
      <c r="I24" s="16">
        <f>SUM('1st Qtr'!I24, '2nd Qtr'!I24, '3rd Qtr'!I24, '4th Qtr'!I24)</f>
        <v>-35508.775000000001</v>
      </c>
      <c r="J24" s="15">
        <f t="shared" si="2"/>
        <v>-0.14754339664427957</v>
      </c>
    </row>
    <row r="25" spans="1:10" ht="15.75">
      <c r="A25" s="24" t="str">
        <v>M167</v>
      </c>
      <c r="B25" s="25" t="str">
        <v>NY</v>
      </c>
      <c r="C25" s="25" t="str">
        <f>Sites[[#This Row],[SOL'#]]</f>
        <v>SOL-10386</v>
      </c>
      <c r="D25" s="20">
        <f>SUM('1st Qtr'!D25,'2nd Qtr'!D25,'3rd Qtr'!D25,'4th Qtr'!D25)</f>
        <v>152853.421875</v>
      </c>
      <c r="E25" s="10">
        <f>SUM('1st Qtr'!E25, '2nd Qtr'!E25, '3rd Qtr'!E25, '4th Qtr'!E25)</f>
        <v>119763.306</v>
      </c>
      <c r="F25" s="10">
        <f t="shared" si="0"/>
        <v>33090.115875000003</v>
      </c>
      <c r="G25" s="11">
        <f t="shared" si="1"/>
        <v>0.27629594556282544</v>
      </c>
      <c r="H25" s="12">
        <f>SUM('1st Qtr'!H25,'2nd Qtr'!H25,'3rd Qtr'!H25,'4th Qtr'!H25)</f>
        <v>179853.27100000001</v>
      </c>
      <c r="I25" s="12">
        <f>SUM('1st Qtr'!I25, '2nd Qtr'!I25, '3rd Qtr'!I25, '4th Qtr'!I25)</f>
        <v>-26999.849125000001</v>
      </c>
      <c r="J25" s="13">
        <f t="shared" si="2"/>
        <v>-0.1501215350428628</v>
      </c>
    </row>
    <row r="26" spans="1:10" ht="15.75">
      <c r="A26" s="26" t="str">
        <v>M188</v>
      </c>
      <c r="B26" s="27" t="str">
        <v>NY</v>
      </c>
      <c r="C26" s="27" t="str">
        <f>Sites[[#This Row],[SOL'#]]</f>
        <v>SOL-10387</v>
      </c>
      <c r="D26" s="9">
        <f>SUM('1st Qtr'!D26,'2nd Qtr'!D26,'3rd Qtr'!D26,'4th Qtr'!D26)</f>
        <v>104451.34375</v>
      </c>
      <c r="E26" s="14">
        <f>SUM('1st Qtr'!E26, '2nd Qtr'!E26, '3rd Qtr'!E26, '4th Qtr'!E26)</f>
        <v>60852.81</v>
      </c>
      <c r="F26" s="14">
        <f t="shared" si="0"/>
        <v>43598.533750000002</v>
      </c>
      <c r="G26" s="15">
        <f t="shared" si="1"/>
        <v>0.71645884142408545</v>
      </c>
      <c r="H26" s="16">
        <f>SUM('1st Qtr'!H26,'2nd Qtr'!H26,'3rd Qtr'!H26,'4th Qtr'!H26)</f>
        <v>123446.38</v>
      </c>
      <c r="I26" s="16">
        <f>SUM('1st Qtr'!I26, '2nd Qtr'!I26, '3rd Qtr'!I26, '4th Qtr'!I26)</f>
        <v>-18995.036250000001</v>
      </c>
      <c r="J26" s="15">
        <f t="shared" si="2"/>
        <v>-0.15387276848458417</v>
      </c>
    </row>
    <row r="27" spans="1:10" ht="15.75">
      <c r="A27" s="24" t="str">
        <v>EMHC</v>
      </c>
      <c r="B27" s="25" t="str">
        <v>NY</v>
      </c>
      <c r="C27" s="25" t="str">
        <f>Sites[[#This Row],[SOL'#]]</f>
        <v>SOL-10351</v>
      </c>
      <c r="D27" s="20">
        <f>SUM('1st Qtr'!D27,'2nd Qtr'!D27,'3rd Qtr'!D27,'4th Qtr'!D27)</f>
        <v>42276.3828125</v>
      </c>
      <c r="E27" s="10">
        <f>SUM('1st Qtr'!E27, '2nd Qtr'!E27, '3rd Qtr'!E27, '4th Qtr'!E27)</f>
        <v>36066.626000000004</v>
      </c>
      <c r="F27" s="10">
        <f t="shared" si="0"/>
        <v>6209.7568124999962</v>
      </c>
      <c r="G27" s="11">
        <f t="shared" si="1"/>
        <v>0.17217459743808572</v>
      </c>
      <c r="H27" s="12">
        <f>SUM('1st Qtr'!H27,'2nd Qtr'!H27,'3rd Qtr'!H27,'4th Qtr'!H27)</f>
        <v>56933.922000000006</v>
      </c>
      <c r="I27" s="12">
        <f>SUM('1st Qtr'!I27, '2nd Qtr'!I27, '3rd Qtr'!I27, '4th Qtr'!I27)</f>
        <v>-14657.539187499999</v>
      </c>
      <c r="J27" s="13">
        <f t="shared" si="2"/>
        <v>-0.25744826059058423</v>
      </c>
    </row>
    <row r="28" spans="1:10" ht="15.75">
      <c r="A28" s="26" t="str">
        <v>Q008</v>
      </c>
      <c r="B28" s="27" t="str">
        <v>NY</v>
      </c>
      <c r="C28" s="27" t="str">
        <f>Sites[[#This Row],[SOL'#]]</f>
        <v>SOL-10397</v>
      </c>
      <c r="D28" s="9">
        <f>SUM('1st Qtr'!D28,'2nd Qtr'!D28,'3rd Qtr'!D28,'4th Qtr'!D28)</f>
        <v>39978.6875</v>
      </c>
      <c r="E28" s="14">
        <f>SUM('1st Qtr'!E28, '2nd Qtr'!E28, '3rd Qtr'!E28, '4th Qtr'!E28)</f>
        <v>49531.6</v>
      </c>
      <c r="F28" s="14">
        <f t="shared" si="0"/>
        <v>-9552.9124999999985</v>
      </c>
      <c r="G28" s="15">
        <f t="shared" si="1"/>
        <v>-0.19286500940813539</v>
      </c>
      <c r="H28" s="16">
        <f>SUM('1st Qtr'!H28,'2nd Qtr'!H28,'3rd Qtr'!H28,'4th Qtr'!H28)</f>
        <v>155981</v>
      </c>
      <c r="I28" s="16">
        <f>SUM('1st Qtr'!I28, '2nd Qtr'!I28, '3rd Qtr'!I28, '4th Qtr'!I28)</f>
        <v>-116002.3125</v>
      </c>
      <c r="J28" s="15">
        <f t="shared" si="2"/>
        <v>-0.74369514556260052</v>
      </c>
    </row>
    <row r="29" spans="1:10" ht="15.75">
      <c r="A29" s="24" t="str">
        <v>Q018</v>
      </c>
      <c r="B29" s="25" t="str">
        <v>NY</v>
      </c>
      <c r="C29" s="25" t="str">
        <f>Sites[[#This Row],[SOL'#]]</f>
        <v>SOL-10398</v>
      </c>
      <c r="D29" s="20">
        <f>SUM('1st Qtr'!D29,'2nd Qtr'!D29,'3rd Qtr'!D29,'4th Qtr'!D29)</f>
        <v>113273</v>
      </c>
      <c r="E29" s="10">
        <f>SUM('1st Qtr'!E29, '2nd Qtr'!E29, '3rd Qtr'!E29, '4th Qtr'!E29)</f>
        <v>119027.942</v>
      </c>
      <c r="F29" s="10">
        <f t="shared" si="0"/>
        <v>-5754.9419999999955</v>
      </c>
      <c r="G29" s="11">
        <f t="shared" si="1"/>
        <v>-4.8349504354196056E-2</v>
      </c>
      <c r="H29" s="12">
        <f>SUM('1st Qtr'!H29,'2nd Qtr'!H29,'3rd Qtr'!H29,'4th Qtr'!H29)</f>
        <v>106591.606</v>
      </c>
      <c r="I29" s="12">
        <f>SUM('1st Qtr'!I29, '2nd Qtr'!I29, '3rd Qtr'!I29, '4th Qtr'!I29)</f>
        <v>6681.3940000000002</v>
      </c>
      <c r="J29" s="13">
        <f t="shared" si="2"/>
        <v>6.2682177806759012E-2</v>
      </c>
    </row>
    <row r="30" spans="1:10" ht="15.75">
      <c r="A30" s="26" t="str">
        <v>Q021</v>
      </c>
      <c r="B30" s="27" t="str">
        <v>NY</v>
      </c>
      <c r="C30" s="27" t="str">
        <f>Sites[[#This Row],[SOL'#]]</f>
        <v>SOL-10399</v>
      </c>
      <c r="D30" s="9">
        <f>SUM('1st Qtr'!D30,'2nd Qtr'!D30,'3rd Qtr'!D30,'4th Qtr'!D30)</f>
        <v>90489.124999999956</v>
      </c>
      <c r="E30" s="14">
        <f>SUM('1st Qtr'!E30, '2nd Qtr'!E30, '3rd Qtr'!E30, '4th Qtr'!E30)</f>
        <v>94500.344000000012</v>
      </c>
      <c r="F30" s="14">
        <f t="shared" si="0"/>
        <v>-4011.2190000000555</v>
      </c>
      <c r="G30" s="15">
        <f t="shared" si="1"/>
        <v>-4.2446607390128177E-2</v>
      </c>
      <c r="H30" s="16">
        <f>SUM('1st Qtr'!H30,'2nd Qtr'!H30,'3rd Qtr'!H30,'4th Qtr'!H30)</f>
        <v>88675.777000000002</v>
      </c>
      <c r="I30" s="16">
        <f>SUM('1st Qtr'!I30, '2nd Qtr'!I30, '3rd Qtr'!I30, '4th Qtr'!I30)</f>
        <v>1813.3479999999572</v>
      </c>
      <c r="J30" s="15">
        <f t="shared" si="2"/>
        <v>2.0449192117030529E-2</v>
      </c>
    </row>
    <row r="31" spans="1:10" ht="15.75">
      <c r="A31" s="24" t="str">
        <v>Q025</v>
      </c>
      <c r="B31" s="25" t="str">
        <v>NY</v>
      </c>
      <c r="C31" s="25" t="str">
        <f>Sites[[#This Row],[SOL'#]]</f>
        <v>SOL-10400</v>
      </c>
      <c r="D31" s="20">
        <f>SUM('1st Qtr'!D31,'2nd Qtr'!D31,'3rd Qtr'!D31,'4th Qtr'!D31)</f>
        <v>154611.25</v>
      </c>
      <c r="E31" s="10">
        <f>SUM('1st Qtr'!E31, '2nd Qtr'!E31, '3rd Qtr'!E31, '4th Qtr'!E31)</f>
        <v>159083.41</v>
      </c>
      <c r="F31" s="10">
        <f t="shared" si="0"/>
        <v>-4472.1600000000035</v>
      </c>
      <c r="G31" s="11">
        <f t="shared" si="1"/>
        <v>-2.811204512148692E-2</v>
      </c>
      <c r="H31" s="12">
        <f>SUM('1st Qtr'!H31,'2nd Qtr'!H31,'3rd Qtr'!H31,'4th Qtr'!H31)</f>
        <v>88932</v>
      </c>
      <c r="I31" s="12">
        <f>SUM('1st Qtr'!I31, '2nd Qtr'!I31, '3rd Qtr'!I31, '4th Qtr'!I31)</f>
        <v>65679.25</v>
      </c>
      <c r="J31" s="13">
        <f t="shared" si="2"/>
        <v>0.73853337381370032</v>
      </c>
    </row>
    <row r="32" spans="1:10" ht="15.75">
      <c r="A32" s="26" t="str">
        <v>Q074</v>
      </c>
      <c r="B32" s="27" t="str">
        <v>NY</v>
      </c>
      <c r="C32" s="27" t="str">
        <f>Sites[[#This Row],[SOL'#]]</f>
        <v>SOL-10402</v>
      </c>
      <c r="D32" s="9">
        <f>SUM('1st Qtr'!D32,'2nd Qtr'!D32,'3rd Qtr'!D32,'4th Qtr'!D32)</f>
        <v>100529.5625</v>
      </c>
      <c r="E32" s="14">
        <f>SUM('1st Qtr'!E32, '2nd Qtr'!E32, '3rd Qtr'!E32, '4th Qtr'!E32)</f>
        <v>102509.92099999999</v>
      </c>
      <c r="F32" s="14">
        <f t="shared" si="0"/>
        <v>-1980.3584999999875</v>
      </c>
      <c r="G32" s="15">
        <f t="shared" si="1"/>
        <v>-1.9318700869938119E-2</v>
      </c>
      <c r="H32" s="16">
        <f>SUM('1st Qtr'!H32,'2nd Qtr'!H32,'3rd Qtr'!H32,'4th Qtr'!H32)</f>
        <v>100788.25599999999</v>
      </c>
      <c r="I32" s="16">
        <f>SUM('1st Qtr'!I32, '2nd Qtr'!I32, '3rd Qtr'!I32, '4th Qtr'!I32)</f>
        <v>-258.69350000000031</v>
      </c>
      <c r="J32" s="15">
        <f t="shared" si="2"/>
        <v>-2.5667028110894223E-3</v>
      </c>
    </row>
    <row r="33" spans="1:10" ht="15.75">
      <c r="A33" s="24" t="str">
        <v>Q115</v>
      </c>
      <c r="B33" s="25" t="str">
        <v>NY</v>
      </c>
      <c r="C33" s="25" t="str">
        <f>Sites[[#This Row],[SOL'#]]</f>
        <v>SOL-10872</v>
      </c>
      <c r="D33" s="20">
        <f>SUM('1st Qtr'!D33,'2nd Qtr'!D33,'3rd Qtr'!D33,'4th Qtr'!D33)</f>
        <v>129386.6250000001</v>
      </c>
      <c r="E33" s="10">
        <f>SUM('1st Qtr'!E33, '2nd Qtr'!E33, '3rd Qtr'!E33, '4th Qtr'!E33)</f>
        <v>143254.46</v>
      </c>
      <c r="F33" s="10">
        <f t="shared" si="0"/>
        <v>-13867.83499999989</v>
      </c>
      <c r="G33" s="11">
        <f t="shared" si="1"/>
        <v>-9.6805607308839747E-2</v>
      </c>
      <c r="H33" s="12">
        <f>SUM('1st Qtr'!H33,'2nd Qtr'!H33,'3rd Qtr'!H33,'4th Qtr'!H33)</f>
        <v>133001.40700000001</v>
      </c>
      <c r="I33" s="12">
        <f>SUM('1st Qtr'!I33, '2nd Qtr'!I33, '3rd Qtr'!I33, '4th Qtr'!I33)</f>
        <v>-3614.7819999999028</v>
      </c>
      <c r="J33" s="13">
        <f t="shared" si="2"/>
        <v>-2.7178524509894116E-2</v>
      </c>
    </row>
    <row r="34" spans="1:10" ht="15.75">
      <c r="A34" s="26" t="str">
        <v>Q139</v>
      </c>
      <c r="B34" s="27" t="str">
        <v>NY</v>
      </c>
      <c r="C34" s="27" t="str">
        <f>Sites[[#This Row],[SOL'#]]</f>
        <v>SOL-10403</v>
      </c>
      <c r="D34" s="9">
        <f>SUM('1st Qtr'!D34,'2nd Qtr'!D34,'3rd Qtr'!D34,'4th Qtr'!D34)</f>
        <v>78431.40625</v>
      </c>
      <c r="E34" s="14">
        <f>SUM('1st Qtr'!E34, '2nd Qtr'!E34, '3rd Qtr'!E34, '4th Qtr'!E34)</f>
        <v>86979.079999999987</v>
      </c>
      <c r="F34" s="14">
        <f t="shared" si="0"/>
        <v>-8547.6737499999872</v>
      </c>
      <c r="G34" s="15">
        <f t="shared" si="1"/>
        <v>-9.8272754207103463E-2</v>
      </c>
      <c r="H34" s="16">
        <f>SUM('1st Qtr'!H34,'2nd Qtr'!H34,'3rd Qtr'!H34,'4th Qtr'!H34)</f>
        <v>85011</v>
      </c>
      <c r="I34" s="16">
        <f>SUM('1st Qtr'!I34, '2nd Qtr'!I34, '3rd Qtr'!I34, '4th Qtr'!I34)</f>
        <v>-6579.59375</v>
      </c>
      <c r="J34" s="15">
        <f t="shared" si="2"/>
        <v>-7.7396969215748554E-2</v>
      </c>
    </row>
    <row r="35" spans="1:10" ht="15.75">
      <c r="A35" s="24" t="str">
        <v>Q157</v>
      </c>
      <c r="B35" s="25" t="str">
        <v>NY</v>
      </c>
      <c r="C35" s="25" t="str">
        <f>Sites[[#This Row],[SOL'#]]</f>
        <v>SOL-10404</v>
      </c>
      <c r="D35" s="20">
        <f>SUM('1st Qtr'!D35,'2nd Qtr'!D35,'3rd Qtr'!D35,'4th Qtr'!D35)</f>
        <v>136480.625</v>
      </c>
      <c r="E35" s="10">
        <f>SUM('1st Qtr'!E35, '2nd Qtr'!E35, '3rd Qtr'!E35, '4th Qtr'!E35)</f>
        <v>156318.57</v>
      </c>
      <c r="F35" s="10">
        <f t="shared" si="0"/>
        <v>-19837.945000000007</v>
      </c>
      <c r="G35" s="11">
        <f t="shared" si="1"/>
        <v>-0.12690715504882116</v>
      </c>
      <c r="H35" s="12">
        <f>SUM('1st Qtr'!H35,'2nd Qtr'!H35,'3rd Qtr'!H35,'4th Qtr'!H35)</f>
        <v>149770.071</v>
      </c>
      <c r="I35" s="12">
        <f>SUM('1st Qtr'!I35, '2nd Qtr'!I35, '3rd Qtr'!I35, '4th Qtr'!I35)</f>
        <v>-13289.445999999998</v>
      </c>
      <c r="J35" s="13">
        <f t="shared" si="2"/>
        <v>-8.8732320892069269E-2</v>
      </c>
    </row>
    <row r="36" spans="1:10" ht="15.75">
      <c r="A36" s="26" t="str">
        <v>Q192</v>
      </c>
      <c r="B36" s="27" t="str">
        <v>NY</v>
      </c>
      <c r="C36" s="27" t="str">
        <f>Sites[[#This Row],[SOL'#]]</f>
        <v>SOL-10406</v>
      </c>
      <c r="D36" s="9">
        <f>SUM('1st Qtr'!D36,'2nd Qtr'!D36,'3rd Qtr'!D36,'4th Qtr'!D36)</f>
        <v>214721.0000000002</v>
      </c>
      <c r="E36" s="14">
        <f>SUM('1st Qtr'!E36, '2nd Qtr'!E36, '3rd Qtr'!E36, '4th Qtr'!E36)</f>
        <v>241501.53</v>
      </c>
      <c r="F36" s="14">
        <f t="shared" si="0"/>
        <v>-26780.529999999795</v>
      </c>
      <c r="G36" s="15">
        <f t="shared" si="1"/>
        <v>-0.11089176122403778</v>
      </c>
      <c r="H36" s="16">
        <f>SUM('1st Qtr'!H36,'2nd Qtr'!H36,'3rd Qtr'!H36,'4th Qtr'!H36)</f>
        <v>142831.09179999999</v>
      </c>
      <c r="I36" s="16">
        <f>SUM('1st Qtr'!I36, '2nd Qtr'!I36, '3rd Qtr'!I36, '4th Qtr'!I36)</f>
        <v>71889.908200000194</v>
      </c>
      <c r="J36" s="15">
        <f t="shared" si="2"/>
        <v>0.50332114173477316</v>
      </c>
    </row>
    <row r="37" spans="1:10" ht="15.75">
      <c r="A37" s="24" t="str">
        <v>Q210</v>
      </c>
      <c r="B37" s="25" t="str">
        <v>NY</v>
      </c>
      <c r="C37" s="25" t="str">
        <f>Sites[[#This Row],[SOL'#]]</f>
        <v>SOL-10407</v>
      </c>
      <c r="D37" s="20">
        <f>SUM('1st Qtr'!D37,'2nd Qtr'!D37,'3rd Qtr'!D37,'4th Qtr'!D37)</f>
        <v>170747.25</v>
      </c>
      <c r="E37" s="10">
        <f>SUM('1st Qtr'!E37, '2nd Qtr'!E37, '3rd Qtr'!E37, '4th Qtr'!E37)</f>
        <v>181498.66000000003</v>
      </c>
      <c r="F37" s="10">
        <f t="shared" si="0"/>
        <v>-10751.410000000033</v>
      </c>
      <c r="G37" s="11">
        <f t="shared" si="1"/>
        <v>-5.9236856073758511E-2</v>
      </c>
      <c r="H37" s="12">
        <f>SUM('1st Qtr'!H37,'2nd Qtr'!H37,'3rd Qtr'!H37,'4th Qtr'!H37)</f>
        <v>183408</v>
      </c>
      <c r="I37" s="12">
        <f>SUM('1st Qtr'!I37, '2nd Qtr'!I37, '3rd Qtr'!I37, '4th Qtr'!I37)</f>
        <v>-12660.75</v>
      </c>
      <c r="J37" s="13">
        <f t="shared" si="2"/>
        <v>-6.9030522114629678E-2</v>
      </c>
    </row>
    <row r="38" spans="1:10" ht="15.75">
      <c r="A38" s="26" t="str">
        <v>Q229</v>
      </c>
      <c r="B38" s="27" t="str">
        <v>NY</v>
      </c>
      <c r="C38" s="27" t="str">
        <f>Sites[[#This Row],[SOL'#]]</f>
        <v>SOL-10408</v>
      </c>
      <c r="D38" s="9">
        <f>SUM('1st Qtr'!D38,'2nd Qtr'!D38,'3rd Qtr'!D38,'4th Qtr'!D38)</f>
        <v>75452.110436893199</v>
      </c>
      <c r="E38" s="14">
        <f>SUM('1st Qtr'!E38, '2nd Qtr'!E38, '3rd Qtr'!E38, '4th Qtr'!E38)</f>
        <v>89340.309000000008</v>
      </c>
      <c r="F38" s="14">
        <f t="shared" si="0"/>
        <v>-13888.198563106809</v>
      </c>
      <c r="G38" s="15">
        <f t="shared" si="1"/>
        <v>-0.1554527706313038</v>
      </c>
      <c r="H38" s="16">
        <f>SUM('1st Qtr'!H38,'2nd Qtr'!H38,'3rd Qtr'!H38,'4th Qtr'!H38)</f>
        <v>67662.438999999998</v>
      </c>
      <c r="I38" s="16">
        <f>SUM('1st Qtr'!I38, '2nd Qtr'!I38, '3rd Qtr'!I38, '4th Qtr'!I38)</f>
        <v>7789.6714368931989</v>
      </c>
      <c r="J38" s="15">
        <f t="shared" si="2"/>
        <v>0.11512548988801895</v>
      </c>
    </row>
    <row r="39" spans="1:10" ht="15.75">
      <c r="A39" s="24" t="str">
        <v>Q231</v>
      </c>
      <c r="B39" s="25" t="str">
        <v>NY</v>
      </c>
      <c r="C39" s="25" t="str">
        <f>Sites[[#This Row],[SOL'#]]</f>
        <v>SOL-10870</v>
      </c>
      <c r="D39" s="20">
        <f>SUM('1st Qtr'!D39,'2nd Qtr'!D39,'3rd Qtr'!D39,'4th Qtr'!D39)</f>
        <v>285194.375</v>
      </c>
      <c r="E39" s="10">
        <f>SUM('1st Qtr'!E39, '2nd Qtr'!E39, '3rd Qtr'!E39, '4th Qtr'!E39)</f>
        <v>318853.52</v>
      </c>
      <c r="F39" s="10">
        <f t="shared" si="0"/>
        <v>-33659.145000000019</v>
      </c>
      <c r="G39" s="11">
        <f t="shared" si="1"/>
        <v>-0.10556303408536941</v>
      </c>
      <c r="H39" s="12">
        <f>SUM('1st Qtr'!H39,'2nd Qtr'!H39,'3rd Qtr'!H39,'4th Qtr'!H39)</f>
        <v>306552</v>
      </c>
      <c r="I39" s="12">
        <f>SUM('1st Qtr'!I39, '2nd Qtr'!I39, '3rd Qtr'!I39, '4th Qtr'!I39)</f>
        <v>-21357.625</v>
      </c>
      <c r="J39" s="13">
        <f t="shared" si="2"/>
        <v>-6.9670480049061817E-2</v>
      </c>
    </row>
    <row r="40" spans="1:10" ht="15.75">
      <c r="A40" s="26" t="str">
        <v>Q405</v>
      </c>
      <c r="B40" s="27" t="str">
        <v>NY</v>
      </c>
      <c r="C40" s="27" t="str">
        <f>Sites[[#This Row],[SOL'#]]</f>
        <v>SOL-10409</v>
      </c>
      <c r="D40" s="9">
        <f>SUM('1st Qtr'!D40,'2nd Qtr'!D40,'3rd Qtr'!D40,'4th Qtr'!D40)</f>
        <v>321978.5</v>
      </c>
      <c r="E40" s="14">
        <f>SUM('1st Qtr'!E40, '2nd Qtr'!E40, '3rd Qtr'!E40, '4th Qtr'!E40)</f>
        <v>366478.85</v>
      </c>
      <c r="F40" s="14">
        <f t="shared" si="0"/>
        <v>-44500.349999999977</v>
      </c>
      <c r="G40" s="15">
        <f t="shared" si="1"/>
        <v>-0.12142678902206766</v>
      </c>
      <c r="H40" s="16">
        <f>SUM('1st Qtr'!H40,'2nd Qtr'!H40,'3rd Qtr'!H40,'4th Qtr'!H40)</f>
        <v>327538.26</v>
      </c>
      <c r="I40" s="16">
        <f>SUM('1st Qtr'!I40, '2nd Qtr'!I40, '3rd Qtr'!I40, '4th Qtr'!I40)</f>
        <v>-5559.7600000000057</v>
      </c>
      <c r="J40" s="15">
        <f t="shared" si="2"/>
        <v>-1.6974383389592427E-2</v>
      </c>
    </row>
    <row r="41" spans="1:10" ht="15.75">
      <c r="A41" s="24" t="str">
        <v>Q435</v>
      </c>
      <c r="B41" s="25" t="str">
        <v>NY</v>
      </c>
      <c r="C41" s="25" t="str">
        <f>Sites[[#This Row],[SOL'#]]</f>
        <v>SOL-10923</v>
      </c>
      <c r="D41" s="20">
        <f>SUM('1st Qtr'!D41,'2nd Qtr'!D41,'3rd Qtr'!D41,'4th Qtr'!D41)</f>
        <v>386214.5</v>
      </c>
      <c r="E41" s="10">
        <f>SUM('1st Qtr'!E41, '2nd Qtr'!E41, '3rd Qtr'!E41, '4th Qtr'!E41)</f>
        <v>346984.81</v>
      </c>
      <c r="F41" s="10">
        <f t="shared" si="0"/>
        <v>39229.69</v>
      </c>
      <c r="G41" s="11">
        <f t="shared" si="1"/>
        <v>0.11305881084535084</v>
      </c>
      <c r="H41" s="12">
        <f>SUM('1st Qtr'!H41,'2nd Qtr'!H41,'3rd Qtr'!H41,'4th Qtr'!H41)</f>
        <v>436599</v>
      </c>
      <c r="I41" s="12">
        <f>SUM('1st Qtr'!I41, '2nd Qtr'!I41, '3rd Qtr'!I41, '4th Qtr'!I41)</f>
        <v>-50384.5</v>
      </c>
      <c r="J41" s="13">
        <f t="shared" si="2"/>
        <v>-0.11540223408665617</v>
      </c>
    </row>
    <row r="42" spans="1:10" ht="15.75">
      <c r="A42" s="26" t="str">
        <v>Q485</v>
      </c>
      <c r="B42" s="27" t="str">
        <v>NY</v>
      </c>
      <c r="C42" s="27" t="str">
        <f>Sites[[#This Row],[SOL'#]]</f>
        <v>SOL-10869</v>
      </c>
      <c r="D42" s="9">
        <f>SUM('1st Qtr'!D42,'2nd Qtr'!D42,'3rd Qtr'!D42,'4th Qtr'!D42)</f>
        <v>378261.49999999988</v>
      </c>
      <c r="E42" s="14">
        <f>SUM('1st Qtr'!E42, '2nd Qtr'!E42, '3rd Qtr'!E42, '4th Qtr'!E42)</f>
        <v>318345.78000000003</v>
      </c>
      <c r="F42" s="14">
        <f t="shared" si="0"/>
        <v>59915.719999999856</v>
      </c>
      <c r="G42" s="15">
        <f t="shared" si="1"/>
        <v>0.18820956257061064</v>
      </c>
      <c r="H42" s="16">
        <f>SUM('1st Qtr'!H42,'2nd Qtr'!H42,'3rd Qtr'!H42,'4th Qtr'!H42)</f>
        <v>412126.86</v>
      </c>
      <c r="I42" s="16">
        <f>SUM('1st Qtr'!I42, '2nd Qtr'!I42, '3rd Qtr'!I42, '4th Qtr'!I42)</f>
        <v>-33865.360000000117</v>
      </c>
      <c r="J42" s="15">
        <f t="shared" si="2"/>
        <v>-8.2172173878693855E-2</v>
      </c>
    </row>
    <row r="43" spans="1:10" ht="15.75">
      <c r="A43" s="24" t="str">
        <v>Q490</v>
      </c>
      <c r="B43" s="25" t="str">
        <v>NY</v>
      </c>
      <c r="C43" s="25" t="str">
        <f>Sites[[#This Row],[SOL'#]]</f>
        <v>SOL-10411</v>
      </c>
      <c r="D43" s="20">
        <f>SUM('1st Qtr'!D43,'2nd Qtr'!D43,'3rd Qtr'!D43,'4th Qtr'!D43)</f>
        <v>276129.9327889448</v>
      </c>
      <c r="E43" s="10">
        <f>SUM('1st Qtr'!E43, '2nd Qtr'!E43, '3rd Qtr'!E43, '4th Qtr'!E43)</f>
        <v>0</v>
      </c>
      <c r="F43" s="10">
        <f t="shared" si="0"/>
        <v>276129.9327889448</v>
      </c>
      <c r="G43" s="11" t="str">
        <f t="shared" si="1"/>
        <v/>
      </c>
      <c r="H43" s="12">
        <f>SUM('1st Qtr'!H43,'2nd Qtr'!H43,'3rd Qtr'!H43,'4th Qtr'!H43)</f>
        <v>282496.27</v>
      </c>
      <c r="I43" s="12">
        <f>SUM('1st Qtr'!I43, '2nd Qtr'!I43, '3rd Qtr'!I43, '4th Qtr'!I43)</f>
        <v>-6366.3372110552045</v>
      </c>
      <c r="J43" s="13">
        <f t="shared" si="2"/>
        <v>-2.2536004496821159E-2</v>
      </c>
    </row>
    <row r="44" spans="1:10" ht="15.75">
      <c r="A44" s="26" t="str">
        <v>Q620</v>
      </c>
      <c r="B44" s="27" t="str">
        <v>NY</v>
      </c>
      <c r="C44" s="27" t="str">
        <f>Sites[[#This Row],[SOL'#]]</f>
        <v>SOL-10867</v>
      </c>
      <c r="D44" s="9">
        <f>SUM('1st Qtr'!D44,'2nd Qtr'!D44,'3rd Qtr'!D44,'4th Qtr'!D44)</f>
        <v>418387.875</v>
      </c>
      <c r="E44" s="14">
        <f>SUM('1st Qtr'!E44, '2nd Qtr'!E44, '3rd Qtr'!E44, '4th Qtr'!E44)</f>
        <v>434586.6</v>
      </c>
      <c r="F44" s="14">
        <f t="shared" si="0"/>
        <v>-16198.724999999977</v>
      </c>
      <c r="G44" s="15">
        <f t="shared" si="1"/>
        <v>-3.7273871306662418E-2</v>
      </c>
      <c r="H44" s="16">
        <f>SUM('1st Qtr'!H44,'2nd Qtr'!H44,'3rd Qtr'!H44,'4th Qtr'!H44)</f>
        <v>437373.12</v>
      </c>
      <c r="I44" s="16">
        <f>SUM('1st Qtr'!I44, '2nd Qtr'!I44, '3rd Qtr'!I44, '4th Qtr'!I44)</f>
        <v>-18985.244999999995</v>
      </c>
      <c r="J44" s="15">
        <f t="shared" si="2"/>
        <v>-4.3407434366336907E-2</v>
      </c>
    </row>
    <row r="45" spans="1:10" ht="15.75">
      <c r="A45" s="24" t="str">
        <v>QMOA</v>
      </c>
      <c r="B45" s="25" t="str">
        <v>NY</v>
      </c>
      <c r="C45" s="25" t="str">
        <f>Sites[[#This Row],[SOL'#]]</f>
        <v>SOL-10415</v>
      </c>
      <c r="D45" s="20">
        <f>SUM('1st Qtr'!D45,'2nd Qtr'!D45,'3rd Qtr'!D45,'4th Qtr'!D45)</f>
        <v>36106.80000000001</v>
      </c>
      <c r="E45" s="10">
        <f>SUM('1st Qtr'!E45, '2nd Qtr'!E45, '3rd Qtr'!E45, '4th Qtr'!E45)</f>
        <v>0</v>
      </c>
      <c r="F45" s="10">
        <f t="shared" si="0"/>
        <v>36106.80000000001</v>
      </c>
      <c r="G45" s="11" t="str">
        <f t="shared" si="1"/>
        <v/>
      </c>
      <c r="H45" s="12">
        <f>SUM('1st Qtr'!H45,'2nd Qtr'!H45,'3rd Qtr'!H45,'4th Qtr'!H45)</f>
        <v>40068.39</v>
      </c>
      <c r="I45" s="12">
        <f>SUM('1st Qtr'!I45, '2nd Qtr'!I45, '3rd Qtr'!I45, '4th Qtr'!I45)</f>
        <v>-3961.5899999999892</v>
      </c>
      <c r="J45" s="13">
        <f t="shared" si="2"/>
        <v>-9.8870705810739826E-2</v>
      </c>
    </row>
    <row r="46" spans="1:10" ht="15.75">
      <c r="A46" s="26" t="str">
        <v>X024</v>
      </c>
      <c r="B46" s="27" t="str">
        <v>NY</v>
      </c>
      <c r="C46" s="27" t="str">
        <f>Sites[[#This Row],[SOL'#]]</f>
        <v>SOL-10419</v>
      </c>
      <c r="D46" s="9">
        <f>SUM('1st Qtr'!D46,'2nd Qtr'!D46,'3rd Qtr'!D46,'4th Qtr'!D46)</f>
        <v>154893.875</v>
      </c>
      <c r="E46" s="14">
        <f>SUM('1st Qtr'!E46, '2nd Qtr'!E46, '3rd Qtr'!E46, '4th Qtr'!E46)</f>
        <v>170959.72</v>
      </c>
      <c r="F46" s="14">
        <f t="shared" si="0"/>
        <v>-16065.845000000001</v>
      </c>
      <c r="G46" s="15">
        <f t="shared" si="1"/>
        <v>-9.3974446144390045E-2</v>
      </c>
      <c r="H46" s="16">
        <f>SUM('1st Qtr'!H46,'2nd Qtr'!H46,'3rd Qtr'!H46,'4th Qtr'!H46)</f>
        <v>150651</v>
      </c>
      <c r="I46" s="16">
        <f>SUM('1st Qtr'!I46, '2nd Qtr'!I46, '3rd Qtr'!I46, '4th Qtr'!I46)</f>
        <v>4242.875</v>
      </c>
      <c r="J46" s="15">
        <f t="shared" si="2"/>
        <v>2.8163603295032889E-2</v>
      </c>
    </row>
    <row r="47" spans="1:10" ht="15.75">
      <c r="A47" s="24" t="str">
        <v>X026</v>
      </c>
      <c r="B47" s="25" t="str">
        <v>NY</v>
      </c>
      <c r="C47" s="25" t="str">
        <f>Sites[[#This Row],[SOL'#]]</f>
        <v>SOL-10420</v>
      </c>
      <c r="D47" s="20">
        <f>SUM('1st Qtr'!D47,'2nd Qtr'!D47,'3rd Qtr'!D47,'4th Qtr'!D47)</f>
        <v>137075.70000000001</v>
      </c>
      <c r="E47" s="10">
        <f>SUM('1st Qtr'!E47, '2nd Qtr'!E47, '3rd Qtr'!E47, '4th Qtr'!E47)</f>
        <v>136456.14000000001</v>
      </c>
      <c r="F47" s="10">
        <f t="shared" si="0"/>
        <v>619.55999999999767</v>
      </c>
      <c r="G47" s="11">
        <f t="shared" si="1"/>
        <v>4.54036000138944E-3</v>
      </c>
      <c r="H47" s="12">
        <f>SUM('1st Qtr'!H47,'2nd Qtr'!H47,'3rd Qtr'!H47,'4th Qtr'!H47)</f>
        <v>199429.33699999997</v>
      </c>
      <c r="I47" s="12">
        <f>SUM('1st Qtr'!I47, '2nd Qtr'!I47, '3rd Qtr'!I47, '4th Qtr'!I47)</f>
        <v>-62353.636999999995</v>
      </c>
      <c r="J47" s="13">
        <f t="shared" si="2"/>
        <v>-0.31266030333340578</v>
      </c>
    </row>
    <row r="48" spans="1:10" ht="15.75">
      <c r="A48" s="26" t="str">
        <v>X090</v>
      </c>
      <c r="B48" s="27" t="str">
        <v>NY</v>
      </c>
      <c r="C48" s="27" t="str">
        <f>Sites[[#This Row],[SOL'#]]</f>
        <v>SOL-10925</v>
      </c>
      <c r="D48" s="9">
        <f>SUM('1st Qtr'!D48,'2nd Qtr'!D48,'3rd Qtr'!D48,'4th Qtr'!D48)</f>
        <v>115551.34375</v>
      </c>
      <c r="E48" s="14">
        <f>SUM('1st Qtr'!E48, '2nd Qtr'!E48, '3rd Qtr'!E48, '4th Qtr'!E48)</f>
        <v>104533.11899999999</v>
      </c>
      <c r="F48" s="14">
        <f t="shared" si="0"/>
        <v>11018.224750000008</v>
      </c>
      <c r="G48" s="15">
        <f t="shared" si="1"/>
        <v>0.1054041518650181</v>
      </c>
      <c r="H48" s="16">
        <f>SUM('1st Qtr'!H48,'2nd Qtr'!H48,'3rd Qtr'!H48,'4th Qtr'!H48)</f>
        <v>126875.742</v>
      </c>
      <c r="I48" s="16">
        <f>SUM('1st Qtr'!I48, '2nd Qtr'!I48, '3rd Qtr'!I48, '4th Qtr'!I48)</f>
        <v>-11324.398249999998</v>
      </c>
      <c r="J48" s="15">
        <f t="shared" si="2"/>
        <v>-8.9255818894048308E-2</v>
      </c>
    </row>
    <row r="49" spans="1:10" ht="15.75">
      <c r="A49" s="24" t="str">
        <v>X117</v>
      </c>
      <c r="B49" s="25" t="str">
        <v>NY</v>
      </c>
      <c r="C49" s="25" t="str">
        <f>Sites[[#This Row],[SOL'#]]</f>
        <v>SOL-10422</v>
      </c>
      <c r="D49" s="20">
        <f>SUM('1st Qtr'!D49,'2nd Qtr'!D49,'3rd Qtr'!D49,'4th Qtr'!D49)</f>
        <v>98999.8</v>
      </c>
      <c r="E49" s="10">
        <f>SUM('1st Qtr'!E49, '2nd Qtr'!E49, '3rd Qtr'!E49, '4th Qtr'!E49)</f>
        <v>115915.05000000002</v>
      </c>
      <c r="F49" s="10">
        <f t="shared" si="0"/>
        <v>-16915.250000000015</v>
      </c>
      <c r="G49" s="11">
        <f t="shared" si="1"/>
        <v>-0.14592798778070676</v>
      </c>
      <c r="H49" s="12">
        <f>SUM('1st Qtr'!H49,'2nd Qtr'!H49,'3rd Qtr'!H49,'4th Qtr'!H49)</f>
        <v>108327.06200000001</v>
      </c>
      <c r="I49" s="12">
        <f>SUM('1st Qtr'!I49, '2nd Qtr'!I49, '3rd Qtr'!I49, '4th Qtr'!I49)</f>
        <v>-9327.2620000000024</v>
      </c>
      <c r="J49" s="13">
        <f t="shared" si="2"/>
        <v>-8.6102787501058611E-2</v>
      </c>
    </row>
    <row r="50" spans="1:10" ht="15.75">
      <c r="A50" s="26" t="str">
        <v>X125</v>
      </c>
      <c r="B50" s="27" t="str">
        <v>NY</v>
      </c>
      <c r="C50" s="27" t="str">
        <f>Sites[[#This Row],[SOL'#]]</f>
        <v>SOL-10423</v>
      </c>
      <c r="D50" s="9">
        <f>SUM('1st Qtr'!D50,'2nd Qtr'!D50,'3rd Qtr'!D50,'4th Qtr'!D50)</f>
        <v>186809.5</v>
      </c>
      <c r="E50" s="14">
        <f>SUM('1st Qtr'!E50, '2nd Qtr'!E50, '3rd Qtr'!E50, '4th Qtr'!E50)</f>
        <v>199924.74400000001</v>
      </c>
      <c r="F50" s="14">
        <f t="shared" si="0"/>
        <v>-13115.244000000006</v>
      </c>
      <c r="G50" s="15">
        <f t="shared" si="1"/>
        <v>-6.5600904308273145E-2</v>
      </c>
      <c r="H50" s="16">
        <f>SUM('1st Qtr'!H50,'2nd Qtr'!H50,'3rd Qtr'!H50,'4th Qtr'!H50)</f>
        <v>194640.71400000001</v>
      </c>
      <c r="I50" s="16">
        <f>SUM('1st Qtr'!I50, '2nd Qtr'!I50, '3rd Qtr'!I50, '4th Qtr'!I50)</f>
        <v>-7831.2140000000018</v>
      </c>
      <c r="J50" s="15">
        <f t="shared" si="2"/>
        <v>-4.0234203004413563E-2</v>
      </c>
    </row>
    <row r="51" spans="1:10" ht="15.75">
      <c r="A51" s="24" t="str">
        <v>X134</v>
      </c>
      <c r="B51" s="25" t="str">
        <v>NY</v>
      </c>
      <c r="C51" s="25" t="str">
        <f>Sites[[#This Row],[SOL'#]]</f>
        <v>SOL-10424</v>
      </c>
      <c r="D51" s="20">
        <f>SUM('1st Qtr'!D51,'2nd Qtr'!D51,'3rd Qtr'!D51,'4th Qtr'!D51)</f>
        <v>178772.46899999998</v>
      </c>
      <c r="E51" s="10">
        <f>SUM('1st Qtr'!E51, '2nd Qtr'!E51, '3rd Qtr'!E51, '4th Qtr'!E51)</f>
        <v>89817.096000000005</v>
      </c>
      <c r="F51" s="10">
        <f t="shared" si="0"/>
        <v>88955.372999999978</v>
      </c>
      <c r="G51" s="11">
        <f t="shared" si="1"/>
        <v>0.99040580203127448</v>
      </c>
      <c r="H51" s="12">
        <f>SUM('1st Qtr'!H51,'2nd Qtr'!H51,'3rd Qtr'!H51,'4th Qtr'!H51)</f>
        <v>194057.35399999999</v>
      </c>
      <c r="I51" s="12">
        <f>SUM('1st Qtr'!I51, '2nd Qtr'!I51, '3rd Qtr'!I51, '4th Qtr'!I51)</f>
        <v>-15284.884999999998</v>
      </c>
      <c r="J51" s="13">
        <f t="shared" si="2"/>
        <v>-7.8764781055398705E-2</v>
      </c>
    </row>
    <row r="52" spans="1:10" ht="15.75">
      <c r="A52" s="26" t="str">
        <v>X135</v>
      </c>
      <c r="B52" s="27" t="str">
        <v>NY</v>
      </c>
      <c r="C52" s="27" t="str">
        <f>Sites[[#This Row],[SOL'#]]</f>
        <v>SOL-10425</v>
      </c>
      <c r="D52" s="9">
        <f>SUM('1st Qtr'!D52,'2nd Qtr'!D52,'3rd Qtr'!D52,'4th Qtr'!D52)</f>
        <v>142454.18725000002</v>
      </c>
      <c r="E52" s="14">
        <f>SUM('1st Qtr'!E52, '2nd Qtr'!E52, '3rd Qtr'!E52, '4th Qtr'!E52)</f>
        <v>163855.386</v>
      </c>
      <c r="F52" s="14">
        <f t="shared" si="0"/>
        <v>-21401.198749999981</v>
      </c>
      <c r="G52" s="15">
        <f t="shared" si="1"/>
        <v>-0.13061028552335766</v>
      </c>
      <c r="H52" s="16">
        <f>SUM('1st Qtr'!H52,'2nd Qtr'!H52,'3rd Qtr'!H52,'4th Qtr'!H52)</f>
        <v>157429.51699999999</v>
      </c>
      <c r="I52" s="16">
        <f>SUM('1st Qtr'!I52, '2nd Qtr'!I52, '3rd Qtr'!I52, '4th Qtr'!I52)</f>
        <v>-14975.329750000001</v>
      </c>
      <c r="J52" s="15">
        <f t="shared" si="2"/>
        <v>-9.5124027789528193E-2</v>
      </c>
    </row>
    <row r="53" spans="1:10" ht="15.75">
      <c r="A53" s="24" t="str">
        <v>X139 JHS 222</v>
      </c>
      <c r="B53" s="25" t="str">
        <v>NY</v>
      </c>
      <c r="C53" s="25" t="str">
        <f>Sites[[#This Row],[SOL'#]]</f>
        <v>SOL-10426</v>
      </c>
      <c r="D53" s="20">
        <f>SUM('1st Qtr'!D53,'2nd Qtr'!D53,'3rd Qtr'!D53,'4th Qtr'!D53)</f>
        <v>223159.99569363499</v>
      </c>
      <c r="E53" s="10">
        <f>SUM('1st Qtr'!E53, '2nd Qtr'!E53, '3rd Qtr'!E53, '4th Qtr'!E53)</f>
        <v>243523.91599999997</v>
      </c>
      <c r="F53" s="10">
        <f t="shared" si="0"/>
        <v>-20363.920306364977</v>
      </c>
      <c r="G53" s="11">
        <f t="shared" si="1"/>
        <v>-8.3621849717483099E-2</v>
      </c>
      <c r="H53" s="12">
        <f>SUM('1st Qtr'!H53,'2nd Qtr'!H53,'3rd Qtr'!H53,'4th Qtr'!H53)</f>
        <v>239087.114</v>
      </c>
      <c r="I53" s="12">
        <f>SUM('1st Qtr'!I53, '2nd Qtr'!I53, '3rd Qtr'!I53, '4th Qtr'!I53)</f>
        <v>-15927.118306365001</v>
      </c>
      <c r="J53" s="13">
        <f t="shared" si="2"/>
        <v>-6.6616381116905363E-2</v>
      </c>
    </row>
    <row r="54" spans="1:10" ht="15.75">
      <c r="A54" s="26" t="str">
        <v>X140</v>
      </c>
      <c r="B54" s="27" t="str">
        <v>NY</v>
      </c>
      <c r="C54" s="27" t="str">
        <f>Sites[[#This Row],[SOL'#]]</f>
        <v>SOL-10926</v>
      </c>
      <c r="D54" s="9">
        <f>SUM('1st Qtr'!D54,'2nd Qtr'!D54,'3rd Qtr'!D54,'4th Qtr'!D54)</f>
        <v>127094.78125</v>
      </c>
      <c r="E54" s="14">
        <f>SUM('1st Qtr'!E54, '2nd Qtr'!E54, '3rd Qtr'!E54, '4th Qtr'!E54)</f>
        <v>110013.164</v>
      </c>
      <c r="F54" s="14">
        <f t="shared" si="0"/>
        <v>17081.617249999996</v>
      </c>
      <c r="G54" s="15">
        <f t="shared" si="1"/>
        <v>0.15526884809894201</v>
      </c>
      <c r="H54" s="16">
        <f>SUM('1st Qtr'!H54,'2nd Qtr'!H54,'3rd Qtr'!H54,'4th Qtr'!H54)</f>
        <v>132586</v>
      </c>
      <c r="I54" s="16">
        <f>SUM('1st Qtr'!I54, '2nd Qtr'!I54, '3rd Qtr'!I54, '4th Qtr'!I54)</f>
        <v>-5491.21875</v>
      </c>
      <c r="J54" s="15">
        <f t="shared" si="2"/>
        <v>-4.1416278868055448E-2</v>
      </c>
    </row>
    <row r="55" spans="1:10" ht="15.75">
      <c r="A55" s="24" t="str">
        <v>X166</v>
      </c>
      <c r="B55" s="25" t="str">
        <v>NY</v>
      </c>
      <c r="C55" s="25" t="str">
        <f>Sites[[#This Row],[SOL'#]]</f>
        <v>SOL-10427</v>
      </c>
      <c r="D55" s="20">
        <f>SUM('1st Qtr'!D55,'2nd Qtr'!D55,'3rd Qtr'!D55,'4th Qtr'!D55)</f>
        <v>132404.29999999999</v>
      </c>
      <c r="E55" s="10">
        <f>SUM('1st Qtr'!E55, '2nd Qtr'!E55, '3rd Qtr'!E55, '4th Qtr'!E55)</f>
        <v>138643.58600000001</v>
      </c>
      <c r="F55" s="10">
        <f t="shared" si="0"/>
        <v>-6239.2860000000219</v>
      </c>
      <c r="G55" s="11">
        <f t="shared" si="1"/>
        <v>-4.5002341471462093E-2</v>
      </c>
      <c r="H55" s="12">
        <f>SUM('1st Qtr'!H55,'2nd Qtr'!H55,'3rd Qtr'!H55,'4th Qtr'!H55)</f>
        <v>143719.807</v>
      </c>
      <c r="I55" s="12">
        <f>SUM('1st Qtr'!I55, '2nd Qtr'!I55, '3rd Qtr'!I55, '4th Qtr'!I55)</f>
        <v>-11315.506999999998</v>
      </c>
      <c r="J55" s="13">
        <f t="shared" si="2"/>
        <v>-7.8733107399733687E-2</v>
      </c>
    </row>
    <row r="56" spans="1:10" ht="15.75">
      <c r="A56" s="26" t="str">
        <v>Murphy</v>
      </c>
      <c r="B56" s="27" t="str">
        <v>MN</v>
      </c>
      <c r="C56" s="27" t="str">
        <f>Sites[[#This Row],[SOL'#]]</f>
        <v>SOL-10094</v>
      </c>
      <c r="D56" s="9">
        <f>SUM('1st Qtr'!D56,'2nd Qtr'!D56,'3rd Qtr'!D56,'4th Qtr'!D56)</f>
        <v>5456990</v>
      </c>
      <c r="E56" s="14">
        <f>SUM('1st Qtr'!E56, '2nd Qtr'!E56, '3rd Qtr'!E56, '4th Qtr'!E56)</f>
        <v>6249342.0999999996</v>
      </c>
      <c r="F56" s="14">
        <f t="shared" si="0"/>
        <v>-792352.09999999963</v>
      </c>
      <c r="G56" s="15">
        <f t="shared" si="1"/>
        <v>-0.12678968238912697</v>
      </c>
      <c r="H56" s="16">
        <f>SUM('1st Qtr'!H56,'2nd Qtr'!H56,'3rd Qtr'!H56,'4th Qtr'!H56)</f>
        <v>5838830.4000000004</v>
      </c>
      <c r="I56" s="16">
        <f>SUM('1st Qtr'!I56, '2nd Qtr'!I56, '3rd Qtr'!I56, '4th Qtr'!I56)</f>
        <v>-381840.40000000014</v>
      </c>
      <c r="J56" s="15">
        <f t="shared" si="2"/>
        <v>-6.539672739937781E-2</v>
      </c>
    </row>
    <row r="57" spans="1:10" ht="15.75">
      <c r="A57" s="24" t="str">
        <v>Terning</v>
      </c>
      <c r="B57" s="25" t="str">
        <v>MN</v>
      </c>
      <c r="C57" s="25" t="str">
        <f>Sites[[#This Row],[SOL'#]]</f>
        <v>SOL-10093</v>
      </c>
      <c r="D57" s="20">
        <f>SUM('1st Qtr'!D57,'2nd Qtr'!D57,'3rd Qtr'!D57,'4th Qtr'!D57)</f>
        <v>5621765.1266582878</v>
      </c>
      <c r="E57" s="10">
        <f>SUM('1st Qtr'!E57, '2nd Qtr'!E57, '3rd Qtr'!E57, '4th Qtr'!E57)</f>
        <v>6407492.7999999998</v>
      </c>
      <c r="F57" s="10">
        <f t="shared" si="0"/>
        <v>-785727.67334171198</v>
      </c>
      <c r="G57" s="11">
        <f t="shared" si="1"/>
        <v>-0.1226263841204335</v>
      </c>
      <c r="H57" s="12">
        <f>SUM('1st Qtr'!H57,'2nd Qtr'!H57,'3rd Qtr'!H57,'4th Qtr'!H57)</f>
        <v>5756579.8999999994</v>
      </c>
      <c r="I57" s="12">
        <f>SUM('1st Qtr'!I57, '2nd Qtr'!I57, '3rd Qtr'!I57, '4th Qtr'!I57)</f>
        <v>-134814.77334171173</v>
      </c>
      <c r="J57" s="13">
        <f t="shared" si="2"/>
        <v>-2.3419248179237771E-2</v>
      </c>
    </row>
    <row r="58" spans="1:10" ht="15.75">
      <c r="A58" s="26" t="str">
        <v>Boas Road 04</v>
      </c>
      <c r="B58" s="27" t="str">
        <v>NY</v>
      </c>
      <c r="C58" s="27" t="str">
        <f>Sites[[#This Row],[SOL'#]]</f>
        <v>SOL-10908</v>
      </c>
      <c r="D58" s="9">
        <f>SUM('1st Qtr'!D58,'2nd Qtr'!D58,'3rd Qtr'!D58,'4th Qtr'!D58)</f>
        <v>409196</v>
      </c>
      <c r="E58" s="14">
        <f>SUM('1st Qtr'!E58, '2nd Qtr'!E58, '3rd Qtr'!E58, '4th Qtr'!E58)</f>
        <v>2185002.6430000002</v>
      </c>
      <c r="F58" s="14">
        <f t="shared" si="0"/>
        <v>-1775806.6430000002</v>
      </c>
      <c r="G58" s="15">
        <f t="shared" si="1"/>
        <v>-0.81272516932145422</v>
      </c>
      <c r="H58" s="16">
        <f>SUM('1st Qtr'!H58,'2nd Qtr'!H58,'3rd Qtr'!H58,'4th Qtr'!H58)</f>
        <v>2192358.81</v>
      </c>
      <c r="I58" s="16">
        <f>SUM('1st Qtr'!I58, '2nd Qtr'!I58, '3rd Qtr'!I58, '4th Qtr'!I58)</f>
        <v>-1401840.81</v>
      </c>
      <c r="J58" s="15">
        <f t="shared" si="2"/>
        <v>-0.63942124966305125</v>
      </c>
    </row>
    <row r="59" spans="1:10" ht="15.75">
      <c r="A59" s="24" t="str">
        <v>Kelly Bridge Farm</v>
      </c>
      <c r="B59" s="25" t="str">
        <v>NY</v>
      </c>
      <c r="C59" s="25" t="str">
        <f>Sites[[#This Row],[SOL'#]]</f>
        <v>SOL-10911</v>
      </c>
      <c r="D59" s="20">
        <f>SUM('1st Qtr'!D59,'2nd Qtr'!D59,'3rd Qtr'!D59,'4th Qtr'!D59)</f>
        <v>816438</v>
      </c>
      <c r="E59" s="10">
        <f>SUM('1st Qtr'!E59, '2nd Qtr'!E59, '3rd Qtr'!E59, '4th Qtr'!E59)</f>
        <v>2115550.128</v>
      </c>
      <c r="F59" s="10">
        <f t="shared" si="0"/>
        <v>-1299112.128</v>
      </c>
      <c r="G59" s="11">
        <f t="shared" si="1"/>
        <v>-0.61407768636905591</v>
      </c>
      <c r="H59" s="12">
        <f>SUM('1st Qtr'!H59,'2nd Qtr'!H59,'3rd Qtr'!H59,'4th Qtr'!H59)</f>
        <v>2164076.61</v>
      </c>
      <c r="I59" s="12">
        <f>SUM('1st Qtr'!I59, '2nd Qtr'!I59, '3rd Qtr'!I59, '4th Qtr'!I59)</f>
        <v>-1347638.6099999999</v>
      </c>
      <c r="J59" s="13">
        <f t="shared" si="2"/>
        <v>-0.6227314706756153</v>
      </c>
    </row>
    <row r="60" spans="1:10" ht="15.75">
      <c r="A60" s="26" t="str">
        <v>Pool Brook Road</v>
      </c>
      <c r="B60" s="27" t="str">
        <v>NY</v>
      </c>
      <c r="C60" s="27" t="str">
        <f>Sites[[#This Row],[SOL'#]]</f>
        <v>SOL-10909</v>
      </c>
      <c r="D60" s="9">
        <f>SUM('1st Qtr'!D60,'2nd Qtr'!D60,'3rd Qtr'!D60,'4th Qtr'!D60)</f>
        <v>1516075</v>
      </c>
      <c r="E60" s="14">
        <f>SUM('1st Qtr'!E60, '2nd Qtr'!E60, '3rd Qtr'!E60, '4th Qtr'!E60)</f>
        <v>1833053.8739999998</v>
      </c>
      <c r="F60" s="14">
        <f t="shared" si="0"/>
        <v>-316978.87399999984</v>
      </c>
      <c r="G60" s="15">
        <f t="shared" si="1"/>
        <v>-0.17292392683926094</v>
      </c>
      <c r="H60" s="16">
        <f>SUM('1st Qtr'!H60,'2nd Qtr'!H60,'3rd Qtr'!H60,'4th Qtr'!H60)</f>
        <v>2041127.01</v>
      </c>
      <c r="I60" s="16">
        <f>SUM('1st Qtr'!I60, '2nd Qtr'!I60, '3rd Qtr'!I60, '4th Qtr'!I60)</f>
        <v>-525052.01</v>
      </c>
      <c r="J60" s="15">
        <f t="shared" si="2"/>
        <v>-0.2572363245538552</v>
      </c>
    </row>
    <row r="61" spans="1:10" ht="15.75">
      <c r="A61" s="24" t="str">
        <v>Sackett Lake</v>
      </c>
      <c r="B61" s="25" t="str">
        <v>NY</v>
      </c>
      <c r="C61" s="25" t="str">
        <f>Sites[[#This Row],[SOL'#]]</f>
        <v>SOL-10910</v>
      </c>
      <c r="D61" s="20">
        <f>SUM('1st Qtr'!D61,'2nd Qtr'!D61,'3rd Qtr'!D61,'4th Qtr'!D61)</f>
        <v>1537326</v>
      </c>
      <c r="E61" s="10">
        <f>SUM('1st Qtr'!E61, '2nd Qtr'!E61, '3rd Qtr'!E61, '4th Qtr'!E61)</f>
        <v>1906520.4060000002</v>
      </c>
      <c r="F61" s="10">
        <f t="shared" si="0"/>
        <v>-369194.40600000019</v>
      </c>
      <c r="G61" s="11">
        <f t="shared" si="1"/>
        <v>-0.19364828450726804</v>
      </c>
      <c r="H61" s="12">
        <f>SUM('1st Qtr'!H61,'2nd Qtr'!H61,'3rd Qtr'!H61,'4th Qtr'!H61)</f>
        <v>2177060.65</v>
      </c>
      <c r="I61" s="12">
        <f>SUM('1st Qtr'!I61, '2nd Qtr'!I61, '3rd Qtr'!I61, '4th Qtr'!I61)</f>
        <v>-639734.64999999991</v>
      </c>
      <c r="J61" s="13">
        <f t="shared" si="2"/>
        <v>-0.29385247030210204</v>
      </c>
    </row>
    <row r="62" spans="1:10" ht="15.75">
      <c r="A62" s="26" t="str">
        <v>Burritt Road</v>
      </c>
      <c r="B62" s="27" t="str">
        <v>NY</v>
      </c>
      <c r="C62" s="27" t="str">
        <f>Sites[[#This Row],[SOL'#]]</f>
        <v>SOL-10913</v>
      </c>
      <c r="D62" s="9">
        <f>SUM('1st Qtr'!D62,'2nd Qtr'!D62,'3rd Qtr'!D62,'4th Qtr'!D62)</f>
        <v>1825870</v>
      </c>
      <c r="E62" s="14">
        <f>SUM('1st Qtr'!E62, '2nd Qtr'!E62, '3rd Qtr'!E62, '4th Qtr'!E62)</f>
        <v>1349922.01</v>
      </c>
      <c r="F62" s="14">
        <f t="shared" si="0"/>
        <v>475947.99</v>
      </c>
      <c r="G62" s="15">
        <f t="shared" si="1"/>
        <v>0.35257443502236102</v>
      </c>
      <c r="H62" s="16">
        <f>SUM('1st Qtr'!H62,'2nd Qtr'!H62,'3rd Qtr'!H62,'4th Qtr'!H62)</f>
        <v>2092428.87</v>
      </c>
      <c r="I62" s="16">
        <f>SUM('1st Qtr'!I62, '2nd Qtr'!I62, '3rd Qtr'!I62, '4th Qtr'!I62)</f>
        <v>-266558.87</v>
      </c>
      <c r="J62" s="15">
        <f t="shared" si="2"/>
        <v>-0.12739208191100898</v>
      </c>
    </row>
    <row r="63" spans="1:10" ht="15.75">
      <c r="A63" s="24" t="str">
        <v>Villa Roma 1</v>
      </c>
      <c r="B63" s="25" t="str">
        <v>NY</v>
      </c>
      <c r="C63" s="25" t="str">
        <f>Sites[[#This Row],[SOL'#]]</f>
        <v>SOL-10914</v>
      </c>
      <c r="D63" s="20">
        <f>SUM('1st Qtr'!D63,'2nd Qtr'!D63,'3rd Qtr'!D63,'4th Qtr'!D63)</f>
        <v>1674914</v>
      </c>
      <c r="E63" s="10">
        <f>SUM('1st Qtr'!E63, '2nd Qtr'!E63, '3rd Qtr'!E63, '4th Qtr'!E63)</f>
        <v>385053.20400000003</v>
      </c>
      <c r="F63" s="10">
        <f t="shared" si="0"/>
        <v>1289860.7960000001</v>
      </c>
      <c r="G63" s="11">
        <f t="shared" si="1"/>
        <v>3.3498248621247675</v>
      </c>
      <c r="H63" s="12">
        <f>SUM('1st Qtr'!H63,'2nd Qtr'!H63,'3rd Qtr'!H63,'4th Qtr'!H63)</f>
        <v>1872674.28</v>
      </c>
      <c r="I63" s="12">
        <f>SUM('1st Qtr'!I63, '2nd Qtr'!I63, '3rd Qtr'!I63, '4th Qtr'!I63)</f>
        <v>-197760.27999999997</v>
      </c>
      <c r="J63" s="13">
        <f t="shared" si="2"/>
        <v>-0.10560313777578019</v>
      </c>
    </row>
    <row r="64" spans="1:10" ht="15.75">
      <c r="A64" s="26" t="str">
        <v>Villa Roma 2</v>
      </c>
      <c r="B64" s="27" t="str">
        <v>NY</v>
      </c>
      <c r="C64" s="27" t="str">
        <f>Sites[[#This Row],[SOL'#]]</f>
        <v>SOL-10915</v>
      </c>
      <c r="D64" s="9">
        <f>SUM('1st Qtr'!D64,'2nd Qtr'!D64,'3rd Qtr'!D64,'4th Qtr'!D64)</f>
        <v>1668808</v>
      </c>
      <c r="E64" s="14">
        <f>SUM('1st Qtr'!E64, '2nd Qtr'!E64, '3rd Qtr'!E64, '4th Qtr'!E64)</f>
        <v>1885457.6780000001</v>
      </c>
      <c r="F64" s="14">
        <f t="shared" si="0"/>
        <v>-216649.67800000007</v>
      </c>
      <c r="G64" s="15">
        <f t="shared" si="1"/>
        <v>-0.11490561709654035</v>
      </c>
      <c r="H64" s="16">
        <f>SUM('1st Qtr'!H64,'2nd Qtr'!H64,'3rd Qtr'!H64,'4th Qtr'!H64)</f>
        <v>1817508.7499999998</v>
      </c>
      <c r="I64" s="16">
        <f>SUM('1st Qtr'!I64, '2nd Qtr'!I64, '3rd Qtr'!I64, '4th Qtr'!I64)</f>
        <v>-148700.75</v>
      </c>
      <c r="J64" s="15">
        <f t="shared" si="2"/>
        <v>-8.1815699649313942E-2</v>
      </c>
    </row>
    <row r="65" spans="1:10" ht="15.75">
      <c r="A65" s="24" t="str">
        <v>Washington 1</v>
      </c>
      <c r="B65" s="25" t="str">
        <v>NY</v>
      </c>
      <c r="C65" s="25" t="str">
        <f>Sites[[#This Row],[SOL'#]]</f>
        <v>SOL-10912</v>
      </c>
      <c r="D65" s="20">
        <f>SUM('1st Qtr'!D65,'2nd Qtr'!D65,'3rd Qtr'!D65,'4th Qtr'!D65)</f>
        <v>1952400</v>
      </c>
      <c r="E65" s="10">
        <f>SUM('1st Qtr'!E65, '2nd Qtr'!E65, '3rd Qtr'!E65, '4th Qtr'!E65)</f>
        <v>2192393.2890000003</v>
      </c>
      <c r="F65" s="10">
        <f t="shared" ref="F65:F103" si="3">IF(AND(ISNUMBER(D65),ISNUMBER(E65)), D65-E65, "")</f>
        <v>-239993.28900000034</v>
      </c>
      <c r="G65" s="11">
        <f t="shared" ref="G65:G103" si="4">IFERROR(F65/E65, "")</f>
        <v>-0.10946634903697715</v>
      </c>
      <c r="H65" s="12">
        <f>SUM('1st Qtr'!H65,'2nd Qtr'!H65,'3rd Qtr'!H65,'4th Qtr'!H65)</f>
        <v>2064768.6</v>
      </c>
      <c r="I65" s="12">
        <f>SUM('1st Qtr'!I65, '2nd Qtr'!I65, '3rd Qtr'!I65, '4th Qtr'!I65)</f>
        <v>-112368.60000000002</v>
      </c>
      <c r="J65" s="13">
        <f t="shared" ref="J65:J103" si="5">IFERROR(I65/H65, "")</f>
        <v>-5.4421885338628267E-2</v>
      </c>
    </row>
    <row r="66" spans="1:10" ht="15.75">
      <c r="A66" s="26" t="str">
        <v>Washington 3</v>
      </c>
      <c r="B66" s="27" t="str">
        <v>NY</v>
      </c>
      <c r="C66" s="27" t="str">
        <f>Sites[[#This Row],[SOL'#]]</f>
        <v>SOL-10828</v>
      </c>
      <c r="D66" s="9">
        <f>SUM('1st Qtr'!D66,'2nd Qtr'!D66,'3rd Qtr'!D66,'4th Qtr'!D66)</f>
        <v>2241670</v>
      </c>
      <c r="E66" s="14">
        <f>SUM('1st Qtr'!E66, '2nd Qtr'!E66, '3rd Qtr'!E66, '4th Qtr'!E66)</f>
        <v>2004226.483</v>
      </c>
      <c r="F66" s="14">
        <f t="shared" si="3"/>
        <v>237443.51699999999</v>
      </c>
      <c r="G66" s="15">
        <f t="shared" si="4"/>
        <v>0.11847139982133446</v>
      </c>
      <c r="H66" s="16">
        <f>SUM('1st Qtr'!H66,'2nd Qtr'!H66,'3rd Qtr'!H66,'4th Qtr'!H66)</f>
        <v>2528107.23</v>
      </c>
      <c r="I66" s="16">
        <f>SUM('1st Qtr'!I66, '2nd Qtr'!I66, '3rd Qtr'!I66, '4th Qtr'!I66)</f>
        <v>-286437.23</v>
      </c>
      <c r="J66" s="15">
        <f t="shared" si="5"/>
        <v>-0.1133010604142768</v>
      </c>
    </row>
    <row r="67" spans="1:10" ht="15.75">
      <c r="A67" s="24" t="str">
        <v>Washington 4</v>
      </c>
      <c r="B67" s="25" t="str">
        <v>NY</v>
      </c>
      <c r="C67" s="25" t="str">
        <f>Sites[[#This Row],[SOL'#]]</f>
        <v>SOL-10829</v>
      </c>
      <c r="D67" s="20">
        <f>SUM('1st Qtr'!D67,'2nd Qtr'!D67,'3rd Qtr'!D67,'4th Qtr'!D67)</f>
        <v>2141121.5</v>
      </c>
      <c r="E67" s="10">
        <f>SUM('1st Qtr'!E67, '2nd Qtr'!E67, '3rd Qtr'!E67, '4th Qtr'!E67)</f>
        <v>2424378.8679999998</v>
      </c>
      <c r="F67" s="10">
        <f t="shared" si="3"/>
        <v>-283257.36799999978</v>
      </c>
      <c r="G67" s="11">
        <f t="shared" si="4"/>
        <v>-0.11683708835231434</v>
      </c>
      <c r="H67" s="12">
        <f>SUM('1st Qtr'!H67,'2nd Qtr'!H67,'3rd Qtr'!H67,'4th Qtr'!H67)</f>
        <v>2530976.87</v>
      </c>
      <c r="I67" s="12">
        <f>SUM('1st Qtr'!I67, '2nd Qtr'!I67, '3rd Qtr'!I67, '4th Qtr'!I67)</f>
        <v>-389855.37</v>
      </c>
      <c r="J67" s="13">
        <f t="shared" si="5"/>
        <v>-0.15403355701152655</v>
      </c>
    </row>
    <row r="68" spans="1:10" ht="15.75">
      <c r="A68" s="26" t="str">
        <v>Big Tree</v>
      </c>
      <c r="B68" s="27" t="str">
        <v>NY</v>
      </c>
      <c r="C68" s="27" t="str">
        <f>Sites[[#This Row],[SOL'#]]</f>
        <v>SOL-10966</v>
      </c>
      <c r="D68" s="9">
        <f>SUM('1st Qtr'!D68,'2nd Qtr'!D68,'3rd Qtr'!D68,'4th Qtr'!D68)</f>
        <v>1867204</v>
      </c>
      <c r="E68" s="14">
        <f>SUM('1st Qtr'!E68, '2nd Qtr'!E68, '3rd Qtr'!E68, '4th Qtr'!E68)</f>
        <v>435290</v>
      </c>
      <c r="F68" s="14">
        <f t="shared" si="3"/>
        <v>1431914</v>
      </c>
      <c r="G68" s="15">
        <f t="shared" si="4"/>
        <v>3.2895632796526453</v>
      </c>
      <c r="H68" s="16">
        <f>SUM('1st Qtr'!H68,'2nd Qtr'!H68,'3rd Qtr'!H68,'4th Qtr'!H68)</f>
        <v>2145438.6</v>
      </c>
      <c r="I68" s="16">
        <f>SUM('1st Qtr'!I68, '2nd Qtr'!I68, '3rd Qtr'!I68, '4th Qtr'!I68)</f>
        <v>-278234.59999999992</v>
      </c>
      <c r="J68" s="15">
        <f t="shared" si="5"/>
        <v>-0.12968658250112583</v>
      </c>
    </row>
    <row r="69" spans="1:10" ht="15.75">
      <c r="A69" s="24" t="str">
        <v>Canoga</v>
      </c>
      <c r="B69" s="25" t="str">
        <v>NY</v>
      </c>
      <c r="C69" s="25" t="str">
        <f>Sites[[#This Row],[SOL'#]]</f>
        <v>SOL-10965</v>
      </c>
      <c r="D69" s="20">
        <f>SUM('1st Qtr'!D69,'2nd Qtr'!D69,'3rd Qtr'!D69,'4th Qtr'!D69)</f>
        <v>1847040</v>
      </c>
      <c r="E69" s="10">
        <f>SUM('1st Qtr'!E69, '2nd Qtr'!E69, '3rd Qtr'!E69, '4th Qtr'!E69)</f>
        <v>0</v>
      </c>
      <c r="F69" s="10">
        <f t="shared" si="3"/>
        <v>1847040</v>
      </c>
      <c r="G69" s="11" t="str">
        <f t="shared" si="4"/>
        <v/>
      </c>
      <c r="H69" s="12">
        <f>SUM('1st Qtr'!H69,'2nd Qtr'!H69,'3rd Qtr'!H69,'4th Qtr'!H69)</f>
        <v>1264221.1200000001</v>
      </c>
      <c r="I69" s="12">
        <f>SUM('1st Qtr'!I69, '2nd Qtr'!I69, '3rd Qtr'!I69, '4th Qtr'!I69)</f>
        <v>267828.88</v>
      </c>
      <c r="J69" s="13">
        <f t="shared" si="5"/>
        <v>0.2118528758639944</v>
      </c>
    </row>
    <row r="70" spans="1:10" ht="15.75">
      <c r="A70" s="26" t="str">
        <v>County Route 84</v>
      </c>
      <c r="B70" s="27" t="str">
        <v>NY</v>
      </c>
      <c r="C70" s="27" t="str">
        <f>Sites[[#This Row],[SOL'#]]</f>
        <v>SOL-10967</v>
      </c>
      <c r="D70" s="9">
        <f>SUM('1st Qtr'!D70,'2nd Qtr'!D70,'3rd Qtr'!D70,'4th Qtr'!D70)</f>
        <v>5123960</v>
      </c>
      <c r="E70" s="14">
        <f>SUM('1st Qtr'!E70, '2nd Qtr'!E70, '3rd Qtr'!E70, '4th Qtr'!E70)</f>
        <v>914380</v>
      </c>
      <c r="F70" s="14">
        <f t="shared" si="3"/>
        <v>4209580</v>
      </c>
      <c r="G70" s="15">
        <f t="shared" si="4"/>
        <v>4.6037533629344471</v>
      </c>
      <c r="H70" s="16">
        <f>SUM('1st Qtr'!H70,'2nd Qtr'!H70,'3rd Qtr'!H70,'4th Qtr'!H70)</f>
        <v>5674914.2299999995</v>
      </c>
      <c r="I70" s="16">
        <f>SUM('1st Qtr'!I70, '2nd Qtr'!I70, '3rd Qtr'!I70, '4th Qtr'!I70)</f>
        <v>-550954.23</v>
      </c>
      <c r="J70" s="15">
        <f t="shared" si="5"/>
        <v>-9.7085913138109228E-2</v>
      </c>
    </row>
    <row r="71" spans="1:10" ht="15.75">
      <c r="A71" s="24" t="str">
        <v>Donati</v>
      </c>
      <c r="B71" s="25" t="str">
        <v>NY</v>
      </c>
      <c r="C71" s="25" t="str">
        <f>Sites[[#This Row],[SOL'#]]</f>
        <v>SOL-10968</v>
      </c>
      <c r="D71" s="20">
        <f>SUM('1st Qtr'!D71,'2nd Qtr'!D71,'3rd Qtr'!D71,'4th Qtr'!D71)</f>
        <v>2117864</v>
      </c>
      <c r="E71" s="10">
        <f>SUM('1st Qtr'!E71, '2nd Qtr'!E71, '3rd Qtr'!E71, '4th Qtr'!E71)</f>
        <v>0</v>
      </c>
      <c r="F71" s="10">
        <f t="shared" si="3"/>
        <v>2117864</v>
      </c>
      <c r="G71" s="11" t="str">
        <f t="shared" si="4"/>
        <v/>
      </c>
      <c r="H71" s="12">
        <f>SUM('1st Qtr'!H71,'2nd Qtr'!H71,'3rd Qtr'!H71,'4th Qtr'!H71)</f>
        <v>2741478.28</v>
      </c>
      <c r="I71" s="12">
        <f>SUM('1st Qtr'!I71, '2nd Qtr'!I71, '3rd Qtr'!I71, '4th Qtr'!I71)</f>
        <v>-623614.28</v>
      </c>
      <c r="J71" s="13">
        <f t="shared" si="5"/>
        <v>-0.22747372632840998</v>
      </c>
    </row>
    <row r="72" spans="1:10" ht="15.75">
      <c r="A72" s="26" t="str">
        <v>Henrietta</v>
      </c>
      <c r="B72" s="27" t="str">
        <v>NY</v>
      </c>
      <c r="C72" s="27" t="str">
        <f>Sites[[#This Row],[SOL'#]]</f>
        <v>SOL-10972</v>
      </c>
      <c r="D72" s="9">
        <f>SUM('1st Qtr'!D72,'2nd Qtr'!D72,'3rd Qtr'!D72,'4th Qtr'!D72)</f>
        <v>4426890</v>
      </c>
      <c r="E72" s="14">
        <f>SUM('1st Qtr'!E72, '2nd Qtr'!E72, '3rd Qtr'!E72, '4th Qtr'!E72)</f>
        <v>1113180</v>
      </c>
      <c r="F72" s="14">
        <f t="shared" si="3"/>
        <v>3313710</v>
      </c>
      <c r="G72" s="15">
        <f t="shared" si="4"/>
        <v>2.9767962054654236</v>
      </c>
      <c r="H72" s="16">
        <f>SUM('1st Qtr'!H72,'2nd Qtr'!H72,'3rd Qtr'!H72,'4th Qtr'!H72)</f>
        <v>5612956.3900000006</v>
      </c>
      <c r="I72" s="16">
        <f>SUM('1st Qtr'!I72, '2nd Qtr'!I72, '3rd Qtr'!I72, '4th Qtr'!I72)</f>
        <v>-1186066.3900000001</v>
      </c>
      <c r="J72" s="15">
        <f t="shared" si="5"/>
        <v>-0.21130867720851829</v>
      </c>
    </row>
    <row r="73" spans="1:10" ht="15.75">
      <c r="A73" s="24" t="str">
        <v>NY 70</v>
      </c>
      <c r="B73" s="25" t="str">
        <v>NY</v>
      </c>
      <c r="C73" s="25" t="str">
        <f>Sites[[#This Row],[SOL'#]]</f>
        <v>SOL-10970</v>
      </c>
      <c r="D73" s="20">
        <f>SUM('1st Qtr'!D73,'2nd Qtr'!D73,'3rd Qtr'!D73,'4th Qtr'!D73)</f>
        <v>5363210</v>
      </c>
      <c r="E73" s="10">
        <f>SUM('1st Qtr'!E73, '2nd Qtr'!E73, '3rd Qtr'!E73, '4th Qtr'!E73)</f>
        <v>1215880</v>
      </c>
      <c r="F73" s="10">
        <f t="shared" si="3"/>
        <v>4147330</v>
      </c>
      <c r="G73" s="11">
        <f t="shared" si="4"/>
        <v>3.4109698325492648</v>
      </c>
      <c r="H73" s="12">
        <f>SUM('1st Qtr'!H73,'2nd Qtr'!H73,'3rd Qtr'!H73,'4th Qtr'!H73)</f>
        <v>6470348.8799999999</v>
      </c>
      <c r="I73" s="12">
        <f>SUM('1st Qtr'!I73, '2nd Qtr'!I73, '3rd Qtr'!I73, '4th Qtr'!I73)</f>
        <v>-1107138.8800000001</v>
      </c>
      <c r="J73" s="13">
        <f t="shared" si="5"/>
        <v>-0.17110961101683286</v>
      </c>
    </row>
    <row r="74" spans="1:10" ht="15.75">
      <c r="A74" s="26" t="str">
        <v>Reid</v>
      </c>
      <c r="B74" s="27" t="str">
        <v>NY</v>
      </c>
      <c r="C74" s="27" t="str">
        <f>Sites[[#This Row],[SOL'#]]</f>
        <v>SOL-10991</v>
      </c>
      <c r="D74" s="9">
        <f>SUM('1st Qtr'!D74,'2nd Qtr'!D74,'3rd Qtr'!D74,'4th Qtr'!D74)</f>
        <v>3571276.9762779837</v>
      </c>
      <c r="E74" s="14">
        <f>SUM('1st Qtr'!E74, '2nd Qtr'!E74, '3rd Qtr'!E74, '4th Qtr'!E74)</f>
        <v>4073166.2</v>
      </c>
      <c r="F74" s="14">
        <f t="shared" si="3"/>
        <v>-501889.22372201644</v>
      </c>
      <c r="G74" s="15">
        <f t="shared" si="4"/>
        <v>-0.12321844950054246</v>
      </c>
      <c r="H74" s="16">
        <f>SUM('1st Qtr'!H74,'2nd Qtr'!H74,'3rd Qtr'!H74,'4th Qtr'!H74)</f>
        <v>4103144</v>
      </c>
      <c r="I74" s="16">
        <f>SUM('1st Qtr'!I74, '2nd Qtr'!I74, '3rd Qtr'!I74, '4th Qtr'!I74)</f>
        <v>-531867.02372201602</v>
      </c>
      <c r="J74" s="15">
        <f t="shared" si="5"/>
        <v>-0.12962426464243421</v>
      </c>
    </row>
    <row r="75" spans="1:10" ht="15.75">
      <c r="A75" s="24" t="str">
        <v>Sangolqui</v>
      </c>
      <c r="B75" s="25" t="str">
        <v>NY</v>
      </c>
      <c r="C75" s="25" t="str">
        <f>Sites[[#This Row],[SOL'#]]</f>
        <v>SOL-10975</v>
      </c>
      <c r="D75" s="20">
        <f>SUM('1st Qtr'!D75,'2nd Qtr'!D75,'3rd Qtr'!D75,'4th Qtr'!D75)</f>
        <v>2282662</v>
      </c>
      <c r="E75" s="10">
        <f>SUM('1st Qtr'!E75, '2nd Qtr'!E75, '3rd Qtr'!E75, '4th Qtr'!E75)</f>
        <v>555700</v>
      </c>
      <c r="F75" s="10">
        <f t="shared" si="3"/>
        <v>1726962</v>
      </c>
      <c r="G75" s="11">
        <f t="shared" si="4"/>
        <v>3.1077235918661148</v>
      </c>
      <c r="H75" s="12">
        <f>SUM('1st Qtr'!H75,'2nd Qtr'!H75,'3rd Qtr'!H75,'4th Qtr'!H75)</f>
        <v>2678724.1800000002</v>
      </c>
      <c r="I75" s="12">
        <f>SUM('1st Qtr'!I75, '2nd Qtr'!I75, '3rd Qtr'!I75, '4th Qtr'!I75)</f>
        <v>-396062.18000000005</v>
      </c>
      <c r="J75" s="13">
        <f t="shared" si="5"/>
        <v>-0.14785478212243564</v>
      </c>
    </row>
    <row r="76" spans="1:10" ht="15.75">
      <c r="A76" s="26" t="str">
        <v>State Highway 17B</v>
      </c>
      <c r="B76" s="27" t="str">
        <v>NY</v>
      </c>
      <c r="C76" s="27" t="str">
        <f>Sites[[#This Row],[SOL'#]]</f>
        <v>SOL-10988</v>
      </c>
      <c r="D76" s="9">
        <f>SUM('1st Qtr'!D76,'2nd Qtr'!D76,'3rd Qtr'!D76,'4th Qtr'!D76)</f>
        <v>4260820</v>
      </c>
      <c r="E76" s="14">
        <f>SUM('1st Qtr'!E76, '2nd Qtr'!E76, '3rd Qtr'!E76, '4th Qtr'!E76)</f>
        <v>841370</v>
      </c>
      <c r="F76" s="14">
        <f t="shared" si="3"/>
        <v>3419450</v>
      </c>
      <c r="G76" s="15">
        <f t="shared" si="4"/>
        <v>4.0641453819366031</v>
      </c>
      <c r="H76" s="16">
        <f>SUM('1st Qtr'!H76,'2nd Qtr'!H76,'3rd Qtr'!H76,'4th Qtr'!H76)</f>
        <v>3001705.6799999997</v>
      </c>
      <c r="I76" s="16">
        <f>SUM('1st Qtr'!I76, '2nd Qtr'!I76, '3rd Qtr'!I76, '4th Qtr'!I76)</f>
        <v>-304635.68</v>
      </c>
      <c r="J76" s="15">
        <f t="shared" si="5"/>
        <v>-0.10148752491949845</v>
      </c>
    </row>
    <row r="77" spans="1:10" ht="15.75">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5497409.4499999993</v>
      </c>
      <c r="I77" s="12">
        <f>SUM('1st Qtr'!I77, '2nd Qtr'!I77, '3rd Qtr'!I77, '4th Qtr'!I77)</f>
        <v>-2822859.45</v>
      </c>
      <c r="J77" s="13">
        <f t="shared" si="5"/>
        <v>-0.51348903072882823</v>
      </c>
    </row>
    <row r="78" spans="1:10" ht="15.75">
      <c r="A78" s="26" t="str">
        <v>West Creek</v>
      </c>
      <c r="B78" s="27" t="str">
        <v>NY</v>
      </c>
      <c r="C78" s="27" t="str">
        <f>Sites[[#This Row],[SOL'#]]</f>
        <v>SOL-10995</v>
      </c>
      <c r="D78" s="9">
        <f>SUM('1st Qtr'!D78,'2nd Qtr'!D78,'3rd Qtr'!D78,'4th Qtr'!D78)</f>
        <v>4739680</v>
      </c>
      <c r="E78" s="14">
        <f>SUM('1st Qtr'!E78, '2nd Qtr'!E78, '3rd Qtr'!E78, '4th Qtr'!E78)</f>
        <v>905450</v>
      </c>
      <c r="F78" s="14">
        <f t="shared" si="3"/>
        <v>3834230</v>
      </c>
      <c r="G78" s="15">
        <f t="shared" si="4"/>
        <v>4.2346126235573474</v>
      </c>
      <c r="H78" s="16">
        <f>SUM('1st Qtr'!H78,'2nd Qtr'!H78,'3rd Qtr'!H78,'4th Qtr'!H78)</f>
        <v>5478390.3300000001</v>
      </c>
      <c r="I78" s="16">
        <f>SUM('1st Qtr'!I78, '2nd Qtr'!I78, '3rd Qtr'!I78, '4th Qtr'!I78)</f>
        <v>-738710.33000000007</v>
      </c>
      <c r="J78" s="15">
        <f t="shared" si="5"/>
        <v>-0.13484076261502895</v>
      </c>
    </row>
    <row r="79" spans="1:10" ht="15.75">
      <c r="A79" s="24" t="str">
        <v>Wildflower</v>
      </c>
      <c r="B79" s="25" t="str">
        <v>NY</v>
      </c>
      <c r="C79" s="25" t="str">
        <f>Sites[[#This Row],[SOL'#]]</f>
        <v>SOL-10982</v>
      </c>
      <c r="D79" s="20">
        <f>SUM('1st Qtr'!D79,'2nd Qtr'!D79,'3rd Qtr'!D79,'4th Qtr'!D79)</f>
        <v>4378444.9000000004</v>
      </c>
      <c r="E79" s="10">
        <f>SUM('1st Qtr'!E79, '2nd Qtr'!E79, '3rd Qtr'!E79, '4th Qtr'!E79)</f>
        <v>890492</v>
      </c>
      <c r="F79" s="10">
        <f t="shared" si="3"/>
        <v>3487952.9000000004</v>
      </c>
      <c r="G79" s="11">
        <f t="shared" si="4"/>
        <v>3.9168829141643049</v>
      </c>
      <c r="H79" s="12">
        <f>SUM('1st Qtr'!H79,'2nd Qtr'!H79,'3rd Qtr'!H79,'4th Qtr'!H79)</f>
        <v>5584253.6000000006</v>
      </c>
      <c r="I79" s="12">
        <f>SUM('1st Qtr'!I79, '2nd Qtr'!I79, '3rd Qtr'!I79, '4th Qtr'!I79)</f>
        <v>-1205808.7000000002</v>
      </c>
      <c r="J79" s="13">
        <f t="shared" si="5"/>
        <v>-0.21593014686868806</v>
      </c>
    </row>
    <row r="80" spans="1:10" ht="15.75">
      <c r="A80" s="26" t="str">
        <v>Glen Mary 1</v>
      </c>
      <c r="B80" s="27" t="str">
        <v>NY</v>
      </c>
      <c r="C80" s="27" t="str">
        <f>Sites[[#This Row],[SOL'#]]</f>
        <v>SOL-10993</v>
      </c>
      <c r="D80" s="9">
        <f>SUM('1st Qtr'!D80,'2nd Qtr'!D80,'3rd Qtr'!D80,'4th Qtr'!D80)</f>
        <v>4947550</v>
      </c>
      <c r="E80" s="14">
        <f>SUM('1st Qtr'!E80, '2nd Qtr'!E80, '3rd Qtr'!E80, '4th Qtr'!E80)</f>
        <v>1030810</v>
      </c>
      <c r="F80" s="14">
        <f t="shared" si="3"/>
        <v>3916740</v>
      </c>
      <c r="G80" s="15">
        <f t="shared" si="4"/>
        <v>3.7996721025213183</v>
      </c>
      <c r="H80" s="16">
        <f>SUM('1st Qtr'!H80,'2nd Qtr'!H80,'3rd Qtr'!H80,'4th Qtr'!H80)</f>
        <v>5649343.8100000005</v>
      </c>
      <c r="I80" s="16">
        <f>SUM('1st Qtr'!I80, '2nd Qtr'!I80, '3rd Qtr'!I80, '4th Qtr'!I80)</f>
        <v>-701793.80999999982</v>
      </c>
      <c r="J80" s="15">
        <f t="shared" si="5"/>
        <v>-0.12422572135860142</v>
      </c>
    </row>
    <row r="81" spans="1:10" ht="15.75">
      <c r="A81" s="24" t="str">
        <v>Glen Mary 2</v>
      </c>
      <c r="B81" s="25" t="str">
        <v>NY</v>
      </c>
      <c r="C81" s="25" t="str">
        <f>Sites[[#This Row],[SOL'#]]</f>
        <v>SOL-10994</v>
      </c>
      <c r="D81" s="20">
        <f>SUM('1st Qtr'!D81,'2nd Qtr'!D81,'3rd Qtr'!D81,'4th Qtr'!D81)</f>
        <v>1885780</v>
      </c>
      <c r="E81" s="10">
        <f>SUM('1st Qtr'!E81, '2nd Qtr'!E81, '3rd Qtr'!E81, '4th Qtr'!E81)</f>
        <v>216810</v>
      </c>
      <c r="F81" s="10">
        <f t="shared" si="3"/>
        <v>1668970</v>
      </c>
      <c r="G81" s="11">
        <f t="shared" si="4"/>
        <v>7.6978460403117941</v>
      </c>
      <c r="H81" s="12">
        <f>SUM('1st Qtr'!H81,'2nd Qtr'!H81,'3rd Qtr'!H81,'4th Qtr'!H81)</f>
        <v>2392189.09</v>
      </c>
      <c r="I81" s="12">
        <f>SUM('1st Qtr'!I81, '2nd Qtr'!I81, '3rd Qtr'!I81, '4th Qtr'!I81)</f>
        <v>-506409.08999999997</v>
      </c>
      <c r="J81" s="13">
        <f t="shared" si="5"/>
        <v>-0.2116927512615652</v>
      </c>
    </row>
    <row r="82" spans="1:10" ht="15.75">
      <c r="A82" s="26" t="str">
        <v>Telegraph 1</v>
      </c>
      <c r="B82" s="27" t="str">
        <v>NY</v>
      </c>
      <c r="C82" s="27" t="str">
        <f>Sites[[#This Row],[SOL'#]]</f>
        <v>SOL-11003</v>
      </c>
      <c r="D82" s="9">
        <f>SUM('1st Qtr'!D82,'2nd Qtr'!D82,'3rd Qtr'!D82,'4th Qtr'!D82)</f>
        <v>3609837</v>
      </c>
      <c r="E82" s="14">
        <f>SUM('1st Qtr'!E82, '2nd Qtr'!E82, '3rd Qtr'!E82, '4th Qtr'!E82)</f>
        <v>0</v>
      </c>
      <c r="F82" s="14">
        <f t="shared" si="3"/>
        <v>3609837</v>
      </c>
      <c r="G82" s="15" t="str">
        <f t="shared" si="4"/>
        <v/>
      </c>
      <c r="H82" s="16">
        <f>SUM('1st Qtr'!H82,'2nd Qtr'!H82,'3rd Qtr'!H82,'4th Qtr'!H82)</f>
        <v>4029144.87</v>
      </c>
      <c r="I82" s="16">
        <f>SUM('1st Qtr'!I82, '2nd Qtr'!I82, '3rd Qtr'!I82, '4th Qtr'!I82)</f>
        <v>-419307.87</v>
      </c>
      <c r="J82" s="15">
        <f t="shared" si="5"/>
        <v>-0.10406870031456575</v>
      </c>
    </row>
    <row r="83" spans="1:10" ht="15.75">
      <c r="A83" s="24" t="str">
        <v>Telegraph 2</v>
      </c>
      <c r="B83" s="25" t="str">
        <v>NY</v>
      </c>
      <c r="C83" s="25" t="str">
        <f>Sites[[#This Row],[SOL'#]]</f>
        <v>SOL-11004</v>
      </c>
      <c r="D83" s="20">
        <f>SUM('1st Qtr'!D83,'2nd Qtr'!D83,'3rd Qtr'!D83,'4th Qtr'!D83)</f>
        <v>1932007</v>
      </c>
      <c r="E83" s="10">
        <f>SUM('1st Qtr'!E83, '2nd Qtr'!E83, '3rd Qtr'!E83, '4th Qtr'!E83)</f>
        <v>0</v>
      </c>
      <c r="F83" s="10">
        <f t="shared" si="3"/>
        <v>1932007</v>
      </c>
      <c r="G83" s="11" t="str">
        <f t="shared" si="4"/>
        <v/>
      </c>
      <c r="H83" s="12">
        <f>SUM('1st Qtr'!H83,'2nd Qtr'!H83,'3rd Qtr'!H83,'4th Qtr'!H83)</f>
        <v>2094656.29</v>
      </c>
      <c r="I83" s="12">
        <f>SUM('1st Qtr'!I83, '2nd Qtr'!I83, '3rd Qtr'!I83, '4th Qtr'!I83)</f>
        <v>-162649.28999999995</v>
      </c>
      <c r="J83" s="13">
        <f t="shared" si="5"/>
        <v>-7.7649631959427548E-2</v>
      </c>
    </row>
    <row r="84" spans="1:10" ht="15.75">
      <c r="A84" s="26" t="str">
        <v>Cafferty Hill</v>
      </c>
      <c r="B84" s="27" t="str">
        <v>NY</v>
      </c>
      <c r="C84" s="27" t="str">
        <f>Sites[[#This Row],[SOL'#]]</f>
        <v>SOL-10996</v>
      </c>
      <c r="D84" s="9">
        <f>SUM('1st Qtr'!D84,'2nd Qtr'!D84,'3rd Qtr'!D84,'4th Qtr'!D84)</f>
        <v>4970000</v>
      </c>
      <c r="E84" s="14">
        <f>SUM('1st Qtr'!E84, '2nd Qtr'!E84, '3rd Qtr'!E84, '4th Qtr'!E84)</f>
        <v>1096662.81</v>
      </c>
      <c r="F84" s="14">
        <f t="shared" si="3"/>
        <v>3873337.19</v>
      </c>
      <c r="G84" s="15">
        <f t="shared" si="4"/>
        <v>3.5319308311366915</v>
      </c>
      <c r="H84" s="16">
        <f>SUM('1st Qtr'!H84,'2nd Qtr'!H84,'3rd Qtr'!H84,'4th Qtr'!H84)</f>
        <v>5237553.09</v>
      </c>
      <c r="I84" s="16">
        <f>SUM('1st Qtr'!I84, '2nd Qtr'!I84, '3rd Qtr'!I84, '4th Qtr'!I84)</f>
        <v>-267553.09000000003</v>
      </c>
      <c r="J84" s="15">
        <f t="shared" si="5"/>
        <v>-5.1083604385955737E-2</v>
      </c>
    </row>
    <row r="85" spans="1:10" ht="15.75">
      <c r="A85" s="24" t="str">
        <v>Dunkleman</v>
      </c>
      <c r="B85" s="25" t="str">
        <v>NY</v>
      </c>
      <c r="C85" s="25" t="str">
        <f>Sites[[#This Row],[SOL'#]]</f>
        <v>SOL-11008</v>
      </c>
      <c r="D85" s="20">
        <f>SUM('1st Qtr'!D85,'2nd Qtr'!D85,'3rd Qtr'!D85,'4th Qtr'!D85)</f>
        <v>5556170</v>
      </c>
      <c r="E85" s="10">
        <f>SUM('1st Qtr'!E85, '2nd Qtr'!E85, '3rd Qtr'!E85, '4th Qtr'!E85)</f>
        <v>1325930</v>
      </c>
      <c r="F85" s="10">
        <f t="shared" si="3"/>
        <v>4230240</v>
      </c>
      <c r="G85" s="11">
        <f t="shared" si="4"/>
        <v>3.1903946663851035</v>
      </c>
      <c r="H85" s="12">
        <f>SUM('1st Qtr'!H85,'2nd Qtr'!H85,'3rd Qtr'!H85,'4th Qtr'!H85)</f>
        <v>6664984.2400000002</v>
      </c>
      <c r="I85" s="12">
        <f>SUM('1st Qtr'!I85, '2nd Qtr'!I85, '3rd Qtr'!I85, '4th Qtr'!I85)</f>
        <v>-1108814.24</v>
      </c>
      <c r="J85" s="13">
        <f t="shared" si="5"/>
        <v>-0.16636412031485914</v>
      </c>
    </row>
    <row r="86" spans="1:10" ht="15.75">
      <c r="A86" s="26" t="str">
        <v>Route 19 1</v>
      </c>
      <c r="B86" s="27" t="str">
        <v>NY</v>
      </c>
      <c r="C86" s="27" t="str">
        <f>Sites[[#This Row],[SOL'#]]</f>
        <v>SOL-11001</v>
      </c>
      <c r="D86" s="9">
        <f>SUM('1st Qtr'!D86,'2nd Qtr'!D86,'3rd Qtr'!D86,'4th Qtr'!D86)</f>
        <v>2372980</v>
      </c>
      <c r="E86" s="14">
        <f>SUM('1st Qtr'!E86, '2nd Qtr'!E86, '3rd Qtr'!E86, '4th Qtr'!E86)</f>
        <v>524990</v>
      </c>
      <c r="F86" s="14">
        <f t="shared" si="3"/>
        <v>1847990</v>
      </c>
      <c r="G86" s="15">
        <f t="shared" si="4"/>
        <v>3.5200480009143029</v>
      </c>
      <c r="H86" s="16">
        <f>SUM('1st Qtr'!H86,'2nd Qtr'!H86,'3rd Qtr'!H86,'4th Qtr'!H86)</f>
        <v>2700906.5</v>
      </c>
      <c r="I86" s="16">
        <f>SUM('1st Qtr'!I86, '2nd Qtr'!I86, '3rd Qtr'!I86, '4th Qtr'!I86)</f>
        <v>-327926.5</v>
      </c>
      <c r="J86" s="15">
        <f t="shared" si="5"/>
        <v>-0.12141349580224269</v>
      </c>
    </row>
    <row r="87" spans="1:10" ht="15.75">
      <c r="A87" s="24" t="str">
        <v>Route 19 2</v>
      </c>
      <c r="B87" s="25" t="str">
        <v>NY</v>
      </c>
      <c r="C87" s="25" t="str">
        <f>Sites[[#This Row],[SOL'#]]</f>
        <v>SOL-11002</v>
      </c>
      <c r="D87" s="20">
        <f>SUM('1st Qtr'!D87,'2nd Qtr'!D87,'3rd Qtr'!D87,'4th Qtr'!D87)</f>
        <v>5806660</v>
      </c>
      <c r="E87" s="10">
        <f>SUM('1st Qtr'!E87, '2nd Qtr'!E87, '3rd Qtr'!E87, '4th Qtr'!E87)</f>
        <v>1272140</v>
      </c>
      <c r="F87" s="10">
        <f t="shared" si="3"/>
        <v>4534520</v>
      </c>
      <c r="G87" s="11">
        <f t="shared" si="4"/>
        <v>3.5644818966465954</v>
      </c>
      <c r="H87" s="12">
        <f>SUM('1st Qtr'!H87,'2nd Qtr'!H87,'3rd Qtr'!H87,'4th Qtr'!H87)</f>
        <v>6738540.2399999993</v>
      </c>
      <c r="I87" s="12">
        <f>SUM('1st Qtr'!I87, '2nd Qtr'!I87, '3rd Qtr'!I87, '4th Qtr'!I87)</f>
        <v>-931880.23999999976</v>
      </c>
      <c r="J87" s="13">
        <f t="shared" si="5"/>
        <v>-0.13829111451592369</v>
      </c>
    </row>
    <row r="88" spans="1:10" ht="15.75">
      <c r="A88" s="26" t="str">
        <v>Yellow Mills 1</v>
      </c>
      <c r="B88" s="27" t="str">
        <v>NY</v>
      </c>
      <c r="C88" s="27" t="str">
        <f>Sites[[#This Row],[SOL'#]]</f>
        <v>SOL-11006</v>
      </c>
      <c r="D88" s="9">
        <f>SUM('1st Qtr'!D88,'2nd Qtr'!D88,'3rd Qtr'!D88,'4th Qtr'!D88)</f>
        <v>1600110</v>
      </c>
      <c r="E88" s="14">
        <f>SUM('1st Qtr'!E88, '2nd Qtr'!E88, '3rd Qtr'!E88, '4th Qtr'!E88)</f>
        <v>455797</v>
      </c>
      <c r="F88" s="14">
        <f t="shared" si="3"/>
        <v>1144313</v>
      </c>
      <c r="G88" s="15">
        <f t="shared" si="4"/>
        <v>2.5105759800964025</v>
      </c>
      <c r="H88" s="16">
        <f>SUM('1st Qtr'!H88,'2nd Qtr'!H88,'3rd Qtr'!H88,'4th Qtr'!H88)</f>
        <v>2198755.0100000002</v>
      </c>
      <c r="I88" s="16">
        <f>SUM('1st Qtr'!I88, '2nd Qtr'!I88, '3rd Qtr'!I88, '4th Qtr'!I88)</f>
        <v>-598645.00999999989</v>
      </c>
      <c r="J88" s="15">
        <f t="shared" si="5"/>
        <v>-0.27226544443439371</v>
      </c>
    </row>
    <row r="89" spans="1:10" ht="15.75">
      <c r="A89" s="24" t="str">
        <v>Yellow Mills 2</v>
      </c>
      <c r="B89" s="25" t="str">
        <v>NY</v>
      </c>
      <c r="C89" s="25" t="str">
        <f>Sites[[#This Row],[SOL'#]]</f>
        <v>SOL-11005</v>
      </c>
      <c r="D89" s="20">
        <f>SUM('1st Qtr'!D89,'2nd Qtr'!D89,'3rd Qtr'!D89,'4th Qtr'!D89)</f>
        <v>2022914</v>
      </c>
      <c r="E89" s="10">
        <f>SUM('1st Qtr'!E89, '2nd Qtr'!E89, '3rd Qtr'!E89, '4th Qtr'!E89)</f>
        <v>0</v>
      </c>
      <c r="F89" s="10">
        <f t="shared" si="3"/>
        <v>2022914</v>
      </c>
      <c r="G89" s="11" t="str">
        <f t="shared" si="4"/>
        <v/>
      </c>
      <c r="H89" s="12">
        <f>SUM('1st Qtr'!H89,'2nd Qtr'!H89,'3rd Qtr'!H89,'4th Qtr'!H89)</f>
        <v>2270513.5099999998</v>
      </c>
      <c r="I89" s="12">
        <f>SUM('1st Qtr'!I89, '2nd Qtr'!I89, '3rd Qtr'!I89, '4th Qtr'!I89)</f>
        <v>-247599.51000000004</v>
      </c>
      <c r="J89" s="13">
        <f t="shared" si="5"/>
        <v>-0.10905000516821416</v>
      </c>
    </row>
    <row r="90" spans="1:10" ht="15.75">
      <c r="A90" s="26" t="str">
        <v>Yellow Mills 3</v>
      </c>
      <c r="B90" s="27" t="str">
        <v>NY</v>
      </c>
      <c r="C90" s="27" t="str">
        <f>Sites[[#This Row],[SOL'#]]</f>
        <v>SOL-11007</v>
      </c>
      <c r="D90" s="9">
        <f>SUM('1st Qtr'!D90,'2nd Qtr'!D90,'3rd Qtr'!D90,'4th Qtr'!D90)</f>
        <v>1901759</v>
      </c>
      <c r="E90" s="14">
        <f>SUM('1st Qtr'!E90, '2nd Qtr'!E90, '3rd Qtr'!E90, '4th Qtr'!E90)</f>
        <v>429805</v>
      </c>
      <c r="F90" s="14">
        <f t="shared" si="3"/>
        <v>1471954</v>
      </c>
      <c r="G90" s="15">
        <f t="shared" si="4"/>
        <v>3.4247018996987006</v>
      </c>
      <c r="H90" s="16">
        <f>SUM('1st Qtr'!H90,'2nd Qtr'!H90,'3rd Qtr'!H90,'4th Qtr'!H90)</f>
        <v>2145792.09</v>
      </c>
      <c r="I90" s="16">
        <f>SUM('1st Qtr'!I90, '2nd Qtr'!I90, '3rd Qtr'!I90, '4th Qtr'!I90)</f>
        <v>-244033.09000000003</v>
      </c>
      <c r="J90" s="15">
        <f t="shared" si="5"/>
        <v>-0.11372634428902198</v>
      </c>
    </row>
    <row r="91" spans="1:10" ht="15.75">
      <c r="A91" s="24" t="str">
        <v>Catskill</v>
      </c>
      <c r="B91" s="25" t="str">
        <v>NY</v>
      </c>
      <c r="C91" s="25" t="str">
        <f>Sites[[#This Row],[SOL'#]]</f>
        <v>SOL-11021</v>
      </c>
      <c r="D91" s="20">
        <f>SUM('1st Qtr'!D91,'2nd Qtr'!D91,'3rd Qtr'!D91,'4th Qtr'!D91)</f>
        <v>3258467</v>
      </c>
      <c r="E91" s="10">
        <f>SUM('1st Qtr'!E91, '2nd Qtr'!E91, '3rd Qtr'!E91, '4th Qtr'!E91)</f>
        <v>358236</v>
      </c>
      <c r="F91" s="10">
        <f t="shared" si="3"/>
        <v>2900231</v>
      </c>
      <c r="G91" s="11">
        <f t="shared" si="4"/>
        <v>8.0958669703770703</v>
      </c>
      <c r="H91" s="12">
        <f>SUM('1st Qtr'!H91,'2nd Qtr'!H91,'3rd Qtr'!H91,'4th Qtr'!H91)</f>
        <v>4057980.04</v>
      </c>
      <c r="I91" s="12">
        <f>SUM('1st Qtr'!I91, '2nd Qtr'!I91, '3rd Qtr'!I91, '4th Qtr'!I91)</f>
        <v>-799513.04</v>
      </c>
      <c r="J91" s="13">
        <f t="shared" si="5"/>
        <v>-0.19702241807971044</v>
      </c>
    </row>
    <row r="92" spans="1:10" ht="15.75">
      <c r="A92" s="26" t="str">
        <v>Eddy Ridge</v>
      </c>
      <c r="B92" s="27" t="str">
        <v>NY</v>
      </c>
      <c r="C92" s="27" t="str">
        <f>Sites[[#This Row],[SOL'#]]</f>
        <v>SOL-11054</v>
      </c>
      <c r="D92" s="9">
        <f>SUM('1st Qtr'!D92,'2nd Qtr'!D92,'3rd Qtr'!D92,'4th Qtr'!D92)</f>
        <v>2845972.5</v>
      </c>
      <c r="E92" s="14">
        <f>SUM('1st Qtr'!E92, '2nd Qtr'!E92, '3rd Qtr'!E92, '4th Qtr'!E92)</f>
        <v>646353</v>
      </c>
      <c r="F92" s="14">
        <f t="shared" si="3"/>
        <v>2199619.5</v>
      </c>
      <c r="G92" s="15">
        <f t="shared" si="4"/>
        <v>3.4031241442369726</v>
      </c>
      <c r="H92" s="16">
        <f>SUM('1st Qtr'!H92,'2nd Qtr'!H92,'3rd Qtr'!H92,'4th Qtr'!H92)</f>
        <v>3187980</v>
      </c>
      <c r="I92" s="16">
        <f>SUM('1st Qtr'!I92, '2nd Qtr'!I92, '3rd Qtr'!I92, '4th Qtr'!I92)</f>
        <v>-342007.5</v>
      </c>
      <c r="J92" s="15">
        <f t="shared" si="5"/>
        <v>-0.10728031543485217</v>
      </c>
    </row>
    <row r="93" spans="1:10" ht="15.75">
      <c r="A93" s="24" t="str">
        <v>Ridgeway #1</v>
      </c>
      <c r="B93" s="25" t="str">
        <v>NY</v>
      </c>
      <c r="C93" s="25" t="str">
        <f>Sites[[#This Row],[SOL'#]]</f>
        <v>SOL-11018</v>
      </c>
      <c r="D93" s="20">
        <f>SUM('1st Qtr'!D93,'2nd Qtr'!D93,'3rd Qtr'!D93,'4th Qtr'!D93)</f>
        <v>6173728</v>
      </c>
      <c r="E93" s="10">
        <f>SUM('1st Qtr'!E93, '2nd Qtr'!E93, '3rd Qtr'!E93, '4th Qtr'!E93)</f>
        <v>1447271</v>
      </c>
      <c r="F93" s="10">
        <f t="shared" si="3"/>
        <v>4726457</v>
      </c>
      <c r="G93" s="11">
        <f t="shared" si="4"/>
        <v>3.2657719252303128</v>
      </c>
      <c r="H93" s="12">
        <f>SUM('1st Qtr'!H93,'2nd Qtr'!H93,'3rd Qtr'!H93,'4th Qtr'!H93)</f>
        <v>6779443.2999999989</v>
      </c>
      <c r="I93" s="12">
        <f>SUM('1st Qtr'!I93, '2nd Qtr'!I93, '3rd Qtr'!I93, '4th Qtr'!I93)</f>
        <v>-605715.2999999997</v>
      </c>
      <c r="J93" s="13">
        <f t="shared" si="5"/>
        <v>-8.9345875936450381E-2</v>
      </c>
    </row>
    <row r="94" spans="1:10" ht="15.75">
      <c r="A94" s="26" t="str">
        <v>Rivard 1</v>
      </c>
      <c r="B94" s="27" t="str">
        <v>NY</v>
      </c>
      <c r="C94" s="27" t="str">
        <f>Sites[[#This Row],[SOL'#]]</f>
        <v>SOL-11011</v>
      </c>
      <c r="D94" s="9">
        <f>SUM('1st Qtr'!D94,'2nd Qtr'!D94,'3rd Qtr'!D94,'4th Qtr'!D94)</f>
        <v>4702107.5874807788</v>
      </c>
      <c r="E94" s="14">
        <f>SUM('1st Qtr'!E94, '2nd Qtr'!E94, '3rd Qtr'!E94, '4th Qtr'!E94)</f>
        <v>2534623.4000000004</v>
      </c>
      <c r="F94" s="14">
        <f t="shared" si="3"/>
        <v>2167484.1874807784</v>
      </c>
      <c r="G94" s="15">
        <f t="shared" si="4"/>
        <v>0.85515038939543375</v>
      </c>
      <c r="H94" s="16">
        <f>SUM('1st Qtr'!H94,'2nd Qtr'!H94,'3rd Qtr'!H94,'4th Qtr'!H94)</f>
        <v>4297552.05</v>
      </c>
      <c r="I94" s="16">
        <f>SUM('1st Qtr'!I94, '2nd Qtr'!I94, '3rd Qtr'!I94, '4th Qtr'!I94)</f>
        <v>404555.53748077911</v>
      </c>
      <c r="J94" s="15">
        <f t="shared" si="5"/>
        <v>9.4136274040189719E-2</v>
      </c>
    </row>
    <row r="95" spans="1:10" ht="15.75">
      <c r="A95" s="24" t="str">
        <v>Rivard 2</v>
      </c>
      <c r="B95" s="25" t="str">
        <v>NY</v>
      </c>
      <c r="C95" s="25" t="str">
        <f>Sites[[#This Row],[SOL'#]]</f>
        <v>SOL-11012</v>
      </c>
      <c r="D95" s="20">
        <f>SUM('1st Qtr'!D95,'2nd Qtr'!D95,'3rd Qtr'!D95,'4th Qtr'!D95)</f>
        <v>4923408.2583814636</v>
      </c>
      <c r="E95" s="10">
        <f>SUM('1st Qtr'!E95, '2nd Qtr'!E95, '3rd Qtr'!E95, '4th Qtr'!E95)</f>
        <v>4874555.8</v>
      </c>
      <c r="F95" s="10">
        <f t="shared" si="3"/>
        <v>48852.458381463774</v>
      </c>
      <c r="G95" s="11">
        <f t="shared" si="4"/>
        <v>1.002193028161946E-2</v>
      </c>
      <c r="H95" s="12">
        <f>SUM('1st Qtr'!H95,'2nd Qtr'!H95,'3rd Qtr'!H95,'4th Qtr'!H95)</f>
        <v>5235072.3</v>
      </c>
      <c r="I95" s="12">
        <f>SUM('1st Qtr'!I95, '2nd Qtr'!I95, '3rd Qtr'!I95, '4th Qtr'!I95)</f>
        <v>-311664.04161853605</v>
      </c>
      <c r="J95" s="13">
        <f t="shared" si="5"/>
        <v>-5.9533856221725162E-2</v>
      </c>
    </row>
    <row r="96" spans="1:10" ht="15.75">
      <c r="A96" s="26" t="str">
        <v>Ridgeway #2</v>
      </c>
      <c r="B96" s="27" t="str">
        <v>NY</v>
      </c>
      <c r="C96" s="27" t="str">
        <f>Sites[[#This Row],[SOL'#]]</f>
        <v>SOL-11027</v>
      </c>
      <c r="D96" s="9">
        <f>SUM('1st Qtr'!D96,'2nd Qtr'!D96,'3rd Qtr'!D96,'4th Qtr'!D96)</f>
        <v>2227615</v>
      </c>
      <c r="E96" s="14">
        <f>SUM('1st Qtr'!E96, '2nd Qtr'!E96, '3rd Qtr'!E96, '4th Qtr'!E96)</f>
        <v>0</v>
      </c>
      <c r="F96" s="14">
        <f t="shared" si="3"/>
        <v>2227615</v>
      </c>
      <c r="G96" s="15" t="str">
        <f t="shared" si="4"/>
        <v/>
      </c>
      <c r="H96" s="16">
        <f>SUM('1st Qtr'!H96,'2nd Qtr'!H96,'3rd Qtr'!H96,'4th Qtr'!H96)</f>
        <v>2774351.5700000003</v>
      </c>
      <c r="I96" s="16">
        <f>SUM('1st Qtr'!I96, '2nd Qtr'!I96, '3rd Qtr'!I96, '4th Qtr'!I96)</f>
        <v>-546736.57000000007</v>
      </c>
      <c r="J96" s="15">
        <f t="shared" si="5"/>
        <v>-0.19706823602028203</v>
      </c>
    </row>
    <row r="97" spans="1:10" ht="15.75">
      <c r="A97" s="24" t="str">
        <v>Spencer</v>
      </c>
      <c r="B97" s="25" t="str">
        <v>NY</v>
      </c>
      <c r="C97" s="25" t="str">
        <f>Sites[[#This Row],[SOL'#]]</f>
        <v>SOL-11017</v>
      </c>
      <c r="D97" s="20">
        <f>SUM('1st Qtr'!D97,'2nd Qtr'!D97,'3rd Qtr'!D97,'4th Qtr'!D97)</f>
        <v>5919456</v>
      </c>
      <c r="E97" s="10">
        <f>SUM('1st Qtr'!E97, '2nd Qtr'!E97, '3rd Qtr'!E97, '4th Qtr'!E97)</f>
        <v>1361782</v>
      </c>
      <c r="F97" s="10">
        <f t="shared" ref="F97:F158" si="6">IF(AND(ISNUMBER(D97),ISNUMBER(E97)), D97-E97, "")</f>
        <v>4557674</v>
      </c>
      <c r="G97" s="11">
        <f t="shared" ref="G97:G158" si="7">IFERROR(F97/E97, "")</f>
        <v>3.3468455303418607</v>
      </c>
      <c r="H97" s="12">
        <f>SUM('1st Qtr'!H97,'2nd Qtr'!H97,'3rd Qtr'!H97,'4th Qtr'!H97)</f>
        <v>6523765.5999999996</v>
      </c>
      <c r="I97" s="12">
        <f>SUM('1st Qtr'!I97, '2nd Qtr'!I97, '3rd Qtr'!I97, '4th Qtr'!I97)</f>
        <v>-604309.6</v>
      </c>
      <c r="J97" s="13">
        <f t="shared" ref="J97:J158" si="8">IFERROR(I97/H97, "")</f>
        <v>-9.2632022217352505E-2</v>
      </c>
    </row>
    <row r="98" spans="1:10" ht="15.75">
      <c r="A98" s="26" t="str">
        <v>Reisender</v>
      </c>
      <c r="B98" s="27" t="str">
        <v>NY</v>
      </c>
      <c r="C98" s="27" t="str">
        <f>Sites[[#This Row],[SOL'#]]</f>
        <v>SOL-10886</v>
      </c>
      <c r="D98" s="9">
        <f>SUM('1st Qtr'!D98,'2nd Qtr'!D98,'3rd Qtr'!D98,'4th Qtr'!D98)</f>
        <v>1904260</v>
      </c>
      <c r="E98" s="14">
        <f>SUM('1st Qtr'!E98, '2nd Qtr'!E98, '3rd Qtr'!E98, '4th Qtr'!E98)</f>
        <v>2064497.6609999998</v>
      </c>
      <c r="F98" s="14">
        <f t="shared" si="6"/>
        <v>-160237.66099999985</v>
      </c>
      <c r="G98" s="15">
        <f t="shared" si="7"/>
        <v>-7.7615811355477168E-2</v>
      </c>
      <c r="H98" s="16">
        <f>SUM('1st Qtr'!H98,'2nd Qtr'!H98,'3rd Qtr'!H98,'4th Qtr'!H98)</f>
        <v>2190559.6799999997</v>
      </c>
      <c r="I98" s="16">
        <f>SUM('1st Qtr'!I98, '2nd Qtr'!I98, '3rd Qtr'!I98, '4th Qtr'!I98)</f>
        <v>-286299.68</v>
      </c>
      <c r="J98" s="15">
        <f t="shared" si="8"/>
        <v>-0.13069704633657825</v>
      </c>
    </row>
    <row r="99" spans="1:10" ht="15.75">
      <c r="A99" s="24" t="str">
        <v>Finney</v>
      </c>
      <c r="B99" s="25" t="str">
        <v>NY</v>
      </c>
      <c r="C99" s="25" t="str">
        <f>Sites[[#This Row],[SOL'#]]</f>
        <v>SOL-10999</v>
      </c>
      <c r="D99" s="20">
        <f>SUM('1st Qtr'!D99,'2nd Qtr'!D99,'3rd Qtr'!D99,'4th Qtr'!D99)</f>
        <v>5540820</v>
      </c>
      <c r="E99" s="10">
        <f>SUM('1st Qtr'!E99, '2nd Qtr'!E99, '3rd Qtr'!E99, '4th Qtr'!E99)</f>
        <v>994390</v>
      </c>
      <c r="F99" s="10">
        <f t="shared" si="6"/>
        <v>4546430</v>
      </c>
      <c r="G99" s="11">
        <f t="shared" si="7"/>
        <v>4.5720793652389906</v>
      </c>
      <c r="H99" s="12">
        <f>SUM('1st Qtr'!H99,'2nd Qtr'!H99,'3rd Qtr'!H99,'4th Qtr'!H99)</f>
        <v>6687777.9199999999</v>
      </c>
      <c r="I99" s="12">
        <f>SUM('1st Qtr'!I99, '2nd Qtr'!I99, '3rd Qtr'!I99, '4th Qtr'!I99)</f>
        <v>-1146957.92</v>
      </c>
      <c r="J99" s="13">
        <f t="shared" si="8"/>
        <v>-0.17150059911080301</v>
      </c>
    </row>
    <row r="100" spans="1:10" ht="15.75">
      <c r="A100" s="26" t="str">
        <v>Davis Solar</v>
      </c>
      <c r="B100" s="27" t="str">
        <v>NY</v>
      </c>
      <c r="C100" s="27" t="str">
        <f>Sites[[#This Row],[SOL'#]]</f>
        <v>SOL-10958</v>
      </c>
      <c r="D100" s="9">
        <f>SUM('1st Qtr'!D100,'2nd Qtr'!D100,'3rd Qtr'!D100,'4th Qtr'!D100)</f>
        <v>1895183</v>
      </c>
      <c r="E100" s="14">
        <f>SUM('1st Qtr'!E100, '2nd Qtr'!E100, '3rd Qtr'!E100, '4th Qtr'!E100)</f>
        <v>2323209.2000000002</v>
      </c>
      <c r="F100" s="14">
        <f t="shared" si="6"/>
        <v>-428026.20000000019</v>
      </c>
      <c r="G100" s="15">
        <f t="shared" si="7"/>
        <v>-0.18423919808857514</v>
      </c>
      <c r="H100" s="16">
        <f>SUM('1st Qtr'!H100,'2nd Qtr'!H100,'3rd Qtr'!H100,'4th Qtr'!H100)</f>
        <v>2585899</v>
      </c>
      <c r="I100" s="16">
        <f>SUM('1st Qtr'!I100, '2nd Qtr'!I100, '3rd Qtr'!I100, '4th Qtr'!I100)</f>
        <v>-690716</v>
      </c>
      <c r="J100" s="15">
        <f t="shared" si="8"/>
        <v>-0.26710865350889573</v>
      </c>
    </row>
    <row r="101" spans="1:10" ht="15.75">
      <c r="A101" s="24" t="str">
        <v>Genesee</v>
      </c>
      <c r="B101" s="25" t="str">
        <v>NY</v>
      </c>
      <c r="C101" s="25" t="str">
        <f>Sites[[#This Row],[SOL'#]]</f>
        <v>SOL-10951</v>
      </c>
      <c r="D101" s="20">
        <f>SUM('1st Qtr'!D101,'2nd Qtr'!D101,'3rd Qtr'!D101,'4th Qtr'!D101)</f>
        <v>2890390</v>
      </c>
      <c r="E101" s="10">
        <f>SUM('1st Qtr'!E101, '2nd Qtr'!E101, '3rd Qtr'!E101, '4th Qtr'!E101)</f>
        <v>1000080.71</v>
      </c>
      <c r="F101" s="10">
        <f t="shared" si="6"/>
        <v>1890309.29</v>
      </c>
      <c r="G101" s="11">
        <f t="shared" si="7"/>
        <v>1.8901567354498821</v>
      </c>
      <c r="H101" s="12">
        <f>SUM('1st Qtr'!H101,'2nd Qtr'!H101,'3rd Qtr'!H101,'4th Qtr'!H101)</f>
        <v>4905382.6000000006</v>
      </c>
      <c r="I101" s="12">
        <f>SUM('1st Qtr'!I101, '2nd Qtr'!I101, '3rd Qtr'!I101, '4th Qtr'!I101)</f>
        <v>-2014992.6</v>
      </c>
      <c r="J101" s="13">
        <f t="shared" si="8"/>
        <v>-0.41077175101489533</v>
      </c>
    </row>
    <row r="102" spans="1:10" ht="15.75">
      <c r="A102" s="26" t="str">
        <v>Landau I</v>
      </c>
      <c r="B102" s="27" t="str">
        <v>NY</v>
      </c>
      <c r="C102" s="27" t="str">
        <f>Sites[[#This Row],[SOL'#]]</f>
        <v>SOL-10891</v>
      </c>
      <c r="D102" s="9">
        <f>SUM('1st Qtr'!D102,'2nd Qtr'!D102,'3rd Qtr'!D102,'4th Qtr'!D102)</f>
        <v>2132240</v>
      </c>
      <c r="E102" s="14">
        <f>SUM('1st Qtr'!E102, '2nd Qtr'!E102, '3rd Qtr'!E102, '4th Qtr'!E102)</f>
        <v>0</v>
      </c>
      <c r="F102" s="14">
        <f t="shared" si="6"/>
        <v>2132240</v>
      </c>
      <c r="G102" s="15" t="str">
        <f t="shared" si="7"/>
        <v/>
      </c>
      <c r="H102" s="16">
        <f>SUM('1st Qtr'!H102,'2nd Qtr'!H102,'3rd Qtr'!H102,'4th Qtr'!H102)</f>
        <v>2428677.16</v>
      </c>
      <c r="I102" s="16">
        <f>SUM('1st Qtr'!I102, '2nd Qtr'!I102, '3rd Qtr'!I102, '4th Qtr'!I102)</f>
        <v>-296437.16000000003</v>
      </c>
      <c r="J102" s="15">
        <f t="shared" si="8"/>
        <v>-0.12205704606700382</v>
      </c>
    </row>
    <row r="103" spans="1:10" ht="15.75">
      <c r="A103" s="24" t="str">
        <v>Landau II</v>
      </c>
      <c r="B103" s="25" t="str">
        <v>NY</v>
      </c>
      <c r="C103" s="25" t="str">
        <f>Sites[[#This Row],[SOL'#]]</f>
        <v>SOL-10895</v>
      </c>
      <c r="D103" s="20">
        <f>SUM('1st Qtr'!D103,'2nd Qtr'!D103,'3rd Qtr'!D103,'4th Qtr'!D103)</f>
        <v>2236950</v>
      </c>
      <c r="E103" s="10">
        <f>SUM('1st Qtr'!E103, '2nd Qtr'!E103, '3rd Qtr'!E103, '4th Qtr'!E103)</f>
        <v>0</v>
      </c>
      <c r="F103" s="10">
        <f t="shared" si="6"/>
        <v>2236950</v>
      </c>
      <c r="G103" s="11" t="str">
        <f t="shared" si="7"/>
        <v/>
      </c>
      <c r="H103" s="12">
        <f>SUM('1st Qtr'!H103,'2nd Qtr'!H103,'3rd Qtr'!H103,'4th Qtr'!H103)</f>
        <v>3354739.5300000003</v>
      </c>
      <c r="I103" s="12">
        <f>SUM('1st Qtr'!I103, '2nd Qtr'!I103, '3rd Qtr'!I103, '4th Qtr'!I103)</f>
        <v>-1514349.53</v>
      </c>
      <c r="J103" s="13">
        <f t="shared" si="8"/>
        <v>-0.4514059933588942</v>
      </c>
    </row>
    <row r="104" spans="1:10" ht="15.75">
      <c r="A104" s="26" t="str">
        <v>New Beginnings</v>
      </c>
      <c r="B104" s="27" t="str">
        <v>NY</v>
      </c>
      <c r="C104" s="27" t="str">
        <f>Sites[[#This Row],[SOL'#]]</f>
        <v>SOL-10890</v>
      </c>
      <c r="D104" s="9">
        <f>SUM('1st Qtr'!D104,'2nd Qtr'!D104,'3rd Qtr'!D104,'4th Qtr'!D104)</f>
        <v>1726050</v>
      </c>
      <c r="E104" s="14">
        <f>SUM('1st Qtr'!E104, '2nd Qtr'!E104, '3rd Qtr'!E104, '4th Qtr'!E104)</f>
        <v>2329249.66</v>
      </c>
      <c r="F104" s="14">
        <f t="shared" si="6"/>
        <v>-603199.66000000015</v>
      </c>
      <c r="G104" s="15">
        <f t="shared" si="7"/>
        <v>-0.25896737063385472</v>
      </c>
      <c r="H104" s="16">
        <f>SUM('1st Qtr'!H104,'2nd Qtr'!H104,'3rd Qtr'!H104,'4th Qtr'!H104)</f>
        <v>2358384.09</v>
      </c>
      <c r="I104" s="16">
        <f>SUM('1st Qtr'!I104, '2nd Qtr'!I104, '3rd Qtr'!I104, '4th Qtr'!I104)</f>
        <v>-632334.09</v>
      </c>
      <c r="J104" s="15">
        <f t="shared" si="8"/>
        <v>-0.26812175874202071</v>
      </c>
    </row>
    <row r="105" spans="1:10" ht="15.75">
      <c r="A105" s="24" t="str">
        <v>Bullitt Farm Solar, LLC</v>
      </c>
      <c r="B105" s="25" t="str">
        <v>NY</v>
      </c>
      <c r="C105" s="25" t="str">
        <f>Sites[[#This Row],[SOL'#]]</f>
        <v>SOL-10998</v>
      </c>
      <c r="D105" s="20">
        <f>SUM('1st Qtr'!D105,'2nd Qtr'!D105,'3rd Qtr'!D105,'4th Qtr'!D105)</f>
        <v>5145315</v>
      </c>
      <c r="E105" s="10">
        <f>SUM('1st Qtr'!E105, '2nd Qtr'!E105, '3rd Qtr'!E105, '4th Qtr'!E105)</f>
        <v>5594138.3109999998</v>
      </c>
      <c r="F105" s="10">
        <f t="shared" si="6"/>
        <v>-448823.31099999975</v>
      </c>
      <c r="G105" s="11">
        <f t="shared" si="7"/>
        <v>-8.0231000030417332E-2</v>
      </c>
      <c r="H105" s="12">
        <f>SUM('1st Qtr'!H105,'2nd Qtr'!H105,'3rd Qtr'!H105,'4th Qtr'!H105)</f>
        <v>6324978.6799999997</v>
      </c>
      <c r="I105" s="12">
        <f>SUM('1st Qtr'!I105, '2nd Qtr'!I105, '3rd Qtr'!I105, '4th Qtr'!I105)</f>
        <v>-1179663.6800000002</v>
      </c>
      <c r="J105" s="13">
        <f t="shared" si="8"/>
        <v>-0.18650872037405827</v>
      </c>
    </row>
    <row r="106" spans="1:10" ht="15.75">
      <c r="A106" s="26" t="str">
        <v>Brodhead Solar, LLC</v>
      </c>
      <c r="B106" s="27" t="str">
        <v>NY</v>
      </c>
      <c r="C106" s="27" t="str">
        <f>Sites[[#This Row],[SOL'#]]</f>
        <v>SOL-10899</v>
      </c>
      <c r="D106" s="9">
        <f>SUM('1st Qtr'!D106,'2nd Qtr'!D106,'3rd Qtr'!D106,'4th Qtr'!D106)</f>
        <v>2414398</v>
      </c>
      <c r="E106" s="14">
        <f>SUM('1st Qtr'!E106, '2nd Qtr'!E106, '3rd Qtr'!E106, '4th Qtr'!E106)</f>
        <v>2609040.8630000004</v>
      </c>
      <c r="F106" s="14">
        <f t="shared" si="6"/>
        <v>-194642.86300000036</v>
      </c>
      <c r="G106" s="15">
        <f t="shared" si="7"/>
        <v>-7.4603225177619734E-2</v>
      </c>
      <c r="H106" s="16">
        <f>SUM('1st Qtr'!H106,'2nd Qtr'!H106,'3rd Qtr'!H106,'4th Qtr'!H106)</f>
        <v>2913259.5700000003</v>
      </c>
      <c r="I106" s="16">
        <f>SUM('1st Qtr'!I106, '2nd Qtr'!I106, '3rd Qtr'!I106, '4th Qtr'!I106)</f>
        <v>-498861.57</v>
      </c>
      <c r="J106" s="15">
        <f t="shared" si="8"/>
        <v>-0.17123828413271117</v>
      </c>
    </row>
    <row r="107" spans="1:10" ht="15.75">
      <c r="A107" s="24" t="str">
        <v>Svenski</v>
      </c>
      <c r="B107" s="25" t="str">
        <v>NY</v>
      </c>
      <c r="C107" s="25" t="str">
        <f>Sites[[#This Row],[SOL'#]]</f>
        <v>SOL-10894</v>
      </c>
      <c r="D107" s="20">
        <f>SUM('1st Qtr'!D107,'2nd Qtr'!D107,'3rd Qtr'!D107,'4th Qtr'!D107)</f>
        <v>1991331</v>
      </c>
      <c r="E107" s="10">
        <f>SUM('1st Qtr'!E107, '2nd Qtr'!E107, '3rd Qtr'!E107, '4th Qtr'!E107)</f>
        <v>0</v>
      </c>
      <c r="F107" s="10">
        <f t="shared" si="6"/>
        <v>1991331</v>
      </c>
      <c r="G107" s="11" t="str">
        <f t="shared" si="7"/>
        <v/>
      </c>
      <c r="H107" s="12">
        <f>SUM('1st Qtr'!H107,'2nd Qtr'!H107,'3rd Qtr'!H107,'4th Qtr'!H107)</f>
        <v>2460787</v>
      </c>
      <c r="I107" s="12">
        <f>SUM('1st Qtr'!I107, '2nd Qtr'!I107, '3rd Qtr'!I107, '4th Qtr'!I107)</f>
        <v>-469456</v>
      </c>
      <c r="J107" s="13">
        <f t="shared" si="8"/>
        <v>-0.19077473995108069</v>
      </c>
    </row>
    <row r="108" spans="1:10" ht="15.75">
      <c r="A108" s="26" t="str">
        <v>Bantam</v>
      </c>
      <c r="B108" s="27" t="str">
        <v>NY</v>
      </c>
      <c r="C108" s="27" t="str">
        <f>Sites[[#This Row],[SOL'#]]</f>
        <v>SOL-10986</v>
      </c>
      <c r="D108" s="9">
        <f>SUM('1st Qtr'!D108,'2nd Qtr'!D108,'3rd Qtr'!D108,'4th Qtr'!D108)</f>
        <v>1249010</v>
      </c>
      <c r="E108" s="14">
        <f>SUM('1st Qtr'!E108, '2nd Qtr'!E108, '3rd Qtr'!E108, '4th Qtr'!E108)</f>
        <v>418980</v>
      </c>
      <c r="F108" s="14">
        <f t="shared" si="6"/>
        <v>830030</v>
      </c>
      <c r="G108" s="15">
        <f t="shared" si="7"/>
        <v>1.9810730822473626</v>
      </c>
      <c r="H108" s="16">
        <f>SUM('1st Qtr'!H108,'2nd Qtr'!H108,'3rd Qtr'!H108,'4th Qtr'!H108)</f>
        <v>6072618.4600000009</v>
      </c>
      <c r="I108" s="16">
        <f>SUM('1st Qtr'!I108, '2nd Qtr'!I108, '3rd Qtr'!I108, '4th Qtr'!I108)</f>
        <v>-4930198.4600000009</v>
      </c>
      <c r="J108" s="15">
        <f t="shared" si="8"/>
        <v>-0.81187357520893877</v>
      </c>
    </row>
    <row r="109" spans="1:10" ht="15.75">
      <c r="A109" s="24" t="str">
        <v>Bogart</v>
      </c>
      <c r="B109" s="25" t="str">
        <v>NY</v>
      </c>
      <c r="C109" s="25" t="str">
        <f>Sites[[#This Row],[SOL'#]]</f>
        <v>SOL-10887</v>
      </c>
      <c r="D109" s="20">
        <f>SUM('1st Qtr'!D109,'2nd Qtr'!D109,'3rd Qtr'!D109,'4th Qtr'!D109)</f>
        <v>1675730</v>
      </c>
      <c r="E109" s="10">
        <f>SUM('1st Qtr'!E109, '2nd Qtr'!E109, '3rd Qtr'!E109, '4th Qtr'!E109)</f>
        <v>2208329.1980000003</v>
      </c>
      <c r="F109" s="10">
        <f t="shared" si="6"/>
        <v>-532599.19800000032</v>
      </c>
      <c r="G109" s="11">
        <f t="shared" si="7"/>
        <v>-0.2411774469505521</v>
      </c>
      <c r="H109" s="12">
        <f>SUM('1st Qtr'!H109,'2nd Qtr'!H109,'3rd Qtr'!H109,'4th Qtr'!H109)</f>
        <v>2294822.5299999998</v>
      </c>
      <c r="I109" s="12">
        <f>SUM('1st Qtr'!I109, '2nd Qtr'!I109, '3rd Qtr'!I109, '4th Qtr'!I109)</f>
        <v>-619092.53</v>
      </c>
      <c r="J109" s="13">
        <f t="shared" si="8"/>
        <v>-0.26977795533496007</v>
      </c>
    </row>
    <row r="110" spans="1:10" ht="15.75">
      <c r="A110" s="26" t="str">
        <v>Dubois</v>
      </c>
      <c r="B110" s="27" t="str">
        <v>NY</v>
      </c>
      <c r="C110" s="27" t="str">
        <f>Sites[[#This Row],[SOL'#]]</f>
        <v>SOL-10892</v>
      </c>
      <c r="D110" s="9">
        <f>SUM('1st Qtr'!D110,'2nd Qtr'!D110,'3rd Qtr'!D110,'4th Qtr'!D110)</f>
        <v>1622601.7</v>
      </c>
      <c r="E110" s="14">
        <f>SUM('1st Qtr'!E110, '2nd Qtr'!E110, '3rd Qtr'!E110, '4th Qtr'!E110)</f>
        <v>386385.12</v>
      </c>
      <c r="F110" s="14">
        <f t="shared" si="6"/>
        <v>1236216.58</v>
      </c>
      <c r="G110" s="15">
        <f t="shared" si="7"/>
        <v>3.1994414795269552</v>
      </c>
      <c r="H110" s="16">
        <f>SUM('1st Qtr'!H110,'2nd Qtr'!H110,'3rd Qtr'!H110,'4th Qtr'!H110)</f>
        <v>0</v>
      </c>
      <c r="I110" s="16">
        <f>SUM('1st Qtr'!I110, '2nd Qtr'!I110, '3rd Qtr'!I110, '4th Qtr'!I110)</f>
        <v>0</v>
      </c>
      <c r="J110" s="15" t="str">
        <f t="shared" si="8"/>
        <v/>
      </c>
    </row>
    <row r="111" spans="1:10" ht="15.75">
      <c r="A111" s="24" t="str">
        <v>Salt Point</v>
      </c>
      <c r="B111" s="25" t="str">
        <v>NY</v>
      </c>
      <c r="C111" s="25" t="str">
        <f>Sites[[#This Row],[SOL'#]]</f>
        <v>SOL-10888</v>
      </c>
      <c r="D111" s="20">
        <f>SUM('1st Qtr'!D111,'2nd Qtr'!D111,'3rd Qtr'!D111,'4th Qtr'!D111)</f>
        <v>2176250</v>
      </c>
      <c r="E111" s="10">
        <f>SUM('1st Qtr'!E111, '2nd Qtr'!E111, '3rd Qtr'!E111, '4th Qtr'!E111)</f>
        <v>416220</v>
      </c>
      <c r="F111" s="10">
        <f t="shared" si="6"/>
        <v>1760030</v>
      </c>
      <c r="G111" s="11">
        <f t="shared" si="7"/>
        <v>4.2286050646292823</v>
      </c>
      <c r="H111" s="12">
        <f>SUM('1st Qtr'!H111,'2nd Qtr'!H111,'3rd Qtr'!H111,'4th Qtr'!H111)</f>
        <v>2595923.0099999998</v>
      </c>
      <c r="I111" s="12">
        <f>SUM('1st Qtr'!I111, '2nd Qtr'!I111, '3rd Qtr'!I111, '4th Qtr'!I111)</f>
        <v>-419673.01</v>
      </c>
      <c r="J111" s="13">
        <f t="shared" si="8"/>
        <v>-0.16166620057040906</v>
      </c>
    </row>
    <row r="112" spans="1:10" ht="15.75">
      <c r="A112" s="26" t="str">
        <v>Wheatland 2A</v>
      </c>
      <c r="B112" s="27" t="str">
        <v>NY</v>
      </c>
      <c r="C112" s="27" t="str">
        <f>Sites[[#This Row],[SOL'#]]</f>
        <v>SOL-10971</v>
      </c>
      <c r="D112" s="9">
        <f>SUM('1st Qtr'!D112,'2nd Qtr'!D112,'3rd Qtr'!D112,'4th Qtr'!D112)</f>
        <v>4699020</v>
      </c>
      <c r="E112" s="14">
        <f>SUM('1st Qtr'!E112, '2nd Qtr'!E112, '3rd Qtr'!E112, '4th Qtr'!E112)</f>
        <v>1080840</v>
      </c>
      <c r="F112" s="14">
        <f t="shared" si="6"/>
        <v>3618180</v>
      </c>
      <c r="G112" s="15">
        <f t="shared" si="7"/>
        <v>3.3475630065504607</v>
      </c>
      <c r="H112" s="16">
        <f>SUM('1st Qtr'!H112,'2nd Qtr'!H112,'3rd Qtr'!H112,'4th Qtr'!H112)</f>
        <v>5574744.120000001</v>
      </c>
      <c r="I112" s="16">
        <f>SUM('1st Qtr'!I112, '2nd Qtr'!I112, '3rd Qtr'!I112, '4th Qtr'!I112)</f>
        <v>-875724.12000000011</v>
      </c>
      <c r="J112" s="15">
        <f t="shared" si="8"/>
        <v>-0.15708776961766632</v>
      </c>
    </row>
    <row r="113" spans="1:10" ht="15.75">
      <c r="A113" s="24" t="str">
        <v>Wheatland 2B</v>
      </c>
      <c r="B113" s="25" t="str">
        <v>NY</v>
      </c>
      <c r="C113" s="25" t="str">
        <f>Sites[[#This Row],[SOL'#]]</f>
        <v>SOL-10961</v>
      </c>
      <c r="D113" s="20">
        <f>SUM('1st Qtr'!D113,'2nd Qtr'!D113,'3rd Qtr'!D113,'4th Qtr'!D113)</f>
        <v>5008220</v>
      </c>
      <c r="E113" s="10">
        <f>SUM('1st Qtr'!E113, '2nd Qtr'!E113, '3rd Qtr'!E113, '4th Qtr'!E113)</f>
        <v>1131560</v>
      </c>
      <c r="F113" s="10">
        <f t="shared" si="6"/>
        <v>3876660</v>
      </c>
      <c r="G113" s="11">
        <f t="shared" si="7"/>
        <v>3.4259429460214217</v>
      </c>
      <c r="H113" s="12">
        <f>SUM('1st Qtr'!H113,'2nd Qtr'!H113,'3rd Qtr'!H113,'4th Qtr'!H113)</f>
        <v>5529395.8600000003</v>
      </c>
      <c r="I113" s="12">
        <f>SUM('1st Qtr'!I113, '2nd Qtr'!I113, '3rd Qtr'!I113, '4th Qtr'!I113)</f>
        <v>-521175.86</v>
      </c>
      <c r="J113" s="13">
        <f t="shared" si="8"/>
        <v>-9.4255479838262102E-2</v>
      </c>
    </row>
    <row r="114" spans="1:10" ht="15.75">
      <c r="A114" s="26" t="str">
        <v>Brickchurch</v>
      </c>
      <c r="B114" s="27" t="str">
        <v>NY</v>
      </c>
      <c r="C114" s="27" t="str">
        <f>Sites[[#This Row],[SOL'#]]</f>
        <v>SOL-10889</v>
      </c>
      <c r="D114" s="9">
        <f>SUM('1st Qtr'!D114,'2nd Qtr'!D114,'3rd Qtr'!D114,'4th Qtr'!D114)</f>
        <v>1533940</v>
      </c>
      <c r="E114" s="14">
        <f>SUM('1st Qtr'!E114, '2nd Qtr'!E114, '3rd Qtr'!E114, '4th Qtr'!E114)</f>
        <v>2120611.9299999997</v>
      </c>
      <c r="F114" s="14">
        <f t="shared" si="6"/>
        <v>-586671.9299999997</v>
      </c>
      <c r="G114" s="15">
        <f t="shared" si="7"/>
        <v>-0.27665218784277978</v>
      </c>
      <c r="H114" s="16">
        <f>SUM('1st Qtr'!H114,'2nd Qtr'!H114,'3rd Qtr'!H114,'4th Qtr'!H114)</f>
        <v>2429357.4500000002</v>
      </c>
      <c r="I114" s="16">
        <f>SUM('1st Qtr'!I114, '2nd Qtr'!I114, '3rd Qtr'!I114, '4th Qtr'!I114)</f>
        <v>-895417.45</v>
      </c>
      <c r="J114" s="15">
        <f t="shared" si="8"/>
        <v>-0.3685820092057675</v>
      </c>
    </row>
    <row r="115" spans="1:10" ht="15.75">
      <c r="A115" s="24" t="str">
        <v>McCarthy Solar</v>
      </c>
      <c r="B115" s="25" t="str">
        <v>NY</v>
      </c>
      <c r="C115" s="25" t="str">
        <f>Sites[[#This Row],[SOL'#]]</f>
        <v>SOL-10992</v>
      </c>
      <c r="D115" s="20">
        <f>SUM('1st Qtr'!D115,'2nd Qtr'!D115,'3rd Qtr'!D115,'4th Qtr'!D115)</f>
        <v>1870070</v>
      </c>
      <c r="E115" s="10">
        <f>SUM('1st Qtr'!E115, '2nd Qtr'!E115, '3rd Qtr'!E115, '4th Qtr'!E115)</f>
        <v>0</v>
      </c>
      <c r="F115" s="10">
        <f t="shared" si="6"/>
        <v>1870070</v>
      </c>
      <c r="G115" s="11" t="str">
        <f t="shared" si="7"/>
        <v/>
      </c>
      <c r="H115" s="12">
        <f>SUM('1st Qtr'!H115,'2nd Qtr'!H115,'3rd Qtr'!H115,'4th Qtr'!H115)</f>
        <v>2406172.0499999998</v>
      </c>
      <c r="I115" s="12">
        <f>SUM('1st Qtr'!I115, '2nd Qtr'!I115, '3rd Qtr'!I115, '4th Qtr'!I115)</f>
        <v>-536102.05000000005</v>
      </c>
      <c r="J115" s="13">
        <f t="shared" si="8"/>
        <v>-0.22280287479858313</v>
      </c>
    </row>
    <row r="116" spans="1:10" ht="15.75">
      <c r="A116" s="26" t="str">
        <v>Costanza</v>
      </c>
      <c r="B116" s="27" t="str">
        <v>NY</v>
      </c>
      <c r="C116" s="27" t="str">
        <f>Sites[[#This Row],[SOL'#]]</f>
        <v>SOL-10907</v>
      </c>
      <c r="D116" s="9">
        <f>SUM('1st Qtr'!D116,'2nd Qtr'!D116,'3rd Qtr'!D116,'4th Qtr'!D116)</f>
        <v>2026980</v>
      </c>
      <c r="E116" s="14">
        <f>SUM('1st Qtr'!E116, '2nd Qtr'!E116, '3rd Qtr'!E116, '4th Qtr'!E116)</f>
        <v>404631.91</v>
      </c>
      <c r="F116" s="14">
        <f t="shared" si="6"/>
        <v>1622348.09</v>
      </c>
      <c r="G116" s="15">
        <f t="shared" si="7"/>
        <v>4.0094417911825104</v>
      </c>
      <c r="H116" s="16">
        <f>SUM('1st Qtr'!H116,'2nd Qtr'!H116,'3rd Qtr'!H116,'4th Qtr'!H116)</f>
        <v>2404197.81</v>
      </c>
      <c r="I116" s="16">
        <f>SUM('1st Qtr'!I116, '2nd Qtr'!I116, '3rd Qtr'!I116, '4th Qtr'!I116)</f>
        <v>-377217.81000000006</v>
      </c>
      <c r="J116" s="15">
        <f t="shared" si="8"/>
        <v>-0.15689965627245955</v>
      </c>
    </row>
    <row r="117" spans="1:10" ht="15.75">
      <c r="A117" s="24" t="str">
        <v>Lockenhurst Pond</v>
      </c>
      <c r="B117" s="25" t="str">
        <v>NY</v>
      </c>
      <c r="C117" s="25" t="str">
        <f>Sites[[#This Row],[SOL'#]]</f>
        <v>SOL-11000</v>
      </c>
      <c r="D117" s="20">
        <f>SUM('1st Qtr'!D117,'2nd Qtr'!D117,'3rd Qtr'!D117,'4th Qtr'!D117)</f>
        <v>2387558</v>
      </c>
      <c r="E117" s="10">
        <f>SUM('1st Qtr'!E117, '2nd Qtr'!E117, '3rd Qtr'!E117, '4th Qtr'!E117)</f>
        <v>2580364.4000000004</v>
      </c>
      <c r="F117" s="10">
        <f t="shared" si="6"/>
        <v>-192806.40000000037</v>
      </c>
      <c r="G117" s="11">
        <f t="shared" si="7"/>
        <v>-7.4720609228681165E-2</v>
      </c>
      <c r="H117" s="12">
        <f>SUM('1st Qtr'!H117,'2nd Qtr'!H117,'3rd Qtr'!H117,'4th Qtr'!H117)</f>
        <v>2629272</v>
      </c>
      <c r="I117" s="12">
        <f>SUM('1st Qtr'!I117, '2nd Qtr'!I117, '3rd Qtr'!I117, '4th Qtr'!I117)</f>
        <v>-241714</v>
      </c>
      <c r="J117" s="13">
        <f t="shared" si="8"/>
        <v>-9.1931911190626145E-2</v>
      </c>
    </row>
    <row r="118" spans="1:10" ht="15.75">
      <c r="A118" s="26" t="str">
        <v>Drinkwater</v>
      </c>
      <c r="B118" s="27" t="str">
        <v>NY</v>
      </c>
      <c r="C118" s="27" t="str">
        <f>Sites[[#This Row],[SOL'#]]</f>
        <v>SOL-10896</v>
      </c>
      <c r="D118" s="9">
        <f>SUM('1st Qtr'!D118,'2nd Qtr'!D118,'3rd Qtr'!D118,'4th Qtr'!D118)</f>
        <v>2118370</v>
      </c>
      <c r="E118" s="14">
        <f>SUM('1st Qtr'!E118, '2nd Qtr'!E118, '3rd Qtr'!E118, '4th Qtr'!E118)</f>
        <v>454000</v>
      </c>
      <c r="F118" s="14">
        <f t="shared" si="6"/>
        <v>1664370</v>
      </c>
      <c r="G118" s="15">
        <f t="shared" si="7"/>
        <v>3.6660132158590306</v>
      </c>
      <c r="H118" s="16">
        <f>SUM('1st Qtr'!H118,'2nd Qtr'!H118,'3rd Qtr'!H118,'4th Qtr'!H118)</f>
        <v>2398740.14</v>
      </c>
      <c r="I118" s="16">
        <f>SUM('1st Qtr'!I118, '2nd Qtr'!I118, '3rd Qtr'!I118, '4th Qtr'!I118)</f>
        <v>-280370.14</v>
      </c>
      <c r="J118" s="15">
        <f t="shared" si="8"/>
        <v>-0.11688224802875062</v>
      </c>
    </row>
    <row r="119" spans="1:10" ht="15.75">
      <c r="A119" s="24" t="str">
        <v>Altamont</v>
      </c>
      <c r="B119" s="25" t="str">
        <v>NY</v>
      </c>
      <c r="C119" s="25" t="str">
        <f>Sites[[#This Row],[SOL'#]]</f>
        <v>SOL-11085</v>
      </c>
      <c r="D119" s="20">
        <f>SUM('1st Qtr'!D119,'2nd Qtr'!D119,'3rd Qtr'!D119,'4th Qtr'!D119)</f>
        <v>4288075</v>
      </c>
      <c r="E119" s="10">
        <f>SUM('1st Qtr'!E119, '2nd Qtr'!E119, '3rd Qtr'!E119, '4th Qtr'!E119)</f>
        <v>4730347.2</v>
      </c>
      <c r="F119" s="10">
        <f t="shared" si="6"/>
        <v>-442272.20000000019</v>
      </c>
      <c r="G119" s="11">
        <f t="shared" si="7"/>
        <v>-9.3496773344671227E-2</v>
      </c>
      <c r="H119" s="12">
        <f>SUM('1st Qtr'!H119,'2nd Qtr'!H119,'3rd Qtr'!H119,'4th Qtr'!H119)</f>
        <v>4220689.2</v>
      </c>
      <c r="I119" s="12">
        <f>SUM('1st Qtr'!I119, '2nd Qtr'!I119, '3rd Qtr'!I119, '4th Qtr'!I119)</f>
        <v>67385.800000000047</v>
      </c>
      <c r="J119" s="13">
        <f t="shared" si="8"/>
        <v>1.5965591591060542E-2</v>
      </c>
    </row>
    <row r="120" spans="1:10" ht="15.75">
      <c r="A120" s="26" t="str">
        <v>Krumkill North</v>
      </c>
      <c r="B120" s="27" t="str">
        <v>NY</v>
      </c>
      <c r="C120" s="27" t="str">
        <f>Sites[[#This Row],[SOL'#]]</f>
        <v>SOL-11086</v>
      </c>
      <c r="D120" s="9">
        <f>SUM('1st Qtr'!D120,'2nd Qtr'!D120,'3rd Qtr'!D120,'4th Qtr'!D120)</f>
        <v>3997883</v>
      </c>
      <c r="E120" s="14">
        <f>SUM('1st Qtr'!E120, '2nd Qtr'!E120, '3rd Qtr'!E120, '4th Qtr'!E120)</f>
        <v>4697908.0999999996</v>
      </c>
      <c r="F120" s="14">
        <f t="shared" si="6"/>
        <v>-700025.09999999963</v>
      </c>
      <c r="G120" s="15">
        <f t="shared" si="7"/>
        <v>-0.14900783180496863</v>
      </c>
      <c r="H120" s="16">
        <f>SUM('1st Qtr'!H120,'2nd Qtr'!H120,'3rd Qtr'!H120,'4th Qtr'!H120)</f>
        <v>4915021.8</v>
      </c>
      <c r="I120" s="16">
        <f>SUM('1st Qtr'!I120, '2nd Qtr'!I120, '3rd Qtr'!I120, '4th Qtr'!I120)</f>
        <v>-917138.79999999993</v>
      </c>
      <c r="J120" s="15">
        <f t="shared" si="8"/>
        <v>-0.18659913166610981</v>
      </c>
    </row>
    <row r="121" spans="1:10" ht="15.75">
      <c r="A121" s="24" t="str">
        <v>Krumkill South</v>
      </c>
      <c r="B121" s="25" t="str">
        <v>NY</v>
      </c>
      <c r="C121" s="25" t="str">
        <f>Sites[[#This Row],[SOL'#]]</f>
        <v>SOL-11087</v>
      </c>
      <c r="D121" s="20">
        <f>SUM('1st Qtr'!D121,'2nd Qtr'!D121,'3rd Qtr'!D121,'4th Qtr'!D121)</f>
        <v>3413954</v>
      </c>
      <c r="E121" s="10">
        <f>SUM('1st Qtr'!E121, '2nd Qtr'!E121, '3rd Qtr'!E121, '4th Qtr'!E121)</f>
        <v>3813710</v>
      </c>
      <c r="F121" s="10">
        <f t="shared" si="6"/>
        <v>-399756</v>
      </c>
      <c r="G121" s="11">
        <f t="shared" si="7"/>
        <v>-0.10482076508177077</v>
      </c>
      <c r="H121" s="12">
        <f>SUM('1st Qtr'!H121,'2nd Qtr'!H121,'3rd Qtr'!H121,'4th Qtr'!H121)</f>
        <v>3853229.5</v>
      </c>
      <c r="I121" s="12">
        <f>SUM('1st Qtr'!I121, '2nd Qtr'!I121, '3rd Qtr'!I121, '4th Qtr'!I121)</f>
        <v>-439275.49999999988</v>
      </c>
      <c r="J121" s="13">
        <f t="shared" si="8"/>
        <v>-0.11400190411705295</v>
      </c>
    </row>
    <row r="122" spans="1:10" ht="15.75">
      <c r="A122" s="26" t="str">
        <v>X092</v>
      </c>
      <c r="B122" s="27" t="str">
        <v>NY</v>
      </c>
      <c r="C122" s="27" t="str">
        <f>Sites[[#This Row],[SOL'#]]</f>
        <v>SOL-11189</v>
      </c>
      <c r="D122" s="9">
        <f>SUM('1st Qtr'!D122,'2nd Qtr'!D122,'3rd Qtr'!D122,'4th Qtr'!D122)</f>
        <v>92427.4</v>
      </c>
      <c r="E122" s="14">
        <f>SUM('1st Qtr'!E122, '2nd Qtr'!E122, '3rd Qtr'!E122, '4th Qtr'!E122)</f>
        <v>93264.159999999989</v>
      </c>
      <c r="F122" s="14">
        <f t="shared" si="6"/>
        <v>-836.75999999999476</v>
      </c>
      <c r="G122" s="15">
        <f t="shared" si="7"/>
        <v>-8.9719351999738677E-3</v>
      </c>
      <c r="H122" s="16">
        <f>SUM('1st Qtr'!H122,'2nd Qtr'!H122,'3rd Qtr'!H122,'4th Qtr'!H122)</f>
        <v>104116</v>
      </c>
      <c r="I122" s="16">
        <f>SUM('1st Qtr'!I122, '2nd Qtr'!I122, '3rd Qtr'!I122, '4th Qtr'!I122)</f>
        <v>-11688.599999999997</v>
      </c>
      <c r="J122" s="15">
        <f t="shared" si="8"/>
        <v>-0.11226516577663373</v>
      </c>
    </row>
    <row r="123" spans="1:10" ht="15.75">
      <c r="A123" s="24" t="str">
        <v>X093</v>
      </c>
      <c r="B123" s="25" t="str">
        <v>NY</v>
      </c>
      <c r="C123" s="25" t="str">
        <f>Sites[[#This Row],[SOL'#]]</f>
        <v>SOL-10932</v>
      </c>
      <c r="D123" s="20">
        <f>SUM('1st Qtr'!D123,'2nd Qtr'!D123,'3rd Qtr'!D123,'4th Qtr'!D123)</f>
        <v>40334.728046874981</v>
      </c>
      <c r="E123" s="10">
        <f>SUM('1st Qtr'!E123, '2nd Qtr'!E123, '3rd Qtr'!E123, '4th Qtr'!E123)</f>
        <v>41085.46</v>
      </c>
      <c r="F123" s="10">
        <f t="shared" si="6"/>
        <v>-750.73195312501775</v>
      </c>
      <c r="G123" s="11">
        <f t="shared" si="7"/>
        <v>-1.8272448528628322E-2</v>
      </c>
      <c r="H123" s="12">
        <f>SUM('1st Qtr'!H123,'2nd Qtr'!H123,'3rd Qtr'!H123,'4th Qtr'!H123)</f>
        <v>72682</v>
      </c>
      <c r="I123" s="12">
        <f>SUM('1st Qtr'!I123, '2nd Qtr'!I123, '3rd Qtr'!I123, '4th Qtr'!I123)</f>
        <v>-32347.271953125019</v>
      </c>
      <c r="J123" s="13">
        <f t="shared" si="8"/>
        <v>-0.44505203424678763</v>
      </c>
    </row>
    <row r="124" spans="1:10" ht="15.75">
      <c r="A124" s="26" t="str">
        <v>X095</v>
      </c>
      <c r="B124" s="27" t="str">
        <v>NY</v>
      </c>
      <c r="C124" s="27" t="str">
        <f>Sites[[#This Row],[SOL'#]]</f>
        <v>SOL-10929</v>
      </c>
      <c r="D124" s="9">
        <f>SUM('1st Qtr'!D124,'2nd Qtr'!D124,'3rd Qtr'!D124,'4th Qtr'!D124)</f>
        <v>102189.24241463575</v>
      </c>
      <c r="E124" s="14">
        <f>SUM('1st Qtr'!E124, '2nd Qtr'!E124, '3rd Qtr'!E124, '4th Qtr'!E124)</f>
        <v>19545.91</v>
      </c>
      <c r="F124" s="14">
        <f t="shared" si="6"/>
        <v>82643.332414635748</v>
      </c>
      <c r="G124" s="15">
        <f t="shared" si="7"/>
        <v>4.2281649928110667</v>
      </c>
      <c r="H124" s="16">
        <f>SUM('1st Qtr'!H124,'2nd Qtr'!H124,'3rd Qtr'!H124,'4th Qtr'!H124)</f>
        <v>98702</v>
      </c>
      <c r="I124" s="16">
        <f>SUM('1st Qtr'!I124, '2nd Qtr'!I124, '3rd Qtr'!I124, '4th Qtr'!I124)</f>
        <v>3487.2424146357589</v>
      </c>
      <c r="J124" s="15">
        <f t="shared" si="8"/>
        <v>3.533102079629348E-2</v>
      </c>
    </row>
    <row r="125" spans="1:10" ht="15.75">
      <c r="A125" s="24" t="str">
        <v>X181</v>
      </c>
      <c r="B125" s="25" t="str">
        <v>NY</v>
      </c>
      <c r="C125" s="25" t="str">
        <f>Sites[[#This Row],[SOL'#]]</f>
        <v>SOL-10428</v>
      </c>
      <c r="D125" s="20">
        <f>SUM('1st Qtr'!D125,'2nd Qtr'!D125,'3rd Qtr'!D125,'4th Qtr'!D125)</f>
        <v>183299.43349545309</v>
      </c>
      <c r="E125" s="10">
        <f>SUM('1st Qtr'!E125, '2nd Qtr'!E125, '3rd Qtr'!E125, '4th Qtr'!E125)</f>
        <v>34560.46</v>
      </c>
      <c r="F125" s="10">
        <f t="shared" si="6"/>
        <v>148738.9734954531</v>
      </c>
      <c r="G125" s="11">
        <f t="shared" si="7"/>
        <v>4.3037324588692716</v>
      </c>
      <c r="H125" s="12">
        <f>SUM('1st Qtr'!H125,'2nd Qtr'!H125,'3rd Qtr'!H125,'4th Qtr'!H125)</f>
        <v>182175</v>
      </c>
      <c r="I125" s="12">
        <f>SUM('1st Qtr'!I125, '2nd Qtr'!I125, '3rd Qtr'!I125, '4th Qtr'!I125)</f>
        <v>1124.4334954531005</v>
      </c>
      <c r="J125" s="13">
        <f t="shared" si="8"/>
        <v>6.1722711428741622E-3</v>
      </c>
    </row>
    <row r="126" spans="1:10" ht="15.75">
      <c r="A126" s="26" t="str">
        <v>X415</v>
      </c>
      <c r="B126" s="27" t="str">
        <v>NY</v>
      </c>
      <c r="C126" s="27" t="str">
        <f>Sites[[#This Row],[SOL'#]]</f>
        <v>SOL-10429</v>
      </c>
      <c r="D126" s="9">
        <f>SUM('1st Qtr'!D126,'2nd Qtr'!D126,'3rd Qtr'!D126,'4th Qtr'!D126)</f>
        <v>120743.11942978131</v>
      </c>
      <c r="E126" s="14">
        <f>SUM('1st Qtr'!E126, '2nd Qtr'!E126, '3rd Qtr'!E126, '4th Qtr'!E126)</f>
        <v>22259.89</v>
      </c>
      <c r="F126" s="14">
        <f t="shared" si="6"/>
        <v>98483.229429781306</v>
      </c>
      <c r="G126" s="15">
        <f t="shared" si="7"/>
        <v>4.4242460061474382</v>
      </c>
      <c r="H126" s="16">
        <f>SUM('1st Qtr'!H126,'2nd Qtr'!H126,'3rd Qtr'!H126,'4th Qtr'!H126)</f>
        <v>106025</v>
      </c>
      <c r="I126" s="16">
        <f>SUM('1st Qtr'!I126, '2nd Qtr'!I126, '3rd Qtr'!I126, '4th Qtr'!I126)</f>
        <v>14718.119429781298</v>
      </c>
      <c r="J126" s="15">
        <f t="shared" si="8"/>
        <v>0.13881744333677243</v>
      </c>
    </row>
    <row r="127" spans="1:10" ht="15.75">
      <c r="A127" s="24" t="str">
        <v>K198</v>
      </c>
      <c r="B127" s="25" t="str">
        <v>NY</v>
      </c>
      <c r="C127" s="25" t="str">
        <f>Sites[[#This Row],[SOL'#]]</f>
        <v>SOL-10930</v>
      </c>
      <c r="D127" s="20">
        <f>SUM('1st Qtr'!D127,'2nd Qtr'!D127,'3rd Qtr'!D127,'4th Qtr'!D127)</f>
        <v>93253.587919921876</v>
      </c>
      <c r="E127" s="10">
        <f>SUM('1st Qtr'!E127, '2nd Qtr'!E127, '3rd Qtr'!E127, '4th Qtr'!E127)</f>
        <v>49065.72</v>
      </c>
      <c r="F127" s="10">
        <f t="shared" si="6"/>
        <v>44187.867919921875</v>
      </c>
      <c r="G127" s="11">
        <f t="shared" si="7"/>
        <v>0.90058533574809208</v>
      </c>
      <c r="H127" s="12">
        <f>SUM('1st Qtr'!H127,'2nd Qtr'!H127,'3rd Qtr'!H127,'4th Qtr'!H127)</f>
        <v>82029</v>
      </c>
      <c r="I127" s="12">
        <f>SUM('1st Qtr'!I127, '2nd Qtr'!I127, '3rd Qtr'!I127, '4th Qtr'!I127)</f>
        <v>11224.58791992188</v>
      </c>
      <c r="J127" s="13">
        <f t="shared" si="8"/>
        <v>0.13683682502434358</v>
      </c>
    </row>
    <row r="128" spans="1:10" ht="15.75">
      <c r="A128" s="26" t="str">
        <v>K203</v>
      </c>
      <c r="B128" s="27" t="str">
        <v>NY</v>
      </c>
      <c r="C128" s="27" t="str">
        <f>Sites[[#This Row],[SOL'#]]</f>
        <v>SOL-11190</v>
      </c>
      <c r="D128" s="9">
        <f>SUM('1st Qtr'!D128,'2nd Qtr'!D128,'3rd Qtr'!D128,'4th Qtr'!D128)</f>
        <v>97043</v>
      </c>
      <c r="E128" s="14">
        <f>SUM('1st Qtr'!E128, '2nd Qtr'!E128, '3rd Qtr'!E128, '4th Qtr'!E128)</f>
        <v>75334.77</v>
      </c>
      <c r="F128" s="14">
        <f t="shared" si="6"/>
        <v>21708.229999999996</v>
      </c>
      <c r="G128" s="15">
        <f t="shared" si="7"/>
        <v>0.28815684975211309</v>
      </c>
      <c r="H128" s="16">
        <f>SUM('1st Qtr'!H128,'2nd Qtr'!H128,'3rd Qtr'!H128,'4th Qtr'!H128)</f>
        <v>94089</v>
      </c>
      <c r="I128" s="16">
        <f>SUM('1st Qtr'!I128, '2nd Qtr'!I128, '3rd Qtr'!I128, '4th Qtr'!I128)</f>
        <v>2953.9999999999964</v>
      </c>
      <c r="J128" s="15">
        <f t="shared" si="8"/>
        <v>3.1395806098481187E-2</v>
      </c>
    </row>
    <row r="129" spans="1:10" ht="15.75">
      <c r="A129" s="24" t="str">
        <v>K213</v>
      </c>
      <c r="B129" s="25" t="str">
        <v>NY</v>
      </c>
      <c r="C129" s="25" t="str">
        <f>Sites[[#This Row],[SOL'#]]</f>
        <v>SOL-11191</v>
      </c>
      <c r="D129" s="20">
        <f>SUM('1st Qtr'!D129,'2nd Qtr'!D129,'3rd Qtr'!D129,'4th Qtr'!D129)</f>
        <v>108835.79999999999</v>
      </c>
      <c r="E129" s="10">
        <f>SUM('1st Qtr'!E129, '2nd Qtr'!E129, '3rd Qtr'!E129, '4th Qtr'!E129)</f>
        <v>119222.36</v>
      </c>
      <c r="F129" s="10">
        <f t="shared" si="6"/>
        <v>-10386.560000000012</v>
      </c>
      <c r="G129" s="11">
        <f t="shared" si="7"/>
        <v>-8.7119228305831325E-2</v>
      </c>
      <c r="H129" s="12">
        <f>SUM('1st Qtr'!H129,'2nd Qtr'!H129,'3rd Qtr'!H129,'4th Qtr'!H129)</f>
        <v>117656</v>
      </c>
      <c r="I129" s="12">
        <f>SUM('1st Qtr'!I129, '2nd Qtr'!I129, '3rd Qtr'!I129, '4th Qtr'!I129)</f>
        <v>-8820.2000000000007</v>
      </c>
      <c r="J129" s="13">
        <f t="shared" si="8"/>
        <v>-7.4966002583803634E-2</v>
      </c>
    </row>
    <row r="130" spans="1:10" ht="15.75">
      <c r="A130" s="26" t="str">
        <v>K217</v>
      </c>
      <c r="B130" s="27" t="str">
        <v>NY</v>
      </c>
      <c r="C130" s="27" t="str">
        <f>Sites[[#This Row],[SOL'#]]</f>
        <v>SOL-10933</v>
      </c>
      <c r="D130" s="9">
        <f>SUM('1st Qtr'!D130,'2nd Qtr'!D130,'3rd Qtr'!D130,'4th Qtr'!D130)</f>
        <v>69739.554925800869</v>
      </c>
      <c r="E130" s="14">
        <f>SUM('1st Qtr'!E130, '2nd Qtr'!E130, '3rd Qtr'!E130, '4th Qtr'!E130)</f>
        <v>13647.47</v>
      </c>
      <c r="F130" s="14">
        <f t="shared" si="6"/>
        <v>56092.084925800867</v>
      </c>
      <c r="G130" s="15">
        <f t="shared" si="7"/>
        <v>4.1100720445475147</v>
      </c>
      <c r="H130" s="16">
        <f>SUM('1st Qtr'!H130,'2nd Qtr'!H130,'3rd Qtr'!H130,'4th Qtr'!H130)</f>
        <v>63769</v>
      </c>
      <c r="I130" s="16">
        <f>SUM('1st Qtr'!I130, '2nd Qtr'!I130, '3rd Qtr'!I130, '4th Qtr'!I130)</f>
        <v>5970.5549258008705</v>
      </c>
      <c r="J130" s="15">
        <f t="shared" si="8"/>
        <v>9.3627858768380728E-2</v>
      </c>
    </row>
    <row r="131" spans="1:10" ht="15.75">
      <c r="A131" s="24" t="str">
        <v>K307</v>
      </c>
      <c r="B131" s="25" t="str">
        <v>NY</v>
      </c>
      <c r="C131" s="25" t="str">
        <f>Sites[[#This Row],[SOL'#]]</f>
        <v>SOL-10876</v>
      </c>
      <c r="D131" s="20">
        <f>SUM('1st Qtr'!D131,'2nd Qtr'!D131,'3rd Qtr'!D131,'4th Qtr'!D131)</f>
        <v>146757.37812745851</v>
      </c>
      <c r="E131" s="10">
        <f>SUM('1st Qtr'!E131, '2nd Qtr'!E131, '3rd Qtr'!E131, '4th Qtr'!E131)</f>
        <v>28697.91</v>
      </c>
      <c r="F131" s="10">
        <f t="shared" si="6"/>
        <v>118059.4681274585</v>
      </c>
      <c r="G131" s="11">
        <f t="shared" si="7"/>
        <v>4.1138698994964615</v>
      </c>
      <c r="H131" s="12">
        <f>SUM('1st Qtr'!H131,'2nd Qtr'!H131,'3rd Qtr'!H131,'4th Qtr'!H131)</f>
        <v>133611</v>
      </c>
      <c r="I131" s="12">
        <f>SUM('1st Qtr'!I131, '2nd Qtr'!I131, '3rd Qtr'!I131, '4th Qtr'!I131)</f>
        <v>13146.378127458498</v>
      </c>
      <c r="J131" s="13">
        <f t="shared" si="8"/>
        <v>9.8392932673645864E-2</v>
      </c>
    </row>
    <row r="132" spans="1:10" ht="15.75">
      <c r="A132" s="26" t="str">
        <v>K610</v>
      </c>
      <c r="B132" s="27" t="str">
        <v>NY</v>
      </c>
      <c r="C132" s="27" t="str">
        <f>Sites[[#This Row],[SOL'#]]</f>
        <v>SOL-11158</v>
      </c>
      <c r="D132" s="9">
        <f>SUM('1st Qtr'!D132,'2nd Qtr'!D132,'3rd Qtr'!D132,'4th Qtr'!D132)</f>
        <v>135622</v>
      </c>
      <c r="E132" s="14">
        <f>SUM('1st Qtr'!E132, '2nd Qtr'!E132, '3rd Qtr'!E132, '4th Qtr'!E132)</f>
        <v>143705.39000000001</v>
      </c>
      <c r="F132" s="14">
        <f t="shared" si="6"/>
        <v>-8083.390000000014</v>
      </c>
      <c r="G132" s="15">
        <f t="shared" si="7"/>
        <v>-5.6249734265360632E-2</v>
      </c>
      <c r="H132" s="16">
        <f>SUM('1st Qtr'!H132,'2nd Qtr'!H132,'3rd Qtr'!H132,'4th Qtr'!H132)</f>
        <v>156935</v>
      </c>
      <c r="I132" s="16">
        <f>SUM('1st Qtr'!I132, '2nd Qtr'!I132, '3rd Qtr'!I132, '4th Qtr'!I132)</f>
        <v>-21313.000000000004</v>
      </c>
      <c r="J132" s="15">
        <f t="shared" si="8"/>
        <v>-0.13580781852359258</v>
      </c>
    </row>
    <row r="133" spans="1:10" ht="15.75">
      <c r="A133" s="24" t="str">
        <v>M025</v>
      </c>
      <c r="B133" s="25" t="str">
        <v>NY</v>
      </c>
      <c r="C133" s="25" t="str">
        <f>Sites[[#This Row],[SOL'#]]</f>
        <v>SOL-10392</v>
      </c>
      <c r="D133" s="20">
        <f>SUM('1st Qtr'!D133,'2nd Qtr'!D133,'3rd Qtr'!D133,'4th Qtr'!D133)</f>
        <v>80602.262328625002</v>
      </c>
      <c r="E133" s="10">
        <f>SUM('1st Qtr'!E133, '2nd Qtr'!E133, '3rd Qtr'!E133, '4th Qtr'!E133)</f>
        <v>84765.2</v>
      </c>
      <c r="F133" s="10">
        <f t="shared" si="6"/>
        <v>-4162.9376713749953</v>
      </c>
      <c r="G133" s="11">
        <f t="shared" si="7"/>
        <v>-4.9111400331444927E-2</v>
      </c>
      <c r="H133" s="12">
        <f>SUM('1st Qtr'!H133,'2nd Qtr'!H133,'3rd Qtr'!H133,'4th Qtr'!H133)</f>
        <v>136114</v>
      </c>
      <c r="I133" s="12">
        <f>SUM('1st Qtr'!I133, '2nd Qtr'!I133, '3rd Qtr'!I133, '4th Qtr'!I133)</f>
        <v>-55511.737671374998</v>
      </c>
      <c r="J133" s="13">
        <f t="shared" si="8"/>
        <v>-0.40783268195317895</v>
      </c>
    </row>
    <row r="134" spans="1:10" ht="15.75">
      <c r="A134" s="26" t="str">
        <v>M028</v>
      </c>
      <c r="B134" s="27" t="str">
        <v>NY</v>
      </c>
      <c r="C134" s="27" t="str">
        <f>Sites[[#This Row],[SOL'#]]</f>
        <v>SOL-10381</v>
      </c>
      <c r="D134" s="9">
        <f>SUM('1st Qtr'!D134,'2nd Qtr'!D134,'3rd Qtr'!D134,'4th Qtr'!D134)</f>
        <v>112124.54496326559</v>
      </c>
      <c r="E134" s="14">
        <f>SUM('1st Qtr'!E134, '2nd Qtr'!E134, '3rd Qtr'!E134, '4th Qtr'!E134)</f>
        <v>61633.79</v>
      </c>
      <c r="F134" s="14">
        <f t="shared" si="6"/>
        <v>50490.754963265594</v>
      </c>
      <c r="G134" s="15">
        <f t="shared" si="7"/>
        <v>0.81920574677081504</v>
      </c>
      <c r="H134" s="16">
        <f>SUM('1st Qtr'!H134,'2nd Qtr'!H134,'3rd Qtr'!H134,'4th Qtr'!H134)</f>
        <v>105486</v>
      </c>
      <c r="I134" s="16">
        <f>SUM('1st Qtr'!I134, '2nd Qtr'!I134, '3rd Qtr'!I134, '4th Qtr'!I134)</f>
        <v>6638.5449632655982</v>
      </c>
      <c r="J134" s="15">
        <f t="shared" si="8"/>
        <v>6.2932948099895705E-2</v>
      </c>
    </row>
    <row r="135" spans="1:10" ht="15.75">
      <c r="A135" s="24" t="str">
        <v>Q030</v>
      </c>
      <c r="B135" s="25" t="str">
        <v>NY</v>
      </c>
      <c r="C135" s="25" t="str">
        <f>Sites[[#This Row],[SOL'#]]</f>
        <v>SOL-10878</v>
      </c>
      <c r="D135" s="20">
        <f>SUM('1st Qtr'!D135,'2nd Qtr'!D135,'3rd Qtr'!D135,'4th Qtr'!D135)</f>
        <v>145060.70573375002</v>
      </c>
      <c r="E135" s="10">
        <f>SUM('1st Qtr'!E135, '2nd Qtr'!E135, '3rd Qtr'!E135, '4th Qtr'!E135)</f>
        <v>28301.79</v>
      </c>
      <c r="F135" s="10">
        <f t="shared" si="6"/>
        <v>116758.91573375001</v>
      </c>
      <c r="G135" s="11">
        <f t="shared" si="7"/>
        <v>4.1254957984547973</v>
      </c>
      <c r="H135" s="12">
        <f>SUM('1st Qtr'!H135,'2nd Qtr'!H135,'3rd Qtr'!H135,'4th Qtr'!H135)</f>
        <v>127376</v>
      </c>
      <c r="I135" s="12">
        <f>SUM('1st Qtr'!I135, '2nd Qtr'!I135, '3rd Qtr'!I135, '4th Qtr'!I135)</f>
        <v>17684.705733750001</v>
      </c>
      <c r="J135" s="13">
        <f t="shared" si="8"/>
        <v>0.13883860172834758</v>
      </c>
    </row>
    <row r="136" spans="1:10" ht="15.75">
      <c r="A136" s="26" t="str">
        <v>Q130</v>
      </c>
      <c r="B136" s="27" t="str">
        <v>NY</v>
      </c>
      <c r="C136" s="27" t="str">
        <f>Sites[[#This Row],[SOL'#]]</f>
        <v>SOL-10877</v>
      </c>
      <c r="D136" s="9">
        <f>SUM('1st Qtr'!D136,'2nd Qtr'!D136,'3rd Qtr'!D136,'4th Qtr'!D136)</f>
        <v>80684.376222929699</v>
      </c>
      <c r="E136" s="14">
        <f>SUM('1st Qtr'!E136, '2nd Qtr'!E136, '3rd Qtr'!E136, '4th Qtr'!E136)</f>
        <v>15232.4</v>
      </c>
      <c r="F136" s="14">
        <f t="shared" si="6"/>
        <v>65451.976222929698</v>
      </c>
      <c r="G136" s="15">
        <f t="shared" si="7"/>
        <v>4.2968919029784995</v>
      </c>
      <c r="H136" s="16">
        <f>SUM('1st Qtr'!H136,'2nd Qtr'!H136,'3rd Qtr'!H136,'4th Qtr'!H136)</f>
        <v>71996.17</v>
      </c>
      <c r="I136" s="16">
        <f>SUM('1st Qtr'!I136, '2nd Qtr'!I136, '3rd Qtr'!I136, '4th Qtr'!I136)</f>
        <v>8688.2062229297007</v>
      </c>
      <c r="J136" s="15">
        <f t="shared" si="8"/>
        <v>0.12067595016415041</v>
      </c>
    </row>
    <row r="137" spans="1:10" ht="15.75">
      <c r="A137" s="24" t="str">
        <v>Q196</v>
      </c>
      <c r="B137" s="25" t="str">
        <v>NY</v>
      </c>
      <c r="C137" s="25" t="str">
        <f>Sites[[#This Row],[SOL'#]]</f>
        <v>SOL-10879</v>
      </c>
      <c r="D137" s="20">
        <f>SUM('1st Qtr'!D137,'2nd Qtr'!D137,'3rd Qtr'!D137,'4th Qtr'!D137)</f>
        <v>103060.79915234369</v>
      </c>
      <c r="E137" s="10">
        <f>SUM('1st Qtr'!E137, '2nd Qtr'!E137, '3rd Qtr'!E137, '4th Qtr'!E137)</f>
        <v>21688.12</v>
      </c>
      <c r="F137" s="10">
        <f t="shared" si="6"/>
        <v>81372.679152343699</v>
      </c>
      <c r="G137" s="11">
        <f t="shared" si="7"/>
        <v>3.7519471098621597</v>
      </c>
      <c r="H137" s="12">
        <f>SUM('1st Qtr'!H137,'2nd Qtr'!H137,'3rd Qtr'!H137,'4th Qtr'!H137)</f>
        <v>93524</v>
      </c>
      <c r="I137" s="12">
        <f>SUM('1st Qtr'!I137, '2nd Qtr'!I137, '3rd Qtr'!I137, '4th Qtr'!I137)</f>
        <v>6300.8391523436985</v>
      </c>
      <c r="J137" s="13">
        <f t="shared" si="8"/>
        <v>6.7371360852227224E-2</v>
      </c>
    </row>
    <row r="138" spans="1:10" ht="15.75">
      <c r="A138" s="26" t="str">
        <v>Q220</v>
      </c>
      <c r="B138" s="27" t="str">
        <v>NY</v>
      </c>
      <c r="C138" s="27" t="str">
        <f>Sites[[#This Row],[SOL'#]]</f>
        <v>SOL-10873</v>
      </c>
      <c r="D138" s="9">
        <f>SUM('1st Qtr'!D138,'2nd Qtr'!D138,'3rd Qtr'!D138,'4th Qtr'!D138)</f>
        <v>124748.7420135156</v>
      </c>
      <c r="E138" s="14">
        <f>SUM('1st Qtr'!E138, '2nd Qtr'!E138, '3rd Qtr'!E138, '4th Qtr'!E138)</f>
        <v>28923</v>
      </c>
      <c r="F138" s="14">
        <f t="shared" si="6"/>
        <v>95825.742013515599</v>
      </c>
      <c r="G138" s="15">
        <f t="shared" si="7"/>
        <v>3.3131328705015246</v>
      </c>
      <c r="H138" s="16">
        <f>SUM('1st Qtr'!H138,'2nd Qtr'!H138,'3rd Qtr'!H138,'4th Qtr'!H138)</f>
        <v>107876</v>
      </c>
      <c r="I138" s="16">
        <f>SUM('1st Qtr'!I138, '2nd Qtr'!I138, '3rd Qtr'!I138, '4th Qtr'!I138)</f>
        <v>10403.541013515602</v>
      </c>
      <c r="J138" s="15">
        <f t="shared" si="8"/>
        <v>9.6439810648481603E-2</v>
      </c>
    </row>
    <row r="139" spans="1:10" ht="15.75">
      <c r="A139" s="24" t="str">
        <v>Q205</v>
      </c>
      <c r="B139" s="25" t="str">
        <v>NY</v>
      </c>
      <c r="C139" s="25" t="str">
        <f>Sites[[#This Row],[SOL'#]]</f>
        <v>SOL-10922</v>
      </c>
      <c r="D139" s="20">
        <f>SUM('1st Qtr'!D139,'2nd Qtr'!D139,'3rd Qtr'!D139,'4th Qtr'!D139)</f>
        <v>127928.24609375</v>
      </c>
      <c r="E139" s="10">
        <f>SUM('1st Qtr'!E139, '2nd Qtr'!E139, '3rd Qtr'!E139, '4th Qtr'!E139)</f>
        <v>146703.10999999999</v>
      </c>
      <c r="F139" s="10">
        <f t="shared" si="6"/>
        <v>-18774.863906249986</v>
      </c>
      <c r="G139" s="11">
        <f t="shared" si="7"/>
        <v>-0.12797863594200551</v>
      </c>
      <c r="H139" s="12">
        <f>SUM('1st Qtr'!H139,'2nd Qtr'!H139,'3rd Qtr'!H139,'4th Qtr'!H139)</f>
        <v>129398</v>
      </c>
      <c r="I139" s="12">
        <f>SUM('1st Qtr'!I139, '2nd Qtr'!I139, '3rd Qtr'!I139, '4th Qtr'!I139)</f>
        <v>-1469.75390625</v>
      </c>
      <c r="J139" s="13">
        <f t="shared" si="8"/>
        <v>-1.1358397396018486E-2</v>
      </c>
    </row>
    <row r="140" spans="1:10" ht="15.75">
      <c r="A140" s="26" t="str">
        <v>Q400</v>
      </c>
      <c r="B140" s="27" t="str">
        <v>NY</v>
      </c>
      <c r="C140" s="27" t="str">
        <f>Sites[[#This Row],[SOL'#]]</f>
        <v>SOL-10871</v>
      </c>
      <c r="D140" s="9">
        <f>SUM('1st Qtr'!D140,'2nd Qtr'!D140,'3rd Qtr'!D140,'4th Qtr'!D140)</f>
        <v>158191.78906325001</v>
      </c>
      <c r="E140" s="14">
        <f>SUM('1st Qtr'!E140, '2nd Qtr'!E140, '3rd Qtr'!E140, '4th Qtr'!E140)</f>
        <v>0</v>
      </c>
      <c r="F140" s="14">
        <f t="shared" si="6"/>
        <v>158191.78906325001</v>
      </c>
      <c r="G140" s="15" t="str">
        <f t="shared" si="7"/>
        <v/>
      </c>
      <c r="H140" s="16">
        <f>SUM('1st Qtr'!H140,'2nd Qtr'!H140,'3rd Qtr'!H140,'4th Qtr'!H140)</f>
        <v>209551</v>
      </c>
      <c r="I140" s="16">
        <f>SUM('1st Qtr'!I140, '2nd Qtr'!I140, '3rd Qtr'!I140, '4th Qtr'!I140)</f>
        <v>-51359.210936750002</v>
      </c>
      <c r="J140" s="15">
        <f t="shared" si="8"/>
        <v>-0.24509170052517049</v>
      </c>
    </row>
    <row r="141" spans="1:10" ht="15.75">
      <c r="A141" s="24" t="str">
        <v>R003</v>
      </c>
      <c r="B141" s="25" t="str">
        <v>NY</v>
      </c>
      <c r="C141" s="25" t="str">
        <f>Sites[[#This Row],[SOL'#]]</f>
        <v>SOL-10416</v>
      </c>
      <c r="D141" s="20">
        <f>SUM('1st Qtr'!D141,'2nd Qtr'!D141,'3rd Qtr'!D141,'4th Qtr'!D141)</f>
        <v>198418.26562249998</v>
      </c>
      <c r="E141" s="10">
        <f>SUM('1st Qtr'!E141, '2nd Qtr'!E141, '3rd Qtr'!E141, '4th Qtr'!E141)</f>
        <v>75666.38</v>
      </c>
      <c r="F141" s="10">
        <f t="shared" si="6"/>
        <v>122751.88562249998</v>
      </c>
      <c r="G141" s="11">
        <f t="shared" si="7"/>
        <v>1.6222777622307287</v>
      </c>
      <c r="H141" s="12">
        <f>SUM('1st Qtr'!H141,'2nd Qtr'!H141,'3rd Qtr'!H141,'4th Qtr'!H141)</f>
        <v>192043</v>
      </c>
      <c r="I141" s="12">
        <f>SUM('1st Qtr'!I141, '2nd Qtr'!I141, '3rd Qtr'!I141, '4th Qtr'!I141)</f>
        <v>-14281.3671875</v>
      </c>
      <c r="J141" s="13">
        <f t="shared" si="8"/>
        <v>-7.4365466002405706E-2</v>
      </c>
    </row>
    <row r="142" spans="1:10" ht="15.75">
      <c r="A142" s="26" t="str">
        <v>R007</v>
      </c>
      <c r="B142" s="27" t="str">
        <v>NY</v>
      </c>
      <c r="C142" s="27" t="str">
        <f>Sites[[#This Row],[SOL'#]]</f>
        <v>SOL-10417</v>
      </c>
      <c r="D142" s="9">
        <f>SUM('1st Qtr'!D142,'2nd Qtr'!D142,'3rd Qtr'!D142,'4th Qtr'!D142)</f>
        <v>231864.34140500001</v>
      </c>
      <c r="E142" s="14">
        <f>SUM('1st Qtr'!E142, '2nd Qtr'!E142, '3rd Qtr'!E142, '4th Qtr'!E142)</f>
        <v>124736.26000000001</v>
      </c>
      <c r="F142" s="14">
        <f t="shared" si="6"/>
        <v>107128.081405</v>
      </c>
      <c r="G142" s="15">
        <f t="shared" si="7"/>
        <v>0.8588367280292033</v>
      </c>
      <c r="H142" s="16">
        <f>SUM('1st Qtr'!H142,'2nd Qtr'!H142,'3rd Qtr'!H142,'4th Qtr'!H142)</f>
        <v>205008.8</v>
      </c>
      <c r="I142" s="16">
        <f>SUM('1st Qtr'!I142, '2nd Qtr'!I142, '3rd Qtr'!I142, '4th Qtr'!I142)</f>
        <v>26855.541405000004</v>
      </c>
      <c r="J142" s="15">
        <f t="shared" si="8"/>
        <v>0.13099701771338598</v>
      </c>
    </row>
    <row r="143" spans="1:10" ht="15.75">
      <c r="A143" s="24" t="str">
        <v>BK16</v>
      </c>
      <c r="B143" s="25" t="str">
        <v>NY</v>
      </c>
      <c r="C143" s="25" t="str">
        <f>Sites[[#This Row],[SOL'#]]</f>
        <v>SOL-11093</v>
      </c>
      <c r="D143" s="20">
        <f>SUM('1st Qtr'!D143,'2nd Qtr'!D143,'3rd Qtr'!D143,'4th Qtr'!D143)</f>
        <v>233620.21767140861</v>
      </c>
      <c r="E143" s="10">
        <f>SUM('1st Qtr'!E143, '2nd Qtr'!E143, '3rd Qtr'!E143, '4th Qtr'!E143)</f>
        <v>47268.57</v>
      </c>
      <c r="F143" s="10">
        <f t="shared" si="6"/>
        <v>186351.6476714086</v>
      </c>
      <c r="G143" s="11">
        <f t="shared" si="7"/>
        <v>3.9424007891799691</v>
      </c>
      <c r="H143" s="12">
        <f>SUM('1st Qtr'!H143,'2nd Qtr'!H143,'3rd Qtr'!H143,'4th Qtr'!H143)</f>
        <v>204477</v>
      </c>
      <c r="I143" s="12">
        <f>SUM('1st Qtr'!I143, '2nd Qtr'!I143, '3rd Qtr'!I143, '4th Qtr'!I143)</f>
        <v>29143.217671408602</v>
      </c>
      <c r="J143" s="13">
        <f t="shared" si="8"/>
        <v>0.14252565164497036</v>
      </c>
    </row>
    <row r="144" spans="1:10" ht="15.75">
      <c r="A144" s="26" t="str">
        <v>Trenton - Trenton East</v>
      </c>
      <c r="B144" s="27" t="str">
        <v>IL</v>
      </c>
      <c r="C144" s="27" t="str">
        <f>Sites[[#This Row],[SOL'#]]</f>
        <v>SOL-11060</v>
      </c>
      <c r="D144" s="9">
        <f>SUM('1st Qtr'!D144,'2nd Qtr'!D144,'3rd Qtr'!D144,'4th Qtr'!D144)</f>
        <v>1804761.4997652881</v>
      </c>
      <c r="E144" s="14">
        <f>SUM('1st Qtr'!E144, '2nd Qtr'!E144, '3rd Qtr'!E144, '4th Qtr'!E144)</f>
        <v>1956987.6</v>
      </c>
      <c r="F144" s="14">
        <f t="shared" si="6"/>
        <v>-152226.10023471201</v>
      </c>
      <c r="G144" s="15">
        <f t="shared" si="7"/>
        <v>-7.778592988259711E-2</v>
      </c>
      <c r="H144" s="16">
        <f>SUM('1st Qtr'!H144,'2nd Qtr'!H144,'3rd Qtr'!H144,'4th Qtr'!H144)</f>
        <v>2627563</v>
      </c>
      <c r="I144" s="16">
        <f>SUM('1st Qtr'!I144, '2nd Qtr'!I144, '3rd Qtr'!I144, '4th Qtr'!I144)</f>
        <v>-822801.50023471203</v>
      </c>
      <c r="J144" s="15">
        <f t="shared" si="8"/>
        <v>-0.31314244424765914</v>
      </c>
    </row>
    <row r="145" spans="1:10" ht="15.75">
      <c r="A145" s="24" t="str">
        <v>Trenton - Trenton West</v>
      </c>
      <c r="B145" s="25" t="str">
        <v>IL</v>
      </c>
      <c r="C145" s="25" t="str">
        <f>Sites[[#This Row],[SOL'#]]</f>
        <v>SOL-11061</v>
      </c>
      <c r="D145" s="20">
        <f>SUM('1st Qtr'!D145,'2nd Qtr'!D145,'3rd Qtr'!D145,'4th Qtr'!D145)</f>
        <v>1151056.0524417299</v>
      </c>
      <c r="E145" s="10">
        <f>SUM('1st Qtr'!E145, '2nd Qtr'!E145, '3rd Qtr'!E145, '4th Qtr'!E145)</f>
        <v>1463203.28</v>
      </c>
      <c r="F145" s="10">
        <f t="shared" si="6"/>
        <v>-312147.2275582701</v>
      </c>
      <c r="G145" s="11">
        <f t="shared" si="7"/>
        <v>-0.21333141595901159</v>
      </c>
      <c r="H145" s="12">
        <f>SUM('1st Qtr'!H145,'2nd Qtr'!H145,'3rd Qtr'!H145,'4th Qtr'!H145)</f>
        <v>2629615.0039999997</v>
      </c>
      <c r="I145" s="12">
        <f>SUM('1st Qtr'!I145, '2nd Qtr'!I145, '3rd Qtr'!I145, '4th Qtr'!I145)</f>
        <v>-1478558.95155827</v>
      </c>
      <c r="J145" s="13">
        <f t="shared" si="8"/>
        <v>-0.56227202434926105</v>
      </c>
    </row>
    <row r="146" spans="1:10" ht="15.75">
      <c r="A146" s="26" t="str">
        <v>Dakota - Dakota Solar 1</v>
      </c>
      <c r="B146" s="27" t="str">
        <v>IL</v>
      </c>
      <c r="C146" s="27" t="str">
        <f>Sites[[#This Row],[SOL'#]]</f>
        <v>SOL-11113</v>
      </c>
      <c r="D146" s="9">
        <f>SUM('1st Qtr'!D146,'2nd Qtr'!D146,'3rd Qtr'!D146,'4th Qtr'!D146)</f>
        <v>2850274</v>
      </c>
      <c r="E146" s="14">
        <f>SUM('1st Qtr'!E146, '2nd Qtr'!E146, '3rd Qtr'!E146, '4th Qtr'!E146)</f>
        <v>3074651.9689999996</v>
      </c>
      <c r="F146" s="14">
        <f t="shared" si="6"/>
        <v>-224377.96899999958</v>
      </c>
      <c r="G146" s="15">
        <f t="shared" si="7"/>
        <v>-7.2976704766027981E-2</v>
      </c>
      <c r="H146" s="16">
        <f>SUM('1st Qtr'!H146,'2nd Qtr'!H146,'3rd Qtr'!H146,'4th Qtr'!H146)</f>
        <v>396944</v>
      </c>
      <c r="I146" s="16">
        <f>SUM('1st Qtr'!I146, '2nd Qtr'!I146, '3rd Qtr'!I146, '4th Qtr'!I146)</f>
        <v>2048871</v>
      </c>
      <c r="J146" s="15">
        <f t="shared" si="8"/>
        <v>5.1616122173404815</v>
      </c>
    </row>
    <row r="147" spans="1:10" ht="15.75">
      <c r="A147" s="24" t="str">
        <v>X018</v>
      </c>
      <c r="B147" s="25" t="str">
        <v>NY</v>
      </c>
      <c r="C147" s="25" t="str">
        <f>Sites[[#This Row],[SOL'#]]</f>
        <v>SOL-10418</v>
      </c>
      <c r="D147" s="20">
        <f>SUM('1st Qtr'!D147,'2nd Qtr'!D147,'3rd Qtr'!D147,'4th Qtr'!D147)</f>
        <v>87848.31</v>
      </c>
      <c r="E147" s="10">
        <f>SUM('1st Qtr'!E147, '2nd Qtr'!E147, '3rd Qtr'!E147, '4th Qtr'!E147)</f>
        <v>84942.763999999996</v>
      </c>
      <c r="F147" s="10">
        <f t="shared" si="6"/>
        <v>2905.5460000000021</v>
      </c>
      <c r="G147" s="11">
        <f t="shared" si="7"/>
        <v>3.4205927181743256E-2</v>
      </c>
      <c r="H147" s="12">
        <f>SUM('1st Qtr'!H147,'2nd Qtr'!H147,'3rd Qtr'!H147,'4th Qtr'!H147)</f>
        <v>103644</v>
      </c>
      <c r="I147" s="12">
        <f>SUM('1st Qtr'!I147, '2nd Qtr'!I147, '3rd Qtr'!I147, '4th Qtr'!I147)</f>
        <v>-15795.69</v>
      </c>
      <c r="J147" s="13">
        <f t="shared" si="8"/>
        <v>-0.15240332291304851</v>
      </c>
    </row>
    <row r="148" spans="1:10" ht="15.75">
      <c r="A148" s="26" t="str">
        <v>Janiak Solar</v>
      </c>
      <c r="B148" s="27" t="str">
        <v>NY</v>
      </c>
      <c r="C148" s="27" t="str">
        <f>Sites[[#This Row],[SOL'#]]</f>
        <v>SOL-10898</v>
      </c>
      <c r="D148" s="9">
        <f>SUM('1st Qtr'!D148,'2nd Qtr'!D148,'3rd Qtr'!D148,'4th Qtr'!D148)</f>
        <v>2122380.0001293542</v>
      </c>
      <c r="E148" s="14">
        <f>SUM('1st Qtr'!E148, '2nd Qtr'!E148, '3rd Qtr'!E148, '4th Qtr'!E148)</f>
        <v>2362224.3979999996</v>
      </c>
      <c r="F148" s="14">
        <f t="shared" si="6"/>
        <v>-239844.39787064539</v>
      </c>
      <c r="G148" s="15">
        <f t="shared" si="7"/>
        <v>-0.10153328281331443</v>
      </c>
      <c r="H148" s="16">
        <f>SUM('1st Qtr'!H148,'2nd Qtr'!H148,'3rd Qtr'!H148,'4th Qtr'!H148)</f>
        <v>2472295.0690000001</v>
      </c>
      <c r="I148" s="16">
        <f>SUM('1st Qtr'!I148, '2nd Qtr'!I148, '3rd Qtr'!I148, '4th Qtr'!I148)</f>
        <v>-349915.06887064601</v>
      </c>
      <c r="J148" s="15">
        <f t="shared" si="8"/>
        <v>-0.14153450907143558</v>
      </c>
    </row>
    <row r="149" spans="1:10" ht="15.75">
      <c r="A149" s="24" t="str">
        <v>County Route 11B</v>
      </c>
      <c r="B149" s="25" t="str">
        <v>NY</v>
      </c>
      <c r="C149" s="25" t="str">
        <f>Sites[[#This Row],[SOL'#]]</f>
        <v>SOL-10983</v>
      </c>
      <c r="D149" s="20">
        <f>SUM('1st Qtr'!D149,'2nd Qtr'!D149,'3rd Qtr'!D149,'4th Qtr'!D149)</f>
        <v>4428765</v>
      </c>
      <c r="E149" s="10">
        <f>SUM('1st Qtr'!E149, '2nd Qtr'!E149, '3rd Qtr'!E149, '4th Qtr'!E149)</f>
        <v>1431678</v>
      </c>
      <c r="F149" s="10">
        <f t="shared" si="6"/>
        <v>2997087</v>
      </c>
      <c r="G149" s="11">
        <f t="shared" si="7"/>
        <v>2.0934085737155979</v>
      </c>
      <c r="H149" s="12">
        <f>SUM('1st Qtr'!H149,'2nd Qtr'!H149,'3rd Qtr'!H149,'4th Qtr'!H149)</f>
        <v>0</v>
      </c>
      <c r="I149" s="12">
        <f>SUM('1st Qtr'!I149, '2nd Qtr'!I149, '3rd Qtr'!I149, '4th Qtr'!I149)</f>
        <v>1581049</v>
      </c>
      <c r="J149" s="13" t="str">
        <f t="shared" si="8"/>
        <v/>
      </c>
    </row>
    <row r="150" spans="1:10" ht="15.75">
      <c r="A150" s="26" t="str">
        <v>Barone</v>
      </c>
      <c r="B150" s="27" t="str">
        <v>NY</v>
      </c>
      <c r="C150" s="27" t="str">
        <f>Sites[[#This Row],[SOL'#]]</f>
        <v>SOL-11034</v>
      </c>
      <c r="D150" s="9">
        <f>SUM('1st Qtr'!D150,'2nd Qtr'!D150,'3rd Qtr'!D150,'4th Qtr'!D150)</f>
        <v>2992500</v>
      </c>
      <c r="E150" s="14">
        <f>SUM('1st Qtr'!E150, '2nd Qtr'!E150, '3rd Qtr'!E150, '4th Qtr'!E150)</f>
        <v>667986</v>
      </c>
      <c r="F150" s="14">
        <f t="shared" si="6"/>
        <v>2324514</v>
      </c>
      <c r="G150" s="15">
        <f t="shared" si="7"/>
        <v>3.4798843089525828</v>
      </c>
      <c r="H150" s="16">
        <f>SUM('1st Qtr'!H150,'2nd Qtr'!H150,'3rd Qtr'!H150,'4th Qtr'!H150)</f>
        <v>3269703.2</v>
      </c>
      <c r="I150" s="16">
        <f>SUM('1st Qtr'!I150, '2nd Qtr'!I150, '3rd Qtr'!I150, '4th Qtr'!I150)</f>
        <v>-277203.19999999995</v>
      </c>
      <c r="J150" s="15">
        <f t="shared" si="8"/>
        <v>-8.4779315749515111E-2</v>
      </c>
    </row>
    <row r="151" spans="1:10" ht="15.75">
      <c r="A151" s="24" t="str">
        <v>Cedarville</v>
      </c>
      <c r="B151" s="25" t="str">
        <v>IL</v>
      </c>
      <c r="C151" s="25" t="str">
        <f>Sites[[#This Row],[SOL'#]]</f>
        <v>SOL-11069</v>
      </c>
      <c r="D151" s="20">
        <f>SUM('1st Qtr'!D151,'2nd Qtr'!D151,'3rd Qtr'!D151,'4th Qtr'!D151)</f>
        <v>2433776</v>
      </c>
      <c r="E151" s="10">
        <f>SUM('1st Qtr'!E151, '2nd Qtr'!E151, '3rd Qtr'!E151, '4th Qtr'!E151)</f>
        <v>2458731.9000000004</v>
      </c>
      <c r="F151" s="10">
        <f t="shared" si="6"/>
        <v>-24955.900000000373</v>
      </c>
      <c r="G151" s="11">
        <f t="shared" si="7"/>
        <v>-1.0149906950001491E-2</v>
      </c>
      <c r="H151" s="12">
        <f>SUM('1st Qtr'!H151,'2nd Qtr'!H151,'3rd Qtr'!H151,'4th Qtr'!H151)</f>
        <v>2854501.3</v>
      </c>
      <c r="I151" s="12">
        <f>SUM('1st Qtr'!I151, '2nd Qtr'!I151, '3rd Qtr'!I151, '4th Qtr'!I151)</f>
        <v>-420725.29999999993</v>
      </c>
      <c r="J151" s="13">
        <f t="shared" si="8"/>
        <v>-0.14739012380201053</v>
      </c>
    </row>
    <row r="152" spans="1:10" ht="15.75">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75">
      <c r="A153" s="24" t="str">
        <v xml:space="preserve"> O'Brien Hill #2</v>
      </c>
      <c r="B153" s="25" t="str">
        <v>NY</v>
      </c>
      <c r="C153" s="25" t="str">
        <f>Sites[[#This Row],[SOL'#]]</f>
        <v>SOL-11099</v>
      </c>
      <c r="D153" s="20">
        <f>SUM('1st Qtr'!D153,'2nd Qtr'!D153,'3rd Qtr'!D153,'4th Qtr'!D153)</f>
        <v>3376362.06</v>
      </c>
      <c r="E153" s="10">
        <f>SUM('1st Qtr'!E153, '2nd Qtr'!E153, '3rd Qtr'!E153, '4th Qtr'!E153)</f>
        <v>1037322</v>
      </c>
      <c r="F153" s="10">
        <f t="shared" si="6"/>
        <v>2339040.06</v>
      </c>
      <c r="G153" s="11">
        <f t="shared" si="7"/>
        <v>2.2548833052803277</v>
      </c>
      <c r="H153" s="12">
        <f>SUM('1st Qtr'!H153,'2nd Qtr'!H153,'3rd Qtr'!H153,'4th Qtr'!H153)</f>
        <v>288848</v>
      </c>
      <c r="I153" s="12">
        <f>SUM('1st Qtr'!I153, '2nd Qtr'!I153, '3rd Qtr'!I153, '4th Qtr'!I153)</f>
        <v>656879</v>
      </c>
      <c r="J153" s="13">
        <f t="shared" si="8"/>
        <v>2.2741338004763749</v>
      </c>
    </row>
    <row r="154" spans="1:10" ht="15.75">
      <c r="A154" s="26" t="str">
        <v>Trinity - Freeport</v>
      </c>
      <c r="B154" s="27" t="str">
        <v>IL</v>
      </c>
      <c r="C154" s="27" t="str">
        <f>Sites[[#This Row],[SOL'#]]</f>
        <v>SOL-11057</v>
      </c>
      <c r="D154" s="9">
        <f>SUM('1st Qtr'!D154,'2nd Qtr'!D154,'3rd Qtr'!D154,'4th Qtr'!D154)</f>
        <v>2176146</v>
      </c>
      <c r="E154" s="14">
        <f>SUM('1st Qtr'!E154, '2nd Qtr'!E154, '3rd Qtr'!E154, '4th Qtr'!E154)</f>
        <v>1926275.7999999998</v>
      </c>
      <c r="F154" s="14">
        <f t="shared" si="6"/>
        <v>249870.20000000019</v>
      </c>
      <c r="G154" s="15">
        <f t="shared" si="7"/>
        <v>0.1297167311139974</v>
      </c>
      <c r="H154" s="16">
        <f>SUM('1st Qtr'!H154,'2nd Qtr'!H154,'3rd Qtr'!H154,'4th Qtr'!H154)</f>
        <v>1635760</v>
      </c>
      <c r="I154" s="16">
        <f>SUM('1st Qtr'!I154, '2nd Qtr'!I154, '3rd Qtr'!I154, '4th Qtr'!I154)</f>
        <v>148444</v>
      </c>
      <c r="J154" s="15">
        <f t="shared" si="8"/>
        <v>9.0749254169315799E-2</v>
      </c>
    </row>
    <row r="155" spans="1:10" ht="15.75">
      <c r="A155" s="24" t="str">
        <v>Ransom</v>
      </c>
      <c r="B155" s="25" t="str">
        <v>NY</v>
      </c>
      <c r="C155" s="25" t="str">
        <f>Sites[[#This Row],[SOL'#]]</f>
        <v>SOL-11157</v>
      </c>
      <c r="D155" s="20">
        <f>SUM('1st Qtr'!D155,'2nd Qtr'!D155,'3rd Qtr'!D155,'4th Qtr'!D155)</f>
        <v>3100269.5</v>
      </c>
      <c r="E155" s="10">
        <f>SUM('1st Qtr'!E155, '2nd Qtr'!E155, '3rd Qtr'!E155, '4th Qtr'!E155)</f>
        <v>861300</v>
      </c>
      <c r="F155" s="10">
        <f t="shared" si="6"/>
        <v>2238969.5</v>
      </c>
      <c r="G155" s="11">
        <f t="shared" si="7"/>
        <v>2.5995233948682226</v>
      </c>
      <c r="H155" s="12">
        <f>SUM('1st Qtr'!H155,'2nd Qtr'!H155,'3rd Qtr'!H155,'4th Qtr'!H155)</f>
        <v>326042</v>
      </c>
      <c r="I155" s="12">
        <f>SUM('1st Qtr'!I155, '2nd Qtr'!I155, '3rd Qtr'!I155, '4th Qtr'!I155)</f>
        <v>404070.69999999995</v>
      </c>
      <c r="J155" s="13">
        <f t="shared" si="8"/>
        <v>1.2393210077229313</v>
      </c>
    </row>
    <row r="156" spans="1:10" ht="15.75">
      <c r="A156" s="26" t="str">
        <v>Horseheads - Wedge</v>
      </c>
      <c r="B156" s="27" t="str">
        <v>NY</v>
      </c>
      <c r="C156" s="27" t="str">
        <f>Sites[[#This Row],[SOL'#]]</f>
        <v>SOL-11160</v>
      </c>
      <c r="D156" s="9">
        <f>SUM('1st Qtr'!D156,'2nd Qtr'!D156,'3rd Qtr'!D156,'4th Qtr'!D156)</f>
        <v>2275182</v>
      </c>
      <c r="E156" s="14">
        <f>SUM('1st Qtr'!E156, '2nd Qtr'!E156, '3rd Qtr'!E156, '4th Qtr'!E156)</f>
        <v>728031</v>
      </c>
      <c r="F156" s="14">
        <f t="shared" si="6"/>
        <v>1547151</v>
      </c>
      <c r="G156" s="15">
        <f t="shared" si="7"/>
        <v>2.125116924966107</v>
      </c>
      <c r="H156" s="16">
        <f>SUM('1st Qtr'!H156,'2nd Qtr'!H156,'3rd Qtr'!H156,'4th Qtr'!H156)</f>
        <v>344639</v>
      </c>
      <c r="I156" s="16">
        <f>SUM('1st Qtr'!I156, '2nd Qtr'!I156, '3rd Qtr'!I156, '4th Qtr'!I156)</f>
        <v>171594</v>
      </c>
      <c r="J156" s="15">
        <f t="shared" si="8"/>
        <v>0.49789489872011</v>
      </c>
    </row>
    <row r="157" spans="1:10" ht="15.75">
      <c r="A157" s="24" t="str">
        <v>Otisville - Shoddy Hollow</v>
      </c>
      <c r="B157" s="25" t="str">
        <v>NY</v>
      </c>
      <c r="C157" s="25" t="str">
        <f>Sites[[#This Row],[SOL'#]]</f>
        <v>SOL-11185</v>
      </c>
      <c r="D157" s="20">
        <f>SUM('1st Qtr'!D157,'2nd Qtr'!D157,'3rd Qtr'!D157,'4th Qtr'!D157)</f>
        <v>3721228.8</v>
      </c>
      <c r="E157" s="10">
        <f>SUM('1st Qtr'!E157, '2nd Qtr'!E157, '3rd Qtr'!E157, '4th Qtr'!E157)</f>
        <v>1131387</v>
      </c>
      <c r="F157" s="10">
        <f t="shared" si="6"/>
        <v>2589841.7999999998</v>
      </c>
      <c r="G157" s="11">
        <f t="shared" si="7"/>
        <v>2.2890856974669145</v>
      </c>
      <c r="H157" s="12">
        <f>SUM('1st Qtr'!H157,'2nd Qtr'!H157,'3rd Qtr'!H157,'4th Qtr'!H157)</f>
        <v>363236</v>
      </c>
      <c r="I157" s="12">
        <f>SUM('1st Qtr'!I157, '2nd Qtr'!I157, '3rd Qtr'!I157, '4th Qtr'!I157)</f>
        <v>580678.69999999995</v>
      </c>
      <c r="J157" s="13">
        <f t="shared" si="8"/>
        <v>1.5986265127905823</v>
      </c>
    </row>
    <row r="158" spans="1:10" ht="15.75">
      <c r="A158" s="26" t="str">
        <v>Wellsville - Chenunda Creek</v>
      </c>
      <c r="B158" s="27" t="str">
        <v>NY</v>
      </c>
      <c r="C158" s="27" t="str">
        <f>Sites[[#This Row],[SOL'#]]</f>
        <v>SOL-11187</v>
      </c>
      <c r="D158" s="9">
        <f>SUM('1st Qtr'!D158,'2nd Qtr'!D158,'3rd Qtr'!D158,'4th Qtr'!D158)</f>
        <v>1990664.7</v>
      </c>
      <c r="E158" s="14">
        <f>SUM('1st Qtr'!E158, '2nd Qtr'!E158, '3rd Qtr'!E158, '4th Qtr'!E158)</f>
        <v>619787</v>
      </c>
      <c r="F158" s="14">
        <f t="shared" si="6"/>
        <v>1370877.7</v>
      </c>
      <c r="G158" s="15">
        <f t="shared" si="7"/>
        <v>2.2118529430272011</v>
      </c>
      <c r="H158" s="16">
        <f>SUM('1st Qtr'!H158,'2nd Qtr'!H158,'3rd Qtr'!H158,'4th Qtr'!H158)</f>
        <v>381833</v>
      </c>
      <c r="I158" s="16">
        <f>SUM('1st Qtr'!I158, '2nd Qtr'!I158, '3rd Qtr'!I158, '4th Qtr'!I158)</f>
        <v>167439.79999999999</v>
      </c>
      <c r="J158" s="15">
        <f t="shared" si="8"/>
        <v>0.43851579093478038</v>
      </c>
    </row>
  </sheetData>
  <mergeCells count="4">
    <mergeCell ref="H1:J1"/>
    <mergeCell ref="A1:D1"/>
    <mergeCell ref="E1:G1"/>
    <mergeCell ref="A2:B2"/>
  </mergeCells>
  <conditionalFormatting sqref="G2 J2 G4:G158 J4:J158">
    <cfRule type="cellIs" dxfId="56" priority="47" stopIfTrue="1" operator="lessThanOrEqual">
      <formula>-0.1</formula>
    </cfRule>
    <cfRule type="expression" dxfId="55"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58"/>
  <sheetViews>
    <sheetView zoomScale="90" zoomScaleNormal="90" workbookViewId="0">
      <pane xSplit="2" ySplit="3" topLeftCell="C4" activePane="bottomRight" state="frozen"/>
      <selection pane="bottomRight" activeCell="J2" sqref="J2"/>
      <selection pane="bottomLeft"/>
      <selection pane="topRight"/>
    </sheetView>
  </sheetViews>
  <sheetFormatPr defaultRowHeight="12.7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1" t="str" cm="1">
        <f t="array" ref="A1">portfolio</f>
        <v>Generate Capital</v>
      </c>
      <c r="B1" s="151"/>
      <c r="C1" s="151"/>
      <c r="D1" s="151"/>
      <c r="E1" s="152" t="s">
        <v>11</v>
      </c>
      <c r="F1" s="152"/>
      <c r="G1" s="152"/>
      <c r="H1" s="150" t="s">
        <v>12</v>
      </c>
      <c r="I1" s="150"/>
      <c r="J1" s="150"/>
    </row>
    <row r="2" spans="1:10" ht="19.5" customHeight="1">
      <c r="A2" s="153" t="s">
        <v>2</v>
      </c>
      <c r="B2" s="153"/>
      <c r="C2" s="57"/>
      <c r="D2" s="5">
        <f>SUM(D4:D160)</f>
        <v>73117123.411638752</v>
      </c>
      <c r="E2" s="5">
        <f>SUM(E4:E160)</f>
        <v>31548905.298</v>
      </c>
      <c r="F2" s="5">
        <f>D2-E2</f>
        <v>41568218.113638751</v>
      </c>
      <c r="G2" s="6">
        <f>IFERROR(F2/E2, 0)</f>
        <v>1.3175803635973991</v>
      </c>
      <c r="H2" s="5">
        <f>SUM(H4:H196)</f>
        <v>79089883.126000032</v>
      </c>
      <c r="I2" s="7">
        <f>D2-H2</f>
        <v>-5972759.7143612802</v>
      </c>
      <c r="J2" s="6">
        <f>IFERROR(I2/H2, 0)</f>
        <v>-7.551863118631659E-2</v>
      </c>
    </row>
    <row r="3" spans="1:10" ht="14.25" customHeight="1">
      <c r="A3" s="8" t="s">
        <v>3</v>
      </c>
      <c r="B3" s="8" t="s">
        <v>4</v>
      </c>
      <c r="C3" s="8" t="s">
        <v>5</v>
      </c>
      <c r="D3" s="19" t="s">
        <v>6</v>
      </c>
      <c r="E3" s="31" t="s">
        <v>7</v>
      </c>
      <c r="F3" s="31" t="s">
        <v>8</v>
      </c>
      <c r="G3" s="32" t="s">
        <v>9</v>
      </c>
      <c r="H3" s="33" t="s">
        <v>10</v>
      </c>
      <c r="I3" s="34" t="s">
        <v>8</v>
      </c>
      <c r="J3" s="35" t="s">
        <v>9</v>
      </c>
    </row>
    <row r="4" spans="1:10" ht="15.75">
      <c r="A4" s="28" t="str" cm="1">
        <f t="array" ref="A4:A158">Sites[Site]</f>
        <v>K026</v>
      </c>
      <c r="B4" s="25" t="str" cm="1">
        <f t="array" ref="B4:B158">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75">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75">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75">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75">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75">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75">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75">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75">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75">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75">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75">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75">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75">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75">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75">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75">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75">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75">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75">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75">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75">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75">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75">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75">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75">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75">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75">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75">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75">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75">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75">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75">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75">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75">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75">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75">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75">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75">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75">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75">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75">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75">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75">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75">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75">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75">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75">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75">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75">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75">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75">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75">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75">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75">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75">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75">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75">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75">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75">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75">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75">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75">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75">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75">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75">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75">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75">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75">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75">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75">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75">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75">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75">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75">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75">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75">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75">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75">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75">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75">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75">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75">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75">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75">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75">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75">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75">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75">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75">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75">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75">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75">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75">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75">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75">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75">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75">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75">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75">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75">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75">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75">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75">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75">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75">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75">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75">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75">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75">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75">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75">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75">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75">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75">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75">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75">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75">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75">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75">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75">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75">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75">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75">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75">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75">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75">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75">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75">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75">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75">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75">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75">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75">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75">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75">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75">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75">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75">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75">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75">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75">
      <c r="A146" s="24" t="str">
        <v>Dakota - Dakota Solar 1</v>
      </c>
      <c r="B146" s="25" t="str">
        <v>IL</v>
      </c>
      <c r="C146" s="25" t="str">
        <f>Sites[[#This Row],[SOL'#]]</f>
        <v>SOL-11113</v>
      </c>
      <c r="D146" s="20">
        <f>SUM(Jan!D146,Feb!D146,Mar!D146)</f>
        <v>910089</v>
      </c>
      <c r="E146" s="10">
        <f>SUM(Jan!E146,Feb!E146,Mar!E146)</f>
        <v>821340.26899999997</v>
      </c>
      <c r="F146" s="10">
        <f t="shared" ref="F146:F158" si="12">IF(AND(ISNUMBER(D146),ISNUMBER(E146)), D146-E146, "")</f>
        <v>88748.731000000029</v>
      </c>
      <c r="G146" s="11">
        <f t="shared" ref="G146:G158" si="13">IFERROR(F146/E146, "")</f>
        <v>0.10805354899748625</v>
      </c>
      <c r="H146" s="12">
        <f>SUM(Jan!H146,Feb!H146,Mar!H146)</f>
        <v>0</v>
      </c>
      <c r="I146" s="12">
        <f>SUM(Jan!I146,Feb!I146,Mar!I146)</f>
        <v>910089</v>
      </c>
      <c r="J146" s="13" t="str">
        <f t="shared" ref="J146:J158" si="14">IFERROR(I146/H146, "")</f>
        <v/>
      </c>
    </row>
    <row r="147" spans="1:10" ht="15.75">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75">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75">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75">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75">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75">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75">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75">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75">
      <c r="A155" s="26" t="str">
        <v>Ransom</v>
      </c>
      <c r="B155" s="27" t="str">
        <v>NY</v>
      </c>
      <c r="C155" s="27" t="str">
        <f>Sites[[#This Row],[SOL'#]]</f>
        <v>SOL-11157</v>
      </c>
      <c r="D155" s="16">
        <f>SUM(Jan!D155,Feb!D155,Mar!D155)</f>
        <v>573181.69999999995</v>
      </c>
      <c r="E155" s="16">
        <f>SUM(Jan!E155,Feb!E155,Mar!E155)</f>
        <v>0</v>
      </c>
      <c r="F155" s="14">
        <f t="shared" si="12"/>
        <v>573181.69999999995</v>
      </c>
      <c r="G155" s="15" t="str">
        <f t="shared" si="13"/>
        <v/>
      </c>
      <c r="H155" s="16">
        <f>SUM(Jan!H155,Feb!H155,Mar!H155)</f>
        <v>0</v>
      </c>
      <c r="I155" s="16">
        <f>SUM(Jan!I155,Feb!I155,Mar!I155)</f>
        <v>573181.69999999995</v>
      </c>
      <c r="J155" s="15" t="str">
        <f t="shared" si="14"/>
        <v/>
      </c>
    </row>
    <row r="156" spans="1:10" ht="15.75">
      <c r="A156" s="24" t="str">
        <v>Horseheads - Wedge</v>
      </c>
      <c r="B156" s="25" t="str">
        <v>NY</v>
      </c>
      <c r="C156" s="25" t="str">
        <f>Sites[[#This Row],[SOL'#]]</f>
        <v>SOL-11160</v>
      </c>
      <c r="D156" s="20">
        <f>SUM(Jan!D156,Feb!D156,Mar!D156)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75">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75">
      <c r="A158" s="24" t="str">
        <v>Wellsville - Chenunda Creek</v>
      </c>
      <c r="B158" s="25" t="str">
        <v>NY</v>
      </c>
      <c r="C158" s="25" t="str">
        <f>Sites[[#This Row],[SOL'#]]</f>
        <v>SOL-11187</v>
      </c>
      <c r="D158" s="20">
        <f>SUM(Jan!D158,Feb!D158,Mar!D158)</f>
        <v>367949.8</v>
      </c>
      <c r="E158" s="10">
        <f>SUM(Jan!E158,Feb!E158,Mar!E158)</f>
        <v>0</v>
      </c>
      <c r="F158" s="10">
        <f t="shared" si="12"/>
        <v>367949.8</v>
      </c>
      <c r="G158" s="11" t="str">
        <f t="shared" si="13"/>
        <v/>
      </c>
      <c r="H158" s="12">
        <f>SUM(Jan!H158,Feb!H158,Mar!H158)</f>
        <v>0</v>
      </c>
      <c r="I158" s="12">
        <f>SUM(Jan!I158,Feb!I158,Mar!I158)</f>
        <v>367949.8</v>
      </c>
      <c r="J158" s="13" t="str">
        <f t="shared" si="14"/>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27" stopIfTrue="1" operator="lessThanOrEqual">
      <formula>-0.1</formula>
    </cfRule>
    <cfRule type="expression" dxfId="53" priority="28">
      <formula>AND(ISNUMBER(G2), G2&gt;=0.1)</formula>
    </cfRule>
  </conditionalFormatting>
  <conditionalFormatting sqref="G4:G158 J4:J158">
    <cfRule type="cellIs" dxfId="52" priority="1" stopIfTrue="1" operator="lessThanOrEqual">
      <formula>-0.1</formula>
    </cfRule>
    <cfRule type="expression" dxfId="51"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85" activePane="bottomRight" state="frozen"/>
      <selection pane="bottomRight" activeCell="H2" sqref="H2"/>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1" t="str" cm="1">
        <f t="array" ref="A1">portfolio</f>
        <v>Generate Capital</v>
      </c>
      <c r="B1" s="151"/>
      <c r="C1" s="151"/>
      <c r="D1" s="151"/>
      <c r="E1" s="152" t="s">
        <v>13</v>
      </c>
      <c r="F1" s="152"/>
      <c r="G1" s="152"/>
      <c r="H1" s="150" t="s">
        <v>14</v>
      </c>
      <c r="I1" s="150"/>
      <c r="J1" s="150"/>
    </row>
    <row r="2" spans="1:10" ht="19.5" customHeight="1">
      <c r="A2" s="153" t="s">
        <v>2</v>
      </c>
      <c r="B2" s="153"/>
      <c r="C2" s="57"/>
      <c r="D2" s="5">
        <f>SUM(D4:D158)</f>
        <v>120928869.99212156</v>
      </c>
      <c r="E2" s="5">
        <f>SUM(E4:E160)</f>
        <v>46591751.55400002</v>
      </c>
      <c r="F2" s="5">
        <f>D2-E2</f>
        <v>74337118.438121542</v>
      </c>
      <c r="G2" s="6">
        <f>IFERROR(F2/E2, 0)</f>
        <v>1.5954995457074528</v>
      </c>
      <c r="H2" s="5">
        <f>SUM(H4:H158)</f>
        <v>141540252.75500005</v>
      </c>
      <c r="I2" s="7">
        <f>D2-H2</f>
        <v>-20611382.762878492</v>
      </c>
      <c r="J2" s="6">
        <f>IFERROR(I2/H2, 0)</f>
        <v>-0.14562205705931505</v>
      </c>
    </row>
    <row r="3" spans="1:10" ht="14.25" customHeight="1">
      <c r="A3" s="8" t="s">
        <v>3</v>
      </c>
      <c r="B3" s="8" t="s">
        <v>4</v>
      </c>
      <c r="C3" s="8" t="s">
        <v>5</v>
      </c>
      <c r="D3" s="19" t="s">
        <v>6</v>
      </c>
      <c r="E3" s="31" t="s">
        <v>7</v>
      </c>
      <c r="F3" s="31" t="s">
        <v>8</v>
      </c>
      <c r="G3" s="32" t="s">
        <v>9</v>
      </c>
      <c r="H3" s="33" t="s">
        <v>10</v>
      </c>
      <c r="I3" s="34" t="s">
        <v>8</v>
      </c>
      <c r="J3" s="35" t="s">
        <v>9</v>
      </c>
    </row>
    <row r="4" spans="1:10" ht="15.75">
      <c r="A4" s="28" t="str" cm="1">
        <f t="array" ref="A4:A158">Sites[Site]</f>
        <v>K026</v>
      </c>
      <c r="B4" s="25" t="str" cm="1">
        <f t="array" ref="B4:B158">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75">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75">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75">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75">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75">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75">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75">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75">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75">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75">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75">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75">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75">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75">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75">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75">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75">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75">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75">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75">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75">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75">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75">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75">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75">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75">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75">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75">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75">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75">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75">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75">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75">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75">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75">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75">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75">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75">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75">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75">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75">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75">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75">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75">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75">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75">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75">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75">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75">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75">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75">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75">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75">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75">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75">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75">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75">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75">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75">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75">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75">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75">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75">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75">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75">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75">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75">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75">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75">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75">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75">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75">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75">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75">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75">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75">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75">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75">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75">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75">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75">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75">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75">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75">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75">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75">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75">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75">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75">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75">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75">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75">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75">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75">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75">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75">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75">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75">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75">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75">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75">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75">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75">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75">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75">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75">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75">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75">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75">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75">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75">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75">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75">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75">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75">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75">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75">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75">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75">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75">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75">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75">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75">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75">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75">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75">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75">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75">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75">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75">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75">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75">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75">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75">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75">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75">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75">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75">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75">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75">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75">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75">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75">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75">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75">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75">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75">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75">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75">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75">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75">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75">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75">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25">
      <c r="J201" s="15"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58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4" activePane="bottomRight" state="frozen"/>
      <selection pane="bottomRight" activeCell="H2" sqref="H2"/>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1" t="str" cm="1">
        <f t="array" ref="A1">portfolio</f>
        <v>Generate Capital</v>
      </c>
      <c r="B1" s="151"/>
      <c r="C1" s="151"/>
      <c r="D1" s="151"/>
      <c r="E1" s="152" t="s">
        <v>15</v>
      </c>
      <c r="F1" s="152"/>
      <c r="G1" s="152"/>
      <c r="H1" s="150" t="s">
        <v>16</v>
      </c>
      <c r="I1" s="150"/>
      <c r="J1" s="150"/>
    </row>
    <row r="2" spans="1:10" ht="19.5" customHeight="1">
      <c r="A2" s="153" t="s">
        <v>2</v>
      </c>
      <c r="B2" s="153"/>
      <c r="C2" s="57"/>
      <c r="D2" s="5">
        <f>SUM(D4:D158)</f>
        <v>53193021.895261116</v>
      </c>
      <c r="E2" s="5">
        <f>SUM(E4:E183)</f>
        <v>51529345.603999972</v>
      </c>
      <c r="F2" s="5">
        <f>D2-E2</f>
        <v>1663676.291261144</v>
      </c>
      <c r="G2" s="6">
        <f>IFERROR(F2/E2, 0)</f>
        <v>3.2285996877321123E-2</v>
      </c>
      <c r="H2" s="5">
        <f>SUM(H4:H158)</f>
        <v>50539857.817800023</v>
      </c>
      <c r="I2" s="7">
        <f>D2-H2</f>
        <v>2653164.0774610937</v>
      </c>
      <c r="J2" s="6">
        <f>IFERROR(I2/H2, 0)</f>
        <v>5.2496468965661701E-2</v>
      </c>
    </row>
    <row r="3" spans="1:10" ht="14.25" customHeight="1">
      <c r="A3" s="8" t="s">
        <v>3</v>
      </c>
      <c r="B3" s="8" t="s">
        <v>4</v>
      </c>
      <c r="C3" s="8" t="s">
        <v>5</v>
      </c>
      <c r="D3" s="19" t="s">
        <v>6</v>
      </c>
      <c r="E3" s="31" t="s">
        <v>7</v>
      </c>
      <c r="F3" s="31" t="s">
        <v>8</v>
      </c>
      <c r="G3" s="32" t="s">
        <v>9</v>
      </c>
      <c r="H3" s="33" t="s">
        <v>10</v>
      </c>
      <c r="I3" s="34" t="s">
        <v>8</v>
      </c>
      <c r="J3" s="35" t="s">
        <v>9</v>
      </c>
    </row>
    <row r="4" spans="1:10" ht="15.75">
      <c r="A4" s="26" t="str" cm="1">
        <f t="array" ref="A4:A158">Sites[Site]</f>
        <v>K026</v>
      </c>
      <c r="B4" s="27" t="str" cm="1">
        <f t="array" ref="B4:B158">Sites[State]</f>
        <v>NY</v>
      </c>
      <c r="C4" s="27" t="str">
        <f>Sites[[#This Row],[SOL'#]]</f>
        <v>SOL-10356</v>
      </c>
      <c r="D4" s="9">
        <f>SUM(Jul!D4, Aug!D4, Sep!D4)</f>
        <v>22080.75</v>
      </c>
      <c r="E4" s="14">
        <f>SUM(Jul!E4, Aug!E4, Sep!E4)</f>
        <v>42520.39</v>
      </c>
      <c r="F4" s="14">
        <f t="shared" ref="F4:F63" si="0">IF(AND(ISNUMBER(D4),ISNUMBER(E4)), D4-E4, "")</f>
        <v>-20439.64</v>
      </c>
      <c r="G4" s="15">
        <f t="shared" ref="G4:G63" si="1">IFERROR(F4/E4, "")</f>
        <v>-0.48070208198937026</v>
      </c>
      <c r="H4" s="16">
        <f>SUM(Jul!H4,Aug!H4,Sep!H4)</f>
        <v>37634.39</v>
      </c>
      <c r="I4" s="16">
        <f>SUM(Jul!I4, Aug!I4, Sep!I4)</f>
        <v>-15553.64</v>
      </c>
      <c r="J4" s="15">
        <f t="shared" ref="J4:J67" si="2">IFERROR(I4/H4, "")</f>
        <v>-0.41328263856541847</v>
      </c>
    </row>
    <row r="5" spans="1:10" ht="15.75">
      <c r="A5" s="24" t="str">
        <v>K041</v>
      </c>
      <c r="B5" s="25" t="str">
        <v>NY</v>
      </c>
      <c r="C5" s="25" t="str">
        <f>Sites[[#This Row],[SOL'#]]</f>
        <v>SOL-10357</v>
      </c>
      <c r="D5" s="20">
        <f>SUM(Jul!D5, Aug!D5, Sep!D5)</f>
        <v>30806.78125</v>
      </c>
      <c r="E5" s="10">
        <f>SUM(Jul!E5, Aug!E5, Sep!E5)</f>
        <v>35182.89</v>
      </c>
      <c r="F5" s="10">
        <f t="shared" si="0"/>
        <v>-4376.1087499999994</v>
      </c>
      <c r="G5" s="11">
        <f t="shared" si="1"/>
        <v>-0.12438173072195034</v>
      </c>
      <c r="H5" s="12">
        <f>SUM(Jul!H5,Aug!H5,Sep!H5)</f>
        <v>32538</v>
      </c>
      <c r="I5" s="12">
        <f>SUM(Jul!I5, Aug!I5, Sep!I5)</f>
        <v>-1731.21875</v>
      </c>
      <c r="J5" s="13">
        <f t="shared" si="2"/>
        <v>-5.3206059069395781E-2</v>
      </c>
    </row>
    <row r="6" spans="1:10" ht="15.75">
      <c r="A6" s="26" t="str">
        <v>K043</v>
      </c>
      <c r="B6" s="27" t="str">
        <v>NY</v>
      </c>
      <c r="C6" s="27" t="str">
        <f>Sites[[#This Row],[SOL'#]]</f>
        <v>SOL-10358</v>
      </c>
      <c r="D6" s="9">
        <f>SUM(Jul!D6, Aug!D6, Sep!D6)</f>
        <v>35140.5</v>
      </c>
      <c r="E6" s="14">
        <f>SUM(Jul!E6, Aug!E6, Sep!E6)</f>
        <v>39838.042000000001</v>
      </c>
      <c r="F6" s="14">
        <f>IF(AND(ISNUMBER(D6),ISNUMBER(E6)), D6-E6, "")</f>
        <v>-4697.5420000000013</v>
      </c>
      <c r="G6" s="15">
        <f t="shared" si="1"/>
        <v>-0.11791598593123631</v>
      </c>
      <c r="H6" s="16">
        <f>SUM(Jul!H6,Aug!H6,Sep!H6)</f>
        <v>7003.0330000000004</v>
      </c>
      <c r="I6" s="16">
        <f>SUM(Jul!I6, Aug!I6, Sep!I6)</f>
        <v>28137.467000000001</v>
      </c>
      <c r="J6" s="15">
        <f t="shared" si="2"/>
        <v>4.0178972453792516</v>
      </c>
    </row>
    <row r="7" spans="1:10" ht="15.75">
      <c r="A7" s="24" t="str">
        <v>K058</v>
      </c>
      <c r="B7" s="25" t="str">
        <v>NY</v>
      </c>
      <c r="C7" s="25" t="str">
        <f>Sites[[#This Row],[SOL'#]]</f>
        <v>SOL-10360</v>
      </c>
      <c r="D7" s="20">
        <f>SUM(Jul!D7, Aug!D7, Sep!D7)</f>
        <v>0</v>
      </c>
      <c r="E7" s="10">
        <f>SUM(Jul!E7, Aug!E7, Sep!E7)</f>
        <v>0</v>
      </c>
      <c r="F7" s="10">
        <f>IF(AND(ISNUMBER(D7),ISNUMBER(E7)), D7-E7, "")</f>
        <v>0</v>
      </c>
      <c r="G7" s="11" t="str">
        <f t="shared" si="1"/>
        <v/>
      </c>
      <c r="H7" s="12">
        <f>SUM(Jul!H7,Aug!H7,Sep!H7)</f>
        <v>28709</v>
      </c>
      <c r="I7" s="12">
        <f>SUM(Jul!I7, Aug!I7, Sep!I7)</f>
        <v>-28709</v>
      </c>
      <c r="J7" s="13">
        <f t="shared" si="2"/>
        <v>-1</v>
      </c>
    </row>
    <row r="8" spans="1:10" ht="15.75">
      <c r="A8" s="26" t="str">
        <v>K115</v>
      </c>
      <c r="B8" s="27" t="str">
        <v>NY</v>
      </c>
      <c r="C8" s="27" t="str">
        <f>Sites[[#This Row],[SOL'#]]</f>
        <v>SOL-10361</v>
      </c>
      <c r="D8" s="9">
        <f>SUM(Jul!D8, Aug!D8, Sep!D8)</f>
        <v>5994.96875</v>
      </c>
      <c r="E8" s="14">
        <f>SUM(Jul!E8, Aug!E8, Sep!E8)</f>
        <v>15981.37</v>
      </c>
      <c r="F8" s="14">
        <f>IF(AND(ISNUMBER(D8),ISNUMBER(E8)), D8-E8, "")</f>
        <v>-9986.4012500000008</v>
      </c>
      <c r="G8" s="15">
        <f t="shared" si="1"/>
        <v>-0.62487767006207851</v>
      </c>
      <c r="H8" s="16">
        <f>SUM(Jul!H8,Aug!H8,Sep!H8)</f>
        <v>18780.490000000002</v>
      </c>
      <c r="I8" s="16">
        <f>SUM(Jul!I8, Aug!I8, Sep!I8)</f>
        <v>-12785.521250000002</v>
      </c>
      <c r="J8" s="15">
        <f t="shared" si="2"/>
        <v>-0.68078741555731515</v>
      </c>
    </row>
    <row r="9" spans="1:10" ht="15.75">
      <c r="A9" s="24" t="str">
        <v>K152</v>
      </c>
      <c r="B9" s="25" t="str">
        <v>NY</v>
      </c>
      <c r="C9" s="25" t="str">
        <f>Sites[[#This Row],[SOL'#]]</f>
        <v>SOL-10362</v>
      </c>
      <c r="D9" s="20">
        <f>SUM(Jul!D9, Aug!D9, Sep!D9)</f>
        <v>11235.5</v>
      </c>
      <c r="E9" s="10">
        <f>SUM(Jul!E9, Aug!E9, Sep!E9)</f>
        <v>11639.54</v>
      </c>
      <c r="F9" s="10">
        <f>IF(AND(ISNUMBER(D9),ISNUMBER(E9)), D9-E9, "")</f>
        <v>-404.04000000000087</v>
      </c>
      <c r="G9" s="11">
        <f t="shared" si="1"/>
        <v>-3.4712712014392397E-2</v>
      </c>
      <c r="H9" s="12">
        <f>SUM(Jul!H9,Aug!H9,Sep!H9)</f>
        <v>10840</v>
      </c>
      <c r="I9" s="12">
        <f>SUM(Jul!I9, Aug!I9, Sep!I9)</f>
        <v>395.5</v>
      </c>
      <c r="J9" s="13">
        <f t="shared" si="2"/>
        <v>3.6485239852398522E-2</v>
      </c>
    </row>
    <row r="10" spans="1:10" ht="15.75">
      <c r="A10" s="26" t="str">
        <v>K166</v>
      </c>
      <c r="B10" s="27" t="str">
        <v>NY</v>
      </c>
      <c r="C10" s="27" t="str">
        <f>Sites[[#This Row],[SOL'#]]</f>
        <v>SOL-10363</v>
      </c>
      <c r="D10" s="9">
        <f>SUM(Jul!D10, Aug!D10, Sep!D10)</f>
        <v>42074.5</v>
      </c>
      <c r="E10" s="14">
        <f>SUM(Jul!E10, Aug!E10, Sep!E10)</f>
        <v>45470.58</v>
      </c>
      <c r="F10" s="14">
        <f>IF(AND(ISNUMBER(D10),ISNUMBER(E10)), D10-E10, "")</f>
        <v>-3396.0800000000017</v>
      </c>
      <c r="G10" s="15">
        <f t="shared" si="1"/>
        <v>-7.4687413268095582E-2</v>
      </c>
      <c r="H10" s="16">
        <f>SUM(Jul!H10,Aug!H10,Sep!H10)</f>
        <v>39952.559999999998</v>
      </c>
      <c r="I10" s="16">
        <f>SUM(Jul!I10, Aug!I10, Sep!I10)</f>
        <v>2121.9400000000023</v>
      </c>
      <c r="J10" s="15">
        <f t="shared" si="2"/>
        <v>5.3111490227409769E-2</v>
      </c>
    </row>
    <row r="11" spans="1:10" ht="15.75">
      <c r="A11" s="24" t="str">
        <v>K206</v>
      </c>
      <c r="B11" s="25" t="str">
        <v>NY</v>
      </c>
      <c r="C11" s="25" t="str">
        <f>Sites[[#This Row],[SOL'#]]</f>
        <v>SOL-10927</v>
      </c>
      <c r="D11" s="20">
        <f>SUM(Jul!D11, Aug!D11, Sep!D11)</f>
        <v>25801.21875</v>
      </c>
      <c r="E11" s="10">
        <f>SUM(Jul!E11, Aug!E11, Sep!E11)</f>
        <v>24180.51</v>
      </c>
      <c r="F11" s="10">
        <f>IF(AND(ISNUMBER(D11),ISNUMBER(E11)), D11-E11, "")</f>
        <v>1620.7087500000016</v>
      </c>
      <c r="G11" s="11">
        <f t="shared" si="1"/>
        <v>6.7025416337372606E-2</v>
      </c>
      <c r="H11" s="12">
        <f>SUM(Jul!H11,Aug!H11,Sep!H11)</f>
        <v>24570</v>
      </c>
      <c r="I11" s="12">
        <f>SUM(Jul!I11, Aug!I11, Sep!I11)</f>
        <v>1231.21875</v>
      </c>
      <c r="J11" s="13">
        <f t="shared" si="2"/>
        <v>5.0110653235653238E-2</v>
      </c>
    </row>
    <row r="12" spans="1:10" ht="15.75">
      <c r="A12" s="26" t="str">
        <v>K251</v>
      </c>
      <c r="B12" s="27" t="str">
        <v>NY</v>
      </c>
      <c r="C12" s="27" t="str">
        <f>Sites[[#This Row],[SOL'#]]</f>
        <v>SOL-10365</v>
      </c>
      <c r="D12" s="9">
        <f>SUM(Jul!D12, Aug!D12, Sep!D12)</f>
        <v>20454.375</v>
      </c>
      <c r="E12" s="14">
        <f>SUM(Jul!E12, Aug!E12, Sep!E12)</f>
        <v>0</v>
      </c>
      <c r="F12" s="14">
        <f>IF(AND(ISNUMBER(D12),ISNUMBER(E12)), D12-E12, "")</f>
        <v>20454.375</v>
      </c>
      <c r="G12" s="15" t="str">
        <f t="shared" si="1"/>
        <v/>
      </c>
      <c r="H12" s="16">
        <f>SUM(Jul!H12,Aug!H12,Sep!H12)</f>
        <v>25324.63</v>
      </c>
      <c r="I12" s="16">
        <f>SUM(Jul!I12, Aug!I12, Sep!I12)</f>
        <v>-4870.255000000001</v>
      </c>
      <c r="J12" s="15">
        <f t="shared" si="2"/>
        <v>-0.19231297752425211</v>
      </c>
    </row>
    <row r="13" spans="1:10" ht="15.75">
      <c r="A13" s="24" t="str">
        <v>K269</v>
      </c>
      <c r="B13" s="25" t="str">
        <v>NY</v>
      </c>
      <c r="C13" s="25" t="str">
        <f>Sites[[#This Row],[SOL'#]]</f>
        <v>SOL-10366</v>
      </c>
      <c r="D13" s="20">
        <f>SUM(Jul!D13, Aug!D13, Sep!D13)</f>
        <v>24601.3125</v>
      </c>
      <c r="E13" s="10">
        <f>SUM(Jul!E13, Aug!E13, Sep!E13)</f>
        <v>28866.1</v>
      </c>
      <c r="F13" s="10">
        <f>IF(AND(ISNUMBER(D13),ISNUMBER(E13)), D13-E13, "")</f>
        <v>-4264.7874999999985</v>
      </c>
      <c r="G13" s="11">
        <f t="shared" si="1"/>
        <v>-0.14774380674909318</v>
      </c>
      <c r="H13" s="12">
        <f>SUM(Jul!H13,Aug!H13,Sep!H13)</f>
        <v>25783.66</v>
      </c>
      <c r="I13" s="12">
        <f>SUM(Jul!I13, Aug!I13, Sep!I13)</f>
        <v>-1182.3474999999999</v>
      </c>
      <c r="J13" s="13">
        <f t="shared" si="2"/>
        <v>-4.585646490839547E-2</v>
      </c>
    </row>
    <row r="14" spans="1:10" ht="15.75">
      <c r="A14" s="26" t="str">
        <v>K273</v>
      </c>
      <c r="B14" s="27" t="str">
        <v>NY</v>
      </c>
      <c r="C14" s="27" t="str">
        <f>Sites[[#This Row],[SOL'#]]</f>
        <v>SOL-10367</v>
      </c>
      <c r="D14" s="9">
        <f>SUM(Jul!D14, Aug!D14, Sep!D14)</f>
        <v>19989.1875</v>
      </c>
      <c r="E14" s="14">
        <f>SUM(Jul!E14, Aug!E14, Sep!E14)</f>
        <v>0</v>
      </c>
      <c r="F14" s="14">
        <f>IF(AND(ISNUMBER(D14),ISNUMBER(E14)), D14-E14, "")</f>
        <v>19989.1875</v>
      </c>
      <c r="G14" s="15" t="str">
        <f t="shared" si="1"/>
        <v/>
      </c>
      <c r="H14" s="16">
        <f>SUM(Jul!H14,Aug!H14,Sep!H14)</f>
        <v>30662</v>
      </c>
      <c r="I14" s="16">
        <f>SUM(Jul!I14, Aug!I14, Sep!I14)</f>
        <v>-10672.8125</v>
      </c>
      <c r="J14" s="15">
        <f t="shared" si="2"/>
        <v>-0.34807946317917943</v>
      </c>
    </row>
    <row r="15" spans="1:10" ht="15.75">
      <c r="A15" s="24" t="str">
        <v>K287</v>
      </c>
      <c r="B15" s="25" t="str">
        <v>NY</v>
      </c>
      <c r="C15" s="25" t="str">
        <f>Sites[[#This Row],[SOL'#]]</f>
        <v>SOL-10919</v>
      </c>
      <c r="D15" s="20">
        <f>SUM(Jul!D15, Aug!D15, Sep!D15)</f>
        <v>21277.71875</v>
      </c>
      <c r="E15" s="10">
        <f>SUM(Jul!E15, Aug!E15, Sep!E15)</f>
        <v>18223.169999999998</v>
      </c>
      <c r="F15" s="10">
        <f>IF(AND(ISNUMBER(D15),ISNUMBER(E15)), D15-E15, "")</f>
        <v>3054.5487500000017</v>
      </c>
      <c r="G15" s="11">
        <f t="shared" si="1"/>
        <v>0.16761895707497665</v>
      </c>
      <c r="H15" s="12">
        <f>SUM(Jul!H15,Aug!H15,Sep!H15)</f>
        <v>22153</v>
      </c>
      <c r="I15" s="12">
        <f>SUM(Jul!I15, Aug!I15, Sep!I15)</f>
        <v>-875.28125</v>
      </c>
      <c r="J15" s="13">
        <f t="shared" si="2"/>
        <v>-3.9510732180743018E-2</v>
      </c>
    </row>
    <row r="16" spans="1:10" ht="15.75">
      <c r="A16" s="26" t="str">
        <v>K298</v>
      </c>
      <c r="B16" s="27" t="str">
        <v>NY</v>
      </c>
      <c r="C16" s="27" t="str">
        <f>Sites[[#This Row],[SOL'#]]</f>
        <v>SOL-10368</v>
      </c>
      <c r="D16" s="9">
        <f>SUM(Jul!D16, Aug!D16, Sep!D16)</f>
        <v>23346.625</v>
      </c>
      <c r="E16" s="14">
        <f>SUM(Jul!E16, Aug!E16, Sep!E16)</f>
        <v>24604.5</v>
      </c>
      <c r="F16" s="14">
        <f>IF(AND(ISNUMBER(D16),ISNUMBER(E16)), D16-E16, "")</f>
        <v>-1257.875</v>
      </c>
      <c r="G16" s="15">
        <f t="shared" si="1"/>
        <v>-5.1123778170659842E-2</v>
      </c>
      <c r="H16" s="16">
        <f>SUM(Jul!H16,Aug!H16,Sep!H16)</f>
        <v>26042</v>
      </c>
      <c r="I16" s="16">
        <f>SUM(Jul!I16, Aug!I16, Sep!I16)</f>
        <v>-2695.375</v>
      </c>
      <c r="J16" s="15">
        <f t="shared" si="2"/>
        <v>-0.10350107518623762</v>
      </c>
    </row>
    <row r="17" spans="1:10" ht="15.75">
      <c r="A17" s="24" t="str">
        <v>K335</v>
      </c>
      <c r="B17" s="25" t="str">
        <v>NY</v>
      </c>
      <c r="C17" s="25" t="str">
        <f>Sites[[#This Row],[SOL'#]]</f>
        <v>SOL-10370</v>
      </c>
      <c r="D17" s="20">
        <f>SUM(Jul!D17, Aug!D17, Sep!D17)</f>
        <v>23818.1875</v>
      </c>
      <c r="E17" s="10">
        <f>SUM(Jul!E17, Aug!E17, Sep!E17)</f>
        <v>27510.19</v>
      </c>
      <c r="F17" s="10">
        <f>IF(AND(ISNUMBER(D17),ISNUMBER(E17)), D17-E17, "")</f>
        <v>-3692.0024999999987</v>
      </c>
      <c r="G17" s="11">
        <f t="shared" si="1"/>
        <v>-0.13420490734524185</v>
      </c>
      <c r="H17" s="12">
        <f>SUM(Jul!H17,Aug!H17,Sep!H17)</f>
        <v>6708.5969999999998</v>
      </c>
      <c r="I17" s="12">
        <f>SUM(Jul!I17, Aug!I17, Sep!I17)</f>
        <v>17109.590499999998</v>
      </c>
      <c r="J17" s="13">
        <f t="shared" si="2"/>
        <v>2.5503977210137974</v>
      </c>
    </row>
    <row r="18" spans="1:10" ht="15.75">
      <c r="A18" s="26" t="str">
        <v>K345</v>
      </c>
      <c r="B18" s="27" t="str">
        <v>NY</v>
      </c>
      <c r="C18" s="27" t="str">
        <f>Sites[[#This Row],[SOL'#]]</f>
        <v>SOL-10920</v>
      </c>
      <c r="D18" s="9">
        <f>SUM(Jul!D18, Aug!D18, Sep!D18)</f>
        <v>28493.59375</v>
      </c>
      <c r="E18" s="14">
        <f>SUM(Jul!E18, Aug!E18, Sep!E18)</f>
        <v>16426.560000000001</v>
      </c>
      <c r="F18" s="14">
        <f>IF(AND(ISNUMBER(D18),ISNUMBER(E18)), D18-E18, "")</f>
        <v>12067.033749999999</v>
      </c>
      <c r="G18" s="15">
        <f t="shared" si="1"/>
        <v>0.73460503903434426</v>
      </c>
      <c r="H18" s="16">
        <f>SUM(Jul!H18,Aug!H18,Sep!H18)</f>
        <v>29496</v>
      </c>
      <c r="I18" s="16">
        <f>SUM(Jul!I18, Aug!I18, Sep!I18)</f>
        <v>-1002.40625</v>
      </c>
      <c r="J18" s="15">
        <f t="shared" si="2"/>
        <v>-3.3984480946569029E-2</v>
      </c>
    </row>
    <row r="19" spans="1:10" ht="15.75">
      <c r="A19" s="24" t="str">
        <v>K445</v>
      </c>
      <c r="B19" s="25" t="str">
        <v>NY</v>
      </c>
      <c r="C19" s="25" t="str">
        <f>Sites[[#This Row],[SOL'#]]</f>
        <v>SOL-10373</v>
      </c>
      <c r="D19" s="20">
        <f>SUM(Jul!D19, Aug!D19, Sep!D19)</f>
        <v>23873.90625</v>
      </c>
      <c r="E19" s="10">
        <f>SUM(Jul!E19, Aug!E19, Sep!E19)</f>
        <v>25868.68</v>
      </c>
      <c r="F19" s="10">
        <f>IF(AND(ISNUMBER(D19),ISNUMBER(E19)), D19-E19, "")</f>
        <v>-1994.7737500000003</v>
      </c>
      <c r="G19" s="11">
        <f t="shared" si="1"/>
        <v>-7.7111539900760306E-2</v>
      </c>
      <c r="H19" s="12">
        <f>SUM(Jul!H19,Aug!H19,Sep!H19)</f>
        <v>24192.71</v>
      </c>
      <c r="I19" s="12">
        <f>SUM(Jul!I19, Aug!I19, Sep!I19)</f>
        <v>-318.80374999999913</v>
      </c>
      <c r="J19" s="13">
        <f t="shared" si="2"/>
        <v>-1.3177678317145915E-2</v>
      </c>
    </row>
    <row r="20" spans="1:10" ht="15.75">
      <c r="A20" s="26" t="str">
        <v>K495</v>
      </c>
      <c r="B20" s="27" t="str">
        <v>NY</v>
      </c>
      <c r="C20" s="27" t="str">
        <f>Sites[[#This Row],[SOL'#]]</f>
        <v>SOL-10374</v>
      </c>
      <c r="D20" s="9">
        <f>SUM(Jul!D20, Aug!D20, Sep!D20)</f>
        <v>101785.470477387</v>
      </c>
      <c r="E20" s="14">
        <f>SUM(Jul!E20, Aug!E20, Sep!E20)</f>
        <v>100102.3</v>
      </c>
      <c r="F20" s="14">
        <f>IF(AND(ISNUMBER(D20),ISNUMBER(E20)), D20-E20, "")</f>
        <v>1683.1704773870006</v>
      </c>
      <c r="G20" s="15">
        <f t="shared" si="1"/>
        <v>1.6814503536751908E-2</v>
      </c>
      <c r="H20" s="16">
        <f>SUM(Jul!H20,Aug!H20,Sep!H20)</f>
        <v>100968.4</v>
      </c>
      <c r="I20" s="16">
        <f>SUM(Jul!I20, Aug!I20, Sep!I20)</f>
        <v>817.0704773870093</v>
      </c>
      <c r="J20" s="15">
        <f t="shared" si="2"/>
        <v>8.0923385671854697E-3</v>
      </c>
    </row>
    <row r="21" spans="1:10" ht="15.75">
      <c r="A21" s="24" t="str">
        <v>M020</v>
      </c>
      <c r="B21" s="25" t="str">
        <v>NY</v>
      </c>
      <c r="C21" s="25" t="str">
        <f>Sites[[#This Row],[SOL'#]]</f>
        <v>SOL-10380</v>
      </c>
      <c r="D21" s="20">
        <f>SUM(Jul!D21, Aug!D21, Sep!D21)</f>
        <v>26263.71875</v>
      </c>
      <c r="E21" s="10">
        <f>SUM(Jul!E21, Aug!E21, Sep!E21)</f>
        <v>26808.87</v>
      </c>
      <c r="F21" s="10">
        <f>IF(AND(ISNUMBER(D21),ISNUMBER(E21)), D21-E21, "")</f>
        <v>-545.15124999999898</v>
      </c>
      <c r="G21" s="11">
        <f t="shared" si="1"/>
        <v>-2.0334734362171886E-2</v>
      </c>
      <c r="H21" s="12">
        <f>SUM(Jul!H21,Aug!H21,Sep!H21)</f>
        <v>27263</v>
      </c>
      <c r="I21" s="12">
        <f>SUM(Jul!I21, Aug!I21, Sep!I21)</f>
        <v>-999.28125</v>
      </c>
      <c r="J21" s="13">
        <f t="shared" si="2"/>
        <v>-3.6653385540842902E-2</v>
      </c>
    </row>
    <row r="22" spans="1:10" ht="15.75">
      <c r="A22" s="26" t="str">
        <v>M092</v>
      </c>
      <c r="B22" s="27" t="str">
        <v>NY</v>
      </c>
      <c r="C22" s="27" t="str">
        <f>Sites[[#This Row],[SOL'#]]</f>
        <v>SOL-10383</v>
      </c>
      <c r="D22" s="9">
        <f>SUM(Jul!D22, Aug!D22, Sep!D22)</f>
        <v>25513.3125</v>
      </c>
      <c r="E22" s="14">
        <f>SUM(Jul!E22, Aug!E22, Sep!E22)</f>
        <v>27052.52</v>
      </c>
      <c r="F22" s="14">
        <f>IF(AND(ISNUMBER(D22),ISNUMBER(E22)), D22-E22, "")</f>
        <v>-1539.2075000000004</v>
      </c>
      <c r="G22" s="15">
        <f t="shared" si="1"/>
        <v>-5.6897009964321267E-2</v>
      </c>
      <c r="H22" s="16">
        <f>SUM(Jul!H22,Aug!H22,Sep!H22)</f>
        <v>26962.78</v>
      </c>
      <c r="I22" s="16">
        <f>SUM(Jul!I22, Aug!I22, Sep!I22)</f>
        <v>-1449.4674999999988</v>
      </c>
      <c r="J22" s="15">
        <f t="shared" si="2"/>
        <v>-5.3758088001311398E-2</v>
      </c>
    </row>
    <row r="23" spans="1:10" ht="15.75">
      <c r="A23" s="24" t="str">
        <v>M143</v>
      </c>
      <c r="B23" s="25" t="str">
        <v>NY</v>
      </c>
      <c r="C23" s="25" t="str">
        <f>Sites[[#This Row],[SOL'#]]</f>
        <v>SOL-10384</v>
      </c>
      <c r="D23" s="20">
        <f>SUM(Jul!D23, Aug!D23, Sep!D23)</f>
        <v>26932.8125</v>
      </c>
      <c r="E23" s="10">
        <f>SUM(Jul!E23, Aug!E23, Sep!E23)</f>
        <v>33267.06</v>
      </c>
      <c r="F23" s="10">
        <f>IF(AND(ISNUMBER(D23),ISNUMBER(E23)), D23-E23, "")</f>
        <v>-6334.2474999999977</v>
      </c>
      <c r="G23" s="11">
        <f t="shared" si="1"/>
        <v>-0.19040599018969509</v>
      </c>
      <c r="H23" s="12">
        <f>SUM(Jul!H23,Aug!H23,Sep!H23)</f>
        <v>28941.11</v>
      </c>
      <c r="I23" s="12">
        <f>SUM(Jul!I23, Aug!I23, Sep!I23)</f>
        <v>-2008.2975000000006</v>
      </c>
      <c r="J23" s="13">
        <f t="shared" si="2"/>
        <v>-6.9392552669887253E-2</v>
      </c>
    </row>
    <row r="24" spans="1:10" ht="15.75">
      <c r="A24" s="26" t="str">
        <v>M144</v>
      </c>
      <c r="B24" s="27" t="str">
        <v>NY</v>
      </c>
      <c r="C24" s="27" t="str">
        <f>Sites[[#This Row],[SOL'#]]</f>
        <v>SOL-10385</v>
      </c>
      <c r="D24" s="9">
        <f>SUM(Jul!D24, Aug!D24, Sep!D24)</f>
        <v>41808.0625</v>
      </c>
      <c r="E24" s="14">
        <f>SUM(Jul!E24, Aug!E24, Sep!E24)</f>
        <v>45206.86</v>
      </c>
      <c r="F24" s="14">
        <f>IF(AND(ISNUMBER(D24),ISNUMBER(E24)), D24-E24, "")</f>
        <v>-3398.7975000000006</v>
      </c>
      <c r="G24" s="15">
        <f t="shared" si="1"/>
        <v>-7.518322440443774E-2</v>
      </c>
      <c r="H24" s="16">
        <f>SUM(Jul!H24,Aug!H24,Sep!H24)</f>
        <v>48675.37</v>
      </c>
      <c r="I24" s="16">
        <f>SUM(Jul!I24, Aug!I24, Sep!I24)</f>
        <v>-6867.3075000000026</v>
      </c>
      <c r="J24" s="15">
        <f t="shared" si="2"/>
        <v>-0.1410838274059345</v>
      </c>
    </row>
    <row r="25" spans="1:10" ht="15.75">
      <c r="A25" s="24" t="str">
        <v>M167</v>
      </c>
      <c r="B25" s="25" t="str">
        <v>NY</v>
      </c>
      <c r="C25" s="25" t="str">
        <f>Sites[[#This Row],[SOL'#]]</f>
        <v>SOL-10386</v>
      </c>
      <c r="D25" s="20">
        <f>SUM(Jul!D25, Aug!D25, Sep!D25)</f>
        <v>32401.5</v>
      </c>
      <c r="E25" s="10">
        <f>SUM(Jul!E25, Aug!E25, Sep!E25)</f>
        <v>23815.59</v>
      </c>
      <c r="F25" s="10">
        <f>IF(AND(ISNUMBER(D25),ISNUMBER(E25)), D25-E25, "")</f>
        <v>8585.91</v>
      </c>
      <c r="G25" s="11">
        <f t="shared" si="1"/>
        <v>0.36051636763985273</v>
      </c>
      <c r="H25" s="12">
        <f>SUM(Jul!H25,Aug!H25,Sep!H25)</f>
        <v>35855.980000000003</v>
      </c>
      <c r="I25" s="12">
        <f>SUM(Jul!I25, Aug!I25, Sep!I25)</f>
        <v>-3454.4800000000032</v>
      </c>
      <c r="J25" s="13">
        <f t="shared" si="2"/>
        <v>-9.6343204118253159E-2</v>
      </c>
    </row>
    <row r="26" spans="1:10" ht="15.75">
      <c r="A26" s="26" t="str">
        <v>M188</v>
      </c>
      <c r="B26" s="27" t="str">
        <v>NY</v>
      </c>
      <c r="C26" s="27" t="str">
        <f>Sites[[#This Row],[SOL'#]]</f>
        <v>SOL-10387</v>
      </c>
      <c r="D26" s="9">
        <f>SUM(Jul!D26, Aug!D26, Sep!D26)</f>
        <v>22118.3125</v>
      </c>
      <c r="E26" s="14">
        <f>SUM(Jul!E26, Aug!E26, Sep!E26)</f>
        <v>22518.45</v>
      </c>
      <c r="F26" s="14">
        <f>IF(AND(ISNUMBER(D26),ISNUMBER(E26)), D26-E26, "")</f>
        <v>-400.13750000000073</v>
      </c>
      <c r="G26" s="15">
        <f t="shared" si="1"/>
        <v>-1.7769318048089486E-2</v>
      </c>
      <c r="H26" s="16">
        <f>SUM(Jul!H26,Aug!H26,Sep!H26)</f>
        <v>24672.09</v>
      </c>
      <c r="I26" s="16">
        <f>SUM(Jul!I26, Aug!I26, Sep!I26)</f>
        <v>-2553.7775000000001</v>
      </c>
      <c r="J26" s="15">
        <f t="shared" si="2"/>
        <v>-0.10350876233022821</v>
      </c>
    </row>
    <row r="27" spans="1:10" ht="15.75">
      <c r="A27" s="24" t="str">
        <v>EMHC</v>
      </c>
      <c r="B27" s="25" t="str">
        <v>NY</v>
      </c>
      <c r="C27" s="25" t="str">
        <f>Sites[[#This Row],[SOL'#]]</f>
        <v>SOL-10351</v>
      </c>
      <c r="D27" s="20">
        <f>SUM(Jul!D27, Aug!D27, Sep!D27)</f>
        <v>8553.828125</v>
      </c>
      <c r="E27" s="10">
        <f>SUM(Jul!E27, Aug!E27, Sep!E27)</f>
        <v>7417.9120000000003</v>
      </c>
      <c r="F27" s="10">
        <f>IF(AND(ISNUMBER(D27),ISNUMBER(E27)), D27-E27, "")</f>
        <v>1135.9161249999997</v>
      </c>
      <c r="G27" s="11">
        <f t="shared" si="1"/>
        <v>0.15313151800668431</v>
      </c>
      <c r="H27" s="12">
        <f>SUM(Jul!H27,Aug!H27,Sep!H27)</f>
        <v>12191.91</v>
      </c>
      <c r="I27" s="12">
        <f>SUM(Jul!I27, Aug!I27, Sep!I27)</f>
        <v>-3638.0818749999999</v>
      </c>
      <c r="J27" s="13">
        <f t="shared" si="2"/>
        <v>-0.298401306686155</v>
      </c>
    </row>
    <row r="28" spans="1:10" ht="15.75">
      <c r="A28" s="26" t="str">
        <v>Q008</v>
      </c>
      <c r="B28" s="27" t="str">
        <v>NY</v>
      </c>
      <c r="C28" s="27" t="str">
        <f>Sites[[#This Row],[SOL'#]]</f>
        <v>SOL-10397</v>
      </c>
      <c r="D28" s="9">
        <f>SUM(Jul!D28, Aug!D28, Sep!D28)</f>
        <v>0</v>
      </c>
      <c r="E28" s="14">
        <f>SUM(Jul!E28, Aug!E28, Sep!E28)</f>
        <v>0</v>
      </c>
      <c r="F28" s="14">
        <f>IF(AND(ISNUMBER(D28),ISNUMBER(E28)), D28-E28, "")</f>
        <v>0</v>
      </c>
      <c r="G28" s="15" t="str">
        <f t="shared" si="1"/>
        <v/>
      </c>
      <c r="H28" s="16">
        <f>SUM(Jul!H28,Aug!H28,Sep!H28)</f>
        <v>36312</v>
      </c>
      <c r="I28" s="16">
        <f>SUM(Jul!I28, Aug!I28, Sep!I28)</f>
        <v>-36312</v>
      </c>
      <c r="J28" s="15">
        <f t="shared" si="2"/>
        <v>-1</v>
      </c>
    </row>
    <row r="29" spans="1:10" ht="15.75">
      <c r="A29" s="24" t="str">
        <v>Q018</v>
      </c>
      <c r="B29" s="25" t="str">
        <v>NY</v>
      </c>
      <c r="C29" s="25" t="str">
        <f>Sites[[#This Row],[SOL'#]]</f>
        <v>SOL-10398</v>
      </c>
      <c r="D29" s="20">
        <f>SUM(Jul!D29, Aug!D29, Sep!D29)</f>
        <v>22422.5625</v>
      </c>
      <c r="E29" s="10">
        <f>SUM(Jul!E29, Aug!E29, Sep!E29)</f>
        <v>24285.08</v>
      </c>
      <c r="F29" s="10">
        <f>IF(AND(ISNUMBER(D29),ISNUMBER(E29)), D29-E29, "")</f>
        <v>-1862.5175000000017</v>
      </c>
      <c r="G29" s="11">
        <f t="shared" si="1"/>
        <v>-7.6693900123038575E-2</v>
      </c>
      <c r="H29" s="12">
        <f>SUM(Jul!H29,Aug!H29,Sep!H29)</f>
        <v>19671.97</v>
      </c>
      <c r="I29" s="12">
        <f>SUM(Jul!I29, Aug!I29, Sep!I29)</f>
        <v>2750.5924999999988</v>
      </c>
      <c r="J29" s="13">
        <f t="shared" si="2"/>
        <v>0.13982293079950806</v>
      </c>
    </row>
    <row r="30" spans="1:10" ht="15.75">
      <c r="A30" s="26" t="str">
        <v>Q021</v>
      </c>
      <c r="B30" s="27" t="str">
        <v>NY</v>
      </c>
      <c r="C30" s="27" t="str">
        <f>Sites[[#This Row],[SOL'#]]</f>
        <v>SOL-10399</v>
      </c>
      <c r="D30" s="9">
        <f>SUM(Jul!D30, Aug!D30, Sep!D30)</f>
        <v>17811.25</v>
      </c>
      <c r="E30" s="14">
        <f>SUM(Jul!E30, Aug!E30, Sep!E30)</f>
        <v>17422.689999999999</v>
      </c>
      <c r="F30" s="14">
        <f>IF(AND(ISNUMBER(D30),ISNUMBER(E30)), D30-E30, "")</f>
        <v>388.56000000000131</v>
      </c>
      <c r="G30" s="15">
        <f t="shared" si="1"/>
        <v>2.2301952224369564E-2</v>
      </c>
      <c r="H30" s="16">
        <f>SUM(Jul!H30,Aug!H30,Sep!H30)</f>
        <v>16686.18</v>
      </c>
      <c r="I30" s="16">
        <f>SUM(Jul!I30, Aug!I30, Sep!I30)</f>
        <v>1125.0699999999997</v>
      </c>
      <c r="J30" s="15">
        <f t="shared" si="2"/>
        <v>6.7425258507339589E-2</v>
      </c>
    </row>
    <row r="31" spans="1:10" ht="15.75">
      <c r="A31" s="24" t="str">
        <v>Q025</v>
      </c>
      <c r="B31" s="25" t="str">
        <v>NY</v>
      </c>
      <c r="C31" s="25" t="str">
        <f>Sites[[#This Row],[SOL'#]]</f>
        <v>SOL-10400</v>
      </c>
      <c r="D31" s="20">
        <f>SUM(Jul!D31, Aug!D31, Sep!D31)</f>
        <v>30847.0625</v>
      </c>
      <c r="E31" s="10">
        <f>SUM(Jul!E31, Aug!E31, Sep!E31)</f>
        <v>30210.9</v>
      </c>
      <c r="F31" s="10">
        <f>IF(AND(ISNUMBER(D31),ISNUMBER(E31)), D31-E31, "")</f>
        <v>636.16249999999854</v>
      </c>
      <c r="G31" s="11">
        <f t="shared" si="1"/>
        <v>2.1057383262332419E-2</v>
      </c>
      <c r="H31" s="12">
        <f>SUM(Jul!H31,Aug!H31,Sep!H31)</f>
        <v>15399</v>
      </c>
      <c r="I31" s="12">
        <f>SUM(Jul!I31, Aug!I31, Sep!I31)</f>
        <v>15448.0625</v>
      </c>
      <c r="J31" s="13">
        <f t="shared" si="2"/>
        <v>1.0031860835119164</v>
      </c>
    </row>
    <row r="32" spans="1:10" ht="15.75">
      <c r="A32" s="26" t="str">
        <v>Q074</v>
      </c>
      <c r="B32" s="27" t="str">
        <v>NY</v>
      </c>
      <c r="C32" s="27" t="str">
        <f>Sites[[#This Row],[SOL'#]]</f>
        <v>SOL-10402</v>
      </c>
      <c r="D32" s="9">
        <f>SUM(Jul!D32, Aug!D32, Sep!D32)</f>
        <v>20091.25</v>
      </c>
      <c r="E32" s="14">
        <f>SUM(Jul!E32, Aug!E32, Sep!E32)</f>
        <v>20099.009999999998</v>
      </c>
      <c r="F32" s="14">
        <f>IF(AND(ISNUMBER(D32),ISNUMBER(E32)), D32-E32, "")</f>
        <v>-7.7599999999983993</v>
      </c>
      <c r="G32" s="15">
        <f t="shared" si="1"/>
        <v>-3.8608866804874467E-4</v>
      </c>
      <c r="H32" s="16">
        <f>SUM(Jul!H32,Aug!H32,Sep!H32)</f>
        <v>18770.07</v>
      </c>
      <c r="I32" s="16">
        <f>SUM(Jul!I32, Aug!I32, Sep!I32)</f>
        <v>1321.1800000000003</v>
      </c>
      <c r="J32" s="15">
        <f t="shared" si="2"/>
        <v>7.0387590456508706E-2</v>
      </c>
    </row>
    <row r="33" spans="1:10" ht="15.75">
      <c r="A33" s="24" t="str">
        <v>Q115</v>
      </c>
      <c r="B33" s="25" t="str">
        <v>NY</v>
      </c>
      <c r="C33" s="25" t="str">
        <f>Sites[[#This Row],[SOL'#]]</f>
        <v>SOL-10872</v>
      </c>
      <c r="D33" s="20">
        <f>SUM(Jul!D33, Aug!D33, Sep!D33)</f>
        <v>25668.562500000098</v>
      </c>
      <c r="E33" s="10">
        <f>SUM(Jul!E33, Aug!E33, Sep!E33)</f>
        <v>27335.48</v>
      </c>
      <c r="F33" s="10">
        <f>IF(AND(ISNUMBER(D33),ISNUMBER(E33)), D33-E33, "")</f>
        <v>-1666.9174999999013</v>
      </c>
      <c r="G33" s="11">
        <f t="shared" si="1"/>
        <v>-6.09799974245889E-2</v>
      </c>
      <c r="H33" s="12">
        <f>SUM(Jul!H33,Aug!H33,Sep!H33)</f>
        <v>24925.88</v>
      </c>
      <c r="I33" s="12">
        <f>SUM(Jul!I33, Aug!I33, Sep!I33)</f>
        <v>742.68250000009721</v>
      </c>
      <c r="J33" s="13">
        <f t="shared" si="2"/>
        <v>2.9795638107866087E-2</v>
      </c>
    </row>
    <row r="34" spans="1:10" ht="15.75">
      <c r="A34" s="26" t="str">
        <v>Q139</v>
      </c>
      <c r="B34" s="27" t="str">
        <v>NY</v>
      </c>
      <c r="C34" s="27" t="str">
        <f>Sites[[#This Row],[SOL'#]]</f>
        <v>SOL-10403</v>
      </c>
      <c r="D34" s="9">
        <f>SUM(Jul!D34, Aug!D34, Sep!D34)</f>
        <v>15708.0625</v>
      </c>
      <c r="E34" s="14">
        <f>SUM(Jul!E34, Aug!E34, Sep!E34)</f>
        <v>17354.150000000001</v>
      </c>
      <c r="F34" s="14">
        <f>IF(AND(ISNUMBER(D34),ISNUMBER(E34)), D34-E34, "")</f>
        <v>-1646.0875000000015</v>
      </c>
      <c r="G34" s="15">
        <f t="shared" si="1"/>
        <v>-9.4852672127416285E-2</v>
      </c>
      <c r="H34" s="16">
        <f>SUM(Jul!H34,Aug!H34,Sep!H34)</f>
        <v>15860</v>
      </c>
      <c r="I34" s="16">
        <f>SUM(Jul!I34, Aug!I34, Sep!I34)</f>
        <v>-151.9375</v>
      </c>
      <c r="J34" s="15">
        <f t="shared" si="2"/>
        <v>-9.5799180327868858E-3</v>
      </c>
    </row>
    <row r="35" spans="1:10" ht="15.75">
      <c r="A35" s="24" t="str">
        <v>Q157</v>
      </c>
      <c r="B35" s="25" t="str">
        <v>NY</v>
      </c>
      <c r="C35" s="25" t="str">
        <f>Sites[[#This Row],[SOL'#]]</f>
        <v>SOL-10404</v>
      </c>
      <c r="D35" s="20">
        <f>SUM(Jul!D35, Aug!D35, Sep!D35)</f>
        <v>27253.8125</v>
      </c>
      <c r="E35" s="10">
        <f>SUM(Jul!E35, Aug!E35, Sep!E35)</f>
        <v>30897.83</v>
      </c>
      <c r="F35" s="10">
        <f>IF(AND(ISNUMBER(D35),ISNUMBER(E35)), D35-E35, "")</f>
        <v>-3644.0175000000017</v>
      </c>
      <c r="G35" s="11">
        <f t="shared" si="1"/>
        <v>-0.11793765128489611</v>
      </c>
      <c r="H35" s="12">
        <f>SUM(Jul!H35,Aug!H35,Sep!H35)</f>
        <v>27966.37</v>
      </c>
      <c r="I35" s="12">
        <f>SUM(Jul!I35, Aug!I35, Sep!I35)</f>
        <v>-712.55749999999898</v>
      </c>
      <c r="J35" s="13">
        <f t="shared" si="2"/>
        <v>-2.5479084343087752E-2</v>
      </c>
    </row>
    <row r="36" spans="1:10" ht="15.75">
      <c r="A36" s="26" t="str">
        <v>Q192</v>
      </c>
      <c r="B36" s="27" t="str">
        <v>NY</v>
      </c>
      <c r="C36" s="27" t="str">
        <f>Sites[[#This Row],[SOL'#]]</f>
        <v>SOL-10406</v>
      </c>
      <c r="D36" s="9">
        <f>SUM(Jul!D36, Aug!D36, Sep!D36)</f>
        <v>42644.875000000196</v>
      </c>
      <c r="E36" s="14">
        <f>SUM(Jul!E36, Aug!E36, Sep!E36)</f>
        <v>46844.32</v>
      </c>
      <c r="F36" s="14">
        <f>IF(AND(ISNUMBER(D36),ISNUMBER(E36)), D36-E36, "")</f>
        <v>-4199.4449999998033</v>
      </c>
      <c r="G36" s="15">
        <f t="shared" si="1"/>
        <v>-8.9646834450789414E-2</v>
      </c>
      <c r="H36" s="16">
        <f>SUM(Jul!H36,Aug!H36,Sep!H36)</f>
        <v>478.68180000000001</v>
      </c>
      <c r="I36" s="16">
        <f>SUM(Jul!I36, Aug!I36, Sep!I36)</f>
        <v>42166.193200000198</v>
      </c>
      <c r="J36" s="15">
        <f t="shared" si="2"/>
        <v>88.088147909530292</v>
      </c>
    </row>
    <row r="37" spans="1:10" ht="15.75">
      <c r="A37" s="24" t="str">
        <v>Q210</v>
      </c>
      <c r="B37" s="25" t="str">
        <v>NY</v>
      </c>
      <c r="C37" s="25" t="str">
        <f>Sites[[#This Row],[SOL'#]]</f>
        <v>SOL-10407</v>
      </c>
      <c r="D37" s="20">
        <f>SUM(Jul!D37, Aug!D37, Sep!D37)</f>
        <v>30659.75</v>
      </c>
      <c r="E37" s="10">
        <f>SUM(Jul!E37, Aug!E37, Sep!E37)</f>
        <v>35721.360000000001</v>
      </c>
      <c r="F37" s="10">
        <f>IF(AND(ISNUMBER(D37),ISNUMBER(E37)), D37-E37, "")</f>
        <v>-5061.6100000000006</v>
      </c>
      <c r="G37" s="11">
        <f t="shared" si="1"/>
        <v>-0.14169701265573317</v>
      </c>
      <c r="H37" s="12">
        <f>SUM(Jul!H37,Aug!H37,Sep!H37)</f>
        <v>33897</v>
      </c>
      <c r="I37" s="12">
        <f>SUM(Jul!I37, Aug!I37, Sep!I37)</f>
        <v>-3237.25</v>
      </c>
      <c r="J37" s="13">
        <f t="shared" si="2"/>
        <v>-9.5502551848246159E-2</v>
      </c>
    </row>
    <row r="38" spans="1:10" ht="15.75">
      <c r="A38" s="26" t="str">
        <v>Q229</v>
      </c>
      <c r="B38" s="27" t="str">
        <v>NY</v>
      </c>
      <c r="C38" s="27" t="str">
        <f>Sites[[#This Row],[SOL'#]]</f>
        <v>SOL-10408</v>
      </c>
      <c r="D38" s="9">
        <f>SUM(Jul!D38, Aug!D38, Sep!D38)</f>
        <v>15332.079186893199</v>
      </c>
      <c r="E38" s="14">
        <f>SUM(Jul!E38, Aug!E38, Sep!E38)</f>
        <v>17350.71</v>
      </c>
      <c r="F38" s="14">
        <f>IF(AND(ISNUMBER(D38),ISNUMBER(E38)), D38-E38, "")</f>
        <v>-2018.6308131067999</v>
      </c>
      <c r="G38" s="15">
        <f t="shared" si="1"/>
        <v>-0.11634283629354648</v>
      </c>
      <c r="H38" s="16">
        <f>SUM(Jul!H38,Aug!H38,Sep!H38)</f>
        <v>14637.41</v>
      </c>
      <c r="I38" s="16">
        <f>SUM(Jul!I38, Aug!I38, Sep!I38)</f>
        <v>694.66918689319937</v>
      </c>
      <c r="J38" s="15">
        <f t="shared" si="2"/>
        <v>4.7458477073006725E-2</v>
      </c>
    </row>
    <row r="39" spans="1:10" ht="15.75">
      <c r="A39" s="24" t="str">
        <v>Q231</v>
      </c>
      <c r="B39" s="25" t="str">
        <v>NY</v>
      </c>
      <c r="C39" s="25" t="str">
        <f>Sites[[#This Row],[SOL'#]]</f>
        <v>SOL-10870</v>
      </c>
      <c r="D39" s="20">
        <f>SUM(Jul!D39, Aug!D39, Sep!D39)</f>
        <v>57414</v>
      </c>
      <c r="E39" s="10">
        <f>SUM(Jul!E39, Aug!E39, Sep!E39)</f>
        <v>60749</v>
      </c>
      <c r="F39" s="10">
        <f>IF(AND(ISNUMBER(D39),ISNUMBER(E39)), D39-E39, "")</f>
        <v>-3335</v>
      </c>
      <c r="G39" s="11">
        <f t="shared" si="1"/>
        <v>-5.4898023012724492E-2</v>
      </c>
      <c r="H39" s="12">
        <f>SUM(Jul!H39,Aug!H39,Sep!H39)</f>
        <v>61540</v>
      </c>
      <c r="I39" s="12">
        <f>SUM(Jul!I39, Aug!I39, Sep!I39)</f>
        <v>-4126</v>
      </c>
      <c r="J39" s="13">
        <f t="shared" si="2"/>
        <v>-6.7045823854403636E-2</v>
      </c>
    </row>
    <row r="40" spans="1:10" ht="15.75">
      <c r="A40" s="26" t="str">
        <v>Q405</v>
      </c>
      <c r="B40" s="27" t="str">
        <v>NY</v>
      </c>
      <c r="C40" s="27" t="str">
        <f>Sites[[#This Row],[SOL'#]]</f>
        <v>SOL-10409</v>
      </c>
      <c r="D40" s="9">
        <f>SUM(Jul!D40, Aug!D40, Sep!D40)</f>
        <v>65372.75</v>
      </c>
      <c r="E40" s="14">
        <f>SUM(Jul!E40, Aug!E40, Sep!E40)</f>
        <v>71921.91</v>
      </c>
      <c r="F40" s="14">
        <f>IF(AND(ISNUMBER(D40),ISNUMBER(E40)), D40-E40, "")</f>
        <v>-6549.1600000000035</v>
      </c>
      <c r="G40" s="15">
        <f t="shared" si="1"/>
        <v>-9.1059316973089333E-2</v>
      </c>
      <c r="H40" s="16">
        <f>SUM(Jul!H40,Aug!H40,Sep!H40)</f>
        <v>60634.29</v>
      </c>
      <c r="I40" s="16">
        <f>SUM(Jul!I40, Aug!I40, Sep!I40)</f>
        <v>4738.4599999999991</v>
      </c>
      <c r="J40" s="15">
        <f t="shared" si="2"/>
        <v>7.8148189745439411E-2</v>
      </c>
    </row>
    <row r="41" spans="1:10" ht="15.75">
      <c r="A41" s="24" t="str">
        <v>Q435</v>
      </c>
      <c r="B41" s="25" t="str">
        <v>NY</v>
      </c>
      <c r="C41" s="25" t="str">
        <f>Sites[[#This Row],[SOL'#]]</f>
        <v>SOL-10923</v>
      </c>
      <c r="D41" s="20">
        <f>SUM(Jul!D41, Aug!D41, Sep!D41)</f>
        <v>64450.375</v>
      </c>
      <c r="E41" s="10">
        <f>SUM(Jul!E41, Aug!E41, Sep!E41)</f>
        <v>67828.89</v>
      </c>
      <c r="F41" s="10">
        <f>IF(AND(ISNUMBER(D41),ISNUMBER(E41)), D41-E41, "")</f>
        <v>-3378.5149999999994</v>
      </c>
      <c r="G41" s="11">
        <f t="shared" si="1"/>
        <v>-4.9809380634122116E-2</v>
      </c>
      <c r="H41" s="12">
        <f>SUM(Jul!H41,Aug!H41,Sep!H41)</f>
        <v>84298</v>
      </c>
      <c r="I41" s="12">
        <f>SUM(Jul!I41, Aug!I41, Sep!I41)</f>
        <v>-19847.625</v>
      </c>
      <c r="J41" s="13">
        <f t="shared" si="2"/>
        <v>-0.23544597736601106</v>
      </c>
    </row>
    <row r="42" spans="1:10" ht="15.75">
      <c r="A42" s="26" t="str">
        <v>Q485</v>
      </c>
      <c r="B42" s="27" t="str">
        <v>NY</v>
      </c>
      <c r="C42" s="27" t="str">
        <f>Sites[[#This Row],[SOL'#]]</f>
        <v>SOL-10869</v>
      </c>
      <c r="D42" s="9">
        <f>SUM(Jul!D42, Aug!D42, Sep!D42)</f>
        <v>77438.624999999898</v>
      </c>
      <c r="E42" s="14">
        <f>SUM(Jul!E42, Aug!E42, Sep!E42)</f>
        <v>61581.27</v>
      </c>
      <c r="F42" s="14">
        <f>IF(AND(ISNUMBER(D42),ISNUMBER(E42)), D42-E42, "")</f>
        <v>15857.354999999901</v>
      </c>
      <c r="G42" s="15">
        <f t="shared" si="1"/>
        <v>0.25750289008329807</v>
      </c>
      <c r="H42" s="16">
        <f>SUM(Jul!H42,Aug!H42,Sep!H42)</f>
        <v>80201.91</v>
      </c>
      <c r="I42" s="16">
        <f>SUM(Jul!I42, Aug!I42, Sep!I42)</f>
        <v>-2763.2850000001054</v>
      </c>
      <c r="J42" s="15">
        <f t="shared" si="2"/>
        <v>-3.4454104646636285E-2</v>
      </c>
    </row>
    <row r="43" spans="1:10" ht="15.75">
      <c r="A43" s="24" t="str">
        <v>Q490</v>
      </c>
      <c r="B43" s="25" t="str">
        <v>NY</v>
      </c>
      <c r="C43" s="25" t="str">
        <f>Sites[[#This Row],[SOL'#]]</f>
        <v>SOL-10411</v>
      </c>
      <c r="D43" s="20">
        <f>SUM(Jul!D43, Aug!D43, Sep!D43)</f>
        <v>54376.138749999896</v>
      </c>
      <c r="E43" s="10">
        <f>SUM(Jul!E43, Aug!E43, Sep!E43)</f>
        <v>0</v>
      </c>
      <c r="F43" s="10">
        <f>IF(AND(ISNUMBER(D43),ISNUMBER(E43)), D43-E43, "")</f>
        <v>54376.138749999896</v>
      </c>
      <c r="G43" s="11" t="str">
        <f t="shared" si="1"/>
        <v/>
      </c>
      <c r="H43" s="12">
        <f>SUM(Jul!H43,Aug!H43,Sep!H43)</f>
        <v>52505.61</v>
      </c>
      <c r="I43" s="12">
        <f>SUM(Jul!I43, Aug!I43, Sep!I43)</f>
        <v>1870.5287499998958</v>
      </c>
      <c r="J43" s="13">
        <f t="shared" si="2"/>
        <v>3.562531222853893E-2</v>
      </c>
    </row>
    <row r="44" spans="1:10" ht="15.75">
      <c r="A44" s="26" t="str">
        <v>Q620</v>
      </c>
      <c r="B44" s="27" t="str">
        <v>NY</v>
      </c>
      <c r="C44" s="27" t="str">
        <f>Sites[[#This Row],[SOL'#]]</f>
        <v>SOL-10867</v>
      </c>
      <c r="D44" s="9">
        <f>SUM(Jul!D44, Aug!D44, Sep!D44)</f>
        <v>83649</v>
      </c>
      <c r="E44" s="14">
        <f>SUM(Jul!E44, Aug!E44, Sep!E44)</f>
        <v>85365.47</v>
      </c>
      <c r="F44" s="14">
        <f>IF(AND(ISNUMBER(D44),ISNUMBER(E44)), D44-E44, "")</f>
        <v>-1716.4700000000012</v>
      </c>
      <c r="G44" s="15">
        <f t="shared" si="1"/>
        <v>-2.0107310367997754E-2</v>
      </c>
      <c r="H44" s="16">
        <f>SUM(Jul!H44,Aug!H44,Sep!H44)</f>
        <v>84122.95</v>
      </c>
      <c r="I44" s="16">
        <f>SUM(Jul!I44, Aug!I44, Sep!I44)</f>
        <v>-473.94999999999709</v>
      </c>
      <c r="J44" s="15">
        <f t="shared" si="2"/>
        <v>-5.6340154500049882E-3</v>
      </c>
    </row>
    <row r="45" spans="1:10" ht="15.75">
      <c r="A45" s="24" t="str">
        <v>QMOA</v>
      </c>
      <c r="B45" s="25" t="str">
        <v>NY</v>
      </c>
      <c r="C45" s="25" t="str">
        <f>Sites[[#This Row],[SOL'#]]</f>
        <v>SOL-10415</v>
      </c>
      <c r="D45" s="20">
        <f>SUM(Jul!D45, Aug!D45, Sep!D45)</f>
        <v>7003.7</v>
      </c>
      <c r="E45" s="10">
        <f>SUM(Jul!E45, Aug!E45, Sep!E45)</f>
        <v>0</v>
      </c>
      <c r="F45" s="10">
        <f>IF(AND(ISNUMBER(D45),ISNUMBER(E45)), D45-E45, "")</f>
        <v>7003.7</v>
      </c>
      <c r="G45" s="11" t="str">
        <f t="shared" si="1"/>
        <v/>
      </c>
      <c r="H45" s="12">
        <f>SUM(Jul!H45,Aug!H45,Sep!H45)</f>
        <v>7555.0460000000003</v>
      </c>
      <c r="I45" s="12">
        <f>SUM(Jul!I45, Aug!I45, Sep!I45)</f>
        <v>-551.34600000000046</v>
      </c>
      <c r="J45" s="13">
        <f t="shared" si="2"/>
        <v>-7.2977186373186925E-2</v>
      </c>
    </row>
    <row r="46" spans="1:10" ht="15.75">
      <c r="A46" s="26" t="str">
        <v>X024</v>
      </c>
      <c r="B46" s="27" t="str">
        <v>NY</v>
      </c>
      <c r="C46" s="27" t="str">
        <f>Sites[[#This Row],[SOL'#]]</f>
        <v>SOL-10419</v>
      </c>
      <c r="D46" s="9">
        <f>SUM(Jul!D46, Aug!D46, Sep!D46)</f>
        <v>31410.5</v>
      </c>
      <c r="E46" s="14">
        <f>SUM(Jul!E46, Aug!E46, Sep!E46)</f>
        <v>32184.54</v>
      </c>
      <c r="F46" s="14">
        <f>IF(AND(ISNUMBER(D46),ISNUMBER(E46)), D46-E46, "")</f>
        <v>-774.04000000000087</v>
      </c>
      <c r="G46" s="15">
        <f t="shared" si="1"/>
        <v>-2.4050056331393919E-2</v>
      </c>
      <c r="H46" s="16">
        <f>SUM(Jul!H46,Aug!H46,Sep!H46)</f>
        <v>28524</v>
      </c>
      <c r="I46" s="16">
        <f>SUM(Jul!I46, Aug!I46, Sep!I46)</f>
        <v>2886.5</v>
      </c>
      <c r="J46" s="15">
        <f t="shared" si="2"/>
        <v>0.10119548450427709</v>
      </c>
    </row>
    <row r="47" spans="1:10" ht="15.75">
      <c r="A47" s="24" t="str">
        <v>X026</v>
      </c>
      <c r="B47" s="25" t="str">
        <v>NY</v>
      </c>
      <c r="C47" s="25" t="str">
        <f>Sites[[#This Row],[SOL'#]]</f>
        <v>SOL-10420</v>
      </c>
      <c r="D47" s="20">
        <f>SUM(Jul!D47, Aug!D47, Sep!D47)</f>
        <v>28396.400000000001</v>
      </c>
      <c r="E47" s="10">
        <f>SUM(Jul!E47, Aug!E47, Sep!E47)</f>
        <v>25893.72</v>
      </c>
      <c r="F47" s="10">
        <f>IF(AND(ISNUMBER(D47),ISNUMBER(E47)), D47-E47, "")</f>
        <v>2502.6800000000003</v>
      </c>
      <c r="G47" s="11">
        <f t="shared" si="1"/>
        <v>9.6652006741402938E-2</v>
      </c>
      <c r="H47" s="12">
        <f>SUM(Jul!H47,Aug!H47,Sep!H47)</f>
        <v>37688.65</v>
      </c>
      <c r="I47" s="12">
        <f>SUM(Jul!I47, Aug!I47, Sep!I47)</f>
        <v>-9292.25</v>
      </c>
      <c r="J47" s="13">
        <f t="shared" si="2"/>
        <v>-0.24655300733775287</v>
      </c>
    </row>
    <row r="48" spans="1:10" ht="15.75">
      <c r="A48" s="26" t="str">
        <v>X090</v>
      </c>
      <c r="B48" s="27" t="str">
        <v>NY</v>
      </c>
      <c r="C48" s="27" t="str">
        <f>Sites[[#This Row],[SOL'#]]</f>
        <v>SOL-10925</v>
      </c>
      <c r="D48" s="9">
        <f>SUM(Jul!D48, Aug!D48, Sep!D48)</f>
        <v>20376.1875</v>
      </c>
      <c r="E48" s="14">
        <f>SUM(Jul!E48, Aug!E48, Sep!E48)</f>
        <v>21371.14</v>
      </c>
      <c r="F48" s="14">
        <f>IF(AND(ISNUMBER(D48),ISNUMBER(E48)), D48-E48, "")</f>
        <v>-994.95249999999942</v>
      </c>
      <c r="G48" s="15">
        <f t="shared" si="1"/>
        <v>-4.6555892666465121E-2</v>
      </c>
      <c r="H48" s="16">
        <f>SUM(Jul!H48,Aug!H48,Sep!H48)</f>
        <v>24800</v>
      </c>
      <c r="I48" s="16">
        <f>SUM(Jul!I48, Aug!I48, Sep!I48)</f>
        <v>-4423.8125</v>
      </c>
      <c r="J48" s="15">
        <f t="shared" si="2"/>
        <v>-0.17837953629032258</v>
      </c>
    </row>
    <row r="49" spans="1:10" ht="15.75">
      <c r="A49" s="24" t="str">
        <v>X117</v>
      </c>
      <c r="B49" s="25" t="str">
        <v>NY</v>
      </c>
      <c r="C49" s="25" t="str">
        <f>Sites[[#This Row],[SOL'#]]</f>
        <v>SOL-10422</v>
      </c>
      <c r="D49" s="20">
        <f>SUM(Jul!D49, Aug!D49, Sep!D49)</f>
        <v>20442.5</v>
      </c>
      <c r="E49" s="10">
        <f>SUM(Jul!E49, Aug!E49, Sep!E49)</f>
        <v>21974.400000000001</v>
      </c>
      <c r="F49" s="10">
        <f>IF(AND(ISNUMBER(D49),ISNUMBER(E49)), D49-E49, "")</f>
        <v>-1531.9000000000015</v>
      </c>
      <c r="G49" s="11">
        <f t="shared" si="1"/>
        <v>-6.9712938692296555E-2</v>
      </c>
      <c r="H49" s="12">
        <f>SUM(Jul!H49,Aug!H49,Sep!H49)</f>
        <v>20331.66</v>
      </c>
      <c r="I49" s="12">
        <f>SUM(Jul!I49, Aug!I49, Sep!I49)</f>
        <v>110.84000000000015</v>
      </c>
      <c r="J49" s="13">
        <f t="shared" si="2"/>
        <v>5.451596180538143E-3</v>
      </c>
    </row>
    <row r="50" spans="1:10" ht="15.75">
      <c r="A50" s="26" t="str">
        <v>X125</v>
      </c>
      <c r="B50" s="27" t="str">
        <v>NY</v>
      </c>
      <c r="C50" s="27" t="str">
        <f>Sites[[#This Row],[SOL'#]]</f>
        <v>SOL-10423</v>
      </c>
      <c r="D50" s="9">
        <f>SUM(Jul!D50, Aug!D50, Sep!D50)</f>
        <v>37847.9375</v>
      </c>
      <c r="E50" s="14">
        <f>SUM(Jul!E50, Aug!E50, Sep!E50)</f>
        <v>38359.230000000003</v>
      </c>
      <c r="F50" s="14">
        <f>IF(AND(ISNUMBER(D50),ISNUMBER(E50)), D50-E50, "")</f>
        <v>-511.2925000000032</v>
      </c>
      <c r="G50" s="15">
        <f t="shared" si="1"/>
        <v>-1.3329060567691352E-2</v>
      </c>
      <c r="H50" s="16">
        <f>SUM(Jul!H50,Aug!H50,Sep!H50)</f>
        <v>37253.94</v>
      </c>
      <c r="I50" s="16">
        <f>SUM(Jul!I50, Aug!I50, Sep!I50)</f>
        <v>593.99749999999767</v>
      </c>
      <c r="J50" s="15">
        <f t="shared" si="2"/>
        <v>1.594455512624967E-2</v>
      </c>
    </row>
    <row r="51" spans="1:10" ht="15.75">
      <c r="A51" s="24" t="str">
        <v>X134</v>
      </c>
      <c r="B51" s="25" t="str">
        <v>NY</v>
      </c>
      <c r="C51" s="25" t="str">
        <f>Sites[[#This Row],[SOL'#]]</f>
        <v>SOL-10424</v>
      </c>
      <c r="D51" s="20">
        <f>SUM(Jul!D51, Aug!D51, Sep!D51)</f>
        <v>36328.625</v>
      </c>
      <c r="E51" s="10">
        <f>SUM(Jul!E51, Aug!E51, Sep!E51)</f>
        <v>26292.3</v>
      </c>
      <c r="F51" s="10">
        <f>IF(AND(ISNUMBER(D51),ISNUMBER(E51)), D51-E51, "")</f>
        <v>10036.325000000001</v>
      </c>
      <c r="G51" s="11">
        <f t="shared" si="1"/>
        <v>0.38172107423085849</v>
      </c>
      <c r="H51" s="12">
        <f>SUM(Jul!H51,Aug!H51,Sep!H51)</f>
        <v>37970</v>
      </c>
      <c r="I51" s="12">
        <f>SUM(Jul!I51, Aug!I51, Sep!I51)</f>
        <v>-1641.375</v>
      </c>
      <c r="J51" s="13">
        <f t="shared" si="2"/>
        <v>-4.3228206478799054E-2</v>
      </c>
    </row>
    <row r="52" spans="1:10" ht="15.75">
      <c r="A52" s="26" t="str">
        <v>X135</v>
      </c>
      <c r="B52" s="27" t="str">
        <v>NY</v>
      </c>
      <c r="C52" s="27" t="str">
        <f>Sites[[#This Row],[SOL'#]]</f>
        <v>SOL-10425</v>
      </c>
      <c r="D52" s="9">
        <f>SUM(Jul!D52, Aug!D52, Sep!D52)</f>
        <v>27094.9375</v>
      </c>
      <c r="E52" s="14">
        <f>SUM(Jul!E52, Aug!E52, Sep!E52)</f>
        <v>34359.57</v>
      </c>
      <c r="F52" s="14">
        <f>IF(AND(ISNUMBER(D52),ISNUMBER(E52)), D52-E52, "")</f>
        <v>-7264.6324999999997</v>
      </c>
      <c r="G52" s="15">
        <f t="shared" si="1"/>
        <v>-0.21142966864835619</v>
      </c>
      <c r="H52" s="16">
        <f>SUM(Jul!H52,Aug!H52,Sep!H52)</f>
        <v>30069</v>
      </c>
      <c r="I52" s="16">
        <f>SUM(Jul!I52, Aug!I52, Sep!I52)</f>
        <v>-2974.0625</v>
      </c>
      <c r="J52" s="15">
        <f t="shared" si="2"/>
        <v>-9.890792843127473E-2</v>
      </c>
    </row>
    <row r="53" spans="1:10" ht="15.75">
      <c r="A53" s="24" t="str">
        <v>X139 JHS 222</v>
      </c>
      <c r="B53" s="25" t="str">
        <v>NY</v>
      </c>
      <c r="C53" s="25" t="str">
        <f>Sites[[#This Row],[SOL'#]]</f>
        <v>SOL-10426</v>
      </c>
      <c r="D53" s="20">
        <f>SUM(Jul!D53, Aug!D53, Sep!D53)</f>
        <v>45256.623460000003</v>
      </c>
      <c r="E53" s="10">
        <f>SUM(Jul!E53, Aug!E53, Sep!E53)</f>
        <v>47698.11</v>
      </c>
      <c r="F53" s="10">
        <f>IF(AND(ISNUMBER(D53),ISNUMBER(E53)), D53-E53, "")</f>
        <v>-2441.4865399999981</v>
      </c>
      <c r="G53" s="11">
        <f t="shared" si="1"/>
        <v>-5.1186232326605768E-2</v>
      </c>
      <c r="H53" s="12">
        <f>SUM(Jul!H53,Aug!H53,Sep!H53)</f>
        <v>48383</v>
      </c>
      <c r="I53" s="12">
        <f>SUM(Jul!I53, Aug!I53, Sep!I53)</f>
        <v>-3126.3765399999975</v>
      </c>
      <c r="J53" s="13">
        <f t="shared" si="2"/>
        <v>-6.4617252754066462E-2</v>
      </c>
    </row>
    <row r="54" spans="1:10" ht="15.75">
      <c r="A54" s="26" t="str">
        <v>X140</v>
      </c>
      <c r="B54" s="27" t="str">
        <v>NY</v>
      </c>
      <c r="C54" s="27" t="str">
        <f>Sites[[#This Row],[SOL'#]]</f>
        <v>SOL-10926</v>
      </c>
      <c r="D54" s="9">
        <f>SUM(Jul!D54, Aug!D54, Sep!D54)</f>
        <v>25634.03125</v>
      </c>
      <c r="E54" s="14">
        <f>SUM(Jul!E54, Aug!E54, Sep!E54)</f>
        <v>21347.360000000001</v>
      </c>
      <c r="F54" s="14">
        <f>IF(AND(ISNUMBER(D54),ISNUMBER(E54)), D54-E54, "")</f>
        <v>4286.6712499999994</v>
      </c>
      <c r="G54" s="15">
        <f t="shared" si="1"/>
        <v>0.20080568510579291</v>
      </c>
      <c r="H54" s="16">
        <f>SUM(Jul!H54,Aug!H54,Sep!H54)</f>
        <v>25647</v>
      </c>
      <c r="I54" s="16">
        <f>SUM(Jul!I54, Aug!I54, Sep!I54)</f>
        <v>-12.96875</v>
      </c>
      <c r="J54" s="15">
        <f t="shared" si="2"/>
        <v>-5.0566343042071193E-4</v>
      </c>
    </row>
    <row r="55" spans="1:10" ht="15.75">
      <c r="A55" s="24" t="str">
        <v>X166</v>
      </c>
      <c r="B55" s="25" t="str">
        <v>NY</v>
      </c>
      <c r="C55" s="25" t="str">
        <f>Sites[[#This Row],[SOL'#]]</f>
        <v>SOL-10427</v>
      </c>
      <c r="D55" s="20">
        <f>SUM(Jul!D55, Aug!D55, Sep!D55)</f>
        <v>26409.4</v>
      </c>
      <c r="E55" s="10">
        <f>SUM(Jul!E55, Aug!E55, Sep!E55)</f>
        <v>25666.1</v>
      </c>
      <c r="F55" s="10">
        <f>IF(AND(ISNUMBER(D55),ISNUMBER(E55)), D55-E55, "")</f>
        <v>743.30000000000291</v>
      </c>
      <c r="G55" s="11">
        <f t="shared" si="1"/>
        <v>2.8960379644745519E-2</v>
      </c>
      <c r="H55" s="12">
        <f>SUM(Jul!H55,Aug!H55,Sep!H55)</f>
        <v>28572</v>
      </c>
      <c r="I55" s="12">
        <f>SUM(Jul!I55, Aug!I55, Sep!I55)</f>
        <v>-2162.5999999999985</v>
      </c>
      <c r="J55" s="13">
        <f t="shared" si="2"/>
        <v>-7.5689486210275742E-2</v>
      </c>
    </row>
    <row r="56" spans="1:10" ht="15.75">
      <c r="A56" s="26" t="str">
        <v>Murphy</v>
      </c>
      <c r="B56" s="27" t="str">
        <v>MN</v>
      </c>
      <c r="C56" s="27" t="str">
        <f>Sites[[#This Row],[SOL'#]]</f>
        <v>SOL-10094</v>
      </c>
      <c r="D56" s="9">
        <f>SUM(Jul!D56, Aug!D56, Sep!D56)</f>
        <v>1027570</v>
      </c>
      <c r="E56" s="14">
        <f>SUM(Jul!E56, Aug!E56, Sep!E56)</f>
        <v>1128104</v>
      </c>
      <c r="F56" s="14">
        <f>IF(AND(ISNUMBER(D56),ISNUMBER(E56)), D56-E56, "")</f>
        <v>-100534</v>
      </c>
      <c r="G56" s="15">
        <f t="shared" si="1"/>
        <v>-8.9117670002056545E-2</v>
      </c>
      <c r="H56" s="16">
        <f>SUM(Jul!H56,Aug!H56,Sep!H56)</f>
        <v>1079999</v>
      </c>
      <c r="I56" s="16">
        <f>SUM(Jul!I56, Aug!I56, Sep!I56)</f>
        <v>-52429</v>
      </c>
      <c r="J56" s="15">
        <f t="shared" si="2"/>
        <v>-4.8545415319828998E-2</v>
      </c>
    </row>
    <row r="57" spans="1:10" ht="15.75">
      <c r="A57" s="24" t="str">
        <v>Terning</v>
      </c>
      <c r="B57" s="25" t="str">
        <v>MN</v>
      </c>
      <c r="C57" s="25" t="str">
        <f>Sites[[#This Row],[SOL'#]]</f>
        <v>SOL-10093</v>
      </c>
      <c r="D57" s="20">
        <f>SUM(Jul!D57, Aug!D57, Sep!D57)</f>
        <v>1103539.33165829</v>
      </c>
      <c r="E57" s="10">
        <f>SUM(Jul!E57, Aug!E57, Sep!E57)</f>
        <v>1177067</v>
      </c>
      <c r="F57" s="10">
        <f>IF(AND(ISNUMBER(D57),ISNUMBER(E57)), D57-E57, "")</f>
        <v>-73527.668341709999</v>
      </c>
      <c r="G57" s="11">
        <f t="shared" si="1"/>
        <v>-6.2466850520582089E-2</v>
      </c>
      <c r="H57" s="12">
        <f>SUM(Jul!H57,Aug!H57,Sep!H57)</f>
        <v>1077330</v>
      </c>
      <c r="I57" s="12">
        <f>SUM(Jul!I57, Aug!I57, Sep!I57)</f>
        <v>26209.331658290001</v>
      </c>
      <c r="J57" s="13">
        <f t="shared" si="2"/>
        <v>2.4328044014638041E-2</v>
      </c>
    </row>
    <row r="58" spans="1:10" ht="15.75">
      <c r="A58" s="26" t="str">
        <v>Boas Road 04</v>
      </c>
      <c r="B58" s="27" t="str">
        <v>NY</v>
      </c>
      <c r="C58" s="27" t="str">
        <f>Sites[[#This Row],[SOL'#]]</f>
        <v>SOL-10908</v>
      </c>
      <c r="D58" s="9">
        <f>SUM(Jul!D58, Aug!D58, Sep!D58)</f>
        <v>0</v>
      </c>
      <c r="E58" s="14">
        <f>SUM(Jul!E58, Aug!E58, Sep!E58)</f>
        <v>418297.2</v>
      </c>
      <c r="F58" s="14">
        <f>IF(AND(ISNUMBER(D58),ISNUMBER(E58)), D58-E58, "")</f>
        <v>-418297.2</v>
      </c>
      <c r="G58" s="15">
        <f t="shared" si="1"/>
        <v>-1</v>
      </c>
      <c r="H58" s="16">
        <f>SUM(Jul!H58,Aug!H58,Sep!H58)</f>
        <v>421307.46</v>
      </c>
      <c r="I58" s="16">
        <f>SUM(Jul!I58, Aug!I58, Sep!I58)</f>
        <v>-421307.46</v>
      </c>
      <c r="J58" s="15">
        <f t="shared" si="2"/>
        <v>-1</v>
      </c>
    </row>
    <row r="59" spans="1:10" ht="15.75">
      <c r="A59" s="24" t="str">
        <v>Kelly Bridge Farm</v>
      </c>
      <c r="B59" s="25" t="str">
        <v>NY</v>
      </c>
      <c r="C59" s="25" t="str">
        <f>Sites[[#This Row],[SOL'#]]</f>
        <v>SOL-10911</v>
      </c>
      <c r="D59" s="20">
        <f>SUM(Jul!D59, Aug!D59, Sep!D59)</f>
        <v>356939</v>
      </c>
      <c r="E59" s="10">
        <f>SUM(Jul!E59, Aug!E59, Sep!E59)</f>
        <v>395735.4</v>
      </c>
      <c r="F59" s="10">
        <f>IF(AND(ISNUMBER(D59),ISNUMBER(E59)), D59-E59, "")</f>
        <v>-38796.400000000023</v>
      </c>
      <c r="G59" s="11">
        <f t="shared" si="1"/>
        <v>-9.8036213085814464E-2</v>
      </c>
      <c r="H59" s="12">
        <f>SUM(Jul!H59,Aug!H59,Sep!H59)</f>
        <v>409604.48</v>
      </c>
      <c r="I59" s="12">
        <f>SUM(Jul!I59, Aug!I59, Sep!I59)</f>
        <v>-52665.479999999981</v>
      </c>
      <c r="J59" s="13">
        <f t="shared" si="2"/>
        <v>-0.12857642572659359</v>
      </c>
    </row>
    <row r="60" spans="1:10" ht="15.75">
      <c r="A60" s="26" t="str">
        <v>Pool Brook Road</v>
      </c>
      <c r="B60" s="27" t="str">
        <v>NY</v>
      </c>
      <c r="C60" s="27" t="str">
        <f>Sites[[#This Row],[SOL'#]]</f>
        <v>SOL-10909</v>
      </c>
      <c r="D60" s="9">
        <f>SUM(Jul!D60, Aug!D60, Sep!D60)</f>
        <v>304116</v>
      </c>
      <c r="E60" s="14">
        <f>SUM(Jul!E60, Aug!E60, Sep!E60)</f>
        <v>391072.41</v>
      </c>
      <c r="F60" s="14">
        <f>IF(AND(ISNUMBER(D60),ISNUMBER(E60)), D60-E60, "")</f>
        <v>-86956.409999999974</v>
      </c>
      <c r="G60" s="15">
        <f t="shared" si="1"/>
        <v>-0.22235373239446879</v>
      </c>
      <c r="H60" s="16">
        <f>SUM(Jul!H60,Aug!H60,Sep!H60)</f>
        <v>388129.3</v>
      </c>
      <c r="I60" s="16">
        <f>SUM(Jul!I60, Aug!I60, Sep!I60)</f>
        <v>-84013.299999999988</v>
      </c>
      <c r="J60" s="15">
        <f t="shared" si="2"/>
        <v>-0.21645698997730908</v>
      </c>
    </row>
    <row r="61" spans="1:10" ht="15.75">
      <c r="A61" s="24" t="str">
        <v>Sackett Lake</v>
      </c>
      <c r="B61" s="25" t="str">
        <v>NY</v>
      </c>
      <c r="C61" s="25" t="str">
        <f>Sites[[#This Row],[SOL'#]]</f>
        <v>SOL-10910</v>
      </c>
      <c r="D61" s="20">
        <f>SUM(Jul!D61, Aug!D61, Sep!D61)</f>
        <v>372255</v>
      </c>
      <c r="E61" s="10">
        <f>SUM(Jul!E61, Aug!E61, Sep!E61)</f>
        <v>182350.26</v>
      </c>
      <c r="F61" s="10">
        <f>IF(AND(ISNUMBER(D61),ISNUMBER(E61)), D61-E61, "")</f>
        <v>189904.74</v>
      </c>
      <c r="G61" s="11">
        <f t="shared" si="1"/>
        <v>1.0414284026795464</v>
      </c>
      <c r="H61" s="12">
        <f>SUM(Jul!H61,Aug!H61,Sep!H61)</f>
        <v>401920.7</v>
      </c>
      <c r="I61" s="12">
        <f>SUM(Jul!I61, Aug!I61, Sep!I61)</f>
        <v>-29665.700000000012</v>
      </c>
      <c r="J61" s="13">
        <f t="shared" si="2"/>
        <v>-7.3809833631360636E-2</v>
      </c>
    </row>
    <row r="62" spans="1:10" ht="15.75">
      <c r="A62" s="26" t="str">
        <v>Burritt Road</v>
      </c>
      <c r="B62" s="27" t="str">
        <v>NY</v>
      </c>
      <c r="C62" s="27" t="str">
        <f>Sites[[#This Row],[SOL'#]]</f>
        <v>SOL-10913</v>
      </c>
      <c r="D62" s="9">
        <f>SUM(Jul!D62, Aug!D62, Sep!D62)</f>
        <v>439000</v>
      </c>
      <c r="E62" s="14">
        <f>SUM(Jul!E62, Aug!E62, Sep!E62)</f>
        <v>460347.77</v>
      </c>
      <c r="F62" s="14">
        <f>IF(AND(ISNUMBER(D62),ISNUMBER(E62)), D62-E62, "")</f>
        <v>-21347.770000000019</v>
      </c>
      <c r="G62" s="15">
        <f t="shared" si="1"/>
        <v>-4.6373136552828348E-2</v>
      </c>
      <c r="H62" s="16">
        <f>SUM(Jul!H62,Aug!H62,Sep!H62)</f>
        <v>411700.36</v>
      </c>
      <c r="I62" s="16">
        <f>SUM(Jul!I62, Aug!I62, Sep!I62)</f>
        <v>27299.640000000014</v>
      </c>
      <c r="J62" s="15">
        <f t="shared" si="2"/>
        <v>6.6309487803216924E-2</v>
      </c>
    </row>
    <row r="63" spans="1:10" ht="15.75">
      <c r="A63" s="24" t="str">
        <v>Villa Roma 1</v>
      </c>
      <c r="B63" s="25" t="str">
        <v>NY</v>
      </c>
      <c r="C63" s="25" t="str">
        <f>Sites[[#This Row],[SOL'#]]</f>
        <v>SOL-10914</v>
      </c>
      <c r="D63" s="20">
        <f>SUM(Jul!D63, Aug!D63, Sep!D63)</f>
        <v>338515</v>
      </c>
      <c r="E63" s="10">
        <f>SUM(Jul!E63, Aug!E63, Sep!E63)</f>
        <v>3881.75</v>
      </c>
      <c r="F63" s="10">
        <f>IF(AND(ISNUMBER(D63),ISNUMBER(E63)), D63-E63, "")</f>
        <v>334633.25</v>
      </c>
      <c r="G63" s="11">
        <f t="shared" si="1"/>
        <v>86.206801056224634</v>
      </c>
      <c r="H63" s="12">
        <f>SUM(Jul!H63,Aug!H63,Sep!H63)</f>
        <v>360546.51</v>
      </c>
      <c r="I63" s="12">
        <f>SUM(Jul!I63, Aug!I63, Sep!I63)</f>
        <v>-22031.510000000009</v>
      </c>
      <c r="J63" s="13">
        <f t="shared" si="2"/>
        <v>-6.1105875078363701E-2</v>
      </c>
    </row>
    <row r="64" spans="1:10" ht="15.75">
      <c r="A64" s="26" t="str">
        <v>Villa Roma 2</v>
      </c>
      <c r="B64" s="27" t="str">
        <v>NY</v>
      </c>
      <c r="C64" s="27" t="str">
        <f>Sites[[#This Row],[SOL'#]]</f>
        <v>SOL-10915</v>
      </c>
      <c r="D64" s="9">
        <f>SUM(Jul!D64, Aug!D64, Sep!D64)</f>
        <v>327962</v>
      </c>
      <c r="E64" s="14">
        <f>SUM(Jul!E64, Aug!E64, Sep!E64)</f>
        <v>355213.51</v>
      </c>
      <c r="F64" s="14">
        <f>IF(AND(ISNUMBER(D64),ISNUMBER(E64)), D64-E64, "")</f>
        <v>-27251.510000000009</v>
      </c>
      <c r="G64" s="15">
        <f t="shared" ref="G64:G102" si="3">IFERROR(F64/E64, "")</f>
        <v>-7.6718675480558177E-2</v>
      </c>
      <c r="H64" s="16">
        <f>SUM(Jul!H64,Aug!H64,Sep!H64)</f>
        <v>349710.41</v>
      </c>
      <c r="I64" s="16">
        <f>SUM(Jul!I64, Aug!I64, Sep!I64)</f>
        <v>-21748.409999999974</v>
      </c>
      <c r="J64" s="15">
        <f t="shared" si="2"/>
        <v>-6.2189770101496192E-2</v>
      </c>
    </row>
    <row r="65" spans="1:10" ht="15.75">
      <c r="A65" s="24" t="str">
        <v>Washington 1</v>
      </c>
      <c r="B65" s="25" t="str">
        <v>NY</v>
      </c>
      <c r="C65" s="25" t="str">
        <f>Sites[[#This Row],[SOL'#]]</f>
        <v>SOL-10912</v>
      </c>
      <c r="D65" s="20">
        <f>SUM(Jul!D65, Aug!D65, Sep!D65)</f>
        <v>414100</v>
      </c>
      <c r="E65" s="10">
        <f>SUM(Jul!E65, Aug!E65, Sep!E65)</f>
        <v>455057.17</v>
      </c>
      <c r="F65" s="10">
        <f>IF(AND(ISNUMBER(D65),ISNUMBER(E65)), D65-E65, "")</f>
        <v>-40957.169999999984</v>
      </c>
      <c r="G65" s="11">
        <f t="shared" si="3"/>
        <v>-9.000444933105875E-2</v>
      </c>
      <c r="H65" s="12">
        <f>SUM(Jul!H65,Aug!H65,Sep!H65)</f>
        <v>406846.2</v>
      </c>
      <c r="I65" s="12">
        <f>SUM(Jul!I65, Aug!I65, Sep!I65)</f>
        <v>7253.7999999999884</v>
      </c>
      <c r="J65" s="13">
        <f t="shared" si="2"/>
        <v>1.7829341898732219E-2</v>
      </c>
    </row>
    <row r="66" spans="1:10" ht="15.75">
      <c r="A66" s="26" t="str">
        <v>Washington 3</v>
      </c>
      <c r="B66" s="27" t="str">
        <v>NY</v>
      </c>
      <c r="C66" s="27" t="str">
        <f>Sites[[#This Row],[SOL'#]]</f>
        <v>SOL-10828</v>
      </c>
      <c r="D66" s="9">
        <f>SUM(Jul!D66, Aug!D66, Sep!D66)</f>
        <v>468035</v>
      </c>
      <c r="E66" s="14">
        <f>SUM(Jul!E66, Aug!E66, Sep!E66)</f>
        <v>1177020.71</v>
      </c>
      <c r="F66" s="14">
        <f>IF(AND(ISNUMBER(D66),ISNUMBER(E66)), D66-E66, "")</f>
        <v>-708985.71</v>
      </c>
      <c r="G66" s="15">
        <f t="shared" si="3"/>
        <v>-0.60235618963747883</v>
      </c>
      <c r="H66" s="16">
        <f>SUM(Jul!H66,Aug!H66,Sep!H66)</f>
        <v>497085.28</v>
      </c>
      <c r="I66" s="16">
        <f>SUM(Jul!I66, Aug!I66, Sep!I66)</f>
        <v>-29050.280000000028</v>
      </c>
      <c r="J66" s="15">
        <f t="shared" si="2"/>
        <v>-5.8441239700358916E-2</v>
      </c>
    </row>
    <row r="67" spans="1:10" ht="15.75">
      <c r="A67" s="24" t="str">
        <v>Washington 4</v>
      </c>
      <c r="B67" s="25" t="str">
        <v>NY</v>
      </c>
      <c r="C67" s="25" t="str">
        <f>Sites[[#This Row],[SOL'#]]</f>
        <v>SOL-10829</v>
      </c>
      <c r="D67" s="20">
        <f>SUM(Jul!D67, Aug!D67, Sep!D67)</f>
        <v>512454</v>
      </c>
      <c r="E67" s="10">
        <f>SUM(Jul!E67, Aug!E67, Sep!E67)</f>
        <v>540275.93000000005</v>
      </c>
      <c r="F67" s="10">
        <f>IF(AND(ISNUMBER(D67),ISNUMBER(E67)), D67-E67, "")</f>
        <v>-27821.930000000051</v>
      </c>
      <c r="G67" s="11">
        <f t="shared" si="3"/>
        <v>-5.1495779203045468E-2</v>
      </c>
      <c r="H67" s="12">
        <f>SUM(Jul!H67,Aug!H67,Sep!H67)</f>
        <v>498240.8</v>
      </c>
      <c r="I67" s="12">
        <f>SUM(Jul!I67, Aug!I67, Sep!I67)</f>
        <v>14213.200000000012</v>
      </c>
      <c r="J67" s="13">
        <f t="shared" si="2"/>
        <v>2.8526768582580977E-2</v>
      </c>
    </row>
    <row r="68" spans="1:10" ht="15.75">
      <c r="A68" s="26" t="str">
        <v>Big Tree</v>
      </c>
      <c r="B68" s="27" t="str">
        <v>NY</v>
      </c>
      <c r="C68" s="27" t="str">
        <f>Sites[[#This Row],[SOL'#]]</f>
        <v>SOL-10966</v>
      </c>
      <c r="D68" s="9">
        <f>SUM(Jul!D68, Aug!D68, Sep!D68)</f>
        <v>436120</v>
      </c>
      <c r="E68" s="14">
        <f>SUM(Jul!E68, Aug!E68, Sep!E68)</f>
        <v>435290</v>
      </c>
      <c r="F68" s="14">
        <f>IF(AND(ISNUMBER(D68),ISNUMBER(E68)), D68-E68, "")</f>
        <v>830</v>
      </c>
      <c r="G68" s="15">
        <f t="shared" si="3"/>
        <v>1.9067747938156172E-3</v>
      </c>
      <c r="H68" s="16">
        <f>SUM(Jul!H68,Aug!H68,Sep!H68)</f>
        <v>416811.05</v>
      </c>
      <c r="I68" s="16">
        <f>SUM(Jul!I68, Aug!I68, Sep!I68)</f>
        <v>19308.950000000012</v>
      </c>
      <c r="J68" s="15">
        <f t="shared" ref="J68:J131" si="4">IFERROR(I68/H68, "")</f>
        <v>4.6325427312927554E-2</v>
      </c>
    </row>
    <row r="69" spans="1:10" ht="15.75">
      <c r="A69" s="24" t="str">
        <v>Canoga</v>
      </c>
      <c r="B69" s="25" t="str">
        <v>NY</v>
      </c>
      <c r="C69" s="25" t="str">
        <f>Sites[[#This Row],[SOL'#]]</f>
        <v>SOL-10965</v>
      </c>
      <c r="D69" s="20">
        <f>SUM(Jul!D69, Aug!D69, Sep!D69)</f>
        <v>564710</v>
      </c>
      <c r="E69" s="10">
        <f>SUM(Jul!E69, Aug!E69, Sep!E69)</f>
        <v>0</v>
      </c>
      <c r="F69" s="10">
        <f>IF(AND(ISNUMBER(D69),ISNUMBER(E69)), D69-E69, "")</f>
        <v>564710</v>
      </c>
      <c r="G69" s="11" t="str">
        <f t="shared" si="3"/>
        <v/>
      </c>
      <c r="H69" s="12">
        <f>SUM(Jul!H69,Aug!H69,Sep!H69)</f>
        <v>0</v>
      </c>
      <c r="I69" s="12">
        <f>SUM(Jul!I69, Aug!I69, Sep!I69)</f>
        <v>564710</v>
      </c>
      <c r="J69" s="13" t="str">
        <f t="shared" si="4"/>
        <v/>
      </c>
    </row>
    <row r="70" spans="1:10" ht="15.75">
      <c r="A70" s="26" t="str">
        <v>County Route 84</v>
      </c>
      <c r="B70" s="27" t="str">
        <v>NY</v>
      </c>
      <c r="C70" s="27" t="str">
        <f>Sites[[#This Row],[SOL'#]]</f>
        <v>SOL-10967</v>
      </c>
      <c r="D70" s="9">
        <f>SUM(Jul!D70, Aug!D70, Sep!D70)</f>
        <v>935320</v>
      </c>
      <c r="E70" s="14">
        <f>SUM(Jul!E70, Aug!E70, Sep!E70)</f>
        <v>914380</v>
      </c>
      <c r="F70" s="14">
        <f>IF(AND(ISNUMBER(D70),ISNUMBER(E70)), D70-E70, "")</f>
        <v>20940</v>
      </c>
      <c r="G70" s="15">
        <f t="shared" si="3"/>
        <v>2.2900763358778626E-2</v>
      </c>
      <c r="H70" s="16">
        <f>SUM(Jul!H70,Aug!H70,Sep!H70)</f>
        <v>1051868.43</v>
      </c>
      <c r="I70" s="16">
        <f>SUM(Jul!I70, Aug!I70, Sep!I70)</f>
        <v>-116548.42999999993</v>
      </c>
      <c r="J70" s="15">
        <f t="shared" si="4"/>
        <v>-0.11080133852862181</v>
      </c>
    </row>
    <row r="71" spans="1:10" ht="15.75">
      <c r="A71" s="24" t="str">
        <v>Donati</v>
      </c>
      <c r="B71" s="25" t="str">
        <v>NY</v>
      </c>
      <c r="C71" s="25" t="str">
        <f>Sites[[#This Row],[SOL'#]]</f>
        <v>SOL-10968</v>
      </c>
      <c r="D71" s="20">
        <f>SUM(Jul!D71, Aug!D71, Sep!D71)</f>
        <v>547550</v>
      </c>
      <c r="E71" s="10">
        <f>SUM(Jul!E71, Aug!E71, Sep!E71)</f>
        <v>0</v>
      </c>
      <c r="F71" s="10">
        <f>IF(AND(ISNUMBER(D71),ISNUMBER(E71)), D71-E71, "")</f>
        <v>547550</v>
      </c>
      <c r="G71" s="11" t="str">
        <f t="shared" si="3"/>
        <v/>
      </c>
      <c r="H71" s="12">
        <f>SUM(Jul!H71,Aug!H71,Sep!H71)</f>
        <v>545503.25</v>
      </c>
      <c r="I71" s="12">
        <f>SUM(Jul!I71, Aug!I71, Sep!I71)</f>
        <v>2046.75</v>
      </c>
      <c r="J71" s="13">
        <f t="shared" si="4"/>
        <v>3.7520399740973128E-3</v>
      </c>
    </row>
    <row r="72" spans="1:10" ht="15.75">
      <c r="A72" s="26" t="str">
        <v>Henrietta</v>
      </c>
      <c r="B72" s="27" t="str">
        <v>NY</v>
      </c>
      <c r="C72" s="27" t="str">
        <f>Sites[[#This Row],[SOL'#]]</f>
        <v>SOL-10972</v>
      </c>
      <c r="D72" s="9">
        <f>SUM(Jul!D72, Aug!D72, Sep!D72)</f>
        <v>1155000</v>
      </c>
      <c r="E72" s="14">
        <f>SUM(Jul!E72, Aug!E72, Sep!E72)</f>
        <v>1113180</v>
      </c>
      <c r="F72" s="14">
        <f>IF(AND(ISNUMBER(D72),ISNUMBER(E72)), D72-E72, "")</f>
        <v>41820</v>
      </c>
      <c r="G72" s="15">
        <f t="shared" si="3"/>
        <v>3.756804829407643E-2</v>
      </c>
      <c r="H72" s="16">
        <f>SUM(Jul!H72,Aug!H72,Sep!H72)</f>
        <v>1152537.6000000001</v>
      </c>
      <c r="I72" s="16">
        <f>SUM(Jul!I72, Aug!I72, Sep!I72)</f>
        <v>2462.3999999999069</v>
      </c>
      <c r="J72" s="15">
        <f t="shared" si="4"/>
        <v>2.1365029652827871E-3</v>
      </c>
    </row>
    <row r="73" spans="1:10" ht="15.75">
      <c r="A73" s="24" t="str">
        <v>NY 70</v>
      </c>
      <c r="B73" s="25" t="str">
        <v>NY</v>
      </c>
      <c r="C73" s="25" t="str">
        <f>Sites[[#This Row],[SOL'#]]</f>
        <v>SOL-10970</v>
      </c>
      <c r="D73" s="20">
        <f>SUM(Jul!D73, Aug!D73, Sep!D73)</f>
        <v>1218390</v>
      </c>
      <c r="E73" s="10">
        <f>SUM(Jul!E73, Aug!E73, Sep!E73)</f>
        <v>1215880</v>
      </c>
      <c r="F73" s="10">
        <f>IF(AND(ISNUMBER(D73),ISNUMBER(E73)), D73-E73, "")</f>
        <v>2510</v>
      </c>
      <c r="G73" s="11">
        <f t="shared" si="3"/>
        <v>2.0643484554396813E-3</v>
      </c>
      <c r="H73" s="12">
        <f>SUM(Jul!H73,Aug!H73,Sep!H73)</f>
        <v>1269880.53</v>
      </c>
      <c r="I73" s="12">
        <f>SUM(Jul!I73, Aug!I73, Sep!I73)</f>
        <v>-51490.530000000028</v>
      </c>
      <c r="J73" s="13">
        <f t="shared" si="4"/>
        <v>-4.054753875153911E-2</v>
      </c>
    </row>
    <row r="74" spans="1:10" ht="15.75">
      <c r="A74" s="26" t="str">
        <v>Reid</v>
      </c>
      <c r="B74" s="27" t="str">
        <v>NY</v>
      </c>
      <c r="C74" s="27" t="str">
        <f>Sites[[#This Row],[SOL'#]]</f>
        <v>SOL-10991</v>
      </c>
      <c r="D74" s="9">
        <f>SUM(Jul!D74, Aug!D74, Sep!D74)</f>
        <v>827385.82587148203</v>
      </c>
      <c r="E74" s="14">
        <f>SUM(Jul!E74, Aug!E74, Sep!E74)</f>
        <v>889116.1</v>
      </c>
      <c r="F74" s="14">
        <f>IF(AND(ISNUMBER(D74),ISNUMBER(E74)), D74-E74, "")</f>
        <v>-61730.274128517951</v>
      </c>
      <c r="G74" s="15">
        <f t="shared" si="3"/>
        <v>-6.94288115224974E-2</v>
      </c>
      <c r="H74" s="16">
        <f>SUM(Jul!H74,Aug!H74,Sep!H74)</f>
        <v>94887</v>
      </c>
      <c r="I74" s="16">
        <f>SUM(Jul!I74, Aug!I74, Sep!I74)</f>
        <v>732498.82587148203</v>
      </c>
      <c r="J74" s="15">
        <f t="shared" si="4"/>
        <v>7.7196963321791401</v>
      </c>
    </row>
    <row r="75" spans="1:10" ht="15.75">
      <c r="A75" s="24" t="str">
        <v>Sangolqui</v>
      </c>
      <c r="B75" s="25" t="str">
        <v>NY</v>
      </c>
      <c r="C75" s="25" t="str">
        <f>Sites[[#This Row],[SOL'#]]</f>
        <v>SOL-10975</v>
      </c>
      <c r="D75" s="20">
        <f>SUM(Jul!D75, Aug!D75, Sep!D75)</f>
        <v>556270</v>
      </c>
      <c r="E75" s="10">
        <f>SUM(Jul!E75, Aug!E75, Sep!E75)</f>
        <v>555700</v>
      </c>
      <c r="F75" s="10">
        <f>IF(AND(ISNUMBER(D75),ISNUMBER(E75)), D75-E75, "")</f>
        <v>570</v>
      </c>
      <c r="G75" s="11">
        <f t="shared" si="3"/>
        <v>1.0257333093395718E-3</v>
      </c>
      <c r="H75" s="12">
        <f>SUM(Jul!H75,Aug!H75,Sep!H75)</f>
        <v>534834.66</v>
      </c>
      <c r="I75" s="12">
        <f>SUM(Jul!I75, Aug!I75, Sep!I75)</f>
        <v>21435.339999999967</v>
      </c>
      <c r="J75" s="13">
        <f t="shared" si="4"/>
        <v>4.0078442186226235E-2</v>
      </c>
    </row>
    <row r="76" spans="1:10" ht="15.75">
      <c r="A76" s="26" t="str">
        <v>State Highway 17B</v>
      </c>
      <c r="B76" s="27" t="str">
        <v>NY</v>
      </c>
      <c r="C76" s="27" t="str">
        <f>Sites[[#This Row],[SOL'#]]</f>
        <v>SOL-10988</v>
      </c>
      <c r="D76" s="9">
        <f>SUM(Jul!D76, Aug!D76, Sep!D76)</f>
        <v>844420</v>
      </c>
      <c r="E76" s="14">
        <f>SUM(Jul!E76, Aug!E76, Sep!E76)</f>
        <v>841370</v>
      </c>
      <c r="F76" s="14">
        <f>IF(AND(ISNUMBER(D76),ISNUMBER(E76)), D76-E76, "")</f>
        <v>3050</v>
      </c>
      <c r="G76" s="15">
        <f t="shared" si="3"/>
        <v>3.6250401131487932E-3</v>
      </c>
      <c r="H76" s="16">
        <f>SUM(Jul!H76,Aug!H76,Sep!H76)</f>
        <v>0</v>
      </c>
      <c r="I76" s="16">
        <f>SUM(Jul!I76, Aug!I76, Sep!I76)</f>
        <v>0</v>
      </c>
      <c r="J76" s="15" t="str">
        <f t="shared" si="4"/>
        <v/>
      </c>
    </row>
    <row r="77" spans="1:10" ht="15.75">
      <c r="A77" s="24" t="str">
        <v>State Route 14A</v>
      </c>
      <c r="B77" s="25" t="str">
        <v>NY</v>
      </c>
      <c r="C77" s="25" t="str">
        <f>Sites[[#This Row],[SOL'#]]</f>
        <v>SOL-10997</v>
      </c>
      <c r="D77" s="20">
        <f>SUM(Jul!D77, Aug!D77, Sep!D77)</f>
        <v>0</v>
      </c>
      <c r="E77" s="10">
        <f>SUM(Jul!E77, Aug!E77, Sep!E77)</f>
        <v>0</v>
      </c>
      <c r="F77" s="10">
        <f>IF(AND(ISNUMBER(D77),ISNUMBER(E77)), D77-E77, "")</f>
        <v>0</v>
      </c>
      <c r="G77" s="11" t="str">
        <f t="shared" si="3"/>
        <v/>
      </c>
      <c r="H77" s="12">
        <f>SUM(Jul!H77,Aug!H77,Sep!H77)</f>
        <v>1023871.6</v>
      </c>
      <c r="I77" s="12">
        <f>SUM(Jul!I77, Aug!I77, Sep!I77)</f>
        <v>-1023871.6</v>
      </c>
      <c r="J77" s="13">
        <f t="shared" si="4"/>
        <v>-1</v>
      </c>
    </row>
    <row r="78" spans="1:10" ht="15.75">
      <c r="A78" s="26" t="str">
        <v>West Creek</v>
      </c>
      <c r="B78" s="27" t="str">
        <v>NY</v>
      </c>
      <c r="C78" s="27" t="str">
        <f>Sites[[#This Row],[SOL'#]]</f>
        <v>SOL-10995</v>
      </c>
      <c r="D78" s="9">
        <f>SUM(Jul!D78, Aug!D78, Sep!D78)</f>
        <v>952660</v>
      </c>
      <c r="E78" s="14">
        <f>SUM(Jul!E78, Aug!E78, Sep!E78)</f>
        <v>905450</v>
      </c>
      <c r="F78" s="14">
        <f>IF(AND(ISNUMBER(D78),ISNUMBER(E78)), D78-E78, "")</f>
        <v>47210</v>
      </c>
      <c r="G78" s="15">
        <f t="shared" si="3"/>
        <v>5.2139819979015956E-2</v>
      </c>
      <c r="H78" s="16">
        <f>SUM(Jul!H78,Aug!H78,Sep!H78)</f>
        <v>1056166.02</v>
      </c>
      <c r="I78" s="16">
        <f>SUM(Jul!I78, Aug!I78, Sep!I78)</f>
        <v>-103506.02000000002</v>
      </c>
      <c r="J78" s="15">
        <f t="shared" si="4"/>
        <v>-9.8001656974345777E-2</v>
      </c>
    </row>
    <row r="79" spans="1:10" ht="15.75">
      <c r="A79" s="24" t="str">
        <v>Wildflower</v>
      </c>
      <c r="B79" s="25" t="str">
        <v>NY</v>
      </c>
      <c r="C79" s="25" t="str">
        <f>Sites[[#This Row],[SOL'#]]</f>
        <v>SOL-10982</v>
      </c>
      <c r="D79" s="20">
        <f>SUM(Jul!D79, Aug!D79, Sep!D79)</f>
        <v>892850</v>
      </c>
      <c r="E79" s="10">
        <f>SUM(Jul!E79, Aug!E79, Sep!E79)</f>
        <v>890492</v>
      </c>
      <c r="F79" s="10">
        <f>IF(AND(ISNUMBER(D79),ISNUMBER(E79)), D79-E79, "")</f>
        <v>2358</v>
      </c>
      <c r="G79" s="11">
        <f t="shared" si="3"/>
        <v>2.6479743782089004E-3</v>
      </c>
      <c r="H79" s="12">
        <f>SUM(Jul!H79,Aug!H79,Sep!H79)</f>
        <v>992227.03</v>
      </c>
      <c r="I79" s="12">
        <f>SUM(Jul!I79, Aug!I79, Sep!I79)</f>
        <v>-99377.030000000028</v>
      </c>
      <c r="J79" s="13">
        <f t="shared" si="4"/>
        <v>-0.10015553597647912</v>
      </c>
    </row>
    <row r="80" spans="1:10" ht="15.75">
      <c r="A80" s="26" t="str">
        <v>Glen Mary 1</v>
      </c>
      <c r="B80" s="27" t="str">
        <v>NY</v>
      </c>
      <c r="C80" s="27" t="str">
        <f>Sites[[#This Row],[SOL'#]]</f>
        <v>SOL-10993</v>
      </c>
      <c r="D80" s="9">
        <f>SUM(Jul!D80, Aug!D80, Sep!D80)</f>
        <v>1034840</v>
      </c>
      <c r="E80" s="14">
        <f>SUM(Jul!E80, Aug!E80, Sep!E80)</f>
        <v>1030810</v>
      </c>
      <c r="F80" s="14">
        <f>IF(AND(ISNUMBER(D80),ISNUMBER(E80)), D80-E80, "")</f>
        <v>4030</v>
      </c>
      <c r="G80" s="15">
        <f t="shared" si="3"/>
        <v>3.9095468612062355E-3</v>
      </c>
      <c r="H80" s="16">
        <f>SUM(Jul!H80,Aug!H80,Sep!H80)</f>
        <v>998812.44</v>
      </c>
      <c r="I80" s="16">
        <f>SUM(Jul!I80, Aug!I80, Sep!I80)</f>
        <v>36027.560000000056</v>
      </c>
      <c r="J80" s="15">
        <f t="shared" si="4"/>
        <v>3.6070395759187836E-2</v>
      </c>
    </row>
    <row r="81" spans="1:10" ht="15.75">
      <c r="A81" s="24" t="str">
        <v>Glen Mary 2</v>
      </c>
      <c r="B81" s="25" t="str">
        <v>NY</v>
      </c>
      <c r="C81" s="25" t="str">
        <f>Sites[[#This Row],[SOL'#]]</f>
        <v>SOL-10994</v>
      </c>
      <c r="D81" s="20">
        <f>SUM(Jul!D81, Aug!D81, Sep!D81)</f>
        <v>461130</v>
      </c>
      <c r="E81" s="10">
        <f>SUM(Jul!E81, Aug!E81, Sep!E81)</f>
        <v>216810</v>
      </c>
      <c r="F81" s="10">
        <f>IF(AND(ISNUMBER(D81),ISNUMBER(E81)), D81-E81, "")</f>
        <v>244320</v>
      </c>
      <c r="G81" s="11">
        <f t="shared" si="3"/>
        <v>1.126885291268853</v>
      </c>
      <c r="H81" s="12">
        <f>SUM(Jul!H81,Aug!H81,Sep!H81)</f>
        <v>425618.76</v>
      </c>
      <c r="I81" s="12">
        <f>SUM(Jul!I81, Aug!I81, Sep!I81)</f>
        <v>35511.239999999991</v>
      </c>
      <c r="J81" s="13">
        <f t="shared" si="4"/>
        <v>8.3434386209855951E-2</v>
      </c>
    </row>
    <row r="82" spans="1:10" ht="15.75">
      <c r="A82" s="26" t="str">
        <v>Telegraph 1</v>
      </c>
      <c r="B82" s="27" t="str">
        <v>NY</v>
      </c>
      <c r="C82" s="27" t="str">
        <f>Sites[[#This Row],[SOL'#]]</f>
        <v>SOL-11003</v>
      </c>
      <c r="D82" s="9">
        <f>SUM(Jul!D82, Aug!D82, Sep!D82)</f>
        <v>758150</v>
      </c>
      <c r="E82" s="14">
        <f>SUM(Jul!E82, Aug!E82, Sep!E82)</f>
        <v>0</v>
      </c>
      <c r="F82" s="14">
        <f>IF(AND(ISNUMBER(D82),ISNUMBER(E82)), D82-E82, "")</f>
        <v>758150</v>
      </c>
      <c r="G82" s="15" t="str">
        <f t="shared" si="3"/>
        <v/>
      </c>
      <c r="H82" s="16">
        <f>SUM(Jul!H82,Aug!H82,Sep!H82)</f>
        <v>748051.86</v>
      </c>
      <c r="I82" s="16">
        <f>SUM(Jul!I82, Aug!I82, Sep!I82)</f>
        <v>10098.140000000014</v>
      </c>
      <c r="J82" s="15">
        <f t="shared" si="4"/>
        <v>1.3499251241752162E-2</v>
      </c>
    </row>
    <row r="83" spans="1:10" ht="15.75">
      <c r="A83" s="24" t="str">
        <v>Telegraph 2</v>
      </c>
      <c r="B83" s="25" t="str">
        <v>NY</v>
      </c>
      <c r="C83" s="25" t="str">
        <f>Sites[[#This Row],[SOL'#]]</f>
        <v>SOL-11004</v>
      </c>
      <c r="D83" s="20">
        <f>SUM(Jul!D83, Aug!D83, Sep!D83)</f>
        <v>399640</v>
      </c>
      <c r="E83" s="10">
        <f>SUM(Jul!E83, Aug!E83, Sep!E83)</f>
        <v>0</v>
      </c>
      <c r="F83" s="10">
        <f>IF(AND(ISNUMBER(D83),ISNUMBER(E83)), D83-E83, "")</f>
        <v>399640</v>
      </c>
      <c r="G83" s="11" t="str">
        <f t="shared" si="3"/>
        <v/>
      </c>
      <c r="H83" s="12">
        <f>SUM(Jul!H83,Aug!H83,Sep!H83)</f>
        <v>390141.68</v>
      </c>
      <c r="I83" s="12">
        <f>SUM(Jul!I83, Aug!I83, Sep!I83)</f>
        <v>9498.320000000007</v>
      </c>
      <c r="J83" s="13">
        <f t="shared" si="4"/>
        <v>2.4345822266413596E-2</v>
      </c>
    </row>
    <row r="84" spans="1:10" ht="15.75">
      <c r="A84" s="26" t="str">
        <v>Cafferty Hill</v>
      </c>
      <c r="B84" s="27" t="str">
        <v>NY</v>
      </c>
      <c r="C84" s="27" t="str">
        <f>Sites[[#This Row],[SOL'#]]</f>
        <v>SOL-10996</v>
      </c>
      <c r="D84" s="9">
        <f>SUM(Jul!D84, Aug!D84, Sep!D84)</f>
        <v>1070170</v>
      </c>
      <c r="E84" s="14">
        <f>SUM(Jul!E84, Aug!E84, Sep!E84)</f>
        <v>1096662.81</v>
      </c>
      <c r="F84" s="14">
        <f>IF(AND(ISNUMBER(D84),ISNUMBER(E84)), D84-E84, "")</f>
        <v>-26492.810000000056</v>
      </c>
      <c r="G84" s="15">
        <f t="shared" si="3"/>
        <v>-2.4157662463268954E-2</v>
      </c>
      <c r="H84" s="16">
        <f>SUM(Jul!H84,Aug!H84,Sep!H84)</f>
        <v>1010963.44</v>
      </c>
      <c r="I84" s="16">
        <f>SUM(Jul!I84, Aug!I84, Sep!I84)</f>
        <v>59206.560000000056</v>
      </c>
      <c r="J84" s="15">
        <f t="shared" si="4"/>
        <v>5.8564491709017744E-2</v>
      </c>
    </row>
    <row r="85" spans="1:10" ht="15.75">
      <c r="A85" s="24" t="str">
        <v>Dunkleman</v>
      </c>
      <c r="B85" s="25" t="str">
        <v>NY</v>
      </c>
      <c r="C85" s="25" t="str">
        <f>Sites[[#This Row],[SOL'#]]</f>
        <v>SOL-11008</v>
      </c>
      <c r="D85" s="20">
        <f>SUM(Jul!D85, Aug!D85, Sep!D85)</f>
        <v>1328630</v>
      </c>
      <c r="E85" s="10">
        <f>SUM(Jul!E85, Aug!E85, Sep!E85)</f>
        <v>1325930</v>
      </c>
      <c r="F85" s="10">
        <f>IF(AND(ISNUMBER(D85),ISNUMBER(E85)), D85-E85, "")</f>
        <v>2700</v>
      </c>
      <c r="G85" s="11">
        <f t="shared" si="3"/>
        <v>2.0363065923540459E-3</v>
      </c>
      <c r="H85" s="12">
        <f>SUM(Jul!H85,Aug!H85,Sep!H85)</f>
        <v>1303096.45</v>
      </c>
      <c r="I85" s="12">
        <f>SUM(Jul!I85, Aug!I85, Sep!I85)</f>
        <v>25533.550000000047</v>
      </c>
      <c r="J85" s="13">
        <f t="shared" si="4"/>
        <v>1.959452042095583E-2</v>
      </c>
    </row>
    <row r="86" spans="1:10" ht="15.75">
      <c r="A86" s="26" t="str">
        <v>Route 19 1</v>
      </c>
      <c r="B86" s="27" t="str">
        <v>NY</v>
      </c>
      <c r="C86" s="27" t="str">
        <f>Sites[[#This Row],[SOL'#]]</f>
        <v>SOL-11001</v>
      </c>
      <c r="D86" s="9">
        <f>SUM(Jul!D86, Aug!D86, Sep!D86)</f>
        <v>526400</v>
      </c>
      <c r="E86" s="14">
        <f>SUM(Jul!E86, Aug!E86, Sep!E86)</f>
        <v>524990</v>
      </c>
      <c r="F86" s="14">
        <f>IF(AND(ISNUMBER(D86),ISNUMBER(E86)), D86-E86, "")</f>
        <v>1410</v>
      </c>
      <c r="G86" s="15">
        <f t="shared" si="3"/>
        <v>2.6857654431512983E-3</v>
      </c>
      <c r="H86" s="16">
        <f>SUM(Jul!H86,Aug!H86,Sep!H86)</f>
        <v>527552.5</v>
      </c>
      <c r="I86" s="16">
        <f>SUM(Jul!I86, Aug!I86, Sep!I86)</f>
        <v>-1152.5</v>
      </c>
      <c r="J86" s="15">
        <f t="shared" si="4"/>
        <v>-2.1846166969164207E-3</v>
      </c>
    </row>
    <row r="87" spans="1:10" ht="15.75">
      <c r="A87" s="24" t="str">
        <v>Route 19 2</v>
      </c>
      <c r="B87" s="25" t="str">
        <v>NY</v>
      </c>
      <c r="C87" s="25" t="str">
        <f>Sites[[#This Row],[SOL'#]]</f>
        <v>SOL-11002</v>
      </c>
      <c r="D87" s="20">
        <f>SUM(Jul!D87, Aug!D87, Sep!D87)</f>
        <v>1275880</v>
      </c>
      <c r="E87" s="10">
        <f>SUM(Jul!E87, Aug!E87, Sep!E87)</f>
        <v>1272140</v>
      </c>
      <c r="F87" s="10">
        <f>IF(AND(ISNUMBER(D87),ISNUMBER(E87)), D87-E87, "")</f>
        <v>3740</v>
      </c>
      <c r="G87" s="11">
        <f t="shared" si="3"/>
        <v>2.9399279953464239E-3</v>
      </c>
      <c r="H87" s="12">
        <f>SUM(Jul!H87,Aug!H87,Sep!H87)</f>
        <v>1305988.6299999999</v>
      </c>
      <c r="I87" s="12">
        <f>SUM(Jul!I87, Aug!I87, Sep!I87)</f>
        <v>-30108.629999999888</v>
      </c>
      <c r="J87" s="13">
        <f t="shared" si="4"/>
        <v>-2.3054281873801527E-2</v>
      </c>
    </row>
    <row r="88" spans="1:10" ht="15.75">
      <c r="A88" s="26" t="str">
        <v>Yellow Mills 1</v>
      </c>
      <c r="B88" s="27" t="str">
        <v>NY</v>
      </c>
      <c r="C88" s="27" t="str">
        <f>Sites[[#This Row],[SOL'#]]</f>
        <v>SOL-11006</v>
      </c>
      <c r="D88" s="9">
        <f>SUM(Jul!D88, Aug!D88, Sep!D88)</f>
        <v>457718</v>
      </c>
      <c r="E88" s="14">
        <f>SUM(Jul!E88, Aug!E88, Sep!E88)</f>
        <v>455797</v>
      </c>
      <c r="F88" s="14">
        <f>IF(AND(ISNUMBER(D88),ISNUMBER(E88)), D88-E88, "")</f>
        <v>1921</v>
      </c>
      <c r="G88" s="15">
        <f t="shared" si="3"/>
        <v>4.2145955326603731E-3</v>
      </c>
      <c r="H88" s="16">
        <f>SUM(Jul!H88,Aug!H88,Sep!H88)</f>
        <v>434537.61</v>
      </c>
      <c r="I88" s="16">
        <f>SUM(Jul!I88, Aug!I88, Sep!I88)</f>
        <v>23180.390000000014</v>
      </c>
      <c r="J88" s="15">
        <f t="shared" si="4"/>
        <v>5.3344956723078617E-2</v>
      </c>
    </row>
    <row r="89" spans="1:10" ht="15.75">
      <c r="A89" s="24" t="str">
        <v>Yellow Mills 2</v>
      </c>
      <c r="B89" s="25" t="str">
        <v>NY</v>
      </c>
      <c r="C89" s="25" t="str">
        <f>Sites[[#This Row],[SOL'#]]</f>
        <v>SOL-11005</v>
      </c>
      <c r="D89" s="20">
        <f>SUM(Jul!D89, Aug!D89, Sep!D89)</f>
        <v>452895</v>
      </c>
      <c r="E89" s="10">
        <f>SUM(Jul!E89, Aug!E89, Sep!E89)</f>
        <v>0</v>
      </c>
      <c r="F89" s="10">
        <f>IF(AND(ISNUMBER(D89),ISNUMBER(E89)), D89-E89, "")</f>
        <v>452895</v>
      </c>
      <c r="G89" s="11" t="str">
        <f t="shared" si="3"/>
        <v/>
      </c>
      <c r="H89" s="12">
        <f>SUM(Jul!H89,Aug!H89,Sep!H89)</f>
        <v>450519.38</v>
      </c>
      <c r="I89" s="12">
        <f>SUM(Jul!I89, Aug!I89, Sep!I89)</f>
        <v>2375.6199999999953</v>
      </c>
      <c r="J89" s="13">
        <f t="shared" si="4"/>
        <v>5.2730694959226736E-3</v>
      </c>
    </row>
    <row r="90" spans="1:10" ht="15.75">
      <c r="A90" s="26" t="str">
        <v>Yellow Mills 3</v>
      </c>
      <c r="B90" s="27" t="str">
        <v>NY</v>
      </c>
      <c r="C90" s="27" t="str">
        <f>Sites[[#This Row],[SOL'#]]</f>
        <v>SOL-11007</v>
      </c>
      <c r="D90" s="9">
        <f>SUM(Jul!D90, Aug!D90, Sep!D90)</f>
        <v>431452</v>
      </c>
      <c r="E90" s="14">
        <f>SUM(Jul!E90, Aug!E90, Sep!E90)</f>
        <v>429805</v>
      </c>
      <c r="F90" s="14">
        <f>IF(AND(ISNUMBER(D90),ISNUMBER(E90)), D90-E90, "")</f>
        <v>1647</v>
      </c>
      <c r="G90" s="15">
        <f t="shared" si="3"/>
        <v>3.8319703121182862E-3</v>
      </c>
      <c r="H90" s="16">
        <f>SUM(Jul!H90,Aug!H90,Sep!H90)</f>
        <v>428647.82</v>
      </c>
      <c r="I90" s="16">
        <f>SUM(Jul!I90, Aug!I90, Sep!I90)</f>
        <v>2804.179999999993</v>
      </c>
      <c r="J90" s="15">
        <f t="shared" si="4"/>
        <v>6.5419205911276838E-3</v>
      </c>
    </row>
    <row r="91" spans="1:10" ht="15.75">
      <c r="A91" s="24" t="str">
        <v>Catskill</v>
      </c>
      <c r="B91" s="25" t="str">
        <v>NY</v>
      </c>
      <c r="C91" s="25" t="str">
        <f>Sites[[#This Row],[SOL'#]]</f>
        <v>SOL-11021</v>
      </c>
      <c r="D91" s="20">
        <f>SUM(Jul!D91, Aug!D91, Sep!D91)</f>
        <v>359700</v>
      </c>
      <c r="E91" s="10">
        <f>SUM(Jul!E91, Aug!E91, Sep!E91)</f>
        <v>358236</v>
      </c>
      <c r="F91" s="10">
        <f>IF(AND(ISNUMBER(D91),ISNUMBER(E91)), D91-E91, "")</f>
        <v>1464</v>
      </c>
      <c r="G91" s="11">
        <f t="shared" si="3"/>
        <v>4.0866914547951633E-3</v>
      </c>
      <c r="H91" s="12">
        <f>SUM(Jul!H91,Aug!H91,Sep!H91)</f>
        <v>783825.25</v>
      </c>
      <c r="I91" s="12">
        <f>SUM(Jul!I91, Aug!I91, Sep!I91)</f>
        <v>-424125.25</v>
      </c>
      <c r="J91" s="13">
        <f t="shared" si="4"/>
        <v>-0.5410966921517264</v>
      </c>
    </row>
    <row r="92" spans="1:10" ht="15.75">
      <c r="A92" s="26" t="str">
        <v>Eddy Ridge</v>
      </c>
      <c r="B92" s="27" t="str">
        <v>NY</v>
      </c>
      <c r="C92" s="27" t="str">
        <f>Sites[[#This Row],[SOL'#]]</f>
        <v>SOL-11054</v>
      </c>
      <c r="D92" s="9">
        <f>SUM(Jul!D92, Aug!D92, Sep!D92)</f>
        <v>648019</v>
      </c>
      <c r="E92" s="14">
        <f>SUM(Jul!E92, Aug!E92, Sep!E92)</f>
        <v>646353</v>
      </c>
      <c r="F92" s="14">
        <f>IF(AND(ISNUMBER(D92),ISNUMBER(E92)), D92-E92, "")</f>
        <v>1666</v>
      </c>
      <c r="G92" s="15">
        <f t="shared" si="3"/>
        <v>2.5775388990226704E-3</v>
      </c>
      <c r="H92" s="16">
        <f>SUM(Jul!H92,Aug!H92,Sep!H92)</f>
        <v>648740</v>
      </c>
      <c r="I92" s="16">
        <f>SUM(Jul!I92, Aug!I92, Sep!I92)</f>
        <v>-721</v>
      </c>
      <c r="J92" s="15">
        <f t="shared" si="4"/>
        <v>-1.1113851465918551E-3</v>
      </c>
    </row>
    <row r="93" spans="1:10" ht="15.75">
      <c r="A93" s="24" t="str">
        <v>Ridgeway #1</v>
      </c>
      <c r="B93" s="25" t="str">
        <v>NY</v>
      </c>
      <c r="C93" s="25" t="str">
        <f>Sites[[#This Row],[SOL'#]]</f>
        <v>SOL-11018</v>
      </c>
      <c r="D93" s="20">
        <f>SUM(Jul!D93, Aug!D93, Sep!D93)</f>
        <v>1451284</v>
      </c>
      <c r="E93" s="10">
        <f>SUM(Jul!E93, Aug!E93, Sep!E93)</f>
        <v>1447271</v>
      </c>
      <c r="F93" s="10">
        <f>IF(AND(ISNUMBER(D93),ISNUMBER(E93)), D93-E93, "")</f>
        <v>4013</v>
      </c>
      <c r="G93" s="11">
        <f t="shared" si="3"/>
        <v>2.7728048167896683E-3</v>
      </c>
      <c r="H93" s="12">
        <f>SUM(Jul!H93,Aug!H93,Sep!H93)</f>
        <v>1342085.1499999999</v>
      </c>
      <c r="I93" s="12">
        <f>SUM(Jul!I93, Aug!I93, Sep!I93)</f>
        <v>109198.85000000009</v>
      </c>
      <c r="J93" s="13">
        <f t="shared" si="4"/>
        <v>8.1365068378858152E-2</v>
      </c>
    </row>
    <row r="94" spans="1:10" ht="15.75">
      <c r="A94" s="26" t="str">
        <v>Rivard 1</v>
      </c>
      <c r="B94" s="27" t="str">
        <v>NY</v>
      </c>
      <c r="C94" s="27" t="str">
        <f>Sites[[#This Row],[SOL'#]]</f>
        <v>SOL-11011</v>
      </c>
      <c r="D94" s="9">
        <f>SUM(Jul!D94, Aug!D94, Sep!D94)</f>
        <v>1028409.2892654</v>
      </c>
      <c r="E94" s="14">
        <f>SUM(Jul!E94, Aug!E94, Sep!E94)</f>
        <v>1098061</v>
      </c>
      <c r="F94" s="14">
        <f>IF(AND(ISNUMBER(D94),ISNUMBER(E94)), D94-E94, "")</f>
        <v>-69651.710734599968</v>
      </c>
      <c r="G94" s="15">
        <f t="shared" si="3"/>
        <v>-6.3431549553804353E-2</v>
      </c>
      <c r="H94" s="16">
        <f>SUM(Jul!H94,Aug!H94,Sep!H94)</f>
        <v>1115777</v>
      </c>
      <c r="I94" s="16">
        <f>SUM(Jul!I94, Aug!I94, Sep!I94)</f>
        <v>-87367.710734599968</v>
      </c>
      <c r="J94" s="15">
        <f t="shared" si="4"/>
        <v>-7.8302125545337442E-2</v>
      </c>
    </row>
    <row r="95" spans="1:10" ht="15.75">
      <c r="A95" s="24" t="str">
        <v>Rivard 2</v>
      </c>
      <c r="B95" s="25" t="str">
        <v>NY</v>
      </c>
      <c r="C95" s="25" t="str">
        <f>Sites[[#This Row],[SOL'#]]</f>
        <v>SOL-11012</v>
      </c>
      <c r="D95" s="20">
        <f>SUM(Jul!D95, Aug!D95, Sep!D95)</f>
        <v>1175701.7910447801</v>
      </c>
      <c r="E95" s="10">
        <f>SUM(Jul!E95, Aug!E95, Sep!E95)</f>
        <v>1148796</v>
      </c>
      <c r="F95" s="10">
        <f>IF(AND(ISNUMBER(D95),ISNUMBER(E95)), D95-E95, "")</f>
        <v>26905.791044780053</v>
      </c>
      <c r="G95" s="11">
        <f t="shared" si="3"/>
        <v>2.3420860661753744E-2</v>
      </c>
      <c r="H95" s="12">
        <f>SUM(Jul!H95,Aug!H95,Sep!H95)</f>
        <v>1076280</v>
      </c>
      <c r="I95" s="12">
        <f>SUM(Jul!I95, Aug!I95, Sep!I95)</f>
        <v>99421.791044780053</v>
      </c>
      <c r="J95" s="13">
        <f t="shared" si="4"/>
        <v>9.2375395849388683E-2</v>
      </c>
    </row>
    <row r="96" spans="1:10" ht="15.75">
      <c r="A96" s="26" t="str">
        <v>Ridgeway #2</v>
      </c>
      <c r="B96" s="27" t="str">
        <v>NY</v>
      </c>
      <c r="C96" s="27" t="str">
        <f>Sites[[#This Row],[SOL'#]]</f>
        <v>SOL-11027</v>
      </c>
      <c r="D96" s="9">
        <f>SUM(Jul!D96, Aug!D96, Sep!D96)</f>
        <v>0</v>
      </c>
      <c r="E96" s="14">
        <f>SUM(Jul!E96, Aug!E96, Sep!E96)</f>
        <v>0</v>
      </c>
      <c r="F96" s="14">
        <f>IF(AND(ISNUMBER(D96),ISNUMBER(E96)), D96-E96, "")</f>
        <v>0</v>
      </c>
      <c r="G96" s="15" t="str">
        <f t="shared" ref="G96:G97" si="5">IFERROR(F96/E96, "")</f>
        <v/>
      </c>
      <c r="H96" s="16">
        <f>SUM(Jul!H96,Aug!H96,Sep!H96)</f>
        <v>0</v>
      </c>
      <c r="I96" s="16">
        <f>SUM(Jul!I96, Aug!I96, Sep!I96)</f>
        <v>0</v>
      </c>
      <c r="J96" s="15" t="str">
        <f t="shared" ref="J96:J97" si="6">IFERROR(I96/H96, "")</f>
        <v/>
      </c>
    </row>
    <row r="97" spans="1:10" ht="15.75">
      <c r="A97" s="24" t="str">
        <v>Spencer</v>
      </c>
      <c r="B97" s="25" t="str">
        <v>NY</v>
      </c>
      <c r="C97" s="25" t="str">
        <f>Sites[[#This Row],[SOL'#]]</f>
        <v>SOL-11017</v>
      </c>
      <c r="D97" s="20">
        <f>SUM(Jul!D97, Aug!D97, Sep!D97)</f>
        <v>1365998</v>
      </c>
      <c r="E97" s="10">
        <f>SUM(Jul!E97, Aug!E97, Sep!E97)</f>
        <v>1361782</v>
      </c>
      <c r="F97" s="10">
        <f>IF(AND(ISNUMBER(D97),ISNUMBER(E97)), D97-E97, "")</f>
        <v>4216</v>
      </c>
      <c r="G97" s="11">
        <f t="shared" si="5"/>
        <v>3.0959434035697344E-3</v>
      </c>
      <c r="H97" s="12">
        <f>SUM(Jul!H97,Aug!H97,Sep!H97)</f>
        <v>1303450</v>
      </c>
      <c r="I97" s="12">
        <f>SUM(Jul!I97, Aug!I97, Sep!I97)</f>
        <v>62548</v>
      </c>
      <c r="J97" s="13">
        <f t="shared" si="6"/>
        <v>4.7986497372357974E-2</v>
      </c>
    </row>
    <row r="98" spans="1:10" ht="15.75">
      <c r="A98" s="26" t="str">
        <v>Reisender</v>
      </c>
      <c r="B98" s="27" t="str">
        <v>NY</v>
      </c>
      <c r="C98" s="27" t="str">
        <f>Sites[[#This Row],[SOL'#]]</f>
        <v>SOL-10886</v>
      </c>
      <c r="D98" s="9">
        <f>SUM(Jul!D98, Aug!D98, Sep!D98)</f>
        <v>383420</v>
      </c>
      <c r="E98" s="14">
        <f>SUM(Jul!E98, Aug!E98, Sep!E98)</f>
        <v>391343</v>
      </c>
      <c r="F98" s="14">
        <f t="shared" ref="F98:F158" si="7">IF(AND(ISNUMBER(D98),ISNUMBER(E98)), D98-E98, "")</f>
        <v>-7923</v>
      </c>
      <c r="G98" s="15">
        <f t="shared" ref="G98:G158" si="8">IFERROR(F98/E98, "")</f>
        <v>-2.0245666844686119E-2</v>
      </c>
      <c r="H98" s="16">
        <f>SUM(Jul!H98,Aug!H98,Sep!H98)</f>
        <v>415133.27</v>
      </c>
      <c r="I98" s="16">
        <f>SUM(Jul!I98, Aug!I98, Sep!I98)</f>
        <v>-31713.270000000019</v>
      </c>
      <c r="J98" s="15">
        <f t="shared" ref="J98:J158" si="9">IFERROR(I98/H98, "")</f>
        <v>-7.6392985799475954E-2</v>
      </c>
    </row>
    <row r="99" spans="1:10" ht="15.75">
      <c r="A99" s="24" t="str">
        <v>Finney</v>
      </c>
      <c r="B99" s="25" t="str">
        <v>NY</v>
      </c>
      <c r="C99" s="25" t="str">
        <f>Sites[[#This Row],[SOL'#]]</f>
        <v>SOL-10999</v>
      </c>
      <c r="D99" s="20">
        <f>SUM(Jul!D99, Aug!D99, Sep!D99)</f>
        <v>996120</v>
      </c>
      <c r="E99" s="10">
        <f>SUM(Jul!E99, Aug!E99, Sep!E99)</f>
        <v>994390</v>
      </c>
      <c r="F99" s="10">
        <f t="shared" si="7"/>
        <v>1730</v>
      </c>
      <c r="G99" s="11">
        <f t="shared" si="8"/>
        <v>1.7397600539023924E-3</v>
      </c>
      <c r="H99" s="12">
        <f>SUM(Jul!H99,Aug!H99,Sep!H99)</f>
        <v>1313701.1499999999</v>
      </c>
      <c r="I99" s="12">
        <f>SUM(Jul!I99, Aug!I99, Sep!I99)</f>
        <v>-317581.14999999991</v>
      </c>
      <c r="J99" s="13">
        <f t="shared" si="9"/>
        <v>-0.24174535433724781</v>
      </c>
    </row>
    <row r="100" spans="1:10" ht="15.75">
      <c r="A100" s="26" t="str">
        <v>Davis Solar</v>
      </c>
      <c r="B100" s="27" t="str">
        <v>NY</v>
      </c>
      <c r="C100" s="27" t="str">
        <f>Sites[[#This Row],[SOL'#]]</f>
        <v>SOL-10958</v>
      </c>
      <c r="D100" s="9">
        <f>SUM(Jul!D100, Aug!D100, Sep!D100)</f>
        <v>392668</v>
      </c>
      <c r="E100" s="14">
        <f>SUM(Jul!E100, Aug!E100, Sep!E100)</f>
        <v>443281.7</v>
      </c>
      <c r="F100" s="14">
        <f t="shared" si="7"/>
        <v>-50613.700000000012</v>
      </c>
      <c r="G100" s="15">
        <f t="shared" si="8"/>
        <v>-0.11417953865453956</v>
      </c>
      <c r="H100" s="16">
        <f>SUM(Jul!H100,Aug!H100,Sep!H100)</f>
        <v>479574</v>
      </c>
      <c r="I100" s="16">
        <f>SUM(Jul!I100, Aug!I100, Sep!I100)</f>
        <v>-86906</v>
      </c>
      <c r="J100" s="15">
        <f t="shared" si="9"/>
        <v>-0.18121499497470672</v>
      </c>
    </row>
    <row r="101" spans="1:10" ht="15.75">
      <c r="A101" s="24" t="str">
        <v>Genesee</v>
      </c>
      <c r="B101" s="25" t="str">
        <v>NY</v>
      </c>
      <c r="C101" s="25" t="str">
        <f>Sites[[#This Row],[SOL'#]]</f>
        <v>SOL-10951</v>
      </c>
      <c r="D101" s="20">
        <f>SUM(Jul!D101, Aug!D101, Sep!D101)</f>
        <v>1001760.5</v>
      </c>
      <c r="E101" s="10">
        <f>SUM(Jul!E101, Aug!E101, Sep!E101)</f>
        <v>1000080.71</v>
      </c>
      <c r="F101" s="10">
        <f t="shared" si="7"/>
        <v>1679.7900000000373</v>
      </c>
      <c r="G101" s="11">
        <f t="shared" si="8"/>
        <v>1.6796544350905812E-3</v>
      </c>
      <c r="H101" s="12">
        <f>SUM(Jul!H101,Aug!H101,Sep!H101)</f>
        <v>1013360.34</v>
      </c>
      <c r="I101" s="12">
        <f>SUM(Jul!I101, Aug!I101, Sep!I101)</f>
        <v>-11599.839999999967</v>
      </c>
      <c r="J101" s="13">
        <f t="shared" si="9"/>
        <v>-1.1446905451223765E-2</v>
      </c>
    </row>
    <row r="102" spans="1:10" ht="15.75">
      <c r="A102" s="26" t="str">
        <v>Landau I</v>
      </c>
      <c r="B102" s="27" t="str">
        <v>NY</v>
      </c>
      <c r="C102" s="27" t="str">
        <f>Sites[[#This Row],[SOL'#]]</f>
        <v>SOL-10891</v>
      </c>
      <c r="D102" s="9">
        <f>SUM(Jul!D102, Aug!D102, Sep!D102)</f>
        <v>429340</v>
      </c>
      <c r="E102" s="14">
        <f>SUM(Jul!E102, Aug!E102, Sep!E102)</f>
        <v>0</v>
      </c>
      <c r="F102" s="14">
        <f t="shared" si="7"/>
        <v>429340</v>
      </c>
      <c r="G102" s="15" t="str">
        <f t="shared" si="8"/>
        <v/>
      </c>
      <c r="H102" s="16">
        <f>SUM(Jul!H102,Aug!H102,Sep!H102)</f>
        <v>448929.38</v>
      </c>
      <c r="I102" s="16">
        <f>SUM(Jul!I102, Aug!I102, Sep!I102)</f>
        <v>-19589.380000000005</v>
      </c>
      <c r="J102" s="15">
        <f t="shared" si="9"/>
        <v>-4.3635771844560509E-2</v>
      </c>
    </row>
    <row r="103" spans="1:10" ht="15.75">
      <c r="A103" s="24" t="str">
        <v>Landau II</v>
      </c>
      <c r="B103" s="25" t="str">
        <v>NY</v>
      </c>
      <c r="C103" s="25" t="str">
        <f>Sites[[#This Row],[SOL'#]]</f>
        <v>SOL-10895</v>
      </c>
      <c r="D103" s="20">
        <f>SUM(Jul!D103, Aug!D103, Sep!D103)</f>
        <v>374100</v>
      </c>
      <c r="E103" s="10">
        <f>SUM(Jul!E103, Aug!E103, Sep!E103)</f>
        <v>0</v>
      </c>
      <c r="F103" s="10">
        <f t="shared" si="7"/>
        <v>374100</v>
      </c>
      <c r="G103" s="11" t="str">
        <f t="shared" si="8"/>
        <v/>
      </c>
      <c r="H103" s="12">
        <f>SUM(Jul!H103,Aug!H103,Sep!H103)</f>
        <v>0</v>
      </c>
      <c r="I103" s="12">
        <f>SUM(Jul!I103, Aug!I103, Sep!I103)</f>
        <v>0</v>
      </c>
      <c r="J103" s="13" t="str">
        <f t="shared" si="9"/>
        <v/>
      </c>
    </row>
    <row r="104" spans="1:10" ht="15.75">
      <c r="A104" s="26" t="str">
        <v>New Beginnings</v>
      </c>
      <c r="B104" s="27" t="str">
        <v>NY</v>
      </c>
      <c r="C104" s="27" t="str">
        <f>Sites[[#This Row],[SOL'#]]</f>
        <v>SOL-10890</v>
      </c>
      <c r="D104" s="9">
        <f>SUM(Jul!D104, Aug!D104, Sep!D104)</f>
        <v>420830</v>
      </c>
      <c r="E104" s="14">
        <f>SUM(Jul!E104, Aug!E104, Sep!E104)</f>
        <v>435980.89</v>
      </c>
      <c r="F104" s="14">
        <f t="shared" si="7"/>
        <v>-15150.890000000014</v>
      </c>
      <c r="G104" s="15">
        <f t="shared" si="8"/>
        <v>-3.4751270864188596E-2</v>
      </c>
      <c r="H104" s="16">
        <f>SUM(Jul!H104,Aug!H104,Sep!H104)</f>
        <v>430014.12</v>
      </c>
      <c r="I104" s="16">
        <f>SUM(Jul!I104, Aug!I104, Sep!I104)</f>
        <v>-9184.1199999999953</v>
      </c>
      <c r="J104" s="15">
        <f t="shared" si="9"/>
        <v>-2.1357717276818712E-2</v>
      </c>
    </row>
    <row r="105" spans="1:10" ht="15.75">
      <c r="A105" s="24" t="str">
        <v>Bullitt Farm Solar, LLC</v>
      </c>
      <c r="B105" s="25" t="str">
        <v>NY</v>
      </c>
      <c r="C105" s="25" t="str">
        <f>Sites[[#This Row],[SOL'#]]</f>
        <v>SOL-10998</v>
      </c>
      <c r="D105" s="20">
        <f>SUM(Jul!D105, Aug!D105, Sep!D105)</f>
        <v>1262399</v>
      </c>
      <c r="E105" s="10">
        <f>SUM(Jul!E105, Aug!E105, Sep!E105)</f>
        <v>1316479</v>
      </c>
      <c r="F105" s="10">
        <f t="shared" si="7"/>
        <v>-54080</v>
      </c>
      <c r="G105" s="11">
        <f t="shared" si="8"/>
        <v>-4.107927281787252E-2</v>
      </c>
      <c r="H105" s="12">
        <f>SUM(Jul!H105,Aug!H105,Sep!H105)</f>
        <v>1265415</v>
      </c>
      <c r="I105" s="12">
        <f>SUM(Jul!I105, Aug!I105, Sep!I105)</f>
        <v>-3016</v>
      </c>
      <c r="J105" s="13">
        <f t="shared" si="9"/>
        <v>-2.3834078148275467E-3</v>
      </c>
    </row>
    <row r="106" spans="1:10" ht="15.75">
      <c r="A106" s="26" t="str">
        <v>Brodhead Solar, LLC</v>
      </c>
      <c r="B106" s="27" t="str">
        <v>NY</v>
      </c>
      <c r="C106" s="27" t="str">
        <f>Sites[[#This Row],[SOL'#]]</f>
        <v>SOL-10899</v>
      </c>
      <c r="D106" s="9">
        <f>SUM(Jul!D106, Aug!D106, Sep!D106)</f>
        <v>450232</v>
      </c>
      <c r="E106" s="14">
        <f>SUM(Jul!E106, Aug!E106, Sep!E106)</f>
        <v>464945.2</v>
      </c>
      <c r="F106" s="14">
        <f t="shared" si="7"/>
        <v>-14713.200000000012</v>
      </c>
      <c r="G106" s="15">
        <f t="shared" si="8"/>
        <v>-3.1645019671135463E-2</v>
      </c>
      <c r="H106" s="16">
        <f>SUM(Jul!H106,Aug!H106,Sep!H106)</f>
        <v>543814.19999999995</v>
      </c>
      <c r="I106" s="16">
        <f>SUM(Jul!I106, Aug!I106, Sep!I106)</f>
        <v>-93582.199999999953</v>
      </c>
      <c r="J106" s="15">
        <f t="shared" si="9"/>
        <v>-0.17208487751882898</v>
      </c>
    </row>
    <row r="107" spans="1:10" ht="15.75">
      <c r="A107" s="24" t="str">
        <v>Svenski</v>
      </c>
      <c r="B107" s="25" t="str">
        <v>NY</v>
      </c>
      <c r="C107" s="25" t="str">
        <f>Sites[[#This Row],[SOL'#]]</f>
        <v>SOL-10894</v>
      </c>
      <c r="D107" s="20">
        <f>SUM(Jul!D107, Aug!D107, Sep!D107)</f>
        <v>406997</v>
      </c>
      <c r="E107" s="10">
        <f>SUM(Jul!E107, Aug!E107, Sep!E107)</f>
        <v>0</v>
      </c>
      <c r="F107" s="10">
        <f t="shared" si="7"/>
        <v>406997</v>
      </c>
      <c r="G107" s="11" t="str">
        <f t="shared" si="8"/>
        <v/>
      </c>
      <c r="H107" s="12">
        <f>SUM(Jul!H107,Aug!H107,Sep!H107)</f>
        <v>455483.42</v>
      </c>
      <c r="I107" s="12">
        <f>SUM(Jul!I107, Aug!I107, Sep!I107)</f>
        <v>-48486.419999999984</v>
      </c>
      <c r="J107" s="13">
        <f t="shared" si="9"/>
        <v>-0.10645046091908238</v>
      </c>
    </row>
    <row r="108" spans="1:10" ht="15.75">
      <c r="A108" s="26" t="str">
        <v>Bantam</v>
      </c>
      <c r="B108" s="27" t="str">
        <v>NY</v>
      </c>
      <c r="C108" s="27" t="str">
        <f>Sites[[#This Row],[SOL'#]]</f>
        <v>SOL-10986</v>
      </c>
      <c r="D108" s="9">
        <f>SUM(Jul!D108, Aug!D108, Sep!D108)</f>
        <v>109500</v>
      </c>
      <c r="E108" s="14">
        <f>SUM(Jul!E108, Aug!E108, Sep!E108)</f>
        <v>418980</v>
      </c>
      <c r="F108" s="14">
        <f t="shared" si="7"/>
        <v>-309480</v>
      </c>
      <c r="G108" s="15">
        <f t="shared" si="8"/>
        <v>-0.73865100959473007</v>
      </c>
      <c r="H108" s="16">
        <f>SUM(Jul!H108,Aug!H108,Sep!H108)</f>
        <v>1295680.06</v>
      </c>
      <c r="I108" s="16">
        <f>SUM(Jul!I108, Aug!I108, Sep!I108)</f>
        <v>-1186180.06</v>
      </c>
      <c r="J108" s="15">
        <f t="shared" si="9"/>
        <v>-0.91548839610914445</v>
      </c>
    </row>
    <row r="109" spans="1:10" ht="15.75">
      <c r="A109" s="24" t="str">
        <v>Bogart</v>
      </c>
      <c r="B109" s="25" t="str">
        <v>NY</v>
      </c>
      <c r="C109" s="25" t="str">
        <f>Sites[[#This Row],[SOL'#]]</f>
        <v>SOL-10887</v>
      </c>
      <c r="D109" s="20">
        <f>SUM(Jul!D109, Aug!D109, Sep!D109)</f>
        <v>0</v>
      </c>
      <c r="E109" s="10">
        <f>SUM(Jul!E109, Aug!E109, Sep!E109)</f>
        <v>398556.15999999997</v>
      </c>
      <c r="F109" s="10">
        <f t="shared" si="7"/>
        <v>-398556.15999999997</v>
      </c>
      <c r="G109" s="11">
        <f t="shared" si="8"/>
        <v>-1</v>
      </c>
      <c r="H109" s="12">
        <f>SUM(Jul!H109,Aug!H109,Sep!H109)</f>
        <v>419353.86</v>
      </c>
      <c r="I109" s="12">
        <f>SUM(Jul!I109, Aug!I109, Sep!I109)</f>
        <v>-419353.86</v>
      </c>
      <c r="J109" s="13">
        <f t="shared" si="9"/>
        <v>-1</v>
      </c>
    </row>
    <row r="110" spans="1:10" ht="15.75">
      <c r="A110" s="26" t="str">
        <v>Dubois</v>
      </c>
      <c r="B110" s="27" t="str">
        <v>NY</v>
      </c>
      <c r="C110" s="27" t="str">
        <f>Sites[[#This Row],[SOL'#]]</f>
        <v>SOL-10892</v>
      </c>
      <c r="D110" s="9">
        <f>SUM(Jul!D110, Aug!D110, Sep!D110)</f>
        <v>386460</v>
      </c>
      <c r="E110" s="14">
        <f>SUM(Jul!E110, Aug!E110, Sep!E110)</f>
        <v>386385.12</v>
      </c>
      <c r="F110" s="14">
        <f t="shared" si="7"/>
        <v>74.880000000004657</v>
      </c>
      <c r="G110" s="15">
        <f t="shared" si="8"/>
        <v>1.9379628283823315E-4</v>
      </c>
      <c r="H110" s="16">
        <f>SUM(Jul!H110,Aug!H110,Sep!H110)</f>
        <v>0</v>
      </c>
      <c r="I110" s="16">
        <f>SUM(Jul!I110, Aug!I110, Sep!I110)</f>
        <v>0</v>
      </c>
      <c r="J110" s="15" t="str">
        <f t="shared" si="9"/>
        <v/>
      </c>
    </row>
    <row r="111" spans="1:10" ht="15.75">
      <c r="A111" s="24" t="str">
        <v>Salt Point</v>
      </c>
      <c r="B111" s="25" t="str">
        <v>NY</v>
      </c>
      <c r="C111" s="25" t="str">
        <f>Sites[[#This Row],[SOL'#]]</f>
        <v>SOL-10888</v>
      </c>
      <c r="D111" s="20">
        <f>SUM(Jul!D111, Aug!D111, Sep!D111)</f>
        <v>416220</v>
      </c>
      <c r="E111" s="10">
        <f>SUM(Jul!E111, Aug!E111, Sep!E111)</f>
        <v>416220</v>
      </c>
      <c r="F111" s="10">
        <f t="shared" si="7"/>
        <v>0</v>
      </c>
      <c r="G111" s="11">
        <f t="shared" si="8"/>
        <v>0</v>
      </c>
      <c r="H111" s="12">
        <f>SUM(Jul!H111,Aug!H111,Sep!H111)</f>
        <v>514904.5</v>
      </c>
      <c r="I111" s="12">
        <f>SUM(Jul!I111, Aug!I111, Sep!I111)</f>
        <v>-98684.5</v>
      </c>
      <c r="J111" s="13">
        <f t="shared" si="9"/>
        <v>-0.19165592842944662</v>
      </c>
    </row>
    <row r="112" spans="1:10" ht="15.75">
      <c r="A112" s="26" t="str">
        <v>Wheatland 2A</v>
      </c>
      <c r="B112" s="27" t="str">
        <v>NY</v>
      </c>
      <c r="C112" s="27" t="str">
        <f>Sites[[#This Row],[SOL'#]]</f>
        <v>SOL-10971</v>
      </c>
      <c r="D112" s="9">
        <f>SUM(Jul!D112, Aug!D112, Sep!D112)</f>
        <v>1082680</v>
      </c>
      <c r="E112" s="14">
        <f>SUM(Jul!E112, Aug!E112, Sep!E112)</f>
        <v>1080840</v>
      </c>
      <c r="F112" s="14">
        <f t="shared" si="7"/>
        <v>1840</v>
      </c>
      <c r="G112" s="15">
        <f t="shared" si="8"/>
        <v>1.7023796306576367E-3</v>
      </c>
      <c r="H112" s="16">
        <f>SUM(Jul!H112,Aug!H112,Sep!H112)</f>
        <v>1177354.56</v>
      </c>
      <c r="I112" s="16">
        <f>SUM(Jul!I112, Aug!I112, Sep!I112)</f>
        <v>-94674.560000000056</v>
      </c>
      <c r="J112" s="15">
        <f t="shared" si="9"/>
        <v>-8.0412955635046801E-2</v>
      </c>
    </row>
    <row r="113" spans="1:10" ht="15.75">
      <c r="A113" s="24" t="str">
        <v>Wheatland 2B</v>
      </c>
      <c r="B113" s="25" t="str">
        <v>NY</v>
      </c>
      <c r="C113" s="25" t="str">
        <f>Sites[[#This Row],[SOL'#]]</f>
        <v>SOL-10961</v>
      </c>
      <c r="D113" s="20">
        <f>SUM(Jul!D113, Aug!D113, Sep!D113)</f>
        <v>1133400</v>
      </c>
      <c r="E113" s="10">
        <f>SUM(Jul!E113, Aug!E113, Sep!E113)</f>
        <v>1131560</v>
      </c>
      <c r="F113" s="10">
        <f t="shared" si="7"/>
        <v>1840</v>
      </c>
      <c r="G113" s="11">
        <f t="shared" si="8"/>
        <v>1.6260737389091166E-3</v>
      </c>
      <c r="H113" s="12">
        <f>SUM(Jul!H113,Aug!H113,Sep!H113)</f>
        <v>1168051.71</v>
      </c>
      <c r="I113" s="12">
        <f>SUM(Jul!I113, Aug!I113, Sep!I113)</f>
        <v>-34651.709999999963</v>
      </c>
      <c r="J113" s="13">
        <f t="shared" si="9"/>
        <v>-2.9666246539718659E-2</v>
      </c>
    </row>
    <row r="114" spans="1:10" ht="15.75">
      <c r="A114" s="26" t="str">
        <v>Brickchurch</v>
      </c>
      <c r="B114" s="27" t="str">
        <v>NY</v>
      </c>
      <c r="C114" s="27" t="str">
        <f>Sites[[#This Row],[SOL'#]]</f>
        <v>SOL-10889</v>
      </c>
      <c r="D114" s="9">
        <f>SUM(Jul!D114, Aug!D114, Sep!D114)</f>
        <v>0</v>
      </c>
      <c r="E114" s="14">
        <f>SUM(Jul!E114, Aug!E114, Sep!E114)</f>
        <v>519962.55</v>
      </c>
      <c r="F114" s="14">
        <f t="shared" si="7"/>
        <v>-519962.55</v>
      </c>
      <c r="G114" s="15">
        <f t="shared" si="8"/>
        <v>-1</v>
      </c>
      <c r="H114" s="16">
        <f>SUM(Jul!H114,Aug!H114,Sep!H114)</f>
        <v>532046.63</v>
      </c>
      <c r="I114" s="16">
        <f>SUM(Jul!I114, Aug!I114, Sep!I114)</f>
        <v>-532046.63</v>
      </c>
      <c r="J114" s="15">
        <f t="shared" si="9"/>
        <v>-1</v>
      </c>
    </row>
    <row r="115" spans="1:10" ht="15.75">
      <c r="A115" s="24" t="str">
        <v>McCarthy Solar</v>
      </c>
      <c r="B115" s="25" t="str">
        <v>NY</v>
      </c>
      <c r="C115" s="25" t="str">
        <f>Sites[[#This Row],[SOL'#]]</f>
        <v>SOL-10992</v>
      </c>
      <c r="D115" s="20">
        <f>SUM(Jul!D115, Aug!D115, Sep!D115)</f>
        <v>211620</v>
      </c>
      <c r="E115" s="10">
        <f>SUM(Jul!E115, Aug!E115, Sep!E115)</f>
        <v>0</v>
      </c>
      <c r="F115" s="10">
        <f t="shared" si="7"/>
        <v>211620</v>
      </c>
      <c r="G115" s="11" t="str">
        <f t="shared" si="8"/>
        <v/>
      </c>
      <c r="H115" s="12">
        <f>SUM(Jul!H115,Aug!H115,Sep!H115)</f>
        <v>448453.17</v>
      </c>
      <c r="I115" s="12">
        <f>SUM(Jul!I115, Aug!I115, Sep!I115)</f>
        <v>-236833.16999999998</v>
      </c>
      <c r="J115" s="13">
        <f t="shared" si="9"/>
        <v>-0.52811126298873079</v>
      </c>
    </row>
    <row r="116" spans="1:10" ht="15.75">
      <c r="A116" s="26" t="str">
        <v>Costanza</v>
      </c>
      <c r="B116" s="27" t="str">
        <v>NY</v>
      </c>
      <c r="C116" s="27" t="str">
        <f>Sites[[#This Row],[SOL'#]]</f>
        <v>SOL-10907</v>
      </c>
      <c r="D116" s="9">
        <f>SUM(Jul!D116, Aug!D116, Sep!D116)</f>
        <v>404580</v>
      </c>
      <c r="E116" s="14">
        <f>SUM(Jul!E116, Aug!E116, Sep!E116)</f>
        <v>404631.91</v>
      </c>
      <c r="F116" s="14">
        <f t="shared" si="7"/>
        <v>-51.909999999974389</v>
      </c>
      <c r="G116" s="15">
        <f t="shared" si="8"/>
        <v>-1.2828943718248617E-4</v>
      </c>
      <c r="H116" s="16">
        <f>SUM(Jul!H116,Aug!H116,Sep!H116)</f>
        <v>449076.09</v>
      </c>
      <c r="I116" s="16">
        <f>SUM(Jul!I116, Aug!I116, Sep!I116)</f>
        <v>-44496.090000000026</v>
      </c>
      <c r="J116" s="15">
        <f t="shared" si="9"/>
        <v>-9.9083631907456976E-2</v>
      </c>
    </row>
    <row r="117" spans="1:10" ht="15.75">
      <c r="A117" s="24" t="str">
        <v>Lockenhurst Pond</v>
      </c>
      <c r="B117" s="25" t="str">
        <v>NY</v>
      </c>
      <c r="C117" s="25" t="str">
        <f>Sites[[#This Row],[SOL'#]]</f>
        <v>SOL-11000</v>
      </c>
      <c r="D117" s="20">
        <f>SUM(Jul!D117, Aug!D117, Sep!D117)</f>
        <v>484585</v>
      </c>
      <c r="E117" s="10">
        <f>SUM(Jul!E117, Aug!E117, Sep!E117)</f>
        <v>522005.2</v>
      </c>
      <c r="F117" s="10">
        <f t="shared" si="7"/>
        <v>-37420.200000000012</v>
      </c>
      <c r="G117" s="11">
        <f t="shared" si="8"/>
        <v>-7.1685492788194471E-2</v>
      </c>
      <c r="H117" s="12">
        <f>SUM(Jul!H117,Aug!H117,Sep!H117)</f>
        <v>531355</v>
      </c>
      <c r="I117" s="12">
        <f>SUM(Jul!I117, Aug!I117, Sep!I117)</f>
        <v>-46770</v>
      </c>
      <c r="J117" s="13">
        <f t="shared" si="9"/>
        <v>-8.8020250115271328E-2</v>
      </c>
    </row>
    <row r="118" spans="1:10" ht="15.75">
      <c r="A118" s="26" t="str">
        <v>Drinkwater</v>
      </c>
      <c r="B118" s="27" t="str">
        <v>NY</v>
      </c>
      <c r="C118" s="27" t="str">
        <f>Sites[[#This Row],[SOL'#]]</f>
        <v>SOL-10896</v>
      </c>
      <c r="D118" s="9">
        <f>SUM(Jul!D118, Aug!D118, Sep!D118)</f>
        <v>466130</v>
      </c>
      <c r="E118" s="14">
        <f>SUM(Jul!E118, Aug!E118, Sep!E118)</f>
        <v>454000</v>
      </c>
      <c r="F118" s="14">
        <f t="shared" si="7"/>
        <v>12130</v>
      </c>
      <c r="G118" s="15">
        <f t="shared" si="8"/>
        <v>2.6718061674008812E-2</v>
      </c>
      <c r="H118" s="16">
        <f>SUM(Jul!H118,Aug!H118,Sep!H118)</f>
        <v>460623.61</v>
      </c>
      <c r="I118" s="16">
        <f>SUM(Jul!I118, Aug!I118, Sep!I118)</f>
        <v>5506.390000000014</v>
      </c>
      <c r="J118" s="15">
        <f t="shared" si="9"/>
        <v>1.1954207036847317E-2</v>
      </c>
    </row>
    <row r="119" spans="1:10" ht="15.75">
      <c r="A119" s="24" t="str">
        <v>Altamont</v>
      </c>
      <c r="B119" s="25" t="str">
        <v>NY</v>
      </c>
      <c r="C119" s="25" t="str">
        <f>Sites[[#This Row],[SOL'#]]</f>
        <v>SOL-11085</v>
      </c>
      <c r="D119" s="20">
        <f>SUM(Jul!D119, Aug!D119, Sep!D119)</f>
        <v>877117</v>
      </c>
      <c r="E119" s="10">
        <f>SUM(Jul!E119, Aug!E119, Sep!E119)</f>
        <v>899395.7</v>
      </c>
      <c r="F119" s="10">
        <f t="shared" si="7"/>
        <v>-22278.699999999953</v>
      </c>
      <c r="G119" s="11">
        <f t="shared" si="8"/>
        <v>-2.477074328907727E-2</v>
      </c>
      <c r="H119" s="12">
        <f>SUM(Jul!H119,Aug!H119,Sep!H119)</f>
        <v>754982.6</v>
      </c>
      <c r="I119" s="12">
        <f>SUM(Jul!I119, Aug!I119, Sep!I119)</f>
        <v>122134.40000000002</v>
      </c>
      <c r="J119" s="13">
        <f t="shared" si="9"/>
        <v>0.16177114545421314</v>
      </c>
    </row>
    <row r="120" spans="1:10" ht="15.75">
      <c r="A120" s="26" t="str">
        <v>Krumkill North</v>
      </c>
      <c r="B120" s="27" t="str">
        <v>NY</v>
      </c>
      <c r="C120" s="27" t="str">
        <f>Sites[[#This Row],[SOL'#]]</f>
        <v>SOL-11086</v>
      </c>
      <c r="D120" s="9">
        <f>SUM(Jul!D120, Aug!D120, Sep!D120)</f>
        <v>836577</v>
      </c>
      <c r="E120" s="14">
        <f>SUM(Jul!E120, Aug!E120, Sep!E120)</f>
        <v>922798.5</v>
      </c>
      <c r="F120" s="14">
        <f t="shared" si="7"/>
        <v>-86221.5</v>
      </c>
      <c r="G120" s="15">
        <f t="shared" si="8"/>
        <v>-9.3434807273743939E-2</v>
      </c>
      <c r="H120" s="16">
        <f>SUM(Jul!H120,Aug!H120,Sep!H120)</f>
        <v>844821.9</v>
      </c>
      <c r="I120" s="16">
        <f>SUM(Jul!I120, Aug!I120, Sep!I120)</f>
        <v>-8244.9000000000233</v>
      </c>
      <c r="J120" s="15">
        <f t="shared" si="9"/>
        <v>-9.7593350740552802E-3</v>
      </c>
    </row>
    <row r="121" spans="1:10" ht="15.75">
      <c r="A121" s="24" t="str">
        <v>Krumkill South</v>
      </c>
      <c r="B121" s="25" t="str">
        <v>NY</v>
      </c>
      <c r="C121" s="25" t="str">
        <f>Sites[[#This Row],[SOL'#]]</f>
        <v>SOL-11087</v>
      </c>
      <c r="D121" s="20">
        <f>SUM(Jul!D121, Aug!D121, Sep!D121)</f>
        <v>695464</v>
      </c>
      <c r="E121" s="10">
        <f>SUM(Jul!E121, Aug!E121, Sep!E121)</f>
        <v>735498</v>
      </c>
      <c r="F121" s="10">
        <f t="shared" si="7"/>
        <v>-40034</v>
      </c>
      <c r="G121" s="11">
        <f t="shared" si="8"/>
        <v>-5.4431147331467929E-2</v>
      </c>
      <c r="H121" s="12">
        <f>SUM(Jul!H121,Aug!H121,Sep!H121)</f>
        <v>662314.19999999995</v>
      </c>
      <c r="I121" s="12">
        <f>SUM(Jul!I121, Aug!I121, Sep!I121)</f>
        <v>33149.800000000047</v>
      </c>
      <c r="J121" s="13">
        <f t="shared" si="9"/>
        <v>5.0051471038972215E-2</v>
      </c>
    </row>
    <row r="122" spans="1:10" ht="15.75">
      <c r="A122" s="26" t="str">
        <v>X092</v>
      </c>
      <c r="B122" s="27" t="str">
        <v>NY</v>
      </c>
      <c r="C122" s="27" t="str">
        <f>Sites[[#This Row],[SOL'#]]</f>
        <v>SOL-11189</v>
      </c>
      <c r="D122" s="9">
        <f>SUM(Jul!D122, Aug!D122, Sep!D122)</f>
        <v>21888</v>
      </c>
      <c r="E122" s="14">
        <f>SUM(Jul!E122, Aug!E122, Sep!E122)</f>
        <v>22130.17</v>
      </c>
      <c r="F122" s="14">
        <f t="shared" si="7"/>
        <v>-242.16999999999825</v>
      </c>
      <c r="G122" s="15">
        <f t="shared" si="8"/>
        <v>-1.0942979651760392E-2</v>
      </c>
      <c r="H122" s="16">
        <f>SUM(Jul!H122,Aug!H122,Sep!H122)</f>
        <v>23075</v>
      </c>
      <c r="I122" s="16">
        <f>SUM(Jul!I122, Aug!I122, Sep!I122)</f>
        <v>-1187</v>
      </c>
      <c r="J122" s="15">
        <f t="shared" si="9"/>
        <v>-5.1440953412784401E-2</v>
      </c>
    </row>
    <row r="123" spans="1:10" ht="15.75">
      <c r="A123" s="24" t="str">
        <v>X093</v>
      </c>
      <c r="B123" s="25" t="str">
        <v>NY</v>
      </c>
      <c r="C123" s="25" t="str">
        <f>Sites[[#This Row],[SOL'#]]</f>
        <v>SOL-10932</v>
      </c>
      <c r="D123" s="20">
        <f>SUM(Jul!D123, Aug!D123, Sep!D123)</f>
        <v>11283.919921875</v>
      </c>
      <c r="E123" s="10">
        <f>SUM(Jul!E123, Aug!E123, Sep!E123)</f>
        <v>15307.49</v>
      </c>
      <c r="F123" s="10">
        <f t="shared" si="7"/>
        <v>-4023.5700781249998</v>
      </c>
      <c r="G123" s="11">
        <f t="shared" si="8"/>
        <v>-0.2628497603542449</v>
      </c>
      <c r="H123" s="12">
        <f>SUM(Jul!H123,Aug!H123,Sep!H123)</f>
        <v>16257</v>
      </c>
      <c r="I123" s="12">
        <f>SUM(Jul!I123, Aug!I123, Sep!I123)</f>
        <v>-4973.080078125</v>
      </c>
      <c r="J123" s="13">
        <f t="shared" si="9"/>
        <v>-0.3059039231177339</v>
      </c>
    </row>
    <row r="124" spans="1:10" ht="15.75">
      <c r="A124" s="26" t="str">
        <v>X095</v>
      </c>
      <c r="B124" s="27" t="str">
        <v>NY</v>
      </c>
      <c r="C124" s="27" t="str">
        <f>Sites[[#This Row],[SOL'#]]</f>
        <v>SOL-10929</v>
      </c>
      <c r="D124" s="9">
        <f>SUM(Jul!D124, Aug!D124, Sep!D124)</f>
        <v>21468.9140625</v>
      </c>
      <c r="E124" s="14">
        <f>SUM(Jul!E124, Aug!E124, Sep!E124)</f>
        <v>19545.91</v>
      </c>
      <c r="F124" s="14">
        <f t="shared" si="7"/>
        <v>1923.0040625000001</v>
      </c>
      <c r="G124" s="15">
        <f t="shared" si="8"/>
        <v>9.838396178535562E-2</v>
      </c>
      <c r="H124" s="16">
        <f>SUM(Jul!H124,Aug!H124,Sep!H124)</f>
        <v>22228</v>
      </c>
      <c r="I124" s="16">
        <f>SUM(Jul!I124, Aug!I124, Sep!I124)</f>
        <v>-759.0859375</v>
      </c>
      <c r="J124" s="15">
        <f t="shared" si="9"/>
        <v>-3.4149988190570454E-2</v>
      </c>
    </row>
    <row r="125" spans="1:10" ht="15.75">
      <c r="A125" s="24" t="str">
        <v>X181</v>
      </c>
      <c r="B125" s="25" t="str">
        <v>NY</v>
      </c>
      <c r="C125" s="25" t="str">
        <f>Sites[[#This Row],[SOL'#]]</f>
        <v>SOL-10428</v>
      </c>
      <c r="D125" s="20">
        <f>SUM(Jul!D125, Aug!D125, Sep!D125)</f>
        <v>40966.734375</v>
      </c>
      <c r="E125" s="10">
        <f>SUM(Jul!E125, Aug!E125, Sep!E125)</f>
        <v>34560.46</v>
      </c>
      <c r="F125" s="10">
        <f t="shared" si="7"/>
        <v>6406.2743750000009</v>
      </c>
      <c r="G125" s="11">
        <f t="shared" si="8"/>
        <v>0.18536426815499565</v>
      </c>
      <c r="H125" s="12">
        <f>SUM(Jul!H125,Aug!H125,Sep!H125)</f>
        <v>41522</v>
      </c>
      <c r="I125" s="12">
        <f>SUM(Jul!I125, Aug!I125, Sep!I125)</f>
        <v>-555.265625</v>
      </c>
      <c r="J125" s="13">
        <f t="shared" si="9"/>
        <v>-1.3372805380280333E-2</v>
      </c>
    </row>
    <row r="126" spans="1:10" ht="15.75">
      <c r="A126" s="26" t="str">
        <v>X415</v>
      </c>
      <c r="B126" s="27" t="str">
        <v>NY</v>
      </c>
      <c r="C126" s="27" t="str">
        <f>Sites[[#This Row],[SOL'#]]</f>
        <v>SOL-10429</v>
      </c>
      <c r="D126" s="9">
        <f>SUM(Jul!D126, Aug!D126, Sep!D126)</f>
        <v>25868.9765625</v>
      </c>
      <c r="E126" s="14">
        <f>SUM(Jul!E126, Aug!E126, Sep!E126)</f>
        <v>22259.89</v>
      </c>
      <c r="F126" s="14">
        <f t="shared" si="7"/>
        <v>3609.0865625000006</v>
      </c>
      <c r="G126" s="15">
        <f t="shared" si="8"/>
        <v>0.16213406995721905</v>
      </c>
      <c r="H126" s="16">
        <f>SUM(Jul!H126,Aug!H126,Sep!H126)</f>
        <v>24392</v>
      </c>
      <c r="I126" s="16">
        <f>SUM(Jul!I126, Aug!I126, Sep!I126)</f>
        <v>1476.9765625</v>
      </c>
      <c r="J126" s="15">
        <f t="shared" si="9"/>
        <v>6.0551679341587408E-2</v>
      </c>
    </row>
    <row r="127" spans="1:10" ht="15.75">
      <c r="A127" s="24" t="str">
        <v>K198</v>
      </c>
      <c r="B127" s="25" t="str">
        <v>NY</v>
      </c>
      <c r="C127" s="25" t="str">
        <f>Sites[[#This Row],[SOL'#]]</f>
        <v>SOL-10930</v>
      </c>
      <c r="D127" s="20">
        <f>SUM(Jul!D127, Aug!D127, Sep!D127)</f>
        <v>18358.1640625</v>
      </c>
      <c r="E127" s="10">
        <f>SUM(Jul!E127, Aug!E127, Sep!E127)</f>
        <v>18103.169999999998</v>
      </c>
      <c r="F127" s="10">
        <f t="shared" si="7"/>
        <v>254.99406250000175</v>
      </c>
      <c r="G127" s="11">
        <f t="shared" si="8"/>
        <v>1.4085602825361624E-2</v>
      </c>
      <c r="H127" s="12">
        <f>SUM(Jul!H127,Aug!H127,Sep!H127)</f>
        <v>18689</v>
      </c>
      <c r="I127" s="12">
        <f>SUM(Jul!I127, Aug!I127, Sep!I127)</f>
        <v>-330.8359375</v>
      </c>
      <c r="J127" s="13">
        <f t="shared" si="9"/>
        <v>-1.7702174407405426E-2</v>
      </c>
    </row>
    <row r="128" spans="1:10" ht="15.75">
      <c r="A128" s="26" t="str">
        <v>K203</v>
      </c>
      <c r="B128" s="27" t="str">
        <v>NY</v>
      </c>
      <c r="C128" s="27" t="str">
        <f>Sites[[#This Row],[SOL'#]]</f>
        <v>SOL-11190</v>
      </c>
      <c r="D128" s="9">
        <f>SUM(Jul!D128, Aug!D128, Sep!D128)</f>
        <v>24407.1</v>
      </c>
      <c r="E128" s="14">
        <f>SUM(Jul!E128, Aug!E128, Sep!E128)</f>
        <v>21909.75</v>
      </c>
      <c r="F128" s="14">
        <f t="shared" si="7"/>
        <v>2497.3499999999985</v>
      </c>
      <c r="G128" s="15">
        <f t="shared" si="8"/>
        <v>0.11398350049635429</v>
      </c>
      <c r="H128" s="16">
        <f>SUM(Jul!H128,Aug!H128,Sep!H128)</f>
        <v>25198</v>
      </c>
      <c r="I128" s="16">
        <f>SUM(Jul!I128, Aug!I128, Sep!I128)</f>
        <v>-790.90000000000146</v>
      </c>
      <c r="J128" s="15">
        <f t="shared" si="9"/>
        <v>-3.1387411699341276E-2</v>
      </c>
    </row>
    <row r="129" spans="1:10" ht="15.75">
      <c r="A129" s="24" t="str">
        <v>K213</v>
      </c>
      <c r="B129" s="25" t="str">
        <v>NY</v>
      </c>
      <c r="C129" s="25" t="str">
        <f>Sites[[#This Row],[SOL'#]]</f>
        <v>SOL-11191</v>
      </c>
      <c r="D129" s="20">
        <f>SUM(Jul!D129, Aug!D129, Sep!D129)</f>
        <v>27870.1</v>
      </c>
      <c r="E129" s="10">
        <f>SUM(Jul!E129, Aug!E129, Sep!E129)</f>
        <v>29258.25</v>
      </c>
      <c r="F129" s="10">
        <f t="shared" si="7"/>
        <v>-1388.1500000000015</v>
      </c>
      <c r="G129" s="11">
        <f t="shared" si="8"/>
        <v>-4.7444737808994095E-2</v>
      </c>
      <c r="H129" s="12">
        <f>SUM(Jul!H129,Aug!H129,Sep!H129)</f>
        <v>26555</v>
      </c>
      <c r="I129" s="12">
        <f>SUM(Jul!I129, Aug!I129, Sep!I129)</f>
        <v>1315.0999999999985</v>
      </c>
      <c r="J129" s="13">
        <f t="shared" si="9"/>
        <v>4.9523630201468598E-2</v>
      </c>
    </row>
    <row r="130" spans="1:10" ht="15.75">
      <c r="A130" s="26" t="str">
        <v>K217</v>
      </c>
      <c r="B130" s="27" t="str">
        <v>NY</v>
      </c>
      <c r="C130" s="27" t="str">
        <f>Sites[[#This Row],[SOL'#]]</f>
        <v>SOL-10933</v>
      </c>
      <c r="D130" s="9">
        <f>SUM(Jul!D130, Aug!D130, Sep!D130)</f>
        <v>14644.6484375</v>
      </c>
      <c r="E130" s="14">
        <f>SUM(Jul!E130, Aug!E130, Sep!E130)</f>
        <v>13647.47</v>
      </c>
      <c r="F130" s="14">
        <f t="shared" si="7"/>
        <v>997.17843750000065</v>
      </c>
      <c r="G130" s="15">
        <f t="shared" si="8"/>
        <v>7.3066908188843843E-2</v>
      </c>
      <c r="H130" s="16">
        <f>SUM(Jul!H130,Aug!H130,Sep!H130)</f>
        <v>14632</v>
      </c>
      <c r="I130" s="16">
        <f>SUM(Jul!I130, Aug!I130, Sep!I130)</f>
        <v>12.6484375</v>
      </c>
      <c r="J130" s="15">
        <f t="shared" si="9"/>
        <v>8.6443667987971568E-4</v>
      </c>
    </row>
    <row r="131" spans="1:10" ht="15.75">
      <c r="A131" s="24" t="str">
        <v>K307</v>
      </c>
      <c r="B131" s="25" t="str">
        <v>NY</v>
      </c>
      <c r="C131" s="25" t="str">
        <f>Sites[[#This Row],[SOL'#]]</f>
        <v>SOL-10876</v>
      </c>
      <c r="D131" s="20">
        <f>SUM(Jul!D131, Aug!D131, Sep!D131)</f>
        <v>30193.328125</v>
      </c>
      <c r="E131" s="10">
        <f>SUM(Jul!E131, Aug!E131, Sep!E131)</f>
        <v>28697.91</v>
      </c>
      <c r="F131" s="10">
        <f t="shared" si="7"/>
        <v>1495.4181250000001</v>
      </c>
      <c r="G131" s="11">
        <f t="shared" si="8"/>
        <v>5.2108955843822781E-2</v>
      </c>
      <c r="H131" s="12">
        <f>SUM(Jul!H131,Aug!H131,Sep!H131)</f>
        <v>30546</v>
      </c>
      <c r="I131" s="12">
        <f>SUM(Jul!I131, Aug!I131, Sep!I131)</f>
        <v>-352.671875</v>
      </c>
      <c r="J131" s="13">
        <f t="shared" si="9"/>
        <v>-1.154559926013226E-2</v>
      </c>
    </row>
    <row r="132" spans="1:10" ht="15.75">
      <c r="A132" s="26" t="str">
        <v>K610</v>
      </c>
      <c r="B132" s="27" t="str">
        <v>NY</v>
      </c>
      <c r="C132" s="27" t="str">
        <f>Sites[[#This Row],[SOL'#]]</f>
        <v>SOL-11158</v>
      </c>
      <c r="D132" s="9">
        <f>SUM(Jul!D132, Aug!D132, Sep!D132)</f>
        <v>25973.599999999999</v>
      </c>
      <c r="E132" s="14">
        <f>SUM(Jul!E132, Aug!E132, Sep!E132)</f>
        <v>33773.86</v>
      </c>
      <c r="F132" s="14">
        <f t="shared" si="7"/>
        <v>-7800.260000000002</v>
      </c>
      <c r="G132" s="15">
        <f t="shared" si="8"/>
        <v>-0.23095553780349662</v>
      </c>
      <c r="H132" s="16">
        <f>SUM(Jul!H132,Aug!H132,Sep!H132)</f>
        <v>35413</v>
      </c>
      <c r="I132" s="16">
        <f>SUM(Jul!I132, Aug!I132, Sep!I132)</f>
        <v>-9439.4000000000015</v>
      </c>
      <c r="J132" s="15">
        <f t="shared" si="9"/>
        <v>-0.26655183124841164</v>
      </c>
    </row>
    <row r="133" spans="1:10" ht="15.75">
      <c r="A133" s="24" t="str">
        <v>M025</v>
      </c>
      <c r="B133" s="25" t="str">
        <v>NY</v>
      </c>
      <c r="C133" s="25" t="str">
        <f>Sites[[#This Row],[SOL'#]]</f>
        <v>SOL-10392</v>
      </c>
      <c r="D133" s="20">
        <f>SUM(Jul!D133, Aug!D133, Sep!D133)</f>
        <v>17221.1328125</v>
      </c>
      <c r="E133" s="10">
        <f>SUM(Jul!E133, Aug!E133, Sep!E133)</f>
        <v>31789.360000000001</v>
      </c>
      <c r="F133" s="10">
        <f t="shared" si="7"/>
        <v>-14568.227187500001</v>
      </c>
      <c r="G133" s="11">
        <f t="shared" si="8"/>
        <v>-0.45827368614844716</v>
      </c>
      <c r="H133" s="12">
        <f>SUM(Jul!H133,Aug!H133,Sep!H133)</f>
        <v>31160</v>
      </c>
      <c r="I133" s="12">
        <f>SUM(Jul!I133, Aug!I133, Sep!I133)</f>
        <v>-13938.8671875</v>
      </c>
      <c r="J133" s="13">
        <f t="shared" si="9"/>
        <v>-0.44733206635109113</v>
      </c>
    </row>
    <row r="134" spans="1:10" ht="15.75">
      <c r="A134" s="26" t="str">
        <v>M028</v>
      </c>
      <c r="B134" s="27" t="str">
        <v>NY</v>
      </c>
      <c r="C134" s="27" t="str">
        <f>Sites[[#This Row],[SOL'#]]</f>
        <v>SOL-10381</v>
      </c>
      <c r="D134" s="9">
        <f>SUM(Jul!D134, Aug!D134, Sep!D134)</f>
        <v>24044.498046875</v>
      </c>
      <c r="E134" s="14">
        <f>SUM(Jul!E134, Aug!E134, Sep!E134)</f>
        <v>22765.21</v>
      </c>
      <c r="F134" s="14">
        <f t="shared" si="7"/>
        <v>1279.2880468750009</v>
      </c>
      <c r="G134" s="15">
        <f t="shared" si="8"/>
        <v>5.6194871335472019E-2</v>
      </c>
      <c r="H134" s="16">
        <f>SUM(Jul!H134,Aug!H134,Sep!H134)</f>
        <v>24106</v>
      </c>
      <c r="I134" s="16">
        <f>SUM(Jul!I134, Aug!I134, Sep!I134)</f>
        <v>-61.501953125</v>
      </c>
      <c r="J134" s="15">
        <f t="shared" si="9"/>
        <v>-2.5513130807682735E-3</v>
      </c>
    </row>
    <row r="135" spans="1:10" ht="15.75">
      <c r="A135" s="24" t="str">
        <v>Q030</v>
      </c>
      <c r="B135" s="25" t="str">
        <v>NY</v>
      </c>
      <c r="C135" s="25" t="str">
        <f>Sites[[#This Row],[SOL'#]]</f>
        <v>SOL-10878</v>
      </c>
      <c r="D135" s="20">
        <f>SUM(Jul!D135, Aug!D135, Sep!D135)</f>
        <v>28858.4609375</v>
      </c>
      <c r="E135" s="10">
        <f>SUM(Jul!E135, Aug!E135, Sep!E135)</f>
        <v>28301.79</v>
      </c>
      <c r="F135" s="10">
        <f t="shared" si="7"/>
        <v>556.67093749999913</v>
      </c>
      <c r="G135" s="11">
        <f t="shared" si="8"/>
        <v>1.9669107060012781E-2</v>
      </c>
      <c r="H135" s="12">
        <f>SUM(Jul!H135,Aug!H135,Sep!H135)</f>
        <v>28977</v>
      </c>
      <c r="I135" s="12">
        <f>SUM(Jul!I135, Aug!I135, Sep!I135)</f>
        <v>-118.5390625</v>
      </c>
      <c r="J135" s="13">
        <f t="shared" si="9"/>
        <v>-4.09079830555268E-3</v>
      </c>
    </row>
    <row r="136" spans="1:10" ht="15.75">
      <c r="A136" s="26" t="str">
        <v>Q130</v>
      </c>
      <c r="B136" s="27" t="str">
        <v>NY</v>
      </c>
      <c r="C136" s="27" t="str">
        <f>Sites[[#This Row],[SOL'#]]</f>
        <v>SOL-10877</v>
      </c>
      <c r="D136" s="9">
        <f>SUM(Jul!D136, Aug!D136, Sep!D136)</f>
        <v>16564.2890625</v>
      </c>
      <c r="E136" s="14">
        <f>SUM(Jul!E136, Aug!E136, Sep!E136)</f>
        <v>15232.4</v>
      </c>
      <c r="F136" s="14">
        <f t="shared" si="7"/>
        <v>1331.8890625000004</v>
      </c>
      <c r="G136" s="15">
        <f t="shared" si="8"/>
        <v>8.743789964155356E-2</v>
      </c>
      <c r="H136" s="16">
        <f>SUM(Jul!H136,Aug!H136,Sep!H136)</f>
        <v>16423.27</v>
      </c>
      <c r="I136" s="16">
        <f>SUM(Jul!I136, Aug!I136, Sep!I136)</f>
        <v>141.01906249999956</v>
      </c>
      <c r="J136" s="15">
        <f t="shared" si="9"/>
        <v>8.5865398608194077E-3</v>
      </c>
    </row>
    <row r="137" spans="1:10" ht="15.75">
      <c r="A137" s="24" t="str">
        <v>Q196</v>
      </c>
      <c r="B137" s="25" t="str">
        <v>NY</v>
      </c>
      <c r="C137" s="25" t="str">
        <f>Sites[[#This Row],[SOL'#]]</f>
        <v>SOL-10879</v>
      </c>
      <c r="D137" s="20">
        <f>SUM(Jul!D137, Aug!D137, Sep!D137)</f>
        <v>21595.458789062501</v>
      </c>
      <c r="E137" s="10">
        <f>SUM(Jul!E137, Aug!E137, Sep!E137)</f>
        <v>21688.12</v>
      </c>
      <c r="F137" s="10">
        <f t="shared" si="7"/>
        <v>-92.661210937498254</v>
      </c>
      <c r="G137" s="11">
        <f t="shared" si="8"/>
        <v>-4.2724409002485352E-3</v>
      </c>
      <c r="H137" s="12">
        <f>SUM(Jul!H137,Aug!H137,Sep!H137)</f>
        <v>21304</v>
      </c>
      <c r="I137" s="12">
        <f>SUM(Jul!I137, Aug!I137, Sep!I137)</f>
        <v>291.45878906250073</v>
      </c>
      <c r="J137" s="13">
        <f t="shared" si="9"/>
        <v>1.3680942032599546E-2</v>
      </c>
    </row>
    <row r="138" spans="1:10" ht="15.75">
      <c r="A138" s="26" t="str">
        <v>Q220</v>
      </c>
      <c r="B138" s="27" t="str">
        <v>NY</v>
      </c>
      <c r="C138" s="27" t="str">
        <f>Sites[[#This Row],[SOL'#]]</f>
        <v>SOL-10873</v>
      </c>
      <c r="D138" s="9">
        <f>SUM(Jul!D138, Aug!D138, Sep!D138)</f>
        <v>25706.390625</v>
      </c>
      <c r="E138" s="14">
        <f>SUM(Jul!E138, Aug!E138, Sep!E138)</f>
        <v>28923</v>
      </c>
      <c r="F138" s="14">
        <f t="shared" si="7"/>
        <v>-3216.609375</v>
      </c>
      <c r="G138" s="15">
        <f t="shared" si="8"/>
        <v>-0.11121285395705839</v>
      </c>
      <c r="H138" s="16">
        <f>SUM(Jul!H138,Aug!H138,Sep!H138)</f>
        <v>24647</v>
      </c>
      <c r="I138" s="16">
        <f>SUM(Jul!I138, Aug!I138, Sep!I138)</f>
        <v>1059.390625</v>
      </c>
      <c r="J138" s="15">
        <f t="shared" si="9"/>
        <v>4.298253844281251E-2</v>
      </c>
    </row>
    <row r="139" spans="1:10" ht="15.75">
      <c r="A139" s="24" t="str">
        <v>Q205</v>
      </c>
      <c r="B139" s="25" t="str">
        <v>NY</v>
      </c>
      <c r="C139" s="25" t="str">
        <f>Sites[[#This Row],[SOL'#]]</f>
        <v>SOL-10922</v>
      </c>
      <c r="D139" s="20">
        <f>SUM(Jul!D139, Aug!D139, Sep!D139)</f>
        <v>29880.34375</v>
      </c>
      <c r="E139" s="10">
        <f>SUM(Jul!E139, Aug!E139, Sep!E139)</f>
        <v>35274.04</v>
      </c>
      <c r="F139" s="10">
        <f t="shared" si="7"/>
        <v>-5393.6962500000009</v>
      </c>
      <c r="G139" s="11">
        <f t="shared" si="8"/>
        <v>-0.15290837822942879</v>
      </c>
      <c r="H139" s="12">
        <f>SUM(Jul!H139,Aug!H139,Sep!H139)</f>
        <v>29435</v>
      </c>
      <c r="I139" s="12">
        <f>SUM(Jul!I139, Aug!I139, Sep!I139)</f>
        <v>445.34375</v>
      </c>
      <c r="J139" s="13">
        <f t="shared" si="9"/>
        <v>1.5129735009342619E-2</v>
      </c>
    </row>
    <row r="140" spans="1:10" ht="15.75">
      <c r="A140" s="26" t="str">
        <v>Q400</v>
      </c>
      <c r="B140" s="27" t="str">
        <v>NY</v>
      </c>
      <c r="C140" s="27" t="str">
        <f>Sites[[#This Row],[SOL'#]]</f>
        <v>SOL-10871</v>
      </c>
      <c r="D140" s="9">
        <f>SUM(Jul!D140, Aug!D140, Sep!D140)</f>
        <v>28683.4375</v>
      </c>
      <c r="E140" s="14">
        <f>SUM(Jul!E140, Aug!E140, Sep!E140)</f>
        <v>0</v>
      </c>
      <c r="F140" s="14">
        <f t="shared" si="7"/>
        <v>28683.4375</v>
      </c>
      <c r="G140" s="15" t="str">
        <f t="shared" si="8"/>
        <v/>
      </c>
      <c r="H140" s="16">
        <f>SUM(Jul!H140,Aug!H140,Sep!H140)</f>
        <v>48524</v>
      </c>
      <c r="I140" s="16">
        <f>SUM(Jul!I140, Aug!I140, Sep!I140)</f>
        <v>-19840.5625</v>
      </c>
      <c r="J140" s="15">
        <f t="shared" si="9"/>
        <v>-0.40888142980793007</v>
      </c>
    </row>
    <row r="141" spans="1:10" ht="15.75">
      <c r="A141" s="24" t="str">
        <v>R003</v>
      </c>
      <c r="B141" s="25" t="str">
        <v>NY</v>
      </c>
      <c r="C141" s="25" t="str">
        <f>Sites[[#This Row],[SOL'#]]</f>
        <v>SOL-10416</v>
      </c>
      <c r="D141" s="20">
        <f>SUM(Jul!D141, Aug!D141, Sep!D141)</f>
        <v>38385.109375</v>
      </c>
      <c r="E141" s="10">
        <f>SUM(Jul!E141, Aug!E141, Sep!E141)</f>
        <v>44378.38</v>
      </c>
      <c r="F141" s="10">
        <f t="shared" si="7"/>
        <v>-5993.2706249999974</v>
      </c>
      <c r="G141" s="11">
        <f t="shared" si="8"/>
        <v>-0.13504933314375148</v>
      </c>
      <c r="H141" s="12">
        <f>SUM(Jul!H141,Aug!H141,Sep!H141)</f>
        <v>43732</v>
      </c>
      <c r="I141" s="12">
        <f>SUM(Jul!I141, Aug!I141, Sep!I141)</f>
        <v>-5346.890625</v>
      </c>
      <c r="J141" s="13">
        <f t="shared" si="9"/>
        <v>-0.12226494614927284</v>
      </c>
    </row>
    <row r="142" spans="1:10" ht="15.75">
      <c r="A142" s="26" t="str">
        <v>R007</v>
      </c>
      <c r="B142" s="27" t="str">
        <v>NY</v>
      </c>
      <c r="C142" s="27" t="str">
        <f>Sites[[#This Row],[SOL'#]]</f>
        <v>SOL-10417</v>
      </c>
      <c r="D142" s="9">
        <f>SUM(Jul!D142, Aug!D142, Sep!D142)</f>
        <v>47890.6875</v>
      </c>
      <c r="E142" s="14">
        <f>SUM(Jul!E142, Aug!E142, Sep!E142)</f>
        <v>47595.02</v>
      </c>
      <c r="F142" s="14">
        <f t="shared" si="7"/>
        <v>295.6675000000032</v>
      </c>
      <c r="G142" s="15">
        <f t="shared" si="8"/>
        <v>6.2121520276701894E-3</v>
      </c>
      <c r="H142" s="16">
        <f>SUM(Jul!H142,Aug!H142,Sep!H142)</f>
        <v>47903.21</v>
      </c>
      <c r="I142" s="16">
        <f>SUM(Jul!I142, Aug!I142, Sep!I142)</f>
        <v>-12.522499999999127</v>
      </c>
      <c r="J142" s="15">
        <f t="shared" si="9"/>
        <v>-2.6141254416977747E-4</v>
      </c>
    </row>
    <row r="143" spans="1:10" ht="15.75">
      <c r="A143" s="24" t="str">
        <v>BK16</v>
      </c>
      <c r="B143" s="25" t="str">
        <v>NY</v>
      </c>
      <c r="C143" s="25" t="str">
        <f>Sites[[#This Row],[SOL'#]]</f>
        <v>SOL-11093</v>
      </c>
      <c r="D143" s="20">
        <f>SUM(Jul!D143, Aug!D143, Sep!D143)</f>
        <v>47968.984375</v>
      </c>
      <c r="E143" s="10">
        <f>SUM(Jul!E143, Aug!E143, Sep!E143)</f>
        <v>47268.57</v>
      </c>
      <c r="F143" s="10">
        <f t="shared" si="7"/>
        <v>700.41437500000029</v>
      </c>
      <c r="G143" s="11">
        <f t="shared" si="8"/>
        <v>1.4817761040793074E-2</v>
      </c>
      <c r="H143" s="12">
        <f>SUM(Jul!H143,Aug!H143,Sep!H143)</f>
        <v>46590</v>
      </c>
      <c r="I143" s="12">
        <f>SUM(Jul!I143, Aug!I143, Sep!I143)</f>
        <v>1378.984375</v>
      </c>
      <c r="J143" s="13">
        <f t="shared" si="9"/>
        <v>2.9598290942262288E-2</v>
      </c>
    </row>
    <row r="144" spans="1:10" ht="15.75">
      <c r="A144" s="26" t="str">
        <v>Trenton - Trenton East</v>
      </c>
      <c r="B144" s="27" t="str">
        <v>IL</v>
      </c>
      <c r="C144" s="27" t="str">
        <f>Sites[[#This Row],[SOL'#]]</f>
        <v>SOL-11060</v>
      </c>
      <c r="D144" s="9">
        <f>SUM(Jul!D144, Aug!D144, Sep!D144)</f>
        <v>408839</v>
      </c>
      <c r="E144" s="14">
        <f>SUM(Jul!E144, Aug!E144, Sep!E144)</f>
        <v>466838</v>
      </c>
      <c r="F144" s="14">
        <f t="shared" si="7"/>
        <v>-57999</v>
      </c>
      <c r="G144" s="15">
        <f t="shared" si="8"/>
        <v>-0.12423795834957736</v>
      </c>
      <c r="H144" s="16">
        <f>SUM(Jul!H144,Aug!H144,Sep!H144)</f>
        <v>551866</v>
      </c>
      <c r="I144" s="16">
        <f>SUM(Jul!I144, Aug!I144, Sep!I144)</f>
        <v>-143027</v>
      </c>
      <c r="J144" s="15">
        <f t="shared" si="9"/>
        <v>-0.25916979846556953</v>
      </c>
    </row>
    <row r="145" spans="1:10" ht="15.75">
      <c r="A145" s="24" t="str">
        <v>Trenton - Trenton West</v>
      </c>
      <c r="B145" s="25" t="str">
        <v>IL</v>
      </c>
      <c r="C145" s="25" t="str">
        <f>Sites[[#This Row],[SOL'#]]</f>
        <v>SOL-11061</v>
      </c>
      <c r="D145" s="20">
        <f>SUM(Jul!D145, Aug!D145, Sep!D145)</f>
        <v>279491</v>
      </c>
      <c r="E145" s="10">
        <f>SUM(Jul!E145, Aug!E145, Sep!E145)</f>
        <v>396472.3</v>
      </c>
      <c r="F145" s="10">
        <f t="shared" si="7"/>
        <v>-116981.29999999999</v>
      </c>
      <c r="G145" s="11">
        <f t="shared" si="8"/>
        <v>-0.29505541749070485</v>
      </c>
      <c r="H145" s="12">
        <f>SUM(Jul!H145,Aug!H145,Sep!H145)</f>
        <v>552240</v>
      </c>
      <c r="I145" s="12">
        <f>SUM(Jul!I145, Aug!I145, Sep!I145)</f>
        <v>-272749</v>
      </c>
      <c r="J145" s="13">
        <f t="shared" si="9"/>
        <v>-0.49389576995509199</v>
      </c>
    </row>
    <row r="146" spans="1:10" ht="15.75">
      <c r="A146" s="26" t="str">
        <v>Dakota - Dakota Solar 1</v>
      </c>
      <c r="B146" s="27" t="str">
        <v>IL</v>
      </c>
      <c r="C146" s="27" t="str">
        <f>Sites[[#This Row],[SOL'#]]</f>
        <v>SOL-11113</v>
      </c>
      <c r="D146" s="9">
        <f>SUM(Jul!D146, Aug!D146, Sep!D146)</f>
        <v>498126</v>
      </c>
      <c r="E146" s="14">
        <f>SUM(Jul!E146, Aug!E146, Sep!E146)</f>
        <v>522565.8</v>
      </c>
      <c r="F146" s="14">
        <f t="shared" si="7"/>
        <v>-24439.799999999988</v>
      </c>
      <c r="G146" s="15">
        <f t="shared" si="8"/>
        <v>-4.6768847100212049E-2</v>
      </c>
      <c r="H146" s="16">
        <f>SUM(Jul!H146,Aug!H146,Sep!H146)</f>
        <v>396944</v>
      </c>
      <c r="I146" s="16">
        <f>SUM(Jul!I146, Aug!I146, Sep!I146)</f>
        <v>101182</v>
      </c>
      <c r="J146" s="15">
        <f t="shared" si="9"/>
        <v>0.25490245475432305</v>
      </c>
    </row>
    <row r="147" spans="1:10" ht="15.75">
      <c r="A147" s="24" t="str">
        <v>X018</v>
      </c>
      <c r="B147" s="25" t="str">
        <v>NY</v>
      </c>
      <c r="C147" s="25" t="str">
        <f>Sites[[#This Row],[SOL'#]]</f>
        <v>SOL-10418</v>
      </c>
      <c r="D147" s="20">
        <f>SUM(Jul!D147, Aug!D147, Sep!D147)</f>
        <v>21239.7391015625</v>
      </c>
      <c r="E147" s="10">
        <f>SUM(Jul!E147, Aug!E147, Sep!E147)</f>
        <v>14102.8</v>
      </c>
      <c r="F147" s="10">
        <f t="shared" si="7"/>
        <v>7136.9391015625006</v>
      </c>
      <c r="G147" s="11">
        <f t="shared" si="8"/>
        <v>0.50606539847140286</v>
      </c>
      <c r="H147" s="12">
        <f>SUM(Jul!H147,Aug!H147,Sep!H147)</f>
        <v>23493</v>
      </c>
      <c r="I147" s="12">
        <f>SUM(Jul!I147, Aug!I147, Sep!I147)</f>
        <v>-2253.2608984375001</v>
      </c>
      <c r="J147" s="13">
        <f t="shared" si="9"/>
        <v>-9.5912012022198109E-2</v>
      </c>
    </row>
    <row r="148" spans="1:10" ht="15.75">
      <c r="A148" s="26" t="str">
        <v>Janiak Solar</v>
      </c>
      <c r="B148" s="27" t="str">
        <v>NY</v>
      </c>
      <c r="C148" s="27" t="str">
        <f>Sites[[#This Row],[SOL'#]]</f>
        <v>SOL-10898</v>
      </c>
      <c r="D148" s="9">
        <f>SUM(Jul!D148, Aug!D148, Sep!D148)</f>
        <v>398017</v>
      </c>
      <c r="E148" s="14">
        <f>SUM(Jul!E148, Aug!E148, Sep!E148)</f>
        <v>428103.8</v>
      </c>
      <c r="F148" s="14">
        <f t="shared" si="7"/>
        <v>-30086.799999999988</v>
      </c>
      <c r="G148" s="15">
        <f t="shared" si="8"/>
        <v>-7.0279217330002655E-2</v>
      </c>
      <c r="H148" s="16">
        <f>SUM(Jul!H148,Aug!H148,Sep!H148)</f>
        <v>457863</v>
      </c>
      <c r="I148" s="16">
        <f>SUM(Jul!I148, Aug!I148, Sep!I148)</f>
        <v>-59846</v>
      </c>
      <c r="J148" s="15">
        <f t="shared" si="9"/>
        <v>-0.13070722028204942</v>
      </c>
    </row>
    <row r="149" spans="1:10" ht="15.75">
      <c r="A149" s="24" t="str">
        <v>County Route 11B</v>
      </c>
      <c r="B149" s="25" t="str">
        <v>NY</v>
      </c>
      <c r="C149" s="25" t="str">
        <f>Sites[[#This Row],[SOL'#]]</f>
        <v>SOL-10983</v>
      </c>
      <c r="D149" s="20">
        <f>SUM(Jul!D149, Aug!D149, Sep!D149)</f>
        <v>1436404</v>
      </c>
      <c r="E149" s="10">
        <f>SUM(Jul!E149, Aug!E149, Sep!E149)</f>
        <v>1431678</v>
      </c>
      <c r="F149" s="10">
        <f t="shared" si="7"/>
        <v>4726</v>
      </c>
      <c r="G149" s="11">
        <f t="shared" si="8"/>
        <v>3.3010215984320495E-3</v>
      </c>
      <c r="H149" s="12">
        <f>SUM(Jul!H149,Aug!H149,Sep!H149)</f>
        <v>0</v>
      </c>
      <c r="I149" s="12">
        <f>SUM(Jul!I149, Aug!I149, Sep!I149)</f>
        <v>0</v>
      </c>
      <c r="J149" s="13" t="str">
        <f t="shared" si="9"/>
        <v/>
      </c>
    </row>
    <row r="150" spans="1:10" ht="15.75">
      <c r="A150" s="26" t="str">
        <v>Barone</v>
      </c>
      <c r="B150" s="27" t="str">
        <v>NY</v>
      </c>
      <c r="C150" s="27" t="str">
        <f>Sites[[#This Row],[SOL'#]]</f>
        <v>SOL-11034</v>
      </c>
      <c r="D150" s="9">
        <f>SUM(Jul!D150, Aug!D150, Sep!D150)</f>
        <v>670991</v>
      </c>
      <c r="E150" s="14">
        <f>SUM(Jul!E150, Aug!E150, Sep!E150)</f>
        <v>667986</v>
      </c>
      <c r="F150" s="14">
        <f t="shared" si="7"/>
        <v>3005</v>
      </c>
      <c r="G150" s="15">
        <f t="shared" si="8"/>
        <v>4.4985972759908144E-3</v>
      </c>
      <c r="H150" s="16">
        <f>SUM(Jul!H150,Aug!H150,Sep!H150)</f>
        <v>757195</v>
      </c>
      <c r="I150" s="16">
        <f>SUM(Jul!I150, Aug!I150, Sep!I150)</f>
        <v>-86204</v>
      </c>
      <c r="J150" s="15">
        <f t="shared" si="9"/>
        <v>-0.11384649925052331</v>
      </c>
    </row>
    <row r="151" spans="1:10" ht="15.75">
      <c r="A151" s="24" t="str">
        <v>Cedarville</v>
      </c>
      <c r="B151" s="25" t="str">
        <v>IL</v>
      </c>
      <c r="C151" s="25" t="str">
        <f>Sites[[#This Row],[SOL'#]]</f>
        <v>SOL-11069</v>
      </c>
      <c r="D151" s="20">
        <f>SUM(Jul!D151, Aug!D151, Sep!D151)</f>
        <v>412476</v>
      </c>
      <c r="E151" s="10">
        <f>SUM(Jul!E151, Aug!E151, Sep!E151)</f>
        <v>392183</v>
      </c>
      <c r="F151" s="10">
        <f t="shared" si="7"/>
        <v>20293</v>
      </c>
      <c r="G151" s="11">
        <f t="shared" si="8"/>
        <v>5.1743701282309533E-2</v>
      </c>
      <c r="H151" s="12">
        <f>SUM(Jul!H151,Aug!H151,Sep!H151)</f>
        <v>559363.6</v>
      </c>
      <c r="I151" s="12">
        <f>SUM(Jul!I151, Aug!I151, Sep!I151)</f>
        <v>-146887.59999999998</v>
      </c>
      <c r="J151" s="13">
        <f t="shared" si="9"/>
        <v>-0.26259770925387349</v>
      </c>
    </row>
    <row r="152" spans="1:10" ht="15.75">
      <c r="A152" s="26" t="str">
        <v xml:space="preserve"> O'Brien Hill #1</v>
      </c>
      <c r="B152" s="27" t="str">
        <v>NY</v>
      </c>
      <c r="C152" s="27" t="str">
        <f>Sites[[#This Row],[SOL'#]]</f>
        <v>SOL-11098</v>
      </c>
      <c r="D152" s="9">
        <f>SUM(Jul!D152, Aug!D152, Sep!D152)</f>
        <v>0</v>
      </c>
      <c r="E152" s="14">
        <f>SUM(Jul!E152, Aug!E152, Sep!E152)</f>
        <v>0</v>
      </c>
      <c r="F152" s="14">
        <f t="shared" si="7"/>
        <v>0</v>
      </c>
      <c r="G152" s="15" t="str">
        <f t="shared" si="8"/>
        <v/>
      </c>
      <c r="H152" s="16">
        <f>SUM(Jul!H152,Aug!H152,Sep!H152)</f>
        <v>0</v>
      </c>
      <c r="I152" s="16">
        <f>SUM(Jul!I152, Aug!I152, Sep!I152)</f>
        <v>0</v>
      </c>
      <c r="J152" s="15" t="str">
        <f t="shared" si="9"/>
        <v/>
      </c>
    </row>
    <row r="153" spans="1:10" ht="15.75">
      <c r="A153" s="24" t="str">
        <v xml:space="preserve"> O'Brien Hill #2</v>
      </c>
      <c r="B153" s="25" t="str">
        <v>NY</v>
      </c>
      <c r="C153" s="25" t="str">
        <f>Sites[[#This Row],[SOL'#]]</f>
        <v>SOL-11099</v>
      </c>
      <c r="D153" s="20">
        <f>SUM(Jul!D153, Aug!D153, Sep!D153)</f>
        <v>1037428</v>
      </c>
      <c r="E153" s="10">
        <f>SUM(Jul!E153, Aug!E153, Sep!E153)</f>
        <v>1037322</v>
      </c>
      <c r="F153" s="10">
        <f t="shared" si="7"/>
        <v>106</v>
      </c>
      <c r="G153" s="11">
        <f t="shared" si="8"/>
        <v>1.0218620640456869E-4</v>
      </c>
      <c r="H153" s="12">
        <f>SUM(Jul!H153,Aug!H153,Sep!H153)</f>
        <v>0</v>
      </c>
      <c r="I153" s="12">
        <f>SUM(Jul!I153, Aug!I153, Sep!I153)</f>
        <v>0</v>
      </c>
      <c r="J153" s="13" t="str">
        <f t="shared" si="9"/>
        <v/>
      </c>
    </row>
    <row r="154" spans="1:10" ht="15.75">
      <c r="A154" s="26" t="str">
        <v>Trinity - Freeport</v>
      </c>
      <c r="B154" s="27" t="str">
        <v>IL</v>
      </c>
      <c r="C154" s="27" t="str">
        <f>Sites[[#This Row],[SOL'#]]</f>
        <v>SOL-11057</v>
      </c>
      <c r="D154" s="9">
        <f>SUM(Jul!D154, Aug!D154, Sep!D154)</f>
        <v>442554</v>
      </c>
      <c r="E154" s="14">
        <f>SUM(Jul!E154, Aug!E154, Sep!E154)</f>
        <v>500503.4</v>
      </c>
      <c r="F154" s="14">
        <f t="shared" si="7"/>
        <v>-57949.400000000023</v>
      </c>
      <c r="G154" s="15">
        <f t="shared" si="8"/>
        <v>-0.11578223045038259</v>
      </c>
      <c r="H154" s="16">
        <f>SUM(Jul!H154,Aug!H154,Sep!H154)</f>
        <v>569424</v>
      </c>
      <c r="I154" s="16">
        <f>SUM(Jul!I154, Aug!I154, Sep!I154)</f>
        <v>-126870</v>
      </c>
      <c r="J154" s="15">
        <f t="shared" si="9"/>
        <v>-0.22280409677147434</v>
      </c>
    </row>
    <row r="155" spans="1:10" ht="15.75">
      <c r="A155" s="24" t="str">
        <v>Ransom</v>
      </c>
      <c r="B155" s="25" t="str">
        <v>NY</v>
      </c>
      <c r="C155" s="25" t="str">
        <f>Sites[[#This Row],[SOL'#]]</f>
        <v>SOL-11157</v>
      </c>
      <c r="D155" s="20">
        <f>SUM(Jul!D155, Aug!D155, Sep!D155)</f>
        <v>864708</v>
      </c>
      <c r="E155" s="10">
        <f>SUM(Jul!E155, Aug!E155, Sep!E155)</f>
        <v>861300</v>
      </c>
      <c r="F155" s="10">
        <f t="shared" si="7"/>
        <v>3408</v>
      </c>
      <c r="G155" s="11">
        <f t="shared" si="8"/>
        <v>3.9568094740508536E-3</v>
      </c>
      <c r="H155" s="12">
        <f>SUM(Jul!H155,Aug!H155,Sep!H155)</f>
        <v>0</v>
      </c>
      <c r="I155" s="12">
        <f>SUM(Jul!I155, Aug!I155, Sep!I155)</f>
        <v>0</v>
      </c>
      <c r="J155" s="13" t="str">
        <f t="shared" si="9"/>
        <v/>
      </c>
    </row>
    <row r="156" spans="1:10" ht="15.75">
      <c r="A156" s="26" t="str">
        <v>Horseheads - Wedge</v>
      </c>
      <c r="B156" s="27" t="str">
        <v>NY</v>
      </c>
      <c r="C156" s="27" t="str">
        <f>Sites[[#This Row],[SOL'#]]</f>
        <v>SOL-11160</v>
      </c>
      <c r="D156" s="9">
        <f>SUM(Jul!D156, Aug!D156, Sep!D156)</f>
        <v>730633</v>
      </c>
      <c r="E156" s="14">
        <f>SUM(Jul!E156, Aug!E156, Sep!E156)</f>
        <v>728031</v>
      </c>
      <c r="F156" s="14">
        <f t="shared" si="7"/>
        <v>2602</v>
      </c>
      <c r="G156" s="15">
        <f t="shared" si="8"/>
        <v>3.5740236336090085E-3</v>
      </c>
      <c r="H156" s="16">
        <f>SUM(Jul!H156,Aug!H156,Sep!H156)</f>
        <v>0</v>
      </c>
      <c r="I156" s="16">
        <f>SUM(Jul!I156, Aug!I156, Sep!I156)</f>
        <v>0</v>
      </c>
      <c r="J156" s="15" t="str">
        <f t="shared" si="9"/>
        <v/>
      </c>
    </row>
    <row r="157" spans="1:10" ht="15.75">
      <c r="A157" s="24" t="str">
        <v>Otisville - Shoddy Hollow</v>
      </c>
      <c r="B157" s="25" t="str">
        <v>NY</v>
      </c>
      <c r="C157" s="25" t="str">
        <f>Sites[[#This Row],[SOL'#]]</f>
        <v>SOL-11185</v>
      </c>
      <c r="D157" s="20">
        <f>SUM(Jul!D157, Aug!D157, Sep!D157)</f>
        <v>1135818</v>
      </c>
      <c r="E157" s="10">
        <f>SUM(Jul!E157, Aug!E157, Sep!E157)</f>
        <v>1131387</v>
      </c>
      <c r="F157" s="10">
        <f t="shared" si="7"/>
        <v>4431</v>
      </c>
      <c r="G157" s="11">
        <f t="shared" si="8"/>
        <v>3.9164317779857823E-3</v>
      </c>
      <c r="H157" s="12">
        <f>SUM(Jul!H157,Aug!H157,Sep!H157)</f>
        <v>0</v>
      </c>
      <c r="I157" s="12">
        <f>SUM(Jul!I157, Aug!I157, Sep!I157)</f>
        <v>0</v>
      </c>
      <c r="J157" s="13" t="str">
        <f t="shared" si="9"/>
        <v/>
      </c>
    </row>
    <row r="158" spans="1:10" ht="15.75">
      <c r="A158" s="26" t="str">
        <v>Wellsville - Chenunda Creek</v>
      </c>
      <c r="B158" s="27" t="str">
        <v>NY</v>
      </c>
      <c r="C158" s="27" t="str">
        <f>Sites[[#This Row],[SOL'#]]</f>
        <v>SOL-11187</v>
      </c>
      <c r="D158" s="9">
        <f>SUM(Jul!D158, Aug!D158, Sep!D158)</f>
        <v>621490</v>
      </c>
      <c r="E158" s="14">
        <f>SUM(Jul!E158, Aug!E158, Sep!E158)</f>
        <v>619787</v>
      </c>
      <c r="F158" s="14">
        <f t="shared" si="7"/>
        <v>1703</v>
      </c>
      <c r="G158" s="15">
        <f t="shared" si="8"/>
        <v>2.7477181676930948E-3</v>
      </c>
      <c r="H158" s="16">
        <f>SUM(Jul!H158,Aug!H158,Sep!H158)</f>
        <v>0</v>
      </c>
      <c r="I158" s="16">
        <f>SUM(Jul!I158, Aug!I158, Sep!I158)</f>
        <v>0</v>
      </c>
      <c r="J158" s="15" t="str">
        <f t="shared" si="9"/>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J4:J158 G4:G158">
    <cfRule type="cellIs" dxfId="46" priority="21" stopIfTrue="1" operator="lessThanOrEqual">
      <formula>-0.1</formula>
    </cfRule>
    <cfRule type="expression" dxfId="45"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59"/>
  <sheetViews>
    <sheetView workbookViewId="0">
      <pane xSplit="2" ySplit="3" topLeftCell="C4" activePane="bottomRight" state="frozen"/>
      <selection pane="bottomRight" activeCell="E3" sqref="E3"/>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1" t="str" cm="1">
        <f t="array" ref="A1">portfolio</f>
        <v>Generate Capital</v>
      </c>
      <c r="B1" s="151"/>
      <c r="C1" s="151"/>
      <c r="D1" s="151"/>
      <c r="E1" s="152" t="s">
        <v>17</v>
      </c>
      <c r="F1" s="152"/>
      <c r="G1" s="152"/>
      <c r="H1" s="150" t="s">
        <v>18</v>
      </c>
      <c r="I1" s="150"/>
      <c r="J1" s="150"/>
    </row>
    <row r="2" spans="1:10" ht="19.5" customHeight="1">
      <c r="A2" s="153" t="s">
        <v>2</v>
      </c>
      <c r="B2" s="153"/>
      <c r="C2" s="57"/>
      <c r="D2" s="5">
        <f>SUM(D4:D158)</f>
        <v>0</v>
      </c>
      <c r="E2" s="5">
        <f>SUM(E4:E183)</f>
        <v>0</v>
      </c>
      <c r="F2" s="5">
        <f>D2-E2</f>
        <v>0</v>
      </c>
      <c r="G2" s="6">
        <f>IFERROR(F2/E2, 0)</f>
        <v>0</v>
      </c>
      <c r="H2" s="5">
        <f>SUM(H4:H158)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75">
      <c r="A4" s="26" t="str" cm="1">
        <f t="array" ref="A4:A158">Sites[Site]</f>
        <v>K026</v>
      </c>
      <c r="B4" s="27" t="str" cm="1">
        <f t="array" ref="B4:B158">Sites[State]</f>
        <v>NY</v>
      </c>
      <c r="C4" s="27" t="str">
        <f>Sites[[#This Row],[SOL'#]]</f>
        <v>SOL-10356</v>
      </c>
      <c r="D4" s="9">
        <f>SUM(Oct!D21, Nov!D21, Dec!D21)</f>
        <v>0</v>
      </c>
      <c r="E4" s="14">
        <f>SUM(Oct!E21, Nov!E21, Dec!E21)</f>
        <v>0</v>
      </c>
      <c r="F4" s="14">
        <f t="shared" ref="F4:F62" si="0">IF(AND(ISNUMBER(D4),ISNUMBER(E4)), D4-E4, "")</f>
        <v>0</v>
      </c>
      <c r="G4" s="15" t="str">
        <f t="shared" ref="G4:G62" si="1">IFERROR(F4/E4, "")</f>
        <v/>
      </c>
      <c r="H4" s="16">
        <f>SUM(Oct!H21,Nov!H21,Dec!H21)</f>
        <v>0</v>
      </c>
      <c r="I4" s="16">
        <f>SUM(Oct!I21, Nov!I21, Dec!I21)</f>
        <v>0</v>
      </c>
      <c r="J4" s="15" t="str">
        <f t="shared" ref="J4:J62" si="2">IFERROR(I4/H4, "")</f>
        <v/>
      </c>
    </row>
    <row r="5" spans="1:10" ht="15.75">
      <c r="A5" s="24" t="str">
        <v>K041</v>
      </c>
      <c r="B5" s="25" t="str">
        <v>NY</v>
      </c>
      <c r="C5" s="25" t="str">
        <f>Sites[[#This Row],[SOL'#]]</f>
        <v>SOL-10357</v>
      </c>
      <c r="D5" s="20">
        <f>SUM(Oct!D22, Nov!D22, Dec!D22)</f>
        <v>0</v>
      </c>
      <c r="E5" s="10">
        <f>SUM(Oct!E22, Nov!E22, Dec!E22)</f>
        <v>0</v>
      </c>
      <c r="F5" s="10">
        <f t="shared" si="0"/>
        <v>0</v>
      </c>
      <c r="G5" s="11" t="str">
        <f t="shared" si="1"/>
        <v/>
      </c>
      <c r="H5" s="12">
        <f>SUM(Oct!H22,Nov!H22,Dec!H22)</f>
        <v>0</v>
      </c>
      <c r="I5" s="12">
        <f>SUM(Oct!I22, Nov!I22, Dec!I22)</f>
        <v>0</v>
      </c>
      <c r="J5" s="13" t="str">
        <f t="shared" si="2"/>
        <v/>
      </c>
    </row>
    <row r="6" spans="1:10" ht="15.75">
      <c r="A6" s="26" t="str">
        <v>K043</v>
      </c>
      <c r="B6" s="27" t="str">
        <v>NY</v>
      </c>
      <c r="C6" s="27" t="str">
        <f>Sites[[#This Row],[SOL'#]]</f>
        <v>SOL-10358</v>
      </c>
      <c r="D6" s="9">
        <f>SUM(Oct!D23, Nov!D23, Dec!D23)</f>
        <v>0</v>
      </c>
      <c r="E6" s="14">
        <f>SUM(Oct!E23, Nov!E23, Dec!E23)</f>
        <v>0</v>
      </c>
      <c r="F6" s="14">
        <f t="shared" si="0"/>
        <v>0</v>
      </c>
      <c r="G6" s="15" t="str">
        <f t="shared" si="1"/>
        <v/>
      </c>
      <c r="H6" s="16">
        <f>SUM(Oct!H23,Nov!H23,Dec!H23)</f>
        <v>0</v>
      </c>
      <c r="I6" s="16">
        <f>SUM(Oct!I23, Nov!I23, Dec!I23)</f>
        <v>0</v>
      </c>
      <c r="J6" s="15" t="str">
        <f t="shared" si="2"/>
        <v/>
      </c>
    </row>
    <row r="7" spans="1:10" ht="15.75">
      <c r="A7" s="24" t="str">
        <v>K058</v>
      </c>
      <c r="B7" s="25" t="str">
        <v>NY</v>
      </c>
      <c r="C7" s="25" t="str">
        <f>Sites[[#This Row],[SOL'#]]</f>
        <v>SOL-10360</v>
      </c>
      <c r="D7" s="20">
        <f>SUM(Oct!D24, Nov!D24, Dec!D24)</f>
        <v>0</v>
      </c>
      <c r="E7" s="10">
        <f>SUM(Oct!E24, Nov!E24, Dec!E24)</f>
        <v>0</v>
      </c>
      <c r="F7" s="10">
        <f t="shared" si="0"/>
        <v>0</v>
      </c>
      <c r="G7" s="11" t="str">
        <f t="shared" si="1"/>
        <v/>
      </c>
      <c r="H7" s="12">
        <f>SUM(Oct!H24,Nov!H24,Dec!H24)</f>
        <v>0</v>
      </c>
      <c r="I7" s="12">
        <f>SUM(Oct!I24, Nov!I24, Dec!I24)</f>
        <v>0</v>
      </c>
      <c r="J7" s="13" t="str">
        <f t="shared" si="2"/>
        <v/>
      </c>
    </row>
    <row r="8" spans="1:10" ht="15.75">
      <c r="A8" s="26" t="str">
        <v>K115</v>
      </c>
      <c r="B8" s="27" t="str">
        <v>NY</v>
      </c>
      <c r="C8" s="27" t="str">
        <f>Sites[[#This Row],[SOL'#]]</f>
        <v>SOL-10361</v>
      </c>
      <c r="D8" s="9">
        <f>SUM(Oct!D25, Nov!D25, Dec!D25)</f>
        <v>0</v>
      </c>
      <c r="E8" s="14">
        <f>SUM(Oct!E25, Nov!E25, Dec!E25)</f>
        <v>0</v>
      </c>
      <c r="F8" s="14">
        <f t="shared" si="0"/>
        <v>0</v>
      </c>
      <c r="G8" s="15" t="str">
        <f t="shared" si="1"/>
        <v/>
      </c>
      <c r="H8" s="16">
        <f>SUM(Oct!H25,Nov!H25,Dec!H25)</f>
        <v>0</v>
      </c>
      <c r="I8" s="16">
        <f>SUM(Oct!I25, Nov!I25, Dec!I25)</f>
        <v>0</v>
      </c>
      <c r="J8" s="15" t="str">
        <f t="shared" si="2"/>
        <v/>
      </c>
    </row>
    <row r="9" spans="1:10" ht="15.75">
      <c r="A9" s="24" t="str">
        <v>K152</v>
      </c>
      <c r="B9" s="25" t="str">
        <v>NY</v>
      </c>
      <c r="C9" s="25" t="str">
        <f>Sites[[#This Row],[SOL'#]]</f>
        <v>SOL-10362</v>
      </c>
      <c r="D9" s="20">
        <f>SUM(Oct!D26, Nov!D26, Dec!D26)</f>
        <v>0</v>
      </c>
      <c r="E9" s="10">
        <f>SUM(Oct!E26, Nov!E26, Dec!E26)</f>
        <v>0</v>
      </c>
      <c r="F9" s="10">
        <f t="shared" si="0"/>
        <v>0</v>
      </c>
      <c r="G9" s="11" t="str">
        <f t="shared" si="1"/>
        <v/>
      </c>
      <c r="H9" s="12">
        <f>SUM(Oct!H26,Nov!H26,Dec!H26)</f>
        <v>0</v>
      </c>
      <c r="I9" s="12">
        <f>SUM(Oct!I26, Nov!I26, Dec!I26)</f>
        <v>0</v>
      </c>
      <c r="J9" s="13" t="str">
        <f t="shared" si="2"/>
        <v/>
      </c>
    </row>
    <row r="10" spans="1:10" ht="15.75">
      <c r="A10" s="26" t="str">
        <v>K166</v>
      </c>
      <c r="B10" s="27" t="str">
        <v>NY</v>
      </c>
      <c r="C10" s="27" t="str">
        <f>Sites[[#This Row],[SOL'#]]</f>
        <v>SOL-10363</v>
      </c>
      <c r="D10" s="9">
        <f>SUM(Oct!D27, Nov!D27, Dec!D27)</f>
        <v>0</v>
      </c>
      <c r="E10" s="14">
        <f>SUM(Oct!E27, Nov!E27, Dec!E27)</f>
        <v>0</v>
      </c>
      <c r="F10" s="14">
        <f t="shared" si="0"/>
        <v>0</v>
      </c>
      <c r="G10" s="15" t="str">
        <f t="shared" si="1"/>
        <v/>
      </c>
      <c r="H10" s="16">
        <f>SUM(Oct!H27,Nov!H27,Dec!H27)</f>
        <v>0</v>
      </c>
      <c r="I10" s="16">
        <f>SUM(Oct!I27, Nov!I27, Dec!I27)</f>
        <v>0</v>
      </c>
      <c r="J10" s="15" t="str">
        <f t="shared" si="2"/>
        <v/>
      </c>
    </row>
    <row r="11" spans="1:10" ht="15.75">
      <c r="A11" s="24" t="str">
        <v>K206</v>
      </c>
      <c r="B11" s="25" t="str">
        <v>NY</v>
      </c>
      <c r="C11" s="25" t="str">
        <f>Sites[[#This Row],[SOL'#]]</f>
        <v>SOL-10927</v>
      </c>
      <c r="D11" s="20">
        <f>SUM(Oct!D28, Nov!D28, Dec!D28)</f>
        <v>0</v>
      </c>
      <c r="E11" s="10">
        <f>SUM(Oct!E28, Nov!E28, Dec!E28)</f>
        <v>0</v>
      </c>
      <c r="F11" s="10">
        <f t="shared" si="0"/>
        <v>0</v>
      </c>
      <c r="G11" s="11" t="str">
        <f t="shared" si="1"/>
        <v/>
      </c>
      <c r="H11" s="12">
        <f>SUM(Oct!H28,Nov!H28,Dec!H28)</f>
        <v>0</v>
      </c>
      <c r="I11" s="12">
        <f>SUM(Oct!I28, Nov!I28, Dec!I28)</f>
        <v>0</v>
      </c>
      <c r="J11" s="13" t="str">
        <f t="shared" si="2"/>
        <v/>
      </c>
    </row>
    <row r="12" spans="1:10" ht="15.75">
      <c r="A12" s="26" t="str">
        <v>K251</v>
      </c>
      <c r="B12" s="27" t="str">
        <v>NY</v>
      </c>
      <c r="C12" s="27" t="str">
        <f>Sites[[#This Row],[SOL'#]]</f>
        <v>SOL-10365</v>
      </c>
      <c r="D12" s="9">
        <f>SUM(Oct!D29, Nov!D29, Dec!D29)</f>
        <v>0</v>
      </c>
      <c r="E12" s="14">
        <f>SUM(Oct!E29, Nov!E29, Dec!E29)</f>
        <v>0</v>
      </c>
      <c r="F12" s="14">
        <f t="shared" si="0"/>
        <v>0</v>
      </c>
      <c r="G12" s="15" t="str">
        <f t="shared" si="1"/>
        <v/>
      </c>
      <c r="H12" s="16">
        <f>SUM(Oct!H29,Nov!H29,Dec!H29)</f>
        <v>0</v>
      </c>
      <c r="I12" s="16">
        <f>SUM(Oct!I29, Nov!I29, Dec!I29)</f>
        <v>0</v>
      </c>
      <c r="J12" s="15" t="str">
        <f t="shared" si="2"/>
        <v/>
      </c>
    </row>
    <row r="13" spans="1:10" ht="15.75">
      <c r="A13" s="24" t="str">
        <v>K269</v>
      </c>
      <c r="B13" s="25" t="str">
        <v>NY</v>
      </c>
      <c r="C13" s="25" t="str">
        <f>Sites[[#This Row],[SOL'#]]</f>
        <v>SOL-10366</v>
      </c>
      <c r="D13" s="20">
        <f>SUM(Oct!D30, Nov!D30, Dec!D30)</f>
        <v>0</v>
      </c>
      <c r="E13" s="10">
        <f>SUM(Oct!E30, Nov!E30, Dec!E30)</f>
        <v>0</v>
      </c>
      <c r="F13" s="10">
        <f t="shared" si="0"/>
        <v>0</v>
      </c>
      <c r="G13" s="11" t="str">
        <f t="shared" si="1"/>
        <v/>
      </c>
      <c r="H13" s="12">
        <f>SUM(Oct!H30,Nov!H30,Dec!H30)</f>
        <v>0</v>
      </c>
      <c r="I13" s="12">
        <f>SUM(Oct!I30, Nov!I30, Dec!I30)</f>
        <v>0</v>
      </c>
      <c r="J13" s="13" t="str">
        <f t="shared" si="2"/>
        <v/>
      </c>
    </row>
    <row r="14" spans="1:10" ht="15.75">
      <c r="A14" s="26" t="str">
        <v>K273</v>
      </c>
      <c r="B14" s="27" t="str">
        <v>NY</v>
      </c>
      <c r="C14" s="27" t="str">
        <f>Sites[[#This Row],[SOL'#]]</f>
        <v>SOL-10367</v>
      </c>
      <c r="D14" s="9">
        <f>SUM(Oct!D31, Nov!D31, Dec!D31)</f>
        <v>0</v>
      </c>
      <c r="E14" s="14">
        <f>SUM(Oct!E31, Nov!E31, Dec!E31)</f>
        <v>0</v>
      </c>
      <c r="F14" s="14">
        <f t="shared" si="0"/>
        <v>0</v>
      </c>
      <c r="G14" s="15" t="str">
        <f t="shared" si="1"/>
        <v/>
      </c>
      <c r="H14" s="16">
        <f>SUM(Oct!H31,Nov!H31,Dec!H31)</f>
        <v>0</v>
      </c>
      <c r="I14" s="16">
        <f>SUM(Oct!I31, Nov!I31, Dec!I31)</f>
        <v>0</v>
      </c>
      <c r="J14" s="15" t="str">
        <f t="shared" si="2"/>
        <v/>
      </c>
    </row>
    <row r="15" spans="1:10" ht="15.75">
      <c r="A15" s="24" t="str">
        <v>K287</v>
      </c>
      <c r="B15" s="25" t="str">
        <v>NY</v>
      </c>
      <c r="C15" s="25" t="str">
        <f>Sites[[#This Row],[SOL'#]]</f>
        <v>SOL-10919</v>
      </c>
      <c r="D15" s="20">
        <f>SUM(Oct!D32, Nov!D32, Dec!D32)</f>
        <v>0</v>
      </c>
      <c r="E15" s="10">
        <f>SUM(Oct!E32, Nov!E32, Dec!E32)</f>
        <v>0</v>
      </c>
      <c r="F15" s="10">
        <f t="shared" si="0"/>
        <v>0</v>
      </c>
      <c r="G15" s="11" t="str">
        <f t="shared" si="1"/>
        <v/>
      </c>
      <c r="H15" s="12">
        <f>SUM(Oct!H32,Nov!H32,Dec!H32)</f>
        <v>0</v>
      </c>
      <c r="I15" s="12">
        <f>SUM(Oct!I32, Nov!I32, Dec!I32)</f>
        <v>0</v>
      </c>
      <c r="J15" s="13" t="str">
        <f t="shared" si="2"/>
        <v/>
      </c>
    </row>
    <row r="16" spans="1:10" ht="15.75">
      <c r="A16" s="26" t="str">
        <v>K298</v>
      </c>
      <c r="B16" s="27" t="str">
        <v>NY</v>
      </c>
      <c r="C16" s="27" t="str">
        <f>Sites[[#This Row],[SOL'#]]</f>
        <v>SOL-10368</v>
      </c>
      <c r="D16" s="9">
        <f>SUM(Oct!D33, Nov!D33, Dec!D33)</f>
        <v>0</v>
      </c>
      <c r="E16" s="14">
        <f>SUM(Oct!E33, Nov!E33, Dec!E33)</f>
        <v>0</v>
      </c>
      <c r="F16" s="14">
        <f t="shared" si="0"/>
        <v>0</v>
      </c>
      <c r="G16" s="15" t="str">
        <f t="shared" si="1"/>
        <v/>
      </c>
      <c r="H16" s="16">
        <f>SUM(Oct!H33,Nov!H33,Dec!H33)</f>
        <v>0</v>
      </c>
      <c r="I16" s="16">
        <f>SUM(Oct!I33, Nov!I33, Dec!I33)</f>
        <v>0</v>
      </c>
      <c r="J16" s="15" t="str">
        <f t="shared" si="2"/>
        <v/>
      </c>
    </row>
    <row r="17" spans="1:10" ht="15.75">
      <c r="A17" s="24" t="str">
        <v>K335</v>
      </c>
      <c r="B17" s="25" t="str">
        <v>NY</v>
      </c>
      <c r="C17" s="25" t="str">
        <f>Sites[[#This Row],[SOL'#]]</f>
        <v>SOL-10370</v>
      </c>
      <c r="D17" s="20">
        <f>SUM(Oct!D34, Nov!D34, Dec!D34)</f>
        <v>0</v>
      </c>
      <c r="E17" s="10">
        <f>SUM(Oct!E34, Nov!E34, Dec!E34)</f>
        <v>0</v>
      </c>
      <c r="F17" s="10">
        <f t="shared" si="0"/>
        <v>0</v>
      </c>
      <c r="G17" s="11" t="str">
        <f t="shared" si="1"/>
        <v/>
      </c>
      <c r="H17" s="12">
        <f>SUM(Oct!H34,Nov!H34,Dec!H34)</f>
        <v>0</v>
      </c>
      <c r="I17" s="12">
        <f>SUM(Oct!I34, Nov!I34, Dec!I34)</f>
        <v>0</v>
      </c>
      <c r="J17" s="13" t="str">
        <f t="shared" si="2"/>
        <v/>
      </c>
    </row>
    <row r="18" spans="1:10" ht="15.75">
      <c r="A18" s="26" t="str">
        <v>K345</v>
      </c>
      <c r="B18" s="27" t="str">
        <v>NY</v>
      </c>
      <c r="C18" s="27" t="str">
        <f>Sites[[#This Row],[SOL'#]]</f>
        <v>SOL-10920</v>
      </c>
      <c r="D18" s="9">
        <f>SUM(Oct!D35, Nov!D35, Dec!D35)</f>
        <v>0</v>
      </c>
      <c r="E18" s="14">
        <f>SUM(Oct!E35, Nov!E35, Dec!E35)</f>
        <v>0</v>
      </c>
      <c r="F18" s="14">
        <f t="shared" si="0"/>
        <v>0</v>
      </c>
      <c r="G18" s="15" t="str">
        <f t="shared" si="1"/>
        <v/>
      </c>
      <c r="H18" s="16">
        <f>SUM(Oct!H35,Nov!H35,Dec!H35)</f>
        <v>0</v>
      </c>
      <c r="I18" s="16">
        <f>SUM(Oct!I35, Nov!I35, Dec!I35)</f>
        <v>0</v>
      </c>
      <c r="J18" s="15" t="str">
        <f t="shared" si="2"/>
        <v/>
      </c>
    </row>
    <row r="19" spans="1:10" ht="15.75">
      <c r="A19" s="24" t="str">
        <v>K445</v>
      </c>
      <c r="B19" s="25" t="str">
        <v>NY</v>
      </c>
      <c r="C19" s="25" t="str">
        <f>Sites[[#This Row],[SOL'#]]</f>
        <v>SOL-10373</v>
      </c>
      <c r="D19" s="20">
        <f>SUM(Oct!D36, Nov!D36, Dec!D36)</f>
        <v>0</v>
      </c>
      <c r="E19" s="10">
        <f>SUM(Oct!E36, Nov!E36, Dec!E36)</f>
        <v>0</v>
      </c>
      <c r="F19" s="10">
        <f t="shared" si="0"/>
        <v>0</v>
      </c>
      <c r="G19" s="11" t="str">
        <f t="shared" si="1"/>
        <v/>
      </c>
      <c r="H19" s="12">
        <f>SUM(Oct!H36,Nov!H36,Dec!H36)</f>
        <v>0</v>
      </c>
      <c r="I19" s="12">
        <f>SUM(Oct!I36, Nov!I36, Dec!I36)</f>
        <v>0</v>
      </c>
      <c r="J19" s="13" t="str">
        <f t="shared" si="2"/>
        <v/>
      </c>
    </row>
    <row r="20" spans="1:10" ht="15.75">
      <c r="A20" s="26" t="str">
        <v>K495</v>
      </c>
      <c r="B20" s="27" t="str">
        <v>NY</v>
      </c>
      <c r="C20" s="27" t="str">
        <f>Sites[[#This Row],[SOL'#]]</f>
        <v>SOL-10374</v>
      </c>
      <c r="D20" s="9">
        <f>SUM(Oct!D37, Nov!D37, Dec!D37)</f>
        <v>0</v>
      </c>
      <c r="E20" s="14">
        <f>SUM(Oct!E37, Nov!E37, Dec!E37)</f>
        <v>0</v>
      </c>
      <c r="F20" s="14">
        <f t="shared" si="0"/>
        <v>0</v>
      </c>
      <c r="G20" s="15" t="str">
        <f t="shared" si="1"/>
        <v/>
      </c>
      <c r="H20" s="16">
        <f>SUM(Oct!H37,Nov!H37,Dec!H37)</f>
        <v>0</v>
      </c>
      <c r="I20" s="16">
        <f>SUM(Oct!I37, Nov!I37, Dec!I37)</f>
        <v>0</v>
      </c>
      <c r="J20" s="15" t="str">
        <f t="shared" si="2"/>
        <v/>
      </c>
    </row>
    <row r="21" spans="1:10" ht="15.75">
      <c r="A21" s="24" t="str">
        <v>M020</v>
      </c>
      <c r="B21" s="25" t="str">
        <v>NY</v>
      </c>
      <c r="C21" s="25" t="str">
        <f>Sites[[#This Row],[SOL'#]]</f>
        <v>SOL-10380</v>
      </c>
      <c r="D21" s="20">
        <f>SUM(Oct!D38, Nov!D38, Dec!D38)</f>
        <v>0</v>
      </c>
      <c r="E21" s="10">
        <f>SUM(Oct!E38, Nov!E38, Dec!E38)</f>
        <v>0</v>
      </c>
      <c r="F21" s="10">
        <f t="shared" si="0"/>
        <v>0</v>
      </c>
      <c r="G21" s="11" t="str">
        <f t="shared" si="1"/>
        <v/>
      </c>
      <c r="H21" s="12">
        <f>SUM(Oct!H38,Nov!H38,Dec!H38)</f>
        <v>0</v>
      </c>
      <c r="I21" s="12">
        <f>SUM(Oct!I38, Nov!I38, Dec!I38)</f>
        <v>0</v>
      </c>
      <c r="J21" s="13" t="str">
        <f t="shared" si="2"/>
        <v/>
      </c>
    </row>
    <row r="22" spans="1:10" ht="15.75">
      <c r="A22" s="26" t="str">
        <v>M092</v>
      </c>
      <c r="B22" s="27" t="str">
        <v>NY</v>
      </c>
      <c r="C22" s="27" t="str">
        <f>Sites[[#This Row],[SOL'#]]</f>
        <v>SOL-10383</v>
      </c>
      <c r="D22" s="9">
        <f>SUM(Oct!D39, Nov!D39, Dec!D39)</f>
        <v>0</v>
      </c>
      <c r="E22" s="14">
        <f>SUM(Oct!E39, Nov!E39, Dec!E39)</f>
        <v>0</v>
      </c>
      <c r="F22" s="14">
        <f t="shared" si="0"/>
        <v>0</v>
      </c>
      <c r="G22" s="15" t="str">
        <f t="shared" si="1"/>
        <v/>
      </c>
      <c r="H22" s="16">
        <f>SUM(Oct!H39,Nov!H39,Dec!H39)</f>
        <v>0</v>
      </c>
      <c r="I22" s="16">
        <f>SUM(Oct!I39, Nov!I39, Dec!I39)</f>
        <v>0</v>
      </c>
      <c r="J22" s="15" t="str">
        <f t="shared" si="2"/>
        <v/>
      </c>
    </row>
    <row r="23" spans="1:10" ht="15.75">
      <c r="A23" s="24" t="str">
        <v>M143</v>
      </c>
      <c r="B23" s="25" t="str">
        <v>NY</v>
      </c>
      <c r="C23" s="25" t="str">
        <f>Sites[[#This Row],[SOL'#]]</f>
        <v>SOL-10384</v>
      </c>
      <c r="D23" s="20">
        <f>SUM(Oct!D40, Nov!D40, Dec!D40)</f>
        <v>0</v>
      </c>
      <c r="E23" s="10">
        <f>SUM(Oct!E40, Nov!E40, Dec!E40)</f>
        <v>0</v>
      </c>
      <c r="F23" s="10">
        <f t="shared" si="0"/>
        <v>0</v>
      </c>
      <c r="G23" s="11" t="str">
        <f t="shared" si="1"/>
        <v/>
      </c>
      <c r="H23" s="12">
        <f>SUM(Oct!H40,Nov!H40,Dec!H40)</f>
        <v>0</v>
      </c>
      <c r="I23" s="12">
        <f>SUM(Oct!I40, Nov!I40, Dec!I40)</f>
        <v>0</v>
      </c>
      <c r="J23" s="13" t="str">
        <f t="shared" si="2"/>
        <v/>
      </c>
    </row>
    <row r="24" spans="1:10" ht="15.75">
      <c r="A24" s="26" t="str">
        <v>M144</v>
      </c>
      <c r="B24" s="27" t="str">
        <v>NY</v>
      </c>
      <c r="C24" s="27" t="str">
        <f>Sites[[#This Row],[SOL'#]]</f>
        <v>SOL-10385</v>
      </c>
      <c r="D24" s="9">
        <f>SUM(Oct!D41, Nov!D41, Dec!D41)</f>
        <v>0</v>
      </c>
      <c r="E24" s="14">
        <f>SUM(Oct!E41, Nov!E41, Dec!E41)</f>
        <v>0</v>
      </c>
      <c r="F24" s="14">
        <f t="shared" si="0"/>
        <v>0</v>
      </c>
      <c r="G24" s="15" t="str">
        <f t="shared" si="1"/>
        <v/>
      </c>
      <c r="H24" s="16">
        <f>SUM(Oct!H41,Nov!H41,Dec!H41)</f>
        <v>0</v>
      </c>
      <c r="I24" s="16">
        <f>SUM(Oct!I41, Nov!I41, Dec!I41)</f>
        <v>0</v>
      </c>
      <c r="J24" s="15" t="str">
        <f t="shared" si="2"/>
        <v/>
      </c>
    </row>
    <row r="25" spans="1:10" ht="15.75">
      <c r="A25" s="24" t="str">
        <v>M167</v>
      </c>
      <c r="B25" s="25" t="str">
        <v>NY</v>
      </c>
      <c r="C25" s="25" t="str">
        <f>Sites[[#This Row],[SOL'#]]</f>
        <v>SOL-10386</v>
      </c>
      <c r="D25" s="20">
        <f>SUM(Oct!D42, Nov!D42, Dec!D42)</f>
        <v>0</v>
      </c>
      <c r="E25" s="10">
        <f>SUM(Oct!E42, Nov!E42, Dec!E42)</f>
        <v>0</v>
      </c>
      <c r="F25" s="10">
        <f t="shared" si="0"/>
        <v>0</v>
      </c>
      <c r="G25" s="11" t="str">
        <f t="shared" si="1"/>
        <v/>
      </c>
      <c r="H25" s="12">
        <f>SUM(Oct!H42,Nov!H42,Dec!H42)</f>
        <v>0</v>
      </c>
      <c r="I25" s="12">
        <f>SUM(Oct!I42, Nov!I42, Dec!I42)</f>
        <v>0</v>
      </c>
      <c r="J25" s="13" t="str">
        <f t="shared" si="2"/>
        <v/>
      </c>
    </row>
    <row r="26" spans="1:10" ht="15.75">
      <c r="A26" s="26" t="str">
        <v>M188</v>
      </c>
      <c r="B26" s="27" t="str">
        <v>NY</v>
      </c>
      <c r="C26" s="27" t="str">
        <f>Sites[[#This Row],[SOL'#]]</f>
        <v>SOL-10387</v>
      </c>
      <c r="D26" s="9">
        <f>SUM(Oct!D43, Nov!D43, Dec!D43)</f>
        <v>0</v>
      </c>
      <c r="E26" s="14">
        <f>SUM(Oct!E43, Nov!E43, Dec!E43)</f>
        <v>0</v>
      </c>
      <c r="F26" s="14">
        <f t="shared" si="0"/>
        <v>0</v>
      </c>
      <c r="G26" s="15" t="str">
        <f t="shared" si="1"/>
        <v/>
      </c>
      <c r="H26" s="16">
        <f>SUM(Oct!H43,Nov!H43,Dec!H43)</f>
        <v>0</v>
      </c>
      <c r="I26" s="16">
        <f>SUM(Oct!I43, Nov!I43, Dec!I43)</f>
        <v>0</v>
      </c>
      <c r="J26" s="15" t="str">
        <f t="shared" si="2"/>
        <v/>
      </c>
    </row>
    <row r="27" spans="1:10" ht="15.75">
      <c r="A27" s="24" t="str">
        <v>EMHC</v>
      </c>
      <c r="B27" s="25" t="str">
        <v>NY</v>
      </c>
      <c r="C27" s="25" t="str">
        <f>Sites[[#This Row],[SOL'#]]</f>
        <v>SOL-10351</v>
      </c>
      <c r="D27" s="20">
        <f>SUM(Oct!D44, Nov!D44, Dec!D44)</f>
        <v>0</v>
      </c>
      <c r="E27" s="10">
        <f>SUM(Oct!E44, Nov!E44, Dec!E44)</f>
        <v>0</v>
      </c>
      <c r="F27" s="10">
        <f t="shared" si="0"/>
        <v>0</v>
      </c>
      <c r="G27" s="11" t="str">
        <f t="shared" si="1"/>
        <v/>
      </c>
      <c r="H27" s="12">
        <f>SUM(Oct!H44,Nov!H44,Dec!H44)</f>
        <v>0</v>
      </c>
      <c r="I27" s="12">
        <f>SUM(Oct!I44, Nov!I44, Dec!I44)</f>
        <v>0</v>
      </c>
      <c r="J27" s="13" t="str">
        <f t="shared" si="2"/>
        <v/>
      </c>
    </row>
    <row r="28" spans="1:10" ht="15.75">
      <c r="A28" s="26" t="str">
        <v>Q008</v>
      </c>
      <c r="B28" s="27" t="str">
        <v>NY</v>
      </c>
      <c r="C28" s="27" t="str">
        <f>Sites[[#This Row],[SOL'#]]</f>
        <v>SOL-10397</v>
      </c>
      <c r="D28" s="9">
        <f>SUM(Oct!D45, Nov!D45, Dec!D45)</f>
        <v>0</v>
      </c>
      <c r="E28" s="14">
        <f>SUM(Oct!E45, Nov!E45, Dec!E45)</f>
        <v>0</v>
      </c>
      <c r="F28" s="14">
        <f t="shared" si="0"/>
        <v>0</v>
      </c>
      <c r="G28" s="15" t="str">
        <f t="shared" si="1"/>
        <v/>
      </c>
      <c r="H28" s="16">
        <f>SUM(Oct!H45,Nov!H45,Dec!H45)</f>
        <v>0</v>
      </c>
      <c r="I28" s="16">
        <f>SUM(Oct!I45, Nov!I45, Dec!I45)</f>
        <v>0</v>
      </c>
      <c r="J28" s="15" t="str">
        <f t="shared" si="2"/>
        <v/>
      </c>
    </row>
    <row r="29" spans="1:10" ht="15.75">
      <c r="A29" s="24" t="str">
        <v>Q018</v>
      </c>
      <c r="B29" s="25" t="str">
        <v>NY</v>
      </c>
      <c r="C29" s="25" t="str">
        <f>Sites[[#This Row],[SOL'#]]</f>
        <v>SOL-10398</v>
      </c>
      <c r="D29" s="20">
        <f>SUM(Oct!D46, Nov!D46, Dec!D46)</f>
        <v>0</v>
      </c>
      <c r="E29" s="10">
        <f>SUM(Oct!E46, Nov!E46, Dec!E46)</f>
        <v>0</v>
      </c>
      <c r="F29" s="10">
        <f t="shared" si="0"/>
        <v>0</v>
      </c>
      <c r="G29" s="11" t="str">
        <f t="shared" si="1"/>
        <v/>
      </c>
      <c r="H29" s="12">
        <f>SUM(Oct!H46,Nov!H46,Dec!H46)</f>
        <v>0</v>
      </c>
      <c r="I29" s="12">
        <f>SUM(Oct!I46, Nov!I46, Dec!I46)</f>
        <v>0</v>
      </c>
      <c r="J29" s="13" t="str">
        <f t="shared" si="2"/>
        <v/>
      </c>
    </row>
    <row r="30" spans="1:10" ht="15.75">
      <c r="A30" s="26" t="str">
        <v>Q021</v>
      </c>
      <c r="B30" s="27" t="str">
        <v>NY</v>
      </c>
      <c r="C30" s="27" t="str">
        <f>Sites[[#This Row],[SOL'#]]</f>
        <v>SOL-10399</v>
      </c>
      <c r="D30" s="9">
        <f>SUM(Oct!D47, Nov!D47, Dec!D47)</f>
        <v>0</v>
      </c>
      <c r="E30" s="14">
        <f>SUM(Oct!E47, Nov!E47, Dec!E47)</f>
        <v>0</v>
      </c>
      <c r="F30" s="14">
        <f t="shared" si="0"/>
        <v>0</v>
      </c>
      <c r="G30" s="15" t="str">
        <f t="shared" si="1"/>
        <v/>
      </c>
      <c r="H30" s="16">
        <f>SUM(Oct!H47,Nov!H47,Dec!H47)</f>
        <v>0</v>
      </c>
      <c r="I30" s="16">
        <f>SUM(Oct!I47, Nov!I47, Dec!I47)</f>
        <v>0</v>
      </c>
      <c r="J30" s="15" t="str">
        <f t="shared" si="2"/>
        <v/>
      </c>
    </row>
    <row r="31" spans="1:10" ht="15.75">
      <c r="A31" s="24" t="str">
        <v>Q025</v>
      </c>
      <c r="B31" s="25" t="str">
        <v>NY</v>
      </c>
      <c r="C31" s="25" t="str">
        <f>Sites[[#This Row],[SOL'#]]</f>
        <v>SOL-10400</v>
      </c>
      <c r="D31" s="20">
        <f>SUM(Oct!D48, Nov!D48, Dec!D48)</f>
        <v>0</v>
      </c>
      <c r="E31" s="10">
        <f>SUM(Oct!E48, Nov!E48, Dec!E48)</f>
        <v>0</v>
      </c>
      <c r="F31" s="10">
        <f t="shared" si="0"/>
        <v>0</v>
      </c>
      <c r="G31" s="11" t="str">
        <f t="shared" si="1"/>
        <v/>
      </c>
      <c r="H31" s="12">
        <f>SUM(Oct!H48,Nov!H48,Dec!H48)</f>
        <v>0</v>
      </c>
      <c r="I31" s="12">
        <f>SUM(Oct!I48, Nov!I48, Dec!I48)</f>
        <v>0</v>
      </c>
      <c r="J31" s="13" t="str">
        <f t="shared" si="2"/>
        <v/>
      </c>
    </row>
    <row r="32" spans="1:10" ht="15.75">
      <c r="A32" s="26" t="str">
        <v>Q074</v>
      </c>
      <c r="B32" s="27" t="str">
        <v>NY</v>
      </c>
      <c r="C32" s="27" t="str">
        <f>Sites[[#This Row],[SOL'#]]</f>
        <v>SOL-10402</v>
      </c>
      <c r="D32" s="9">
        <f>SUM(Oct!D49, Nov!D49, Dec!D49)</f>
        <v>0</v>
      </c>
      <c r="E32" s="14">
        <f>SUM(Oct!E49, Nov!E49, Dec!E49)</f>
        <v>0</v>
      </c>
      <c r="F32" s="14">
        <f t="shared" si="0"/>
        <v>0</v>
      </c>
      <c r="G32" s="15" t="str">
        <f t="shared" si="1"/>
        <v/>
      </c>
      <c r="H32" s="16">
        <f>SUM(Oct!H49,Nov!H49,Dec!H49)</f>
        <v>0</v>
      </c>
      <c r="I32" s="16">
        <f>SUM(Oct!I49, Nov!I49, Dec!I49)</f>
        <v>0</v>
      </c>
      <c r="J32" s="15" t="str">
        <f t="shared" si="2"/>
        <v/>
      </c>
    </row>
    <row r="33" spans="1:10" ht="15.75">
      <c r="A33" s="24" t="str">
        <v>Q115</v>
      </c>
      <c r="B33" s="25" t="str">
        <v>NY</v>
      </c>
      <c r="C33" s="25" t="str">
        <f>Sites[[#This Row],[SOL'#]]</f>
        <v>SOL-10872</v>
      </c>
      <c r="D33" s="20">
        <f>SUM(Oct!D50, Nov!D50, Dec!D50)</f>
        <v>0</v>
      </c>
      <c r="E33" s="10">
        <f>SUM(Oct!E50, Nov!E50, Dec!E50)</f>
        <v>0</v>
      </c>
      <c r="F33" s="10">
        <f t="shared" si="0"/>
        <v>0</v>
      </c>
      <c r="G33" s="11" t="str">
        <f t="shared" si="1"/>
        <v/>
      </c>
      <c r="H33" s="12">
        <f>SUM(Oct!H50,Nov!H50,Dec!H50)</f>
        <v>0</v>
      </c>
      <c r="I33" s="12">
        <f>SUM(Oct!I50, Nov!I50, Dec!I50)</f>
        <v>0</v>
      </c>
      <c r="J33" s="13" t="str">
        <f t="shared" si="2"/>
        <v/>
      </c>
    </row>
    <row r="34" spans="1:10" ht="15.75">
      <c r="A34" s="26" t="str">
        <v>Q139</v>
      </c>
      <c r="B34" s="27" t="str">
        <v>NY</v>
      </c>
      <c r="C34" s="27" t="str">
        <f>Sites[[#This Row],[SOL'#]]</f>
        <v>SOL-10403</v>
      </c>
      <c r="D34" s="9">
        <f>SUM(Oct!D51, Nov!D51, Dec!D51)</f>
        <v>0</v>
      </c>
      <c r="E34" s="14">
        <f>SUM(Oct!E51, Nov!E51, Dec!E51)</f>
        <v>0</v>
      </c>
      <c r="F34" s="14">
        <f t="shared" si="0"/>
        <v>0</v>
      </c>
      <c r="G34" s="15" t="str">
        <f t="shared" si="1"/>
        <v/>
      </c>
      <c r="H34" s="16">
        <f>SUM(Oct!H51,Nov!H51,Dec!H51)</f>
        <v>0</v>
      </c>
      <c r="I34" s="16">
        <f>SUM(Oct!I51, Nov!I51, Dec!I51)</f>
        <v>0</v>
      </c>
      <c r="J34" s="15" t="str">
        <f t="shared" si="2"/>
        <v/>
      </c>
    </row>
    <row r="35" spans="1:10" ht="15.75">
      <c r="A35" s="24" t="str">
        <v>Q157</v>
      </c>
      <c r="B35" s="25" t="str">
        <v>NY</v>
      </c>
      <c r="C35" s="25" t="str">
        <f>Sites[[#This Row],[SOL'#]]</f>
        <v>SOL-10404</v>
      </c>
      <c r="D35" s="20">
        <f>SUM(Oct!D52, Nov!D52, Dec!D52)</f>
        <v>0</v>
      </c>
      <c r="E35" s="10">
        <f>SUM(Oct!E52, Nov!E52, Dec!E52)</f>
        <v>0</v>
      </c>
      <c r="F35" s="10">
        <f t="shared" si="0"/>
        <v>0</v>
      </c>
      <c r="G35" s="11" t="str">
        <f t="shared" si="1"/>
        <v/>
      </c>
      <c r="H35" s="12">
        <f>SUM(Oct!H52,Nov!H52,Dec!H52)</f>
        <v>0</v>
      </c>
      <c r="I35" s="12">
        <f>SUM(Oct!I52, Nov!I52, Dec!I52)</f>
        <v>0</v>
      </c>
      <c r="J35" s="13" t="str">
        <f t="shared" si="2"/>
        <v/>
      </c>
    </row>
    <row r="36" spans="1:10" ht="15.75">
      <c r="A36" s="26" t="str">
        <v>Q192</v>
      </c>
      <c r="B36" s="27" t="str">
        <v>NY</v>
      </c>
      <c r="C36" s="27" t="str">
        <f>Sites[[#This Row],[SOL'#]]</f>
        <v>SOL-10406</v>
      </c>
      <c r="D36" s="9">
        <f>SUM(Oct!D53, Nov!D53, Dec!D53)</f>
        <v>0</v>
      </c>
      <c r="E36" s="14">
        <f>SUM(Oct!E53, Nov!E53, Dec!E53)</f>
        <v>0</v>
      </c>
      <c r="F36" s="14">
        <f t="shared" si="0"/>
        <v>0</v>
      </c>
      <c r="G36" s="15" t="str">
        <f t="shared" si="1"/>
        <v/>
      </c>
      <c r="H36" s="16">
        <f>SUM(Oct!H53,Nov!H53,Dec!H53)</f>
        <v>0</v>
      </c>
      <c r="I36" s="16">
        <f>SUM(Oct!I53, Nov!I53, Dec!I53)</f>
        <v>0</v>
      </c>
      <c r="J36" s="15" t="str">
        <f t="shared" si="2"/>
        <v/>
      </c>
    </row>
    <row r="37" spans="1:10" ht="15.75">
      <c r="A37" s="24" t="str">
        <v>Q210</v>
      </c>
      <c r="B37" s="25" t="str">
        <v>NY</v>
      </c>
      <c r="C37" s="25" t="str">
        <f>Sites[[#This Row],[SOL'#]]</f>
        <v>SOL-10407</v>
      </c>
      <c r="D37" s="20">
        <f>SUM(Oct!D54, Nov!D54, Dec!D54)</f>
        <v>0</v>
      </c>
      <c r="E37" s="10">
        <f>SUM(Oct!E54, Nov!E54, Dec!E54)</f>
        <v>0</v>
      </c>
      <c r="F37" s="10">
        <f t="shared" si="0"/>
        <v>0</v>
      </c>
      <c r="G37" s="11" t="str">
        <f t="shared" si="1"/>
        <v/>
      </c>
      <c r="H37" s="12">
        <f>SUM(Oct!H54,Nov!H54,Dec!H54)</f>
        <v>0</v>
      </c>
      <c r="I37" s="12">
        <f>SUM(Oct!I54, Nov!I54, Dec!I54)</f>
        <v>0</v>
      </c>
      <c r="J37" s="13" t="str">
        <f t="shared" si="2"/>
        <v/>
      </c>
    </row>
    <row r="38" spans="1:10" ht="15.75">
      <c r="A38" s="26" t="str">
        <v>Q229</v>
      </c>
      <c r="B38" s="27" t="str">
        <v>NY</v>
      </c>
      <c r="C38" s="27" t="str">
        <f>Sites[[#This Row],[SOL'#]]</f>
        <v>SOL-10408</v>
      </c>
      <c r="D38" s="9">
        <f>SUM(Oct!D55, Nov!D55, Dec!D55)</f>
        <v>0</v>
      </c>
      <c r="E38" s="14">
        <f>SUM(Oct!E55, Nov!E55, Dec!E55)</f>
        <v>0</v>
      </c>
      <c r="F38" s="14">
        <f t="shared" si="0"/>
        <v>0</v>
      </c>
      <c r="G38" s="15" t="str">
        <f t="shared" si="1"/>
        <v/>
      </c>
      <c r="H38" s="16">
        <f>SUM(Oct!H55,Nov!H55,Dec!H55)</f>
        <v>0</v>
      </c>
      <c r="I38" s="16">
        <f>SUM(Oct!I55, Nov!I55, Dec!I55)</f>
        <v>0</v>
      </c>
      <c r="J38" s="15" t="str">
        <f t="shared" si="2"/>
        <v/>
      </c>
    </row>
    <row r="39" spans="1:10" ht="15.75">
      <c r="A39" s="24" t="str">
        <v>Q231</v>
      </c>
      <c r="B39" s="25" t="str">
        <v>NY</v>
      </c>
      <c r="C39" s="25" t="str">
        <f>Sites[[#This Row],[SOL'#]]</f>
        <v>SOL-10870</v>
      </c>
      <c r="D39" s="20">
        <f>SUM(Oct!D56, Nov!D56, Dec!D56)</f>
        <v>0</v>
      </c>
      <c r="E39" s="10">
        <f>SUM(Oct!E56, Nov!E56, Dec!E56)</f>
        <v>0</v>
      </c>
      <c r="F39" s="10">
        <f t="shared" si="0"/>
        <v>0</v>
      </c>
      <c r="G39" s="11" t="str">
        <f t="shared" si="1"/>
        <v/>
      </c>
      <c r="H39" s="12">
        <f>SUM(Oct!H56,Nov!H56,Dec!H56)</f>
        <v>0</v>
      </c>
      <c r="I39" s="12">
        <f>SUM(Oct!I56, Nov!I56, Dec!I56)</f>
        <v>0</v>
      </c>
      <c r="J39" s="13" t="str">
        <f t="shared" si="2"/>
        <v/>
      </c>
    </row>
    <row r="40" spans="1:10" ht="15.75">
      <c r="A40" s="26" t="str">
        <v>Q405</v>
      </c>
      <c r="B40" s="27" t="str">
        <v>NY</v>
      </c>
      <c r="C40" s="27" t="str">
        <f>Sites[[#This Row],[SOL'#]]</f>
        <v>SOL-10409</v>
      </c>
      <c r="D40" s="9">
        <f>SUM(Oct!D57, Nov!D57, Dec!D57)</f>
        <v>0</v>
      </c>
      <c r="E40" s="14">
        <f>SUM(Oct!E57, Nov!E57, Dec!E57)</f>
        <v>0</v>
      </c>
      <c r="F40" s="14">
        <f t="shared" si="0"/>
        <v>0</v>
      </c>
      <c r="G40" s="15" t="str">
        <f t="shared" si="1"/>
        <v/>
      </c>
      <c r="H40" s="16">
        <f>SUM(Oct!H57,Nov!H57,Dec!H57)</f>
        <v>0</v>
      </c>
      <c r="I40" s="16">
        <f>SUM(Oct!I57, Nov!I57, Dec!I57)</f>
        <v>0</v>
      </c>
      <c r="J40" s="15" t="str">
        <f t="shared" si="2"/>
        <v/>
      </c>
    </row>
    <row r="41" spans="1:10" ht="15.75">
      <c r="A41" s="24" t="str">
        <v>Q435</v>
      </c>
      <c r="B41" s="25" t="str">
        <v>NY</v>
      </c>
      <c r="C41" s="25" t="str">
        <f>Sites[[#This Row],[SOL'#]]</f>
        <v>SOL-10923</v>
      </c>
      <c r="D41" s="20">
        <f>SUM(Oct!D58, Nov!D58, Dec!D58)</f>
        <v>0</v>
      </c>
      <c r="E41" s="10">
        <f>SUM(Oct!E58, Nov!E58, Dec!E58)</f>
        <v>0</v>
      </c>
      <c r="F41" s="10">
        <f t="shared" si="0"/>
        <v>0</v>
      </c>
      <c r="G41" s="11" t="str">
        <f t="shared" si="1"/>
        <v/>
      </c>
      <c r="H41" s="12">
        <f>SUM(Oct!H58,Nov!H58,Dec!H58)</f>
        <v>0</v>
      </c>
      <c r="I41" s="12">
        <f>SUM(Oct!I58, Nov!I58, Dec!I58)</f>
        <v>0</v>
      </c>
      <c r="J41" s="13" t="str">
        <f t="shared" si="2"/>
        <v/>
      </c>
    </row>
    <row r="42" spans="1:10" ht="15.75">
      <c r="A42" s="26" t="str">
        <v>Q485</v>
      </c>
      <c r="B42" s="27" t="str">
        <v>NY</v>
      </c>
      <c r="C42" s="27" t="str">
        <f>Sites[[#This Row],[SOL'#]]</f>
        <v>SOL-10869</v>
      </c>
      <c r="D42" s="9">
        <f>SUM(Oct!D59, Nov!D59, Dec!D59)</f>
        <v>0</v>
      </c>
      <c r="E42" s="14">
        <f>SUM(Oct!E59, Nov!E59, Dec!E59)</f>
        <v>0</v>
      </c>
      <c r="F42" s="14">
        <f t="shared" si="0"/>
        <v>0</v>
      </c>
      <c r="G42" s="15" t="str">
        <f t="shared" si="1"/>
        <v/>
      </c>
      <c r="H42" s="16">
        <f>SUM(Oct!H59,Nov!H59,Dec!H59)</f>
        <v>0</v>
      </c>
      <c r="I42" s="16">
        <f>SUM(Oct!I59, Nov!I59, Dec!I59)</f>
        <v>0</v>
      </c>
      <c r="J42" s="15" t="str">
        <f t="shared" si="2"/>
        <v/>
      </c>
    </row>
    <row r="43" spans="1:10" ht="15.75">
      <c r="A43" s="24" t="str">
        <v>Q490</v>
      </c>
      <c r="B43" s="25" t="str">
        <v>NY</v>
      </c>
      <c r="C43" s="25" t="str">
        <f>Sites[[#This Row],[SOL'#]]</f>
        <v>SOL-10411</v>
      </c>
      <c r="D43" s="20">
        <f>SUM(Oct!D60, Nov!D60, Dec!D60)</f>
        <v>0</v>
      </c>
      <c r="E43" s="10">
        <f>SUM(Oct!E60, Nov!E60, Dec!E60)</f>
        <v>0</v>
      </c>
      <c r="F43" s="10">
        <f t="shared" si="0"/>
        <v>0</v>
      </c>
      <c r="G43" s="11" t="str">
        <f t="shared" si="1"/>
        <v/>
      </c>
      <c r="H43" s="12">
        <f>SUM(Oct!H60,Nov!H60,Dec!H60)</f>
        <v>0</v>
      </c>
      <c r="I43" s="12">
        <f>SUM(Oct!I60, Nov!I60, Dec!I60)</f>
        <v>0</v>
      </c>
      <c r="J43" s="13" t="str">
        <f t="shared" si="2"/>
        <v/>
      </c>
    </row>
    <row r="44" spans="1:10" ht="15.75">
      <c r="A44" s="26" t="str">
        <v>Q620</v>
      </c>
      <c r="B44" s="27" t="str">
        <v>NY</v>
      </c>
      <c r="C44" s="27" t="str">
        <f>Sites[[#This Row],[SOL'#]]</f>
        <v>SOL-10867</v>
      </c>
      <c r="D44" s="9">
        <f>SUM(Oct!D61, Nov!D61, Dec!D61)</f>
        <v>0</v>
      </c>
      <c r="E44" s="14">
        <f>SUM(Oct!E61, Nov!E61, Dec!E61)</f>
        <v>0</v>
      </c>
      <c r="F44" s="14">
        <f t="shared" si="0"/>
        <v>0</v>
      </c>
      <c r="G44" s="15" t="str">
        <f t="shared" si="1"/>
        <v/>
      </c>
      <c r="H44" s="16">
        <f>SUM(Oct!H61,Nov!H61,Dec!H61)</f>
        <v>0</v>
      </c>
      <c r="I44" s="16">
        <f>SUM(Oct!I61, Nov!I61, Dec!I61)</f>
        <v>0</v>
      </c>
      <c r="J44" s="15" t="str">
        <f t="shared" si="2"/>
        <v/>
      </c>
    </row>
    <row r="45" spans="1:10" ht="15.75">
      <c r="A45" s="24" t="str">
        <v>QMOA</v>
      </c>
      <c r="B45" s="25" t="str">
        <v>NY</v>
      </c>
      <c r="C45" s="25" t="str">
        <f>Sites[[#This Row],[SOL'#]]</f>
        <v>SOL-10415</v>
      </c>
      <c r="D45" s="20">
        <f>SUM(Oct!D62, Nov!D62, Dec!D62)</f>
        <v>0</v>
      </c>
      <c r="E45" s="10">
        <f>SUM(Oct!E62, Nov!E62, Dec!E62)</f>
        <v>0</v>
      </c>
      <c r="F45" s="10">
        <f t="shared" si="0"/>
        <v>0</v>
      </c>
      <c r="G45" s="11" t="str">
        <f t="shared" si="1"/>
        <v/>
      </c>
      <c r="H45" s="12">
        <f>SUM(Oct!H62,Nov!H62,Dec!H62)</f>
        <v>0</v>
      </c>
      <c r="I45" s="12">
        <f>SUM(Oct!I62, Nov!I62, Dec!I62)</f>
        <v>0</v>
      </c>
      <c r="J45" s="13" t="str">
        <f t="shared" si="2"/>
        <v/>
      </c>
    </row>
    <row r="46" spans="1:10" ht="15.75">
      <c r="A46" s="26" t="str">
        <v>X024</v>
      </c>
      <c r="B46" s="27" t="str">
        <v>NY</v>
      </c>
      <c r="C46" s="27" t="str">
        <f>Sites[[#This Row],[SOL'#]]</f>
        <v>SOL-10419</v>
      </c>
      <c r="D46" s="9">
        <f>SUM(Oct!D63, Nov!D63, Dec!D63)</f>
        <v>0</v>
      </c>
      <c r="E46" s="14">
        <f>SUM(Oct!E63, Nov!E63, Dec!E63)</f>
        <v>0</v>
      </c>
      <c r="F46" s="14">
        <f t="shared" si="0"/>
        <v>0</v>
      </c>
      <c r="G46" s="15" t="str">
        <f t="shared" si="1"/>
        <v/>
      </c>
      <c r="H46" s="16">
        <f>SUM(Oct!H63,Nov!H63,Dec!H63)</f>
        <v>0</v>
      </c>
      <c r="I46" s="16">
        <f>SUM(Oct!I63, Nov!I63, Dec!I63)</f>
        <v>0</v>
      </c>
      <c r="J46" s="15" t="str">
        <f t="shared" si="2"/>
        <v/>
      </c>
    </row>
    <row r="47" spans="1:10" ht="15.75">
      <c r="A47" s="24" t="str">
        <v>X026</v>
      </c>
      <c r="B47" s="25" t="str">
        <v>NY</v>
      </c>
      <c r="C47" s="25" t="str">
        <f>Sites[[#This Row],[SOL'#]]</f>
        <v>SOL-10420</v>
      </c>
      <c r="D47" s="20">
        <f>SUM(Oct!D64, Nov!D64, Dec!D64)</f>
        <v>0</v>
      </c>
      <c r="E47" s="10">
        <f>SUM(Oct!E64, Nov!E64, Dec!E64)</f>
        <v>0</v>
      </c>
      <c r="F47" s="10">
        <f t="shared" si="0"/>
        <v>0</v>
      </c>
      <c r="G47" s="11" t="str">
        <f t="shared" si="1"/>
        <v/>
      </c>
      <c r="H47" s="12">
        <f>SUM(Oct!H64,Nov!H64,Dec!H64)</f>
        <v>0</v>
      </c>
      <c r="I47" s="12">
        <f>SUM(Oct!I64, Nov!I64, Dec!I64)</f>
        <v>0</v>
      </c>
      <c r="J47" s="13" t="str">
        <f t="shared" si="2"/>
        <v/>
      </c>
    </row>
    <row r="48" spans="1:10" ht="15.75">
      <c r="A48" s="26" t="str">
        <v>X090</v>
      </c>
      <c r="B48" s="27" t="str">
        <v>NY</v>
      </c>
      <c r="C48" s="27" t="str">
        <f>Sites[[#This Row],[SOL'#]]</f>
        <v>SOL-10925</v>
      </c>
      <c r="D48" s="9">
        <f>SUM(Oct!D65, Nov!D65, Dec!D65)</f>
        <v>0</v>
      </c>
      <c r="E48" s="14">
        <f>SUM(Oct!E65, Nov!E65, Dec!E65)</f>
        <v>0</v>
      </c>
      <c r="F48" s="14">
        <f t="shared" si="0"/>
        <v>0</v>
      </c>
      <c r="G48" s="15" t="str">
        <f t="shared" si="1"/>
        <v/>
      </c>
      <c r="H48" s="16">
        <f>SUM(Oct!H65,Nov!H65,Dec!H65)</f>
        <v>0</v>
      </c>
      <c r="I48" s="16">
        <f>SUM(Oct!I65, Nov!I65, Dec!I65)</f>
        <v>0</v>
      </c>
      <c r="J48" s="15" t="str">
        <f t="shared" si="2"/>
        <v/>
      </c>
    </row>
    <row r="49" spans="1:10" ht="15.75">
      <c r="A49" s="24" t="str">
        <v>X117</v>
      </c>
      <c r="B49" s="25" t="str">
        <v>NY</v>
      </c>
      <c r="C49" s="25" t="str">
        <f>Sites[[#This Row],[SOL'#]]</f>
        <v>SOL-10422</v>
      </c>
      <c r="D49" s="20">
        <f>SUM(Oct!D66, Nov!D66, Dec!D66)</f>
        <v>0</v>
      </c>
      <c r="E49" s="10">
        <f>SUM(Oct!E66, Nov!E66, Dec!E66)</f>
        <v>0</v>
      </c>
      <c r="F49" s="10">
        <f t="shared" si="0"/>
        <v>0</v>
      </c>
      <c r="G49" s="11" t="str">
        <f t="shared" si="1"/>
        <v/>
      </c>
      <c r="H49" s="12">
        <f>SUM(Oct!H66,Nov!H66,Dec!H66)</f>
        <v>0</v>
      </c>
      <c r="I49" s="12">
        <f>SUM(Oct!I66, Nov!I66, Dec!I66)</f>
        <v>0</v>
      </c>
      <c r="J49" s="13" t="str">
        <f t="shared" si="2"/>
        <v/>
      </c>
    </row>
    <row r="50" spans="1:10" ht="15.75">
      <c r="A50" s="26" t="str">
        <v>X125</v>
      </c>
      <c r="B50" s="27" t="str">
        <v>NY</v>
      </c>
      <c r="C50" s="27" t="str">
        <f>Sites[[#This Row],[SOL'#]]</f>
        <v>SOL-10423</v>
      </c>
      <c r="D50" s="9">
        <f>SUM(Oct!D67, Nov!D67, Dec!D67)</f>
        <v>0</v>
      </c>
      <c r="E50" s="14">
        <f>SUM(Oct!E67, Nov!E67, Dec!E67)</f>
        <v>0</v>
      </c>
      <c r="F50" s="14">
        <f t="shared" si="0"/>
        <v>0</v>
      </c>
      <c r="G50" s="15" t="str">
        <f t="shared" si="1"/>
        <v/>
      </c>
      <c r="H50" s="16">
        <f>SUM(Oct!H67,Nov!H67,Dec!H67)</f>
        <v>0</v>
      </c>
      <c r="I50" s="16">
        <f>SUM(Oct!I67, Nov!I67, Dec!I67)</f>
        <v>0</v>
      </c>
      <c r="J50" s="15" t="str">
        <f t="shared" si="2"/>
        <v/>
      </c>
    </row>
    <row r="51" spans="1:10" ht="15.75">
      <c r="A51" s="24" t="str">
        <v>X134</v>
      </c>
      <c r="B51" s="25" t="str">
        <v>NY</v>
      </c>
      <c r="C51" s="25" t="str">
        <f>Sites[[#This Row],[SOL'#]]</f>
        <v>SOL-10424</v>
      </c>
      <c r="D51" s="20">
        <f>SUM(Oct!D68, Nov!D68, Dec!D68)</f>
        <v>0</v>
      </c>
      <c r="E51" s="10">
        <f>SUM(Oct!E68, Nov!E68, Dec!E68)</f>
        <v>0</v>
      </c>
      <c r="F51" s="10">
        <f t="shared" si="0"/>
        <v>0</v>
      </c>
      <c r="G51" s="11" t="str">
        <f t="shared" si="1"/>
        <v/>
      </c>
      <c r="H51" s="12">
        <f>SUM(Oct!H68,Nov!H68,Dec!H68)</f>
        <v>0</v>
      </c>
      <c r="I51" s="12">
        <f>SUM(Oct!I68, Nov!I68, Dec!I68)</f>
        <v>0</v>
      </c>
      <c r="J51" s="13" t="str">
        <f t="shared" si="2"/>
        <v/>
      </c>
    </row>
    <row r="52" spans="1:10" ht="15.75">
      <c r="A52" s="26" t="str">
        <v>X135</v>
      </c>
      <c r="B52" s="27" t="str">
        <v>NY</v>
      </c>
      <c r="C52" s="27" t="str">
        <f>Sites[[#This Row],[SOL'#]]</f>
        <v>SOL-10425</v>
      </c>
      <c r="D52" s="9">
        <f>SUM(Oct!D69, Nov!D69, Dec!D69)</f>
        <v>0</v>
      </c>
      <c r="E52" s="14">
        <f>SUM(Oct!E69, Nov!E69, Dec!E69)</f>
        <v>0</v>
      </c>
      <c r="F52" s="14">
        <f t="shared" si="0"/>
        <v>0</v>
      </c>
      <c r="G52" s="15" t="str">
        <f t="shared" si="1"/>
        <v/>
      </c>
      <c r="H52" s="16">
        <f>SUM(Oct!H69,Nov!H69,Dec!H69)</f>
        <v>0</v>
      </c>
      <c r="I52" s="16">
        <f>SUM(Oct!I69, Nov!I69, Dec!I69)</f>
        <v>0</v>
      </c>
      <c r="J52" s="15" t="str">
        <f t="shared" si="2"/>
        <v/>
      </c>
    </row>
    <row r="53" spans="1:10" ht="15.75">
      <c r="A53" s="24" t="str">
        <v>X139 JHS 222</v>
      </c>
      <c r="B53" s="25" t="str">
        <v>NY</v>
      </c>
      <c r="C53" s="25" t="str">
        <f>Sites[[#This Row],[SOL'#]]</f>
        <v>SOL-10426</v>
      </c>
      <c r="D53" s="20">
        <f>SUM(Oct!D70, Nov!D70, Dec!D70)</f>
        <v>0</v>
      </c>
      <c r="E53" s="10">
        <f>SUM(Oct!E70, Nov!E70, Dec!E70)</f>
        <v>0</v>
      </c>
      <c r="F53" s="10">
        <f t="shared" si="0"/>
        <v>0</v>
      </c>
      <c r="G53" s="11" t="str">
        <f t="shared" si="1"/>
        <v/>
      </c>
      <c r="H53" s="12">
        <f>SUM(Oct!H70,Nov!H70,Dec!H70)</f>
        <v>0</v>
      </c>
      <c r="I53" s="12">
        <f>SUM(Oct!I70, Nov!I70, Dec!I70)</f>
        <v>0</v>
      </c>
      <c r="J53" s="13" t="str">
        <f t="shared" si="2"/>
        <v/>
      </c>
    </row>
    <row r="54" spans="1:10" ht="15.75">
      <c r="A54" s="26" t="str">
        <v>X140</v>
      </c>
      <c r="B54" s="27" t="str">
        <v>NY</v>
      </c>
      <c r="C54" s="27" t="str">
        <f>Sites[[#This Row],[SOL'#]]</f>
        <v>SOL-10926</v>
      </c>
      <c r="D54" s="9">
        <f>SUM(Oct!D71, Nov!D71, Dec!D71)</f>
        <v>0</v>
      </c>
      <c r="E54" s="14">
        <f>SUM(Oct!E71, Nov!E71, Dec!E71)</f>
        <v>0</v>
      </c>
      <c r="F54" s="14">
        <f t="shared" si="0"/>
        <v>0</v>
      </c>
      <c r="G54" s="15" t="str">
        <f t="shared" si="1"/>
        <v/>
      </c>
      <c r="H54" s="16">
        <f>SUM(Oct!H71,Nov!H71,Dec!H71)</f>
        <v>0</v>
      </c>
      <c r="I54" s="16">
        <f>SUM(Oct!I71, Nov!I71, Dec!I71)</f>
        <v>0</v>
      </c>
      <c r="J54" s="15" t="str">
        <f t="shared" si="2"/>
        <v/>
      </c>
    </row>
    <row r="55" spans="1:10" ht="15.75">
      <c r="A55" s="24" t="str">
        <v>X166</v>
      </c>
      <c r="B55" s="25" t="str">
        <v>NY</v>
      </c>
      <c r="C55" s="25" t="str">
        <f>Sites[[#This Row],[SOL'#]]</f>
        <v>SOL-10427</v>
      </c>
      <c r="D55" s="20">
        <f>SUM(Oct!D72, Nov!D72, Dec!D72)</f>
        <v>0</v>
      </c>
      <c r="E55" s="10">
        <f>SUM(Oct!E72, Nov!E72, Dec!E72)</f>
        <v>0</v>
      </c>
      <c r="F55" s="10">
        <f t="shared" si="0"/>
        <v>0</v>
      </c>
      <c r="G55" s="11" t="str">
        <f t="shared" si="1"/>
        <v/>
      </c>
      <c r="H55" s="12">
        <f>SUM(Oct!H72,Nov!H72,Dec!H72)</f>
        <v>0</v>
      </c>
      <c r="I55" s="12">
        <f>SUM(Oct!I72, Nov!I72, Dec!I72)</f>
        <v>0</v>
      </c>
      <c r="J55" s="13" t="str">
        <f t="shared" si="2"/>
        <v/>
      </c>
    </row>
    <row r="56" spans="1:10" ht="15.75">
      <c r="A56" s="26" t="str">
        <v>Murphy</v>
      </c>
      <c r="B56" s="27" t="str">
        <v>MN</v>
      </c>
      <c r="C56" s="27" t="str">
        <f>Sites[[#This Row],[SOL'#]]</f>
        <v>SOL-10094</v>
      </c>
      <c r="D56" s="9">
        <f>SUM(Oct!D73, Nov!D73, Dec!D73)</f>
        <v>0</v>
      </c>
      <c r="E56" s="14">
        <f>SUM(Oct!E73, Nov!E73, Dec!E73)</f>
        <v>0</v>
      </c>
      <c r="F56" s="14">
        <f t="shared" si="0"/>
        <v>0</v>
      </c>
      <c r="G56" s="15" t="str">
        <f t="shared" si="1"/>
        <v/>
      </c>
      <c r="H56" s="16">
        <f>SUM(Oct!H73,Nov!H73,Dec!H73)</f>
        <v>0</v>
      </c>
      <c r="I56" s="16">
        <f>SUM(Oct!I73, Nov!I73, Dec!I73)</f>
        <v>0</v>
      </c>
      <c r="J56" s="15" t="str">
        <f t="shared" si="2"/>
        <v/>
      </c>
    </row>
    <row r="57" spans="1:10" ht="15.75">
      <c r="A57" s="24" t="str">
        <v>Terning</v>
      </c>
      <c r="B57" s="25" t="str">
        <v>MN</v>
      </c>
      <c r="C57" s="25" t="str">
        <f>Sites[[#This Row],[SOL'#]]</f>
        <v>SOL-10093</v>
      </c>
      <c r="D57" s="20">
        <f>SUM(Oct!D74, Nov!D74, Dec!D74)</f>
        <v>0</v>
      </c>
      <c r="E57" s="10">
        <f>SUM(Oct!E74, Nov!E74, Dec!E74)</f>
        <v>0</v>
      </c>
      <c r="F57" s="10">
        <f t="shared" si="0"/>
        <v>0</v>
      </c>
      <c r="G57" s="11" t="str">
        <f t="shared" si="1"/>
        <v/>
      </c>
      <c r="H57" s="12">
        <f>SUM(Oct!H74,Nov!H74,Dec!H74)</f>
        <v>0</v>
      </c>
      <c r="I57" s="12">
        <f>SUM(Oct!I74, Nov!I74, Dec!I74)</f>
        <v>0</v>
      </c>
      <c r="J57" s="13" t="str">
        <f t="shared" si="2"/>
        <v/>
      </c>
    </row>
    <row r="58" spans="1:10" ht="15.75">
      <c r="A58" s="26" t="str">
        <v>Boas Road 04</v>
      </c>
      <c r="B58" s="27" t="str">
        <v>NY</v>
      </c>
      <c r="C58" s="27" t="str">
        <f>Sites[[#This Row],[SOL'#]]</f>
        <v>SOL-10908</v>
      </c>
      <c r="D58" s="9">
        <f>SUM(Oct!D75, Nov!D75, Dec!D75)</f>
        <v>0</v>
      </c>
      <c r="E58" s="14">
        <f>SUM(Oct!E75, Nov!E75, Dec!E75)</f>
        <v>0</v>
      </c>
      <c r="F58" s="14">
        <f t="shared" si="0"/>
        <v>0</v>
      </c>
      <c r="G58" s="15" t="str">
        <f t="shared" si="1"/>
        <v/>
      </c>
      <c r="H58" s="16">
        <f>SUM(Oct!H75,Nov!H75,Dec!H75)</f>
        <v>0</v>
      </c>
      <c r="I58" s="16">
        <f>SUM(Oct!I75, Nov!I75, Dec!I75)</f>
        <v>0</v>
      </c>
      <c r="J58" s="15" t="str">
        <f t="shared" si="2"/>
        <v/>
      </c>
    </row>
    <row r="59" spans="1:10" ht="15.75">
      <c r="A59" s="24" t="str">
        <v>Kelly Bridge Farm</v>
      </c>
      <c r="B59" s="25" t="str">
        <v>NY</v>
      </c>
      <c r="C59" s="25" t="str">
        <f>Sites[[#This Row],[SOL'#]]</f>
        <v>SOL-10911</v>
      </c>
      <c r="D59" s="20">
        <f>SUM(Oct!D76, Nov!D76, Dec!D76)</f>
        <v>0</v>
      </c>
      <c r="E59" s="10">
        <f>SUM(Oct!E76, Nov!E76, Dec!E76)</f>
        <v>0</v>
      </c>
      <c r="F59" s="10">
        <f t="shared" si="0"/>
        <v>0</v>
      </c>
      <c r="G59" s="11" t="str">
        <f t="shared" si="1"/>
        <v/>
      </c>
      <c r="H59" s="12">
        <f>SUM(Oct!H76,Nov!H76,Dec!H76)</f>
        <v>0</v>
      </c>
      <c r="I59" s="12">
        <f>SUM(Oct!I76, Nov!I76, Dec!I76)</f>
        <v>0</v>
      </c>
      <c r="J59" s="13" t="str">
        <f t="shared" si="2"/>
        <v/>
      </c>
    </row>
    <row r="60" spans="1:10" ht="15.75">
      <c r="A60" s="26" t="str">
        <v>Pool Brook Road</v>
      </c>
      <c r="B60" s="27" t="str">
        <v>NY</v>
      </c>
      <c r="C60" s="27" t="str">
        <f>Sites[[#This Row],[SOL'#]]</f>
        <v>SOL-10909</v>
      </c>
      <c r="D60" s="9">
        <f>SUM(Oct!D77, Nov!D77, Dec!D77)</f>
        <v>0</v>
      </c>
      <c r="E60" s="14">
        <f>SUM(Oct!E77, Nov!E77, Dec!E77)</f>
        <v>0</v>
      </c>
      <c r="F60" s="14">
        <f t="shared" si="0"/>
        <v>0</v>
      </c>
      <c r="G60" s="15" t="str">
        <f t="shared" si="1"/>
        <v/>
      </c>
      <c r="H60" s="16">
        <f>SUM(Oct!H77,Nov!H77,Dec!H77)</f>
        <v>0</v>
      </c>
      <c r="I60" s="16">
        <f>SUM(Oct!I77, Nov!I77, Dec!I77)</f>
        <v>0</v>
      </c>
      <c r="J60" s="15" t="str">
        <f t="shared" si="2"/>
        <v/>
      </c>
    </row>
    <row r="61" spans="1:10" ht="15.75">
      <c r="A61" s="24" t="str">
        <v>Sackett Lake</v>
      </c>
      <c r="B61" s="25" t="str">
        <v>NY</v>
      </c>
      <c r="C61" s="25" t="str">
        <f>Sites[[#This Row],[SOL'#]]</f>
        <v>SOL-10910</v>
      </c>
      <c r="D61" s="20">
        <f>SUM(Oct!D78, Nov!D78, Dec!D78)</f>
        <v>0</v>
      </c>
      <c r="E61" s="10">
        <f>SUM(Oct!E78, Nov!E78, Dec!E78)</f>
        <v>0</v>
      </c>
      <c r="F61" s="10">
        <f t="shared" si="0"/>
        <v>0</v>
      </c>
      <c r="G61" s="11" t="str">
        <f t="shared" si="1"/>
        <v/>
      </c>
      <c r="H61" s="12">
        <f>SUM(Oct!H78,Nov!H78,Dec!H78)</f>
        <v>0</v>
      </c>
      <c r="I61" s="12">
        <f>SUM(Oct!I78, Nov!I78, Dec!I78)</f>
        <v>0</v>
      </c>
      <c r="J61" s="13" t="str">
        <f t="shared" si="2"/>
        <v/>
      </c>
    </row>
    <row r="62" spans="1:10" ht="15.75">
      <c r="A62" s="26" t="str">
        <v>Burritt Road</v>
      </c>
      <c r="B62" s="27" t="str">
        <v>NY</v>
      </c>
      <c r="C62" s="27" t="str">
        <f>Sites[[#This Row],[SOL'#]]</f>
        <v>SOL-10913</v>
      </c>
      <c r="D62" s="9">
        <f>SUM(Oct!D79, Nov!D79, Dec!D79)</f>
        <v>0</v>
      </c>
      <c r="E62" s="14">
        <f>SUM(Oct!E79, Nov!E79, Dec!E79)</f>
        <v>0</v>
      </c>
      <c r="F62" s="14">
        <f t="shared" si="0"/>
        <v>0</v>
      </c>
      <c r="G62" s="15" t="str">
        <f t="shared" si="1"/>
        <v/>
      </c>
      <c r="H62" s="16">
        <f>SUM(Oct!H79,Nov!H79,Dec!H79)</f>
        <v>0</v>
      </c>
      <c r="I62" s="16">
        <f>SUM(Oct!I79, Nov!I79, Dec!I79)</f>
        <v>0</v>
      </c>
      <c r="J62" s="15" t="str">
        <f t="shared" si="2"/>
        <v/>
      </c>
    </row>
    <row r="63" spans="1:10" ht="15.75">
      <c r="A63" s="24" t="str">
        <v>Villa Roma 1</v>
      </c>
      <c r="B63" s="25" t="str">
        <v>NY</v>
      </c>
      <c r="C63" s="25" t="str">
        <f>Sites[[#This Row],[SOL'#]]</f>
        <v>SOL-10914</v>
      </c>
      <c r="D63" s="20">
        <f>SUM(Oct!D80, Nov!D80, Dec!D80)</f>
        <v>0</v>
      </c>
      <c r="E63" s="10">
        <f>SUM(Oct!E80, Nov!E80, Dec!E80)</f>
        <v>0</v>
      </c>
      <c r="F63" s="10">
        <f t="shared" ref="F63:F101" si="3">IF(AND(ISNUMBER(D63),ISNUMBER(E63)), D63-E63, "")</f>
        <v>0</v>
      </c>
      <c r="G63" s="11" t="str">
        <f t="shared" ref="G63:G101" si="4">IFERROR(F63/E63, "")</f>
        <v/>
      </c>
      <c r="H63" s="12">
        <f>SUM(Oct!H80,Nov!H80,Dec!H80)</f>
        <v>0</v>
      </c>
      <c r="I63" s="12">
        <f>SUM(Oct!I80, Nov!I80, Dec!I80)</f>
        <v>0</v>
      </c>
      <c r="J63" s="13" t="str">
        <f t="shared" ref="J63:J101" si="5">IFERROR(I63/H63, "")</f>
        <v/>
      </c>
    </row>
    <row r="64" spans="1:10" ht="15.75">
      <c r="A64" s="26" t="str">
        <v>Villa Roma 2</v>
      </c>
      <c r="B64" s="27" t="str">
        <v>NY</v>
      </c>
      <c r="C64" s="27" t="str">
        <f>Sites[[#This Row],[SOL'#]]</f>
        <v>SOL-10915</v>
      </c>
      <c r="D64" s="9">
        <f>SUM(Oct!D81, Nov!D81, Dec!D81)</f>
        <v>0</v>
      </c>
      <c r="E64" s="14">
        <f>SUM(Oct!E81, Nov!E81, Dec!E81)</f>
        <v>0</v>
      </c>
      <c r="F64" s="14">
        <f t="shared" si="3"/>
        <v>0</v>
      </c>
      <c r="G64" s="15" t="str">
        <f t="shared" si="4"/>
        <v/>
      </c>
      <c r="H64" s="16">
        <f>SUM(Oct!H81,Nov!H81,Dec!H81)</f>
        <v>0</v>
      </c>
      <c r="I64" s="16">
        <f>SUM(Oct!I81, Nov!I81, Dec!I81)</f>
        <v>0</v>
      </c>
      <c r="J64" s="15" t="str">
        <f t="shared" si="5"/>
        <v/>
      </c>
    </row>
    <row r="65" spans="1:10" ht="15.75">
      <c r="A65" s="24" t="str">
        <v>Washington 1</v>
      </c>
      <c r="B65" s="25" t="str">
        <v>NY</v>
      </c>
      <c r="C65" s="25" t="str">
        <f>Sites[[#This Row],[SOL'#]]</f>
        <v>SOL-10912</v>
      </c>
      <c r="D65" s="20">
        <f>SUM(Oct!D82, Nov!D82, Dec!D82)</f>
        <v>0</v>
      </c>
      <c r="E65" s="10">
        <f>SUM(Oct!E82, Nov!E82, Dec!E82)</f>
        <v>0</v>
      </c>
      <c r="F65" s="10">
        <f t="shared" si="3"/>
        <v>0</v>
      </c>
      <c r="G65" s="11" t="str">
        <f t="shared" si="4"/>
        <v/>
      </c>
      <c r="H65" s="12">
        <f>SUM(Oct!H82,Nov!H82,Dec!H82)</f>
        <v>0</v>
      </c>
      <c r="I65" s="12">
        <f>SUM(Oct!I82, Nov!I82, Dec!I82)</f>
        <v>0</v>
      </c>
      <c r="J65" s="13" t="str">
        <f t="shared" si="5"/>
        <v/>
      </c>
    </row>
    <row r="66" spans="1:10" ht="15.75">
      <c r="A66" s="26" t="str">
        <v>Washington 3</v>
      </c>
      <c r="B66" s="27" t="str">
        <v>NY</v>
      </c>
      <c r="C66" s="27" t="str">
        <f>Sites[[#This Row],[SOL'#]]</f>
        <v>SOL-10828</v>
      </c>
      <c r="D66" s="9">
        <f>SUM(Oct!D83, Nov!D83, Dec!D83)</f>
        <v>0</v>
      </c>
      <c r="E66" s="14">
        <f>SUM(Oct!E83, Nov!E83, Dec!E83)</f>
        <v>0</v>
      </c>
      <c r="F66" s="14">
        <f t="shared" si="3"/>
        <v>0</v>
      </c>
      <c r="G66" s="15" t="str">
        <f t="shared" si="4"/>
        <v/>
      </c>
      <c r="H66" s="16">
        <f>SUM(Oct!H83,Nov!H83,Dec!H83)</f>
        <v>0</v>
      </c>
      <c r="I66" s="16">
        <f>SUM(Oct!I83, Nov!I83, Dec!I83)</f>
        <v>0</v>
      </c>
      <c r="J66" s="15" t="str">
        <f t="shared" si="5"/>
        <v/>
      </c>
    </row>
    <row r="67" spans="1:10" ht="15.75">
      <c r="A67" s="24" t="str">
        <v>Washington 4</v>
      </c>
      <c r="B67" s="25" t="str">
        <v>NY</v>
      </c>
      <c r="C67" s="25" t="str">
        <f>Sites[[#This Row],[SOL'#]]</f>
        <v>SOL-10829</v>
      </c>
      <c r="D67" s="20">
        <f>SUM(Oct!D84, Nov!D84, Dec!D84)</f>
        <v>0</v>
      </c>
      <c r="E67" s="10">
        <f>SUM(Oct!E84, Nov!E84, Dec!E84)</f>
        <v>0</v>
      </c>
      <c r="F67" s="10">
        <f t="shared" si="3"/>
        <v>0</v>
      </c>
      <c r="G67" s="11" t="str">
        <f t="shared" si="4"/>
        <v/>
      </c>
      <c r="H67" s="12">
        <f>SUM(Oct!H84,Nov!H84,Dec!H84)</f>
        <v>0</v>
      </c>
      <c r="I67" s="12">
        <f>SUM(Oct!I84, Nov!I84, Dec!I84)</f>
        <v>0</v>
      </c>
      <c r="J67" s="13" t="str">
        <f t="shared" si="5"/>
        <v/>
      </c>
    </row>
    <row r="68" spans="1:10" ht="15.75">
      <c r="A68" s="26" t="str">
        <v>Big Tree</v>
      </c>
      <c r="B68" s="27" t="str">
        <v>NY</v>
      </c>
      <c r="C68" s="27" t="str">
        <f>Sites[[#This Row],[SOL'#]]</f>
        <v>SOL-10966</v>
      </c>
      <c r="D68" s="9">
        <f>SUM(Oct!D85, Nov!D85, Dec!D85)</f>
        <v>0</v>
      </c>
      <c r="E68" s="14">
        <f>SUM(Oct!E85, Nov!E85, Dec!E85)</f>
        <v>0</v>
      </c>
      <c r="F68" s="14">
        <f t="shared" si="3"/>
        <v>0</v>
      </c>
      <c r="G68" s="15" t="str">
        <f t="shared" si="4"/>
        <v/>
      </c>
      <c r="H68" s="16">
        <f>SUM(Oct!H85,Nov!H85,Dec!H85)</f>
        <v>0</v>
      </c>
      <c r="I68" s="16">
        <f>SUM(Oct!I85, Nov!I85, Dec!I85)</f>
        <v>0</v>
      </c>
      <c r="J68" s="15" t="str">
        <f t="shared" si="5"/>
        <v/>
      </c>
    </row>
    <row r="69" spans="1:10" ht="15.75">
      <c r="A69" s="24" t="str">
        <v>Canoga</v>
      </c>
      <c r="B69" s="25" t="str">
        <v>NY</v>
      </c>
      <c r="C69" s="25" t="str">
        <f>Sites[[#This Row],[SOL'#]]</f>
        <v>SOL-10965</v>
      </c>
      <c r="D69" s="20">
        <f>SUM(Oct!D86, Nov!D86, Dec!D86)</f>
        <v>0</v>
      </c>
      <c r="E69" s="10">
        <f>SUM(Oct!E86, Nov!E86, Dec!E86)</f>
        <v>0</v>
      </c>
      <c r="F69" s="10">
        <f t="shared" si="3"/>
        <v>0</v>
      </c>
      <c r="G69" s="11" t="str">
        <f t="shared" si="4"/>
        <v/>
      </c>
      <c r="H69" s="12">
        <f>SUM(Oct!H86,Nov!H86,Dec!H86)</f>
        <v>0</v>
      </c>
      <c r="I69" s="12">
        <f>SUM(Oct!I86, Nov!I86, Dec!I86)</f>
        <v>0</v>
      </c>
      <c r="J69" s="13" t="str">
        <f t="shared" si="5"/>
        <v/>
      </c>
    </row>
    <row r="70" spans="1:10" ht="15.75">
      <c r="A70" s="26" t="str">
        <v>County Route 84</v>
      </c>
      <c r="B70" s="27" t="str">
        <v>NY</v>
      </c>
      <c r="C70" s="27" t="str">
        <f>Sites[[#This Row],[SOL'#]]</f>
        <v>SOL-10967</v>
      </c>
      <c r="D70" s="9">
        <f>SUM(Oct!D87, Nov!D87, Dec!D87)</f>
        <v>0</v>
      </c>
      <c r="E70" s="14">
        <f>SUM(Oct!E87, Nov!E87, Dec!E87)</f>
        <v>0</v>
      </c>
      <c r="F70" s="14">
        <f t="shared" si="3"/>
        <v>0</v>
      </c>
      <c r="G70" s="15" t="str">
        <f t="shared" si="4"/>
        <v/>
      </c>
      <c r="H70" s="16">
        <f>SUM(Oct!H87,Nov!H87,Dec!H87)</f>
        <v>0</v>
      </c>
      <c r="I70" s="16">
        <f>SUM(Oct!I87, Nov!I87, Dec!I87)</f>
        <v>0</v>
      </c>
      <c r="J70" s="15" t="str">
        <f t="shared" si="5"/>
        <v/>
      </c>
    </row>
    <row r="71" spans="1:10" ht="15.75">
      <c r="A71" s="24" t="str">
        <v>Donati</v>
      </c>
      <c r="B71" s="25" t="str">
        <v>NY</v>
      </c>
      <c r="C71" s="25" t="str">
        <f>Sites[[#This Row],[SOL'#]]</f>
        <v>SOL-10968</v>
      </c>
      <c r="D71" s="20">
        <f>SUM(Oct!D88, Nov!D88, Dec!D88)</f>
        <v>0</v>
      </c>
      <c r="E71" s="10">
        <f>SUM(Oct!E88, Nov!E88, Dec!E88)</f>
        <v>0</v>
      </c>
      <c r="F71" s="10">
        <f t="shared" si="3"/>
        <v>0</v>
      </c>
      <c r="G71" s="11" t="str">
        <f t="shared" si="4"/>
        <v/>
      </c>
      <c r="H71" s="12">
        <f>SUM(Oct!H88,Nov!H88,Dec!H88)</f>
        <v>0</v>
      </c>
      <c r="I71" s="12">
        <f>SUM(Oct!I88, Nov!I88, Dec!I88)</f>
        <v>0</v>
      </c>
      <c r="J71" s="13" t="str">
        <f t="shared" si="5"/>
        <v/>
      </c>
    </row>
    <row r="72" spans="1:10" ht="15.75">
      <c r="A72" s="26" t="str">
        <v>Henrietta</v>
      </c>
      <c r="B72" s="27" t="str">
        <v>NY</v>
      </c>
      <c r="C72" s="27" t="str">
        <f>Sites[[#This Row],[SOL'#]]</f>
        <v>SOL-10972</v>
      </c>
      <c r="D72" s="9">
        <f>SUM(Oct!D89, Nov!D89, Dec!D89)</f>
        <v>0</v>
      </c>
      <c r="E72" s="14">
        <f>SUM(Oct!E89, Nov!E89, Dec!E89)</f>
        <v>0</v>
      </c>
      <c r="F72" s="14">
        <f t="shared" si="3"/>
        <v>0</v>
      </c>
      <c r="G72" s="15" t="str">
        <f t="shared" si="4"/>
        <v/>
      </c>
      <c r="H72" s="16">
        <f>SUM(Oct!H89,Nov!H89,Dec!H89)</f>
        <v>0</v>
      </c>
      <c r="I72" s="16">
        <f>SUM(Oct!I89, Nov!I89, Dec!I89)</f>
        <v>0</v>
      </c>
      <c r="J72" s="15" t="str">
        <f t="shared" si="5"/>
        <v/>
      </c>
    </row>
    <row r="73" spans="1:10" ht="15.75">
      <c r="A73" s="24" t="str">
        <v>NY 70</v>
      </c>
      <c r="B73" s="25" t="str">
        <v>NY</v>
      </c>
      <c r="C73" s="25" t="str">
        <f>Sites[[#This Row],[SOL'#]]</f>
        <v>SOL-10970</v>
      </c>
      <c r="D73" s="20">
        <f>SUM(Oct!D90, Nov!D90, Dec!D90)</f>
        <v>0</v>
      </c>
      <c r="E73" s="10">
        <f>SUM(Oct!E90, Nov!E90, Dec!E90)</f>
        <v>0</v>
      </c>
      <c r="F73" s="10">
        <f t="shared" si="3"/>
        <v>0</v>
      </c>
      <c r="G73" s="11" t="str">
        <f t="shared" si="4"/>
        <v/>
      </c>
      <c r="H73" s="12">
        <f>SUM(Oct!H90,Nov!H90,Dec!H90)</f>
        <v>0</v>
      </c>
      <c r="I73" s="12">
        <f>SUM(Oct!I90, Nov!I90, Dec!I90)</f>
        <v>0</v>
      </c>
      <c r="J73" s="13" t="str">
        <f t="shared" si="5"/>
        <v/>
      </c>
    </row>
    <row r="74" spans="1:10" ht="15.75">
      <c r="A74" s="26" t="str">
        <v>Reid</v>
      </c>
      <c r="B74" s="27" t="str">
        <v>NY</v>
      </c>
      <c r="C74" s="27" t="str">
        <f>Sites[[#This Row],[SOL'#]]</f>
        <v>SOL-10991</v>
      </c>
      <c r="D74" s="9">
        <f>SUM(Oct!D91, Nov!D91, Dec!D91)</f>
        <v>0</v>
      </c>
      <c r="E74" s="14">
        <f>SUM(Oct!E91, Nov!E91, Dec!E91)</f>
        <v>0</v>
      </c>
      <c r="F74" s="14">
        <f t="shared" si="3"/>
        <v>0</v>
      </c>
      <c r="G74" s="15" t="str">
        <f t="shared" si="4"/>
        <v/>
      </c>
      <c r="H74" s="16">
        <f>SUM(Oct!H91,Nov!H91,Dec!H91)</f>
        <v>0</v>
      </c>
      <c r="I74" s="16">
        <f>SUM(Oct!I91, Nov!I91, Dec!I91)</f>
        <v>0</v>
      </c>
      <c r="J74" s="15" t="str">
        <f t="shared" si="5"/>
        <v/>
      </c>
    </row>
    <row r="75" spans="1:10" ht="15.75">
      <c r="A75" s="24" t="str">
        <v>Sangolqui</v>
      </c>
      <c r="B75" s="25" t="str">
        <v>NY</v>
      </c>
      <c r="C75" s="25" t="str">
        <f>Sites[[#This Row],[SOL'#]]</f>
        <v>SOL-10975</v>
      </c>
      <c r="D75" s="20">
        <f>SUM(Oct!D92, Nov!D92, Dec!D92)</f>
        <v>0</v>
      </c>
      <c r="E75" s="10">
        <f>SUM(Oct!E92, Nov!E92, Dec!E92)</f>
        <v>0</v>
      </c>
      <c r="F75" s="10">
        <f t="shared" si="3"/>
        <v>0</v>
      </c>
      <c r="G75" s="11" t="str">
        <f t="shared" si="4"/>
        <v/>
      </c>
      <c r="H75" s="12">
        <f>SUM(Oct!H92,Nov!H92,Dec!H92)</f>
        <v>0</v>
      </c>
      <c r="I75" s="12">
        <f>SUM(Oct!I92, Nov!I92, Dec!I92)</f>
        <v>0</v>
      </c>
      <c r="J75" s="13" t="str">
        <f t="shared" si="5"/>
        <v/>
      </c>
    </row>
    <row r="76" spans="1:10" ht="15.75">
      <c r="A76" s="26" t="str">
        <v>State Highway 17B</v>
      </c>
      <c r="B76" s="27" t="str">
        <v>NY</v>
      </c>
      <c r="C76" s="27" t="str">
        <f>Sites[[#This Row],[SOL'#]]</f>
        <v>SOL-10988</v>
      </c>
      <c r="D76" s="9">
        <f>SUM(Oct!D93, Nov!D93, Dec!D93)</f>
        <v>0</v>
      </c>
      <c r="E76" s="14">
        <f>SUM(Oct!E93, Nov!E93, Dec!E93)</f>
        <v>0</v>
      </c>
      <c r="F76" s="14">
        <f t="shared" si="3"/>
        <v>0</v>
      </c>
      <c r="G76" s="15" t="str">
        <f t="shared" si="4"/>
        <v/>
      </c>
      <c r="H76" s="16">
        <f>SUM(Oct!H93,Nov!H93,Dec!H93)</f>
        <v>0</v>
      </c>
      <c r="I76" s="16">
        <f>SUM(Oct!I93, Nov!I93, Dec!I93)</f>
        <v>0</v>
      </c>
      <c r="J76" s="15" t="str">
        <f t="shared" si="5"/>
        <v/>
      </c>
    </row>
    <row r="77" spans="1:10" ht="15.75">
      <c r="A77" s="24" t="str">
        <v>State Route 14A</v>
      </c>
      <c r="B77" s="25" t="str">
        <v>NY</v>
      </c>
      <c r="C77" s="25" t="str">
        <f>Sites[[#This Row],[SOL'#]]</f>
        <v>SOL-10997</v>
      </c>
      <c r="D77" s="20">
        <f>SUM(Oct!D94, Nov!D94, Dec!D94)</f>
        <v>0</v>
      </c>
      <c r="E77" s="10">
        <f>SUM(Oct!E94, Nov!E94, Dec!E94)</f>
        <v>0</v>
      </c>
      <c r="F77" s="10">
        <f t="shared" si="3"/>
        <v>0</v>
      </c>
      <c r="G77" s="11" t="str">
        <f t="shared" si="4"/>
        <v/>
      </c>
      <c r="H77" s="12">
        <f>SUM(Oct!H94,Nov!H94,Dec!H94)</f>
        <v>0</v>
      </c>
      <c r="I77" s="12">
        <f>SUM(Oct!I94, Nov!I94, Dec!I94)</f>
        <v>0</v>
      </c>
      <c r="J77" s="13" t="str">
        <f t="shared" si="5"/>
        <v/>
      </c>
    </row>
    <row r="78" spans="1:10" ht="15.75">
      <c r="A78" s="26" t="str">
        <v>West Creek</v>
      </c>
      <c r="B78" s="27" t="str">
        <v>NY</v>
      </c>
      <c r="C78" s="27" t="str">
        <f>Sites[[#This Row],[SOL'#]]</f>
        <v>SOL-10995</v>
      </c>
      <c r="D78" s="9">
        <f>SUM(Oct!D95, Nov!D95, Dec!D95)</f>
        <v>0</v>
      </c>
      <c r="E78" s="14">
        <f>SUM(Oct!E95, Nov!E95, Dec!E95)</f>
        <v>0</v>
      </c>
      <c r="F78" s="14">
        <f t="shared" si="3"/>
        <v>0</v>
      </c>
      <c r="G78" s="15" t="str">
        <f t="shared" si="4"/>
        <v/>
      </c>
      <c r="H78" s="16">
        <f>SUM(Oct!H95,Nov!H95,Dec!H95)</f>
        <v>0</v>
      </c>
      <c r="I78" s="16">
        <f>SUM(Oct!I95, Nov!I95, Dec!I95)</f>
        <v>0</v>
      </c>
      <c r="J78" s="15" t="str">
        <f t="shared" si="5"/>
        <v/>
      </c>
    </row>
    <row r="79" spans="1:10" ht="15.75">
      <c r="A79" s="24" t="str">
        <v>Wildflower</v>
      </c>
      <c r="B79" s="25" t="str">
        <v>NY</v>
      </c>
      <c r="C79" s="25" t="str">
        <f>Sites[[#This Row],[SOL'#]]</f>
        <v>SOL-10982</v>
      </c>
      <c r="D79" s="20">
        <f>SUM(Oct!D96, Nov!D96, Dec!D96)</f>
        <v>0</v>
      </c>
      <c r="E79" s="10">
        <f>SUM(Oct!E96, Nov!E96, Dec!E96)</f>
        <v>0</v>
      </c>
      <c r="F79" s="10">
        <f t="shared" si="3"/>
        <v>0</v>
      </c>
      <c r="G79" s="11" t="str">
        <f t="shared" si="4"/>
        <v/>
      </c>
      <c r="H79" s="12">
        <f>SUM(Oct!H96,Nov!H96,Dec!H96)</f>
        <v>0</v>
      </c>
      <c r="I79" s="12">
        <f>SUM(Oct!I96, Nov!I96, Dec!I96)</f>
        <v>0</v>
      </c>
      <c r="J79" s="13" t="str">
        <f t="shared" si="5"/>
        <v/>
      </c>
    </row>
    <row r="80" spans="1:10" ht="15.75">
      <c r="A80" s="26" t="str">
        <v>Glen Mary 1</v>
      </c>
      <c r="B80" s="27" t="str">
        <v>NY</v>
      </c>
      <c r="C80" s="27" t="str">
        <f>Sites[[#This Row],[SOL'#]]</f>
        <v>SOL-10993</v>
      </c>
      <c r="D80" s="9">
        <f>SUM(Oct!D97, Nov!D97, Dec!D97)</f>
        <v>0</v>
      </c>
      <c r="E80" s="14">
        <f>SUM(Oct!E97, Nov!E97, Dec!E97)</f>
        <v>0</v>
      </c>
      <c r="F80" s="14">
        <f t="shared" si="3"/>
        <v>0</v>
      </c>
      <c r="G80" s="15" t="str">
        <f t="shared" si="4"/>
        <v/>
      </c>
      <c r="H80" s="16">
        <f>SUM(Oct!H97,Nov!H97,Dec!H97)</f>
        <v>0</v>
      </c>
      <c r="I80" s="16">
        <f>SUM(Oct!I97, Nov!I97, Dec!I97)</f>
        <v>0</v>
      </c>
      <c r="J80" s="15" t="str">
        <f t="shared" si="5"/>
        <v/>
      </c>
    </row>
    <row r="81" spans="1:10" ht="15.75">
      <c r="A81" s="24" t="str">
        <v>Glen Mary 2</v>
      </c>
      <c r="B81" s="25" t="str">
        <v>NY</v>
      </c>
      <c r="C81" s="25" t="str">
        <f>Sites[[#This Row],[SOL'#]]</f>
        <v>SOL-10994</v>
      </c>
      <c r="D81" s="20">
        <f>SUM(Oct!D98, Nov!D98, Dec!D98)</f>
        <v>0</v>
      </c>
      <c r="E81" s="10">
        <f>SUM(Oct!E98, Nov!E98, Dec!E98)</f>
        <v>0</v>
      </c>
      <c r="F81" s="10">
        <f t="shared" si="3"/>
        <v>0</v>
      </c>
      <c r="G81" s="11" t="str">
        <f t="shared" si="4"/>
        <v/>
      </c>
      <c r="H81" s="12">
        <f>SUM(Oct!H98,Nov!H98,Dec!H98)</f>
        <v>0</v>
      </c>
      <c r="I81" s="12">
        <f>SUM(Oct!I98, Nov!I98, Dec!I98)</f>
        <v>0</v>
      </c>
      <c r="J81" s="13" t="str">
        <f t="shared" si="5"/>
        <v/>
      </c>
    </row>
    <row r="82" spans="1:10" ht="15.75">
      <c r="A82" s="26" t="str">
        <v>Telegraph 1</v>
      </c>
      <c r="B82" s="27" t="str">
        <v>NY</v>
      </c>
      <c r="C82" s="27" t="str">
        <f>Sites[[#This Row],[SOL'#]]</f>
        <v>SOL-11003</v>
      </c>
      <c r="D82" s="9">
        <f>SUM(Oct!D99, Nov!D99, Dec!D99)</f>
        <v>0</v>
      </c>
      <c r="E82" s="14">
        <f>SUM(Oct!E99, Nov!E99, Dec!E99)</f>
        <v>0</v>
      </c>
      <c r="F82" s="14">
        <f t="shared" si="3"/>
        <v>0</v>
      </c>
      <c r="G82" s="15" t="str">
        <f t="shared" si="4"/>
        <v/>
      </c>
      <c r="H82" s="16">
        <f>SUM(Oct!H99,Nov!H99,Dec!H99)</f>
        <v>0</v>
      </c>
      <c r="I82" s="16">
        <f>SUM(Oct!I99, Nov!I99, Dec!I99)</f>
        <v>0</v>
      </c>
      <c r="J82" s="15" t="str">
        <f t="shared" si="5"/>
        <v/>
      </c>
    </row>
    <row r="83" spans="1:10" ht="15.75">
      <c r="A83" s="24" t="str">
        <v>Telegraph 2</v>
      </c>
      <c r="B83" s="25" t="str">
        <v>NY</v>
      </c>
      <c r="C83" s="25" t="str">
        <f>Sites[[#This Row],[SOL'#]]</f>
        <v>SOL-11004</v>
      </c>
      <c r="D83" s="20">
        <f>SUM(Oct!D100, Nov!D100, Dec!D100)</f>
        <v>0</v>
      </c>
      <c r="E83" s="10">
        <f>SUM(Oct!E100, Nov!E100, Dec!E100)</f>
        <v>0</v>
      </c>
      <c r="F83" s="10">
        <f t="shared" si="3"/>
        <v>0</v>
      </c>
      <c r="G83" s="11" t="str">
        <f t="shared" si="4"/>
        <v/>
      </c>
      <c r="H83" s="12">
        <f>SUM(Oct!H100,Nov!H100,Dec!H100)</f>
        <v>0</v>
      </c>
      <c r="I83" s="12">
        <f>SUM(Oct!I100, Nov!I100, Dec!I100)</f>
        <v>0</v>
      </c>
      <c r="J83" s="13" t="str">
        <f t="shared" si="5"/>
        <v/>
      </c>
    </row>
    <row r="84" spans="1:10" ht="15.75">
      <c r="A84" s="26" t="str">
        <v>Cafferty Hill</v>
      </c>
      <c r="B84" s="27" t="str">
        <v>NY</v>
      </c>
      <c r="C84" s="27" t="str">
        <f>Sites[[#This Row],[SOL'#]]</f>
        <v>SOL-10996</v>
      </c>
      <c r="D84" s="9">
        <f>SUM(Oct!D101, Nov!D101, Dec!D101)</f>
        <v>0</v>
      </c>
      <c r="E84" s="14">
        <f>SUM(Oct!E101, Nov!E101, Dec!E101)</f>
        <v>0</v>
      </c>
      <c r="F84" s="14">
        <f t="shared" si="3"/>
        <v>0</v>
      </c>
      <c r="G84" s="15" t="str">
        <f t="shared" si="4"/>
        <v/>
      </c>
      <c r="H84" s="16">
        <f>SUM(Oct!H101,Nov!H101,Dec!H101)</f>
        <v>0</v>
      </c>
      <c r="I84" s="16">
        <f>SUM(Oct!I101, Nov!I101, Dec!I101)</f>
        <v>0</v>
      </c>
      <c r="J84" s="15" t="str">
        <f t="shared" si="5"/>
        <v/>
      </c>
    </row>
    <row r="85" spans="1:10" ht="15.75">
      <c r="A85" s="24" t="str">
        <v>Dunkleman</v>
      </c>
      <c r="B85" s="25" t="str">
        <v>NY</v>
      </c>
      <c r="C85" s="25" t="str">
        <f>Sites[[#This Row],[SOL'#]]</f>
        <v>SOL-11008</v>
      </c>
      <c r="D85" s="20">
        <f>SUM(Oct!D102, Nov!D102, Dec!D102)</f>
        <v>0</v>
      </c>
      <c r="E85" s="10">
        <f>SUM(Oct!E102, Nov!E102, Dec!E102)</f>
        <v>0</v>
      </c>
      <c r="F85" s="10">
        <f t="shared" si="3"/>
        <v>0</v>
      </c>
      <c r="G85" s="11" t="str">
        <f t="shared" si="4"/>
        <v/>
      </c>
      <c r="H85" s="12">
        <f>SUM(Oct!H102,Nov!H102,Dec!H102)</f>
        <v>0</v>
      </c>
      <c r="I85" s="12">
        <f>SUM(Oct!I102, Nov!I102, Dec!I102)</f>
        <v>0</v>
      </c>
      <c r="J85" s="13" t="str">
        <f t="shared" si="5"/>
        <v/>
      </c>
    </row>
    <row r="86" spans="1:10" ht="15.75">
      <c r="A86" s="26" t="str">
        <v>Route 19 1</v>
      </c>
      <c r="B86" s="27" t="str">
        <v>NY</v>
      </c>
      <c r="C86" s="27" t="str">
        <f>Sites[[#This Row],[SOL'#]]</f>
        <v>SOL-11001</v>
      </c>
      <c r="D86" s="9">
        <f>SUM(Oct!D103, Nov!D103, Dec!D103)</f>
        <v>0</v>
      </c>
      <c r="E86" s="14">
        <f>SUM(Oct!E103, Nov!E103, Dec!E103)</f>
        <v>0</v>
      </c>
      <c r="F86" s="14">
        <f t="shared" si="3"/>
        <v>0</v>
      </c>
      <c r="G86" s="15" t="str">
        <f t="shared" si="4"/>
        <v/>
      </c>
      <c r="H86" s="16">
        <f>SUM(Oct!H103,Nov!H103,Dec!H103)</f>
        <v>0</v>
      </c>
      <c r="I86" s="16">
        <f>SUM(Oct!I103, Nov!I103, Dec!I103)</f>
        <v>0</v>
      </c>
      <c r="J86" s="15" t="str">
        <f t="shared" si="5"/>
        <v/>
      </c>
    </row>
    <row r="87" spans="1:10" ht="15.75">
      <c r="A87" s="24" t="str">
        <v>Route 19 2</v>
      </c>
      <c r="B87" s="25" t="str">
        <v>NY</v>
      </c>
      <c r="C87" s="25" t="str">
        <f>Sites[[#This Row],[SOL'#]]</f>
        <v>SOL-11002</v>
      </c>
      <c r="D87" s="20">
        <f>SUM(Oct!D104, Nov!D104, Dec!D104)</f>
        <v>0</v>
      </c>
      <c r="E87" s="10">
        <f>SUM(Oct!E104, Nov!E104, Dec!E104)</f>
        <v>0</v>
      </c>
      <c r="F87" s="10">
        <f t="shared" si="3"/>
        <v>0</v>
      </c>
      <c r="G87" s="11" t="str">
        <f t="shared" si="4"/>
        <v/>
      </c>
      <c r="H87" s="12">
        <f>SUM(Oct!H104,Nov!H104,Dec!H104)</f>
        <v>0</v>
      </c>
      <c r="I87" s="12">
        <f>SUM(Oct!I104, Nov!I104, Dec!I104)</f>
        <v>0</v>
      </c>
      <c r="J87" s="13" t="str">
        <f t="shared" si="5"/>
        <v/>
      </c>
    </row>
    <row r="88" spans="1:10" ht="15.75">
      <c r="A88" s="26" t="str">
        <v>Yellow Mills 1</v>
      </c>
      <c r="B88" s="27" t="str">
        <v>NY</v>
      </c>
      <c r="C88" s="27" t="str">
        <f>Sites[[#This Row],[SOL'#]]</f>
        <v>SOL-11006</v>
      </c>
      <c r="D88" s="9">
        <f>SUM(Oct!D105, Nov!D105, Dec!D105)</f>
        <v>0</v>
      </c>
      <c r="E88" s="14">
        <f>SUM(Oct!E105, Nov!E105, Dec!E105)</f>
        <v>0</v>
      </c>
      <c r="F88" s="14">
        <f t="shared" si="3"/>
        <v>0</v>
      </c>
      <c r="G88" s="15" t="str">
        <f t="shared" si="4"/>
        <v/>
      </c>
      <c r="H88" s="16">
        <f>SUM(Oct!H105,Nov!H105,Dec!H105)</f>
        <v>0</v>
      </c>
      <c r="I88" s="16">
        <f>SUM(Oct!I105, Nov!I105, Dec!I105)</f>
        <v>0</v>
      </c>
      <c r="J88" s="15" t="str">
        <f t="shared" si="5"/>
        <v/>
      </c>
    </row>
    <row r="89" spans="1:10" ht="15.75">
      <c r="A89" s="24" t="str">
        <v>Yellow Mills 2</v>
      </c>
      <c r="B89" s="25" t="str">
        <v>NY</v>
      </c>
      <c r="C89" s="25" t="str">
        <f>Sites[[#This Row],[SOL'#]]</f>
        <v>SOL-11005</v>
      </c>
      <c r="D89" s="20">
        <f>SUM(Oct!D106, Nov!D106, Dec!D106)</f>
        <v>0</v>
      </c>
      <c r="E89" s="10">
        <f>SUM(Oct!E106, Nov!E106, Dec!E106)</f>
        <v>0</v>
      </c>
      <c r="F89" s="10">
        <f t="shared" si="3"/>
        <v>0</v>
      </c>
      <c r="G89" s="11" t="str">
        <f t="shared" si="4"/>
        <v/>
      </c>
      <c r="H89" s="12">
        <f>SUM(Oct!H106,Nov!H106,Dec!H106)</f>
        <v>0</v>
      </c>
      <c r="I89" s="12">
        <f>SUM(Oct!I106, Nov!I106, Dec!I106)</f>
        <v>0</v>
      </c>
      <c r="J89" s="13" t="str">
        <f t="shared" si="5"/>
        <v/>
      </c>
    </row>
    <row r="90" spans="1:10" ht="15.75">
      <c r="A90" s="26" t="str">
        <v>Yellow Mills 3</v>
      </c>
      <c r="B90" s="27" t="str">
        <v>NY</v>
      </c>
      <c r="C90" s="27" t="str">
        <f>Sites[[#This Row],[SOL'#]]</f>
        <v>SOL-11007</v>
      </c>
      <c r="D90" s="9">
        <f>SUM(Oct!D107, Nov!D107, Dec!D107)</f>
        <v>0</v>
      </c>
      <c r="E90" s="14">
        <f>SUM(Oct!E107, Nov!E107, Dec!E107)</f>
        <v>0</v>
      </c>
      <c r="F90" s="14">
        <f t="shared" si="3"/>
        <v>0</v>
      </c>
      <c r="G90" s="15" t="str">
        <f t="shared" si="4"/>
        <v/>
      </c>
      <c r="H90" s="16">
        <f>SUM(Oct!H107,Nov!H107,Dec!H107)</f>
        <v>0</v>
      </c>
      <c r="I90" s="16">
        <f>SUM(Oct!I107, Nov!I107, Dec!I107)</f>
        <v>0</v>
      </c>
      <c r="J90" s="15" t="str">
        <f t="shared" si="5"/>
        <v/>
      </c>
    </row>
    <row r="91" spans="1:10" ht="15.75">
      <c r="A91" s="24" t="str">
        <v>Catskill</v>
      </c>
      <c r="B91" s="25" t="str">
        <v>NY</v>
      </c>
      <c r="C91" s="25" t="str">
        <f>Sites[[#This Row],[SOL'#]]</f>
        <v>SOL-11021</v>
      </c>
      <c r="D91" s="20">
        <f>SUM(Oct!D108, Nov!D108, Dec!D108)</f>
        <v>0</v>
      </c>
      <c r="E91" s="10">
        <f>SUM(Oct!E108, Nov!E108, Dec!E108)</f>
        <v>0</v>
      </c>
      <c r="F91" s="10">
        <f t="shared" si="3"/>
        <v>0</v>
      </c>
      <c r="G91" s="11" t="str">
        <f t="shared" si="4"/>
        <v/>
      </c>
      <c r="H91" s="12">
        <f>SUM(Oct!H108,Nov!H108,Dec!H108)</f>
        <v>0</v>
      </c>
      <c r="I91" s="12">
        <f>SUM(Oct!I108, Nov!I108, Dec!I108)</f>
        <v>0</v>
      </c>
      <c r="J91" s="13" t="str">
        <f t="shared" si="5"/>
        <v/>
      </c>
    </row>
    <row r="92" spans="1:10" ht="15.75">
      <c r="A92" s="26" t="str">
        <v>Eddy Ridge</v>
      </c>
      <c r="B92" s="27" t="str">
        <v>NY</v>
      </c>
      <c r="C92" s="27" t="str">
        <f>Sites[[#This Row],[SOL'#]]</f>
        <v>SOL-11054</v>
      </c>
      <c r="D92" s="9">
        <f>SUM(Oct!D109, Nov!D109, Dec!D109)</f>
        <v>0</v>
      </c>
      <c r="E92" s="14">
        <f>SUM(Oct!E109, Nov!E109, Dec!E109)</f>
        <v>0</v>
      </c>
      <c r="F92" s="14">
        <f t="shared" si="3"/>
        <v>0</v>
      </c>
      <c r="G92" s="15" t="str">
        <f t="shared" si="4"/>
        <v/>
      </c>
      <c r="H92" s="16">
        <f>SUM(Oct!H109,Nov!H109,Dec!H109)</f>
        <v>0</v>
      </c>
      <c r="I92" s="16">
        <f>SUM(Oct!I109, Nov!I109, Dec!I109)</f>
        <v>0</v>
      </c>
      <c r="J92" s="15" t="str">
        <f t="shared" si="5"/>
        <v/>
      </c>
    </row>
    <row r="93" spans="1:10" ht="15.75">
      <c r="A93" s="24" t="str">
        <v>Ridgeway #1</v>
      </c>
      <c r="B93" s="25" t="str">
        <v>NY</v>
      </c>
      <c r="C93" s="25" t="str">
        <f>Sites[[#This Row],[SOL'#]]</f>
        <v>SOL-11018</v>
      </c>
      <c r="D93" s="20">
        <f>SUM(Oct!D110, Nov!D110, Dec!D110)</f>
        <v>0</v>
      </c>
      <c r="E93" s="10">
        <f>SUM(Oct!E110, Nov!E110, Dec!E110)</f>
        <v>0</v>
      </c>
      <c r="F93" s="10">
        <f t="shared" si="3"/>
        <v>0</v>
      </c>
      <c r="G93" s="11" t="str">
        <f t="shared" si="4"/>
        <v/>
      </c>
      <c r="H93" s="12">
        <f>SUM(Oct!H110,Nov!H110,Dec!H110)</f>
        <v>0</v>
      </c>
      <c r="I93" s="12">
        <f>SUM(Oct!I110, Nov!I110, Dec!I110)</f>
        <v>0</v>
      </c>
      <c r="J93" s="13" t="str">
        <f t="shared" si="5"/>
        <v/>
      </c>
    </row>
    <row r="94" spans="1:10" ht="15.75">
      <c r="A94" s="26" t="str">
        <v>Rivard 1</v>
      </c>
      <c r="B94" s="27" t="str">
        <v>NY</v>
      </c>
      <c r="C94" s="27" t="str">
        <f>Sites[[#This Row],[SOL'#]]</f>
        <v>SOL-11011</v>
      </c>
      <c r="D94" s="9">
        <f>SUM(Oct!D111, Nov!D111, Dec!D111)</f>
        <v>0</v>
      </c>
      <c r="E94" s="14">
        <f>SUM(Oct!E111, Nov!E111, Dec!E111)</f>
        <v>0</v>
      </c>
      <c r="F94" s="14">
        <f t="shared" si="3"/>
        <v>0</v>
      </c>
      <c r="G94" s="15" t="str">
        <f t="shared" si="4"/>
        <v/>
      </c>
      <c r="H94" s="16">
        <f>SUM(Oct!H111,Nov!H111,Dec!H111)</f>
        <v>0</v>
      </c>
      <c r="I94" s="16">
        <f>SUM(Oct!I111, Nov!I111, Dec!I111)</f>
        <v>0</v>
      </c>
      <c r="J94" s="15" t="str">
        <f t="shared" si="5"/>
        <v/>
      </c>
    </row>
    <row r="95" spans="1:10" ht="15.75">
      <c r="A95" s="24" t="str">
        <v>Rivard 2</v>
      </c>
      <c r="B95" s="25" t="str">
        <v>NY</v>
      </c>
      <c r="C95" s="25" t="str">
        <f>Sites[[#This Row],[SOL'#]]</f>
        <v>SOL-11012</v>
      </c>
      <c r="D95" s="20">
        <f>SUM(Oct!D112, Nov!D112, Dec!D112)</f>
        <v>0</v>
      </c>
      <c r="E95" s="10">
        <f>SUM(Oct!E112, Nov!E112, Dec!E112)</f>
        <v>0</v>
      </c>
      <c r="F95" s="10">
        <f t="shared" si="3"/>
        <v>0</v>
      </c>
      <c r="G95" s="11" t="str">
        <f t="shared" si="4"/>
        <v/>
      </c>
      <c r="H95" s="12">
        <f>SUM(Oct!H112,Nov!H112,Dec!H112)</f>
        <v>0</v>
      </c>
      <c r="I95" s="12">
        <f>SUM(Oct!I112, Nov!I112, Dec!I112)</f>
        <v>0</v>
      </c>
      <c r="J95" s="13" t="str">
        <f t="shared" si="5"/>
        <v/>
      </c>
    </row>
    <row r="96" spans="1:10" ht="15.75">
      <c r="A96" s="24" t="str">
        <v>Ridgeway #2</v>
      </c>
      <c r="B96" s="25" t="str">
        <v>NY</v>
      </c>
      <c r="C96" s="25" t="str">
        <f>Sites[[#This Row],[SOL'#]]</f>
        <v>SOL-11027</v>
      </c>
      <c r="D96" s="20">
        <f>SUM(Oct!D138, Nov!D138, Dec!D138)</f>
        <v>0</v>
      </c>
      <c r="E96" s="10">
        <f>SUM(Oct!E138, Nov!E138, Dec!E138)</f>
        <v>0</v>
      </c>
      <c r="F96" s="10">
        <f t="shared" si="3"/>
        <v>0</v>
      </c>
      <c r="G96" s="11" t="str">
        <f t="shared" si="4"/>
        <v/>
      </c>
      <c r="H96" s="12">
        <f>SUM(Oct!H138,Nov!H138,Dec!H138)</f>
        <v>0</v>
      </c>
      <c r="I96" s="12">
        <f>SUM(Oct!I138, Nov!I138, Dec!I138)</f>
        <v>0</v>
      </c>
      <c r="J96" s="13" t="str">
        <f t="shared" si="5"/>
        <v/>
      </c>
    </row>
    <row r="97" spans="1:10" ht="15.75">
      <c r="A97" s="26" t="str">
        <v>Spencer</v>
      </c>
      <c r="B97" s="27" t="str">
        <v>NY</v>
      </c>
      <c r="C97" s="27" t="str">
        <f>Sites[[#This Row],[SOL'#]]</f>
        <v>SOL-11017</v>
      </c>
      <c r="D97" s="9">
        <f>SUM(Oct!D139, Nov!D139, Dec!D139)</f>
        <v>0</v>
      </c>
      <c r="E97" s="14">
        <f>SUM(Oct!E139, Nov!E139, Dec!E139)</f>
        <v>0</v>
      </c>
      <c r="F97" s="14">
        <f t="shared" si="3"/>
        <v>0</v>
      </c>
      <c r="G97" s="15" t="str">
        <f t="shared" si="4"/>
        <v/>
      </c>
      <c r="H97" s="16">
        <f>SUM(Oct!H139,Nov!H139,Dec!H139)</f>
        <v>0</v>
      </c>
      <c r="I97" s="16">
        <f>SUM(Oct!I139, Nov!I139, Dec!I139)</f>
        <v>0</v>
      </c>
      <c r="J97" s="15" t="str">
        <f t="shared" si="5"/>
        <v/>
      </c>
    </row>
    <row r="98" spans="1:10" ht="15.75">
      <c r="A98" s="24" t="str">
        <v>Reisender</v>
      </c>
      <c r="B98" s="25" t="str">
        <v>NY</v>
      </c>
      <c r="C98" s="25" t="str">
        <f>Sites[[#This Row],[SOL'#]]</f>
        <v>SOL-10886</v>
      </c>
      <c r="D98" s="20">
        <f>SUM(Oct!D140, Nov!D140, Dec!D140)</f>
        <v>0</v>
      </c>
      <c r="E98" s="10">
        <f>SUM(Oct!E140, Nov!E140, Dec!E140)</f>
        <v>0</v>
      </c>
      <c r="F98" s="10">
        <f t="shared" si="3"/>
        <v>0</v>
      </c>
      <c r="G98" s="11" t="str">
        <f t="shared" si="4"/>
        <v/>
      </c>
      <c r="H98" s="12">
        <f>SUM(Oct!H140,Nov!H140,Dec!H140)</f>
        <v>0</v>
      </c>
      <c r="I98" s="12">
        <f>SUM(Oct!I140, Nov!I140, Dec!I140)</f>
        <v>0</v>
      </c>
      <c r="J98" s="13" t="str">
        <f t="shared" si="5"/>
        <v/>
      </c>
    </row>
    <row r="99" spans="1:10" ht="15.75">
      <c r="A99" s="26" t="str">
        <v>Finney</v>
      </c>
      <c r="B99" s="27" t="str">
        <v>NY</v>
      </c>
      <c r="C99" s="27" t="str">
        <f>Sites[[#This Row],[SOL'#]]</f>
        <v>SOL-10999</v>
      </c>
      <c r="D99" s="9">
        <f>SUM(Oct!D141, Nov!D141, Dec!D141)</f>
        <v>0</v>
      </c>
      <c r="E99" s="14">
        <f>SUM(Oct!E141, Nov!E141, Dec!E141)</f>
        <v>0</v>
      </c>
      <c r="F99" s="14">
        <f t="shared" si="3"/>
        <v>0</v>
      </c>
      <c r="G99" s="15" t="str">
        <f t="shared" si="4"/>
        <v/>
      </c>
      <c r="H99" s="16">
        <f>SUM(Oct!H141,Nov!H141,Dec!H141)</f>
        <v>0</v>
      </c>
      <c r="I99" s="16">
        <f>SUM(Oct!I141, Nov!I141, Dec!I141)</f>
        <v>0</v>
      </c>
      <c r="J99" s="15" t="str">
        <f t="shared" si="5"/>
        <v/>
      </c>
    </row>
    <row r="100" spans="1:10" ht="15.75">
      <c r="A100" s="24" t="str">
        <v>Davis Solar</v>
      </c>
      <c r="B100" s="25" t="str">
        <v>NY</v>
      </c>
      <c r="C100" s="25" t="str">
        <f>Sites[[#This Row],[SOL'#]]</f>
        <v>SOL-10958</v>
      </c>
      <c r="D100" s="20">
        <f>SUM(Oct!D142, Nov!D142, Dec!D142)</f>
        <v>0</v>
      </c>
      <c r="E100" s="10">
        <f>SUM(Oct!E142, Nov!E142, Dec!E142)</f>
        <v>0</v>
      </c>
      <c r="F100" s="10">
        <f t="shared" si="3"/>
        <v>0</v>
      </c>
      <c r="G100" s="11" t="str">
        <f t="shared" si="4"/>
        <v/>
      </c>
      <c r="H100" s="12">
        <f>SUM(Oct!H142,Nov!H142,Dec!H142)</f>
        <v>0</v>
      </c>
      <c r="I100" s="12">
        <f>SUM(Oct!I142, Nov!I142, Dec!I142)</f>
        <v>0</v>
      </c>
      <c r="J100" s="13" t="str">
        <f t="shared" si="5"/>
        <v/>
      </c>
    </row>
    <row r="101" spans="1:10" ht="15.75">
      <c r="A101" s="26" t="str">
        <v>Genesee</v>
      </c>
      <c r="B101" s="27" t="str">
        <v>NY</v>
      </c>
      <c r="C101" s="27" t="str">
        <f>Sites[[#This Row],[SOL'#]]</f>
        <v>SOL-10951</v>
      </c>
      <c r="D101" s="9">
        <f>SUM(Oct!D143, Nov!D143, Dec!D143)</f>
        <v>0</v>
      </c>
      <c r="E101" s="14">
        <f>SUM(Oct!E143, Nov!E143, Dec!E143)</f>
        <v>0</v>
      </c>
      <c r="F101" s="14">
        <f t="shared" si="3"/>
        <v>0</v>
      </c>
      <c r="G101" s="15" t="str">
        <f t="shared" si="4"/>
        <v/>
      </c>
      <c r="H101" s="16">
        <f>SUM(Oct!H143,Nov!H143,Dec!H143)</f>
        <v>0</v>
      </c>
      <c r="I101" s="16">
        <f>SUM(Oct!I143, Nov!I143, Dec!I143)</f>
        <v>0</v>
      </c>
      <c r="J101" s="15" t="str">
        <f t="shared" si="5"/>
        <v/>
      </c>
    </row>
    <row r="102" spans="1:10" ht="15.75">
      <c r="A102" s="24" t="str">
        <v>Landau I</v>
      </c>
      <c r="B102" s="25" t="str">
        <v>NY</v>
      </c>
      <c r="C102" s="25" t="str">
        <f>Sites[[#This Row],[SOL'#]]</f>
        <v>SOL-10891</v>
      </c>
      <c r="D102" s="20">
        <f>SUM(Oct!D144, Nov!D144, Dec!D144)</f>
        <v>0</v>
      </c>
      <c r="E102" s="10">
        <f>SUM(Oct!E144, Nov!E144, Dec!E144)</f>
        <v>0</v>
      </c>
      <c r="F102" s="10">
        <f t="shared" ref="F102:F119" si="6">IF(AND(ISNUMBER(D102),ISNUMBER(E102)), D102-E102, "")</f>
        <v>0</v>
      </c>
      <c r="G102" s="11" t="str">
        <f t="shared" ref="G102:G119" si="7">IFERROR(F102/E102, "")</f>
        <v/>
      </c>
      <c r="H102" s="12">
        <f>SUM(Oct!H144,Nov!H144,Dec!H144)</f>
        <v>0</v>
      </c>
      <c r="I102" s="12">
        <f>SUM(Oct!I144, Nov!I144, Dec!I144)</f>
        <v>0</v>
      </c>
      <c r="J102" s="13" t="str">
        <f t="shared" ref="J102:J119" si="8">IFERROR(I102/H102, "")</f>
        <v/>
      </c>
    </row>
    <row r="103" spans="1:10" ht="15.75">
      <c r="A103" s="26" t="str">
        <v>Landau II</v>
      </c>
      <c r="B103" s="27" t="str">
        <v>NY</v>
      </c>
      <c r="C103" s="27" t="str">
        <f>Sites[[#This Row],[SOL'#]]</f>
        <v>SOL-10895</v>
      </c>
      <c r="D103" s="9">
        <f>SUM(Oct!D145, Nov!D145, Dec!D145)</f>
        <v>0</v>
      </c>
      <c r="E103" s="14">
        <f>SUM(Oct!E145, Nov!E145, Dec!E145)</f>
        <v>0</v>
      </c>
      <c r="F103" s="14">
        <f t="shared" si="6"/>
        <v>0</v>
      </c>
      <c r="G103" s="15" t="str">
        <f t="shared" si="7"/>
        <v/>
      </c>
      <c r="H103" s="16">
        <f>SUM(Oct!H145,Nov!H145,Dec!H145)</f>
        <v>0</v>
      </c>
      <c r="I103" s="16">
        <f>SUM(Oct!I145, Nov!I145, Dec!I145)</f>
        <v>0</v>
      </c>
      <c r="J103" s="15" t="str">
        <f t="shared" si="8"/>
        <v/>
      </c>
    </row>
    <row r="104" spans="1:10" ht="15.75">
      <c r="A104" s="24" t="str">
        <v>New Beginnings</v>
      </c>
      <c r="B104" s="25" t="str">
        <v>NY</v>
      </c>
      <c r="C104" s="25" t="str">
        <f>Sites[[#This Row],[SOL'#]]</f>
        <v>SOL-10890</v>
      </c>
      <c r="D104" s="20">
        <f>SUM(Oct!D146, Nov!D146, Dec!D146)</f>
        <v>0</v>
      </c>
      <c r="E104" s="10">
        <f>SUM(Oct!E146, Nov!E146, Dec!E146)</f>
        <v>0</v>
      </c>
      <c r="F104" s="10">
        <f t="shared" si="6"/>
        <v>0</v>
      </c>
      <c r="G104" s="11" t="str">
        <f t="shared" si="7"/>
        <v/>
      </c>
      <c r="H104" s="12">
        <f>SUM(Oct!H146,Nov!H146,Dec!H146)</f>
        <v>0</v>
      </c>
      <c r="I104" s="12">
        <f>SUM(Oct!I146, Nov!I146, Dec!I146)</f>
        <v>0</v>
      </c>
      <c r="J104" s="13" t="str">
        <f t="shared" si="8"/>
        <v/>
      </c>
    </row>
    <row r="105" spans="1:10" ht="15.75">
      <c r="A105" s="26" t="str">
        <v>Bullitt Farm Solar, LLC</v>
      </c>
      <c r="B105" s="27" t="str">
        <v>NY</v>
      </c>
      <c r="C105" s="27" t="str">
        <f>Sites[[#This Row],[SOL'#]]</f>
        <v>SOL-10998</v>
      </c>
      <c r="D105" s="9">
        <f>SUM(Oct!D147, Nov!D147, Dec!D147)</f>
        <v>0</v>
      </c>
      <c r="E105" s="14">
        <f>SUM(Oct!E147, Nov!E147, Dec!E147)</f>
        <v>0</v>
      </c>
      <c r="F105" s="14">
        <f t="shared" si="6"/>
        <v>0</v>
      </c>
      <c r="G105" s="15" t="str">
        <f t="shared" si="7"/>
        <v/>
      </c>
      <c r="H105" s="16">
        <f>SUM(Oct!H147,Nov!H147,Dec!H147)</f>
        <v>0</v>
      </c>
      <c r="I105" s="16">
        <f>SUM(Oct!I147, Nov!I147, Dec!I147)</f>
        <v>0</v>
      </c>
      <c r="J105" s="15" t="str">
        <f t="shared" si="8"/>
        <v/>
      </c>
    </row>
    <row r="106" spans="1:10" ht="15.75">
      <c r="A106" s="24" t="str">
        <v>Brodhead Solar, LLC</v>
      </c>
      <c r="B106" s="25" t="str">
        <v>NY</v>
      </c>
      <c r="C106" s="25" t="str">
        <f>Sites[[#This Row],[SOL'#]]</f>
        <v>SOL-10899</v>
      </c>
      <c r="D106" s="20">
        <f>SUM(Oct!D148, Nov!D148, Dec!D148)</f>
        <v>0</v>
      </c>
      <c r="E106" s="10">
        <f>SUM(Oct!E148, Nov!E148, Dec!E148)</f>
        <v>0</v>
      </c>
      <c r="F106" s="10">
        <f t="shared" si="6"/>
        <v>0</v>
      </c>
      <c r="G106" s="11" t="str">
        <f t="shared" si="7"/>
        <v/>
      </c>
      <c r="H106" s="12">
        <f>SUM(Oct!H148,Nov!H148,Dec!H148)</f>
        <v>0</v>
      </c>
      <c r="I106" s="12">
        <f>SUM(Oct!I148, Nov!I148, Dec!I148)</f>
        <v>0</v>
      </c>
      <c r="J106" s="13" t="str">
        <f t="shared" si="8"/>
        <v/>
      </c>
    </row>
    <row r="107" spans="1:10" ht="15.75">
      <c r="A107" s="26" t="str">
        <v>Svenski</v>
      </c>
      <c r="B107" s="27" t="str">
        <v>NY</v>
      </c>
      <c r="C107" s="27" t="str">
        <f>Sites[[#This Row],[SOL'#]]</f>
        <v>SOL-10894</v>
      </c>
      <c r="D107" s="9">
        <f>SUM(Oct!D149, Nov!D149, Dec!D149)</f>
        <v>0</v>
      </c>
      <c r="E107" s="14">
        <f>SUM(Oct!E149, Nov!E149, Dec!E149)</f>
        <v>0</v>
      </c>
      <c r="F107" s="14">
        <f t="shared" si="6"/>
        <v>0</v>
      </c>
      <c r="G107" s="15" t="str">
        <f t="shared" si="7"/>
        <v/>
      </c>
      <c r="H107" s="16">
        <f>SUM(Oct!H149,Nov!H149,Dec!H149)</f>
        <v>0</v>
      </c>
      <c r="I107" s="16">
        <f>SUM(Oct!I149, Nov!I149, Dec!I149)</f>
        <v>0</v>
      </c>
      <c r="J107" s="15" t="str">
        <f t="shared" si="8"/>
        <v/>
      </c>
    </row>
    <row r="108" spans="1:10" ht="15.75">
      <c r="A108" s="24" t="str">
        <v>Bantam</v>
      </c>
      <c r="B108" s="25" t="str">
        <v>NY</v>
      </c>
      <c r="C108" s="25" t="str">
        <f>Sites[[#This Row],[SOL'#]]</f>
        <v>SOL-10986</v>
      </c>
      <c r="D108" s="20">
        <f>SUM(Oct!D150, Nov!D150, Dec!D150)</f>
        <v>0</v>
      </c>
      <c r="E108" s="10">
        <f>SUM(Oct!E150, Nov!E150, Dec!E150)</f>
        <v>0</v>
      </c>
      <c r="F108" s="10">
        <f t="shared" si="6"/>
        <v>0</v>
      </c>
      <c r="G108" s="11" t="str">
        <f t="shared" si="7"/>
        <v/>
      </c>
      <c r="H108" s="12">
        <f>SUM(Oct!H150,Nov!H150,Dec!H150)</f>
        <v>0</v>
      </c>
      <c r="I108" s="12">
        <f>SUM(Oct!I150, Nov!I150, Dec!I150)</f>
        <v>0</v>
      </c>
      <c r="J108" s="13" t="str">
        <f t="shared" si="8"/>
        <v/>
      </c>
    </row>
    <row r="109" spans="1:10" ht="15.75">
      <c r="A109" s="26" t="str">
        <v>Bogart</v>
      </c>
      <c r="B109" s="27" t="str">
        <v>NY</v>
      </c>
      <c r="C109" s="27" t="str">
        <f>Sites[[#This Row],[SOL'#]]</f>
        <v>SOL-10887</v>
      </c>
      <c r="D109" s="9">
        <f>SUM(Oct!D151, Nov!D151, Dec!D151)</f>
        <v>0</v>
      </c>
      <c r="E109" s="14">
        <f>SUM(Oct!E151, Nov!E151, Dec!E151)</f>
        <v>0</v>
      </c>
      <c r="F109" s="14">
        <f t="shared" si="6"/>
        <v>0</v>
      </c>
      <c r="G109" s="15" t="str">
        <f t="shared" si="7"/>
        <v/>
      </c>
      <c r="H109" s="16">
        <f>SUM(Oct!H151,Nov!H151,Dec!H151)</f>
        <v>0</v>
      </c>
      <c r="I109" s="16">
        <f>SUM(Oct!I151, Nov!I151, Dec!I151)</f>
        <v>0</v>
      </c>
      <c r="J109" s="15" t="str">
        <f t="shared" si="8"/>
        <v/>
      </c>
    </row>
    <row r="110" spans="1:10" ht="15.75">
      <c r="A110" s="24" t="str">
        <v>Dubois</v>
      </c>
      <c r="B110" s="25" t="str">
        <v>NY</v>
      </c>
      <c r="C110" s="25" t="str">
        <f>Sites[[#This Row],[SOL'#]]</f>
        <v>SOL-10892</v>
      </c>
      <c r="D110" s="20">
        <f>SUM(Oct!D152, Nov!D152, Dec!D152)</f>
        <v>0</v>
      </c>
      <c r="E110" s="10">
        <f>SUM(Oct!E152, Nov!E152, Dec!E152)</f>
        <v>0</v>
      </c>
      <c r="F110" s="10">
        <f t="shared" si="6"/>
        <v>0</v>
      </c>
      <c r="G110" s="11" t="str">
        <f t="shared" si="7"/>
        <v/>
      </c>
      <c r="H110" s="12">
        <f>SUM(Oct!H152,Nov!H152,Dec!H152)</f>
        <v>0</v>
      </c>
      <c r="I110" s="12">
        <f>SUM(Oct!I152, Nov!I152, Dec!I152)</f>
        <v>0</v>
      </c>
      <c r="J110" s="13" t="str">
        <f t="shared" si="8"/>
        <v/>
      </c>
    </row>
    <row r="111" spans="1:10" ht="15.75">
      <c r="A111" s="26" t="str">
        <v>Salt Point</v>
      </c>
      <c r="B111" s="27" t="str">
        <v>NY</v>
      </c>
      <c r="C111" s="27" t="str">
        <f>Sites[[#This Row],[SOL'#]]</f>
        <v>SOL-10888</v>
      </c>
      <c r="D111" s="9">
        <f>SUM(Oct!D153, Nov!D153, Dec!D153)</f>
        <v>0</v>
      </c>
      <c r="E111" s="14">
        <f>SUM(Oct!E153, Nov!E153, Dec!E153)</f>
        <v>0</v>
      </c>
      <c r="F111" s="14">
        <f t="shared" si="6"/>
        <v>0</v>
      </c>
      <c r="G111" s="15" t="str">
        <f t="shared" si="7"/>
        <v/>
      </c>
      <c r="H111" s="16">
        <f>SUM(Oct!H153,Nov!H153,Dec!H153)</f>
        <v>0</v>
      </c>
      <c r="I111" s="16">
        <f>SUM(Oct!I153, Nov!I153, Dec!I153)</f>
        <v>0</v>
      </c>
      <c r="J111" s="15" t="str">
        <f t="shared" si="8"/>
        <v/>
      </c>
    </row>
    <row r="112" spans="1:10" ht="15.75">
      <c r="A112" s="24" t="str">
        <v>Wheatland 2A</v>
      </c>
      <c r="B112" s="25" t="str">
        <v>NY</v>
      </c>
      <c r="C112" s="25" t="str">
        <f>Sites[[#This Row],[SOL'#]]</f>
        <v>SOL-10971</v>
      </c>
      <c r="D112" s="20">
        <f>SUM(Oct!D154, Nov!D154, Dec!D154)</f>
        <v>0</v>
      </c>
      <c r="E112" s="10">
        <f>SUM(Oct!E154, Nov!E154, Dec!E154)</f>
        <v>0</v>
      </c>
      <c r="F112" s="10">
        <f t="shared" si="6"/>
        <v>0</v>
      </c>
      <c r="G112" s="11" t="str">
        <f t="shared" si="7"/>
        <v/>
      </c>
      <c r="H112" s="12">
        <f>SUM(Oct!H154,Nov!H154,Dec!H154)</f>
        <v>0</v>
      </c>
      <c r="I112" s="12">
        <f>SUM(Oct!I154, Nov!I154, Dec!I154)</f>
        <v>0</v>
      </c>
      <c r="J112" s="13" t="str">
        <f t="shared" si="8"/>
        <v/>
      </c>
    </row>
    <row r="113" spans="1:10" ht="15.75">
      <c r="A113" s="26" t="str">
        <v>Wheatland 2B</v>
      </c>
      <c r="B113" s="27" t="str">
        <v>NY</v>
      </c>
      <c r="C113" s="27" t="str">
        <f>Sites[[#This Row],[SOL'#]]</f>
        <v>SOL-10961</v>
      </c>
      <c r="D113" s="9">
        <f>SUM(Oct!D155, Nov!D155, Dec!D155)</f>
        <v>0</v>
      </c>
      <c r="E113" s="14">
        <f>SUM(Oct!E155, Nov!E155, Dec!E155)</f>
        <v>0</v>
      </c>
      <c r="F113" s="14">
        <f t="shared" si="6"/>
        <v>0</v>
      </c>
      <c r="G113" s="15" t="str">
        <f t="shared" si="7"/>
        <v/>
      </c>
      <c r="H113" s="16">
        <f>SUM(Oct!H155,Nov!H155,Dec!H155)</f>
        <v>0</v>
      </c>
      <c r="I113" s="16">
        <f>SUM(Oct!I155, Nov!I155, Dec!I155)</f>
        <v>0</v>
      </c>
      <c r="J113" s="15" t="str">
        <f t="shared" si="8"/>
        <v/>
      </c>
    </row>
    <row r="114" spans="1:10" ht="15.75">
      <c r="A114" s="24" t="str">
        <v>Brickchurch</v>
      </c>
      <c r="B114" s="25" t="str">
        <v>NY</v>
      </c>
      <c r="C114" s="25" t="str">
        <f>Sites[[#This Row],[SOL'#]]</f>
        <v>SOL-10889</v>
      </c>
      <c r="D114" s="20">
        <f>SUM(Oct!D156, Nov!D156, Dec!D156)</f>
        <v>0</v>
      </c>
      <c r="E114" s="10">
        <f>SUM(Oct!E156, Nov!E156, Dec!E156)</f>
        <v>0</v>
      </c>
      <c r="F114" s="10">
        <f t="shared" si="6"/>
        <v>0</v>
      </c>
      <c r="G114" s="11" t="str">
        <f t="shared" si="7"/>
        <v/>
      </c>
      <c r="H114" s="12">
        <f>SUM(Oct!H156,Nov!H156,Dec!H156)</f>
        <v>0</v>
      </c>
      <c r="I114" s="12">
        <f>SUM(Oct!I156, Nov!I156, Dec!I156)</f>
        <v>0</v>
      </c>
      <c r="J114" s="13" t="str">
        <f t="shared" si="8"/>
        <v/>
      </c>
    </row>
    <row r="115" spans="1:10" ht="15.75">
      <c r="A115" s="26" t="str">
        <v>McCarthy Solar</v>
      </c>
      <c r="B115" s="27" t="str">
        <v>NY</v>
      </c>
      <c r="C115" s="27" t="str">
        <f>Sites[[#This Row],[SOL'#]]</f>
        <v>SOL-10992</v>
      </c>
      <c r="D115" s="9">
        <f>SUM(Oct!D157, Nov!D157, Dec!D157)</f>
        <v>0</v>
      </c>
      <c r="E115" s="14">
        <f>SUM(Oct!E157, Nov!E157, Dec!E157)</f>
        <v>0</v>
      </c>
      <c r="F115" s="14">
        <f t="shared" si="6"/>
        <v>0</v>
      </c>
      <c r="G115" s="15" t="str">
        <f t="shared" si="7"/>
        <v/>
      </c>
      <c r="H115" s="16">
        <f>SUM(Oct!H157,Nov!H157,Dec!H157)</f>
        <v>0</v>
      </c>
      <c r="I115" s="16">
        <f>SUM(Oct!I157, Nov!I157, Dec!I157)</f>
        <v>0</v>
      </c>
      <c r="J115" s="15" t="str">
        <f t="shared" si="8"/>
        <v/>
      </c>
    </row>
    <row r="116" spans="1:10" ht="15.75">
      <c r="A116" s="24" t="str">
        <v>Costanza</v>
      </c>
      <c r="B116" s="25" t="str">
        <v>NY</v>
      </c>
      <c r="C116" s="25" t="str">
        <f>Sites[[#This Row],[SOL'#]]</f>
        <v>SOL-10907</v>
      </c>
      <c r="D116" s="20">
        <f>SUM(Oct!D158, Nov!D158, Dec!D158)</f>
        <v>0</v>
      </c>
      <c r="E116" s="10">
        <f>SUM(Oct!E158, Nov!E158, Dec!E158)</f>
        <v>0</v>
      </c>
      <c r="F116" s="10">
        <f t="shared" si="6"/>
        <v>0</v>
      </c>
      <c r="G116" s="11" t="str">
        <f t="shared" si="7"/>
        <v/>
      </c>
      <c r="H116" s="12">
        <f>SUM(Oct!H158,Nov!H158,Dec!H158)</f>
        <v>0</v>
      </c>
      <c r="I116" s="12">
        <f>SUM(Oct!I158, Nov!I158, Dec!I158)</f>
        <v>0</v>
      </c>
      <c r="J116" s="13" t="str">
        <f t="shared" si="8"/>
        <v/>
      </c>
    </row>
    <row r="117" spans="1:10" ht="15.75">
      <c r="A117" s="26" t="str">
        <v>Lockenhurst Pond</v>
      </c>
      <c r="B117" s="27" t="str">
        <v>NY</v>
      </c>
      <c r="C117" s="27" t="str">
        <f>Sites[[#This Row],[SOL'#]]</f>
        <v>SOL-11000</v>
      </c>
      <c r="D117" s="9">
        <f>SUM(Oct!D159, Nov!D159, Dec!D159)</f>
        <v>0</v>
      </c>
      <c r="E117" s="14">
        <f>SUM(Oct!E159, Nov!E159, Dec!E159)</f>
        <v>0</v>
      </c>
      <c r="F117" s="14">
        <f t="shared" si="6"/>
        <v>0</v>
      </c>
      <c r="G117" s="15" t="str">
        <f t="shared" si="7"/>
        <v/>
      </c>
      <c r="H117" s="16">
        <f>SUM(Oct!H159,Nov!H159,Dec!H159)</f>
        <v>0</v>
      </c>
      <c r="I117" s="16">
        <f>SUM(Oct!I159, Nov!I159, Dec!I159)</f>
        <v>0</v>
      </c>
      <c r="J117" s="15" t="str">
        <f t="shared" si="8"/>
        <v/>
      </c>
    </row>
    <row r="118" spans="1:10" ht="15.75">
      <c r="A118" s="24" t="str">
        <v>Drinkwater</v>
      </c>
      <c r="B118" s="25" t="str">
        <v>NY</v>
      </c>
      <c r="C118" s="25" t="str">
        <f>Sites[[#This Row],[SOL'#]]</f>
        <v>SOL-10896</v>
      </c>
      <c r="D118" s="20">
        <f>SUM(Oct!D160, Nov!D160, Dec!D160)</f>
        <v>0</v>
      </c>
      <c r="E118" s="10">
        <f>SUM(Oct!E160, Nov!E160, Dec!E160)</f>
        <v>0</v>
      </c>
      <c r="F118" s="10">
        <f t="shared" si="6"/>
        <v>0</v>
      </c>
      <c r="G118" s="11" t="str">
        <f t="shared" si="7"/>
        <v/>
      </c>
      <c r="H118" s="12">
        <f>SUM(Oct!H160,Nov!H160,Dec!H160)</f>
        <v>0</v>
      </c>
      <c r="I118" s="12">
        <f>SUM(Oct!I160, Nov!I160, Dec!I160)</f>
        <v>0</v>
      </c>
      <c r="J118" s="13" t="str">
        <f t="shared" si="8"/>
        <v/>
      </c>
    </row>
    <row r="119" spans="1:10" ht="15.75">
      <c r="A119" s="26" t="str">
        <v>Altamont</v>
      </c>
      <c r="B119" s="27" t="str">
        <v>NY</v>
      </c>
      <c r="C119" s="27" t="str">
        <f>Sites[[#This Row],[SOL'#]]</f>
        <v>SOL-11085</v>
      </c>
      <c r="D119" s="9">
        <f>SUM(Oct!D161, Nov!D161, Dec!D161)</f>
        <v>0</v>
      </c>
      <c r="E119" s="14">
        <f>SUM(Oct!E161, Nov!E161, Dec!E161)</f>
        <v>0</v>
      </c>
      <c r="F119" s="14">
        <f t="shared" si="6"/>
        <v>0</v>
      </c>
      <c r="G119" s="15" t="str">
        <f t="shared" si="7"/>
        <v/>
      </c>
      <c r="H119" s="16">
        <f>SUM(Oct!H161,Nov!H161,Dec!H161)</f>
        <v>0</v>
      </c>
      <c r="I119" s="16">
        <f>SUM(Oct!I161, Nov!I161, Dec!I161)</f>
        <v>0</v>
      </c>
      <c r="J119" s="15" t="str">
        <f t="shared" si="8"/>
        <v/>
      </c>
    </row>
    <row r="120" spans="1:10" ht="15.75">
      <c r="A120" s="24" t="str">
        <v>Krumkill North</v>
      </c>
      <c r="B120" s="25" t="str">
        <v>NY</v>
      </c>
      <c r="C120" s="25" t="str">
        <f>Sites[[#This Row],[SOL'#]]</f>
        <v>SOL-11086</v>
      </c>
      <c r="D120" s="20">
        <f>SUM(Oct!D162, Nov!D162, Dec!D162)</f>
        <v>0</v>
      </c>
      <c r="E120" s="10">
        <f>SUM(Oct!E162, Nov!E162, Dec!E162)</f>
        <v>0</v>
      </c>
      <c r="F120" s="10">
        <f t="shared" ref="F120:F143" si="9">IF(AND(ISNUMBER(D120),ISNUMBER(E120)), D120-E120, "")</f>
        <v>0</v>
      </c>
      <c r="G120" s="11" t="str">
        <f t="shared" ref="G120:G143" si="10">IFERROR(F120/E120, "")</f>
        <v/>
      </c>
      <c r="H120" s="12">
        <f>SUM(Oct!H162,Nov!H162,Dec!H162)</f>
        <v>0</v>
      </c>
      <c r="I120" s="12">
        <f>SUM(Oct!I162, Nov!I162, Dec!I162)</f>
        <v>0</v>
      </c>
      <c r="J120" s="13" t="str">
        <f t="shared" ref="J120:J143" si="11">IFERROR(I120/H120, "")</f>
        <v/>
      </c>
    </row>
    <row r="121" spans="1:10" ht="15.75">
      <c r="A121" s="26" t="str">
        <v>Krumkill South</v>
      </c>
      <c r="B121" s="27" t="str">
        <v>NY</v>
      </c>
      <c r="C121" s="27" t="str">
        <f>Sites[[#This Row],[SOL'#]]</f>
        <v>SOL-11087</v>
      </c>
      <c r="D121" s="9">
        <f>SUM(Oct!D163, Nov!D163, Dec!D163)</f>
        <v>0</v>
      </c>
      <c r="E121" s="14">
        <f>SUM(Oct!E163, Nov!E163, Dec!E163)</f>
        <v>0</v>
      </c>
      <c r="F121" s="14">
        <f t="shared" si="9"/>
        <v>0</v>
      </c>
      <c r="G121" s="15" t="str">
        <f t="shared" si="10"/>
        <v/>
      </c>
      <c r="H121" s="16">
        <f>SUM(Oct!H163,Nov!H163,Dec!H163)</f>
        <v>0</v>
      </c>
      <c r="I121" s="16">
        <f>SUM(Oct!I163, Nov!I163, Dec!I163)</f>
        <v>0</v>
      </c>
      <c r="J121" s="15" t="str">
        <f t="shared" si="11"/>
        <v/>
      </c>
    </row>
    <row r="122" spans="1:10" ht="15.75">
      <c r="A122" s="24" t="str">
        <v>X092</v>
      </c>
      <c r="B122" s="25" t="str">
        <v>NY</v>
      </c>
      <c r="C122" s="25" t="str">
        <f>Sites[[#This Row],[SOL'#]]</f>
        <v>SOL-11189</v>
      </c>
      <c r="D122" s="20">
        <f>SUM(Oct!D164, Nov!D164, Dec!D164)</f>
        <v>0</v>
      </c>
      <c r="E122" s="10">
        <f>SUM(Oct!E164, Nov!E164, Dec!E164)</f>
        <v>0</v>
      </c>
      <c r="F122" s="10">
        <f t="shared" si="9"/>
        <v>0</v>
      </c>
      <c r="G122" s="11" t="str">
        <f t="shared" si="10"/>
        <v/>
      </c>
      <c r="H122" s="12">
        <f>SUM(Oct!H164,Nov!H164,Dec!H164)</f>
        <v>0</v>
      </c>
      <c r="I122" s="12">
        <f>SUM(Oct!I164, Nov!I164, Dec!I164)</f>
        <v>0</v>
      </c>
      <c r="J122" s="13" t="str">
        <f t="shared" si="11"/>
        <v/>
      </c>
    </row>
    <row r="123" spans="1:10" ht="15.75">
      <c r="A123" s="26" t="str">
        <v>X093</v>
      </c>
      <c r="B123" s="27" t="str">
        <v>NY</v>
      </c>
      <c r="C123" s="27" t="str">
        <f>Sites[[#This Row],[SOL'#]]</f>
        <v>SOL-10932</v>
      </c>
      <c r="D123" s="9">
        <f>SUM(Oct!D165, Nov!D165, Dec!D165)</f>
        <v>0</v>
      </c>
      <c r="E123" s="14">
        <f>SUM(Oct!E165, Nov!E165, Dec!E165)</f>
        <v>0</v>
      </c>
      <c r="F123" s="14">
        <f t="shared" si="9"/>
        <v>0</v>
      </c>
      <c r="G123" s="15" t="str">
        <f t="shared" si="10"/>
        <v/>
      </c>
      <c r="H123" s="16">
        <f>SUM(Oct!H165,Nov!H165,Dec!H165)</f>
        <v>0</v>
      </c>
      <c r="I123" s="16">
        <f>SUM(Oct!I165, Nov!I165, Dec!I165)</f>
        <v>0</v>
      </c>
      <c r="J123" s="15" t="str">
        <f t="shared" si="11"/>
        <v/>
      </c>
    </row>
    <row r="124" spans="1:10" ht="15.75">
      <c r="A124" s="24" t="str">
        <v>X095</v>
      </c>
      <c r="B124" s="25" t="str">
        <v>NY</v>
      </c>
      <c r="C124" s="25" t="str">
        <f>Sites[[#This Row],[SOL'#]]</f>
        <v>SOL-10929</v>
      </c>
      <c r="D124" s="20">
        <f>SUM(Oct!D166, Nov!D166, Dec!D166)</f>
        <v>0</v>
      </c>
      <c r="E124" s="10">
        <f>SUM(Oct!E166, Nov!E166, Dec!E166)</f>
        <v>0</v>
      </c>
      <c r="F124" s="10">
        <f t="shared" si="9"/>
        <v>0</v>
      </c>
      <c r="G124" s="11" t="str">
        <f t="shared" si="10"/>
        <v/>
      </c>
      <c r="H124" s="12">
        <f>SUM(Oct!H166,Nov!H166,Dec!H166)</f>
        <v>0</v>
      </c>
      <c r="I124" s="12">
        <f>SUM(Oct!I166, Nov!I166, Dec!I166)</f>
        <v>0</v>
      </c>
      <c r="J124" s="13" t="str">
        <f t="shared" si="11"/>
        <v/>
      </c>
    </row>
    <row r="125" spans="1:10" ht="15.75">
      <c r="A125" s="26" t="str">
        <v>X181</v>
      </c>
      <c r="B125" s="27" t="str">
        <v>NY</v>
      </c>
      <c r="C125" s="27" t="str">
        <f>Sites[[#This Row],[SOL'#]]</f>
        <v>SOL-10428</v>
      </c>
      <c r="D125" s="9">
        <f>SUM(Oct!D167, Nov!D167, Dec!D167)</f>
        <v>0</v>
      </c>
      <c r="E125" s="14">
        <f>SUM(Oct!E167, Nov!E167, Dec!E167)</f>
        <v>0</v>
      </c>
      <c r="F125" s="14">
        <f t="shared" si="9"/>
        <v>0</v>
      </c>
      <c r="G125" s="15" t="str">
        <f t="shared" si="10"/>
        <v/>
      </c>
      <c r="H125" s="16">
        <f>SUM(Oct!H167,Nov!H167,Dec!H167)</f>
        <v>0</v>
      </c>
      <c r="I125" s="16">
        <f>SUM(Oct!I167, Nov!I167, Dec!I167)</f>
        <v>0</v>
      </c>
      <c r="J125" s="15" t="str">
        <f t="shared" si="11"/>
        <v/>
      </c>
    </row>
    <row r="126" spans="1:10" ht="15.75">
      <c r="A126" s="24" t="str">
        <v>X415</v>
      </c>
      <c r="B126" s="25" t="str">
        <v>NY</v>
      </c>
      <c r="C126" s="25" t="str">
        <f>Sites[[#This Row],[SOL'#]]</f>
        <v>SOL-10429</v>
      </c>
      <c r="D126" s="20">
        <f>SUM(Oct!D168, Nov!D168, Dec!D168)</f>
        <v>0</v>
      </c>
      <c r="E126" s="10">
        <f>SUM(Oct!E168, Nov!E168, Dec!E168)</f>
        <v>0</v>
      </c>
      <c r="F126" s="10">
        <f t="shared" si="9"/>
        <v>0</v>
      </c>
      <c r="G126" s="11" t="str">
        <f t="shared" si="10"/>
        <v/>
      </c>
      <c r="H126" s="12">
        <f>SUM(Oct!H168,Nov!H168,Dec!H168)</f>
        <v>0</v>
      </c>
      <c r="I126" s="12">
        <f>SUM(Oct!I168, Nov!I168, Dec!I168)</f>
        <v>0</v>
      </c>
      <c r="J126" s="13" t="str">
        <f t="shared" si="11"/>
        <v/>
      </c>
    </row>
    <row r="127" spans="1:10" ht="15.75">
      <c r="A127" s="26" t="str">
        <v>K198</v>
      </c>
      <c r="B127" s="27" t="str">
        <v>NY</v>
      </c>
      <c r="C127" s="27" t="str">
        <f>Sites[[#This Row],[SOL'#]]</f>
        <v>SOL-10930</v>
      </c>
      <c r="D127" s="9">
        <f>SUM(Oct!D169, Nov!D169, Dec!D169)</f>
        <v>0</v>
      </c>
      <c r="E127" s="14">
        <f>SUM(Oct!E169, Nov!E169, Dec!E169)</f>
        <v>0</v>
      </c>
      <c r="F127" s="14">
        <f t="shared" si="9"/>
        <v>0</v>
      </c>
      <c r="G127" s="15" t="str">
        <f t="shared" si="10"/>
        <v/>
      </c>
      <c r="H127" s="16">
        <f>SUM(Oct!H169,Nov!H169,Dec!H169)</f>
        <v>0</v>
      </c>
      <c r="I127" s="16">
        <f>SUM(Oct!I169, Nov!I169, Dec!I169)</f>
        <v>0</v>
      </c>
      <c r="J127" s="15" t="str">
        <f t="shared" si="11"/>
        <v/>
      </c>
    </row>
    <row r="128" spans="1:10" ht="15.75">
      <c r="A128" s="24" t="str">
        <v>K203</v>
      </c>
      <c r="B128" s="25" t="str">
        <v>NY</v>
      </c>
      <c r="C128" s="25" t="str">
        <f>Sites[[#This Row],[SOL'#]]</f>
        <v>SOL-11190</v>
      </c>
      <c r="D128" s="20">
        <f>SUM(Oct!D170, Nov!D170, Dec!D170)</f>
        <v>0</v>
      </c>
      <c r="E128" s="10">
        <f>SUM(Oct!E170, Nov!E170, Dec!E170)</f>
        <v>0</v>
      </c>
      <c r="F128" s="10">
        <f t="shared" si="9"/>
        <v>0</v>
      </c>
      <c r="G128" s="11" t="str">
        <f t="shared" si="10"/>
        <v/>
      </c>
      <c r="H128" s="12">
        <f>SUM(Oct!H170,Nov!H170,Dec!H170)</f>
        <v>0</v>
      </c>
      <c r="I128" s="12">
        <f>SUM(Oct!I170, Nov!I170, Dec!I170)</f>
        <v>0</v>
      </c>
      <c r="J128" s="13" t="str">
        <f t="shared" si="11"/>
        <v/>
      </c>
    </row>
    <row r="129" spans="1:10" ht="15.75">
      <c r="A129" s="26" t="str">
        <v>K213</v>
      </c>
      <c r="B129" s="27" t="str">
        <v>NY</v>
      </c>
      <c r="C129" s="27" t="str">
        <f>Sites[[#This Row],[SOL'#]]</f>
        <v>SOL-11191</v>
      </c>
      <c r="D129" s="9">
        <f>SUM(Oct!D171, Nov!D171, Dec!D171)</f>
        <v>0</v>
      </c>
      <c r="E129" s="14">
        <f>SUM(Oct!E171, Nov!E171, Dec!E171)</f>
        <v>0</v>
      </c>
      <c r="F129" s="14">
        <f t="shared" si="9"/>
        <v>0</v>
      </c>
      <c r="G129" s="15" t="str">
        <f t="shared" si="10"/>
        <v/>
      </c>
      <c r="H129" s="16">
        <f>SUM(Oct!H171,Nov!H171,Dec!H171)</f>
        <v>0</v>
      </c>
      <c r="I129" s="16">
        <f>SUM(Oct!I171, Nov!I171, Dec!I171)</f>
        <v>0</v>
      </c>
      <c r="J129" s="15" t="str">
        <f t="shared" si="11"/>
        <v/>
      </c>
    </row>
    <row r="130" spans="1:10" ht="15.75">
      <c r="A130" s="24" t="str">
        <v>K217</v>
      </c>
      <c r="B130" s="25" t="str">
        <v>NY</v>
      </c>
      <c r="C130" s="25" t="str">
        <f>Sites[[#This Row],[SOL'#]]</f>
        <v>SOL-10933</v>
      </c>
      <c r="D130" s="20">
        <f>SUM(Oct!D172, Nov!D172, Dec!D172)</f>
        <v>0</v>
      </c>
      <c r="E130" s="10">
        <f>SUM(Oct!E172, Nov!E172, Dec!E172)</f>
        <v>0</v>
      </c>
      <c r="F130" s="10">
        <f t="shared" si="9"/>
        <v>0</v>
      </c>
      <c r="G130" s="11" t="str">
        <f t="shared" si="10"/>
        <v/>
      </c>
      <c r="H130" s="12">
        <f>SUM(Oct!H172,Nov!H172,Dec!H172)</f>
        <v>0</v>
      </c>
      <c r="I130" s="12">
        <f>SUM(Oct!I172, Nov!I172, Dec!I172)</f>
        <v>0</v>
      </c>
      <c r="J130" s="13" t="str">
        <f t="shared" si="11"/>
        <v/>
      </c>
    </row>
    <row r="131" spans="1:10" ht="15.75">
      <c r="A131" s="26" t="str">
        <v>K307</v>
      </c>
      <c r="B131" s="27" t="str">
        <v>NY</v>
      </c>
      <c r="C131" s="27" t="str">
        <f>Sites[[#This Row],[SOL'#]]</f>
        <v>SOL-10876</v>
      </c>
      <c r="D131" s="9">
        <f>SUM(Oct!D173, Nov!D173, Dec!D173)</f>
        <v>0</v>
      </c>
      <c r="E131" s="14">
        <f>SUM(Oct!E173, Nov!E173, Dec!E173)</f>
        <v>0</v>
      </c>
      <c r="F131" s="14">
        <f t="shared" si="9"/>
        <v>0</v>
      </c>
      <c r="G131" s="15" t="str">
        <f t="shared" si="10"/>
        <v/>
      </c>
      <c r="H131" s="16">
        <f>SUM(Oct!H173,Nov!H173,Dec!H173)</f>
        <v>0</v>
      </c>
      <c r="I131" s="16">
        <f>SUM(Oct!I173, Nov!I173, Dec!I173)</f>
        <v>0</v>
      </c>
      <c r="J131" s="15" t="str">
        <f t="shared" si="11"/>
        <v/>
      </c>
    </row>
    <row r="132" spans="1:10" ht="15.75">
      <c r="A132" s="24" t="str">
        <v>K610</v>
      </c>
      <c r="B132" s="25" t="str">
        <v>NY</v>
      </c>
      <c r="C132" s="25" t="str">
        <f>Sites[[#This Row],[SOL'#]]</f>
        <v>SOL-11158</v>
      </c>
      <c r="D132" s="20">
        <f>SUM(Oct!D174, Nov!D174, Dec!D174)</f>
        <v>0</v>
      </c>
      <c r="E132" s="10">
        <f>SUM(Oct!E174, Nov!E174, Dec!E174)</f>
        <v>0</v>
      </c>
      <c r="F132" s="10">
        <f t="shared" si="9"/>
        <v>0</v>
      </c>
      <c r="G132" s="11" t="str">
        <f t="shared" si="10"/>
        <v/>
      </c>
      <c r="H132" s="12">
        <f>SUM(Oct!H174,Nov!H174,Dec!H174)</f>
        <v>0</v>
      </c>
      <c r="I132" s="12">
        <f>SUM(Oct!I174, Nov!I174, Dec!I174)</f>
        <v>0</v>
      </c>
      <c r="J132" s="13" t="str">
        <f t="shared" si="11"/>
        <v/>
      </c>
    </row>
    <row r="133" spans="1:10" ht="15.75">
      <c r="A133" s="26" t="str">
        <v>M025</v>
      </c>
      <c r="B133" s="27" t="str">
        <v>NY</v>
      </c>
      <c r="C133" s="27" t="str">
        <f>Sites[[#This Row],[SOL'#]]</f>
        <v>SOL-10392</v>
      </c>
      <c r="D133" s="9">
        <f>SUM(Oct!D175, Nov!D175, Dec!D175)</f>
        <v>0</v>
      </c>
      <c r="E133" s="14">
        <f>SUM(Oct!E175, Nov!E175, Dec!E175)</f>
        <v>0</v>
      </c>
      <c r="F133" s="14">
        <f t="shared" si="9"/>
        <v>0</v>
      </c>
      <c r="G133" s="15" t="str">
        <f t="shared" si="10"/>
        <v/>
      </c>
      <c r="H133" s="16">
        <f>SUM(Oct!H175,Nov!H175,Dec!H175)</f>
        <v>0</v>
      </c>
      <c r="I133" s="16">
        <f>SUM(Oct!I175, Nov!I175, Dec!I175)</f>
        <v>0</v>
      </c>
      <c r="J133" s="15" t="str">
        <f t="shared" si="11"/>
        <v/>
      </c>
    </row>
    <row r="134" spans="1:10" ht="15.75">
      <c r="A134" s="24" t="str">
        <v>M028</v>
      </c>
      <c r="B134" s="25" t="str">
        <v>NY</v>
      </c>
      <c r="C134" s="25" t="str">
        <f>Sites[[#This Row],[SOL'#]]</f>
        <v>SOL-10381</v>
      </c>
      <c r="D134" s="20">
        <f>SUM(Oct!D176, Nov!D176, Dec!D176)</f>
        <v>0</v>
      </c>
      <c r="E134" s="10">
        <f>SUM(Oct!E176, Nov!E176, Dec!E176)</f>
        <v>0</v>
      </c>
      <c r="F134" s="10">
        <f t="shared" si="9"/>
        <v>0</v>
      </c>
      <c r="G134" s="11" t="str">
        <f t="shared" si="10"/>
        <v/>
      </c>
      <c r="H134" s="12">
        <f>SUM(Oct!H176,Nov!H176,Dec!H176)</f>
        <v>0</v>
      </c>
      <c r="I134" s="12">
        <f>SUM(Oct!I176, Nov!I176, Dec!I176)</f>
        <v>0</v>
      </c>
      <c r="J134" s="13" t="str">
        <f t="shared" si="11"/>
        <v/>
      </c>
    </row>
    <row r="135" spans="1:10" ht="15.75">
      <c r="A135" s="26" t="str">
        <v>Q030</v>
      </c>
      <c r="B135" s="27" t="str">
        <v>NY</v>
      </c>
      <c r="C135" s="27" t="str">
        <f>Sites[[#This Row],[SOL'#]]</f>
        <v>SOL-10878</v>
      </c>
      <c r="D135" s="9">
        <f>SUM(Oct!D177, Nov!D177, Dec!D177)</f>
        <v>0</v>
      </c>
      <c r="E135" s="14">
        <f>SUM(Oct!E177, Nov!E177, Dec!E177)</f>
        <v>0</v>
      </c>
      <c r="F135" s="14">
        <f t="shared" si="9"/>
        <v>0</v>
      </c>
      <c r="G135" s="15" t="str">
        <f t="shared" si="10"/>
        <v/>
      </c>
      <c r="H135" s="16">
        <f>SUM(Oct!H177,Nov!H177,Dec!H177)</f>
        <v>0</v>
      </c>
      <c r="I135" s="16">
        <f>SUM(Oct!I177, Nov!I177, Dec!I177)</f>
        <v>0</v>
      </c>
      <c r="J135" s="15" t="str">
        <f t="shared" si="11"/>
        <v/>
      </c>
    </row>
    <row r="136" spans="1:10" ht="15.75">
      <c r="A136" s="24" t="str">
        <v>Q130</v>
      </c>
      <c r="B136" s="25" t="str">
        <v>NY</v>
      </c>
      <c r="C136" s="25" t="str">
        <f>Sites[[#This Row],[SOL'#]]</f>
        <v>SOL-10877</v>
      </c>
      <c r="D136" s="20">
        <f>SUM(Oct!D178, Nov!D178, Dec!D178)</f>
        <v>0</v>
      </c>
      <c r="E136" s="10">
        <f>SUM(Oct!E178, Nov!E178, Dec!E178)</f>
        <v>0</v>
      </c>
      <c r="F136" s="10">
        <f t="shared" si="9"/>
        <v>0</v>
      </c>
      <c r="G136" s="11" t="str">
        <f t="shared" si="10"/>
        <v/>
      </c>
      <c r="H136" s="12">
        <f>SUM(Oct!H178,Nov!H178,Dec!H178)</f>
        <v>0</v>
      </c>
      <c r="I136" s="12">
        <f>SUM(Oct!I178, Nov!I178, Dec!I178)</f>
        <v>0</v>
      </c>
      <c r="J136" s="13" t="str">
        <f t="shared" si="11"/>
        <v/>
      </c>
    </row>
    <row r="137" spans="1:10" ht="15.75">
      <c r="A137" s="26" t="str">
        <v>Q196</v>
      </c>
      <c r="B137" s="27" t="str">
        <v>NY</v>
      </c>
      <c r="C137" s="27" t="str">
        <f>Sites[[#This Row],[SOL'#]]</f>
        <v>SOL-10879</v>
      </c>
      <c r="D137" s="9">
        <f>SUM(Oct!D179, Nov!D179, Dec!D179)</f>
        <v>0</v>
      </c>
      <c r="E137" s="14">
        <f>SUM(Oct!E179, Nov!E179, Dec!E179)</f>
        <v>0</v>
      </c>
      <c r="F137" s="14">
        <f t="shared" si="9"/>
        <v>0</v>
      </c>
      <c r="G137" s="15" t="str">
        <f t="shared" si="10"/>
        <v/>
      </c>
      <c r="H137" s="16">
        <f>SUM(Oct!H179,Nov!H179,Dec!H179)</f>
        <v>0</v>
      </c>
      <c r="I137" s="16">
        <f>SUM(Oct!I179, Nov!I179, Dec!I179)</f>
        <v>0</v>
      </c>
      <c r="J137" s="15" t="str">
        <f t="shared" si="11"/>
        <v/>
      </c>
    </row>
    <row r="138" spans="1:10" ht="15.75">
      <c r="A138" s="24" t="str">
        <v>Q220</v>
      </c>
      <c r="B138" s="25" t="str">
        <v>NY</v>
      </c>
      <c r="C138" s="25" t="str">
        <f>Sites[[#This Row],[SOL'#]]</f>
        <v>SOL-10873</v>
      </c>
      <c r="D138" s="20">
        <f>SUM(Oct!D180, Nov!D180, Dec!D180)</f>
        <v>0</v>
      </c>
      <c r="E138" s="10">
        <f>SUM(Oct!E180, Nov!E180, Dec!E180)</f>
        <v>0</v>
      </c>
      <c r="F138" s="10">
        <f t="shared" si="9"/>
        <v>0</v>
      </c>
      <c r="G138" s="11" t="str">
        <f t="shared" si="10"/>
        <v/>
      </c>
      <c r="H138" s="12">
        <f>SUM(Oct!H180,Nov!H180,Dec!H180)</f>
        <v>0</v>
      </c>
      <c r="I138" s="12">
        <f>SUM(Oct!I180, Nov!I180, Dec!I180)</f>
        <v>0</v>
      </c>
      <c r="J138" s="13" t="str">
        <f t="shared" si="11"/>
        <v/>
      </c>
    </row>
    <row r="139" spans="1:10" ht="15.75">
      <c r="A139" s="26" t="str">
        <v>Q205</v>
      </c>
      <c r="B139" s="27" t="str">
        <v>NY</v>
      </c>
      <c r="C139" s="27" t="str">
        <f>Sites[[#This Row],[SOL'#]]</f>
        <v>SOL-10922</v>
      </c>
      <c r="D139" s="9">
        <f>SUM(Oct!D181, Nov!D181, Dec!D181)</f>
        <v>0</v>
      </c>
      <c r="E139" s="14">
        <f>SUM(Oct!E181, Nov!E181, Dec!E181)</f>
        <v>0</v>
      </c>
      <c r="F139" s="14">
        <f t="shared" si="9"/>
        <v>0</v>
      </c>
      <c r="G139" s="15" t="str">
        <f t="shared" si="10"/>
        <v/>
      </c>
      <c r="H139" s="16">
        <f>SUM(Oct!H181,Nov!H181,Dec!H181)</f>
        <v>0</v>
      </c>
      <c r="I139" s="16">
        <f>SUM(Oct!I181, Nov!I181, Dec!I181)</f>
        <v>0</v>
      </c>
      <c r="J139" s="15" t="str">
        <f t="shared" si="11"/>
        <v/>
      </c>
    </row>
    <row r="140" spans="1:10" ht="15.75">
      <c r="A140" s="24" t="str">
        <v>Q400</v>
      </c>
      <c r="B140" s="25" t="str">
        <v>NY</v>
      </c>
      <c r="C140" s="25" t="str">
        <f>Sites[[#This Row],[SOL'#]]</f>
        <v>SOL-10871</v>
      </c>
      <c r="D140" s="20">
        <f>SUM(Oct!D182, Nov!D182, Dec!D182)</f>
        <v>0</v>
      </c>
      <c r="E140" s="10">
        <f>SUM(Oct!E182, Nov!E182, Dec!E182)</f>
        <v>0</v>
      </c>
      <c r="F140" s="10">
        <f t="shared" si="9"/>
        <v>0</v>
      </c>
      <c r="G140" s="11" t="str">
        <f t="shared" si="10"/>
        <v/>
      </c>
      <c r="H140" s="12">
        <f>SUM(Oct!H182,Nov!H182,Dec!H182)</f>
        <v>0</v>
      </c>
      <c r="I140" s="12">
        <f>SUM(Oct!I182, Nov!I182, Dec!I182)</f>
        <v>0</v>
      </c>
      <c r="J140" s="13" t="str">
        <f t="shared" si="11"/>
        <v/>
      </c>
    </row>
    <row r="141" spans="1:10" ht="15.75">
      <c r="A141" s="26" t="str">
        <v>R003</v>
      </c>
      <c r="B141" s="27" t="str">
        <v>NY</v>
      </c>
      <c r="C141" s="27" t="str">
        <f>Sites[[#This Row],[SOL'#]]</f>
        <v>SOL-10416</v>
      </c>
      <c r="D141" s="9">
        <f>SUM(Oct!D183, Nov!D183, Dec!D183)</f>
        <v>0</v>
      </c>
      <c r="E141" s="14">
        <f>SUM(Oct!E183, Nov!E183, Dec!E183)</f>
        <v>0</v>
      </c>
      <c r="F141" s="14">
        <f t="shared" si="9"/>
        <v>0</v>
      </c>
      <c r="G141" s="15" t="str">
        <f t="shared" si="10"/>
        <v/>
      </c>
      <c r="H141" s="16">
        <f>SUM(Oct!H183,Nov!H183,Dec!H183)</f>
        <v>0</v>
      </c>
      <c r="I141" s="16">
        <f>SUM(Oct!I183, Nov!I183, Dec!I183)</f>
        <v>0</v>
      </c>
      <c r="J141" s="15" t="str">
        <f t="shared" si="11"/>
        <v/>
      </c>
    </row>
    <row r="142" spans="1:10" ht="15.75">
      <c r="A142" s="24" t="str">
        <v>R007</v>
      </c>
      <c r="B142" s="25" t="str">
        <v>NY</v>
      </c>
      <c r="C142" s="25" t="str">
        <f>Sites[[#This Row],[SOL'#]]</f>
        <v>SOL-10417</v>
      </c>
      <c r="D142" s="20">
        <f>SUM(Oct!D184, Nov!D184, Dec!D184)</f>
        <v>0</v>
      </c>
      <c r="E142" s="10">
        <f>SUM(Oct!E184, Nov!E184, Dec!E184)</f>
        <v>0</v>
      </c>
      <c r="F142" s="10">
        <f t="shared" si="9"/>
        <v>0</v>
      </c>
      <c r="G142" s="11" t="str">
        <f t="shared" si="10"/>
        <v/>
      </c>
      <c r="H142" s="12">
        <f>SUM(Oct!H184,Nov!H184,Dec!H184)</f>
        <v>0</v>
      </c>
      <c r="I142" s="12">
        <f>SUM(Oct!I184, Nov!I184, Dec!I184)</f>
        <v>0</v>
      </c>
      <c r="J142" s="13" t="str">
        <f t="shared" si="11"/>
        <v/>
      </c>
    </row>
    <row r="143" spans="1:10" ht="15.75">
      <c r="A143" s="26" t="str">
        <v>BK16</v>
      </c>
      <c r="B143" s="27" t="str">
        <v>NY</v>
      </c>
      <c r="C143" s="27" t="str">
        <f>Sites[[#This Row],[SOL'#]]</f>
        <v>SOL-11093</v>
      </c>
      <c r="D143" s="9">
        <f>SUM(Oct!D185, Nov!D185, Dec!D185)</f>
        <v>0</v>
      </c>
      <c r="E143" s="14">
        <f>SUM(Oct!E185, Nov!E185, Dec!E185)</f>
        <v>0</v>
      </c>
      <c r="F143" s="14">
        <f t="shared" si="9"/>
        <v>0</v>
      </c>
      <c r="G143" s="15" t="str">
        <f t="shared" si="10"/>
        <v/>
      </c>
      <c r="H143" s="16">
        <f>SUM(Oct!H185,Nov!H185,Dec!H185)</f>
        <v>0</v>
      </c>
      <c r="I143" s="16">
        <f>SUM(Oct!I185, Nov!I185, Dec!I185)</f>
        <v>0</v>
      </c>
      <c r="J143" s="15" t="str">
        <f t="shared" si="11"/>
        <v/>
      </c>
    </row>
    <row r="144" spans="1:10" ht="15.75">
      <c r="A144" s="24" t="str">
        <v>Trenton - Trenton East</v>
      </c>
      <c r="B144" s="25" t="str">
        <v>IL</v>
      </c>
      <c r="C144" s="25" t="str">
        <f>Sites[[#This Row],[SOL'#]]</f>
        <v>SOL-11060</v>
      </c>
      <c r="D144" s="20">
        <f>SUM(Oct!D186, Nov!D186, Dec!D186)</f>
        <v>0</v>
      </c>
      <c r="E144" s="10">
        <f>SUM(Oct!E186, Nov!E186, Dec!E186)</f>
        <v>0</v>
      </c>
      <c r="F144" s="10">
        <f>IF(AND(ISNUMBER(D144),ISNUMBER(E144)), D144-E144, "")</f>
        <v>0</v>
      </c>
      <c r="G144" s="11"/>
      <c r="H144" s="12">
        <f>SUM(Oct!H186,Nov!H186,Dec!H186)</f>
        <v>0</v>
      </c>
      <c r="I144" s="12">
        <f>SUM(Oct!I186, Nov!I186, Dec!I186)</f>
        <v>0</v>
      </c>
      <c r="J144" s="13"/>
    </row>
    <row r="145" spans="1:10" ht="15.75">
      <c r="A145" s="26" t="str">
        <v>Trenton - Trenton West</v>
      </c>
      <c r="B145" s="27" t="str">
        <v>IL</v>
      </c>
      <c r="C145" s="27" t="str">
        <f>Sites[[#This Row],[SOL'#]]</f>
        <v>SOL-11061</v>
      </c>
      <c r="D145" s="9">
        <f>SUM(Oct!D187, Nov!D187, Dec!D187)</f>
        <v>0</v>
      </c>
      <c r="E145" s="14">
        <f>SUM(Oct!E187, Nov!E187, Dec!E187)</f>
        <v>0</v>
      </c>
      <c r="F145" s="14">
        <f>IF(AND(ISNUMBER(D145),ISNUMBER(E145)), D145-E145, "")</f>
        <v>0</v>
      </c>
      <c r="G145" s="15"/>
      <c r="H145" s="16">
        <f>SUM(Oct!H187,Nov!H187,Dec!H187)</f>
        <v>0</v>
      </c>
      <c r="I145" s="16">
        <f>SUM(Oct!I187, Nov!I187, Dec!I187)</f>
        <v>0</v>
      </c>
      <c r="J145" s="15"/>
    </row>
    <row r="146" spans="1:10" ht="15.75">
      <c r="A146" s="24" t="str">
        <v>Dakota - Dakota Solar 1</v>
      </c>
      <c r="B146" s="25" t="str">
        <v>IL</v>
      </c>
      <c r="C146" s="25" t="str">
        <f>Sites[[#This Row],[SOL'#]]</f>
        <v>SOL-11113</v>
      </c>
      <c r="D146" s="20">
        <f>SUM(Oct!D188, Nov!D188, Dec!D188)</f>
        <v>0</v>
      </c>
      <c r="E146" s="10">
        <f>SUM(Oct!E188, Nov!E188, Dec!E188)</f>
        <v>0</v>
      </c>
      <c r="F146" s="10">
        <f>IF(AND(ISNUMBER(D146),ISNUMBER(E146)), D146-E146, "")</f>
        <v>0</v>
      </c>
      <c r="G146" s="11"/>
      <c r="H146" s="12">
        <f>SUM(Oct!H188,Nov!H188,Dec!H188)</f>
        <v>0</v>
      </c>
      <c r="I146" s="12">
        <f>SUM(Oct!I188, Nov!I188, Dec!I188)</f>
        <v>0</v>
      </c>
      <c r="J146" s="13"/>
    </row>
    <row r="147" spans="1:10" ht="15.75">
      <c r="A147" s="26" t="str">
        <v>X018</v>
      </c>
      <c r="B147" s="27" t="str">
        <v>NY</v>
      </c>
      <c r="C147" s="27" t="str">
        <f>Sites[[#This Row],[SOL'#]]</f>
        <v>SOL-10418</v>
      </c>
      <c r="D147" s="9">
        <f>SUM(Oct!D189, Nov!D189, Dec!D189)</f>
        <v>0</v>
      </c>
      <c r="E147" s="14">
        <f>SUM(Oct!E189, Nov!E189, Dec!E189)</f>
        <v>0</v>
      </c>
      <c r="F147" s="14">
        <f>IF(AND(ISNUMBER(D147),ISNUMBER(E147)), D147-E147, "")</f>
        <v>0</v>
      </c>
      <c r="G147" s="15"/>
      <c r="H147" s="16">
        <f>SUM(Oct!H189,Nov!H189,Dec!H189)</f>
        <v>0</v>
      </c>
      <c r="I147" s="16">
        <f>SUM(Oct!I189, Nov!I189, Dec!I189)</f>
        <v>0</v>
      </c>
      <c r="J147" s="15"/>
    </row>
    <row r="148" spans="1:10" ht="15.75">
      <c r="A148" s="24" t="str">
        <v>Janiak Solar</v>
      </c>
      <c r="B148" s="25" t="str">
        <v>NY</v>
      </c>
      <c r="C148" s="25" t="str">
        <f>Sites[[#This Row],[SOL'#]]</f>
        <v>SOL-10898</v>
      </c>
      <c r="D148" s="20">
        <f>SUM(Oct!D190, Nov!D190, Dec!D190)</f>
        <v>0</v>
      </c>
      <c r="E148" s="10">
        <f>SUM(Oct!E190, Nov!E190, Dec!E190)</f>
        <v>0</v>
      </c>
      <c r="F148" s="10">
        <f t="shared" ref="F148:F158" si="12">IF(AND(ISNUMBER(D148),ISNUMBER(E148)), D148-E148, "")</f>
        <v>0</v>
      </c>
      <c r="G148" s="11"/>
      <c r="H148" s="12">
        <f>SUM(Oct!H190,Nov!H190,Dec!H190)</f>
        <v>0</v>
      </c>
      <c r="I148" s="12">
        <f>SUM(Oct!I190, Nov!I190, Dec!I190)</f>
        <v>0</v>
      </c>
      <c r="J148" s="13"/>
    </row>
    <row r="149" spans="1:10" ht="15.75">
      <c r="A149" s="26" t="str">
        <v>County Route 11B</v>
      </c>
      <c r="B149" s="27" t="str">
        <v>NY</v>
      </c>
      <c r="C149" s="27" t="str">
        <f>Sites[[#This Row],[SOL'#]]</f>
        <v>SOL-10983</v>
      </c>
      <c r="D149" s="9">
        <f>SUM(Oct!D191, Nov!D191, Dec!D191)</f>
        <v>0</v>
      </c>
      <c r="E149" s="14">
        <f>SUM(Oct!E191, Nov!E191, Dec!E191)</f>
        <v>0</v>
      </c>
      <c r="F149" s="14">
        <f t="shared" si="12"/>
        <v>0</v>
      </c>
      <c r="G149" s="15"/>
      <c r="H149" s="16">
        <f>SUM(Oct!H191,Nov!H191,Dec!H191)</f>
        <v>0</v>
      </c>
      <c r="I149" s="16">
        <f>SUM(Oct!I191, Nov!I191, Dec!I191)</f>
        <v>0</v>
      </c>
      <c r="J149" s="15"/>
    </row>
    <row r="150" spans="1:10" ht="15.75">
      <c r="A150" s="24" t="str">
        <v>Barone</v>
      </c>
      <c r="B150" s="25" t="str">
        <v>NY</v>
      </c>
      <c r="C150" s="25" t="str">
        <f>Sites[[#This Row],[SOL'#]]</f>
        <v>SOL-11034</v>
      </c>
      <c r="D150" s="20">
        <f>SUM(Oct!D192, Nov!D192, Dec!D192)</f>
        <v>0</v>
      </c>
      <c r="E150" s="10">
        <f>SUM(Oct!E192, Nov!E192, Dec!E192)</f>
        <v>0</v>
      </c>
      <c r="F150" s="10">
        <f t="shared" si="12"/>
        <v>0</v>
      </c>
      <c r="G150" s="11"/>
      <c r="H150" s="12">
        <f>SUM(Oct!H192,Nov!H192,Dec!H192)</f>
        <v>0</v>
      </c>
      <c r="I150" s="12">
        <f>SUM(Oct!I192, Nov!I192, Dec!I192)</f>
        <v>0</v>
      </c>
      <c r="J150" s="13"/>
    </row>
    <row r="151" spans="1:10" ht="15.75">
      <c r="A151" s="26" t="str">
        <v>Cedarville</v>
      </c>
      <c r="B151" s="27" t="str">
        <v>IL</v>
      </c>
      <c r="C151" s="27" t="str">
        <f>Sites[[#This Row],[SOL'#]]</f>
        <v>SOL-11069</v>
      </c>
      <c r="D151" s="9">
        <f>SUM(Oct!D193, Nov!D193, Dec!D193)</f>
        <v>0</v>
      </c>
      <c r="E151" s="14">
        <f>SUM(Oct!E193, Nov!E193, Dec!E193)</f>
        <v>0</v>
      </c>
      <c r="F151" s="14">
        <f t="shared" si="12"/>
        <v>0</v>
      </c>
      <c r="G151" s="15"/>
      <c r="H151" s="16">
        <f>SUM(Oct!H193,Nov!H193,Dec!H193)</f>
        <v>0</v>
      </c>
      <c r="I151" s="16">
        <f>SUM(Oct!I193, Nov!I193, Dec!I193)</f>
        <v>0</v>
      </c>
      <c r="J151" s="15"/>
    </row>
    <row r="152" spans="1:10" ht="15.75">
      <c r="A152" s="24" t="str">
        <v xml:space="preserve"> O'Brien Hill #1</v>
      </c>
      <c r="B152" s="25" t="str">
        <v>NY</v>
      </c>
      <c r="C152" s="25" t="str">
        <f>Sites[[#This Row],[SOL'#]]</f>
        <v>SOL-11098</v>
      </c>
      <c r="D152" s="20">
        <f>SUM(Oct!D194, Nov!D194, Dec!D194)</f>
        <v>0</v>
      </c>
      <c r="E152" s="10">
        <f>SUM(Oct!E194, Nov!E194, Dec!E194)</f>
        <v>0</v>
      </c>
      <c r="F152" s="10">
        <f t="shared" si="12"/>
        <v>0</v>
      </c>
      <c r="G152" s="11"/>
      <c r="H152" s="12">
        <f>SUM(Oct!H194,Nov!H194,Dec!H194)</f>
        <v>0</v>
      </c>
      <c r="I152" s="12">
        <f>SUM(Oct!I194, Nov!I194, Dec!I194)</f>
        <v>0</v>
      </c>
      <c r="J152" s="13"/>
    </row>
    <row r="153" spans="1:10" ht="15.75">
      <c r="A153" s="26" t="str">
        <v xml:space="preserve"> O'Brien Hill #2</v>
      </c>
      <c r="B153" s="27" t="str">
        <v>NY</v>
      </c>
      <c r="C153" s="27" t="str">
        <f>Sites[[#This Row],[SOL'#]]</f>
        <v>SOL-11099</v>
      </c>
      <c r="D153" s="9">
        <f>SUM(Oct!D195, Nov!D195, Dec!D195)</f>
        <v>0</v>
      </c>
      <c r="E153" s="14">
        <f>SUM(Oct!E195, Nov!E195, Dec!E195)</f>
        <v>0</v>
      </c>
      <c r="F153" s="14">
        <f t="shared" si="12"/>
        <v>0</v>
      </c>
      <c r="G153" s="15"/>
      <c r="H153" s="16">
        <f>SUM(Oct!H195,Nov!H195,Dec!H195)</f>
        <v>0</v>
      </c>
      <c r="I153" s="16">
        <f>SUM(Oct!I195, Nov!I195, Dec!I195)</f>
        <v>0</v>
      </c>
      <c r="J153" s="15"/>
    </row>
    <row r="154" spans="1:10" ht="15.75">
      <c r="A154" s="24" t="str">
        <v>Trinity - Freeport</v>
      </c>
      <c r="B154" s="25" t="str">
        <v>IL</v>
      </c>
      <c r="C154" s="25" t="str">
        <f>Sites[[#This Row],[SOL'#]]</f>
        <v>SOL-11057</v>
      </c>
      <c r="D154" s="20">
        <f>SUM(Oct!D196, Nov!D196, Dec!D196)</f>
        <v>0</v>
      </c>
      <c r="E154" s="10">
        <f>SUM(Oct!E196, Nov!E196, Dec!E196)</f>
        <v>0</v>
      </c>
      <c r="F154" s="10">
        <f t="shared" si="12"/>
        <v>0</v>
      </c>
      <c r="G154" s="11"/>
      <c r="H154" s="12">
        <f>SUM(Oct!H196,Nov!H196,Dec!H196)</f>
        <v>0</v>
      </c>
      <c r="I154" s="12">
        <f>SUM(Oct!I196, Nov!I196, Dec!I196)</f>
        <v>0</v>
      </c>
      <c r="J154" s="13"/>
    </row>
    <row r="155" spans="1:10" ht="15.75">
      <c r="A155" s="26" t="str">
        <v>Ransom</v>
      </c>
      <c r="B155" s="27" t="str">
        <v>NY</v>
      </c>
      <c r="C155" s="27" t="str">
        <f>Sites[[#This Row],[SOL'#]]</f>
        <v>SOL-11157</v>
      </c>
      <c r="D155" s="9">
        <f>SUM(Oct!D197, Nov!D197, Dec!D197)</f>
        <v>0</v>
      </c>
      <c r="E155" s="14">
        <f>SUM(Oct!E197, Nov!E197, Dec!E197)</f>
        <v>0</v>
      </c>
      <c r="F155" s="14">
        <f t="shared" si="12"/>
        <v>0</v>
      </c>
      <c r="G155" s="15"/>
      <c r="H155" s="16">
        <f>SUM(Oct!H197,Nov!H197,Dec!H197)</f>
        <v>0</v>
      </c>
      <c r="I155" s="16">
        <f>SUM(Oct!I197, Nov!I197, Dec!I197)</f>
        <v>0</v>
      </c>
      <c r="J155" s="15"/>
    </row>
    <row r="156" spans="1:10" ht="15.75">
      <c r="A156" s="24" t="str">
        <v>Horseheads - Wedge</v>
      </c>
      <c r="B156" s="25" t="str">
        <v>NY</v>
      </c>
      <c r="C156" s="25" t="str">
        <f>Sites[[#This Row],[SOL'#]]</f>
        <v>SOL-11160</v>
      </c>
      <c r="D156" s="20">
        <f>SUM(Oct!D198, Nov!D198, Dec!D198)</f>
        <v>0</v>
      </c>
      <c r="E156" s="10">
        <f>SUM(Oct!E198, Nov!E198, Dec!E198)</f>
        <v>0</v>
      </c>
      <c r="F156" s="10">
        <f t="shared" si="12"/>
        <v>0</v>
      </c>
      <c r="G156" s="11"/>
      <c r="H156" s="12">
        <f>SUM(Oct!H198,Nov!H198,Dec!H198)</f>
        <v>0</v>
      </c>
      <c r="I156" s="12">
        <f>SUM(Oct!I198, Nov!I198, Dec!I198)</f>
        <v>0</v>
      </c>
      <c r="J156" s="13"/>
    </row>
    <row r="157" spans="1:10" ht="15.75">
      <c r="A157" s="26" t="str">
        <v>Otisville - Shoddy Hollow</v>
      </c>
      <c r="B157" s="27" t="str">
        <v>NY</v>
      </c>
      <c r="C157" s="27" t="str">
        <f>Sites[[#This Row],[SOL'#]]</f>
        <v>SOL-11185</v>
      </c>
      <c r="D157" s="9">
        <f>SUM(Oct!D199, Nov!D199, Dec!D199)</f>
        <v>0</v>
      </c>
      <c r="E157" s="14">
        <f>SUM(Oct!E199, Nov!E199, Dec!E199)</f>
        <v>0</v>
      </c>
      <c r="F157" s="14">
        <f t="shared" si="12"/>
        <v>0</v>
      </c>
      <c r="G157" s="15"/>
      <c r="H157" s="16">
        <f>SUM(Oct!H199,Nov!H199,Dec!H199)</f>
        <v>0</v>
      </c>
      <c r="I157" s="16">
        <f>SUM(Oct!I199, Nov!I199, Dec!I199)</f>
        <v>0</v>
      </c>
      <c r="J157" s="15"/>
    </row>
    <row r="158" spans="1:10" ht="15.75">
      <c r="A158" s="24" t="str">
        <v>Wellsville - Chenunda Creek</v>
      </c>
      <c r="B158" s="25" t="str">
        <v>NY</v>
      </c>
      <c r="C158" s="25" t="str">
        <f>Sites[[#This Row],[SOL'#]]</f>
        <v>SOL-11187</v>
      </c>
      <c r="D158" s="20">
        <f>SUM(Oct!D200, Nov!D200, Dec!D200)</f>
        <v>0</v>
      </c>
      <c r="E158" s="10">
        <f>SUM(Oct!E200, Nov!E200, Dec!E200)</f>
        <v>0</v>
      </c>
      <c r="F158" s="10">
        <f t="shared" si="12"/>
        <v>0</v>
      </c>
      <c r="G158" s="11"/>
      <c r="H158" s="12">
        <f>SUM(Oct!H200,Nov!H200,Dec!H200)</f>
        <v>0</v>
      </c>
      <c r="I158" s="12">
        <f>SUM(Oct!I200, Nov!I200, Dec!I200)</f>
        <v>0</v>
      </c>
      <c r="J158" s="13"/>
    </row>
    <row r="159" spans="1:10" ht="15">
      <c r="H159" s="16"/>
    </row>
  </sheetData>
  <mergeCells count="4">
    <mergeCell ref="H1:J1"/>
    <mergeCell ref="A1:D1"/>
    <mergeCell ref="E1:G1"/>
    <mergeCell ref="A2:B2"/>
  </mergeCells>
  <conditionalFormatting sqref="G2 J2 G4:G158 J4:J158">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58"/>
  <sheetViews>
    <sheetView zoomScale="60" zoomScaleNormal="60" workbookViewId="0">
      <pane xSplit="2" ySplit="3" topLeftCell="C4" activePane="bottomRight" state="frozen"/>
      <selection pane="bottomRight" activeCell="I4" sqref="I4"/>
      <selection pane="bottomLeft" activeCell="C3" sqref="C3"/>
      <selection pane="topRight" activeCell="C3" sqref="C3"/>
    </sheetView>
  </sheetViews>
  <sheetFormatPr defaultRowHeight="13.5"/>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51" t="str" cm="1">
        <f t="array" ref="A1">portfolio</f>
        <v>Generate Capital</v>
      </c>
      <c r="B1" s="151"/>
      <c r="C1" s="151"/>
      <c r="D1" s="151"/>
      <c r="E1" s="152" t="s">
        <v>19</v>
      </c>
      <c r="F1" s="152"/>
      <c r="G1" s="152"/>
      <c r="H1" s="150" t="s">
        <v>20</v>
      </c>
      <c r="I1" s="150"/>
      <c r="J1" s="150"/>
      <c r="K1" s="4"/>
      <c r="L1" s="4"/>
    </row>
    <row r="2" spans="1:20" ht="19.5" customHeight="1">
      <c r="A2" s="153" t="s">
        <v>2</v>
      </c>
      <c r="B2" s="153"/>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75">
      <c r="A4" s="26" t="str" cm="1">
        <f t="array" ref="A4:A158">Sites[Site]</f>
        <v>K026</v>
      </c>
      <c r="B4" s="27" t="str" cm="1">
        <f t="array" ref="B4:B158">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7"/>
      <c r="N4" s="107"/>
      <c r="O4" s="107"/>
      <c r="P4" s="107"/>
      <c r="Q4" s="107"/>
      <c r="R4" s="107"/>
      <c r="S4" s="107"/>
      <c r="T4" s="107"/>
    </row>
    <row r="5" spans="1:20" ht="15.75">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7"/>
      <c r="N5" s="107"/>
      <c r="O5" s="107"/>
      <c r="P5" s="107"/>
      <c r="Q5" s="107"/>
      <c r="R5" s="107"/>
      <c r="S5" s="107"/>
      <c r="T5" s="107"/>
    </row>
    <row r="6" spans="1:20" ht="15.75">
      <c r="A6" s="26" t="str">
        <v>K043</v>
      </c>
      <c r="B6" s="27" t="str">
        <v>NY</v>
      </c>
      <c r="C6" s="27" t="str">
        <f>Sites[[#This Row],[SOL'#]]</f>
        <v>SOL-10358</v>
      </c>
      <c r="D6" s="9">
        <v>10563.6875</v>
      </c>
      <c r="E6" s="14">
        <v>15508.68</v>
      </c>
      <c r="F6" s="14">
        <f t="shared" si="0"/>
        <v>-4944.9925000000003</v>
      </c>
      <c r="G6" s="15">
        <f t="shared" si="1"/>
        <v>-0.31885321639236869</v>
      </c>
      <c r="H6" s="16">
        <v>2303</v>
      </c>
      <c r="I6" s="16">
        <f t="shared" ref="I4:I64" si="3">IF(AND(ISNUMBER(D6),ISNUMBER(H6)), D6-H6, "")</f>
        <v>8260.6875</v>
      </c>
      <c r="J6" s="15">
        <f t="shared" si="2"/>
        <v>3.5869246634824141</v>
      </c>
      <c r="K6" s="50" t="s">
        <v>23</v>
      </c>
      <c r="L6" s="52"/>
      <c r="M6" s="107"/>
      <c r="N6" s="107"/>
      <c r="O6" s="107"/>
      <c r="P6" s="107"/>
      <c r="Q6" s="107"/>
      <c r="R6" s="107"/>
      <c r="S6" s="107"/>
      <c r="T6" s="107"/>
    </row>
    <row r="7" spans="1:20" ht="15.75">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7"/>
      <c r="N7" s="107"/>
      <c r="O7" s="107"/>
      <c r="P7" s="107"/>
      <c r="Q7" s="107"/>
      <c r="R7" s="107"/>
      <c r="S7" s="107"/>
      <c r="T7" s="107"/>
    </row>
    <row r="8" spans="1:20" ht="15.75">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41" t="s">
        <v>24</v>
      </c>
      <c r="L8" s="103" t="s">
        <v>25</v>
      </c>
      <c r="M8" s="107"/>
      <c r="N8" s="107"/>
      <c r="O8" s="107"/>
      <c r="P8" s="107"/>
      <c r="Q8" s="107"/>
      <c r="R8" s="107"/>
      <c r="S8" s="107"/>
      <c r="T8" s="107"/>
    </row>
    <row r="9" spans="1:20" ht="15.75">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7"/>
      <c r="N9" s="107"/>
      <c r="O9" s="107"/>
      <c r="P9" s="107"/>
      <c r="Q9" s="107"/>
      <c r="R9" s="107"/>
      <c r="S9" s="107"/>
      <c r="T9" s="107"/>
    </row>
    <row r="10" spans="1:20" ht="15.75">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7"/>
      <c r="N10" s="107"/>
      <c r="O10" s="107"/>
      <c r="P10" s="107"/>
      <c r="Q10" s="107"/>
      <c r="R10" s="107"/>
      <c r="S10" s="107"/>
      <c r="T10" s="107"/>
    </row>
    <row r="11" spans="1:20" ht="15.75">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7"/>
      <c r="N11" s="107"/>
      <c r="O11" s="107"/>
      <c r="P11" s="107"/>
      <c r="Q11" s="107"/>
      <c r="R11" s="107"/>
      <c r="S11" s="107"/>
      <c r="T11" s="107"/>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101" t="s">
        <v>27</v>
      </c>
      <c r="L12" s="103" t="s">
        <v>28</v>
      </c>
      <c r="M12" s="107"/>
      <c r="N12" s="107"/>
      <c r="O12" s="107"/>
      <c r="P12" s="107"/>
      <c r="Q12" s="107"/>
      <c r="R12" s="107"/>
      <c r="S12" s="107"/>
      <c r="T12" s="107"/>
    </row>
    <row r="13" spans="1:20" ht="15.75">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7"/>
      <c r="N13" s="107"/>
      <c r="O13" s="107"/>
      <c r="P13" s="107"/>
      <c r="Q13" s="107"/>
      <c r="R13" s="107"/>
      <c r="S13" s="107"/>
      <c r="T13" s="107"/>
    </row>
    <row r="14" spans="1:20" ht="28.5">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103" t="s">
        <v>30</v>
      </c>
      <c r="M14" s="106" t="s">
        <v>31</v>
      </c>
      <c r="N14" s="107"/>
      <c r="O14" s="107"/>
      <c r="P14" s="107"/>
      <c r="Q14" s="107"/>
      <c r="R14" s="107"/>
      <c r="S14" s="107"/>
      <c r="T14" s="107"/>
    </row>
    <row r="15" spans="1:20" ht="15.75">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7"/>
      <c r="N15" s="107"/>
      <c r="O15" s="107"/>
      <c r="P15" s="107"/>
      <c r="Q15" s="107"/>
      <c r="R15" s="107"/>
      <c r="S15" s="107"/>
      <c r="T15" s="107"/>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37" t="s">
        <v>26</v>
      </c>
      <c r="L16" s="52"/>
      <c r="M16" s="107"/>
      <c r="N16" s="107"/>
      <c r="O16" s="107"/>
      <c r="P16" s="107"/>
      <c r="Q16" s="107"/>
      <c r="R16" s="107"/>
      <c r="S16" s="107"/>
      <c r="T16" s="107"/>
    </row>
    <row r="17" spans="1:20" ht="15.75">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7"/>
      <c r="N17" s="107"/>
      <c r="O17" s="107"/>
      <c r="P17" s="107"/>
      <c r="Q17" s="107"/>
      <c r="R17" s="107"/>
      <c r="S17" s="107"/>
      <c r="T17" s="107"/>
    </row>
    <row r="18" spans="1:20" ht="15.75">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7"/>
      <c r="N18" s="107"/>
      <c r="O18" s="107"/>
      <c r="P18" s="107"/>
      <c r="Q18" s="107"/>
      <c r="R18" s="107"/>
      <c r="S18" s="107"/>
      <c r="T18" s="107"/>
    </row>
    <row r="19" spans="1:20" ht="15.75">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7"/>
      <c r="N19" s="107"/>
      <c r="O19" s="107"/>
      <c r="P19" s="107"/>
      <c r="Q19" s="107"/>
      <c r="R19" s="107"/>
      <c r="S19" s="107"/>
      <c r="T19" s="107"/>
    </row>
    <row r="20" spans="1:20" ht="15.75">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103" t="s">
        <v>33</v>
      </c>
      <c r="M20" s="107"/>
      <c r="N20" s="107"/>
      <c r="O20" s="107"/>
      <c r="P20" s="107"/>
      <c r="Q20" s="107"/>
      <c r="R20" s="107"/>
      <c r="S20" s="107"/>
      <c r="T20" s="107"/>
    </row>
    <row r="21" spans="1:20" ht="15.75">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7"/>
      <c r="N21" s="107"/>
      <c r="O21" s="107"/>
      <c r="P21" s="107"/>
      <c r="Q21" s="107"/>
      <c r="R21" s="107"/>
      <c r="S21" s="107"/>
      <c r="T21" s="107"/>
    </row>
    <row r="22" spans="1:20" ht="15.75">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7"/>
      <c r="N22" s="107"/>
      <c r="O22" s="107"/>
      <c r="P22" s="107"/>
      <c r="Q22" s="107"/>
      <c r="R22" s="107"/>
      <c r="S22" s="107"/>
      <c r="T22" s="107"/>
    </row>
    <row r="23" spans="1:20" ht="15.75">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7"/>
      <c r="N23" s="107"/>
      <c r="O23" s="107"/>
      <c r="P23" s="107"/>
      <c r="Q23" s="107"/>
      <c r="R23" s="107"/>
      <c r="S23" s="107"/>
      <c r="T23" s="107"/>
    </row>
    <row r="24" spans="1:20" ht="15.75">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7"/>
      <c r="N24" s="107"/>
      <c r="O24" s="107"/>
      <c r="P24" s="107"/>
      <c r="Q24" s="107"/>
      <c r="R24" s="107"/>
      <c r="S24" s="107"/>
      <c r="T24" s="107"/>
    </row>
    <row r="25" spans="1:20" ht="15.75">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7"/>
      <c r="N25" s="107"/>
      <c r="O25" s="107"/>
      <c r="P25" s="107"/>
      <c r="Q25" s="107"/>
      <c r="R25" s="107"/>
      <c r="S25" s="107"/>
      <c r="T25" s="107"/>
    </row>
    <row r="26" spans="1:20" ht="15.75">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7"/>
      <c r="N26" s="107"/>
      <c r="O26" s="107"/>
      <c r="P26" s="107"/>
      <c r="Q26" s="107"/>
      <c r="R26" s="107"/>
      <c r="S26" s="107"/>
      <c r="T26" s="107"/>
    </row>
    <row r="27" spans="1:20" ht="15.75">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7"/>
      <c r="N27" s="107"/>
      <c r="O27" s="107"/>
      <c r="P27" s="107"/>
      <c r="Q27" s="107"/>
      <c r="R27" s="107"/>
      <c r="S27" s="107"/>
      <c r="T27" s="107"/>
    </row>
    <row r="28" spans="1:20" ht="15.75">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7"/>
      <c r="N28" s="107"/>
      <c r="O28" s="107"/>
      <c r="P28" s="107"/>
      <c r="Q28" s="107"/>
      <c r="R28" s="107"/>
      <c r="S28" s="107"/>
      <c r="T28" s="107"/>
    </row>
    <row r="29" spans="1:20" ht="15.75">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7"/>
      <c r="N29" s="107"/>
      <c r="O29" s="107"/>
      <c r="P29" s="107"/>
      <c r="Q29" s="107"/>
      <c r="R29" s="107"/>
      <c r="S29" s="107"/>
      <c r="T29" s="107"/>
    </row>
    <row r="30" spans="1:20" ht="15.75">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7"/>
      <c r="N30" s="107"/>
      <c r="O30" s="107"/>
      <c r="P30" s="107"/>
      <c r="Q30" s="107"/>
      <c r="R30" s="107"/>
      <c r="S30" s="107"/>
      <c r="T30" s="107"/>
    </row>
    <row r="31" spans="1:20" ht="15.75">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7"/>
      <c r="N31" s="107"/>
      <c r="O31" s="107"/>
      <c r="P31" s="107"/>
      <c r="Q31" s="107"/>
      <c r="R31" s="107"/>
      <c r="S31" s="107"/>
      <c r="T31" s="107"/>
    </row>
    <row r="32" spans="1:20" ht="15.75">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103" t="s">
        <v>35</v>
      </c>
      <c r="M32" s="107"/>
      <c r="N32" s="107"/>
      <c r="O32" s="107"/>
      <c r="P32" s="107"/>
      <c r="Q32" s="107"/>
      <c r="R32" s="107"/>
      <c r="S32" s="107"/>
      <c r="T32" s="107"/>
    </row>
    <row r="33" spans="1:20" ht="15.75">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7"/>
      <c r="N33" s="107"/>
      <c r="O33" s="107"/>
      <c r="P33" s="107"/>
      <c r="Q33" s="107"/>
      <c r="R33" s="107"/>
      <c r="S33" s="107"/>
      <c r="T33" s="107"/>
    </row>
    <row r="34" spans="1:20" ht="15.75">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7"/>
      <c r="N34" s="107"/>
      <c r="O34" s="107"/>
      <c r="P34" s="107"/>
      <c r="Q34" s="107"/>
      <c r="R34" s="107"/>
      <c r="S34" s="107"/>
      <c r="T34" s="107"/>
    </row>
    <row r="35" spans="1:20" ht="38.25">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102" t="s">
        <v>37</v>
      </c>
      <c r="M35" s="106" t="s">
        <v>38</v>
      </c>
      <c r="N35" s="107"/>
      <c r="O35" s="107"/>
      <c r="P35" s="107"/>
      <c r="Q35" s="107"/>
      <c r="R35" s="107"/>
      <c r="S35" s="107"/>
      <c r="T35" s="107"/>
    </row>
    <row r="36" spans="1:20" ht="15.75">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7"/>
      <c r="N36" s="107"/>
      <c r="O36" s="107"/>
      <c r="P36" s="107"/>
      <c r="Q36" s="107"/>
      <c r="R36" s="107"/>
      <c r="S36" s="107"/>
      <c r="T36" s="107"/>
    </row>
    <row r="37" spans="1:20" ht="15.75">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7"/>
      <c r="N37" s="107"/>
      <c r="O37" s="107"/>
      <c r="P37" s="107"/>
      <c r="Q37" s="107"/>
      <c r="R37" s="107"/>
      <c r="S37" s="107"/>
      <c r="T37" s="107"/>
    </row>
    <row r="38" spans="1:20" ht="15.75">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7"/>
      <c r="N38" s="107"/>
      <c r="O38" s="107"/>
      <c r="P38" s="107"/>
      <c r="Q38" s="107"/>
      <c r="R38" s="107"/>
      <c r="S38" s="107"/>
      <c r="T38" s="107"/>
    </row>
    <row r="39" spans="1:20" ht="15.75">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7"/>
      <c r="N39" s="107"/>
      <c r="O39" s="107"/>
      <c r="P39" s="107"/>
      <c r="Q39" s="107"/>
      <c r="R39" s="107"/>
      <c r="S39" s="107"/>
      <c r="T39" s="107"/>
    </row>
    <row r="40" spans="1:20" ht="15.75">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7"/>
      <c r="N40" s="107"/>
      <c r="O40" s="107"/>
      <c r="P40" s="107"/>
      <c r="Q40" s="107"/>
      <c r="R40" s="107"/>
      <c r="S40" s="107"/>
      <c r="T40" s="107"/>
    </row>
    <row r="41" spans="1:20" ht="15.75">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7"/>
      <c r="N41" s="107"/>
      <c r="O41" s="107"/>
      <c r="P41" s="107"/>
      <c r="Q41" s="107"/>
      <c r="R41" s="107"/>
      <c r="S41" s="107"/>
      <c r="T41" s="107"/>
    </row>
    <row r="42" spans="1:20" ht="28.5">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103" t="s">
        <v>40</v>
      </c>
      <c r="M42" s="107"/>
      <c r="N42" s="107"/>
      <c r="O42" s="107"/>
      <c r="P42" s="107"/>
      <c r="Q42" s="107"/>
      <c r="R42" s="107"/>
      <c r="S42" s="107"/>
      <c r="T42" s="107"/>
    </row>
    <row r="43" spans="1:20" ht="57">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102" t="s">
        <v>42</v>
      </c>
      <c r="M43" s="107"/>
      <c r="N43" s="107"/>
      <c r="O43" s="107"/>
      <c r="P43" s="107"/>
      <c r="Q43" s="107"/>
      <c r="R43" s="107"/>
      <c r="S43" s="107"/>
      <c r="T43" s="107"/>
    </row>
    <row r="44" spans="1:20" ht="15.75">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7"/>
      <c r="N44" s="107"/>
      <c r="O44" s="107"/>
      <c r="P44" s="107"/>
      <c r="Q44" s="107"/>
      <c r="R44" s="107"/>
      <c r="S44" s="107"/>
      <c r="T44" s="107"/>
    </row>
    <row r="45" spans="1:20" ht="15.75">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7"/>
      <c r="N45" s="107"/>
      <c r="O45" s="107"/>
      <c r="P45" s="107"/>
      <c r="Q45" s="107"/>
      <c r="R45" s="107"/>
      <c r="S45" s="107"/>
      <c r="T45" s="107"/>
    </row>
    <row r="46" spans="1:20" ht="15.75">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7"/>
      <c r="N46" s="107"/>
      <c r="O46" s="107"/>
      <c r="P46" s="107"/>
      <c r="Q46" s="107"/>
      <c r="R46" s="107"/>
      <c r="S46" s="107"/>
      <c r="T46" s="107"/>
    </row>
    <row r="47" spans="1:20" ht="15.75">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102" t="s">
        <v>44</v>
      </c>
      <c r="M47" s="107"/>
      <c r="N47" s="107"/>
      <c r="O47" s="107"/>
      <c r="P47" s="107"/>
      <c r="Q47" s="107"/>
      <c r="R47" s="107"/>
      <c r="S47" s="107"/>
      <c r="T47" s="107"/>
    </row>
    <row r="48" spans="1:20" ht="15.75">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7"/>
      <c r="N48" s="107"/>
      <c r="O48" s="107"/>
      <c r="P48" s="107"/>
      <c r="Q48" s="107"/>
      <c r="R48" s="107"/>
      <c r="S48" s="107"/>
      <c r="T48" s="107"/>
    </row>
    <row r="49" spans="1:20" ht="15.75">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7"/>
      <c r="N49" s="107"/>
      <c r="O49" s="107"/>
      <c r="P49" s="107"/>
      <c r="Q49" s="107"/>
      <c r="R49" s="107"/>
      <c r="S49" s="107"/>
      <c r="T49" s="107"/>
    </row>
    <row r="50" spans="1:20" ht="15.75">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7"/>
      <c r="N50" s="107"/>
      <c r="O50" s="107"/>
      <c r="P50" s="107"/>
      <c r="Q50" s="107"/>
      <c r="R50" s="107"/>
      <c r="S50" s="107"/>
      <c r="T50" s="107"/>
    </row>
    <row r="51" spans="1:20" ht="15.75">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7"/>
      <c r="N51" s="107"/>
      <c r="O51" s="107"/>
      <c r="P51" s="107"/>
      <c r="Q51" s="107"/>
      <c r="R51" s="107"/>
      <c r="S51" s="107"/>
      <c r="T51" s="107"/>
    </row>
    <row r="52" spans="1:20" ht="15.75">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7"/>
      <c r="N52" s="107"/>
      <c r="O52" s="107"/>
      <c r="P52" s="107"/>
      <c r="Q52" s="107"/>
      <c r="R52" s="107"/>
      <c r="S52" s="107"/>
      <c r="T52" s="107"/>
    </row>
    <row r="53" spans="1:20" ht="15.75">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7"/>
      <c r="N53" s="107"/>
      <c r="O53" s="107"/>
      <c r="P53" s="107"/>
      <c r="Q53" s="107"/>
      <c r="R53" s="107"/>
      <c r="S53" s="107"/>
      <c r="T53" s="107"/>
    </row>
    <row r="54" spans="1:20" ht="15.75">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7"/>
      <c r="N54" s="107"/>
      <c r="O54" s="107"/>
      <c r="P54" s="107"/>
      <c r="Q54" s="107"/>
      <c r="R54" s="107"/>
      <c r="S54" s="107"/>
      <c r="T54" s="107"/>
    </row>
    <row r="55" spans="1:20" ht="15.75">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7"/>
      <c r="N55" s="107"/>
      <c r="O55" s="107"/>
      <c r="P55" s="107"/>
      <c r="Q55" s="107"/>
      <c r="R55" s="107"/>
      <c r="S55" s="107"/>
      <c r="T55" s="107"/>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103" t="s">
        <v>46</v>
      </c>
      <c r="M56" s="106" t="s">
        <v>47</v>
      </c>
      <c r="N56" s="106" t="s">
        <v>48</v>
      </c>
      <c r="O56" s="106" t="s">
        <v>49</v>
      </c>
      <c r="P56" s="106" t="s">
        <v>50</v>
      </c>
      <c r="Q56" s="106" t="s">
        <v>49</v>
      </c>
      <c r="R56" s="107"/>
      <c r="S56" s="107"/>
      <c r="T56" s="107"/>
    </row>
    <row r="57" spans="1:20" ht="15.75">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7"/>
      <c r="N57" s="107"/>
      <c r="O57" s="107"/>
      <c r="P57" s="107"/>
      <c r="Q57" s="107"/>
      <c r="R57" s="107"/>
      <c r="S57" s="107"/>
      <c r="T57" s="107"/>
    </row>
    <row r="58" spans="1:20" ht="15.75">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7"/>
      <c r="N58" s="107"/>
      <c r="O58" s="107"/>
      <c r="P58" s="107"/>
      <c r="Q58" s="107"/>
      <c r="R58" s="107"/>
      <c r="S58" s="107"/>
      <c r="T58" s="107"/>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102" t="s">
        <v>52</v>
      </c>
      <c r="M59" s="106" t="s">
        <v>53</v>
      </c>
      <c r="N59" s="106" t="s">
        <v>54</v>
      </c>
      <c r="O59" s="106" t="s">
        <v>55</v>
      </c>
      <c r="P59" s="106" t="s">
        <v>56</v>
      </c>
      <c r="Q59" s="107"/>
      <c r="R59" s="107"/>
      <c r="S59" s="107"/>
      <c r="T59" s="107"/>
    </row>
    <row r="60" spans="1:20" ht="15.75">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10" t="s">
        <v>26</v>
      </c>
      <c r="L60" s="51"/>
      <c r="M60" s="107"/>
      <c r="N60" s="107"/>
      <c r="O60" s="107"/>
      <c r="P60" s="107"/>
      <c r="Q60" s="107"/>
      <c r="R60" s="107"/>
      <c r="S60" s="107"/>
      <c r="T60" s="107"/>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102" t="s">
        <v>58</v>
      </c>
      <c r="M61" s="107"/>
      <c r="N61" s="107"/>
      <c r="O61" s="107"/>
      <c r="P61" s="107"/>
      <c r="Q61" s="107"/>
      <c r="R61" s="107"/>
      <c r="S61" s="107"/>
      <c r="T61" s="107"/>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103" t="s">
        <v>60</v>
      </c>
      <c r="M62" s="107"/>
      <c r="N62" s="107"/>
      <c r="O62" s="107"/>
      <c r="P62" s="107"/>
      <c r="Q62" s="107"/>
      <c r="R62" s="107"/>
      <c r="S62" s="107"/>
      <c r="T62" s="107"/>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102" t="s">
        <v>62</v>
      </c>
      <c r="M63" s="106" t="s">
        <v>63</v>
      </c>
      <c r="N63" s="106" t="s">
        <v>64</v>
      </c>
      <c r="O63" s="106" t="s">
        <v>65</v>
      </c>
      <c r="P63" s="106" t="s">
        <v>66</v>
      </c>
      <c r="Q63" s="107"/>
      <c r="R63" s="107"/>
      <c r="S63" s="107"/>
      <c r="T63" s="107"/>
    </row>
    <row r="64" spans="1:20" ht="15.75">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103" t="s">
        <v>68</v>
      </c>
      <c r="M64" s="107"/>
      <c r="N64" s="107"/>
      <c r="O64" s="107"/>
      <c r="P64" s="107"/>
      <c r="Q64" s="107"/>
      <c r="R64" s="107"/>
      <c r="S64" s="107"/>
      <c r="T64" s="107"/>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102" t="s">
        <v>70</v>
      </c>
      <c r="M65" s="107"/>
      <c r="N65" s="107"/>
      <c r="O65" s="107"/>
      <c r="P65" s="107"/>
      <c r="Q65" s="107"/>
      <c r="R65" s="107"/>
      <c r="S65" s="107"/>
      <c r="T65" s="107"/>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103" t="s">
        <v>72</v>
      </c>
      <c r="M66" s="106" t="s">
        <v>73</v>
      </c>
      <c r="N66" s="107"/>
      <c r="O66" s="107"/>
      <c r="P66" s="107"/>
      <c r="Q66" s="107"/>
      <c r="R66" s="107"/>
      <c r="S66" s="107"/>
      <c r="T66" s="107"/>
    </row>
    <row r="67" spans="1:20" ht="15.75">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7"/>
      <c r="N67" s="107"/>
      <c r="O67" s="107"/>
      <c r="P67" s="107"/>
      <c r="Q67" s="107"/>
      <c r="R67" s="107"/>
      <c r="S67" s="107"/>
      <c r="T67" s="107"/>
    </row>
    <row r="68" spans="1:20" ht="15.75">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10" t="s">
        <v>26</v>
      </c>
      <c r="L68" s="52"/>
      <c r="M68" s="107"/>
      <c r="N68" s="107"/>
      <c r="O68" s="107"/>
      <c r="P68" s="107"/>
      <c r="Q68" s="107"/>
      <c r="R68" s="107"/>
      <c r="S68" s="107"/>
      <c r="T68" s="107"/>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102" t="s">
        <v>75</v>
      </c>
      <c r="M69" s="106" t="s">
        <v>76</v>
      </c>
      <c r="N69" s="106" t="s">
        <v>77</v>
      </c>
      <c r="O69" s="106" t="s">
        <v>78</v>
      </c>
      <c r="P69" s="106" t="s">
        <v>77</v>
      </c>
      <c r="Q69" s="107"/>
      <c r="R69" s="107"/>
      <c r="S69" s="107"/>
      <c r="T69" s="107"/>
    </row>
    <row r="70" spans="1:20" ht="15.75">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103" t="s">
        <v>80</v>
      </c>
      <c r="M70" s="107"/>
      <c r="N70" s="107"/>
      <c r="O70" s="107"/>
      <c r="P70" s="107"/>
      <c r="Q70" s="107"/>
      <c r="R70" s="107"/>
      <c r="S70" s="107"/>
      <c r="T70" s="107"/>
    </row>
    <row r="71" spans="1:20" ht="42.7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102" t="s">
        <v>82</v>
      </c>
      <c r="M71" s="106" t="s">
        <v>83</v>
      </c>
      <c r="N71" s="107"/>
      <c r="O71" s="107"/>
      <c r="P71" s="107"/>
      <c r="Q71" s="107"/>
      <c r="R71" s="107"/>
      <c r="S71" s="107"/>
      <c r="T71" s="107"/>
    </row>
    <row r="72" spans="1:20" ht="15.75">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7"/>
      <c r="N72" s="107"/>
      <c r="O72" s="107"/>
      <c r="P72" s="107"/>
      <c r="Q72" s="107"/>
      <c r="R72" s="107"/>
      <c r="S72" s="107"/>
      <c r="T72" s="107"/>
    </row>
    <row r="73" spans="1:20" ht="28.5">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102" t="s">
        <v>86</v>
      </c>
      <c r="M73" s="107"/>
      <c r="N73" s="107"/>
      <c r="O73" s="107"/>
      <c r="P73" s="107"/>
      <c r="Q73" s="107"/>
      <c r="R73" s="107"/>
      <c r="S73" s="107"/>
      <c r="T73" s="107"/>
    </row>
    <row r="74" spans="1:20" ht="15.75">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103" t="s">
        <v>88</v>
      </c>
      <c r="M74" s="107"/>
      <c r="N74" s="107"/>
      <c r="O74" s="107"/>
      <c r="P74" s="107"/>
      <c r="Q74" s="107"/>
      <c r="R74" s="107"/>
      <c r="S74" s="107"/>
      <c r="T74" s="107"/>
    </row>
    <row r="75" spans="1:20" ht="15.75">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102" t="s">
        <v>90</v>
      </c>
      <c r="M75" s="107"/>
      <c r="N75" s="107"/>
      <c r="O75" s="107"/>
      <c r="P75" s="107"/>
      <c r="Q75" s="107"/>
      <c r="R75" s="107"/>
      <c r="S75" s="107"/>
      <c r="T75" s="107"/>
    </row>
    <row r="76" spans="1:20" ht="57">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103" t="s">
        <v>92</v>
      </c>
      <c r="M76" s="106" t="s">
        <v>93</v>
      </c>
      <c r="N76" s="107"/>
      <c r="O76" s="107"/>
      <c r="P76" s="107"/>
      <c r="Q76" s="107"/>
      <c r="R76" s="107"/>
      <c r="S76" s="107"/>
      <c r="T76" s="107"/>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102" t="s">
        <v>95</v>
      </c>
      <c r="M77" s="107"/>
      <c r="N77" s="107"/>
      <c r="O77" s="107"/>
      <c r="P77" s="107"/>
      <c r="Q77" s="107"/>
      <c r="R77" s="107"/>
      <c r="S77" s="107"/>
      <c r="T77" s="107"/>
    </row>
    <row r="78" spans="1:20" ht="15.75">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7"/>
      <c r="N78" s="107"/>
      <c r="O78" s="107"/>
      <c r="P78" s="107"/>
      <c r="Q78" s="107"/>
      <c r="R78" s="107"/>
      <c r="S78" s="107"/>
      <c r="T78" s="107"/>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4" t="s">
        <v>97</v>
      </c>
      <c r="M79" s="106" t="s">
        <v>98</v>
      </c>
      <c r="N79" s="106" t="s">
        <v>99</v>
      </c>
      <c r="O79" s="107"/>
      <c r="P79" s="107"/>
      <c r="Q79" s="107"/>
      <c r="R79" s="107"/>
      <c r="S79" s="107"/>
      <c r="T79" s="107"/>
    </row>
    <row r="80" spans="1:20" ht="15.75">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7"/>
      <c r="N80" s="107"/>
      <c r="O80" s="107"/>
      <c r="P80" s="107"/>
      <c r="Q80" s="107"/>
      <c r="R80" s="107"/>
      <c r="S80" s="107"/>
      <c r="T80" s="107"/>
    </row>
    <row r="81" spans="1:20" ht="57">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102" t="s">
        <v>101</v>
      </c>
      <c r="M81" s="107"/>
      <c r="N81" s="107"/>
      <c r="O81" s="107"/>
      <c r="P81" s="107"/>
      <c r="Q81" s="107"/>
      <c r="R81" s="107"/>
      <c r="S81" s="107"/>
      <c r="T81" s="107"/>
    </row>
    <row r="82" spans="1:20" ht="42.7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103" t="s">
        <v>103</v>
      </c>
      <c r="M82" s="106" t="s">
        <v>104</v>
      </c>
      <c r="N82" s="106" t="s">
        <v>105</v>
      </c>
      <c r="O82" s="107"/>
      <c r="P82" s="107"/>
      <c r="Q82" s="107"/>
      <c r="R82" s="107"/>
      <c r="S82" s="107"/>
      <c r="T82" s="107"/>
    </row>
    <row r="83" spans="1:20" ht="57">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102" t="s">
        <v>107</v>
      </c>
      <c r="M83" s="106" t="s">
        <v>108</v>
      </c>
      <c r="N83" s="106" t="s">
        <v>109</v>
      </c>
      <c r="O83" s="107"/>
      <c r="P83" s="107"/>
      <c r="Q83" s="107"/>
      <c r="R83" s="107"/>
      <c r="S83" s="107"/>
      <c r="T83" s="107"/>
    </row>
    <row r="84" spans="1:20" ht="42.7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103" t="s">
        <v>111</v>
      </c>
      <c r="M84" s="106" t="s">
        <v>112</v>
      </c>
      <c r="N84" s="107"/>
      <c r="O84" s="107"/>
      <c r="P84" s="107"/>
      <c r="Q84" s="107"/>
      <c r="R84" s="107"/>
      <c r="S84" s="107"/>
      <c r="T84" s="107"/>
    </row>
    <row r="85" spans="1:20" ht="114">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102" t="s">
        <v>114</v>
      </c>
      <c r="M85" s="106" t="s">
        <v>115</v>
      </c>
      <c r="N85" s="107"/>
      <c r="O85" s="107"/>
      <c r="P85" s="107"/>
      <c r="Q85" s="107"/>
      <c r="R85" s="107"/>
      <c r="S85" s="107"/>
      <c r="T85" s="107"/>
    </row>
    <row r="86" spans="1:20" ht="28.5">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103" t="s">
        <v>117</v>
      </c>
      <c r="M86" s="107"/>
      <c r="N86" s="107"/>
      <c r="O86" s="107"/>
      <c r="P86" s="107"/>
      <c r="Q86" s="107"/>
      <c r="R86" s="107"/>
      <c r="S86" s="107"/>
      <c r="T86" s="107"/>
    </row>
    <row r="87" spans="1:20" ht="71.25">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102" t="s">
        <v>119</v>
      </c>
      <c r="M87" s="106" t="s">
        <v>120</v>
      </c>
      <c r="N87" s="107"/>
      <c r="O87" s="107"/>
      <c r="P87" s="107"/>
      <c r="Q87" s="107"/>
      <c r="R87" s="107"/>
      <c r="S87" s="107"/>
      <c r="T87" s="107"/>
    </row>
    <row r="88" spans="1:20" ht="28.5">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103" t="s">
        <v>122</v>
      </c>
      <c r="M88" s="106" t="s">
        <v>123</v>
      </c>
      <c r="N88" s="106" t="s">
        <v>124</v>
      </c>
      <c r="O88" s="107"/>
      <c r="P88" s="107"/>
      <c r="Q88" s="107"/>
      <c r="R88" s="107"/>
      <c r="S88" s="107"/>
      <c r="T88" s="107"/>
    </row>
    <row r="89" spans="1:20" ht="15.75">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102" t="s">
        <v>126</v>
      </c>
      <c r="M89" s="107"/>
      <c r="N89" s="107"/>
      <c r="O89" s="107"/>
      <c r="P89" s="107"/>
      <c r="Q89" s="107"/>
      <c r="R89" s="107"/>
      <c r="S89" s="107"/>
      <c r="T89" s="107"/>
    </row>
    <row r="90" spans="1:20" ht="15.75">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103" t="s">
        <v>128</v>
      </c>
      <c r="M90" s="107"/>
      <c r="N90" s="107"/>
      <c r="O90" s="107"/>
      <c r="P90" s="107"/>
      <c r="Q90" s="107"/>
      <c r="R90" s="107"/>
      <c r="S90" s="107"/>
      <c r="T90" s="107"/>
    </row>
    <row r="91" spans="1:20" ht="28.5">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102" t="s">
        <v>130</v>
      </c>
      <c r="M91" s="106" t="s">
        <v>131</v>
      </c>
      <c r="N91" s="107"/>
      <c r="O91" s="107"/>
      <c r="P91" s="107"/>
      <c r="Q91" s="107"/>
      <c r="R91" s="107"/>
      <c r="S91" s="107"/>
      <c r="T91" s="107"/>
    </row>
    <row r="92" spans="1:20" ht="15.75">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103" t="s">
        <v>133</v>
      </c>
      <c r="M92" s="107"/>
      <c r="N92" s="107"/>
      <c r="O92" s="107"/>
      <c r="P92" s="107"/>
      <c r="Q92" s="107"/>
      <c r="R92" s="107"/>
      <c r="S92" s="107"/>
      <c r="T92" s="107"/>
    </row>
    <row r="93" spans="1:20" ht="15.75">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7"/>
      <c r="N93" s="107"/>
      <c r="O93" s="107"/>
      <c r="P93" s="107"/>
      <c r="Q93" s="107"/>
      <c r="R93" s="107"/>
      <c r="S93" s="107"/>
      <c r="T93" s="107"/>
    </row>
    <row r="94" spans="1:20" ht="15.75">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10" t="s">
        <v>26</v>
      </c>
      <c r="L94" s="52"/>
      <c r="M94" s="107"/>
      <c r="N94" s="107"/>
      <c r="O94" s="107"/>
      <c r="P94" s="107"/>
      <c r="Q94" s="107"/>
      <c r="R94" s="107"/>
      <c r="S94" s="107"/>
      <c r="T94" s="107"/>
    </row>
    <row r="95" spans="1:20" ht="15.75">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102" t="s">
        <v>135</v>
      </c>
      <c r="M95" s="107"/>
      <c r="N95" s="107"/>
      <c r="O95" s="107"/>
      <c r="P95" s="107"/>
      <c r="Q95" s="107"/>
      <c r="R95" s="107"/>
      <c r="S95" s="107"/>
      <c r="T95" s="107"/>
    </row>
    <row r="96" spans="1:20" ht="28.5">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102" t="s">
        <v>137</v>
      </c>
      <c r="M96" s="106" t="s">
        <v>138</v>
      </c>
      <c r="N96" s="107"/>
      <c r="O96" s="107"/>
      <c r="P96" s="107"/>
      <c r="Q96" s="107"/>
      <c r="R96" s="107"/>
      <c r="S96" s="107"/>
      <c r="T96" s="107"/>
    </row>
    <row r="97" spans="1:20" ht="15.75">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103" t="s">
        <v>140</v>
      </c>
      <c r="M97" s="107"/>
      <c r="N97" s="107"/>
      <c r="O97" s="107"/>
      <c r="P97" s="107"/>
      <c r="Q97" s="107"/>
      <c r="R97" s="107"/>
      <c r="S97" s="107"/>
      <c r="T97" s="107"/>
    </row>
    <row r="98" spans="1:20" ht="15.75">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10" t="s">
        <v>26</v>
      </c>
      <c r="L98" s="53"/>
      <c r="M98" s="107"/>
      <c r="N98" s="107"/>
      <c r="O98" s="107"/>
      <c r="P98" s="107"/>
      <c r="Q98" s="107"/>
      <c r="R98" s="107"/>
      <c r="S98" s="107"/>
      <c r="T98" s="107"/>
    </row>
    <row r="99" spans="1:20" ht="15.75">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7"/>
      <c r="N99" s="107"/>
      <c r="O99" s="107"/>
      <c r="P99" s="107"/>
      <c r="Q99" s="107"/>
      <c r="R99" s="107"/>
      <c r="S99" s="107"/>
      <c r="T99" s="107"/>
    </row>
    <row r="100" spans="1:20" ht="15.75">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102" t="s">
        <v>142</v>
      </c>
      <c r="M100" s="107"/>
      <c r="N100" s="107"/>
      <c r="O100" s="107"/>
      <c r="P100" s="107"/>
      <c r="Q100" s="107"/>
      <c r="R100" s="107"/>
      <c r="S100" s="107"/>
      <c r="T100" s="107"/>
    </row>
    <row r="101" spans="1:20" ht="57">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5" t="s">
        <v>144</v>
      </c>
      <c r="M101" s="106" t="s">
        <v>145</v>
      </c>
      <c r="N101" s="107"/>
      <c r="O101" s="107"/>
      <c r="P101" s="107"/>
      <c r="Q101" s="107"/>
      <c r="R101" s="107"/>
      <c r="S101" s="107"/>
      <c r="T101" s="107"/>
    </row>
    <row r="102" spans="1:20" ht="15.75">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7"/>
      <c r="N102" s="107"/>
      <c r="O102" s="107"/>
      <c r="P102" s="107"/>
      <c r="Q102" s="107"/>
      <c r="R102" s="107"/>
      <c r="S102" s="107"/>
      <c r="T102" s="107"/>
    </row>
    <row r="103" spans="1:20" ht="28.5">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5" t="s">
        <v>147</v>
      </c>
      <c r="M103" s="106" t="s">
        <v>148</v>
      </c>
      <c r="N103" s="107"/>
      <c r="O103" s="107"/>
      <c r="P103" s="107"/>
      <c r="Q103" s="107"/>
      <c r="R103" s="107"/>
      <c r="S103" s="107"/>
      <c r="T103" s="107"/>
    </row>
    <row r="104" spans="1:20" ht="28.5">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102" t="s">
        <v>150</v>
      </c>
      <c r="M104" s="107"/>
      <c r="N104" s="107"/>
      <c r="O104" s="107"/>
      <c r="P104" s="107"/>
      <c r="Q104" s="107"/>
      <c r="R104" s="107"/>
      <c r="S104" s="107"/>
      <c r="T104" s="107"/>
    </row>
    <row r="105" spans="1:20" ht="15.75">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6" t="s">
        <v>152</v>
      </c>
      <c r="M105" s="107"/>
      <c r="N105" s="107"/>
      <c r="O105" s="107"/>
      <c r="P105" s="107"/>
      <c r="Q105" s="107"/>
      <c r="R105" s="107"/>
      <c r="S105" s="107"/>
      <c r="T105" s="107"/>
    </row>
    <row r="106" spans="1:20" ht="28.5">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102" t="s">
        <v>154</v>
      </c>
      <c r="M106" s="106" t="s">
        <v>155</v>
      </c>
      <c r="N106" s="107"/>
      <c r="O106" s="107"/>
      <c r="P106" s="107"/>
      <c r="Q106" s="107"/>
      <c r="R106" s="107"/>
      <c r="S106" s="107"/>
      <c r="T106" s="107"/>
    </row>
    <row r="107" spans="1:20" ht="15.75">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10" t="s">
        <v>26</v>
      </c>
      <c r="L107" s="74"/>
      <c r="M107" s="107"/>
      <c r="N107" s="107"/>
      <c r="O107" s="107"/>
      <c r="P107" s="107"/>
      <c r="Q107" s="107"/>
      <c r="R107" s="107"/>
      <c r="S107" s="107"/>
      <c r="T107" s="107"/>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102" t="s">
        <v>157</v>
      </c>
      <c r="M108" s="107"/>
      <c r="N108" s="107"/>
      <c r="O108" s="107"/>
      <c r="P108" s="107"/>
      <c r="Q108" s="107"/>
      <c r="R108" s="107"/>
      <c r="S108" s="107"/>
      <c r="T108" s="107"/>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6" t="s">
        <v>159</v>
      </c>
      <c r="M109" s="107"/>
      <c r="N109" s="107"/>
      <c r="O109" s="107"/>
      <c r="P109" s="107"/>
      <c r="Q109" s="107"/>
      <c r="R109" s="107"/>
      <c r="S109" s="107"/>
      <c r="T109" s="107"/>
    </row>
    <row r="110" spans="1:20" ht="15.75">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102" t="s">
        <v>161</v>
      </c>
      <c r="M110" s="107"/>
      <c r="N110" s="107"/>
      <c r="O110" s="107"/>
      <c r="P110" s="107"/>
      <c r="Q110" s="107"/>
      <c r="R110" s="107"/>
      <c r="S110" s="107"/>
      <c r="T110" s="107"/>
    </row>
    <row r="111" spans="1:20" ht="15.75">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41" t="s">
        <v>162</v>
      </c>
      <c r="L111" s="106" t="s">
        <v>163</v>
      </c>
      <c r="M111" s="107"/>
      <c r="N111" s="107"/>
      <c r="O111" s="107"/>
      <c r="P111" s="107"/>
      <c r="Q111" s="107"/>
      <c r="R111" s="107"/>
      <c r="S111" s="107"/>
      <c r="T111" s="107"/>
    </row>
    <row r="112" spans="1:20" ht="28.5">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102" t="s">
        <v>165</v>
      </c>
      <c r="M112" s="107"/>
      <c r="N112" s="107"/>
      <c r="O112" s="107"/>
      <c r="P112" s="107"/>
      <c r="Q112" s="107"/>
      <c r="R112" s="107"/>
      <c r="S112" s="107"/>
      <c r="T112" s="107"/>
    </row>
    <row r="113" spans="1:20" ht="28.5">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6" t="s">
        <v>167</v>
      </c>
      <c r="M113" s="107"/>
      <c r="N113" s="107"/>
      <c r="O113" s="107"/>
      <c r="P113" s="107"/>
      <c r="Q113" s="107"/>
      <c r="R113" s="107"/>
      <c r="S113" s="107"/>
      <c r="T113" s="107"/>
    </row>
    <row r="114" spans="1:20" ht="15.75">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102" t="s">
        <v>169</v>
      </c>
      <c r="M114" s="107"/>
      <c r="N114" s="107"/>
      <c r="O114" s="107"/>
      <c r="P114" s="107"/>
      <c r="Q114" s="107"/>
      <c r="R114" s="107"/>
      <c r="S114" s="107"/>
      <c r="T114" s="107"/>
    </row>
    <row r="115" spans="1:20" ht="15.75">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6" t="s">
        <v>171</v>
      </c>
      <c r="M115" s="107"/>
      <c r="N115" s="107"/>
      <c r="O115" s="107"/>
      <c r="P115" s="107"/>
      <c r="Q115" s="107"/>
      <c r="R115" s="107"/>
      <c r="S115" s="107"/>
      <c r="T115" s="107"/>
    </row>
    <row r="116" spans="1:20" ht="42.7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102" t="s">
        <v>173</v>
      </c>
      <c r="M116" s="106" t="s">
        <v>174</v>
      </c>
      <c r="N116" s="106" t="s">
        <v>175</v>
      </c>
      <c r="O116" s="107"/>
      <c r="P116" s="107"/>
      <c r="Q116" s="107"/>
      <c r="R116" s="107"/>
      <c r="S116" s="107"/>
      <c r="T116" s="107"/>
    </row>
    <row r="117" spans="1:20" ht="15.75">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7"/>
      <c r="N117" s="107"/>
      <c r="O117" s="107"/>
      <c r="P117" s="107"/>
      <c r="Q117" s="107"/>
      <c r="R117" s="107"/>
      <c r="S117" s="107"/>
      <c r="T117" s="107"/>
    </row>
    <row r="118" spans="1:20" ht="15.75">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7"/>
      <c r="N118" s="107"/>
      <c r="O118" s="107"/>
      <c r="P118" s="107"/>
      <c r="Q118" s="107"/>
      <c r="R118" s="107"/>
      <c r="S118" s="107"/>
      <c r="T118" s="107"/>
    </row>
    <row r="119" spans="1:20" ht="15.75">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10" t="s">
        <v>26</v>
      </c>
      <c r="L119" s="74"/>
      <c r="M119" s="107"/>
      <c r="N119" s="107"/>
      <c r="O119" s="107"/>
      <c r="P119" s="107"/>
      <c r="Q119" s="107"/>
      <c r="R119" s="107"/>
      <c r="S119" s="107"/>
      <c r="T119" s="107"/>
    </row>
    <row r="120" spans="1:20" ht="15.75">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7"/>
      <c r="N120" s="107"/>
      <c r="O120" s="107"/>
      <c r="P120" s="107"/>
      <c r="Q120" s="107"/>
      <c r="R120" s="107"/>
      <c r="S120" s="107"/>
      <c r="T120" s="107"/>
    </row>
    <row r="121" spans="1:20" ht="15.75">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10" t="s">
        <v>26</v>
      </c>
      <c r="L121" s="74"/>
      <c r="M121" s="107"/>
      <c r="N121" s="107"/>
      <c r="O121" s="107"/>
      <c r="P121" s="107"/>
      <c r="Q121" s="107"/>
      <c r="R121" s="107"/>
      <c r="S121" s="107"/>
      <c r="T121" s="107"/>
    </row>
    <row r="122" spans="1:20" ht="15.75">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3" si="15">IFERROR(I122/H122, "")</f>
        <v/>
      </c>
      <c r="K122" s="56"/>
      <c r="L122" s="53"/>
      <c r="M122" s="107"/>
      <c r="N122" s="107"/>
      <c r="O122" s="107"/>
      <c r="P122" s="107"/>
      <c r="Q122" s="107"/>
      <c r="R122" s="107"/>
      <c r="S122" s="107"/>
      <c r="T122" s="107"/>
    </row>
    <row r="123" spans="1:20" ht="15.75">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6" t="s">
        <v>178</v>
      </c>
      <c r="M123" s="107"/>
      <c r="N123" s="107"/>
      <c r="O123" s="107"/>
      <c r="P123" s="107"/>
      <c r="Q123" s="107"/>
      <c r="R123" s="107"/>
      <c r="S123" s="107"/>
      <c r="T123" s="107"/>
    </row>
    <row r="124" spans="1:20" ht="15.75">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102" t="s">
        <v>180</v>
      </c>
      <c r="M124" s="107"/>
      <c r="N124" s="107"/>
      <c r="O124" s="107"/>
      <c r="P124" s="107"/>
      <c r="Q124" s="107"/>
      <c r="R124" s="107"/>
      <c r="S124" s="107"/>
      <c r="T124" s="107"/>
    </row>
    <row r="125" spans="1:20" ht="15.75">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6" t="s">
        <v>182</v>
      </c>
      <c r="M125" s="107"/>
      <c r="N125" s="107"/>
      <c r="O125" s="107"/>
      <c r="P125" s="107"/>
      <c r="Q125" s="107"/>
      <c r="R125" s="107"/>
      <c r="S125" s="107"/>
      <c r="T125" s="107"/>
    </row>
    <row r="126" spans="1:20" ht="15.75">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102" t="s">
        <v>184</v>
      </c>
      <c r="M126" s="107"/>
      <c r="N126" s="107"/>
      <c r="O126" s="107"/>
      <c r="P126" s="107"/>
      <c r="Q126" s="107"/>
      <c r="R126" s="107"/>
      <c r="S126" s="107"/>
      <c r="T126" s="107"/>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6" t="s">
        <v>186</v>
      </c>
      <c r="M127" s="107"/>
      <c r="N127" s="107"/>
      <c r="O127" s="107"/>
      <c r="P127" s="107"/>
      <c r="Q127" s="107"/>
      <c r="R127" s="107"/>
      <c r="S127" s="107"/>
      <c r="T127" s="107"/>
    </row>
    <row r="128" spans="1:20" ht="15.75">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7"/>
      <c r="N128" s="107"/>
      <c r="O128" s="107"/>
      <c r="P128" s="107"/>
      <c r="Q128" s="107"/>
      <c r="R128" s="107"/>
      <c r="S128" s="107"/>
      <c r="T128" s="107"/>
    </row>
    <row r="129" spans="1:20" ht="15.75">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7"/>
      <c r="N129" s="107"/>
      <c r="O129" s="107"/>
      <c r="P129" s="107"/>
      <c r="Q129" s="107"/>
      <c r="R129" s="107"/>
      <c r="S129" s="107"/>
      <c r="T129" s="107"/>
    </row>
    <row r="130" spans="1:20" ht="15.75">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102" t="s">
        <v>187</v>
      </c>
      <c r="M130" s="107"/>
      <c r="N130" s="107"/>
      <c r="O130" s="107"/>
      <c r="P130" s="107"/>
      <c r="Q130" s="107"/>
      <c r="R130" s="107"/>
      <c r="S130" s="107"/>
      <c r="T130" s="107"/>
    </row>
    <row r="131" spans="1:20" ht="15.75">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7"/>
      <c r="N131" s="107"/>
      <c r="O131" s="107"/>
      <c r="P131" s="107"/>
      <c r="Q131" s="107"/>
      <c r="R131" s="107"/>
      <c r="S131" s="107"/>
      <c r="T131" s="107"/>
    </row>
    <row r="132" spans="1:20" ht="15.75">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7"/>
      <c r="N132" s="107"/>
      <c r="O132" s="107"/>
      <c r="P132" s="107"/>
      <c r="Q132" s="107"/>
      <c r="R132" s="107"/>
      <c r="S132" s="107"/>
      <c r="T132" s="107"/>
    </row>
    <row r="133" spans="1:20" ht="15.75">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6" t="s">
        <v>188</v>
      </c>
      <c r="M133" s="107"/>
      <c r="N133" s="107"/>
      <c r="O133" s="107"/>
      <c r="P133" s="107"/>
      <c r="Q133" s="107"/>
      <c r="R133" s="107"/>
      <c r="S133" s="107"/>
      <c r="T133" s="107"/>
    </row>
    <row r="134" spans="1:20" ht="15.75">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102" t="s">
        <v>190</v>
      </c>
      <c r="M134" s="107"/>
      <c r="N134" s="107"/>
      <c r="O134" s="107"/>
      <c r="P134" s="107"/>
      <c r="Q134" s="107"/>
      <c r="R134" s="107"/>
      <c r="S134" s="107"/>
      <c r="T134" s="107"/>
    </row>
    <row r="135" spans="1:20" ht="15.75">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7"/>
      <c r="N135" s="107"/>
      <c r="O135" s="107"/>
      <c r="P135" s="107"/>
      <c r="Q135" s="107"/>
      <c r="R135" s="107"/>
      <c r="S135" s="107"/>
      <c r="T135" s="107"/>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102" t="s">
        <v>192</v>
      </c>
      <c r="M136" s="107"/>
      <c r="N136" s="107"/>
      <c r="O136" s="107"/>
      <c r="P136" s="107"/>
      <c r="Q136" s="107"/>
      <c r="R136" s="107"/>
      <c r="S136" s="107"/>
      <c r="T136" s="107"/>
    </row>
    <row r="137" spans="1:20" ht="15.75">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6" t="s">
        <v>193</v>
      </c>
      <c r="M137" s="107"/>
      <c r="N137" s="107"/>
      <c r="O137" s="107"/>
      <c r="P137" s="107"/>
      <c r="Q137" s="107"/>
      <c r="R137" s="107"/>
      <c r="S137" s="107"/>
      <c r="T137" s="107"/>
    </row>
    <row r="138" spans="1:20" ht="15.75">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102" t="s">
        <v>194</v>
      </c>
      <c r="M138" s="107"/>
      <c r="N138" s="107"/>
      <c r="O138" s="107"/>
      <c r="P138" s="107"/>
      <c r="Q138" s="107"/>
      <c r="R138" s="107"/>
      <c r="S138" s="107"/>
      <c r="T138" s="107"/>
    </row>
    <row r="139" spans="1:20" ht="15.75">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7"/>
      <c r="N139" s="107"/>
      <c r="O139" s="107"/>
      <c r="P139" s="107"/>
      <c r="Q139" s="107"/>
      <c r="R139" s="107"/>
      <c r="S139" s="107"/>
      <c r="T139" s="107"/>
    </row>
    <row r="140" spans="1:20" ht="28.5">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102" t="s">
        <v>196</v>
      </c>
      <c r="M140" s="106" t="s">
        <v>197</v>
      </c>
      <c r="N140" s="107"/>
      <c r="O140" s="107"/>
      <c r="P140" s="107"/>
      <c r="Q140" s="107"/>
      <c r="R140" s="107"/>
      <c r="S140" s="107"/>
      <c r="T140" s="107"/>
    </row>
    <row r="141" spans="1:20" ht="15.75">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6" t="s">
        <v>199</v>
      </c>
      <c r="M141" s="107"/>
      <c r="N141" s="107"/>
      <c r="O141" s="107"/>
      <c r="P141" s="107"/>
      <c r="Q141" s="107"/>
      <c r="R141" s="107"/>
      <c r="S141" s="107"/>
      <c r="T141" s="107"/>
    </row>
    <row r="142" spans="1:20" ht="15.75">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7"/>
      <c r="N142" s="107"/>
      <c r="O142" s="107"/>
      <c r="P142" s="107"/>
      <c r="Q142" s="107"/>
      <c r="R142" s="107"/>
      <c r="S142" s="107"/>
      <c r="T142" s="107"/>
    </row>
    <row r="143" spans="1:20" ht="15.75">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6" t="s">
        <v>200</v>
      </c>
      <c r="M143" s="107"/>
      <c r="N143" s="107"/>
      <c r="O143" s="107"/>
      <c r="P143" s="107"/>
      <c r="Q143" s="107"/>
      <c r="R143" s="107"/>
      <c r="S143" s="107"/>
      <c r="T143" s="107"/>
    </row>
    <row r="144" spans="1:20" ht="15.75">
      <c r="A144" s="24" t="str">
        <v>Trenton - Trenton East</v>
      </c>
      <c r="B144" s="25" t="str">
        <v>IL</v>
      </c>
      <c r="C144" s="25" t="str">
        <f>Sites[[#This Row],[SOL'#]]</f>
        <v>SOL-11060</v>
      </c>
      <c r="D144" s="54"/>
      <c r="E144" s="10"/>
      <c r="F144" s="10" t="str">
        <f t="shared" ref="F144:F153" si="16">IF(AND(ISNUMBER(D144),ISNUMBER(E144)), D144-E144, "")</f>
        <v/>
      </c>
      <c r="G144" s="11" t="str">
        <f t="shared" ref="G144:G153" si="17">IFERROR(F144/E144, "")</f>
        <v/>
      </c>
      <c r="H144" s="67"/>
      <c r="I144" s="12" t="str">
        <f t="shared" si="14"/>
        <v/>
      </c>
      <c r="J144" s="13" t="str">
        <f t="shared" si="15"/>
        <v/>
      </c>
      <c r="K144" s="56"/>
      <c r="L144" s="53"/>
      <c r="M144" s="107"/>
      <c r="N144" s="107"/>
      <c r="O144" s="107"/>
      <c r="P144" s="107"/>
      <c r="Q144" s="107"/>
      <c r="R144" s="107"/>
      <c r="S144" s="107"/>
      <c r="T144" s="107"/>
    </row>
    <row r="145" spans="1:20" ht="15.75">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6"/>
      <c r="M145" s="107"/>
      <c r="N145" s="107"/>
      <c r="O145" s="107"/>
      <c r="P145" s="107"/>
      <c r="Q145" s="107"/>
      <c r="R145" s="107"/>
      <c r="S145" s="107"/>
      <c r="T145" s="107"/>
    </row>
    <row r="146" spans="1:20" ht="15.75">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7"/>
      <c r="N146" s="107"/>
      <c r="O146" s="107"/>
      <c r="P146" s="107"/>
      <c r="Q146" s="107"/>
      <c r="R146" s="107"/>
      <c r="S146" s="107"/>
      <c r="T146" s="107"/>
    </row>
    <row r="147" spans="1:20" ht="15.75">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6"/>
      <c r="M147" s="107"/>
      <c r="N147" s="107"/>
      <c r="O147" s="107"/>
      <c r="P147" s="107"/>
      <c r="Q147" s="107"/>
      <c r="R147" s="107"/>
      <c r="S147" s="107"/>
      <c r="T147" s="107"/>
    </row>
    <row r="148" spans="1:20" ht="15.75">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5">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2" t="s">
        <v>201</v>
      </c>
      <c r="L149" s="105" t="s">
        <v>202</v>
      </c>
    </row>
    <row r="150" spans="1:20" ht="28.5">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102" t="s">
        <v>204</v>
      </c>
      <c r="M150" s="117" t="s">
        <v>205</v>
      </c>
    </row>
    <row r="151" spans="1:20" ht="42.7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5" t="s">
        <v>207</v>
      </c>
      <c r="M151" s="117" t="s">
        <v>208</v>
      </c>
    </row>
    <row r="152" spans="1:20" ht="28.5">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102" t="s">
        <v>210</v>
      </c>
      <c r="M152" s="117" t="s">
        <v>211</v>
      </c>
    </row>
    <row r="153" spans="1:20" ht="57">
      <c r="A153" s="26" t="str">
        <v xml:space="preserve"> O'Brien Hill #2</v>
      </c>
      <c r="B153" s="27" t="str">
        <v>NY</v>
      </c>
      <c r="C153" s="27" t="str">
        <f>Sites[[#This Row],[SOL'#]]</f>
        <v>SOL-11099</v>
      </c>
      <c r="D153" s="66">
        <v>286189</v>
      </c>
      <c r="E153" s="14">
        <v>0</v>
      </c>
      <c r="F153" s="14">
        <f t="shared" si="16"/>
        <v>286189</v>
      </c>
      <c r="G153" s="15" t="str">
        <f t="shared" si="17"/>
        <v/>
      </c>
      <c r="H153" s="69">
        <v>0</v>
      </c>
      <c r="I153" s="16">
        <f t="shared" si="14"/>
        <v>286189</v>
      </c>
      <c r="J153" s="15" t="str">
        <f t="shared" si="15"/>
        <v/>
      </c>
      <c r="K153" s="50" t="s">
        <v>212</v>
      </c>
      <c r="L153" s="105" t="s">
        <v>213</v>
      </c>
      <c r="M153" s="117" t="s">
        <v>214</v>
      </c>
      <c r="N153" s="117" t="s">
        <v>215</v>
      </c>
      <c r="O153" s="117" t="s">
        <v>211</v>
      </c>
    </row>
    <row r="154" spans="1:20" ht="15.75">
      <c r="A154" s="24" t="str">
        <v>Trinity - Freeport</v>
      </c>
      <c r="B154" s="25" t="str">
        <v>IL</v>
      </c>
      <c r="C154" s="25" t="str">
        <f>Sites[[#This Row],[SOL'#]]</f>
        <v>SOL-11057</v>
      </c>
      <c r="D154" s="54"/>
      <c r="E154" s="10"/>
      <c r="F154" s="10"/>
      <c r="G154" s="11"/>
      <c r="H154" s="67"/>
      <c r="I154" s="12"/>
      <c r="J154" s="13"/>
      <c r="K154" s="56"/>
      <c r="L154" s="53"/>
    </row>
    <row r="155" spans="1:20" ht="15.75">
      <c r="A155" s="26" t="str">
        <v>Ransom</v>
      </c>
      <c r="B155" s="27" t="str">
        <v>NY</v>
      </c>
      <c r="C155" s="27" t="str">
        <f>Sites[[#This Row],[SOL'#]]</f>
        <v>SOL-11157</v>
      </c>
      <c r="D155" s="66"/>
      <c r="E155" s="14"/>
      <c r="F155" s="14"/>
      <c r="G155" s="15"/>
      <c r="H155" s="69"/>
      <c r="I155" s="16"/>
      <c r="J155" s="15"/>
      <c r="K155" s="50"/>
      <c r="L155" s="105"/>
    </row>
    <row r="156" spans="1:20" ht="15.75">
      <c r="A156" s="24" t="str">
        <v>Horseheads - Wedge</v>
      </c>
      <c r="B156" s="25" t="str">
        <v>NY</v>
      </c>
      <c r="C156" s="25" t="str">
        <f>Sites[[#This Row],[SOL'#]]</f>
        <v>SOL-11160</v>
      </c>
      <c r="D156" s="54"/>
      <c r="E156" s="10"/>
      <c r="F156" s="10"/>
      <c r="G156" s="11"/>
      <c r="H156" s="67"/>
      <c r="I156" s="12"/>
      <c r="J156" s="13"/>
      <c r="K156" s="56"/>
      <c r="L156" s="53"/>
      <c r="M156" s="24"/>
      <c r="N156" s="25"/>
      <c r="O156" s="25"/>
      <c r="P156" s="54"/>
      <c r="Q156" s="10"/>
      <c r="R156" s="10"/>
      <c r="S156" s="11"/>
      <c r="T156" s="67"/>
    </row>
    <row r="157" spans="1:20" ht="15.75">
      <c r="A157" s="26" t="str">
        <v>Otisville - Shoddy Hollow</v>
      </c>
      <c r="B157" s="27" t="str">
        <v>NY</v>
      </c>
      <c r="C157" s="27" t="str">
        <f>Sites[[#This Row],[SOL'#]]</f>
        <v>SOL-11185</v>
      </c>
      <c r="D157" s="66"/>
      <c r="E157" s="14"/>
      <c r="F157" s="14"/>
      <c r="G157" s="15"/>
      <c r="H157" s="69"/>
      <c r="I157" s="16"/>
      <c r="J157" s="15"/>
      <c r="K157" s="50"/>
      <c r="L157" s="105"/>
      <c r="M157" s="26"/>
      <c r="N157" s="27"/>
      <c r="O157" s="27"/>
      <c r="P157" s="66"/>
      <c r="Q157" s="14"/>
      <c r="R157" s="14"/>
      <c r="S157" s="15"/>
      <c r="T157" s="69"/>
    </row>
    <row r="158" spans="1:20" ht="15.75">
      <c r="A158" s="24" t="str">
        <v>Wellsville - Chenunda Creek</v>
      </c>
      <c r="B158" s="25" t="str">
        <v>NY</v>
      </c>
      <c r="C158" s="25" t="str">
        <f>Sites[[#This Row],[SOL'#]]</f>
        <v>SOL-11187</v>
      </c>
      <c r="D158" s="54"/>
      <c r="E158" s="10"/>
      <c r="F158" s="10"/>
      <c r="G158" s="11"/>
      <c r="H158" s="67"/>
      <c r="I158" s="12"/>
      <c r="J158" s="13"/>
      <c r="K158" s="56"/>
      <c r="L158" s="53"/>
      <c r="M158" s="24"/>
      <c r="N158" s="25"/>
      <c r="O158" s="25"/>
      <c r="P158" s="54"/>
      <c r="Q158" s="10"/>
      <c r="R158" s="10"/>
      <c r="S158" s="11"/>
      <c r="T158" s="67"/>
    </row>
  </sheetData>
  <mergeCells count="4">
    <mergeCell ref="E1:G1"/>
    <mergeCell ref="A1:D1"/>
    <mergeCell ref="H1:J1"/>
    <mergeCell ref="A2:B2"/>
  </mergeCells>
  <phoneticPr fontId="40" type="noConversion"/>
  <conditionalFormatting sqref="G2 J2 G4:G158 J4:J158">
    <cfRule type="cellIs" dxfId="42" priority="18" stopIfTrue="1" operator="lessThanOrEqual">
      <formula>-0.1</formula>
    </cfRule>
    <cfRule type="expression" dxfId="41" priority="19">
      <formula>AND(ISNUMBER(G2), G2&gt;=0.1)</formula>
    </cfRule>
  </conditionalFormatting>
  <conditionalFormatting sqref="S156:S158 V156:V158 AE156:AE158 AH156:AH158">
    <cfRule type="cellIs" dxfId="40" priority="1" stopIfTrue="1" operator="lessThanOrEqual">
      <formula>-0.1</formula>
    </cfRule>
    <cfRule type="expression" dxfId="39" priority="2">
      <formula>AND(ISNUMBER(S156), S156&gt;=0.1)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58"/>
  <sheetViews>
    <sheetView zoomScale="40" zoomScaleNormal="40" workbookViewId="0">
      <pane xSplit="2" ySplit="3" topLeftCell="C4" activePane="bottomRight" state="frozen"/>
      <selection pane="bottomRight" activeCell="I4" sqref="I4"/>
      <selection pane="bottomLeft" activeCell="K164" sqref="K164"/>
      <selection pane="topRight" activeCell="K164" sqref="K164"/>
    </sheetView>
  </sheetViews>
  <sheetFormatPr defaultRowHeight="14.2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7" customWidth="1"/>
    <col min="16" max="22" width="22.85546875" customWidth="1"/>
  </cols>
  <sheetData>
    <row r="1" spans="1:13" ht="15">
      <c r="A1" s="151" t="str" cm="1">
        <f t="array" ref="A1">portfolio</f>
        <v>Generate Capital</v>
      </c>
      <c r="B1" s="151"/>
      <c r="C1" s="151"/>
      <c r="D1" s="151"/>
      <c r="E1" s="152" t="s">
        <v>216</v>
      </c>
      <c r="F1" s="152"/>
      <c r="G1" s="152"/>
      <c r="H1" s="150" t="s">
        <v>217</v>
      </c>
      <c r="I1" s="150"/>
      <c r="J1" s="150"/>
      <c r="K1" s="44"/>
      <c r="L1" s="4"/>
    </row>
    <row r="2" spans="1:13" ht="15">
      <c r="A2" s="153" t="s">
        <v>2</v>
      </c>
      <c r="B2" s="153"/>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
      <c r="A3" s="8" t="s">
        <v>3</v>
      </c>
      <c r="B3" s="8" t="s">
        <v>4</v>
      </c>
      <c r="C3" s="8" t="s">
        <v>5</v>
      </c>
      <c r="D3" s="19" t="s">
        <v>6</v>
      </c>
      <c r="E3" s="31" t="s">
        <v>7</v>
      </c>
      <c r="F3" s="31" t="s">
        <v>8</v>
      </c>
      <c r="G3" s="32" t="s">
        <v>9</v>
      </c>
      <c r="H3" s="33" t="s">
        <v>10</v>
      </c>
      <c r="I3" s="34" t="s">
        <v>8</v>
      </c>
      <c r="J3" s="35" t="s">
        <v>9</v>
      </c>
      <c r="K3" s="46" t="s">
        <v>21</v>
      </c>
      <c r="L3" s="21" t="s">
        <v>22</v>
      </c>
    </row>
    <row r="4" spans="1:13" ht="15.75">
      <c r="A4" s="26" t="str" cm="1">
        <f t="array" ref="A4:A158">Sites[Site]</f>
        <v>K026</v>
      </c>
      <c r="B4" s="27" t="str" cm="1">
        <f t="array" ref="B4:B158">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42"/>
    </row>
    <row r="5" spans="1:13" ht="15.75">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75">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42"/>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218</v>
      </c>
      <c r="L7" s="115" t="s">
        <v>219</v>
      </c>
    </row>
    <row r="8" spans="1:13" ht="28.5">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39" t="s">
        <v>220</v>
      </c>
      <c r="L8" s="118" t="s">
        <v>25</v>
      </c>
    </row>
    <row r="9" spans="1:13" ht="15.75">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75">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39" t="s">
        <v>26</v>
      </c>
      <c r="L10" s="142"/>
    </row>
    <row r="11" spans="1:13" ht="15.75">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75">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101" t="s">
        <v>27</v>
      </c>
      <c r="L12" s="119" t="s">
        <v>221</v>
      </c>
    </row>
    <row r="13" spans="1:13" ht="15.75">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6" t="s">
        <v>30</v>
      </c>
      <c r="M14" s="106" t="s">
        <v>31</v>
      </c>
    </row>
    <row r="15" spans="1:13" ht="15.75">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75">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10" t="s">
        <v>84</v>
      </c>
      <c r="L16" s="142"/>
    </row>
    <row r="17" spans="1:19" ht="15.75">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75">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39"/>
      <c r="L18" s="142"/>
    </row>
    <row r="19" spans="1:19" ht="15.75">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4" t="s">
        <v>222</v>
      </c>
      <c r="L20" s="116" t="s">
        <v>33</v>
      </c>
    </row>
    <row r="21" spans="1:19" ht="15.75">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75">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42"/>
    </row>
    <row r="23" spans="1:19" ht="15.75">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75">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39"/>
      <c r="L24" s="142"/>
    </row>
    <row r="25" spans="1:19" ht="15.75">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75">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39"/>
      <c r="L26" s="142"/>
    </row>
    <row r="27" spans="1:19" ht="15.75">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75">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8" t="s">
        <v>223</v>
      </c>
      <c r="L28" s="116" t="s">
        <v>224</v>
      </c>
      <c r="M28" s="106" t="s">
        <v>225</v>
      </c>
    </row>
    <row r="29" spans="1:19" ht="15.75">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75">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39" t="s">
        <v>26</v>
      </c>
      <c r="L30" s="142"/>
    </row>
    <row r="31" spans="1:19" ht="15.75">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75">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39"/>
      <c r="L32" s="139"/>
    </row>
    <row r="33" spans="1:12" ht="15.75">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75">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39" t="s">
        <v>26</v>
      </c>
      <c r="L34" s="142"/>
    </row>
    <row r="35" spans="1:12" ht="15.75">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75">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39" t="s">
        <v>26</v>
      </c>
      <c r="L36" s="142"/>
    </row>
    <row r="37" spans="1:12" ht="15.75">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75">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42"/>
    </row>
    <row r="39" spans="1:12" ht="15.75">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75">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39" t="s">
        <v>26</v>
      </c>
      <c r="L40" s="142"/>
    </row>
    <row r="41" spans="1:12" ht="15.75">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5">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39" t="s">
        <v>226</v>
      </c>
      <c r="L42" s="103" t="s">
        <v>227</v>
      </c>
    </row>
    <row r="43" spans="1:12" ht="42.7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228</v>
      </c>
      <c r="L43" s="115" t="s">
        <v>229</v>
      </c>
    </row>
    <row r="44" spans="1:12" ht="15.75">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39"/>
      <c r="L44" s="142"/>
    </row>
    <row r="45" spans="1:12" ht="15.75">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75">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39" t="s">
        <v>230</v>
      </c>
      <c r="L46" s="118" t="s">
        <v>231</v>
      </c>
    </row>
    <row r="47" spans="1:12" ht="15.75">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232</v>
      </c>
      <c r="L47" s="115" t="s">
        <v>233</v>
      </c>
    </row>
    <row r="48" spans="1:12" ht="15.75">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39"/>
      <c r="L48" s="142"/>
    </row>
    <row r="49" spans="1:16" ht="15.75">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15"/>
    </row>
    <row r="50" spans="1:16" ht="15.75">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39" t="s">
        <v>26</v>
      </c>
      <c r="L50" s="142"/>
    </row>
    <row r="51" spans="1:16" ht="15.75">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75">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39"/>
      <c r="L52" s="142"/>
    </row>
    <row r="53" spans="1:16" ht="15.75">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75">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39"/>
      <c r="L54" s="139"/>
    </row>
    <row r="55" spans="1:16" ht="15.75">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75">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39"/>
    </row>
    <row r="57" spans="1:16" ht="15.75">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39" t="s">
        <v>234</v>
      </c>
      <c r="L58" s="103" t="s">
        <v>235</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236</v>
      </c>
      <c r="L59" s="115" t="s">
        <v>237</v>
      </c>
      <c r="M59" s="106" t="s">
        <v>56</v>
      </c>
    </row>
    <row r="60" spans="1:16" ht="15.75">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39" t="s">
        <v>238</v>
      </c>
      <c r="L60" s="118" t="s">
        <v>239</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240</v>
      </c>
      <c r="L61" s="115" t="s">
        <v>241</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242</v>
      </c>
      <c r="L62" s="103"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243</v>
      </c>
      <c r="L63" s="115" t="s">
        <v>244</v>
      </c>
      <c r="M63" s="106" t="s">
        <v>245</v>
      </c>
      <c r="N63" s="106" t="s">
        <v>246</v>
      </c>
      <c r="O63" s="106" t="s">
        <v>247</v>
      </c>
      <c r="P63" s="117" t="s">
        <v>248</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39" t="s">
        <v>84</v>
      </c>
      <c r="L64" s="142"/>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249</v>
      </c>
      <c r="L65" s="115" t="s">
        <v>250</v>
      </c>
      <c r="M65" s="106" t="s">
        <v>251</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39" t="s">
        <v>252</v>
      </c>
      <c r="L66" s="103" t="s">
        <v>253</v>
      </c>
      <c r="M66" s="106" t="s">
        <v>73</v>
      </c>
      <c r="N66" s="106" t="s">
        <v>254</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255</v>
      </c>
      <c r="L67" s="115" t="s">
        <v>256</v>
      </c>
      <c r="M67" s="106" t="s">
        <v>257</v>
      </c>
      <c r="N67" s="106" t="s">
        <v>258</v>
      </c>
      <c r="O67" s="106" t="s">
        <v>259</v>
      </c>
      <c r="P67" s="120" t="s">
        <v>260</v>
      </c>
      <c r="Q67" s="117" t="s">
        <v>261</v>
      </c>
    </row>
    <row r="68" spans="1:17" ht="15.75">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39" t="s">
        <v>84</v>
      </c>
      <c r="L68" s="139"/>
    </row>
    <row r="69" spans="1:17" ht="99.7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262</v>
      </c>
      <c r="L69" s="102" t="s">
        <v>263</v>
      </c>
      <c r="M69" s="106" t="s">
        <v>77</v>
      </c>
      <c r="N69" s="106" t="s">
        <v>264</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39" t="s">
        <v>265</v>
      </c>
      <c r="L70" s="103" t="s">
        <v>266</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267</v>
      </c>
      <c r="L71" s="102" t="s">
        <v>268</v>
      </c>
      <c r="M71" s="106" t="s">
        <v>269</v>
      </c>
      <c r="N71" s="106"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39" t="s">
        <v>270</v>
      </c>
      <c r="L72" s="103" t="s">
        <v>271</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272</v>
      </c>
      <c r="L73" s="102" t="s">
        <v>273</v>
      </c>
      <c r="M73" s="106" t="s">
        <v>274</v>
      </c>
      <c r="N73" s="106" t="s">
        <v>275</v>
      </c>
      <c r="O73" s="106" t="s">
        <v>276</v>
      </c>
      <c r="P73" s="117" t="s">
        <v>277</v>
      </c>
    </row>
    <row r="74" spans="1:17" ht="42.7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39" t="s">
        <v>278</v>
      </c>
      <c r="L74" s="103" t="s">
        <v>279</v>
      </c>
      <c r="M74" s="106" t="s">
        <v>280</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281</v>
      </c>
      <c r="L75" s="115" t="s">
        <v>282</v>
      </c>
      <c r="M75" s="106" t="s">
        <v>283</v>
      </c>
      <c r="N75" s="106" t="s">
        <v>284</v>
      </c>
    </row>
    <row r="76" spans="1:17" ht="42.7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39" t="s">
        <v>285</v>
      </c>
      <c r="L76" s="103" t="s">
        <v>286</v>
      </c>
    </row>
    <row r="77" spans="1:17" ht="28.5">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287</v>
      </c>
      <c r="L77" s="115" t="s">
        <v>288</v>
      </c>
    </row>
    <row r="78" spans="1:17" ht="15.75">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39" t="s">
        <v>84</v>
      </c>
      <c r="L78" s="139"/>
    </row>
    <row r="79" spans="1:17" ht="185.2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289</v>
      </c>
      <c r="L79" s="115" t="s">
        <v>290</v>
      </c>
      <c r="M79" s="106" t="s">
        <v>98</v>
      </c>
      <c r="N79" s="106" t="s">
        <v>291</v>
      </c>
    </row>
    <row r="80" spans="1:17" ht="15.75">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9" t="s">
        <v>84</v>
      </c>
      <c r="L80" s="142"/>
    </row>
    <row r="81" spans="1:14" ht="28.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292</v>
      </c>
      <c r="L81" s="115" t="s">
        <v>101</v>
      </c>
    </row>
    <row r="82" spans="1:14" ht="28.5">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39" t="s">
        <v>293</v>
      </c>
      <c r="L82" s="118" t="s">
        <v>294</v>
      </c>
    </row>
    <row r="83" spans="1:14" ht="28.5">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295</v>
      </c>
      <c r="L83" s="115" t="s">
        <v>296</v>
      </c>
      <c r="M83" s="124"/>
    </row>
    <row r="84" spans="1:14" ht="15.75">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39" t="s">
        <v>297</v>
      </c>
      <c r="L84" s="142"/>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298</v>
      </c>
      <c r="L85" s="115" t="s">
        <v>299</v>
      </c>
    </row>
    <row r="86" spans="1:14" ht="15.75">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39" t="s">
        <v>300</v>
      </c>
      <c r="L86" s="103" t="s">
        <v>301</v>
      </c>
    </row>
    <row r="87" spans="1:14" ht="42.7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302</v>
      </c>
      <c r="L87" s="115" t="s">
        <v>303</v>
      </c>
      <c r="M87" s="106"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39" t="s">
        <v>304</v>
      </c>
      <c r="L88" s="103" t="s">
        <v>305</v>
      </c>
      <c r="M88" s="106"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39" t="s">
        <v>306</v>
      </c>
      <c r="L90" s="103" t="s">
        <v>307</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308</v>
      </c>
      <c r="L91" s="115" t="s">
        <v>309</v>
      </c>
      <c r="M91" s="106" t="s">
        <v>310</v>
      </c>
    </row>
    <row r="92" spans="1:14" ht="15.75">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39" t="s">
        <v>84</v>
      </c>
      <c r="L92" s="142"/>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311</v>
      </c>
      <c r="L93" s="115" t="s">
        <v>312</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39" t="s">
        <v>84</v>
      </c>
      <c r="L94" s="139"/>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313</v>
      </c>
      <c r="L95" s="115" t="s">
        <v>314</v>
      </c>
    </row>
    <row r="96" spans="1:14" ht="57">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315</v>
      </c>
      <c r="L96" s="115" t="s">
        <v>316</v>
      </c>
      <c r="M96" s="106" t="s">
        <v>317</v>
      </c>
      <c r="N96" s="106" t="s">
        <v>318</v>
      </c>
    </row>
    <row r="97" spans="1:14" ht="42.7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39" t="s">
        <v>319</v>
      </c>
      <c r="L97" s="118" t="s">
        <v>320</v>
      </c>
      <c r="M97" s="106" t="s">
        <v>321</v>
      </c>
      <c r="N97" s="106" t="s">
        <v>322</v>
      </c>
    </row>
    <row r="98" spans="1:14" ht="15.75">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75">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75">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15"/>
      <c r="M100" s="106"/>
      <c r="N100" s="106"/>
    </row>
    <row r="101" spans="1:14" ht="15.75">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323</v>
      </c>
      <c r="L101" s="120" t="s">
        <v>324</v>
      </c>
    </row>
    <row r="102" spans="1:14" ht="15.75">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75">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75">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3" si="12">IFERROR(I104/H104, "")</f>
        <v>-0.22841054433040942</v>
      </c>
      <c r="K104" s="56" t="s">
        <v>84</v>
      </c>
      <c r="L104" s="37"/>
    </row>
    <row r="105" spans="1:14" ht="15.75">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5">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325</v>
      </c>
      <c r="L106" s="115" t="s">
        <v>326</v>
      </c>
      <c r="M106" s="106" t="s">
        <v>327</v>
      </c>
    </row>
    <row r="107" spans="1:14" ht="15.75">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2.7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328</v>
      </c>
      <c r="L108" s="115" t="s">
        <v>329</v>
      </c>
      <c r="M108" s="106" t="s">
        <v>330</v>
      </c>
    </row>
    <row r="109" spans="1:14" ht="15.75">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331</v>
      </c>
      <c r="L109" s="120" t="s">
        <v>159</v>
      </c>
    </row>
    <row r="110" spans="1:14" ht="15.75">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332</v>
      </c>
      <c r="L110" s="115" t="s">
        <v>333</v>
      </c>
    </row>
    <row r="111" spans="1:14" ht="15.75">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39" t="s">
        <v>334</v>
      </c>
      <c r="L111" s="117" t="s">
        <v>335</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336</v>
      </c>
      <c r="L112" s="115"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337</v>
      </c>
      <c r="L113" s="120" t="s">
        <v>338</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339</v>
      </c>
      <c r="L114" s="115" t="s">
        <v>340</v>
      </c>
      <c r="M114" s="106" t="s">
        <v>341</v>
      </c>
    </row>
    <row r="115" spans="1:14" ht="28.5">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342</v>
      </c>
      <c r="L115" s="120" t="s">
        <v>343</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344</v>
      </c>
      <c r="L116" s="115" t="s">
        <v>345</v>
      </c>
      <c r="M116" s="106" t="s">
        <v>346</v>
      </c>
      <c r="N116" s="106" t="s">
        <v>347</v>
      </c>
    </row>
    <row r="117" spans="1:14" ht="15.75">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75">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28.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348</v>
      </c>
      <c r="L119" s="121" t="s">
        <v>349</v>
      </c>
      <c r="M119" s="106" t="s">
        <v>350</v>
      </c>
    </row>
    <row r="120" spans="1:14" ht="15.75">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75">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75">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5">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351</v>
      </c>
      <c r="L123" s="121" t="s">
        <v>352</v>
      </c>
      <c r="M123" s="106" t="s">
        <v>353</v>
      </c>
    </row>
    <row r="124" spans="1:14" ht="15.75">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15" t="s">
        <v>180</v>
      </c>
    </row>
    <row r="125" spans="1:14" ht="15.75">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7" t="s">
        <v>182</v>
      </c>
    </row>
    <row r="126" spans="1:14" ht="15.75">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15" t="s">
        <v>184</v>
      </c>
    </row>
    <row r="127" spans="1:14" ht="15.75">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7" t="s">
        <v>186</v>
      </c>
    </row>
    <row r="128" spans="1:14" ht="15.75">
      <c r="A128" s="24" t="str">
        <v>K203</v>
      </c>
      <c r="B128" s="25" t="str">
        <v>NY</v>
      </c>
      <c r="C128" s="25" t="str">
        <f>Sites[[#This Row],[SOL'#]]</f>
        <v>SOL-11190</v>
      </c>
      <c r="D128" s="126"/>
      <c r="E128" s="10"/>
      <c r="F128" s="10" t="str">
        <f t="shared" si="10"/>
        <v/>
      </c>
      <c r="G128" s="11" t="str">
        <f t="shared" si="13"/>
        <v/>
      </c>
      <c r="H128" s="67"/>
      <c r="I128" s="67" t="str">
        <f t="shared" ref="I128:I146" si="14">IF(AND(ISNUMBER(D128),ISNUMBER(H128)), D128-H128, "")</f>
        <v/>
      </c>
      <c r="J128" s="13" t="str">
        <f t="shared" si="12"/>
        <v/>
      </c>
      <c r="K128" s="56" t="s">
        <v>185</v>
      </c>
      <c r="L128" s="115" t="s">
        <v>354</v>
      </c>
    </row>
    <row r="129" spans="1:14" ht="15.75">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75">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15" t="s">
        <v>187</v>
      </c>
    </row>
    <row r="131" spans="1:14" ht="15.75">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75">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5">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355</v>
      </c>
      <c r="L133" s="121" t="s">
        <v>356</v>
      </c>
      <c r="M133" s="106" t="s">
        <v>357</v>
      </c>
    </row>
    <row r="134" spans="1:14" ht="15.75">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15" t="s">
        <v>190</v>
      </c>
    </row>
    <row r="135" spans="1:14" ht="15.75">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75">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15" t="s">
        <v>192</v>
      </c>
    </row>
    <row r="137" spans="1:14" ht="15.75">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7" t="s">
        <v>193</v>
      </c>
    </row>
    <row r="138" spans="1:14" ht="28.5">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358</v>
      </c>
      <c r="L138" s="115" t="s">
        <v>194</v>
      </c>
    </row>
    <row r="139" spans="1:14" ht="15.75">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2.7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359</v>
      </c>
      <c r="L140" s="115" t="s">
        <v>360</v>
      </c>
      <c r="M140" s="106" t="s">
        <v>197</v>
      </c>
      <c r="N140" s="106" t="s">
        <v>197</v>
      </c>
    </row>
    <row r="141" spans="1:14" ht="15.75">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7" t="s">
        <v>199</v>
      </c>
    </row>
    <row r="142" spans="1:14" ht="15.75">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5">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361</v>
      </c>
      <c r="L143" s="121" t="s">
        <v>362</v>
      </c>
      <c r="M143" s="106" t="s">
        <v>363</v>
      </c>
    </row>
    <row r="144" spans="1:14" ht="15.75">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364</v>
      </c>
      <c r="L144" s="122" t="s">
        <v>365</v>
      </c>
    </row>
    <row r="145" spans="1:13" ht="15.75">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8"/>
    </row>
    <row r="146" spans="1:13" ht="57">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366</v>
      </c>
      <c r="L146" s="122" t="s">
        <v>367</v>
      </c>
      <c r="M146" s="106" t="s">
        <v>368</v>
      </c>
    </row>
    <row r="147" spans="1:13" ht="42.7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3" t="s">
        <v>369</v>
      </c>
      <c r="L147" s="121" t="s">
        <v>370</v>
      </c>
    </row>
    <row r="148" spans="1:13" ht="15.75">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3" si="17">IFERROR(F148/E148, "")</f>
        <v>-0.23470510320565718</v>
      </c>
      <c r="H148" s="67">
        <v>256159.24600000001</v>
      </c>
      <c r="I148" s="67">
        <f t="shared" si="15"/>
        <v>-50122.194000000018</v>
      </c>
      <c r="J148" s="13">
        <f t="shared" si="12"/>
        <v>-0.19566810405118079</v>
      </c>
      <c r="K148" s="56" t="s">
        <v>84</v>
      </c>
      <c r="L148" s="122"/>
    </row>
    <row r="149" spans="1:13" ht="15.75">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371</v>
      </c>
      <c r="L149" s="117" t="s">
        <v>372</v>
      </c>
    </row>
    <row r="150" spans="1:13" ht="42.7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373</v>
      </c>
      <c r="L150" s="122" t="s">
        <v>374</v>
      </c>
      <c r="M150" s="106" t="s">
        <v>375</v>
      </c>
    </row>
    <row r="151" spans="1:13" ht="28.5">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2" t="s">
        <v>376</v>
      </c>
      <c r="L151" s="121" t="s">
        <v>377</v>
      </c>
    </row>
    <row r="152" spans="1:13" ht="15.75">
      <c r="A152" s="24" t="str">
        <v xml:space="preserve"> O'Brien Hill #1</v>
      </c>
      <c r="B152" s="25" t="str">
        <v>NY</v>
      </c>
      <c r="C152" s="25" t="str">
        <f>Sites[[#This Row],[SOL'#]]</f>
        <v>SOL-11098</v>
      </c>
      <c r="D152" s="54">
        <v>416554</v>
      </c>
      <c r="E152" s="10">
        <v>0</v>
      </c>
      <c r="F152" s="10">
        <f t="shared" si="16"/>
        <v>416554</v>
      </c>
      <c r="G152" s="11" t="str">
        <f t="shared" si="17"/>
        <v/>
      </c>
      <c r="H152" s="67">
        <v>0</v>
      </c>
      <c r="I152" s="67">
        <f t="shared" si="15"/>
        <v>416554</v>
      </c>
      <c r="J152" s="13" t="str">
        <f t="shared" si="12"/>
        <v/>
      </c>
      <c r="K152" s="56"/>
      <c r="L152" s="122"/>
    </row>
    <row r="153" spans="1:13" ht="28.5">
      <c r="A153" s="26" t="str">
        <v xml:space="preserve"> O'Brien Hill #2</v>
      </c>
      <c r="B153" s="27" t="str">
        <v>NY</v>
      </c>
      <c r="C153" s="27" t="str">
        <f>Sites[[#This Row],[SOL'#]]</f>
        <v>SOL-11099</v>
      </c>
      <c r="D153" s="66">
        <v>392818</v>
      </c>
      <c r="E153" s="14">
        <v>0</v>
      </c>
      <c r="F153" s="14">
        <f t="shared" si="16"/>
        <v>392818</v>
      </c>
      <c r="G153" s="68" t="str">
        <f t="shared" si="17"/>
        <v/>
      </c>
      <c r="H153" s="69">
        <v>0</v>
      </c>
      <c r="I153" s="69">
        <f t="shared" si="15"/>
        <v>392818</v>
      </c>
      <c r="J153" s="15" t="str">
        <f t="shared" si="12"/>
        <v/>
      </c>
      <c r="K153" s="50" t="s">
        <v>378</v>
      </c>
      <c r="L153" s="121" t="s">
        <v>379</v>
      </c>
    </row>
    <row r="154" spans="1:13" ht="15.75">
      <c r="A154" s="24" t="str">
        <v>Trinity - Freeport</v>
      </c>
      <c r="B154" s="25" t="str">
        <v>IL</v>
      </c>
      <c r="C154" s="25" t="str">
        <f>Sites[[#This Row],[SOL'#]]</f>
        <v>SOL-11057</v>
      </c>
      <c r="D154" s="54"/>
      <c r="E154" s="10"/>
      <c r="F154" s="10"/>
      <c r="G154" s="11"/>
      <c r="H154" s="67"/>
      <c r="I154" s="67"/>
      <c r="J154" s="64"/>
      <c r="K154" s="56"/>
      <c r="L154" s="122"/>
    </row>
    <row r="155" spans="1:13" ht="15.75">
      <c r="A155" s="26" t="str">
        <v>Ransom</v>
      </c>
      <c r="B155" s="27" t="str">
        <v>NY</v>
      </c>
      <c r="C155" s="27" t="str">
        <f>Sites[[#This Row],[SOL'#]]</f>
        <v>SOL-11157</v>
      </c>
      <c r="D155" s="66"/>
      <c r="E155" s="14"/>
      <c r="F155" s="14"/>
      <c r="G155" s="68"/>
      <c r="H155" s="69"/>
      <c r="I155" s="69"/>
      <c r="J155" s="68"/>
      <c r="K155" s="50"/>
      <c r="L155" s="121"/>
    </row>
    <row r="156" spans="1:13" ht="15.75">
      <c r="A156" s="24" t="str">
        <v>Horseheads - Wedge</v>
      </c>
      <c r="B156" s="25" t="str">
        <v>NY</v>
      </c>
      <c r="C156" s="25" t="str">
        <f>Sites[[#This Row],[SOL'#]]</f>
        <v>SOL-11160</v>
      </c>
      <c r="D156" s="54"/>
      <c r="E156" s="10"/>
      <c r="F156" s="10"/>
      <c r="G156" s="11"/>
      <c r="H156" s="67"/>
      <c r="I156" s="67"/>
      <c r="J156" s="64"/>
      <c r="K156" s="56"/>
      <c r="L156" s="122"/>
    </row>
    <row r="157" spans="1:13" ht="15.75">
      <c r="A157" s="26" t="str">
        <v>Otisville - Shoddy Hollow</v>
      </c>
      <c r="B157" s="27" t="str">
        <v>NY</v>
      </c>
      <c r="C157" s="27" t="str">
        <f>Sites[[#This Row],[SOL'#]]</f>
        <v>SOL-11185</v>
      </c>
      <c r="D157" s="66"/>
      <c r="E157" s="14"/>
      <c r="F157" s="14"/>
      <c r="G157" s="68"/>
      <c r="H157" s="69"/>
      <c r="I157" s="69"/>
      <c r="J157" s="68"/>
      <c r="K157" s="50"/>
      <c r="L157" s="121"/>
    </row>
    <row r="158" spans="1:13" ht="15.75">
      <c r="A158" s="24" t="str">
        <v>Wellsville - Chenunda Creek</v>
      </c>
      <c r="B158" s="25" t="str">
        <v>NY</v>
      </c>
      <c r="C158" s="25" t="str">
        <f>Sites[[#This Row],[SOL'#]]</f>
        <v>SOL-11187</v>
      </c>
      <c r="D158" s="54"/>
      <c r="E158" s="10"/>
      <c r="F158" s="10"/>
      <c r="G158" s="11"/>
      <c r="H158" s="67"/>
      <c r="I158" s="67"/>
      <c r="J158" s="64"/>
      <c r="K158" s="56"/>
      <c r="L158" s="122"/>
    </row>
  </sheetData>
  <mergeCells count="4">
    <mergeCell ref="H1:J1"/>
    <mergeCell ref="A1:D1"/>
    <mergeCell ref="E1:G1"/>
    <mergeCell ref="A2:B2"/>
  </mergeCells>
  <phoneticPr fontId="40" type="noConversion"/>
  <conditionalFormatting sqref="G2 J2 G4:G158 J4:J158">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70" zoomScaleNormal="70" workbookViewId="0">
      <pane xSplit="2" ySplit="3" topLeftCell="C4" activePane="bottomRight" state="frozen"/>
      <selection pane="bottomRight" activeCell="B5" sqref="B5"/>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51" t="str" cm="1">
        <f t="array" ref="A1">portfolio</f>
        <v>Generate Capital</v>
      </c>
      <c r="B1" s="151"/>
      <c r="C1" s="151"/>
      <c r="D1" s="151"/>
      <c r="E1" s="152" t="s">
        <v>380</v>
      </c>
      <c r="F1" s="152"/>
      <c r="G1" s="152"/>
      <c r="H1" s="150" t="s">
        <v>381</v>
      </c>
      <c r="I1" s="150"/>
      <c r="J1" s="150"/>
      <c r="K1" s="4"/>
      <c r="L1" s="4"/>
    </row>
    <row r="2" spans="1:17" ht="19.5" customHeight="1">
      <c r="A2" s="153" t="s">
        <v>2</v>
      </c>
      <c r="B2" s="153"/>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75">
      <c r="A4" s="26" t="str" cm="1">
        <f t="array" ref="A4:A158">Sites[Site]</f>
        <v>K026</v>
      </c>
      <c r="B4" s="27" t="str" cm="1">
        <f t="array" ref="B4:B158">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7"/>
      <c r="N4" s="107"/>
      <c r="O4" s="107"/>
      <c r="P4" s="107"/>
      <c r="Q4" s="107"/>
    </row>
    <row r="5" spans="1:17" ht="15.75">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382</v>
      </c>
      <c r="L5" s="37"/>
      <c r="M5" s="107"/>
      <c r="N5" s="107"/>
      <c r="O5" s="107"/>
      <c r="P5" s="107"/>
      <c r="Q5" s="107"/>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383</v>
      </c>
      <c r="L6" s="118" t="s">
        <v>384</v>
      </c>
      <c r="M6" s="107"/>
      <c r="N6" s="107"/>
      <c r="O6" s="107"/>
      <c r="P6" s="107"/>
      <c r="Q6" s="107"/>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385</v>
      </c>
      <c r="L7" s="115" t="s">
        <v>219</v>
      </c>
      <c r="M7" s="107"/>
      <c r="N7" s="107"/>
      <c r="O7" s="107"/>
      <c r="P7" s="107"/>
      <c r="Q7" s="107"/>
    </row>
    <row r="8" spans="1:17" ht="15.75">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386</v>
      </c>
      <c r="L8" s="118" t="s">
        <v>25</v>
      </c>
      <c r="M8" s="107"/>
      <c r="N8" s="107"/>
      <c r="O8" s="107"/>
      <c r="P8" s="107"/>
      <c r="Q8" s="107"/>
    </row>
    <row r="9" spans="1:17" ht="15.75">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7"/>
      <c r="N9" s="107"/>
      <c r="O9" s="107"/>
      <c r="P9" s="107"/>
      <c r="Q9" s="107"/>
    </row>
    <row r="10" spans="1:17" ht="15.75">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7"/>
      <c r="N10" s="107"/>
      <c r="O10" s="107"/>
      <c r="P10" s="107"/>
      <c r="Q10" s="107"/>
    </row>
    <row r="11" spans="1:17" ht="15.75">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7"/>
      <c r="N11" s="107"/>
      <c r="O11" s="107"/>
      <c r="P11" s="107"/>
      <c r="Q11" s="107"/>
    </row>
    <row r="12" spans="1:17" ht="15.75">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387</v>
      </c>
      <c r="L12" s="118" t="s">
        <v>221</v>
      </c>
      <c r="M12" s="107"/>
      <c r="N12" s="107"/>
      <c r="O12" s="107"/>
      <c r="P12" s="107"/>
      <c r="Q12" s="107"/>
    </row>
    <row r="13" spans="1:17" ht="15.75">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388</v>
      </c>
      <c r="L13" s="37"/>
      <c r="M13" s="107"/>
      <c r="N13" s="107"/>
      <c r="O13" s="107"/>
      <c r="P13" s="107"/>
      <c r="Q13" s="107"/>
    </row>
    <row r="14" spans="1:17" ht="42.75">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389</v>
      </c>
      <c r="L14" s="118" t="s">
        <v>390</v>
      </c>
      <c r="M14" s="106" t="s">
        <v>31</v>
      </c>
      <c r="N14" s="106" t="s">
        <v>391</v>
      </c>
      <c r="O14" s="107"/>
      <c r="P14" s="107"/>
      <c r="Q14" s="107"/>
    </row>
    <row r="15" spans="1:17" ht="15.75">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7"/>
      <c r="N15" s="107"/>
      <c r="O15" s="107"/>
      <c r="P15" s="107"/>
      <c r="Q15" s="107"/>
    </row>
    <row r="16" spans="1:17" ht="42.7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392</v>
      </c>
      <c r="L16" s="118" t="s">
        <v>393</v>
      </c>
      <c r="M16" s="106" t="s">
        <v>394</v>
      </c>
      <c r="N16" s="107"/>
      <c r="O16" s="107"/>
      <c r="P16" s="107"/>
      <c r="Q16" s="107"/>
    </row>
    <row r="17" spans="1:17" ht="15.75">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7"/>
      <c r="N17" s="107"/>
      <c r="O17" s="107"/>
      <c r="P17" s="107"/>
      <c r="Q17" s="107"/>
    </row>
    <row r="18" spans="1:17" ht="15.75">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7"/>
      <c r="N18" s="107"/>
      <c r="O18" s="107"/>
      <c r="P18" s="107"/>
      <c r="Q18" s="107"/>
    </row>
    <row r="19" spans="1:17" ht="15.75">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395</v>
      </c>
      <c r="L19" s="37"/>
      <c r="M19" s="107"/>
      <c r="N19" s="107"/>
      <c r="O19" s="107"/>
      <c r="P19" s="107"/>
      <c r="Q19" s="107"/>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222</v>
      </c>
      <c r="L20" s="103" t="s">
        <v>33</v>
      </c>
      <c r="M20" s="107"/>
      <c r="N20" s="107"/>
      <c r="O20" s="107"/>
      <c r="P20" s="107"/>
      <c r="Q20" s="107"/>
    </row>
    <row r="21" spans="1:17" ht="15.75">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7"/>
      <c r="N21" s="107"/>
      <c r="O21" s="107"/>
      <c r="P21" s="107"/>
      <c r="Q21" s="107"/>
    </row>
    <row r="22" spans="1:17" ht="15.75">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7"/>
      <c r="N22" s="107"/>
      <c r="O22" s="107"/>
      <c r="P22" s="107"/>
      <c r="Q22" s="107"/>
    </row>
    <row r="23" spans="1:17" ht="15.75">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7"/>
      <c r="N23" s="107"/>
      <c r="O23" s="107"/>
      <c r="P23" s="107"/>
      <c r="Q23" s="107"/>
    </row>
    <row r="24" spans="1:17" ht="15.75">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7"/>
      <c r="N24" s="107"/>
      <c r="O24" s="107"/>
      <c r="P24" s="107"/>
      <c r="Q24" s="107"/>
    </row>
    <row r="25" spans="1:17" ht="15.75">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7"/>
      <c r="N25" s="107"/>
      <c r="O25" s="107"/>
      <c r="P25" s="107"/>
      <c r="Q25" s="107"/>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396</v>
      </c>
      <c r="L26" s="116" t="s">
        <v>397</v>
      </c>
      <c r="M26" s="106" t="s">
        <v>398</v>
      </c>
      <c r="N26" s="107"/>
      <c r="O26" s="107"/>
      <c r="P26" s="107"/>
      <c r="Q26" s="107"/>
    </row>
    <row r="27" spans="1:17" ht="15.75">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7"/>
      <c r="N27" s="107"/>
      <c r="O27" s="107"/>
      <c r="P27" s="107"/>
      <c r="Q27" s="107"/>
    </row>
    <row r="28" spans="1:17" ht="71.25">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399</v>
      </c>
      <c r="L28" s="116" t="s">
        <v>400</v>
      </c>
      <c r="M28" s="106" t="s">
        <v>401</v>
      </c>
      <c r="N28" s="107"/>
      <c r="O28" s="107"/>
      <c r="P28" s="107"/>
      <c r="Q28" s="107"/>
    </row>
    <row r="29" spans="1:17" ht="15.75">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7"/>
      <c r="N29" s="107"/>
      <c r="O29" s="107"/>
      <c r="P29" s="107"/>
      <c r="Q29" s="107"/>
    </row>
    <row r="30" spans="1:17" ht="15.75">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7"/>
      <c r="N30" s="107"/>
      <c r="O30" s="107"/>
      <c r="P30" s="107"/>
      <c r="Q30" s="107"/>
    </row>
    <row r="31" spans="1:17" ht="15.75">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7"/>
      <c r="N31" s="107"/>
      <c r="O31" s="107"/>
      <c r="P31" s="107"/>
      <c r="Q31" s="107"/>
    </row>
    <row r="32" spans="1:17" ht="15.75">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7"/>
      <c r="N32" s="107"/>
      <c r="O32" s="107"/>
      <c r="P32" s="107"/>
      <c r="Q32" s="107"/>
    </row>
    <row r="33" spans="1:17" ht="15.75">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7"/>
      <c r="N33" s="107"/>
      <c r="O33" s="107"/>
      <c r="P33" s="107"/>
      <c r="Q33" s="107"/>
    </row>
    <row r="34" spans="1:17" ht="15.75">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7"/>
      <c r="N34" s="107"/>
      <c r="O34" s="107"/>
      <c r="P34" s="107"/>
      <c r="Q34" s="107"/>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402</v>
      </c>
      <c r="L35" s="115" t="s">
        <v>403</v>
      </c>
      <c r="M35" s="106" t="s">
        <v>404</v>
      </c>
      <c r="N35" s="107"/>
      <c r="O35" s="107"/>
      <c r="P35" s="107"/>
      <c r="Q35" s="107"/>
    </row>
    <row r="36" spans="1:17" ht="15.75">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7"/>
      <c r="N36" s="107"/>
      <c r="O36" s="107"/>
      <c r="P36" s="107"/>
      <c r="Q36" s="107"/>
    </row>
    <row r="37" spans="1:17" ht="15.75">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7"/>
      <c r="N37" s="107"/>
      <c r="O37" s="107"/>
      <c r="P37" s="107"/>
      <c r="Q37" s="107"/>
    </row>
    <row r="38" spans="1:17" ht="15.75">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382</v>
      </c>
      <c r="L38" s="39"/>
      <c r="M38" s="107"/>
      <c r="N38" s="107"/>
      <c r="O38" s="107"/>
      <c r="P38" s="107"/>
      <c r="Q38" s="107"/>
    </row>
    <row r="39" spans="1:17" ht="15.75">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7"/>
      <c r="N39" s="107"/>
      <c r="O39" s="107"/>
      <c r="P39" s="107"/>
      <c r="Q39" s="107"/>
    </row>
    <row r="40" spans="1:17" ht="15.75">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7"/>
      <c r="N40" s="107"/>
      <c r="O40" s="107"/>
      <c r="P40" s="107"/>
      <c r="Q40" s="107"/>
    </row>
    <row r="41" spans="1:17" ht="99.75">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405</v>
      </c>
      <c r="L41" s="102" t="s">
        <v>406</v>
      </c>
      <c r="M41" s="106" t="s">
        <v>407</v>
      </c>
      <c r="N41" s="106" t="s">
        <v>408</v>
      </c>
      <c r="O41" s="107"/>
      <c r="P41" s="107"/>
      <c r="Q41" s="107"/>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409</v>
      </c>
      <c r="L42" s="116" t="s">
        <v>410</v>
      </c>
      <c r="M42" s="106" t="s">
        <v>411</v>
      </c>
      <c r="N42" s="107"/>
      <c r="O42" s="107"/>
      <c r="P42" s="107"/>
      <c r="Q42" s="107"/>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412</v>
      </c>
      <c r="L43" s="115" t="s">
        <v>413</v>
      </c>
      <c r="M43" s="107"/>
      <c r="N43" s="107"/>
      <c r="O43" s="107"/>
      <c r="P43" s="107"/>
      <c r="Q43" s="107"/>
    </row>
    <row r="44" spans="1:17" ht="15.75">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7"/>
      <c r="N44" s="107"/>
      <c r="O44" s="107"/>
      <c r="P44" s="107"/>
      <c r="Q44" s="107"/>
    </row>
    <row r="45" spans="1:17" ht="15.75">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7"/>
      <c r="N45" s="107"/>
      <c r="O45" s="107"/>
      <c r="P45" s="107"/>
      <c r="Q45" s="107"/>
    </row>
    <row r="46" spans="1:17" ht="15.75">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7"/>
      <c r="N46" s="107"/>
      <c r="O46" s="107"/>
      <c r="P46" s="107"/>
      <c r="Q46" s="107"/>
    </row>
    <row r="47" spans="1:17" ht="15.75">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395</v>
      </c>
      <c r="L47" s="53"/>
      <c r="M47" s="107"/>
      <c r="N47" s="107"/>
      <c r="O47" s="107"/>
      <c r="P47" s="107"/>
      <c r="Q47" s="107"/>
    </row>
    <row r="48" spans="1:17" ht="15.75">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7"/>
      <c r="N48" s="107"/>
      <c r="O48" s="107"/>
      <c r="P48" s="107"/>
      <c r="Q48" s="107"/>
    </row>
    <row r="49" spans="1:17" ht="15.75">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395</v>
      </c>
      <c r="L49" s="37"/>
      <c r="M49" s="107"/>
      <c r="N49" s="107"/>
      <c r="O49" s="107"/>
      <c r="P49" s="107"/>
      <c r="Q49" s="107"/>
    </row>
    <row r="50" spans="1:17" ht="15.75">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7"/>
      <c r="N50" s="107"/>
      <c r="O50" s="107"/>
      <c r="P50" s="107"/>
      <c r="Q50" s="107"/>
    </row>
    <row r="51" spans="1:17" ht="15.75">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7"/>
      <c r="N51" s="107"/>
      <c r="O51" s="107"/>
      <c r="P51" s="107"/>
      <c r="Q51" s="107"/>
    </row>
    <row r="52" spans="1:17" ht="28.5">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414</v>
      </c>
      <c r="L52" s="118" t="s">
        <v>415</v>
      </c>
      <c r="M52" s="107"/>
      <c r="N52" s="107"/>
      <c r="O52" s="107"/>
      <c r="P52" s="107"/>
      <c r="Q52" s="107"/>
    </row>
    <row r="53" spans="1:17" ht="15.75">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7"/>
      <c r="N53" s="107"/>
      <c r="O53" s="107"/>
      <c r="P53" s="107"/>
      <c r="Q53" s="107"/>
    </row>
    <row r="54" spans="1:17" ht="28.5">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416</v>
      </c>
      <c r="L54" s="118" t="s">
        <v>417</v>
      </c>
      <c r="M54" s="107"/>
      <c r="N54" s="107"/>
      <c r="O54" s="107"/>
      <c r="P54" s="107"/>
      <c r="Q54" s="107"/>
    </row>
    <row r="55" spans="1:17" ht="15.75">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7"/>
      <c r="N55" s="107"/>
      <c r="O55" s="107"/>
      <c r="P55" s="107"/>
      <c r="Q55" s="107"/>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418</v>
      </c>
      <c r="L56" s="103" t="s">
        <v>419</v>
      </c>
      <c r="M56" s="107"/>
      <c r="N56" s="107"/>
      <c r="O56" s="107"/>
      <c r="P56" s="107"/>
      <c r="Q56" s="107"/>
    </row>
    <row r="57" spans="1:17" ht="71.25">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420</v>
      </c>
      <c r="L57" s="115" t="s">
        <v>421</v>
      </c>
      <c r="M57" s="106" t="s">
        <v>422</v>
      </c>
      <c r="N57" s="107"/>
      <c r="O57" s="107"/>
      <c r="P57" s="107"/>
      <c r="Q57" s="107"/>
    </row>
    <row r="58" spans="1:17" ht="28.5">
      <c r="A58" s="26" t="str">
        <v>Boas Road 04</v>
      </c>
      <c r="B58" s="27" t="str">
        <v>NY</v>
      </c>
      <c r="C58" s="27" t="str">
        <f>Sites[[#This Row],[SOL'#]]</f>
        <v>SOL-10908</v>
      </c>
      <c r="D58" s="59">
        <v>142690</v>
      </c>
      <c r="E58" s="127">
        <v>300105.54100000003</v>
      </c>
      <c r="F58" s="14">
        <f t="shared" si="0"/>
        <v>-157415.54100000003</v>
      </c>
      <c r="G58" s="15">
        <f t="shared" si="1"/>
        <v>-0.52453393721244224</v>
      </c>
      <c r="H58" s="69">
        <v>301351.8</v>
      </c>
      <c r="I58" s="16">
        <f t="shared" si="2"/>
        <v>-158661.79999999999</v>
      </c>
      <c r="J58" s="15">
        <f t="shared" si="3"/>
        <v>-0.52650025651082888</v>
      </c>
      <c r="K58" s="38" t="s">
        <v>423</v>
      </c>
      <c r="L58" s="103" t="s">
        <v>424</v>
      </c>
      <c r="M58" s="106" t="s">
        <v>425</v>
      </c>
      <c r="N58" s="107"/>
      <c r="O58" s="107"/>
      <c r="P58" s="107"/>
      <c r="Q58" s="107"/>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426</v>
      </c>
      <c r="L59" s="115" t="s">
        <v>427</v>
      </c>
      <c r="M59" s="106" t="s">
        <v>428</v>
      </c>
      <c r="N59" s="106" t="s">
        <v>429</v>
      </c>
      <c r="O59" s="106" t="s">
        <v>430</v>
      </c>
      <c r="P59" s="107"/>
      <c r="Q59" s="107"/>
    </row>
    <row r="60" spans="1:17" ht="15.75">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7"/>
      <c r="N60" s="107"/>
      <c r="O60" s="107"/>
      <c r="P60" s="107"/>
      <c r="Q60" s="107"/>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431</v>
      </c>
      <c r="L61" s="115" t="s">
        <v>432</v>
      </c>
      <c r="M61" s="107"/>
      <c r="N61" s="107"/>
      <c r="O61" s="107"/>
      <c r="P61" s="107"/>
      <c r="Q61" s="107"/>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433</v>
      </c>
      <c r="L62" s="103" t="s">
        <v>434</v>
      </c>
      <c r="M62" s="106" t="s">
        <v>435</v>
      </c>
      <c r="N62" s="106" t="s">
        <v>435</v>
      </c>
      <c r="O62" s="107"/>
      <c r="P62" s="107"/>
      <c r="Q62" s="107"/>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436</v>
      </c>
      <c r="L63" s="115" t="s">
        <v>437</v>
      </c>
      <c r="M63" s="106" t="s">
        <v>438</v>
      </c>
      <c r="N63" s="107"/>
      <c r="O63" s="107"/>
      <c r="P63" s="107"/>
      <c r="Q63" s="107"/>
    </row>
    <row r="64" spans="1:17" ht="28.5">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439</v>
      </c>
      <c r="L64" s="52" t="s">
        <v>440</v>
      </c>
      <c r="M64" s="107"/>
      <c r="N64" s="107"/>
      <c r="O64" s="107"/>
      <c r="P64" s="107"/>
      <c r="Q64" s="107"/>
    </row>
    <row r="65" spans="1:21" ht="15.75">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7"/>
      <c r="N65" s="107"/>
      <c r="O65" s="107"/>
      <c r="P65" s="107"/>
      <c r="Q65" s="107"/>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441</v>
      </c>
      <c r="L66" s="116" t="s">
        <v>442</v>
      </c>
      <c r="M66" s="106" t="s">
        <v>443</v>
      </c>
      <c r="N66" s="107"/>
      <c r="O66" s="107"/>
      <c r="P66" s="107"/>
      <c r="Q66" s="107"/>
    </row>
    <row r="67" spans="1:21" ht="15.75">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7"/>
      <c r="N67" s="107"/>
      <c r="O67" s="107"/>
      <c r="P67" s="107"/>
      <c r="Q67" s="107"/>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444</v>
      </c>
      <c r="L68" s="50" t="s">
        <v>445</v>
      </c>
      <c r="M68" s="107"/>
      <c r="N68" s="107"/>
      <c r="O68" s="107"/>
      <c r="P68" s="107"/>
      <c r="Q68" s="107"/>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446</v>
      </c>
      <c r="L69" s="115" t="s">
        <v>447</v>
      </c>
      <c r="M69" s="106" t="s">
        <v>448</v>
      </c>
      <c r="N69" s="106" t="s">
        <v>449</v>
      </c>
      <c r="O69" s="106" t="s">
        <v>450</v>
      </c>
      <c r="P69" s="106" t="s">
        <v>450</v>
      </c>
      <c r="Q69" s="106" t="s">
        <v>451</v>
      </c>
    </row>
    <row r="70" spans="1:21" ht="28.5">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452</v>
      </c>
      <c r="L70" s="116" t="s">
        <v>453</v>
      </c>
      <c r="M70" s="107"/>
      <c r="N70" s="107"/>
      <c r="O70" s="107"/>
      <c r="P70" s="107"/>
      <c r="Q70" s="107"/>
    </row>
    <row r="71" spans="1:21" ht="99.75">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454</v>
      </c>
      <c r="L71" s="115" t="s">
        <v>455</v>
      </c>
      <c r="M71" s="106" t="s">
        <v>456</v>
      </c>
      <c r="N71" s="106" t="s">
        <v>83</v>
      </c>
      <c r="O71" s="106" t="s">
        <v>457</v>
      </c>
      <c r="P71" s="106" t="s">
        <v>458</v>
      </c>
      <c r="Q71" s="106" t="s">
        <v>459</v>
      </c>
    </row>
    <row r="72" spans="1:21" ht="15.75">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7"/>
      <c r="N72" s="107"/>
      <c r="O72" s="107"/>
      <c r="P72" s="107"/>
      <c r="Q72" s="107"/>
    </row>
    <row r="73" spans="1:21" ht="99.75">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460</v>
      </c>
      <c r="L73" s="115" t="s">
        <v>461</v>
      </c>
      <c r="M73" s="106" t="s">
        <v>462</v>
      </c>
      <c r="N73" s="106" t="s">
        <v>463</v>
      </c>
      <c r="O73" s="107"/>
      <c r="P73" s="107"/>
      <c r="Q73" s="107"/>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464</v>
      </c>
      <c r="L74" s="103" t="s">
        <v>465</v>
      </c>
      <c r="M74" s="106" t="s">
        <v>466</v>
      </c>
      <c r="N74" s="106" t="s">
        <v>280</v>
      </c>
      <c r="O74" s="106" t="s">
        <v>467</v>
      </c>
      <c r="P74" s="106" t="s">
        <v>468</v>
      </c>
      <c r="Q74" s="106" t="s">
        <v>469</v>
      </c>
      <c r="R74" s="117" t="s">
        <v>470</v>
      </c>
      <c r="S74" s="117" t="s">
        <v>471</v>
      </c>
      <c r="T74" s="117" t="s">
        <v>472</v>
      </c>
      <c r="U74" s="117" t="s">
        <v>473</v>
      </c>
    </row>
    <row r="75" spans="1:21" ht="142.5">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474</v>
      </c>
      <c r="L75" s="115" t="s">
        <v>475</v>
      </c>
      <c r="M75" s="106" t="s">
        <v>476</v>
      </c>
      <c r="N75" s="106" t="s">
        <v>477</v>
      </c>
      <c r="O75" s="106" t="s">
        <v>478</v>
      </c>
      <c r="P75" s="106" t="s">
        <v>479</v>
      </c>
      <c r="Q75" s="107"/>
    </row>
    <row r="76" spans="1:21" ht="15.75">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480</v>
      </c>
      <c r="L76" s="103" t="s">
        <v>481</v>
      </c>
      <c r="M76" s="107"/>
      <c r="N76" s="107"/>
      <c r="O76" s="107"/>
      <c r="P76" s="107"/>
      <c r="Q76" s="107"/>
    </row>
    <row r="77" spans="1:21" ht="15.75">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7"/>
      <c r="N77" s="107"/>
      <c r="O77" s="107"/>
      <c r="P77" s="107"/>
      <c r="Q77" s="107"/>
    </row>
    <row r="78" spans="1:21" ht="15.75">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7"/>
      <c r="N78" s="107"/>
      <c r="O78" s="107"/>
      <c r="P78" s="107"/>
      <c r="Q78" s="107"/>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482</v>
      </c>
      <c r="L79" s="122" t="s">
        <v>483</v>
      </c>
      <c r="M79" s="106" t="s">
        <v>484</v>
      </c>
      <c r="N79" s="107"/>
      <c r="O79" s="107"/>
      <c r="P79" s="107"/>
      <c r="Q79" s="107"/>
    </row>
    <row r="80" spans="1:21" ht="15.75">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7"/>
      <c r="N80" s="107"/>
      <c r="O80" s="107"/>
      <c r="P80" s="107"/>
      <c r="Q80" s="107"/>
    </row>
    <row r="81" spans="1:17" ht="15.75">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7"/>
      <c r="N81" s="107"/>
      <c r="O81" s="107"/>
      <c r="P81" s="107"/>
      <c r="Q81" s="107"/>
    </row>
    <row r="82" spans="1:17" ht="57">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485</v>
      </c>
      <c r="L82" s="103" t="s">
        <v>486</v>
      </c>
      <c r="M82" s="106" t="s">
        <v>487</v>
      </c>
      <c r="N82" s="107"/>
      <c r="O82" s="107"/>
      <c r="P82" s="107"/>
      <c r="Q82" s="107"/>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488</v>
      </c>
      <c r="L83" s="115" t="s">
        <v>489</v>
      </c>
      <c r="M83" s="106" t="s">
        <v>490</v>
      </c>
      <c r="N83" s="106" t="s">
        <v>491</v>
      </c>
      <c r="O83" s="107"/>
      <c r="P83" s="107"/>
      <c r="Q83" s="107"/>
    </row>
    <row r="84" spans="1:17" ht="42.7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492</v>
      </c>
      <c r="L84" s="103" t="s">
        <v>493</v>
      </c>
      <c r="M84" s="107"/>
      <c r="N84" s="107"/>
      <c r="O84" s="107"/>
      <c r="P84" s="107"/>
      <c r="Q84" s="107"/>
    </row>
    <row r="85" spans="1:17" ht="85.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494</v>
      </c>
      <c r="L85" s="122" t="s">
        <v>495</v>
      </c>
      <c r="M85" s="106" t="s">
        <v>496</v>
      </c>
      <c r="N85" s="107"/>
      <c r="O85" s="107"/>
      <c r="P85" s="107"/>
      <c r="Q85" s="107"/>
    </row>
    <row r="86" spans="1:17" ht="57">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497</v>
      </c>
      <c r="L86" s="103" t="s">
        <v>498</v>
      </c>
      <c r="M86" s="106" t="s">
        <v>499</v>
      </c>
      <c r="N86" s="107"/>
      <c r="O86" s="107"/>
      <c r="P86" s="107"/>
      <c r="Q86" s="107"/>
    </row>
    <row r="87" spans="1:17" ht="42.7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500</v>
      </c>
      <c r="L87" s="115" t="s">
        <v>501</v>
      </c>
      <c r="M87" s="106" t="s">
        <v>502</v>
      </c>
      <c r="N87" s="107"/>
      <c r="O87" s="107"/>
      <c r="P87" s="107"/>
      <c r="Q87" s="107"/>
    </row>
    <row r="88" spans="1:17" ht="99.75">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503</v>
      </c>
      <c r="L88" s="116" t="s">
        <v>504</v>
      </c>
      <c r="M88" s="106" t="s">
        <v>505</v>
      </c>
      <c r="N88" s="106" t="s">
        <v>506</v>
      </c>
      <c r="O88" s="107"/>
      <c r="P88" s="107"/>
      <c r="Q88" s="107"/>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507</v>
      </c>
      <c r="L89" s="115" t="s">
        <v>508</v>
      </c>
      <c r="M89" s="107"/>
      <c r="N89" s="107"/>
      <c r="O89" s="107"/>
      <c r="P89" s="107"/>
      <c r="Q89" s="107"/>
    </row>
    <row r="90" spans="1:17" ht="71.25">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509</v>
      </c>
      <c r="L90" s="116" t="s">
        <v>510</v>
      </c>
      <c r="M90" s="106" t="s">
        <v>511</v>
      </c>
      <c r="N90" s="107"/>
      <c r="O90" s="107"/>
      <c r="P90" s="107"/>
      <c r="Q90" s="107"/>
    </row>
    <row r="91" spans="1:17" ht="71.2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512</v>
      </c>
      <c r="L91" s="122" t="s">
        <v>513</v>
      </c>
      <c r="M91" s="106" t="s">
        <v>514</v>
      </c>
      <c r="N91" s="107"/>
      <c r="O91" s="107"/>
      <c r="P91" s="107"/>
      <c r="Q91" s="107"/>
    </row>
    <row r="92" spans="1:17" ht="15.75">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7"/>
      <c r="N92" s="107"/>
      <c r="O92" s="107"/>
      <c r="P92" s="107"/>
      <c r="Q92" s="107"/>
    </row>
    <row r="93" spans="1:17" ht="15.75">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7"/>
      <c r="N93" s="107"/>
      <c r="O93" s="107"/>
      <c r="P93" s="107"/>
      <c r="Q93" s="107"/>
    </row>
    <row r="94" spans="1:17" ht="42.7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515</v>
      </c>
      <c r="L94" s="116" t="s">
        <v>516</v>
      </c>
      <c r="M94" s="107"/>
      <c r="N94" s="107"/>
      <c r="O94" s="107"/>
      <c r="P94" s="107"/>
      <c r="Q94" s="107"/>
    </row>
    <row r="95" spans="1:17" ht="28.5">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11" t="s">
        <v>313</v>
      </c>
      <c r="L95" s="115" t="s">
        <v>314</v>
      </c>
      <c r="M95" s="107"/>
      <c r="N95" s="107"/>
      <c r="O95" s="107"/>
      <c r="P95" s="107"/>
      <c r="Q95" s="107"/>
    </row>
    <row r="96" spans="1:17" ht="28.5">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517</v>
      </c>
      <c r="L96" s="102" t="s">
        <v>518</v>
      </c>
      <c r="M96" s="106" t="s">
        <v>318</v>
      </c>
      <c r="N96" s="107"/>
      <c r="O96" s="107"/>
      <c r="P96" s="107"/>
      <c r="Q96" s="107"/>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519</v>
      </c>
      <c r="L97" s="116" t="s">
        <v>520</v>
      </c>
      <c r="M97" s="106" t="s">
        <v>521</v>
      </c>
      <c r="N97" s="107"/>
      <c r="O97" s="107"/>
      <c r="P97" s="107"/>
      <c r="Q97" s="107"/>
    </row>
    <row r="98" spans="1:17" ht="15.75">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7"/>
      <c r="N98" s="107"/>
      <c r="O98" s="107"/>
      <c r="P98" s="107"/>
      <c r="Q98" s="107"/>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522</v>
      </c>
      <c r="L99" s="128" t="s">
        <v>523</v>
      </c>
      <c r="M99" s="106" t="s">
        <v>524</v>
      </c>
      <c r="N99" s="107"/>
      <c r="O99" s="107"/>
      <c r="P99" s="107"/>
      <c r="Q99" s="107"/>
    </row>
    <row r="100" spans="1:17" ht="185.2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8" si="9">IFERROR(F100/E100, "")</f>
        <v>-0.10074785326739497</v>
      </c>
      <c r="H100" s="67">
        <v>368855</v>
      </c>
      <c r="I100" s="12">
        <f t="shared" si="6"/>
        <v>-55041</v>
      </c>
      <c r="J100" s="13">
        <f t="shared" si="7"/>
        <v>-0.14922123869813342</v>
      </c>
      <c r="K100" s="56" t="s">
        <v>525</v>
      </c>
      <c r="L100" s="115" t="s">
        <v>526</v>
      </c>
      <c r="M100" s="107"/>
      <c r="N100" s="107"/>
      <c r="O100" s="107"/>
      <c r="P100" s="107"/>
      <c r="Q100" s="107"/>
    </row>
    <row r="101" spans="1:17" ht="114">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527</v>
      </c>
      <c r="L101" s="128" t="s">
        <v>528</v>
      </c>
      <c r="M101" s="106" t="s">
        <v>529</v>
      </c>
      <c r="N101" s="106" t="s">
        <v>530</v>
      </c>
      <c r="O101" s="106" t="s">
        <v>531</v>
      </c>
      <c r="P101" s="107"/>
      <c r="Q101" s="107"/>
    </row>
    <row r="102" spans="1:17" ht="15.75">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7"/>
      <c r="N102" s="107"/>
      <c r="O102" s="107"/>
      <c r="P102" s="107"/>
      <c r="Q102" s="107"/>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532</v>
      </c>
      <c r="L103" s="128" t="s">
        <v>533</v>
      </c>
      <c r="M103" s="106" t="s">
        <v>534</v>
      </c>
      <c r="N103" s="106" t="s">
        <v>535</v>
      </c>
      <c r="O103" s="106" t="s">
        <v>536</v>
      </c>
      <c r="P103" s="107"/>
      <c r="Q103" s="107"/>
    </row>
    <row r="104" spans="1:17" ht="15.75">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8" si="10">IF(AND(ISNUMBER(D104),ISNUMBER(H104)), D104-H104, "")</f>
        <v>-11189.710000000021</v>
      </c>
      <c r="J104" s="13">
        <f t="shared" ref="J104:J158" si="11">IFERROR(I104/H104, "")</f>
        <v>-3.3472090059545732E-2</v>
      </c>
      <c r="K104" s="56"/>
      <c r="L104" s="37"/>
      <c r="M104" s="107"/>
      <c r="N104" s="107"/>
      <c r="O104" s="107"/>
      <c r="P104" s="107"/>
      <c r="Q104" s="107"/>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537</v>
      </c>
      <c r="L105" s="17"/>
      <c r="M105" s="107"/>
      <c r="N105" s="107"/>
      <c r="O105" s="107"/>
      <c r="P105" s="107"/>
      <c r="Q105" s="107"/>
    </row>
    <row r="106" spans="1:17" ht="28.5">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538</v>
      </c>
      <c r="L106" s="115" t="s">
        <v>539</v>
      </c>
      <c r="M106" s="106" t="s">
        <v>540</v>
      </c>
      <c r="N106" s="107"/>
      <c r="O106" s="107"/>
      <c r="P106" s="107"/>
      <c r="Q106" s="107"/>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541</v>
      </c>
      <c r="L107" s="17"/>
      <c r="M107" s="107"/>
      <c r="N107" s="107"/>
      <c r="O107" s="107"/>
      <c r="P107" s="107"/>
      <c r="Q107" s="107"/>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542</v>
      </c>
      <c r="L108" s="115" t="s">
        <v>543</v>
      </c>
      <c r="M108" s="106" t="s">
        <v>544</v>
      </c>
      <c r="N108" s="106" t="s">
        <v>545</v>
      </c>
      <c r="O108" s="106" t="s">
        <v>330</v>
      </c>
      <c r="P108" s="107"/>
      <c r="Q108" s="107"/>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546</v>
      </c>
      <c r="L109" s="117" t="s">
        <v>547</v>
      </c>
      <c r="M109" s="107"/>
      <c r="N109" s="107"/>
      <c r="O109" s="107"/>
      <c r="P109" s="107"/>
      <c r="Q109" s="107"/>
    </row>
    <row r="110" spans="1:17" ht="15.75">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7"/>
      <c r="N110" s="107"/>
      <c r="O110" s="107"/>
      <c r="P110" s="107"/>
      <c r="Q110" s="107"/>
    </row>
    <row r="111" spans="1:17" ht="42.7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39" t="s">
        <v>548</v>
      </c>
      <c r="L111" s="120" t="s">
        <v>549</v>
      </c>
      <c r="M111" s="107"/>
      <c r="N111" s="107"/>
      <c r="O111" s="107"/>
      <c r="P111" s="107"/>
      <c r="Q111" s="107"/>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550</v>
      </c>
      <c r="L112" s="115" t="s">
        <v>551</v>
      </c>
      <c r="M112" s="106" t="s">
        <v>552</v>
      </c>
      <c r="N112" s="107"/>
      <c r="O112" s="107"/>
      <c r="P112" s="107"/>
      <c r="Q112" s="107"/>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553</v>
      </c>
      <c r="L113" s="128" t="s">
        <v>554</v>
      </c>
      <c r="M113" s="106" t="s">
        <v>555</v>
      </c>
      <c r="N113" s="106" t="s">
        <v>556</v>
      </c>
      <c r="O113" s="106" t="s">
        <v>557</v>
      </c>
      <c r="P113" s="106" t="s">
        <v>558</v>
      </c>
      <c r="Q113" s="107"/>
    </row>
    <row r="114" spans="1:17" ht="28.5">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559</v>
      </c>
      <c r="L114" s="115" t="s">
        <v>560</v>
      </c>
      <c r="M114" s="106" t="s">
        <v>561</v>
      </c>
      <c r="N114" s="107"/>
      <c r="O114" s="107"/>
      <c r="P114" s="107"/>
      <c r="Q114" s="107"/>
    </row>
    <row r="115" spans="1:17" ht="15.75">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7"/>
      <c r="N115" s="107"/>
      <c r="O115" s="107"/>
      <c r="P115" s="107"/>
      <c r="Q115" s="107"/>
    </row>
    <row r="116" spans="1:17" ht="28.5">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562</v>
      </c>
      <c r="L116" s="115" t="s">
        <v>563</v>
      </c>
      <c r="M116" s="107"/>
      <c r="N116" s="107"/>
      <c r="O116" s="107"/>
      <c r="P116" s="107"/>
      <c r="Q116" s="107"/>
    </row>
    <row r="117" spans="1:17" ht="15.75">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7"/>
      <c r="N117" s="107"/>
      <c r="O117" s="107"/>
      <c r="P117" s="107"/>
      <c r="Q117" s="107"/>
    </row>
    <row r="118" spans="1:17" ht="15.75">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7"/>
      <c r="N118" s="107"/>
      <c r="O118" s="107"/>
      <c r="P118" s="107"/>
      <c r="Q118" s="107"/>
    </row>
    <row r="119" spans="1:17" ht="28.5">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564</v>
      </c>
      <c r="L119" s="120" t="s">
        <v>565</v>
      </c>
      <c r="M119" s="107"/>
      <c r="N119" s="107"/>
      <c r="O119" s="107"/>
      <c r="P119" s="107"/>
      <c r="Q119" s="107"/>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566</v>
      </c>
      <c r="L120" s="37"/>
      <c r="M120" s="107"/>
      <c r="N120" s="107"/>
      <c r="O120" s="107"/>
      <c r="P120" s="107"/>
      <c r="Q120" s="107"/>
    </row>
    <row r="121" spans="1:17" ht="15.75">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7"/>
      <c r="N121" s="107"/>
      <c r="O121" s="107"/>
      <c r="P121" s="107"/>
      <c r="Q121" s="107"/>
    </row>
    <row r="122" spans="1:17" ht="15.75">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7"/>
      <c r="N122" s="107"/>
      <c r="O122" s="107"/>
      <c r="P122" s="107"/>
      <c r="Q122" s="107"/>
    </row>
    <row r="123" spans="1:17" ht="71.25">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567</v>
      </c>
      <c r="L123" s="128" t="s">
        <v>568</v>
      </c>
      <c r="M123" s="106" t="s">
        <v>353</v>
      </c>
      <c r="N123" s="106" t="s">
        <v>569</v>
      </c>
      <c r="O123" s="107"/>
      <c r="P123" s="107"/>
      <c r="Q123" s="107"/>
    </row>
    <row r="124" spans="1:17" ht="28.5">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570</v>
      </c>
      <c r="L124" s="115" t="s">
        <v>571</v>
      </c>
      <c r="M124" s="106" t="s">
        <v>572</v>
      </c>
      <c r="N124" s="107"/>
      <c r="O124" s="107"/>
      <c r="P124" s="107"/>
      <c r="Q124" s="107"/>
    </row>
    <row r="125" spans="1:17" ht="25.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21" t="s">
        <v>573</v>
      </c>
      <c r="M125" s="107"/>
      <c r="N125" s="107"/>
      <c r="O125" s="107"/>
      <c r="P125" s="107"/>
      <c r="Q125" s="107"/>
    </row>
    <row r="126" spans="1:17" ht="15.75">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15" t="s">
        <v>574</v>
      </c>
      <c r="M126" s="107"/>
      <c r="N126" s="107"/>
      <c r="O126" s="107"/>
      <c r="P126" s="107"/>
      <c r="Q126" s="107"/>
    </row>
    <row r="127" spans="1:17" ht="15.75">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7" t="s">
        <v>575</v>
      </c>
      <c r="M127" s="107"/>
      <c r="N127" s="107"/>
      <c r="O127" s="107"/>
      <c r="P127" s="107"/>
      <c r="Q127" s="107"/>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576</v>
      </c>
      <c r="L128" s="115" t="s">
        <v>577</v>
      </c>
      <c r="M128" s="107"/>
      <c r="N128" s="107"/>
      <c r="O128" s="107"/>
      <c r="P128" s="107"/>
      <c r="Q128" s="107"/>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578</v>
      </c>
      <c r="L129" s="105" t="s">
        <v>579</v>
      </c>
      <c r="M129" s="107"/>
      <c r="N129" s="107"/>
      <c r="O129" s="107"/>
      <c r="P129" s="107"/>
      <c r="Q129" s="107"/>
    </row>
    <row r="130" spans="1:17" ht="15.75">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15" t="s">
        <v>580</v>
      </c>
      <c r="M130" s="107"/>
      <c r="N130" s="107"/>
      <c r="O130" s="107"/>
      <c r="P130" s="107"/>
      <c r="Q130" s="107"/>
    </row>
    <row r="131" spans="1:17" ht="15.75">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7"/>
      <c r="N131" s="107"/>
      <c r="O131" s="107"/>
      <c r="P131" s="107"/>
      <c r="Q131" s="107"/>
    </row>
    <row r="132" spans="1:17" ht="15.75">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7"/>
      <c r="N132" s="107"/>
      <c r="O132" s="107"/>
      <c r="P132" s="107"/>
      <c r="Q132" s="107"/>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581</v>
      </c>
      <c r="L133" s="128" t="s">
        <v>582</v>
      </c>
      <c r="M133" s="106" t="s">
        <v>583</v>
      </c>
      <c r="N133" s="106" t="s">
        <v>584</v>
      </c>
      <c r="O133" s="107"/>
      <c r="P133" s="107"/>
      <c r="Q133" s="107"/>
    </row>
    <row r="134" spans="1:17" ht="15.75">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15" t="s">
        <v>585</v>
      </c>
      <c r="M134" s="107"/>
      <c r="N134" s="107"/>
      <c r="O134" s="107"/>
      <c r="P134" s="107"/>
      <c r="Q134" s="107"/>
    </row>
    <row r="135" spans="1:17" ht="15.75">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7"/>
      <c r="N135" s="107"/>
      <c r="O135" s="107"/>
      <c r="P135" s="107"/>
      <c r="Q135" s="107"/>
    </row>
    <row r="136" spans="1:17" ht="15.75">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15" t="s">
        <v>586</v>
      </c>
      <c r="M136" s="107"/>
      <c r="N136" s="107"/>
      <c r="O136" s="107"/>
      <c r="P136" s="107"/>
      <c r="Q136" s="107"/>
    </row>
    <row r="137" spans="1:17" ht="15.75">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7" t="s">
        <v>587</v>
      </c>
      <c r="M137" s="107"/>
      <c r="N137" s="107"/>
      <c r="O137" s="107"/>
      <c r="P137" s="107"/>
      <c r="Q137" s="107"/>
    </row>
    <row r="138" spans="1:17" ht="28.5">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358</v>
      </c>
      <c r="L138" s="115" t="s">
        <v>588</v>
      </c>
      <c r="M138" s="107"/>
      <c r="N138" s="107"/>
      <c r="O138" s="107"/>
      <c r="P138" s="107"/>
      <c r="Q138" s="107"/>
    </row>
    <row r="139" spans="1:17" ht="28.5">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589</v>
      </c>
      <c r="L139" s="120" t="s">
        <v>590</v>
      </c>
      <c r="M139" s="107"/>
      <c r="N139" s="107"/>
      <c r="O139" s="107"/>
      <c r="P139" s="107"/>
      <c r="Q139" s="107"/>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591</v>
      </c>
      <c r="L140" s="115" t="s">
        <v>592</v>
      </c>
      <c r="M140" s="106" t="s">
        <v>197</v>
      </c>
      <c r="N140" s="106" t="s">
        <v>197</v>
      </c>
      <c r="O140" s="106" t="s">
        <v>593</v>
      </c>
      <c r="P140" s="106" t="s">
        <v>594</v>
      </c>
      <c r="Q140" s="106" t="s">
        <v>595</v>
      </c>
    </row>
    <row r="141" spans="1:17" ht="15.75">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7" t="s">
        <v>596</v>
      </c>
      <c r="M141" s="107"/>
      <c r="N141" s="107"/>
      <c r="O141" s="107"/>
      <c r="P141" s="107"/>
      <c r="Q141" s="107"/>
    </row>
    <row r="142" spans="1:17" ht="15.75">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7"/>
      <c r="N142" s="107"/>
      <c r="O142" s="107"/>
      <c r="P142" s="107"/>
      <c r="Q142" s="107"/>
    </row>
    <row r="143" spans="1:17" ht="57">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597</v>
      </c>
      <c r="L143" s="128" t="s">
        <v>598</v>
      </c>
      <c r="M143" s="106" t="s">
        <v>363</v>
      </c>
      <c r="N143" s="107"/>
      <c r="O143" s="107"/>
      <c r="P143" s="107"/>
      <c r="Q143" s="107"/>
    </row>
    <row r="144" spans="1:17" ht="57">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599</v>
      </c>
      <c r="L144" s="115" t="s">
        <v>600</v>
      </c>
      <c r="M144" s="106" t="s">
        <v>601</v>
      </c>
      <c r="N144" s="107"/>
      <c r="O144" s="107"/>
      <c r="P144" s="107"/>
      <c r="Q144" s="107"/>
    </row>
    <row r="145" spans="1:17" ht="42.7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602</v>
      </c>
      <c r="L145" s="128" t="s">
        <v>603</v>
      </c>
      <c r="M145" s="106" t="s">
        <v>604</v>
      </c>
      <c r="N145" s="107"/>
      <c r="O145" s="107"/>
      <c r="P145" s="107"/>
      <c r="Q145" s="107"/>
    </row>
    <row r="146" spans="1:17" ht="42.75">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605</v>
      </c>
      <c r="L146" s="115" t="s">
        <v>606</v>
      </c>
      <c r="M146" s="106" t="s">
        <v>607</v>
      </c>
      <c r="N146" s="107"/>
      <c r="O146" s="107"/>
      <c r="P146" s="107"/>
      <c r="Q146" s="107"/>
    </row>
    <row r="147" spans="1:17" ht="42.7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608</v>
      </c>
      <c r="L147" s="128" t="s">
        <v>609</v>
      </c>
      <c r="M147" s="106" t="s">
        <v>610</v>
      </c>
      <c r="N147" s="107"/>
      <c r="O147" s="107"/>
      <c r="P147" s="107"/>
      <c r="Q147" s="107"/>
    </row>
    <row r="148" spans="1:17" ht="42.7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611</v>
      </c>
      <c r="L148" s="115" t="s">
        <v>612</v>
      </c>
      <c r="M148" s="106" t="s">
        <v>613</v>
      </c>
      <c r="N148" s="107"/>
      <c r="O148" s="107"/>
      <c r="P148" s="107"/>
      <c r="Q148" s="107"/>
    </row>
    <row r="149" spans="1:17" ht="28.5">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614</v>
      </c>
      <c r="L149" s="120" t="s">
        <v>615</v>
      </c>
      <c r="M149" s="107"/>
      <c r="N149" s="107"/>
      <c r="O149" s="107"/>
      <c r="P149" s="107"/>
      <c r="Q149" s="107"/>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616</v>
      </c>
      <c r="L150" s="115" t="s">
        <v>617</v>
      </c>
      <c r="M150" s="106" t="s">
        <v>618</v>
      </c>
      <c r="N150" s="106" t="s">
        <v>619</v>
      </c>
      <c r="O150" s="107"/>
      <c r="P150" s="107"/>
      <c r="Q150" s="107"/>
    </row>
    <row r="151" spans="1:17" ht="15.75">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7"/>
      <c r="N151" s="107"/>
      <c r="O151" s="107"/>
      <c r="P151" s="107"/>
      <c r="Q151" s="107"/>
    </row>
    <row r="152" spans="1:17" ht="57">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si="11"/>
        <v/>
      </c>
      <c r="K152" s="56" t="s">
        <v>620</v>
      </c>
      <c r="L152" s="115" t="s">
        <v>621</v>
      </c>
      <c r="M152" s="106" t="s">
        <v>622</v>
      </c>
      <c r="N152" s="106" t="s">
        <v>623</v>
      </c>
      <c r="O152" s="107"/>
      <c r="P152" s="107"/>
      <c r="Q152" s="107"/>
    </row>
    <row r="153" spans="1:17" ht="57">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1"/>
        <v/>
      </c>
      <c r="K153" s="38" t="s">
        <v>624</v>
      </c>
      <c r="L153" s="120" t="s">
        <v>625</v>
      </c>
      <c r="M153" s="107"/>
      <c r="N153" s="107"/>
      <c r="O153" s="107"/>
      <c r="P153" s="107"/>
      <c r="Q153" s="107"/>
    </row>
    <row r="154" spans="1:17" ht="15.75">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1"/>
        <v/>
      </c>
      <c r="K154" s="56" t="s">
        <v>626</v>
      </c>
      <c r="L154" s="115" t="s">
        <v>627</v>
      </c>
      <c r="M154" s="107"/>
      <c r="N154" s="107"/>
      <c r="O154" s="107"/>
      <c r="P154" s="107"/>
      <c r="Q154" s="107"/>
    </row>
    <row r="155" spans="1:17" ht="85.5">
      <c r="A155" s="26" t="str">
        <v>Ransom</v>
      </c>
      <c r="B155" s="27" t="str">
        <v>NY</v>
      </c>
      <c r="C155" s="27" t="str">
        <f>Sites[[#This Row],[SOL'#]]</f>
        <v>SOL-11157</v>
      </c>
      <c r="D155" s="66">
        <v>573181.69999999995</v>
      </c>
      <c r="E155" s="14">
        <v>0</v>
      </c>
      <c r="F155" s="14">
        <f t="shared" si="8"/>
        <v>573181.69999999995</v>
      </c>
      <c r="G155" s="15" t="str">
        <f t="shared" si="9"/>
        <v/>
      </c>
      <c r="H155" s="69">
        <v>0</v>
      </c>
      <c r="I155" s="16">
        <f t="shared" si="10"/>
        <v>573181.69999999995</v>
      </c>
      <c r="J155" s="15" t="str">
        <f t="shared" si="11"/>
        <v/>
      </c>
      <c r="K155" s="38" t="s">
        <v>628</v>
      </c>
      <c r="L155" s="128" t="s">
        <v>629</v>
      </c>
      <c r="M155" s="106" t="s">
        <v>630</v>
      </c>
      <c r="N155" s="107"/>
      <c r="O155" s="107"/>
      <c r="P155" s="107"/>
      <c r="Q155" s="107"/>
    </row>
    <row r="156" spans="1:17" ht="28.5">
      <c r="A156" s="24" t="str">
        <v>Horseheads - Wedge</v>
      </c>
      <c r="B156" s="25" t="str">
        <v>NY</v>
      </c>
      <c r="C156" s="25" t="str">
        <f>Sites[[#This Row],[SOL'#]]</f>
        <v>SOL-11160</v>
      </c>
      <c r="D156" s="54">
        <v>351172</v>
      </c>
      <c r="E156" s="10">
        <v>0</v>
      </c>
      <c r="F156" s="10">
        <f t="shared" si="8"/>
        <v>351172</v>
      </c>
      <c r="G156" s="11" t="str">
        <f t="shared" si="9"/>
        <v/>
      </c>
      <c r="H156" s="67">
        <v>0</v>
      </c>
      <c r="I156" s="12">
        <f t="shared" si="10"/>
        <v>351172</v>
      </c>
      <c r="J156" s="13" t="str">
        <f t="shared" si="11"/>
        <v/>
      </c>
      <c r="K156" s="56" t="s">
        <v>631</v>
      </c>
      <c r="L156" s="115" t="s">
        <v>632</v>
      </c>
      <c r="M156" s="106" t="s">
        <v>633</v>
      </c>
      <c r="N156" s="107"/>
      <c r="O156" s="107"/>
      <c r="P156" s="107"/>
      <c r="Q156" s="107"/>
    </row>
    <row r="157" spans="1:17" ht="42.75">
      <c r="A157" s="26" t="str">
        <v>Otisville - Shoddy Hollow</v>
      </c>
      <c r="B157" s="27" t="str">
        <v>NY</v>
      </c>
      <c r="C157" s="27" t="str">
        <f>Sites[[#This Row],[SOL'#]]</f>
        <v>SOL-11185</v>
      </c>
      <c r="D157" s="66">
        <v>770722.7</v>
      </c>
      <c r="E157" s="14">
        <v>0</v>
      </c>
      <c r="F157" s="14">
        <f t="shared" si="8"/>
        <v>770722.7</v>
      </c>
      <c r="G157" s="15" t="str">
        <f t="shared" si="9"/>
        <v/>
      </c>
      <c r="H157" s="69">
        <v>0</v>
      </c>
      <c r="I157" s="16">
        <f t="shared" si="10"/>
        <v>770722.7</v>
      </c>
      <c r="J157" s="15" t="str">
        <f t="shared" si="11"/>
        <v/>
      </c>
      <c r="K157" s="38" t="s">
        <v>634</v>
      </c>
      <c r="L157" s="128" t="s">
        <v>635</v>
      </c>
      <c r="M157" s="107"/>
      <c r="N157" s="107"/>
      <c r="O157" s="107"/>
      <c r="P157" s="107"/>
      <c r="Q157" s="107"/>
    </row>
    <row r="158" spans="1:17" ht="15.75">
      <c r="A158" s="24" t="str">
        <v>Wellsville - Chenunda Creek</v>
      </c>
      <c r="B158" s="25" t="str">
        <v>NY</v>
      </c>
      <c r="C158" s="25" t="str">
        <f>Sites[[#This Row],[SOL'#]]</f>
        <v>SOL-11187</v>
      </c>
      <c r="D158" s="54">
        <v>367949.8</v>
      </c>
      <c r="E158" s="10">
        <v>0</v>
      </c>
      <c r="F158" s="10">
        <f t="shared" si="8"/>
        <v>367949.8</v>
      </c>
      <c r="G158" s="11" t="str">
        <f t="shared" si="9"/>
        <v/>
      </c>
      <c r="H158" s="67">
        <v>0</v>
      </c>
      <c r="I158" s="12">
        <f t="shared" si="10"/>
        <v>367949.8</v>
      </c>
      <c r="J158" s="13" t="str">
        <f t="shared" si="11"/>
        <v/>
      </c>
      <c r="K158" s="56" t="s">
        <v>636</v>
      </c>
      <c r="L158" s="115" t="s">
        <v>637</v>
      </c>
      <c r="M158" s="107"/>
      <c r="N158" s="107"/>
      <c r="O158" s="107"/>
      <c r="P158" s="107"/>
      <c r="Q158" s="107"/>
    </row>
  </sheetData>
  <mergeCells count="4">
    <mergeCell ref="H1:J1"/>
    <mergeCell ref="A1:D1"/>
    <mergeCell ref="E1:G1"/>
    <mergeCell ref="A2:B2"/>
  </mergeCells>
  <phoneticPr fontId="40" type="noConversion"/>
  <conditionalFormatting sqref="G2 J2 G4:G158 J4:J158">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61"/>
  <sheetViews>
    <sheetView zoomScale="70" zoomScaleNormal="70" workbookViewId="0">
      <pane xSplit="2" ySplit="3" topLeftCell="C4" activePane="bottomRight" state="frozen"/>
      <selection pane="bottomRight" activeCell="D104" sqref="D104"/>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51" t="str" cm="1">
        <f t="array" ref="A1">portfolio</f>
        <v>Generate Capital</v>
      </c>
      <c r="B1" s="151"/>
      <c r="C1" s="151"/>
      <c r="D1" s="151"/>
      <c r="E1" s="152" t="s">
        <v>638</v>
      </c>
      <c r="F1" s="152"/>
      <c r="G1" s="152"/>
      <c r="H1" s="150" t="s">
        <v>639</v>
      </c>
      <c r="I1" s="150"/>
      <c r="J1" s="150"/>
      <c r="K1" s="4"/>
      <c r="L1" s="4"/>
    </row>
    <row r="2" spans="1:20" ht="19.5" customHeight="1">
      <c r="A2" s="153" t="s">
        <v>2</v>
      </c>
      <c r="B2" s="153"/>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75">
      <c r="A4" s="26" t="str" cm="1">
        <f t="array" ref="A4:A158">Sites[Site]</f>
        <v>K026</v>
      </c>
      <c r="B4" s="27" t="str" cm="1">
        <f t="array" ref="B4:B158">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640</v>
      </c>
      <c r="L4" s="39"/>
      <c r="M4" s="107"/>
      <c r="N4" s="107"/>
      <c r="O4" s="107"/>
      <c r="P4" s="107"/>
      <c r="Q4" s="107"/>
      <c r="R4" s="107"/>
      <c r="S4" s="107"/>
      <c r="T4" s="107"/>
    </row>
    <row r="5" spans="1:20" ht="15.75">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640</v>
      </c>
      <c r="L5" s="58"/>
      <c r="M5" s="107"/>
      <c r="N5" s="107"/>
      <c r="O5" s="107"/>
      <c r="P5" s="107"/>
      <c r="Q5" s="107"/>
      <c r="R5" s="107"/>
      <c r="S5" s="107"/>
      <c r="T5" s="107"/>
    </row>
    <row r="6" spans="1:20" ht="15.75">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7"/>
      <c r="N6" s="107"/>
      <c r="O6" s="107"/>
      <c r="P6" s="107"/>
      <c r="Q6" s="107"/>
      <c r="R6" s="107"/>
      <c r="S6" s="107"/>
      <c r="T6" s="107"/>
    </row>
    <row r="7" spans="1:20" ht="15.75">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641</v>
      </c>
      <c r="L7" s="115" t="s">
        <v>219</v>
      </c>
      <c r="M7" s="107"/>
      <c r="N7" s="107"/>
      <c r="O7" s="107"/>
      <c r="P7" s="107"/>
      <c r="Q7" s="107"/>
      <c r="R7" s="107"/>
      <c r="S7" s="107"/>
      <c r="T7" s="107"/>
    </row>
    <row r="8" spans="1:20" ht="15.75">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642</v>
      </c>
      <c r="L8" s="135" t="s">
        <v>25</v>
      </c>
      <c r="M8" s="107"/>
      <c r="N8" s="107"/>
      <c r="O8" s="107"/>
      <c r="P8" s="107"/>
      <c r="Q8" s="107"/>
      <c r="R8" s="107"/>
      <c r="S8" s="107"/>
      <c r="T8" s="107"/>
    </row>
    <row r="9" spans="1:20" ht="15.75">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7"/>
      <c r="N9" s="107"/>
      <c r="O9" s="107"/>
      <c r="P9" s="107"/>
      <c r="Q9" s="107"/>
      <c r="R9" s="107"/>
      <c r="S9" s="107"/>
      <c r="T9" s="107"/>
    </row>
    <row r="10" spans="1:20" ht="15.75">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7"/>
      <c r="N10" s="107"/>
      <c r="O10" s="107"/>
      <c r="P10" s="107"/>
      <c r="Q10" s="107"/>
      <c r="R10" s="107"/>
      <c r="S10" s="107"/>
      <c r="T10" s="107"/>
    </row>
    <row r="11" spans="1:20" ht="15.75">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7"/>
      <c r="N11" s="107"/>
      <c r="O11" s="107"/>
      <c r="P11" s="107"/>
      <c r="Q11" s="107"/>
      <c r="R11" s="107"/>
      <c r="S11" s="107"/>
      <c r="T11" s="107"/>
    </row>
    <row r="12" spans="1:20" ht="28.5">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643</v>
      </c>
      <c r="L12" s="135" t="s">
        <v>221</v>
      </c>
      <c r="M12" s="107"/>
      <c r="N12" s="107"/>
      <c r="O12" s="107"/>
      <c r="P12" s="107"/>
      <c r="Q12" s="107"/>
      <c r="R12" s="107"/>
      <c r="S12" s="107"/>
      <c r="T12" s="107"/>
    </row>
    <row r="13" spans="1:20" ht="15.75">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640</v>
      </c>
      <c r="L13" s="37"/>
      <c r="M13" s="107"/>
      <c r="N13" s="107"/>
      <c r="O13" s="107"/>
      <c r="P13" s="107"/>
      <c r="Q13" s="107"/>
      <c r="R13" s="107"/>
      <c r="S13" s="107"/>
      <c r="T13" s="107"/>
    </row>
    <row r="14" spans="1:20" ht="57">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644</v>
      </c>
      <c r="L14" s="135" t="s">
        <v>390</v>
      </c>
      <c r="M14" s="106" t="s">
        <v>31</v>
      </c>
      <c r="N14" s="106" t="s">
        <v>391</v>
      </c>
      <c r="O14" s="107"/>
      <c r="P14" s="107"/>
      <c r="Q14" s="107"/>
      <c r="R14" s="107"/>
      <c r="S14" s="107"/>
      <c r="T14" s="107"/>
    </row>
    <row r="15" spans="1:20" ht="15.75">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7"/>
      <c r="N15" s="107"/>
      <c r="O15" s="107"/>
      <c r="P15" s="107"/>
      <c r="Q15" s="107"/>
      <c r="R15" s="107"/>
      <c r="S15" s="107"/>
      <c r="T15" s="107"/>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645</v>
      </c>
      <c r="L16" s="116" t="s">
        <v>646</v>
      </c>
      <c r="M16" s="107"/>
      <c r="N16" s="107"/>
      <c r="O16" s="107"/>
      <c r="P16" s="107"/>
      <c r="Q16" s="107"/>
      <c r="R16" s="107"/>
      <c r="S16" s="107"/>
      <c r="T16" s="107"/>
    </row>
    <row r="17" spans="1:20" ht="15.75">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640</v>
      </c>
      <c r="L17" s="58"/>
      <c r="M17" s="107"/>
      <c r="N17" s="107"/>
      <c r="O17" s="107"/>
      <c r="P17" s="107"/>
      <c r="Q17" s="107"/>
      <c r="R17" s="107"/>
      <c r="S17" s="107"/>
      <c r="T17" s="107"/>
    </row>
    <row r="18" spans="1:20" ht="15.75">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647</v>
      </c>
      <c r="L18" s="60"/>
      <c r="M18" s="107"/>
      <c r="N18" s="107"/>
      <c r="O18" s="107"/>
      <c r="P18" s="107"/>
      <c r="Q18" s="107"/>
      <c r="R18" s="107"/>
      <c r="S18" s="107"/>
      <c r="T18" s="107"/>
    </row>
    <row r="19" spans="1:20" ht="15.75">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7"/>
      <c r="N19" s="107"/>
      <c r="O19" s="107"/>
      <c r="P19" s="107"/>
      <c r="Q19" s="107"/>
      <c r="R19" s="107"/>
      <c r="S19" s="107"/>
      <c r="T19" s="107"/>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648</v>
      </c>
      <c r="L20" s="116" t="s">
        <v>649</v>
      </c>
      <c r="M20" s="106" t="s">
        <v>650</v>
      </c>
      <c r="N20" s="106" t="s">
        <v>651</v>
      </c>
      <c r="O20" s="107"/>
      <c r="P20" s="107"/>
      <c r="Q20" s="107"/>
      <c r="R20" s="107"/>
      <c r="S20" s="107"/>
      <c r="T20" s="107"/>
    </row>
    <row r="21" spans="1:20" ht="42.7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652</v>
      </c>
      <c r="L21" s="115" t="s">
        <v>653</v>
      </c>
      <c r="M21" s="107"/>
      <c r="N21" s="107"/>
      <c r="O21" s="107"/>
      <c r="P21" s="107"/>
      <c r="Q21" s="107"/>
      <c r="R21" s="107"/>
      <c r="S21" s="107"/>
      <c r="T21" s="107"/>
    </row>
    <row r="22" spans="1:20" ht="15.75">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7"/>
      <c r="N22" s="107"/>
      <c r="O22" s="107"/>
      <c r="P22" s="107"/>
      <c r="Q22" s="107"/>
      <c r="R22" s="107"/>
      <c r="S22" s="107"/>
      <c r="T22" s="107"/>
    </row>
    <row r="23" spans="1:20" ht="28.5">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654</v>
      </c>
      <c r="L23" s="115" t="s">
        <v>655</v>
      </c>
      <c r="M23" s="107"/>
      <c r="N23" s="107"/>
      <c r="O23" s="107"/>
      <c r="P23" s="107"/>
      <c r="Q23" s="107"/>
      <c r="R23" s="107"/>
      <c r="S23" s="107"/>
      <c r="T23" s="107"/>
    </row>
    <row r="24" spans="1:20" ht="15.75">
      <c r="A24" s="26" t="str">
        <v>M144</v>
      </c>
      <c r="B24" s="27" t="str">
        <v>NY</v>
      </c>
      <c r="C24" s="27" t="str">
        <f>Sites[[#This Row],[SOL'#]]</f>
        <v>SOL-10385</v>
      </c>
      <c r="D24" s="9">
        <v>33364.5625</v>
      </c>
      <c r="E24" s="14" t="s">
        <v>656</v>
      </c>
      <c r="F24" s="14" t="str">
        <f t="shared" si="0"/>
        <v/>
      </c>
      <c r="G24" s="15" t="str">
        <f t="shared" si="1"/>
        <v/>
      </c>
      <c r="H24" s="16">
        <v>35364</v>
      </c>
      <c r="I24" s="16">
        <f t="shared" si="2"/>
        <v>-1999.4375</v>
      </c>
      <c r="J24" s="15">
        <f t="shared" si="3"/>
        <v>-5.6538782377559098E-2</v>
      </c>
      <c r="K24" s="38"/>
      <c r="L24" s="38"/>
      <c r="M24" s="107"/>
      <c r="N24" s="107"/>
      <c r="O24" s="107"/>
      <c r="P24" s="107"/>
      <c r="Q24" s="107"/>
      <c r="R24" s="107"/>
      <c r="S24" s="107"/>
      <c r="T24" s="107"/>
    </row>
    <row r="25" spans="1:20" ht="15.75">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657</v>
      </c>
      <c r="L25" s="58"/>
      <c r="M25" s="107"/>
      <c r="N25" s="107"/>
      <c r="O25" s="107"/>
      <c r="P25" s="107"/>
      <c r="Q25" s="107"/>
      <c r="R25" s="107"/>
      <c r="S25" s="107"/>
      <c r="T25" s="107"/>
    </row>
    <row r="26" spans="1:20" ht="155.25" customHeight="1">
      <c r="A26" s="26" t="str">
        <v>M188</v>
      </c>
      <c r="B26" s="27" t="str">
        <v>NY</v>
      </c>
      <c r="C26" s="27" t="str">
        <f>Sites[[#This Row],[SOL'#]]</f>
        <v>SOL-10387</v>
      </c>
      <c r="D26" s="9">
        <v>15083.375</v>
      </c>
      <c r="E26" s="14" t="s">
        <v>656</v>
      </c>
      <c r="F26" s="14" t="str">
        <f t="shared" si="0"/>
        <v/>
      </c>
      <c r="G26" s="15" t="str">
        <f t="shared" si="1"/>
        <v/>
      </c>
      <c r="H26" s="16">
        <v>18637</v>
      </c>
      <c r="I26" s="16">
        <f t="shared" si="2"/>
        <v>-3553.625</v>
      </c>
      <c r="J26" s="15">
        <f t="shared" si="3"/>
        <v>-0.19067580619198368</v>
      </c>
      <c r="K26" s="51" t="s">
        <v>658</v>
      </c>
      <c r="L26" s="116" t="s">
        <v>659</v>
      </c>
      <c r="M26" s="106" t="s">
        <v>660</v>
      </c>
      <c r="N26" s="106" t="s">
        <v>661</v>
      </c>
      <c r="O26" s="106" t="s">
        <v>662</v>
      </c>
      <c r="P26" s="107"/>
      <c r="Q26" s="107"/>
      <c r="R26" s="107"/>
      <c r="S26" s="107"/>
      <c r="T26" s="107"/>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663</v>
      </c>
      <c r="L27" s="115" t="s">
        <v>664</v>
      </c>
      <c r="M27" s="107"/>
      <c r="N27" s="107"/>
      <c r="O27" s="107"/>
      <c r="P27" s="107"/>
      <c r="Q27" s="107"/>
      <c r="R27" s="107"/>
      <c r="S27" s="107"/>
      <c r="T27" s="107"/>
    </row>
    <row r="28" spans="1:20" ht="28.5">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665</v>
      </c>
      <c r="L28" s="118" t="s">
        <v>666</v>
      </c>
      <c r="M28" s="107"/>
      <c r="N28" s="107"/>
      <c r="O28" s="107"/>
      <c r="P28" s="107"/>
      <c r="Q28" s="107"/>
      <c r="R28" s="107"/>
      <c r="S28" s="107"/>
      <c r="T28" s="107"/>
    </row>
    <row r="29" spans="1:20" ht="15.75">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7"/>
      <c r="N29" s="107"/>
      <c r="O29" s="107"/>
      <c r="P29" s="107"/>
      <c r="Q29" s="107"/>
      <c r="R29" s="107"/>
      <c r="S29" s="107"/>
      <c r="T29" s="107"/>
    </row>
    <row r="30" spans="1:20" ht="15.75">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7"/>
      <c r="N30" s="107"/>
      <c r="O30" s="107"/>
      <c r="P30" s="107"/>
      <c r="Q30" s="107"/>
      <c r="R30" s="107"/>
      <c r="S30" s="107"/>
      <c r="T30" s="107"/>
    </row>
    <row r="31" spans="1:20" ht="15.75">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7"/>
      <c r="N31" s="107"/>
      <c r="O31" s="107"/>
      <c r="P31" s="107"/>
      <c r="Q31" s="107"/>
      <c r="R31" s="107"/>
      <c r="S31" s="107"/>
      <c r="T31" s="107"/>
    </row>
    <row r="32" spans="1:20" ht="15.75">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7"/>
      <c r="N32" s="107"/>
      <c r="O32" s="107"/>
      <c r="P32" s="107"/>
      <c r="Q32" s="107"/>
      <c r="R32" s="107"/>
      <c r="S32" s="107"/>
      <c r="T32" s="107"/>
    </row>
    <row r="33" spans="1:20" ht="15.75">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7"/>
      <c r="N33" s="107"/>
      <c r="O33" s="107"/>
      <c r="P33" s="107"/>
      <c r="Q33" s="107"/>
      <c r="R33" s="107"/>
      <c r="S33" s="107"/>
      <c r="T33" s="107"/>
    </row>
    <row r="34" spans="1:20" ht="15.75">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7"/>
      <c r="N34" s="107"/>
      <c r="O34" s="107"/>
      <c r="P34" s="107"/>
      <c r="Q34" s="107"/>
      <c r="R34" s="107"/>
      <c r="S34" s="107"/>
      <c r="T34" s="107"/>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667</v>
      </c>
      <c r="L35" s="115" t="s">
        <v>668</v>
      </c>
      <c r="M35" s="106" t="s">
        <v>669</v>
      </c>
      <c r="N35" s="106" t="s">
        <v>670</v>
      </c>
      <c r="O35" s="107"/>
      <c r="P35" s="107"/>
      <c r="Q35" s="107"/>
      <c r="R35" s="107"/>
      <c r="S35" s="107"/>
      <c r="T35" s="107"/>
    </row>
    <row r="36" spans="1:20" ht="15.75">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7"/>
      <c r="N36" s="107"/>
      <c r="O36" s="107"/>
      <c r="P36" s="107"/>
      <c r="Q36" s="107"/>
      <c r="R36" s="107"/>
      <c r="S36" s="107"/>
      <c r="T36" s="107"/>
    </row>
    <row r="37" spans="1:20" ht="15.75">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7"/>
      <c r="N37" s="107"/>
      <c r="O37" s="107"/>
      <c r="P37" s="107"/>
      <c r="Q37" s="107"/>
      <c r="R37" s="107"/>
      <c r="S37" s="107"/>
      <c r="T37" s="107"/>
    </row>
    <row r="38" spans="1:20" ht="42.7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671</v>
      </c>
      <c r="L38" s="103" t="s">
        <v>672</v>
      </c>
      <c r="M38" s="107"/>
      <c r="N38" s="107"/>
      <c r="O38" s="107"/>
      <c r="P38" s="107"/>
      <c r="Q38" s="107"/>
      <c r="R38" s="107"/>
      <c r="S38" s="107"/>
      <c r="T38" s="107"/>
    </row>
    <row r="39" spans="1:20" ht="15.75">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7"/>
      <c r="N39" s="107"/>
      <c r="O39" s="107"/>
      <c r="P39" s="107"/>
      <c r="Q39" s="107"/>
      <c r="R39" s="107"/>
      <c r="S39" s="107"/>
      <c r="T39" s="107"/>
    </row>
    <row r="40" spans="1:20" ht="28.5">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673</v>
      </c>
      <c r="L40" s="135" t="s">
        <v>674</v>
      </c>
      <c r="M40" s="107"/>
      <c r="N40" s="107"/>
      <c r="O40" s="107"/>
      <c r="P40" s="107"/>
      <c r="Q40" s="107"/>
      <c r="R40" s="107"/>
      <c r="S40" s="107"/>
      <c r="T40" s="107"/>
    </row>
    <row r="41" spans="1:20" ht="85.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675</v>
      </c>
      <c r="L41" s="115" t="s">
        <v>676</v>
      </c>
      <c r="M41" s="106" t="s">
        <v>677</v>
      </c>
      <c r="N41" s="106" t="s">
        <v>678</v>
      </c>
      <c r="O41" s="107"/>
      <c r="P41" s="107"/>
      <c r="Q41" s="107"/>
      <c r="R41" s="107"/>
      <c r="S41" s="107"/>
      <c r="T41" s="107"/>
    </row>
    <row r="42" spans="1:20" ht="57">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679</v>
      </c>
      <c r="L42" s="116" t="s">
        <v>680</v>
      </c>
      <c r="M42" s="106" t="s">
        <v>681</v>
      </c>
      <c r="N42" s="107"/>
      <c r="O42" s="107"/>
      <c r="P42" s="107"/>
      <c r="Q42" s="107"/>
      <c r="R42" s="107"/>
      <c r="S42" s="107"/>
      <c r="T42" s="107"/>
    </row>
    <row r="43" spans="1:20" ht="48.75" customHeight="1">
      <c r="A43" s="24" t="str">
        <v>Q490</v>
      </c>
      <c r="B43" s="25" t="str">
        <v>NY</v>
      </c>
      <c r="C43" s="25" t="str">
        <f>Sites[[#This Row],[SOL'#]]</f>
        <v>SOL-10411</v>
      </c>
      <c r="D43" s="20">
        <v>44293.5</v>
      </c>
      <c r="E43" s="10" t="s">
        <v>656</v>
      </c>
      <c r="F43" s="10" t="str">
        <f t="shared" si="0"/>
        <v/>
      </c>
      <c r="G43" s="11" t="str">
        <f t="shared" si="1"/>
        <v/>
      </c>
      <c r="H43" s="12">
        <v>46036.53</v>
      </c>
      <c r="I43" s="12">
        <f t="shared" si="2"/>
        <v>-1743.0299999999988</v>
      </c>
      <c r="J43" s="64">
        <f t="shared" si="3"/>
        <v>-3.7861889243172735E-2</v>
      </c>
      <c r="K43" s="37" t="s">
        <v>682</v>
      </c>
      <c r="L43" s="115" t="s">
        <v>413</v>
      </c>
      <c r="M43" s="107"/>
      <c r="N43" s="107"/>
      <c r="O43" s="107"/>
      <c r="P43" s="107"/>
      <c r="Q43" s="107"/>
      <c r="R43" s="107"/>
      <c r="S43" s="107"/>
      <c r="T43" s="107"/>
    </row>
    <row r="44" spans="1:20" ht="15.75">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7"/>
      <c r="N44" s="107"/>
      <c r="O44" s="107"/>
      <c r="P44" s="107"/>
      <c r="Q44" s="107"/>
      <c r="R44" s="107"/>
      <c r="S44" s="107"/>
      <c r="T44" s="107"/>
    </row>
    <row r="45" spans="1:20" ht="15.75">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683</v>
      </c>
      <c r="L45" s="37"/>
      <c r="M45" s="107"/>
      <c r="N45" s="107"/>
      <c r="O45" s="107"/>
      <c r="P45" s="107"/>
      <c r="Q45" s="107"/>
      <c r="R45" s="107"/>
      <c r="S45" s="107"/>
      <c r="T45" s="107"/>
    </row>
    <row r="46" spans="1:20" ht="15.75">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7"/>
      <c r="N46" s="107"/>
      <c r="O46" s="107"/>
      <c r="P46" s="107"/>
      <c r="Q46" s="107"/>
      <c r="R46" s="107"/>
      <c r="S46" s="107"/>
      <c r="T46" s="107"/>
    </row>
    <row r="47" spans="1:20" ht="28.5">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684</v>
      </c>
      <c r="L47" s="115" t="s">
        <v>685</v>
      </c>
      <c r="M47" s="107"/>
      <c r="N47" s="107"/>
      <c r="O47" s="107"/>
      <c r="P47" s="107"/>
      <c r="Q47" s="107"/>
      <c r="R47" s="107"/>
      <c r="S47" s="107"/>
      <c r="T47" s="107"/>
    </row>
    <row r="48" spans="1:20" ht="15.75">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7"/>
      <c r="N48" s="107"/>
      <c r="O48" s="107"/>
      <c r="P48" s="107"/>
      <c r="Q48" s="107"/>
      <c r="R48" s="107"/>
      <c r="S48" s="107"/>
      <c r="T48" s="107"/>
    </row>
    <row r="49" spans="1:20" ht="15.75">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7"/>
      <c r="N49" s="107"/>
      <c r="O49" s="107"/>
      <c r="P49" s="107"/>
      <c r="Q49" s="107"/>
      <c r="R49" s="107"/>
      <c r="S49" s="107"/>
      <c r="T49" s="107"/>
    </row>
    <row r="50" spans="1:20" ht="15.75">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7"/>
      <c r="N50" s="107"/>
      <c r="O50" s="107"/>
      <c r="P50" s="107"/>
      <c r="Q50" s="107"/>
      <c r="R50" s="107"/>
      <c r="S50" s="107"/>
      <c r="T50" s="107"/>
    </row>
    <row r="51" spans="1:20" ht="15.75">
      <c r="A51" s="24" t="str">
        <v>X134</v>
      </c>
      <c r="B51" s="25" t="str">
        <v>NY</v>
      </c>
      <c r="C51" s="25" t="str">
        <f>Sites[[#This Row],[SOL'#]]</f>
        <v>SOL-10424</v>
      </c>
      <c r="D51" s="20">
        <v>29330.90625</v>
      </c>
      <c r="E51" s="10" t="s">
        <v>656</v>
      </c>
      <c r="F51" s="10" t="str">
        <f t="shared" si="0"/>
        <v/>
      </c>
      <c r="G51" s="11" t="str">
        <f t="shared" si="1"/>
        <v/>
      </c>
      <c r="H51" s="12">
        <v>31287</v>
      </c>
      <c r="I51" s="12">
        <f t="shared" si="2"/>
        <v>-1956.09375</v>
      </c>
      <c r="J51" s="64">
        <f t="shared" si="3"/>
        <v>-6.2520975165404155E-2</v>
      </c>
      <c r="K51" s="58"/>
      <c r="L51" s="62"/>
      <c r="M51" s="107"/>
      <c r="N51" s="107"/>
      <c r="O51" s="107"/>
      <c r="P51" s="107"/>
      <c r="Q51" s="107"/>
      <c r="R51" s="107"/>
      <c r="S51" s="107"/>
      <c r="T51" s="107"/>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686</v>
      </c>
      <c r="L52" s="116" t="s">
        <v>687</v>
      </c>
      <c r="M52" s="107"/>
      <c r="N52" s="107"/>
      <c r="O52" s="107"/>
      <c r="P52" s="107"/>
      <c r="Q52" s="107"/>
      <c r="R52" s="107"/>
      <c r="S52" s="107"/>
      <c r="T52" s="107"/>
    </row>
    <row r="53" spans="1:20" ht="15.75">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7"/>
      <c r="N53" s="107"/>
      <c r="O53" s="107"/>
      <c r="P53" s="107"/>
      <c r="Q53" s="107"/>
      <c r="R53" s="107"/>
      <c r="S53" s="107"/>
      <c r="T53" s="107"/>
    </row>
    <row r="54" spans="1:20" ht="42.7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688</v>
      </c>
      <c r="L54" s="116" t="s">
        <v>417</v>
      </c>
      <c r="M54" s="107"/>
      <c r="N54" s="107" t="s">
        <v>689</v>
      </c>
      <c r="O54" s="107"/>
      <c r="P54" s="107"/>
      <c r="Q54" s="107"/>
      <c r="R54" s="107"/>
      <c r="S54" s="107"/>
      <c r="T54" s="107"/>
    </row>
    <row r="55" spans="1:20" ht="15.75">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7"/>
      <c r="N55" s="107"/>
      <c r="O55" s="107"/>
      <c r="P55" s="107"/>
      <c r="Q55" s="107"/>
      <c r="R55" s="107"/>
      <c r="S55" s="107"/>
      <c r="T55" s="107"/>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690</v>
      </c>
      <c r="L56" s="128" t="s">
        <v>691</v>
      </c>
      <c r="M56" s="106" t="s">
        <v>692</v>
      </c>
      <c r="N56" s="107"/>
      <c r="O56" s="107"/>
      <c r="P56" s="107"/>
      <c r="Q56" s="107"/>
      <c r="R56" s="107"/>
      <c r="S56" s="107"/>
      <c r="T56" s="107"/>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693</v>
      </c>
      <c r="L57" s="115" t="s">
        <v>694</v>
      </c>
      <c r="M57" s="107"/>
      <c r="N57" s="107"/>
      <c r="O57" s="107"/>
      <c r="P57" s="107"/>
      <c r="Q57" s="107"/>
      <c r="R57" s="107"/>
      <c r="S57" s="107"/>
      <c r="T57" s="107"/>
    </row>
    <row r="58" spans="1:20" ht="15.75">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695</v>
      </c>
      <c r="L58" s="135" t="s">
        <v>696</v>
      </c>
      <c r="M58" s="107"/>
      <c r="N58" s="107"/>
      <c r="O58" s="107"/>
      <c r="P58" s="107"/>
      <c r="Q58" s="107"/>
      <c r="R58" s="107"/>
      <c r="S58" s="107"/>
      <c r="T58" s="107"/>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697</v>
      </c>
      <c r="L59" s="115" t="s">
        <v>698</v>
      </c>
      <c r="M59" s="106" t="s">
        <v>699</v>
      </c>
      <c r="N59" s="106" t="s">
        <v>700</v>
      </c>
      <c r="O59" s="106" t="s">
        <v>701</v>
      </c>
      <c r="P59" s="107"/>
      <c r="Q59" s="107"/>
      <c r="R59" s="107"/>
      <c r="S59" s="107"/>
      <c r="T59" s="107"/>
    </row>
    <row r="60" spans="1:20" ht="15.75">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7"/>
      <c r="N60" s="107"/>
      <c r="O60" s="107"/>
      <c r="P60" s="107"/>
      <c r="Q60" s="107"/>
      <c r="R60" s="107"/>
      <c r="S60" s="107"/>
      <c r="T60" s="107"/>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702</v>
      </c>
      <c r="L61" s="115" t="s">
        <v>703</v>
      </c>
      <c r="M61" s="106" t="s">
        <v>704</v>
      </c>
      <c r="N61" s="106" t="s">
        <v>705</v>
      </c>
      <c r="O61" s="106" t="s">
        <v>706</v>
      </c>
      <c r="P61" s="107"/>
      <c r="Q61" s="107"/>
      <c r="R61" s="107"/>
      <c r="S61" s="107"/>
      <c r="T61" s="107"/>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707</v>
      </c>
      <c r="L62" s="103" t="s">
        <v>708</v>
      </c>
      <c r="M62" s="106" t="s">
        <v>435</v>
      </c>
      <c r="N62" s="106" t="s">
        <v>709</v>
      </c>
      <c r="O62" s="107"/>
      <c r="P62" s="107"/>
      <c r="Q62" s="107"/>
      <c r="R62" s="107"/>
      <c r="S62" s="107"/>
      <c r="T62" s="107"/>
    </row>
    <row r="63" spans="1:20" ht="28.5">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710</v>
      </c>
      <c r="L63" s="115" t="s">
        <v>711</v>
      </c>
      <c r="M63" s="107"/>
      <c r="N63" s="107"/>
      <c r="O63" s="107"/>
      <c r="P63" s="107"/>
      <c r="Q63" s="107"/>
      <c r="R63" s="107"/>
      <c r="S63" s="107"/>
      <c r="T63" s="107"/>
    </row>
    <row r="64" spans="1:20" ht="15.75">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7"/>
      <c r="N64" s="107"/>
      <c r="O64" s="107"/>
      <c r="P64" s="107"/>
      <c r="Q64" s="107"/>
      <c r="R64" s="107"/>
      <c r="S64" s="107"/>
      <c r="T64" s="107"/>
    </row>
    <row r="65" spans="1:20" ht="15.75">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7"/>
      <c r="N65" s="107"/>
      <c r="O65" s="107"/>
      <c r="P65" s="107"/>
      <c r="Q65" s="107"/>
      <c r="R65" s="107"/>
      <c r="S65" s="107"/>
      <c r="T65" s="107"/>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712</v>
      </c>
      <c r="L66" s="103" t="s">
        <v>713</v>
      </c>
      <c r="M66" s="106" t="s">
        <v>714</v>
      </c>
      <c r="N66" s="107"/>
      <c r="O66" s="107"/>
      <c r="P66" s="107"/>
      <c r="Q66" s="107"/>
      <c r="R66" s="107"/>
      <c r="S66" s="107"/>
      <c r="T66" s="107"/>
    </row>
    <row r="67" spans="1:20" ht="15.75">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7"/>
      <c r="N67" s="107"/>
      <c r="O67" s="107"/>
      <c r="P67" s="107"/>
      <c r="Q67" s="107"/>
      <c r="R67" s="107"/>
      <c r="S67" s="107"/>
      <c r="T67" s="107"/>
    </row>
    <row r="68" spans="1:20" ht="15.75">
      <c r="A68" s="26" t="str">
        <v>Big Tree</v>
      </c>
      <c r="B68" s="27" t="str">
        <v>NY</v>
      </c>
      <c r="C68" s="27" t="str">
        <f>Sites[[#This Row],[SOL'#]]</f>
        <v>SOL-10966</v>
      </c>
      <c r="D68" s="9">
        <v>321144</v>
      </c>
      <c r="E68" s="14" t="s">
        <v>656</v>
      </c>
      <c r="F68" s="14" t="str">
        <f t="shared" si="4"/>
        <v/>
      </c>
      <c r="G68" s="15" t="str">
        <f t="shared" si="7"/>
        <v/>
      </c>
      <c r="H68" s="16">
        <v>323746.34999999998</v>
      </c>
      <c r="I68" s="16">
        <f t="shared" si="5"/>
        <v>-2602.3499999999767</v>
      </c>
      <c r="J68" s="15">
        <f t="shared" si="6"/>
        <v>-8.0382373422896568E-3</v>
      </c>
      <c r="K68" s="70" t="s">
        <v>715</v>
      </c>
      <c r="L68" s="128" t="s">
        <v>716</v>
      </c>
      <c r="M68" s="107"/>
      <c r="N68" s="107"/>
      <c r="O68" s="107"/>
      <c r="P68" s="107"/>
      <c r="Q68" s="107"/>
      <c r="R68" s="107"/>
      <c r="S68" s="107"/>
      <c r="T68" s="107"/>
    </row>
    <row r="69" spans="1:20" ht="40.5" customHeight="1">
      <c r="A69" s="24" t="str">
        <v>Canoga</v>
      </c>
      <c r="B69" s="25" t="str">
        <v>NY</v>
      </c>
      <c r="C69" s="25" t="str">
        <f>Sites[[#This Row],[SOL'#]]</f>
        <v>SOL-10965</v>
      </c>
      <c r="D69" s="20">
        <v>0</v>
      </c>
      <c r="E69" s="10" t="s">
        <v>656</v>
      </c>
      <c r="F69" s="10" t="str">
        <f t="shared" si="4"/>
        <v/>
      </c>
      <c r="G69" s="11" t="str">
        <f t="shared" si="7"/>
        <v/>
      </c>
      <c r="H69" s="12"/>
      <c r="I69" s="12" t="str">
        <f t="shared" si="5"/>
        <v/>
      </c>
      <c r="J69" s="64" t="str">
        <f t="shared" si="6"/>
        <v/>
      </c>
      <c r="K69" s="37" t="s">
        <v>717</v>
      </c>
      <c r="L69" s="115" t="s">
        <v>718</v>
      </c>
      <c r="M69" s="107"/>
      <c r="N69" s="107"/>
      <c r="O69" s="107"/>
      <c r="P69" s="107"/>
      <c r="Q69" s="107"/>
      <c r="R69" s="107"/>
      <c r="S69" s="107"/>
      <c r="T69" s="107"/>
    </row>
    <row r="70" spans="1:20" ht="15.75">
      <c r="A70" s="26" t="str">
        <v>County Route 84</v>
      </c>
      <c r="B70" s="27" t="str">
        <v>NY</v>
      </c>
      <c r="C70" s="27" t="str">
        <f>Sites[[#This Row],[SOL'#]]</f>
        <v>SOL-10967</v>
      </c>
      <c r="D70" s="9">
        <v>854850</v>
      </c>
      <c r="E70" s="14" t="s">
        <v>656</v>
      </c>
      <c r="F70" s="14" t="str">
        <f t="shared" si="4"/>
        <v/>
      </c>
      <c r="G70" s="15" t="str">
        <f t="shared" si="7"/>
        <v/>
      </c>
      <c r="H70" s="16">
        <v>857242.25</v>
      </c>
      <c r="I70" s="16">
        <f t="shared" si="5"/>
        <v>-2392.25</v>
      </c>
      <c r="J70" s="15">
        <f t="shared" si="6"/>
        <v>-2.790634735980407E-3</v>
      </c>
      <c r="K70" s="59" t="s">
        <v>719</v>
      </c>
      <c r="L70" s="135" t="s">
        <v>720</v>
      </c>
      <c r="M70" s="107"/>
      <c r="N70" s="107"/>
      <c r="O70" s="107"/>
      <c r="P70" s="107"/>
      <c r="Q70" s="107"/>
      <c r="R70" s="107"/>
      <c r="S70" s="107"/>
      <c r="T70" s="107"/>
    </row>
    <row r="71" spans="1:20" ht="106.5" customHeight="1">
      <c r="A71" s="24" t="str">
        <v>Donati</v>
      </c>
      <c r="B71" s="25" t="str">
        <v>NY</v>
      </c>
      <c r="C71" s="25" t="str">
        <f>Sites[[#This Row],[SOL'#]]</f>
        <v>SOL-10968</v>
      </c>
      <c r="D71" s="20">
        <v>338220</v>
      </c>
      <c r="E71" s="10" t="s">
        <v>656</v>
      </c>
      <c r="F71" s="10" t="str">
        <f t="shared" si="4"/>
        <v/>
      </c>
      <c r="G71" s="11" t="str">
        <f t="shared" si="7"/>
        <v/>
      </c>
      <c r="H71" s="12">
        <v>408878.12</v>
      </c>
      <c r="I71" s="12">
        <f t="shared" si="5"/>
        <v>-70658.12</v>
      </c>
      <c r="J71" s="64">
        <f t="shared" si="6"/>
        <v>-0.17280973606511396</v>
      </c>
      <c r="K71" s="58" t="s">
        <v>721</v>
      </c>
      <c r="L71" s="136" t="s">
        <v>722</v>
      </c>
      <c r="M71" s="106" t="s">
        <v>456</v>
      </c>
      <c r="N71" s="106" t="s">
        <v>723</v>
      </c>
      <c r="O71" s="106" t="s">
        <v>724</v>
      </c>
      <c r="P71" s="107"/>
      <c r="Q71" s="107"/>
      <c r="R71" s="107"/>
      <c r="S71" s="107"/>
      <c r="T71" s="107"/>
    </row>
    <row r="72" spans="1:20" ht="211.5" customHeight="1">
      <c r="A72" s="26" t="str">
        <v>Henrietta</v>
      </c>
      <c r="B72" s="27" t="str">
        <v>NY</v>
      </c>
      <c r="C72" s="27" t="str">
        <f>Sites[[#This Row],[SOL'#]]</f>
        <v>SOL-10972</v>
      </c>
      <c r="D72" s="9">
        <v>414260</v>
      </c>
      <c r="E72" s="14" t="s">
        <v>656</v>
      </c>
      <c r="F72" s="14" t="str">
        <f t="shared" si="4"/>
        <v/>
      </c>
      <c r="G72" s="15" t="str">
        <f t="shared" si="7"/>
        <v/>
      </c>
      <c r="H72" s="16">
        <v>858985.29</v>
      </c>
      <c r="I72" s="16">
        <f t="shared" si="5"/>
        <v>-444725.29000000004</v>
      </c>
      <c r="J72" s="15">
        <f t="shared" si="6"/>
        <v>-0.51773330134675533</v>
      </c>
      <c r="K72" s="138" t="s">
        <v>725</v>
      </c>
      <c r="L72" s="116" t="s">
        <v>726</v>
      </c>
      <c r="M72" s="106" t="s">
        <v>727</v>
      </c>
      <c r="N72" s="106" t="s">
        <v>727</v>
      </c>
      <c r="O72" s="106" t="s">
        <v>728</v>
      </c>
      <c r="P72" s="106" t="s">
        <v>729</v>
      </c>
      <c r="Q72" s="107"/>
      <c r="R72" s="107"/>
      <c r="S72" s="107"/>
      <c r="T72" s="107"/>
    </row>
    <row r="73" spans="1:20" ht="116.25" customHeight="1">
      <c r="A73" s="24" t="str">
        <v>NY 70</v>
      </c>
      <c r="B73" s="25" t="str">
        <v>NY</v>
      </c>
      <c r="C73" s="25" t="str">
        <f>Sites[[#This Row],[SOL'#]]</f>
        <v>SOL-10970</v>
      </c>
      <c r="D73" s="20">
        <v>756760</v>
      </c>
      <c r="E73" s="10" t="s">
        <v>656</v>
      </c>
      <c r="F73" s="10" t="str">
        <f t="shared" si="4"/>
        <v/>
      </c>
      <c r="G73" s="11" t="str">
        <f t="shared" si="7"/>
        <v/>
      </c>
      <c r="H73" s="12">
        <v>978510.51</v>
      </c>
      <c r="I73" s="12">
        <f t="shared" si="5"/>
        <v>-221750.51</v>
      </c>
      <c r="J73" s="64">
        <f t="shared" si="6"/>
        <v>-0.22662046828704988</v>
      </c>
      <c r="K73" s="58" t="s">
        <v>730</v>
      </c>
      <c r="L73" s="136" t="s">
        <v>731</v>
      </c>
      <c r="M73" s="106" t="s">
        <v>732</v>
      </c>
      <c r="N73" s="106" t="s">
        <v>733</v>
      </c>
      <c r="O73" s="107"/>
      <c r="P73" s="107"/>
      <c r="Q73" s="107"/>
      <c r="R73" s="107"/>
      <c r="S73" s="107"/>
      <c r="T73" s="107"/>
    </row>
    <row r="74" spans="1:20" ht="313.5">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734</v>
      </c>
      <c r="L74" s="116" t="s">
        <v>735</v>
      </c>
      <c r="M74" s="106" t="s">
        <v>736</v>
      </c>
      <c r="N74" s="106" t="s">
        <v>468</v>
      </c>
      <c r="O74" s="106" t="s">
        <v>737</v>
      </c>
      <c r="P74" s="106" t="s">
        <v>738</v>
      </c>
      <c r="Q74" s="106" t="s">
        <v>739</v>
      </c>
      <c r="R74" s="106" t="s">
        <v>740</v>
      </c>
      <c r="S74" s="106" t="s">
        <v>741</v>
      </c>
      <c r="T74" s="106" t="s">
        <v>742</v>
      </c>
    </row>
    <row r="75" spans="1:20" ht="125.25" customHeight="1">
      <c r="A75" s="24" t="str">
        <v>Sangolqui</v>
      </c>
      <c r="B75" s="25" t="str">
        <v>NY</v>
      </c>
      <c r="C75" s="25" t="str">
        <f>Sites[[#This Row],[SOL'#]]</f>
        <v>SOL-10975</v>
      </c>
      <c r="D75" s="20">
        <v>351500</v>
      </c>
      <c r="E75" s="10" t="s">
        <v>656</v>
      </c>
      <c r="F75" s="10" t="str">
        <f t="shared" si="4"/>
        <v/>
      </c>
      <c r="G75" s="11" t="str">
        <f t="shared" si="7"/>
        <v/>
      </c>
      <c r="H75" s="12">
        <v>400067.19</v>
      </c>
      <c r="I75" s="12">
        <f t="shared" si="5"/>
        <v>-48567.19</v>
      </c>
      <c r="J75" s="64">
        <f t="shared" si="6"/>
        <v>-0.12139758324095511</v>
      </c>
      <c r="K75" s="37" t="s">
        <v>743</v>
      </c>
      <c r="L75" s="115" t="s">
        <v>744</v>
      </c>
      <c r="M75" s="106" t="s">
        <v>745</v>
      </c>
      <c r="N75" s="106" t="s">
        <v>746</v>
      </c>
      <c r="O75" s="107"/>
      <c r="P75" s="107"/>
      <c r="Q75" s="107"/>
      <c r="R75" s="107"/>
      <c r="S75" s="107"/>
      <c r="T75" s="107"/>
    </row>
    <row r="76" spans="1:20" ht="15.75">
      <c r="A76" s="26" t="str">
        <v>State Highway 17B</v>
      </c>
      <c r="B76" s="27" t="str">
        <v>NY</v>
      </c>
      <c r="C76" s="27" t="str">
        <f>Sites[[#This Row],[SOL'#]]</f>
        <v>SOL-10988</v>
      </c>
      <c r="D76" s="9">
        <v>690070</v>
      </c>
      <c r="E76" s="14" t="s">
        <v>656</v>
      </c>
      <c r="F76" s="14" t="str">
        <f t="shared" si="4"/>
        <v/>
      </c>
      <c r="G76" s="15" t="str">
        <f t="shared" si="7"/>
        <v/>
      </c>
      <c r="H76" s="16">
        <v>753209.8</v>
      </c>
      <c r="I76" s="16">
        <f t="shared" si="5"/>
        <v>-63139.800000000047</v>
      </c>
      <c r="J76" s="15">
        <f t="shared" si="6"/>
        <v>-8.3827640054603705E-2</v>
      </c>
      <c r="K76" s="38"/>
      <c r="L76" s="39"/>
      <c r="M76" s="107"/>
      <c r="N76" s="107"/>
      <c r="O76" s="107"/>
      <c r="P76" s="107"/>
      <c r="Q76" s="107"/>
      <c r="R76" s="107"/>
      <c r="S76" s="107"/>
      <c r="T76" s="107"/>
    </row>
    <row r="77" spans="1:20" ht="49.5" customHeight="1">
      <c r="A77" s="24" t="str">
        <v>State Route 14A</v>
      </c>
      <c r="B77" s="25" t="str">
        <v>NY</v>
      </c>
      <c r="C77" s="25" t="str">
        <f>Sites[[#This Row],[SOL'#]]</f>
        <v>SOL-10997</v>
      </c>
      <c r="D77" s="20">
        <v>44015</v>
      </c>
      <c r="E77" s="10" t="s">
        <v>656</v>
      </c>
      <c r="F77" s="10" t="str">
        <f t="shared" si="4"/>
        <v/>
      </c>
      <c r="G77" s="11" t="str">
        <f t="shared" si="7"/>
        <v/>
      </c>
      <c r="H77" s="12">
        <v>848546.08</v>
      </c>
      <c r="I77" s="12">
        <f t="shared" si="5"/>
        <v>-804531.08</v>
      </c>
      <c r="J77" s="64">
        <f t="shared" si="6"/>
        <v>-0.94812892188483155</v>
      </c>
      <c r="K77" s="58" t="s">
        <v>747</v>
      </c>
      <c r="L77" s="136" t="s">
        <v>748</v>
      </c>
      <c r="M77" s="107"/>
      <c r="N77" s="107"/>
      <c r="O77" s="107"/>
      <c r="P77" s="107"/>
      <c r="Q77" s="107"/>
      <c r="R77" s="107"/>
      <c r="S77" s="107"/>
      <c r="T77" s="107"/>
    </row>
    <row r="78" spans="1:20" ht="28.5">
      <c r="A78" s="26" t="str">
        <v>West Creek</v>
      </c>
      <c r="B78" s="27" t="str">
        <v>NY</v>
      </c>
      <c r="C78" s="27" t="str">
        <f>Sites[[#This Row],[SOL'#]]</f>
        <v>SOL-10995</v>
      </c>
      <c r="D78" s="9">
        <v>776940</v>
      </c>
      <c r="E78" s="14" t="s">
        <v>656</v>
      </c>
      <c r="F78" s="14" t="str">
        <f t="shared" si="4"/>
        <v/>
      </c>
      <c r="G78" s="15" t="str">
        <f t="shared" si="7"/>
        <v/>
      </c>
      <c r="H78" s="16">
        <v>828525.56</v>
      </c>
      <c r="I78" s="16">
        <f t="shared" si="5"/>
        <v>-51585.560000000056</v>
      </c>
      <c r="J78" s="15">
        <f t="shared" si="6"/>
        <v>-6.2261881214624268E-2</v>
      </c>
      <c r="K78" s="61" t="s">
        <v>749</v>
      </c>
      <c r="L78" s="105" t="s">
        <v>750</v>
      </c>
      <c r="M78" s="107"/>
      <c r="N78" s="107"/>
      <c r="O78" s="107"/>
      <c r="P78" s="107"/>
      <c r="Q78" s="107"/>
      <c r="R78" s="107"/>
      <c r="S78" s="107"/>
      <c r="T78" s="107"/>
    </row>
    <row r="79" spans="1:20" ht="15.75">
      <c r="A79" s="24" t="str">
        <v>Wildflower</v>
      </c>
      <c r="B79" s="25" t="str">
        <v>NY</v>
      </c>
      <c r="C79" s="25" t="str">
        <f>Sites[[#This Row],[SOL'#]]</f>
        <v>SOL-10982</v>
      </c>
      <c r="D79" s="20">
        <v>759563</v>
      </c>
      <c r="E79" s="10" t="s">
        <v>656</v>
      </c>
      <c r="F79" s="10" t="str">
        <f t="shared" si="4"/>
        <v/>
      </c>
      <c r="G79" s="11" t="str">
        <f t="shared" si="7"/>
        <v/>
      </c>
      <c r="H79" s="12">
        <v>842400.75</v>
      </c>
      <c r="I79" s="12">
        <f t="shared" si="5"/>
        <v>-82837.75</v>
      </c>
      <c r="J79" s="64">
        <f t="shared" si="6"/>
        <v>-9.8335323181989093E-2</v>
      </c>
      <c r="K79" s="37"/>
      <c r="L79" s="37"/>
      <c r="M79" s="107"/>
      <c r="N79" s="107"/>
      <c r="O79" s="107"/>
      <c r="P79" s="107"/>
      <c r="Q79" s="107"/>
      <c r="R79" s="107"/>
      <c r="S79" s="107"/>
      <c r="T79" s="107"/>
    </row>
    <row r="80" spans="1:20" ht="15.75">
      <c r="A80" s="26" t="str">
        <v>Glen Mary 1</v>
      </c>
      <c r="B80" s="27" t="str">
        <v>NY</v>
      </c>
      <c r="C80" s="27" t="str">
        <f>Sites[[#This Row],[SOL'#]]</f>
        <v>SOL-10993</v>
      </c>
      <c r="D80" s="9">
        <v>806620</v>
      </c>
      <c r="E80" s="14" t="s">
        <v>656</v>
      </c>
      <c r="F80" s="14" t="str">
        <f t="shared" si="4"/>
        <v/>
      </c>
      <c r="G80" s="15" t="str">
        <f t="shared" si="7"/>
        <v/>
      </c>
      <c r="H80" s="16">
        <v>858725.86</v>
      </c>
      <c r="I80" s="16">
        <f t="shared" si="5"/>
        <v>-52105.859999999986</v>
      </c>
      <c r="J80" s="15">
        <f t="shared" si="6"/>
        <v>-6.0678107446304211E-2</v>
      </c>
      <c r="K80" s="38"/>
      <c r="L80" s="39"/>
      <c r="M80" s="107"/>
      <c r="N80" s="107"/>
      <c r="O80" s="107"/>
      <c r="P80" s="107"/>
      <c r="Q80" s="107"/>
      <c r="R80" s="107"/>
      <c r="S80" s="107"/>
      <c r="T80" s="107"/>
    </row>
    <row r="81" spans="1:20" ht="15.75">
      <c r="A81" s="24" t="str">
        <v>Glen Mary 2</v>
      </c>
      <c r="B81" s="25" t="str">
        <v>NY</v>
      </c>
      <c r="C81" s="25" t="str">
        <f>Sites[[#This Row],[SOL'#]]</f>
        <v>SOL-10994</v>
      </c>
      <c r="D81" s="20">
        <v>352610</v>
      </c>
      <c r="E81" s="10" t="s">
        <v>656</v>
      </c>
      <c r="F81" s="10" t="str">
        <f t="shared" si="4"/>
        <v/>
      </c>
      <c r="G81" s="11" t="str">
        <f t="shared" si="7"/>
        <v/>
      </c>
      <c r="H81" s="12">
        <v>366971.2</v>
      </c>
      <c r="I81" s="12">
        <f t="shared" si="5"/>
        <v>-14361.200000000012</v>
      </c>
      <c r="J81" s="64">
        <f t="shared" si="6"/>
        <v>-3.9134406187733561E-2</v>
      </c>
      <c r="K81" s="37"/>
      <c r="L81" s="37"/>
      <c r="M81" s="107"/>
      <c r="N81" s="107"/>
      <c r="O81" s="107"/>
      <c r="P81" s="107"/>
      <c r="Q81" s="107"/>
      <c r="R81" s="107"/>
      <c r="S81" s="107"/>
      <c r="T81" s="107"/>
    </row>
    <row r="82" spans="1:20" ht="15.75">
      <c r="A82" s="26" t="str">
        <v>Telegraph 1</v>
      </c>
      <c r="B82" s="27" t="str">
        <v>NY</v>
      </c>
      <c r="C82" s="27" t="str">
        <f>Sites[[#This Row],[SOL'#]]</f>
        <v>SOL-11003</v>
      </c>
      <c r="D82" s="9">
        <v>609182</v>
      </c>
      <c r="E82" s="14" t="s">
        <v>656</v>
      </c>
      <c r="F82" s="14" t="str">
        <f t="shared" si="4"/>
        <v/>
      </c>
      <c r="G82" s="15" t="str">
        <f t="shared" si="7"/>
        <v/>
      </c>
      <c r="H82" s="16">
        <v>599655.38</v>
      </c>
      <c r="I82" s="16">
        <f t="shared" si="5"/>
        <v>9526.6199999999953</v>
      </c>
      <c r="J82" s="15">
        <f t="shared" si="6"/>
        <v>1.5886824862640266E-2</v>
      </c>
      <c r="K82" s="38" t="s">
        <v>751</v>
      </c>
      <c r="L82" s="116" t="s">
        <v>752</v>
      </c>
      <c r="M82" s="107"/>
      <c r="N82" s="107"/>
      <c r="O82" s="107"/>
      <c r="P82" s="107"/>
      <c r="Q82" s="107"/>
      <c r="R82" s="107"/>
      <c r="S82" s="107"/>
      <c r="T82" s="107"/>
    </row>
    <row r="83" spans="1:20" ht="42.75">
      <c r="A83" s="24" t="str">
        <v>Telegraph 2</v>
      </c>
      <c r="B83" s="25" t="str">
        <v>NY</v>
      </c>
      <c r="C83" s="25" t="str">
        <f>Sites[[#This Row],[SOL'#]]</f>
        <v>SOL-11004</v>
      </c>
      <c r="D83" s="20">
        <v>322296</v>
      </c>
      <c r="E83" s="10" t="s">
        <v>656</v>
      </c>
      <c r="F83" s="10" t="str">
        <f t="shared" si="4"/>
        <v/>
      </c>
      <c r="G83" s="11" t="str">
        <f t="shared" si="7"/>
        <v/>
      </c>
      <c r="H83" s="12">
        <v>311979</v>
      </c>
      <c r="I83" s="12">
        <f t="shared" si="5"/>
        <v>10317</v>
      </c>
      <c r="J83" s="64">
        <f t="shared" si="6"/>
        <v>3.306953352629504E-2</v>
      </c>
      <c r="K83" s="37" t="s">
        <v>753</v>
      </c>
      <c r="L83" s="115" t="s">
        <v>754</v>
      </c>
      <c r="M83" s="106" t="s">
        <v>755</v>
      </c>
      <c r="N83" s="107"/>
      <c r="O83" s="107"/>
      <c r="P83" s="107"/>
      <c r="Q83" s="107"/>
      <c r="R83" s="107"/>
      <c r="S83" s="107"/>
      <c r="T83" s="107"/>
    </row>
    <row r="84" spans="1:20" ht="15.75">
      <c r="A84" s="26" t="str">
        <v>Cafferty Hill</v>
      </c>
      <c r="B84" s="27" t="str">
        <v>NY</v>
      </c>
      <c r="C84" s="27" t="str">
        <f>Sites[[#This Row],[SOL'#]]</f>
        <v>SOL-10996</v>
      </c>
      <c r="D84" s="9">
        <v>768050</v>
      </c>
      <c r="E84" s="14" t="s">
        <v>656</v>
      </c>
      <c r="F84" s="14" t="str">
        <f t="shared" si="4"/>
        <v/>
      </c>
      <c r="G84" s="15" t="str">
        <f t="shared" si="7"/>
        <v/>
      </c>
      <c r="H84" s="16">
        <v>806343.49</v>
      </c>
      <c r="I84" s="16">
        <f t="shared" si="5"/>
        <v>-38293.489999999991</v>
      </c>
      <c r="J84" s="15">
        <f t="shared" si="6"/>
        <v>-4.7490294737792191E-2</v>
      </c>
      <c r="K84" s="38"/>
      <c r="L84" s="38"/>
      <c r="M84" s="107"/>
      <c r="N84" s="107"/>
      <c r="O84" s="107"/>
      <c r="P84" s="107"/>
      <c r="Q84" s="107"/>
      <c r="R84" s="107"/>
      <c r="S84" s="107"/>
      <c r="T84" s="107"/>
    </row>
    <row r="85" spans="1:20" ht="138.75" customHeight="1">
      <c r="A85" s="24" t="str">
        <v>Dunkleman</v>
      </c>
      <c r="B85" s="25" t="str">
        <v>NY</v>
      </c>
      <c r="C85" s="25" t="str">
        <f>Sites[[#This Row],[SOL'#]]</f>
        <v>SOL-11008</v>
      </c>
      <c r="D85" s="20">
        <v>865550</v>
      </c>
      <c r="E85" s="10" t="s">
        <v>656</v>
      </c>
      <c r="F85" s="10" t="str">
        <f t="shared" si="4"/>
        <v/>
      </c>
      <c r="G85" s="11" t="str">
        <f t="shared" si="7"/>
        <v/>
      </c>
      <c r="H85" s="12">
        <v>1009142.13</v>
      </c>
      <c r="I85" s="12">
        <f t="shared" si="5"/>
        <v>-143592.13</v>
      </c>
      <c r="J85" s="64">
        <f t="shared" si="6"/>
        <v>-0.14229128457851623</v>
      </c>
      <c r="K85" s="37" t="s">
        <v>756</v>
      </c>
      <c r="L85" s="136" t="s">
        <v>757</v>
      </c>
      <c r="M85" s="106" t="s">
        <v>758</v>
      </c>
      <c r="N85" s="107"/>
      <c r="O85" s="107"/>
      <c r="P85" s="107"/>
      <c r="Q85" s="107"/>
      <c r="R85" s="107"/>
      <c r="S85" s="107"/>
      <c r="T85" s="107"/>
    </row>
    <row r="86" spans="1:20" ht="15.75">
      <c r="A86" s="26" t="str">
        <v>Route 19 1</v>
      </c>
      <c r="B86" s="27" t="str">
        <v>NY</v>
      </c>
      <c r="C86" s="27" t="str">
        <f>Sites[[#This Row],[SOL'#]]</f>
        <v>SOL-11001</v>
      </c>
      <c r="D86" s="9">
        <v>377130</v>
      </c>
      <c r="E86" s="14" t="s">
        <v>656</v>
      </c>
      <c r="F86" s="14" t="str">
        <f t="shared" si="4"/>
        <v/>
      </c>
      <c r="G86" s="15" t="str">
        <f t="shared" si="7"/>
        <v/>
      </c>
      <c r="H86" s="16">
        <v>405489.67</v>
      </c>
      <c r="I86" s="16">
        <f t="shared" si="5"/>
        <v>-28359.669999999984</v>
      </c>
      <c r="J86" s="15">
        <f t="shared" si="6"/>
        <v>-6.9939315593415693E-2</v>
      </c>
      <c r="K86" s="38" t="s">
        <v>759</v>
      </c>
      <c r="L86" s="105" t="s">
        <v>760</v>
      </c>
      <c r="M86" s="107"/>
      <c r="N86" s="107"/>
      <c r="O86" s="107"/>
      <c r="P86" s="107"/>
      <c r="Q86" s="107"/>
      <c r="R86" s="107"/>
      <c r="S86" s="107"/>
      <c r="T86" s="107"/>
    </row>
    <row r="87" spans="1:20" ht="15.75">
      <c r="A87" s="24" t="str">
        <v>Route 19 2</v>
      </c>
      <c r="B87" s="25" t="str">
        <v>NY</v>
      </c>
      <c r="C87" s="25" t="str">
        <f>Sites[[#This Row],[SOL'#]]</f>
        <v>SOL-11002</v>
      </c>
      <c r="D87" s="20">
        <v>925110</v>
      </c>
      <c r="E87" s="10" t="s">
        <v>656</v>
      </c>
      <c r="F87" s="10" t="str">
        <f t="shared" si="4"/>
        <v/>
      </c>
      <c r="G87" s="11" t="str">
        <f t="shared" si="7"/>
        <v/>
      </c>
      <c r="H87" s="12">
        <v>1002309.25</v>
      </c>
      <c r="I87" s="12">
        <f t="shared" si="5"/>
        <v>-77199.25</v>
      </c>
      <c r="J87" s="64">
        <f t="shared" si="6"/>
        <v>-7.702138835893213E-2</v>
      </c>
      <c r="K87" s="37" t="s">
        <v>761</v>
      </c>
      <c r="L87" s="115" t="s">
        <v>762</v>
      </c>
      <c r="M87" s="107"/>
      <c r="N87" s="107"/>
      <c r="O87" s="107"/>
      <c r="P87" s="107"/>
      <c r="Q87" s="107"/>
      <c r="R87" s="107"/>
      <c r="S87" s="107"/>
      <c r="T87" s="107"/>
    </row>
    <row r="88" spans="1:20" ht="15.75">
      <c r="A88" s="26" t="str">
        <v>Yellow Mills 1</v>
      </c>
      <c r="B88" s="27" t="str">
        <v>NY</v>
      </c>
      <c r="C88" s="27" t="str">
        <f>Sites[[#This Row],[SOL'#]]</f>
        <v>SOL-11006</v>
      </c>
      <c r="D88" s="9">
        <v>344742</v>
      </c>
      <c r="E88" s="14" t="s">
        <v>656</v>
      </c>
      <c r="F88" s="14" t="str">
        <f t="shared" si="4"/>
        <v/>
      </c>
      <c r="G88" s="15" t="str">
        <f t="shared" si="7"/>
        <v/>
      </c>
      <c r="H88" s="16">
        <v>353655.16</v>
      </c>
      <c r="I88" s="16">
        <f t="shared" si="5"/>
        <v>-8913.1599999999744</v>
      </c>
      <c r="J88" s="15">
        <f t="shared" si="6"/>
        <v>-2.5202968903380273E-2</v>
      </c>
      <c r="K88" s="38"/>
      <c r="L88" s="39"/>
      <c r="M88" s="107"/>
      <c r="N88" s="107"/>
      <c r="O88" s="107"/>
      <c r="P88" s="107"/>
      <c r="Q88" s="107"/>
      <c r="R88" s="107"/>
      <c r="S88" s="107"/>
      <c r="T88" s="107"/>
    </row>
    <row r="89" spans="1:20" ht="15.75">
      <c r="A89" s="24" t="str">
        <v>Yellow Mills 2</v>
      </c>
      <c r="B89" s="25" t="str">
        <v>NY</v>
      </c>
      <c r="C89" s="25" t="str">
        <f>Sites[[#This Row],[SOL'#]]</f>
        <v>SOL-11005</v>
      </c>
      <c r="D89" s="20">
        <v>340313</v>
      </c>
      <c r="E89" s="10" t="s">
        <v>656</v>
      </c>
      <c r="F89" s="10" t="str">
        <f t="shared" si="4"/>
        <v/>
      </c>
      <c r="G89" s="11" t="str">
        <f t="shared" si="7"/>
        <v/>
      </c>
      <c r="H89" s="12">
        <v>363985.19</v>
      </c>
      <c r="I89" s="12">
        <f t="shared" si="5"/>
        <v>-23672.190000000002</v>
      </c>
      <c r="J89" s="64">
        <f t="shared" si="6"/>
        <v>-6.5036135124069208E-2</v>
      </c>
      <c r="K89" s="37"/>
      <c r="L89" s="37"/>
      <c r="M89" s="123"/>
      <c r="N89" s="107"/>
      <c r="O89" s="107"/>
      <c r="P89" s="107"/>
      <c r="Q89" s="107"/>
      <c r="R89" s="107"/>
      <c r="S89" s="107"/>
      <c r="T89" s="107"/>
    </row>
    <row r="90" spans="1:20" ht="15.75">
      <c r="A90" s="26" t="str">
        <v>Yellow Mills 3</v>
      </c>
      <c r="B90" s="27" t="str">
        <v>NY</v>
      </c>
      <c r="C90" s="27" t="str">
        <f>Sites[[#This Row],[SOL'#]]</f>
        <v>SOL-11007</v>
      </c>
      <c r="D90" s="9">
        <v>335936</v>
      </c>
      <c r="E90" s="14" t="s">
        <v>656</v>
      </c>
      <c r="F90" s="14" t="str">
        <f t="shared" si="4"/>
        <v/>
      </c>
      <c r="G90" s="15" t="str">
        <f t="shared" si="7"/>
        <v/>
      </c>
      <c r="H90" s="16">
        <v>348598.8</v>
      </c>
      <c r="I90" s="16">
        <f t="shared" si="5"/>
        <v>-12662.799999999988</v>
      </c>
      <c r="J90" s="15">
        <f t="shared" si="6"/>
        <v>-3.6324852523875552E-2</v>
      </c>
      <c r="K90" s="38"/>
      <c r="L90" s="39"/>
      <c r="M90" s="107"/>
      <c r="N90" s="107"/>
      <c r="O90" s="107"/>
      <c r="P90" s="107"/>
      <c r="Q90" s="107"/>
      <c r="R90" s="107"/>
      <c r="S90" s="107"/>
      <c r="T90" s="107"/>
    </row>
    <row r="91" spans="1:20" ht="42.75">
      <c r="A91" s="24" t="str">
        <v>Catskill</v>
      </c>
      <c r="B91" s="25" t="str">
        <v>NY</v>
      </c>
      <c r="C91" s="25" t="str">
        <f>Sites[[#This Row],[SOL'#]]</f>
        <v>SOL-11021</v>
      </c>
      <c r="D91" s="20">
        <v>600100</v>
      </c>
      <c r="E91" s="10" t="s">
        <v>656</v>
      </c>
      <c r="F91" s="10" t="str">
        <f t="shared" si="4"/>
        <v/>
      </c>
      <c r="G91" s="11" t="str">
        <f t="shared" si="7"/>
        <v/>
      </c>
      <c r="H91" s="12">
        <v>621136.5</v>
      </c>
      <c r="I91" s="12">
        <f t="shared" si="5"/>
        <v>-21036.5</v>
      </c>
      <c r="J91" s="64">
        <f t="shared" si="6"/>
        <v>-3.386775692621509E-2</v>
      </c>
      <c r="K91" s="37" t="s">
        <v>763</v>
      </c>
      <c r="L91" s="115" t="s">
        <v>764</v>
      </c>
      <c r="M91" s="107"/>
      <c r="N91" s="107"/>
      <c r="O91" s="107"/>
      <c r="P91" s="107"/>
      <c r="Q91" s="107"/>
      <c r="R91" s="107"/>
      <c r="S91" s="107"/>
      <c r="T91" s="107"/>
    </row>
    <row r="92" spans="1:20" ht="15.75">
      <c r="A92" s="26" t="str">
        <v>Eddy Ridge</v>
      </c>
      <c r="B92" s="27" t="str">
        <v>NY</v>
      </c>
      <c r="C92" s="27" t="str">
        <f>Sites[[#This Row],[SOL'#]]</f>
        <v>SOL-11054</v>
      </c>
      <c r="D92" s="9">
        <v>434509</v>
      </c>
      <c r="E92" s="14" t="s">
        <v>656</v>
      </c>
      <c r="F92" s="14" t="str">
        <f t="shared" si="4"/>
        <v/>
      </c>
      <c r="G92" s="15" t="str">
        <f t="shared" si="7"/>
        <v/>
      </c>
      <c r="H92" s="16">
        <v>474615</v>
      </c>
      <c r="I92" s="16">
        <f t="shared" si="5"/>
        <v>-40106</v>
      </c>
      <c r="J92" s="15">
        <f t="shared" si="6"/>
        <v>-8.450217544746795E-2</v>
      </c>
      <c r="K92" s="38"/>
      <c r="L92" s="39"/>
      <c r="M92" s="107"/>
      <c r="N92" s="107"/>
      <c r="O92" s="107"/>
      <c r="P92" s="107"/>
      <c r="Q92" s="107"/>
      <c r="R92" s="107"/>
      <c r="S92" s="107"/>
      <c r="T92" s="107"/>
    </row>
    <row r="93" spans="1:20" ht="85.5">
      <c r="A93" s="24" t="str">
        <v>Ridgeway #1</v>
      </c>
      <c r="B93" s="25" t="str">
        <v>NY</v>
      </c>
      <c r="C93" s="25" t="str">
        <f>Sites[[#This Row],[SOL'#]]</f>
        <v>SOL-11018</v>
      </c>
      <c r="D93" s="20">
        <v>902744</v>
      </c>
      <c r="E93" s="10" t="s">
        <v>656</v>
      </c>
      <c r="F93" s="10" t="str">
        <f t="shared" si="4"/>
        <v/>
      </c>
      <c r="G93" s="11" t="str">
        <f t="shared" si="7"/>
        <v/>
      </c>
      <c r="H93" s="12">
        <v>1036704.57</v>
      </c>
      <c r="I93" s="12">
        <f t="shared" si="5"/>
        <v>-133960.56999999995</v>
      </c>
      <c r="J93" s="64">
        <f t="shared" si="6"/>
        <v>-0.12921769024322904</v>
      </c>
      <c r="K93" s="37" t="s">
        <v>765</v>
      </c>
      <c r="L93" s="115" t="s">
        <v>766</v>
      </c>
      <c r="M93" s="106" t="s">
        <v>767</v>
      </c>
      <c r="N93" s="107"/>
      <c r="O93" s="107"/>
      <c r="P93" s="107"/>
      <c r="Q93" s="107"/>
      <c r="R93" s="107"/>
      <c r="S93" s="107"/>
      <c r="T93" s="107"/>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768</v>
      </c>
      <c r="L94" s="116" t="s">
        <v>769</v>
      </c>
      <c r="M94" s="106" t="s">
        <v>770</v>
      </c>
      <c r="N94" s="106" t="s">
        <v>771</v>
      </c>
      <c r="O94" s="107"/>
      <c r="P94" s="107"/>
      <c r="Q94" s="107"/>
      <c r="R94" s="107"/>
      <c r="S94" s="107"/>
      <c r="T94" s="107"/>
    </row>
    <row r="95" spans="1:20" ht="42.7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772</v>
      </c>
      <c r="L95" s="136" t="s">
        <v>314</v>
      </c>
      <c r="M95" s="107"/>
      <c r="N95" s="107"/>
      <c r="O95" s="107"/>
      <c r="P95" s="107"/>
      <c r="Q95" s="107"/>
      <c r="R95" s="107"/>
      <c r="S95" s="107"/>
      <c r="T95" s="107"/>
    </row>
    <row r="96" spans="1:20" ht="129.75" customHeight="1">
      <c r="A96" s="24" t="str">
        <v>Ridgeway #2</v>
      </c>
      <c r="B96" s="25" t="str">
        <v>NY</v>
      </c>
      <c r="C96" s="25" t="str">
        <f>Sites[[#This Row],[SOL'#]]</f>
        <v>SOL-11027</v>
      </c>
      <c r="D96" s="20">
        <v>403955</v>
      </c>
      <c r="E96" s="10" t="s">
        <v>656</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773</v>
      </c>
      <c r="L96" s="115" t="s">
        <v>774</v>
      </c>
      <c r="M96" s="106" t="s">
        <v>775</v>
      </c>
      <c r="N96" s="106" t="s">
        <v>776</v>
      </c>
      <c r="O96" s="106" t="s">
        <v>777</v>
      </c>
      <c r="P96" s="107"/>
      <c r="Q96" s="107"/>
      <c r="R96" s="107"/>
      <c r="S96" s="107"/>
      <c r="T96" s="107"/>
    </row>
    <row r="97" spans="1:20" ht="142.5">
      <c r="A97" s="26" t="str">
        <v>Spencer</v>
      </c>
      <c r="B97" s="27" t="str">
        <v>NY</v>
      </c>
      <c r="C97" s="27" t="str">
        <f>Sites[[#This Row],[SOL'#]]</f>
        <v>SOL-11017</v>
      </c>
      <c r="D97" s="9">
        <v>803402</v>
      </c>
      <c r="E97" s="14" t="s">
        <v>656</v>
      </c>
      <c r="F97" s="14" t="str">
        <f t="shared" si="8"/>
        <v/>
      </c>
      <c r="G97" s="15" t="str">
        <f t="shared" si="9"/>
        <v/>
      </c>
      <c r="H97" s="16">
        <v>1003955</v>
      </c>
      <c r="I97" s="16">
        <f t="shared" si="10"/>
        <v>-200553</v>
      </c>
      <c r="J97" s="15">
        <f t="shared" si="11"/>
        <v>-0.19976293758186373</v>
      </c>
      <c r="K97" s="38" t="s">
        <v>778</v>
      </c>
      <c r="L97" s="116" t="s">
        <v>779</v>
      </c>
      <c r="M97" s="106" t="s">
        <v>780</v>
      </c>
      <c r="N97" s="106" t="s">
        <v>781</v>
      </c>
      <c r="O97" s="106" t="s">
        <v>782</v>
      </c>
      <c r="P97" s="107"/>
      <c r="Q97" s="107"/>
      <c r="R97" s="107"/>
      <c r="S97" s="107"/>
      <c r="T97" s="107"/>
    </row>
    <row r="98" spans="1:20" ht="28.5">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783</v>
      </c>
      <c r="L98" s="115" t="s">
        <v>784</v>
      </c>
      <c r="M98" s="107"/>
      <c r="N98" s="107"/>
      <c r="O98" s="107"/>
      <c r="P98" s="107"/>
      <c r="Q98" s="107"/>
      <c r="R98" s="107"/>
      <c r="S98" s="107"/>
      <c r="T98" s="107"/>
    </row>
    <row r="99" spans="1:20" ht="15.75">
      <c r="A99" s="26" t="str">
        <v>Finney</v>
      </c>
      <c r="B99" s="27" t="str">
        <v>NY</v>
      </c>
      <c r="C99" s="27" t="str">
        <f>Sites[[#This Row],[SOL'#]]</f>
        <v>SOL-10999</v>
      </c>
      <c r="D99" s="66">
        <v>981210</v>
      </c>
      <c r="E99" s="14" t="s">
        <v>656</v>
      </c>
      <c r="F99" s="14" t="str">
        <f t="shared" si="8"/>
        <v/>
      </c>
      <c r="G99" s="68" t="str">
        <f t="shared" si="9"/>
        <v/>
      </c>
      <c r="H99" s="69">
        <v>1005784.59</v>
      </c>
      <c r="I99" s="69">
        <f t="shared" si="12"/>
        <v>-24574.589999999967</v>
      </c>
      <c r="J99" s="68">
        <f t="shared" si="13"/>
        <v>-2.4433253645295926E-2</v>
      </c>
      <c r="K99" s="38"/>
      <c r="L99" s="17"/>
      <c r="M99" s="107"/>
      <c r="N99" s="107"/>
      <c r="O99" s="107"/>
      <c r="P99" s="107"/>
      <c r="Q99" s="107"/>
      <c r="R99" s="107"/>
      <c r="S99" s="107"/>
      <c r="T99" s="107"/>
    </row>
    <row r="100" spans="1:20" ht="28.5">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785</v>
      </c>
      <c r="L100" s="115" t="s">
        <v>786</v>
      </c>
      <c r="M100" s="107"/>
      <c r="N100" s="107"/>
      <c r="O100" s="107"/>
      <c r="P100" s="107"/>
      <c r="Q100" s="107"/>
      <c r="R100" s="107"/>
      <c r="S100" s="107"/>
      <c r="T100" s="107"/>
    </row>
    <row r="101" spans="1:20" ht="142.5">
      <c r="A101" s="26" t="str">
        <v>Genesee</v>
      </c>
      <c r="B101" s="27" t="str">
        <v>NY</v>
      </c>
      <c r="C101" s="27" t="str">
        <f>Sites[[#This Row],[SOL'#]]</f>
        <v>SOL-10951</v>
      </c>
      <c r="D101" s="66">
        <v>353751</v>
      </c>
      <c r="E101" s="14" t="s">
        <v>656</v>
      </c>
      <c r="F101" s="14" t="str">
        <f t="shared" si="8"/>
        <v/>
      </c>
      <c r="G101" s="68" t="str">
        <f t="shared" si="9"/>
        <v/>
      </c>
      <c r="H101" s="69">
        <v>766542.12</v>
      </c>
      <c r="I101" s="69">
        <f t="shared" si="12"/>
        <v>-412791.12</v>
      </c>
      <c r="J101" s="68">
        <f t="shared" si="13"/>
        <v>-0.53851068223100385</v>
      </c>
      <c r="K101" s="38" t="s">
        <v>787</v>
      </c>
      <c r="L101" s="128" t="s">
        <v>788</v>
      </c>
      <c r="M101" s="106" t="s">
        <v>789</v>
      </c>
      <c r="N101" s="106" t="s">
        <v>790</v>
      </c>
      <c r="O101" s="106" t="s">
        <v>791</v>
      </c>
      <c r="P101" s="107"/>
      <c r="Q101" s="107"/>
      <c r="R101" s="107"/>
      <c r="S101" s="107"/>
      <c r="T101" s="107"/>
    </row>
    <row r="102" spans="1:20" ht="15.75">
      <c r="A102" s="24" t="str">
        <v>Landau I</v>
      </c>
      <c r="B102" s="25" t="str">
        <v>NY</v>
      </c>
      <c r="C102" s="25" t="str">
        <f>Sites[[#This Row],[SOL'#]]</f>
        <v>SOL-10891</v>
      </c>
      <c r="D102" s="54">
        <v>338540</v>
      </c>
      <c r="E102" s="10" t="s">
        <v>656</v>
      </c>
      <c r="F102" s="10" t="str">
        <f t="shared" si="8"/>
        <v/>
      </c>
      <c r="G102" s="55" t="str">
        <f t="shared" si="9"/>
        <v/>
      </c>
      <c r="H102" s="67">
        <v>368283.57</v>
      </c>
      <c r="I102" s="67">
        <f t="shared" si="12"/>
        <v>-29743.570000000007</v>
      </c>
      <c r="J102" s="64">
        <f t="shared" si="13"/>
        <v>-8.0762685123314096E-2</v>
      </c>
      <c r="K102" s="56"/>
      <c r="L102" s="37"/>
      <c r="M102" s="107"/>
      <c r="N102" s="107"/>
      <c r="O102" s="107"/>
      <c r="P102" s="107"/>
      <c r="Q102" s="107"/>
      <c r="R102" s="107"/>
      <c r="S102" s="107"/>
      <c r="T102" s="107"/>
    </row>
    <row r="103" spans="1:20" ht="261.75" customHeight="1">
      <c r="A103" s="26" t="str">
        <v>Landau II</v>
      </c>
      <c r="B103" s="27" t="str">
        <v>NY</v>
      </c>
      <c r="C103" s="27" t="str">
        <f>Sites[[#This Row],[SOL'#]]</f>
        <v>SOL-10895</v>
      </c>
      <c r="D103" s="66">
        <v>392870</v>
      </c>
      <c r="E103" s="14" t="s">
        <v>656</v>
      </c>
      <c r="F103" s="14" t="str">
        <f t="shared" si="8"/>
        <v/>
      </c>
      <c r="G103" s="68" t="str">
        <f t="shared" si="9"/>
        <v/>
      </c>
      <c r="H103" s="69">
        <v>825724.48</v>
      </c>
      <c r="I103" s="69">
        <f t="shared" si="12"/>
        <v>-432854.48</v>
      </c>
      <c r="J103" s="68">
        <f t="shared" si="13"/>
        <v>-0.52421175644447404</v>
      </c>
      <c r="K103" s="38" t="s">
        <v>792</v>
      </c>
      <c r="L103" s="128" t="s">
        <v>793</v>
      </c>
      <c r="M103" s="106" t="s">
        <v>794</v>
      </c>
      <c r="N103" s="106" t="s">
        <v>795</v>
      </c>
      <c r="O103" s="106" t="s">
        <v>796</v>
      </c>
      <c r="P103" s="106" t="s">
        <v>797</v>
      </c>
      <c r="Q103" s="106" t="s">
        <v>798</v>
      </c>
      <c r="R103" s="107"/>
      <c r="S103" s="107"/>
      <c r="T103" s="107"/>
    </row>
    <row r="104" spans="1:20" ht="15.75">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7"/>
      <c r="N104" s="107"/>
      <c r="O104" s="107"/>
      <c r="P104" s="107"/>
      <c r="Q104" s="107"/>
      <c r="R104" s="107"/>
      <c r="S104" s="107"/>
      <c r="T104" s="107"/>
    </row>
    <row r="105" spans="1:20" ht="15.75">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7"/>
      <c r="N105" s="107"/>
      <c r="O105" s="107"/>
      <c r="P105" s="107"/>
      <c r="Q105" s="107"/>
      <c r="R105" s="107"/>
      <c r="S105" s="107"/>
      <c r="T105" s="107"/>
    </row>
    <row r="106" spans="1:20" ht="28.5">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538</v>
      </c>
      <c r="L106" s="115" t="s">
        <v>799</v>
      </c>
      <c r="M106" s="106" t="s">
        <v>540</v>
      </c>
      <c r="N106" s="107"/>
      <c r="O106" s="107"/>
      <c r="P106" s="107"/>
      <c r="Q106" s="107"/>
      <c r="R106" s="107"/>
      <c r="S106" s="107"/>
      <c r="T106" s="107"/>
    </row>
    <row r="107" spans="1:20" ht="99.75">
      <c r="A107" s="26" t="str">
        <v>Svenski</v>
      </c>
      <c r="B107" s="27" t="str">
        <v>NY</v>
      </c>
      <c r="C107" s="27" t="str">
        <f>Sites[[#This Row],[SOL'#]]</f>
        <v>SOL-10894</v>
      </c>
      <c r="D107" s="66">
        <v>328257</v>
      </c>
      <c r="E107" s="14" t="s">
        <v>656</v>
      </c>
      <c r="F107" s="14" t="str">
        <f t="shared" si="8"/>
        <v/>
      </c>
      <c r="G107" s="68" t="str">
        <f t="shared" si="9"/>
        <v/>
      </c>
      <c r="H107" s="69">
        <v>401358.09</v>
      </c>
      <c r="I107" s="69">
        <f t="shared" si="12"/>
        <v>-73101.090000000026</v>
      </c>
      <c r="J107" s="68">
        <f t="shared" si="13"/>
        <v>-0.18213433794245937</v>
      </c>
      <c r="K107" s="38" t="s">
        <v>800</v>
      </c>
      <c r="L107" s="128" t="s">
        <v>801</v>
      </c>
      <c r="M107" s="106" t="s">
        <v>802</v>
      </c>
      <c r="N107" s="106" t="s">
        <v>803</v>
      </c>
      <c r="O107" s="107"/>
      <c r="P107" s="107"/>
      <c r="Q107" s="107"/>
      <c r="R107" s="107"/>
      <c r="S107" s="107"/>
      <c r="T107" s="107"/>
    </row>
    <row r="108" spans="1:20" ht="101.1" customHeight="1">
      <c r="A108" s="24" t="str">
        <v>Bantam</v>
      </c>
      <c r="B108" s="25" t="str">
        <v>NY</v>
      </c>
      <c r="C108" s="25" t="str">
        <f>Sites[[#This Row],[SOL'#]]</f>
        <v>SOL-10986</v>
      </c>
      <c r="D108" s="54">
        <v>47670</v>
      </c>
      <c r="E108" s="10" t="s">
        <v>656</v>
      </c>
      <c r="F108" s="10" t="str">
        <f t="shared" si="8"/>
        <v/>
      </c>
      <c r="G108" s="55" t="str">
        <f t="shared" si="9"/>
        <v/>
      </c>
      <c r="H108" s="67">
        <v>981035.1</v>
      </c>
      <c r="I108" s="67">
        <f t="shared" si="12"/>
        <v>-933365.1</v>
      </c>
      <c r="J108" s="64">
        <f t="shared" si="13"/>
        <v>-0.95140846642490162</v>
      </c>
      <c r="K108" s="56" t="s">
        <v>804</v>
      </c>
      <c r="L108" s="115" t="s">
        <v>805</v>
      </c>
      <c r="M108" s="106" t="s">
        <v>806</v>
      </c>
      <c r="N108" s="106" t="s">
        <v>807</v>
      </c>
      <c r="O108" s="106" t="s">
        <v>808</v>
      </c>
      <c r="P108" s="107"/>
      <c r="Q108" s="107"/>
      <c r="R108" s="107"/>
      <c r="S108" s="107"/>
      <c r="T108" s="107"/>
    </row>
    <row r="109" spans="1:20" ht="28.5">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546</v>
      </c>
      <c r="L109" s="120" t="s">
        <v>159</v>
      </c>
      <c r="M109" s="107"/>
      <c r="N109" s="107"/>
      <c r="O109" s="107"/>
      <c r="P109" s="107"/>
      <c r="Q109" s="107"/>
      <c r="R109" s="107"/>
      <c r="S109" s="107"/>
      <c r="T109" s="107"/>
    </row>
    <row r="110" spans="1:20" ht="48.75" customHeight="1">
      <c r="A110" s="24" t="str">
        <v>Dubois</v>
      </c>
      <c r="B110" s="25" t="str">
        <v>NY</v>
      </c>
      <c r="C110" s="25" t="str">
        <f>Sites[[#This Row],[SOL'#]]</f>
        <v>SOL-10892</v>
      </c>
      <c r="D110" s="54">
        <v>330690</v>
      </c>
      <c r="E110" s="10" t="s">
        <v>656</v>
      </c>
      <c r="F110" s="10" t="str">
        <f t="shared" si="8"/>
        <v/>
      </c>
      <c r="G110" s="55" t="str">
        <f t="shared" si="9"/>
        <v/>
      </c>
      <c r="H110" s="67"/>
      <c r="I110" s="67" t="str">
        <f t="shared" si="12"/>
        <v/>
      </c>
      <c r="J110" s="64" t="str">
        <f t="shared" si="13"/>
        <v/>
      </c>
      <c r="K110" s="56" t="s">
        <v>809</v>
      </c>
      <c r="L110" s="115" t="s">
        <v>810</v>
      </c>
      <c r="M110" s="107"/>
      <c r="N110" s="107"/>
      <c r="O110" s="107"/>
      <c r="P110" s="107"/>
      <c r="Q110" s="107"/>
      <c r="R110" s="107"/>
      <c r="S110" s="107"/>
      <c r="T110" s="107"/>
    </row>
    <row r="111" spans="1:20" ht="84" customHeight="1">
      <c r="A111" s="26" t="str">
        <v>Salt Point</v>
      </c>
      <c r="B111" s="27" t="str">
        <v>NY</v>
      </c>
      <c r="C111" s="27" t="str">
        <f>Sites[[#This Row],[SOL'#]]</f>
        <v>SOL-10888</v>
      </c>
      <c r="D111" s="66">
        <v>331500</v>
      </c>
      <c r="E111" s="14" t="s">
        <v>656</v>
      </c>
      <c r="F111" s="14" t="str">
        <f t="shared" si="8"/>
        <v/>
      </c>
      <c r="G111" s="68" t="str">
        <f t="shared" si="9"/>
        <v/>
      </c>
      <c r="H111" s="69">
        <v>419761.74</v>
      </c>
      <c r="I111" s="69">
        <f t="shared" si="12"/>
        <v>-88261.739999999991</v>
      </c>
      <c r="J111" s="68">
        <f t="shared" si="13"/>
        <v>-0.21026628105743986</v>
      </c>
      <c r="K111" s="139" t="s">
        <v>548</v>
      </c>
      <c r="L111" s="120" t="s">
        <v>811</v>
      </c>
      <c r="M111" s="107"/>
      <c r="N111" s="107"/>
      <c r="O111" s="107"/>
      <c r="P111" s="107"/>
      <c r="Q111" s="107"/>
      <c r="R111" s="107"/>
      <c r="S111" s="107"/>
      <c r="T111" s="107"/>
    </row>
    <row r="112" spans="1:20" ht="198" customHeight="1">
      <c r="A112" s="24" t="str">
        <v>Wheatland 2A</v>
      </c>
      <c r="B112" s="25" t="str">
        <v>NY</v>
      </c>
      <c r="C112" s="25" t="str">
        <f>Sites[[#This Row],[SOL'#]]</f>
        <v>SOL-10971</v>
      </c>
      <c r="D112" s="54">
        <v>778710</v>
      </c>
      <c r="E112" s="10" t="s">
        <v>656</v>
      </c>
      <c r="F112" s="10" t="str">
        <f t="shared" si="8"/>
        <v/>
      </c>
      <c r="G112" s="55" t="str">
        <f t="shared" si="9"/>
        <v/>
      </c>
      <c r="H112" s="67">
        <v>839262.6</v>
      </c>
      <c r="I112" s="67">
        <f t="shared" si="12"/>
        <v>-60552.599999999977</v>
      </c>
      <c r="J112" s="64">
        <f t="shared" si="13"/>
        <v>-7.2149765758655254E-2</v>
      </c>
      <c r="K112" s="56" t="s">
        <v>812</v>
      </c>
      <c r="L112" s="115" t="s">
        <v>813</v>
      </c>
      <c r="M112" s="106" t="s">
        <v>814</v>
      </c>
      <c r="N112" s="106" t="s">
        <v>815</v>
      </c>
      <c r="O112" s="107"/>
      <c r="P112" s="107"/>
      <c r="Q112" s="107"/>
      <c r="R112" s="107"/>
      <c r="S112" s="107"/>
      <c r="T112" s="107"/>
    </row>
    <row r="113" spans="1:20" ht="89.25" customHeight="1">
      <c r="A113" s="26" t="str">
        <v>Wheatland 2B</v>
      </c>
      <c r="B113" s="27" t="str">
        <v>NY</v>
      </c>
      <c r="C113" s="27" t="str">
        <f>Sites[[#This Row],[SOL'#]]</f>
        <v>SOL-10961</v>
      </c>
      <c r="D113" s="66">
        <v>784270</v>
      </c>
      <c r="E113" s="14" t="s">
        <v>656</v>
      </c>
      <c r="F113" s="14" t="str">
        <f t="shared" si="8"/>
        <v/>
      </c>
      <c r="G113" s="68" t="str">
        <f t="shared" si="9"/>
        <v/>
      </c>
      <c r="H113" s="69">
        <v>833219.63</v>
      </c>
      <c r="I113" s="69">
        <f t="shared" si="12"/>
        <v>-48949.630000000005</v>
      </c>
      <c r="J113" s="68">
        <f t="shared" si="13"/>
        <v>-5.8747571753680367E-2</v>
      </c>
      <c r="K113" s="50" t="s">
        <v>816</v>
      </c>
      <c r="L113" s="128" t="s">
        <v>817</v>
      </c>
      <c r="M113" s="106" t="s">
        <v>818</v>
      </c>
      <c r="N113" s="107"/>
      <c r="O113" s="107"/>
      <c r="P113" s="107"/>
      <c r="Q113" s="107"/>
      <c r="R113" s="107"/>
      <c r="S113" s="107"/>
      <c r="T113" s="107"/>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819</v>
      </c>
      <c r="L114" s="115" t="s">
        <v>820</v>
      </c>
      <c r="M114" s="106" t="s">
        <v>341</v>
      </c>
      <c r="N114" s="106" t="s">
        <v>821</v>
      </c>
      <c r="O114" s="107"/>
      <c r="P114" s="107"/>
      <c r="Q114" s="107"/>
      <c r="R114" s="107"/>
      <c r="S114" s="107"/>
      <c r="T114" s="107"/>
    </row>
    <row r="115" spans="1:20" ht="15.75">
      <c r="A115" s="26" t="str">
        <v>McCarthy Solar</v>
      </c>
      <c r="B115" s="27" t="str">
        <v>NY</v>
      </c>
      <c r="C115" s="27" t="str">
        <f>Sites[[#This Row],[SOL'#]]</f>
        <v>SOL-10992</v>
      </c>
      <c r="D115" s="66">
        <v>342590</v>
      </c>
      <c r="E115" s="14" t="s">
        <v>656</v>
      </c>
      <c r="F115" s="14" t="str">
        <f t="shared" si="8"/>
        <v/>
      </c>
      <c r="G115" s="68" t="str">
        <f t="shared" si="9"/>
        <v/>
      </c>
      <c r="H115" s="69">
        <v>359833.18</v>
      </c>
      <c r="I115" s="69">
        <f t="shared" si="12"/>
        <v>-17243.179999999993</v>
      </c>
      <c r="J115" s="68">
        <f t="shared" si="13"/>
        <v>-4.7919927784313809E-2</v>
      </c>
      <c r="K115" s="38"/>
      <c r="L115" s="17"/>
      <c r="M115" s="107"/>
      <c r="N115" s="107"/>
      <c r="O115" s="107"/>
      <c r="P115" s="107"/>
      <c r="Q115" s="107"/>
      <c r="R115" s="107"/>
      <c r="S115" s="107"/>
      <c r="T115" s="107"/>
    </row>
    <row r="116" spans="1:20" ht="57">
      <c r="A116" s="24" t="str">
        <v>Costanza</v>
      </c>
      <c r="B116" s="25" t="str">
        <v>NY</v>
      </c>
      <c r="C116" s="25" t="str">
        <f>Sites[[#This Row],[SOL'#]]</f>
        <v>SOL-10907</v>
      </c>
      <c r="D116" s="54">
        <v>360380</v>
      </c>
      <c r="E116" s="10" t="s">
        <v>656</v>
      </c>
      <c r="F116" s="10" t="str">
        <f t="shared" si="8"/>
        <v/>
      </c>
      <c r="G116" s="55" t="str">
        <f t="shared" si="9"/>
        <v/>
      </c>
      <c r="H116" s="67">
        <v>375749.63</v>
      </c>
      <c r="I116" s="67">
        <f t="shared" si="12"/>
        <v>-15369.630000000005</v>
      </c>
      <c r="J116" s="64">
        <f t="shared" si="13"/>
        <v>-4.0903912533460124E-2</v>
      </c>
      <c r="K116" s="56" t="s">
        <v>822</v>
      </c>
      <c r="L116" s="115" t="s">
        <v>823</v>
      </c>
      <c r="M116" s="106" t="s">
        <v>824</v>
      </c>
      <c r="N116" s="107"/>
      <c r="O116" s="107"/>
      <c r="P116" s="107"/>
      <c r="Q116" s="107"/>
      <c r="R116" s="107"/>
      <c r="S116" s="107"/>
      <c r="T116" s="107"/>
    </row>
    <row r="117" spans="1:20" ht="15.75">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7"/>
      <c r="N117" s="107"/>
      <c r="O117" s="107"/>
      <c r="P117" s="107"/>
      <c r="Q117" s="107"/>
      <c r="R117" s="107"/>
      <c r="S117" s="107"/>
      <c r="T117" s="107"/>
    </row>
    <row r="118" spans="1:20" ht="15.75">
      <c r="A118" s="24" t="str">
        <v>Drinkwater</v>
      </c>
      <c r="B118" s="25" t="str">
        <v>NY</v>
      </c>
      <c r="C118" s="25" t="str">
        <f>Sites[[#This Row],[SOL'#]]</f>
        <v>SOL-10896</v>
      </c>
      <c r="D118" s="54">
        <v>347150</v>
      </c>
      <c r="E118" s="10" t="s">
        <v>656</v>
      </c>
      <c r="F118" s="10" t="str">
        <f t="shared" si="8"/>
        <v/>
      </c>
      <c r="G118" s="55" t="str">
        <f t="shared" si="9"/>
        <v/>
      </c>
      <c r="H118" s="67">
        <v>359295.77</v>
      </c>
      <c r="I118" s="67">
        <f t="shared" si="12"/>
        <v>-12145.770000000019</v>
      </c>
      <c r="J118" s="64">
        <f t="shared" si="13"/>
        <v>-3.3804377936316972E-2</v>
      </c>
      <c r="K118" s="56"/>
      <c r="L118" s="37"/>
      <c r="M118" s="107"/>
      <c r="N118" s="107"/>
      <c r="O118" s="107"/>
      <c r="P118" s="107"/>
      <c r="Q118" s="107"/>
      <c r="R118" s="107"/>
      <c r="S118" s="107"/>
      <c r="T118" s="107"/>
    </row>
    <row r="119" spans="1:20" ht="28.5">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825</v>
      </c>
      <c r="L119" s="120" t="s">
        <v>826</v>
      </c>
      <c r="M119" s="107"/>
      <c r="N119" s="107"/>
      <c r="O119" s="107"/>
      <c r="P119" s="107"/>
      <c r="Q119" s="107"/>
      <c r="R119" s="107"/>
      <c r="S119" s="107"/>
      <c r="T119" s="107"/>
    </row>
    <row r="120" spans="1:20" ht="15.75">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7"/>
      <c r="N120" s="107"/>
      <c r="O120" s="107"/>
      <c r="P120" s="107"/>
      <c r="Q120" s="107"/>
      <c r="R120" s="107"/>
      <c r="S120" s="107"/>
      <c r="T120" s="107"/>
    </row>
    <row r="121" spans="1:20" ht="15.75">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7"/>
      <c r="N121" s="107"/>
      <c r="O121" s="107"/>
      <c r="P121" s="107"/>
      <c r="Q121" s="107"/>
      <c r="R121" s="107"/>
      <c r="S121" s="107"/>
      <c r="T121" s="107"/>
    </row>
    <row r="122" spans="1:20" ht="15.75">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7"/>
      <c r="N122" s="107"/>
      <c r="O122" s="107"/>
      <c r="P122" s="107"/>
      <c r="Q122" s="107"/>
      <c r="R122" s="107"/>
      <c r="S122" s="107"/>
      <c r="T122" s="107"/>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9" t="s">
        <v>827</v>
      </c>
      <c r="L123" s="128" t="s">
        <v>828</v>
      </c>
      <c r="M123" s="106" t="s">
        <v>353</v>
      </c>
      <c r="N123" s="106" t="s">
        <v>829</v>
      </c>
      <c r="O123" s="106" t="s">
        <v>830</v>
      </c>
      <c r="P123" s="107"/>
      <c r="Q123" s="107"/>
      <c r="R123" s="107"/>
      <c r="S123" s="107"/>
      <c r="T123" s="107"/>
    </row>
    <row r="124" spans="1:20" ht="15.75">
      <c r="A124" s="24" t="str">
        <v>X095</v>
      </c>
      <c r="B124" s="25" t="str">
        <v>NY</v>
      </c>
      <c r="C124" s="25" t="str">
        <f>Sites[[#This Row],[SOL'#]]</f>
        <v>SOL-10929</v>
      </c>
      <c r="D124" s="54">
        <v>17585.31640625</v>
      </c>
      <c r="E124" s="10" t="s">
        <v>656</v>
      </c>
      <c r="F124" s="10" t="str">
        <f t="shared" si="8"/>
        <v/>
      </c>
      <c r="G124" s="55" t="str">
        <f t="shared" si="9"/>
        <v/>
      </c>
      <c r="H124" s="67">
        <v>18495</v>
      </c>
      <c r="I124" s="67">
        <f t="shared" si="12"/>
        <v>-909.68359375</v>
      </c>
      <c r="J124" s="64">
        <f t="shared" si="13"/>
        <v>-4.9185379494457962E-2</v>
      </c>
      <c r="K124" s="56"/>
      <c r="L124" s="37"/>
      <c r="M124" s="107"/>
      <c r="N124" s="107"/>
      <c r="O124" s="107"/>
      <c r="P124" s="107"/>
      <c r="Q124" s="107"/>
      <c r="R124" s="107"/>
      <c r="S124" s="107"/>
      <c r="T124" s="107"/>
    </row>
    <row r="125" spans="1:20" ht="15.75">
      <c r="A125" s="26" t="str">
        <v>X181</v>
      </c>
      <c r="B125" s="27" t="str">
        <v>NY</v>
      </c>
      <c r="C125" s="27" t="str">
        <f>Sites[[#This Row],[SOL'#]]</f>
        <v>SOL-10428</v>
      </c>
      <c r="D125" s="66">
        <v>32407.290390624999</v>
      </c>
      <c r="E125" s="14" t="s">
        <v>656</v>
      </c>
      <c r="F125" s="14" t="str">
        <f t="shared" si="8"/>
        <v/>
      </c>
      <c r="G125" s="68" t="str">
        <f t="shared" si="9"/>
        <v/>
      </c>
      <c r="H125" s="69">
        <v>33412</v>
      </c>
      <c r="I125" s="69">
        <f t="shared" si="12"/>
        <v>-1004.7096093750006</v>
      </c>
      <c r="J125" s="68">
        <f t="shared" si="13"/>
        <v>-3.0070322320573464E-2</v>
      </c>
      <c r="K125" s="38"/>
      <c r="L125" s="17"/>
      <c r="M125" s="107"/>
      <c r="N125" s="107"/>
      <c r="O125" s="107"/>
      <c r="P125" s="107"/>
      <c r="Q125" s="107"/>
      <c r="R125" s="107"/>
      <c r="S125" s="107"/>
      <c r="T125" s="107"/>
    </row>
    <row r="126" spans="1:20" ht="15.75">
      <c r="A126" s="24" t="str">
        <v>X415</v>
      </c>
      <c r="B126" s="25" t="str">
        <v>NY</v>
      </c>
      <c r="C126" s="25" t="str">
        <f>Sites[[#This Row],[SOL'#]]</f>
        <v>SOL-10429</v>
      </c>
      <c r="D126" s="54">
        <v>20488.828125</v>
      </c>
      <c r="E126" s="10" t="s">
        <v>656</v>
      </c>
      <c r="F126" s="10" t="str">
        <f t="shared" si="8"/>
        <v/>
      </c>
      <c r="G126" s="55" t="str">
        <f t="shared" si="9"/>
        <v/>
      </c>
      <c r="H126" s="67">
        <v>19306</v>
      </c>
      <c r="I126" s="67">
        <f t="shared" si="12"/>
        <v>1182.828125</v>
      </c>
      <c r="J126" s="64">
        <f t="shared" si="13"/>
        <v>6.1267384491867811E-2</v>
      </c>
      <c r="K126" s="56"/>
      <c r="L126" s="37"/>
      <c r="M126" s="107"/>
      <c r="N126" s="107"/>
      <c r="O126" s="107"/>
      <c r="P126" s="107"/>
      <c r="Q126" s="107"/>
      <c r="R126" s="107"/>
      <c r="S126" s="107"/>
      <c r="T126" s="107"/>
    </row>
    <row r="127" spans="1:20" ht="15.75">
      <c r="A127" s="26" t="str">
        <v>K198</v>
      </c>
      <c r="B127" s="27" t="str">
        <v>NY</v>
      </c>
      <c r="C127" s="27" t="str">
        <f>Sites[[#This Row],[SOL'#]]</f>
        <v>SOL-10930</v>
      </c>
      <c r="D127" s="66">
        <v>14934.17578125</v>
      </c>
      <c r="E127" s="14" t="s">
        <v>656</v>
      </c>
      <c r="F127" s="14" t="str">
        <f t="shared" si="8"/>
        <v/>
      </c>
      <c r="G127" s="68" t="str">
        <f t="shared" si="9"/>
        <v/>
      </c>
      <c r="H127" s="69">
        <v>15025</v>
      </c>
      <c r="I127" s="69">
        <f t="shared" si="12"/>
        <v>-90.82421875</v>
      </c>
      <c r="J127" s="68">
        <f t="shared" si="13"/>
        <v>-6.0448731281198004E-3</v>
      </c>
      <c r="K127" s="38"/>
      <c r="L127" s="17"/>
      <c r="M127" s="107"/>
      <c r="N127" s="107"/>
      <c r="O127" s="107"/>
      <c r="P127" s="107"/>
      <c r="Q127" s="107"/>
      <c r="R127" s="107"/>
      <c r="S127" s="107"/>
      <c r="T127" s="107"/>
    </row>
    <row r="128" spans="1:20" ht="15.75">
      <c r="A128" s="24" t="str">
        <v>K203</v>
      </c>
      <c r="B128" s="25" t="str">
        <v>NY</v>
      </c>
      <c r="C128" s="25" t="str">
        <f>Sites[[#This Row],[SOL'#]]</f>
        <v>SOL-11190</v>
      </c>
      <c r="D128" s="54">
        <v>18670.099999999999</v>
      </c>
      <c r="E128" s="10">
        <v>17017.400000000001</v>
      </c>
      <c r="F128" s="10">
        <f t="shared" ref="F128:F158" si="14">IF(AND(ISNUMBER(D128),ISNUMBER(E128)), D128-E128, "")</f>
        <v>1652.6999999999971</v>
      </c>
      <c r="G128" s="55">
        <f t="shared" ref="G128:G158" si="15">IFERROR(F128/E128, "")</f>
        <v>9.711824367999794E-2</v>
      </c>
      <c r="H128" s="67">
        <v>20769</v>
      </c>
      <c r="I128" s="67">
        <f t="shared" si="12"/>
        <v>-2098.9000000000015</v>
      </c>
      <c r="J128" s="64">
        <f t="shared" si="13"/>
        <v>-0.10105927102893743</v>
      </c>
      <c r="K128" s="56" t="s">
        <v>831</v>
      </c>
      <c r="L128" s="115" t="s">
        <v>577</v>
      </c>
      <c r="M128" s="107"/>
      <c r="N128" s="107"/>
      <c r="O128" s="107"/>
      <c r="P128" s="107"/>
      <c r="Q128" s="107"/>
      <c r="R128" s="107"/>
      <c r="S128" s="107"/>
      <c r="T128" s="107"/>
    </row>
    <row r="129" spans="1:20" ht="57">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832</v>
      </c>
      <c r="L129" s="120" t="s">
        <v>833</v>
      </c>
      <c r="M129" s="107"/>
      <c r="N129" s="107"/>
      <c r="O129" s="107"/>
      <c r="P129" s="107"/>
      <c r="Q129" s="107"/>
      <c r="R129" s="107"/>
      <c r="S129" s="107"/>
      <c r="T129" s="107"/>
    </row>
    <row r="130" spans="1:20" ht="15.75">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9" si="16">IF(AND(ISNUMBER(D130),ISNUMBER(H130)), D130-H130, "")</f>
        <v>-196.3515625</v>
      </c>
      <c r="J130" s="64">
        <f t="shared" ref="J130:J158" si="17">IFERROR(I130/H130, "")</f>
        <v>-1.6849872350467691E-2</v>
      </c>
      <c r="K130" s="56"/>
      <c r="L130" s="37"/>
      <c r="M130" s="107"/>
      <c r="N130" s="107"/>
      <c r="O130" s="107"/>
      <c r="P130" s="107"/>
      <c r="Q130" s="107"/>
      <c r="R130" s="107"/>
      <c r="S130" s="107"/>
      <c r="T130" s="107"/>
    </row>
    <row r="131" spans="1:20" ht="15.75">
      <c r="A131" s="26" t="str">
        <v>K307</v>
      </c>
      <c r="B131" s="27" t="str">
        <v>NY</v>
      </c>
      <c r="C131" s="27" t="str">
        <f>Sites[[#This Row],[SOL'#]]</f>
        <v>SOL-10876</v>
      </c>
      <c r="D131" s="66">
        <v>23795.59375</v>
      </c>
      <c r="E131" s="14" t="s">
        <v>656</v>
      </c>
      <c r="F131" s="14" t="str">
        <f t="shared" si="14"/>
        <v/>
      </c>
      <c r="G131" s="68" t="str">
        <f t="shared" si="15"/>
        <v/>
      </c>
      <c r="H131" s="69">
        <v>24665</v>
      </c>
      <c r="I131" s="69">
        <f t="shared" si="16"/>
        <v>-869.40625</v>
      </c>
      <c r="J131" s="68">
        <f t="shared" si="17"/>
        <v>-3.52485809852017E-2</v>
      </c>
      <c r="K131" s="38"/>
      <c r="L131" s="17"/>
      <c r="M131" s="107"/>
      <c r="N131" s="107"/>
      <c r="O131" s="107"/>
      <c r="P131" s="107"/>
      <c r="Q131" s="107"/>
      <c r="R131" s="107"/>
      <c r="S131" s="107"/>
      <c r="T131" s="107"/>
    </row>
    <row r="132" spans="1:20" ht="15.75">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7"/>
      <c r="N132" s="107"/>
      <c r="O132" s="107"/>
      <c r="P132" s="107"/>
      <c r="Q132" s="107"/>
      <c r="R132" s="107"/>
      <c r="S132" s="107"/>
      <c r="T132" s="107"/>
    </row>
    <row r="133" spans="1:20" ht="282" customHeight="1">
      <c r="A133" s="26" t="str">
        <v>M025</v>
      </c>
      <c r="B133" s="27" t="str">
        <v>NY</v>
      </c>
      <c r="C133" s="27" t="str">
        <f>Sites[[#This Row],[SOL'#]]</f>
        <v>SOL-10392</v>
      </c>
      <c r="D133" s="66">
        <v>10017.521484375</v>
      </c>
      <c r="E133" s="14" t="s">
        <v>656</v>
      </c>
      <c r="F133" s="14" t="str">
        <f t="shared" si="14"/>
        <v/>
      </c>
      <c r="G133" s="68" t="str">
        <f t="shared" si="15"/>
        <v/>
      </c>
      <c r="H133" s="69">
        <v>24960</v>
      </c>
      <c r="I133" s="69">
        <f t="shared" si="16"/>
        <v>-14942.478515625</v>
      </c>
      <c r="J133" s="68">
        <f t="shared" si="17"/>
        <v>-0.59865699181189902</v>
      </c>
      <c r="K133" s="50" t="s">
        <v>834</v>
      </c>
      <c r="L133" s="128" t="s">
        <v>835</v>
      </c>
      <c r="M133" s="106" t="s">
        <v>836</v>
      </c>
      <c r="N133" s="106" t="s">
        <v>583</v>
      </c>
      <c r="O133" s="106" t="s">
        <v>584</v>
      </c>
      <c r="P133" s="106" t="s">
        <v>836</v>
      </c>
      <c r="Q133" s="106" t="s">
        <v>837</v>
      </c>
      <c r="R133" s="106" t="s">
        <v>838</v>
      </c>
      <c r="S133" s="107"/>
      <c r="T133" s="107"/>
    </row>
    <row r="134" spans="1:20" ht="15.75">
      <c r="A134" s="24" t="str">
        <v>M028</v>
      </c>
      <c r="B134" s="25" t="str">
        <v>NY</v>
      </c>
      <c r="C134" s="25" t="str">
        <f>Sites[[#This Row],[SOL'#]]</f>
        <v>SOL-10381</v>
      </c>
      <c r="D134" s="54">
        <v>19247.710762593299</v>
      </c>
      <c r="E134" s="10" t="s">
        <v>656</v>
      </c>
      <c r="F134" s="10" t="str">
        <f t="shared" si="14"/>
        <v/>
      </c>
      <c r="G134" s="55" t="str">
        <f t="shared" si="15"/>
        <v/>
      </c>
      <c r="H134" s="67">
        <v>19348</v>
      </c>
      <c r="I134" s="67">
        <f t="shared" si="16"/>
        <v>-100.28923740670143</v>
      </c>
      <c r="J134" s="64">
        <f t="shared" si="17"/>
        <v>-5.18344208221529E-3</v>
      </c>
      <c r="K134" s="56"/>
      <c r="L134" s="37"/>
      <c r="M134" s="107"/>
      <c r="N134" s="107"/>
      <c r="O134" s="107"/>
      <c r="P134" s="107"/>
      <c r="Q134" s="107"/>
      <c r="R134" s="107"/>
      <c r="S134" s="107"/>
      <c r="T134" s="107"/>
    </row>
    <row r="135" spans="1:20" ht="15.75">
      <c r="A135" s="26" t="str">
        <v>Q030</v>
      </c>
      <c r="B135" s="27" t="str">
        <v>NY</v>
      </c>
      <c r="C135" s="27" t="str">
        <f>Sites[[#This Row],[SOL'#]]</f>
        <v>SOL-10878</v>
      </c>
      <c r="D135" s="66">
        <v>23074.4142195352</v>
      </c>
      <c r="E135" s="14" t="s">
        <v>656</v>
      </c>
      <c r="F135" s="14" t="str">
        <f t="shared" si="14"/>
        <v/>
      </c>
      <c r="G135" s="68" t="str">
        <f t="shared" si="15"/>
        <v/>
      </c>
      <c r="H135" s="69">
        <v>23554</v>
      </c>
      <c r="I135" s="69">
        <f t="shared" si="16"/>
        <v>-479.58578046480034</v>
      </c>
      <c r="J135" s="68">
        <f t="shared" si="17"/>
        <v>-2.0361118301129334E-2</v>
      </c>
      <c r="K135" s="38"/>
      <c r="L135" s="17"/>
      <c r="M135" s="107"/>
      <c r="N135" s="107"/>
      <c r="O135" s="107"/>
      <c r="P135" s="107"/>
      <c r="Q135" s="107"/>
      <c r="R135" s="107"/>
      <c r="S135" s="107"/>
      <c r="T135" s="107"/>
    </row>
    <row r="136" spans="1:20" ht="15.75">
      <c r="A136" s="24" t="str">
        <v>Q130</v>
      </c>
      <c r="B136" s="25" t="str">
        <v>NY</v>
      </c>
      <c r="C136" s="25" t="str">
        <f>Sites[[#This Row],[SOL'#]]</f>
        <v>SOL-10877</v>
      </c>
      <c r="D136" s="54">
        <v>13305.36328125</v>
      </c>
      <c r="E136" s="10" t="s">
        <v>656</v>
      </c>
      <c r="F136" s="10" t="str">
        <f t="shared" si="14"/>
        <v/>
      </c>
      <c r="G136" s="55" t="str">
        <f t="shared" si="15"/>
        <v/>
      </c>
      <c r="H136" s="67">
        <v>13284.82</v>
      </c>
      <c r="I136" s="67">
        <f t="shared" si="16"/>
        <v>20.543281250000291</v>
      </c>
      <c r="J136" s="64">
        <f t="shared" si="17"/>
        <v>1.5463725703472302E-3</v>
      </c>
      <c r="K136" s="56"/>
      <c r="L136" s="37"/>
      <c r="M136" s="107"/>
      <c r="N136" s="107"/>
      <c r="O136" s="107"/>
      <c r="P136" s="107"/>
      <c r="Q136" s="107"/>
      <c r="R136" s="107"/>
      <c r="S136" s="107"/>
      <c r="T136" s="107"/>
    </row>
    <row r="137" spans="1:20" ht="15.75">
      <c r="A137" s="26" t="str">
        <v>Q196</v>
      </c>
      <c r="B137" s="27" t="str">
        <v>NY</v>
      </c>
      <c r="C137" s="27" t="str">
        <f>Sites[[#This Row],[SOL'#]]</f>
        <v>SOL-10879</v>
      </c>
      <c r="D137" s="66">
        <v>17258.2402929688</v>
      </c>
      <c r="E137" s="14" t="s">
        <v>656</v>
      </c>
      <c r="F137" s="14" t="str">
        <f t="shared" si="14"/>
        <v/>
      </c>
      <c r="G137" s="68" t="str">
        <f t="shared" si="15"/>
        <v/>
      </c>
      <c r="H137" s="69">
        <v>17187</v>
      </c>
      <c r="I137" s="69">
        <f t="shared" si="16"/>
        <v>71.240292968799622</v>
      </c>
      <c r="J137" s="68">
        <f t="shared" si="17"/>
        <v>4.1450103548495735E-3</v>
      </c>
      <c r="K137" s="38"/>
      <c r="L137" s="17"/>
      <c r="M137" s="107"/>
      <c r="N137" s="107"/>
      <c r="O137" s="107"/>
      <c r="P137" s="107"/>
      <c r="Q137" s="107"/>
      <c r="R137" s="107"/>
      <c r="S137" s="107"/>
      <c r="T137" s="107"/>
    </row>
    <row r="138" spans="1:20" ht="28.5">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839</v>
      </c>
      <c r="L138" s="115" t="s">
        <v>840</v>
      </c>
      <c r="M138" s="107"/>
      <c r="N138" s="107"/>
      <c r="O138" s="107"/>
      <c r="P138" s="107"/>
      <c r="Q138" s="107"/>
      <c r="R138" s="107"/>
      <c r="S138" s="107"/>
      <c r="T138" s="107"/>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841</v>
      </c>
      <c r="L139" s="120" t="s">
        <v>842</v>
      </c>
      <c r="M139" s="107"/>
      <c r="N139" s="107"/>
      <c r="O139" s="107"/>
      <c r="P139" s="107"/>
      <c r="Q139" s="107"/>
      <c r="R139" s="107"/>
      <c r="S139" s="107"/>
      <c r="T139" s="107"/>
    </row>
    <row r="140" spans="1:20" ht="158.25" customHeight="1">
      <c r="A140" s="24" t="str">
        <v>Q400</v>
      </c>
      <c r="B140" s="25" t="str">
        <v>NY</v>
      </c>
      <c r="C140" s="25" t="str">
        <f>Sites[[#This Row],[SOL'#]]</f>
        <v>SOL-10871</v>
      </c>
      <c r="D140" s="54">
        <v>27707.125</v>
      </c>
      <c r="E140" s="10" t="s">
        <v>656</v>
      </c>
      <c r="F140" s="10" t="str">
        <f t="shared" si="14"/>
        <v/>
      </c>
      <c r="G140" s="55" t="str">
        <f t="shared" si="15"/>
        <v/>
      </c>
      <c r="H140" s="67">
        <v>38017</v>
      </c>
      <c r="I140" s="67">
        <f t="shared" si="16"/>
        <v>-10309.875</v>
      </c>
      <c r="J140" s="64">
        <f t="shared" si="17"/>
        <v>-0.27119117763105977</v>
      </c>
      <c r="K140" s="56" t="s">
        <v>843</v>
      </c>
      <c r="L140" s="115" t="s">
        <v>844</v>
      </c>
      <c r="M140" s="106" t="s">
        <v>593</v>
      </c>
      <c r="N140" s="106" t="s">
        <v>594</v>
      </c>
      <c r="O140" s="106" t="s">
        <v>595</v>
      </c>
      <c r="P140" s="106" t="s">
        <v>845</v>
      </c>
      <c r="Q140" s="106" t="s">
        <v>846</v>
      </c>
      <c r="R140" s="107"/>
      <c r="S140" s="107"/>
      <c r="T140" s="107"/>
    </row>
    <row r="141" spans="1:20" ht="15.75">
      <c r="A141" s="26" t="str">
        <v>R003</v>
      </c>
      <c r="B141" s="27" t="str">
        <v>NY</v>
      </c>
      <c r="C141" s="27" t="str">
        <f>Sites[[#This Row],[SOL'#]]</f>
        <v>SOL-10416</v>
      </c>
      <c r="D141" s="66">
        <v>34622.038632812502</v>
      </c>
      <c r="E141" s="14" t="s">
        <v>656</v>
      </c>
      <c r="F141" s="14" t="str">
        <f t="shared" si="14"/>
        <v/>
      </c>
      <c r="G141" s="68" t="str">
        <f t="shared" si="15"/>
        <v/>
      </c>
      <c r="H141" s="69">
        <v>35285</v>
      </c>
      <c r="I141" s="69">
        <f t="shared" si="16"/>
        <v>-662.96136718749767</v>
      </c>
      <c r="J141" s="68">
        <f t="shared" si="17"/>
        <v>-1.8788759166430427E-2</v>
      </c>
      <c r="K141" s="38"/>
      <c r="L141" s="17"/>
      <c r="M141" s="107"/>
      <c r="N141" s="107"/>
      <c r="O141" s="107"/>
      <c r="P141" s="107"/>
      <c r="Q141" s="107"/>
      <c r="R141" s="107"/>
      <c r="S141" s="107"/>
      <c r="T141" s="107"/>
    </row>
    <row r="142" spans="1:20" ht="15.75">
      <c r="A142" s="24" t="str">
        <v>R007</v>
      </c>
      <c r="B142" s="25" t="str">
        <v>NY</v>
      </c>
      <c r="C142" s="25" t="str">
        <f>Sites[[#This Row],[SOL'#]]</f>
        <v>SOL-10417</v>
      </c>
      <c r="D142" s="54">
        <v>35700.671875</v>
      </c>
      <c r="E142" s="10" t="s">
        <v>656</v>
      </c>
      <c r="F142" s="10" t="str">
        <f t="shared" si="14"/>
        <v/>
      </c>
      <c r="G142" s="55" t="str">
        <f t="shared" si="15"/>
        <v/>
      </c>
      <c r="H142" s="67">
        <v>36329</v>
      </c>
      <c r="I142" s="67">
        <f t="shared" si="16"/>
        <v>-628.328125</v>
      </c>
      <c r="J142" s="64">
        <f t="shared" si="17"/>
        <v>-1.7295497398772331E-2</v>
      </c>
      <c r="K142" s="56"/>
      <c r="L142" s="37"/>
      <c r="M142" s="107"/>
      <c r="N142" s="107"/>
      <c r="O142" s="107"/>
      <c r="P142" s="107"/>
      <c r="Q142" s="107"/>
      <c r="R142" s="107"/>
      <c r="S142" s="107"/>
      <c r="T142" s="107"/>
    </row>
    <row r="143" spans="1:20" ht="28.5">
      <c r="A143" s="26" t="str">
        <v>BK16</v>
      </c>
      <c r="B143" s="27" t="str">
        <v>NY</v>
      </c>
      <c r="C143" s="27" t="str">
        <f>Sites[[#This Row],[SOL'#]]</f>
        <v>SOL-11093</v>
      </c>
      <c r="D143" s="66">
        <v>37304.8046875</v>
      </c>
      <c r="E143" s="14" t="s">
        <v>656</v>
      </c>
      <c r="F143" s="14" t="str">
        <f t="shared" si="14"/>
        <v/>
      </c>
      <c r="G143" s="68" t="str">
        <f t="shared" si="15"/>
        <v/>
      </c>
      <c r="H143" s="69">
        <v>37404</v>
      </c>
      <c r="I143" s="69">
        <f t="shared" si="16"/>
        <v>-99.1953125</v>
      </c>
      <c r="J143" s="68">
        <f t="shared" si="17"/>
        <v>-2.6519974467971341E-3</v>
      </c>
      <c r="K143" s="38" t="s">
        <v>847</v>
      </c>
      <c r="L143" s="106" t="s">
        <v>848</v>
      </c>
      <c r="M143" s="107"/>
      <c r="N143" s="107"/>
      <c r="O143" s="107"/>
      <c r="P143" s="107"/>
      <c r="Q143" s="107"/>
      <c r="R143" s="107"/>
      <c r="S143" s="107"/>
      <c r="T143" s="107"/>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849</v>
      </c>
      <c r="L144" s="122" t="s">
        <v>850</v>
      </c>
      <c r="M144" s="106" t="s">
        <v>851</v>
      </c>
      <c r="N144" s="107"/>
      <c r="O144" s="107"/>
      <c r="P144" s="107"/>
      <c r="Q144" s="107"/>
      <c r="R144" s="107"/>
      <c r="S144" s="107"/>
      <c r="T144" s="107"/>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852</v>
      </c>
      <c r="L145" s="120" t="s">
        <v>853</v>
      </c>
      <c r="M145" s="106" t="s">
        <v>854</v>
      </c>
      <c r="N145" s="107"/>
      <c r="O145" s="107"/>
      <c r="P145" s="107"/>
      <c r="Q145" s="107"/>
      <c r="R145" s="107"/>
      <c r="S145" s="107"/>
      <c r="T145" s="107"/>
    </row>
    <row r="146" spans="1:20" ht="15.75">
      <c r="A146" s="24" t="str">
        <v>Dakota - Dakota Solar 1</v>
      </c>
      <c r="B146" s="25" t="str">
        <v>IL</v>
      </c>
      <c r="C146" s="25" t="str">
        <f>Sites[[#This Row],[SOL'#]]</f>
        <v>SOL-11113</v>
      </c>
      <c r="D146" s="54">
        <v>404459</v>
      </c>
      <c r="E146" s="10">
        <v>493295.8</v>
      </c>
      <c r="F146" s="10">
        <f t="shared" si="14"/>
        <v>-88836.799999999988</v>
      </c>
      <c r="G146" s="55">
        <f t="shared" si="15"/>
        <v>-0.18008829590683723</v>
      </c>
      <c r="H146" s="134" t="s">
        <v>656</v>
      </c>
      <c r="I146" s="67" t="str">
        <f t="shared" si="16"/>
        <v/>
      </c>
      <c r="J146" s="64" t="str">
        <f t="shared" si="17"/>
        <v/>
      </c>
      <c r="K146" s="56" t="s">
        <v>855</v>
      </c>
      <c r="L146" s="122" t="s">
        <v>856</v>
      </c>
      <c r="M146" s="107"/>
      <c r="N146" s="107"/>
      <c r="O146" s="107"/>
      <c r="P146" s="107"/>
      <c r="Q146" s="107"/>
      <c r="R146" s="107"/>
      <c r="S146" s="107"/>
      <c r="T146" s="107"/>
    </row>
    <row r="147" spans="1:20" ht="42.7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857</v>
      </c>
      <c r="L147" s="128" t="s">
        <v>858</v>
      </c>
      <c r="M147" s="106" t="s">
        <v>859</v>
      </c>
      <c r="N147" s="106" t="s">
        <v>860</v>
      </c>
      <c r="O147" s="107"/>
      <c r="P147" s="107"/>
      <c r="Q147" s="107"/>
      <c r="R147" s="107"/>
      <c r="S147" s="107"/>
      <c r="T147" s="107"/>
    </row>
    <row r="148" spans="1:20" ht="28.5">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861</v>
      </c>
      <c r="L148" s="122" t="s">
        <v>862</v>
      </c>
      <c r="M148" s="107"/>
      <c r="N148" s="107"/>
      <c r="O148" s="107"/>
      <c r="P148" s="107"/>
      <c r="Q148" s="107"/>
      <c r="R148" s="107"/>
      <c r="S148" s="107"/>
      <c r="T148" s="107"/>
    </row>
    <row r="149" spans="1:20" ht="231.75" customHeight="1">
      <c r="A149" s="26" t="str">
        <v>County Route 11B</v>
      </c>
      <c r="B149" s="27" t="str">
        <v>NY</v>
      </c>
      <c r="C149" s="27" t="str">
        <f>Sites[[#This Row],[SOL'#]]</f>
        <v>SOL-10983</v>
      </c>
      <c r="D149" s="66">
        <v>746347</v>
      </c>
      <c r="E149" s="14" t="s">
        <v>656</v>
      </c>
      <c r="F149" s="14" t="str">
        <f t="shared" si="14"/>
        <v/>
      </c>
      <c r="G149" s="68" t="str">
        <f t="shared" si="15"/>
        <v/>
      </c>
      <c r="H149" s="133" t="s">
        <v>656</v>
      </c>
      <c r="I149" s="69" t="str">
        <f t="shared" si="16"/>
        <v/>
      </c>
      <c r="J149" s="68" t="str">
        <f t="shared" si="17"/>
        <v/>
      </c>
      <c r="K149" s="38" t="s">
        <v>863</v>
      </c>
      <c r="L149" s="105" t="s">
        <v>864</v>
      </c>
      <c r="M149" s="106" t="s">
        <v>865</v>
      </c>
      <c r="N149" s="106" t="s">
        <v>866</v>
      </c>
      <c r="O149" s="107"/>
      <c r="P149" s="107"/>
      <c r="Q149" s="107"/>
      <c r="R149" s="107"/>
      <c r="S149" s="107"/>
      <c r="T149" s="107"/>
    </row>
    <row r="150" spans="1:20" ht="114">
      <c r="A150" s="24" t="str">
        <v>Barone</v>
      </c>
      <c r="B150" s="25" t="str">
        <v>NY</v>
      </c>
      <c r="C150" s="25" t="str">
        <f>Sites[[#This Row],[SOL'#]]</f>
        <v>SOL-11034</v>
      </c>
      <c r="D150" s="54">
        <v>580700</v>
      </c>
      <c r="E150" s="10" t="s">
        <v>656</v>
      </c>
      <c r="F150" s="10" t="str">
        <f t="shared" si="14"/>
        <v/>
      </c>
      <c r="G150" s="55" t="str">
        <f t="shared" si="15"/>
        <v/>
      </c>
      <c r="H150" s="67">
        <v>550368.69999999995</v>
      </c>
      <c r="I150" s="67">
        <f t="shared" si="16"/>
        <v>30331.300000000047</v>
      </c>
      <c r="J150" s="64">
        <f t="shared" si="17"/>
        <v>5.5110873856016977E-2</v>
      </c>
      <c r="K150" s="56" t="s">
        <v>867</v>
      </c>
      <c r="L150" s="122" t="s">
        <v>868</v>
      </c>
      <c r="M150" s="106" t="s">
        <v>619</v>
      </c>
      <c r="N150" s="106" t="s">
        <v>869</v>
      </c>
      <c r="O150" s="107"/>
      <c r="P150" s="107"/>
      <c r="Q150" s="107"/>
      <c r="R150" s="107"/>
      <c r="S150" s="107"/>
      <c r="T150" s="107"/>
    </row>
    <row r="151" spans="1:20" ht="15.75">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7"/>
      <c r="N151" s="107"/>
      <c r="O151" s="107"/>
      <c r="P151" s="107"/>
      <c r="Q151" s="107"/>
      <c r="R151" s="107"/>
      <c r="S151" s="107"/>
      <c r="T151" s="107"/>
    </row>
    <row r="152" spans="1:20" ht="28.5">
      <c r="A152" s="24" t="str">
        <v xml:space="preserve"> O'Brien Hill #1</v>
      </c>
      <c r="B152" s="25" t="str">
        <v>NY</v>
      </c>
      <c r="C152" s="25" t="str">
        <f>Sites[[#This Row],[SOL'#]]</f>
        <v>SOL-11098</v>
      </c>
      <c r="D152" s="54">
        <v>68017</v>
      </c>
      <c r="E152" s="10" t="s">
        <v>656</v>
      </c>
      <c r="F152" s="10" t="str">
        <f t="shared" si="14"/>
        <v/>
      </c>
      <c r="G152" s="55" t="str">
        <f t="shared" si="15"/>
        <v/>
      </c>
      <c r="H152" s="131" t="s">
        <v>656</v>
      </c>
      <c r="I152" s="67" t="str">
        <f t="shared" si="16"/>
        <v/>
      </c>
      <c r="J152" s="64" t="str">
        <f t="shared" si="17"/>
        <v/>
      </c>
      <c r="K152" s="56" t="s">
        <v>870</v>
      </c>
      <c r="L152" s="122" t="s">
        <v>871</v>
      </c>
      <c r="M152" s="106" t="s">
        <v>872</v>
      </c>
      <c r="N152" s="107"/>
      <c r="O152" s="107"/>
      <c r="P152" s="107"/>
      <c r="Q152" s="107"/>
      <c r="R152" s="107"/>
      <c r="S152" s="107"/>
      <c r="T152" s="107"/>
    </row>
    <row r="153" spans="1:20" ht="71.25">
      <c r="A153" s="26" t="str">
        <v xml:space="preserve"> O'Brien Hill #2</v>
      </c>
      <c r="B153" s="27" t="str">
        <v>NY</v>
      </c>
      <c r="C153" s="27" t="str">
        <f>Sites[[#This Row],[SOL'#]]</f>
        <v>SOL-11099</v>
      </c>
      <c r="D153" s="66">
        <v>682515.06</v>
      </c>
      <c r="E153" s="14" t="s">
        <v>656</v>
      </c>
      <c r="F153" s="14" t="str">
        <f t="shared" si="14"/>
        <v/>
      </c>
      <c r="G153" s="68" t="str">
        <f t="shared" si="15"/>
        <v/>
      </c>
      <c r="H153" s="132" t="s">
        <v>656</v>
      </c>
      <c r="I153" s="69" t="str">
        <f t="shared" si="16"/>
        <v/>
      </c>
      <c r="J153" s="68" t="str">
        <f t="shared" si="17"/>
        <v/>
      </c>
      <c r="K153" s="38" t="s">
        <v>873</v>
      </c>
      <c r="L153" s="105" t="s">
        <v>874</v>
      </c>
      <c r="M153" s="106" t="s">
        <v>875</v>
      </c>
      <c r="N153" s="106" t="s">
        <v>876</v>
      </c>
      <c r="O153" s="107"/>
      <c r="P153" s="107"/>
      <c r="Q153" s="107"/>
      <c r="R153" s="107"/>
      <c r="S153" s="107"/>
      <c r="T153" s="107"/>
    </row>
    <row r="154" spans="1:20" ht="42.7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31" t="s">
        <v>656</v>
      </c>
      <c r="I154" s="67" t="str">
        <f t="shared" si="16"/>
        <v/>
      </c>
      <c r="J154" s="64" t="str">
        <f t="shared" si="17"/>
        <v/>
      </c>
      <c r="K154" s="56" t="s">
        <v>877</v>
      </c>
      <c r="L154" s="122" t="s">
        <v>878</v>
      </c>
      <c r="M154" s="106" t="s">
        <v>879</v>
      </c>
      <c r="N154" s="107"/>
      <c r="O154" s="107"/>
      <c r="P154" s="107"/>
      <c r="Q154" s="107"/>
      <c r="R154" s="107"/>
      <c r="S154" s="107"/>
      <c r="T154" s="107"/>
    </row>
    <row r="155" spans="1:20" ht="114">
      <c r="A155" s="26" t="str">
        <v>Ransom</v>
      </c>
      <c r="B155" s="27" t="str">
        <v>NY</v>
      </c>
      <c r="C155" s="27" t="str">
        <f>Sites[[#This Row],[SOL'#]]</f>
        <v>SOL-11157</v>
      </c>
      <c r="D155" s="66">
        <v>761571</v>
      </c>
      <c r="E155" s="14" t="s">
        <v>656</v>
      </c>
      <c r="F155" s="14" t="str">
        <f t="shared" si="14"/>
        <v/>
      </c>
      <c r="G155" s="68" t="str">
        <f t="shared" si="15"/>
        <v/>
      </c>
      <c r="H155" s="132" t="s">
        <v>656</v>
      </c>
      <c r="I155" s="69" t="str">
        <f t="shared" si="16"/>
        <v/>
      </c>
      <c r="J155" s="68" t="str">
        <f t="shared" si="17"/>
        <v/>
      </c>
      <c r="K155" s="38" t="s">
        <v>880</v>
      </c>
      <c r="L155" s="128" t="s">
        <v>881</v>
      </c>
      <c r="M155" s="106" t="s">
        <v>882</v>
      </c>
      <c r="N155" s="106" t="s">
        <v>883</v>
      </c>
      <c r="O155" s="106" t="s">
        <v>884</v>
      </c>
      <c r="P155" s="107"/>
      <c r="Q155" s="107"/>
      <c r="R155" s="107"/>
      <c r="S155" s="107"/>
      <c r="T155" s="107"/>
    </row>
    <row r="156" spans="1:20" ht="28.5">
      <c r="A156" s="24" t="str">
        <v>Horseheads - Wedge</v>
      </c>
      <c r="B156" s="25" t="str">
        <v>NY</v>
      </c>
      <c r="C156" s="25" t="str">
        <f>Sites[[#This Row],[SOL'#]]</f>
        <v>SOL-11160</v>
      </c>
      <c r="D156" s="54">
        <v>504647</v>
      </c>
      <c r="E156" s="10" t="s">
        <v>656</v>
      </c>
      <c r="F156" s="10" t="str">
        <f t="shared" si="14"/>
        <v/>
      </c>
      <c r="G156" s="55" t="str">
        <f t="shared" si="15"/>
        <v/>
      </c>
      <c r="H156" s="131" t="s">
        <v>656</v>
      </c>
      <c r="I156" s="67" t="str">
        <f t="shared" si="16"/>
        <v/>
      </c>
      <c r="J156" s="64" t="str">
        <f t="shared" si="17"/>
        <v/>
      </c>
      <c r="K156" s="56" t="s">
        <v>885</v>
      </c>
      <c r="L156" s="122" t="s">
        <v>886</v>
      </c>
      <c r="M156" s="107"/>
      <c r="N156" s="107"/>
      <c r="O156" s="107"/>
      <c r="P156" s="107"/>
      <c r="Q156" s="107"/>
      <c r="R156" s="107"/>
      <c r="S156" s="107"/>
      <c r="T156" s="107"/>
    </row>
    <row r="157" spans="1:20" ht="114">
      <c r="A157" s="26" t="str">
        <v>Otisville - Shoddy Hollow</v>
      </c>
      <c r="B157" s="27" t="str">
        <v>NY</v>
      </c>
      <c r="C157" s="27" t="str">
        <f>Sites[[#This Row],[SOL'#]]</f>
        <v>SOL-11185</v>
      </c>
      <c r="D157" s="66">
        <v>883361.3</v>
      </c>
      <c r="E157" s="14" t="s">
        <v>656</v>
      </c>
      <c r="F157" s="14" t="str">
        <f t="shared" si="14"/>
        <v/>
      </c>
      <c r="G157" s="68" t="str">
        <f t="shared" si="15"/>
        <v/>
      </c>
      <c r="H157" s="132" t="s">
        <v>656</v>
      </c>
      <c r="I157" s="69" t="str">
        <f t="shared" si="16"/>
        <v/>
      </c>
      <c r="J157" s="68" t="str">
        <f t="shared" si="17"/>
        <v/>
      </c>
      <c r="K157" s="38" t="s">
        <v>887</v>
      </c>
      <c r="L157" s="105" t="s">
        <v>888</v>
      </c>
      <c r="M157" s="106" t="s">
        <v>889</v>
      </c>
      <c r="N157" s="106" t="s">
        <v>890</v>
      </c>
      <c r="O157" s="106" t="s">
        <v>891</v>
      </c>
      <c r="P157" s="107"/>
      <c r="Q157" s="107"/>
      <c r="R157" s="107"/>
      <c r="S157" s="107"/>
      <c r="T157" s="107"/>
    </row>
    <row r="158" spans="1:20" ht="142.5" customHeight="1">
      <c r="A158" s="24" t="str">
        <v>Wellsville - Chenunda Creek</v>
      </c>
      <c r="B158" s="25" t="str">
        <v>NY</v>
      </c>
      <c r="C158" s="25" t="str">
        <f>Sites[[#This Row],[SOL'#]]</f>
        <v>SOL-11187</v>
      </c>
      <c r="D158" s="54">
        <v>424764.9</v>
      </c>
      <c r="E158" s="10" t="s">
        <v>656</v>
      </c>
      <c r="F158" s="10" t="str">
        <f t="shared" si="14"/>
        <v/>
      </c>
      <c r="G158" s="55" t="str">
        <f t="shared" si="15"/>
        <v/>
      </c>
      <c r="H158" s="131" t="s">
        <v>656</v>
      </c>
      <c r="I158" s="67" t="str">
        <f t="shared" si="16"/>
        <v/>
      </c>
      <c r="J158" s="64" t="str">
        <f t="shared" si="17"/>
        <v/>
      </c>
      <c r="K158" s="56" t="s">
        <v>892</v>
      </c>
      <c r="L158" s="104" t="s">
        <v>893</v>
      </c>
      <c r="M158" s="106" t="s">
        <v>894</v>
      </c>
      <c r="N158" s="106" t="s">
        <v>895</v>
      </c>
      <c r="O158" s="106" t="s">
        <v>896</v>
      </c>
      <c r="P158" s="106" t="s">
        <v>897</v>
      </c>
      <c r="Q158" s="107"/>
      <c r="R158" s="107"/>
      <c r="S158" s="107"/>
      <c r="T158" s="107"/>
    </row>
    <row r="159" spans="1:20" ht="14.25">
      <c r="I159" s="69" t="str">
        <f t="shared" si="16"/>
        <v/>
      </c>
    </row>
    <row r="161" spans="10:10">
      <c r="J161" s="130"/>
    </row>
  </sheetData>
  <mergeCells count="4">
    <mergeCell ref="H1:J1"/>
    <mergeCell ref="A1:D1"/>
    <mergeCell ref="E1:G1"/>
    <mergeCell ref="A2:B2"/>
  </mergeCells>
  <phoneticPr fontId="40" type="noConversion"/>
  <conditionalFormatting sqref="G2 J2 G4:G158 J4:J158">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83"/>
  <sheetViews>
    <sheetView zoomScale="60" zoomScaleNormal="60" workbookViewId="0">
      <pane xSplit="2" ySplit="3" topLeftCell="C61" activePane="bottomRight" state="frozen"/>
      <selection pane="bottomRight" activeCell="F93" sqref="F93"/>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
      <c r="A1" s="151" t="str" cm="1">
        <f t="array" ref="A1">portfolio</f>
        <v>Generate Capital</v>
      </c>
      <c r="B1" s="151"/>
      <c r="C1" s="151"/>
      <c r="D1" s="151"/>
      <c r="E1" s="152" t="s">
        <v>898</v>
      </c>
      <c r="F1" s="152"/>
      <c r="G1" s="152"/>
      <c r="H1" s="150" t="s">
        <v>899</v>
      </c>
      <c r="I1" s="150"/>
      <c r="J1" s="150"/>
      <c r="K1" s="4"/>
      <c r="L1" s="4"/>
    </row>
    <row r="2" spans="1:27" ht="15">
      <c r="A2" s="153" t="s">
        <v>2</v>
      </c>
      <c r="B2" s="153"/>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
      <c r="A3" s="8" t="s">
        <v>3</v>
      </c>
      <c r="B3" s="8" t="s">
        <v>4</v>
      </c>
      <c r="C3" s="8" t="s">
        <v>5</v>
      </c>
      <c r="D3" s="19" t="s">
        <v>6</v>
      </c>
      <c r="E3" s="31" t="s">
        <v>7</v>
      </c>
      <c r="F3" s="31" t="s">
        <v>8</v>
      </c>
      <c r="G3" s="32" t="s">
        <v>9</v>
      </c>
      <c r="H3" s="33" t="s">
        <v>10</v>
      </c>
      <c r="I3" s="34" t="s">
        <v>8</v>
      </c>
      <c r="J3" s="35" t="s">
        <v>9</v>
      </c>
      <c r="K3" s="21" t="s">
        <v>21</v>
      </c>
      <c r="L3" s="21" t="s">
        <v>22</v>
      </c>
    </row>
    <row r="4" spans="1:27" ht="15.75">
      <c r="A4" s="26" t="str" cm="1">
        <f t="array" ref="A4:A158">Sites[Site]</f>
        <v>K026</v>
      </c>
      <c r="B4" s="27" t="str" cm="1">
        <f t="array" ref="B4:B158">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900</v>
      </c>
      <c r="L4" s="52"/>
      <c r="M4" s="107"/>
      <c r="N4" s="107"/>
      <c r="O4" s="107"/>
      <c r="P4" s="107"/>
      <c r="Q4" s="107"/>
      <c r="R4" s="107"/>
      <c r="S4" s="107"/>
      <c r="T4" s="107"/>
      <c r="U4" s="107"/>
      <c r="V4" s="107"/>
      <c r="W4" s="107"/>
      <c r="X4" s="107"/>
      <c r="Y4" s="107"/>
      <c r="Z4" s="107"/>
      <c r="AA4" s="107"/>
    </row>
    <row r="5" spans="1:27" ht="15.75">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901</v>
      </c>
      <c r="L5" s="102" t="s">
        <v>902</v>
      </c>
      <c r="M5" s="107"/>
      <c r="N5" s="107"/>
      <c r="O5" s="107"/>
      <c r="P5" s="107"/>
      <c r="Q5" s="107"/>
      <c r="R5" s="107"/>
      <c r="S5" s="107"/>
      <c r="T5" s="107"/>
      <c r="U5" s="107"/>
      <c r="V5" s="107"/>
      <c r="W5" s="107"/>
      <c r="X5" s="107"/>
      <c r="Y5" s="107"/>
      <c r="Z5" s="107"/>
      <c r="AA5" s="107"/>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903</v>
      </c>
      <c r="L6" s="52"/>
      <c r="M6" s="107"/>
      <c r="N6" s="107"/>
      <c r="O6" s="107"/>
      <c r="P6" s="107"/>
      <c r="Q6" s="107"/>
      <c r="R6" s="107"/>
      <c r="S6" s="107"/>
      <c r="T6" s="107"/>
      <c r="U6" s="107"/>
      <c r="V6" s="107"/>
      <c r="W6" s="107"/>
      <c r="X6" s="107"/>
      <c r="Y6" s="107"/>
      <c r="Z6" s="107"/>
      <c r="AA6" s="107"/>
    </row>
    <row r="7" spans="1:27" ht="15.75">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641</v>
      </c>
      <c r="L7" s="102" t="s">
        <v>219</v>
      </c>
      <c r="M7" s="107"/>
      <c r="N7" s="107"/>
      <c r="O7" s="107"/>
      <c r="P7" s="107"/>
      <c r="Q7" s="107"/>
      <c r="R7" s="107"/>
      <c r="S7" s="107"/>
      <c r="T7" s="107"/>
      <c r="U7" s="107"/>
      <c r="V7" s="107"/>
      <c r="W7" s="107"/>
      <c r="X7" s="107"/>
      <c r="Y7" s="107"/>
      <c r="Z7" s="107"/>
      <c r="AA7" s="107"/>
    </row>
    <row r="8" spans="1:27" ht="15.75">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103" t="s">
        <v>25</v>
      </c>
      <c r="M8" s="107"/>
      <c r="N8" s="107"/>
      <c r="O8" s="107"/>
      <c r="P8" s="107"/>
      <c r="Q8" s="107"/>
      <c r="R8" s="107"/>
      <c r="S8" s="107"/>
      <c r="T8" s="107"/>
      <c r="U8" s="107"/>
      <c r="V8" s="107"/>
      <c r="W8" s="107"/>
      <c r="X8" s="107"/>
      <c r="Y8" s="107"/>
      <c r="Z8" s="107"/>
      <c r="AA8" s="107"/>
    </row>
    <row r="9" spans="1:27" ht="15.75">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900</v>
      </c>
      <c r="L9" s="53"/>
      <c r="M9" s="107"/>
      <c r="N9" s="107"/>
      <c r="O9" s="107"/>
      <c r="P9" s="107"/>
      <c r="Q9" s="107"/>
      <c r="R9" s="107"/>
      <c r="S9" s="107"/>
      <c r="T9" s="107"/>
      <c r="U9" s="107"/>
      <c r="V9" s="107"/>
      <c r="W9" s="107"/>
      <c r="X9" s="107"/>
      <c r="Y9" s="107"/>
      <c r="Z9" s="107"/>
      <c r="AA9" s="107"/>
    </row>
    <row r="10" spans="1:27" ht="15.75">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900</v>
      </c>
      <c r="L10" s="52"/>
      <c r="M10" s="107"/>
      <c r="N10" s="107"/>
      <c r="O10" s="107"/>
      <c r="P10" s="107"/>
      <c r="Q10" s="107"/>
      <c r="R10" s="107"/>
      <c r="S10" s="107"/>
      <c r="T10" s="107"/>
      <c r="U10" s="107"/>
      <c r="V10" s="107"/>
      <c r="W10" s="107"/>
      <c r="X10" s="107"/>
      <c r="Y10" s="107"/>
      <c r="Z10" s="107"/>
      <c r="AA10" s="107"/>
    </row>
    <row r="11" spans="1:27" ht="15.75">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900</v>
      </c>
      <c r="L11" s="53"/>
      <c r="M11" s="107"/>
      <c r="N11" s="107"/>
      <c r="O11" s="107"/>
      <c r="P11" s="107"/>
      <c r="Q11" s="107"/>
      <c r="R11" s="107"/>
      <c r="S11" s="107"/>
      <c r="T11" s="107"/>
      <c r="U11" s="107"/>
      <c r="V11" s="107"/>
      <c r="W11" s="107"/>
      <c r="X11" s="107"/>
      <c r="Y11" s="107"/>
      <c r="Z11" s="107"/>
      <c r="AA11" s="107"/>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643</v>
      </c>
      <c r="L12" s="103" t="s">
        <v>221</v>
      </c>
      <c r="M12" s="107"/>
      <c r="N12" s="107"/>
      <c r="O12" s="107"/>
      <c r="P12" s="107"/>
      <c r="Q12" s="107"/>
      <c r="R12" s="107"/>
      <c r="S12" s="107"/>
      <c r="T12" s="107"/>
      <c r="U12" s="107"/>
      <c r="V12" s="107"/>
      <c r="W12" s="107"/>
      <c r="X12" s="107"/>
      <c r="Y12" s="107"/>
      <c r="Z12" s="107"/>
      <c r="AA12" s="107"/>
    </row>
    <row r="13" spans="1:27" ht="15.75">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900</v>
      </c>
      <c r="L13" s="53"/>
      <c r="M13" s="107"/>
      <c r="N13" s="107"/>
      <c r="O13" s="107"/>
      <c r="P13" s="107"/>
      <c r="Q13" s="107"/>
      <c r="R13" s="107"/>
      <c r="S13" s="107"/>
      <c r="T13" s="107"/>
      <c r="U13" s="107"/>
      <c r="V13" s="107"/>
      <c r="W13" s="107"/>
      <c r="X13" s="107"/>
      <c r="Y13" s="107"/>
      <c r="Z13" s="107"/>
      <c r="AA13" s="107"/>
    </row>
    <row r="14" spans="1:27" ht="57">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904</v>
      </c>
      <c r="L14" s="105" t="s">
        <v>905</v>
      </c>
      <c r="M14" s="106" t="s">
        <v>391</v>
      </c>
      <c r="N14" s="106" t="s">
        <v>906</v>
      </c>
      <c r="O14" s="107"/>
      <c r="P14" s="107"/>
      <c r="Q14" s="107"/>
      <c r="R14" s="107"/>
      <c r="S14" s="107"/>
      <c r="T14" s="107"/>
      <c r="U14" s="107"/>
      <c r="V14" s="107"/>
      <c r="W14" s="107"/>
      <c r="X14" s="107"/>
      <c r="Y14" s="107"/>
      <c r="Z14" s="107"/>
      <c r="AA14" s="107"/>
    </row>
    <row r="15" spans="1:27" ht="15.75">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907</v>
      </c>
      <c r="L15" s="53"/>
      <c r="M15" s="107"/>
      <c r="N15" s="107"/>
      <c r="O15" s="107"/>
      <c r="P15" s="107"/>
      <c r="Q15" s="107"/>
      <c r="R15" s="107"/>
      <c r="S15" s="107"/>
      <c r="T15" s="107"/>
      <c r="U15" s="107"/>
      <c r="V15" s="107"/>
      <c r="W15" s="107"/>
      <c r="X15" s="107"/>
      <c r="Y15" s="107"/>
      <c r="Z15" s="107"/>
      <c r="AA15" s="107"/>
    </row>
    <row r="16" spans="1:27" ht="15.75">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907</v>
      </c>
      <c r="L16" s="52"/>
      <c r="M16" s="107"/>
      <c r="N16" s="107"/>
      <c r="O16" s="107"/>
      <c r="P16" s="107"/>
      <c r="Q16" s="107"/>
      <c r="R16" s="107"/>
      <c r="S16" s="107"/>
      <c r="T16" s="107"/>
      <c r="U16" s="107"/>
      <c r="V16" s="107"/>
      <c r="W16" s="107"/>
      <c r="X16" s="107"/>
      <c r="Y16" s="107"/>
      <c r="Z16" s="107"/>
      <c r="AA16" s="107"/>
    </row>
    <row r="17" spans="1:27" ht="28.5">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908</v>
      </c>
      <c r="L17" s="53" t="s">
        <v>909</v>
      </c>
      <c r="M17" s="107"/>
      <c r="N17" s="107"/>
      <c r="O17" s="107"/>
      <c r="P17" s="107"/>
      <c r="Q17" s="107"/>
      <c r="R17" s="107"/>
      <c r="S17" s="107"/>
      <c r="T17" s="107"/>
      <c r="U17" s="107"/>
      <c r="V17" s="107"/>
      <c r="W17" s="107"/>
      <c r="X17" s="107"/>
      <c r="Y17" s="107"/>
      <c r="Z17" s="107"/>
      <c r="AA17" s="107"/>
    </row>
    <row r="18" spans="1:27" ht="15.75">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907</v>
      </c>
      <c r="L18" s="52"/>
      <c r="M18" s="107"/>
      <c r="N18" s="107"/>
      <c r="O18" s="107"/>
      <c r="P18" s="107"/>
      <c r="Q18" s="107"/>
      <c r="R18" s="107"/>
      <c r="S18" s="107"/>
      <c r="T18" s="107"/>
      <c r="U18" s="107"/>
      <c r="V18" s="107"/>
      <c r="W18" s="107"/>
      <c r="X18" s="107"/>
      <c r="Y18" s="107"/>
      <c r="Z18" s="107"/>
      <c r="AA18" s="107"/>
    </row>
    <row r="19" spans="1:27" ht="15.75">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907</v>
      </c>
      <c r="L19" s="53"/>
      <c r="M19" s="107"/>
      <c r="N19" s="107"/>
      <c r="O19" s="107"/>
      <c r="P19" s="107"/>
      <c r="Q19" s="107"/>
      <c r="R19" s="107"/>
      <c r="S19" s="107"/>
      <c r="T19" s="107"/>
      <c r="U19" s="107"/>
      <c r="V19" s="107"/>
      <c r="W19" s="107"/>
      <c r="X19" s="107"/>
      <c r="Y19" s="107"/>
      <c r="Z19" s="107"/>
      <c r="AA19" s="107"/>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910</v>
      </c>
      <c r="L20" s="103" t="s">
        <v>911</v>
      </c>
      <c r="M20" s="107"/>
      <c r="N20" s="107"/>
      <c r="O20" s="107"/>
      <c r="P20" s="107"/>
      <c r="Q20" s="107"/>
      <c r="R20" s="107"/>
      <c r="S20" s="107"/>
      <c r="T20" s="107"/>
      <c r="U20" s="107"/>
      <c r="V20" s="107"/>
      <c r="W20" s="107"/>
      <c r="X20" s="107"/>
      <c r="Y20" s="107"/>
      <c r="Z20" s="107"/>
      <c r="AA20" s="107"/>
    </row>
    <row r="21" spans="1:27" ht="28.5">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912</v>
      </c>
      <c r="L21" s="102" t="s">
        <v>913</v>
      </c>
      <c r="M21" s="107"/>
      <c r="N21" s="107"/>
      <c r="O21" s="107"/>
      <c r="P21" s="107"/>
      <c r="Q21" s="107"/>
      <c r="R21" s="107"/>
      <c r="S21" s="107"/>
      <c r="T21" s="107"/>
      <c r="U21" s="107"/>
      <c r="V21" s="107"/>
      <c r="W21" s="107"/>
      <c r="X21" s="107"/>
      <c r="Y21" s="107"/>
      <c r="Z21" s="107"/>
      <c r="AA21" s="107"/>
    </row>
    <row r="22" spans="1:27" ht="28.5">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914</v>
      </c>
      <c r="L22" s="51" t="s">
        <v>915</v>
      </c>
      <c r="M22" s="107"/>
      <c r="N22" s="107"/>
      <c r="O22" s="107"/>
      <c r="P22" s="107"/>
      <c r="Q22" s="107"/>
      <c r="R22" s="107"/>
      <c r="S22" s="107"/>
      <c r="T22" s="107"/>
      <c r="U22" s="107"/>
      <c r="V22" s="107"/>
      <c r="W22" s="107"/>
      <c r="X22" s="107"/>
      <c r="Y22" s="107"/>
      <c r="Z22" s="107"/>
      <c r="AA22" s="107"/>
    </row>
    <row r="23" spans="1:27" ht="28.5">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916</v>
      </c>
      <c r="L23" s="102" t="s">
        <v>917</v>
      </c>
      <c r="M23" s="107"/>
      <c r="N23" s="107"/>
      <c r="O23" s="107"/>
      <c r="P23" s="107"/>
      <c r="Q23" s="107"/>
      <c r="R23" s="107"/>
      <c r="S23" s="107"/>
      <c r="T23" s="107"/>
      <c r="U23" s="107"/>
      <c r="V23" s="107"/>
      <c r="W23" s="107"/>
      <c r="X23" s="107"/>
      <c r="Y23" s="107"/>
      <c r="Z23" s="107"/>
      <c r="AA23" s="107"/>
    </row>
    <row r="24" spans="1:27" ht="15.75">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918</v>
      </c>
      <c r="L24" s="51"/>
      <c r="M24" s="107"/>
      <c r="N24" s="107"/>
      <c r="O24" s="107"/>
      <c r="P24" s="107"/>
      <c r="Q24" s="107"/>
      <c r="R24" s="107"/>
      <c r="S24" s="107"/>
      <c r="T24" s="107"/>
      <c r="U24" s="107"/>
      <c r="V24" s="107"/>
      <c r="W24" s="107"/>
      <c r="X24" s="107"/>
      <c r="Y24" s="107"/>
      <c r="Z24" s="107"/>
      <c r="AA24" s="107"/>
    </row>
    <row r="25" spans="1:27" ht="15.75">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918</v>
      </c>
      <c r="L25" s="53"/>
      <c r="M25" s="107"/>
      <c r="N25" s="107"/>
      <c r="O25" s="107"/>
      <c r="P25" s="107"/>
      <c r="Q25" s="107"/>
      <c r="R25" s="107"/>
      <c r="S25" s="107"/>
      <c r="T25" s="107"/>
      <c r="U25" s="107"/>
      <c r="V25" s="107"/>
      <c r="W25" s="107"/>
      <c r="X25" s="107"/>
      <c r="Y25" s="107"/>
      <c r="Z25" s="107"/>
      <c r="AA25" s="107"/>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919</v>
      </c>
      <c r="L26" s="103" t="s">
        <v>920</v>
      </c>
      <c r="M26" s="106" t="s">
        <v>921</v>
      </c>
      <c r="N26" s="107"/>
      <c r="O26" s="107"/>
      <c r="P26" s="107"/>
      <c r="Q26" s="107"/>
      <c r="R26" s="107"/>
      <c r="S26" s="107"/>
      <c r="T26" s="107"/>
      <c r="U26" s="107"/>
      <c r="V26" s="107"/>
      <c r="W26" s="107"/>
      <c r="X26" s="107"/>
      <c r="Y26" s="107"/>
      <c r="Z26" s="107"/>
      <c r="AA26" s="107"/>
    </row>
    <row r="27" spans="1:27" ht="15.75">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922</v>
      </c>
      <c r="L27" s="53"/>
      <c r="M27" s="107"/>
      <c r="N27" s="107"/>
      <c r="O27" s="107"/>
      <c r="P27" s="107"/>
      <c r="Q27" s="107"/>
      <c r="R27" s="107"/>
      <c r="S27" s="107"/>
      <c r="T27" s="107"/>
      <c r="U27" s="107"/>
      <c r="V27" s="107"/>
      <c r="W27" s="107"/>
      <c r="X27" s="107"/>
      <c r="Y27" s="107"/>
      <c r="Z27" s="107"/>
      <c r="AA27" s="107"/>
    </row>
    <row r="28" spans="1:27" ht="28.5">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923</v>
      </c>
      <c r="L28" s="103" t="s">
        <v>924</v>
      </c>
      <c r="M28" s="107"/>
      <c r="N28" s="107"/>
      <c r="O28" s="107"/>
      <c r="P28" s="107"/>
      <c r="Q28" s="107"/>
      <c r="R28" s="107"/>
      <c r="S28" s="107"/>
      <c r="T28" s="107"/>
      <c r="U28" s="107"/>
      <c r="V28" s="107"/>
      <c r="W28" s="107"/>
      <c r="X28" s="107"/>
      <c r="Y28" s="107"/>
      <c r="Z28" s="107"/>
      <c r="AA28" s="107"/>
    </row>
    <row r="29" spans="1:27" ht="15.75">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922</v>
      </c>
      <c r="L29" s="53"/>
      <c r="M29" s="107"/>
      <c r="N29" s="107"/>
      <c r="O29" s="107"/>
      <c r="P29" s="107"/>
      <c r="Q29" s="107"/>
      <c r="R29" s="107"/>
      <c r="S29" s="107"/>
      <c r="T29" s="107"/>
      <c r="U29" s="107"/>
      <c r="V29" s="107"/>
      <c r="W29" s="107"/>
      <c r="X29" s="107"/>
      <c r="Y29" s="107"/>
      <c r="Z29" s="107"/>
      <c r="AA29" s="107"/>
    </row>
    <row r="30" spans="1:27" ht="15.75">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922</v>
      </c>
      <c r="L30" s="52"/>
      <c r="M30" s="107"/>
      <c r="N30" s="107"/>
      <c r="O30" s="107"/>
      <c r="P30" s="107"/>
      <c r="Q30" s="107"/>
      <c r="R30" s="107"/>
      <c r="S30" s="107"/>
      <c r="T30" s="107"/>
      <c r="U30" s="107"/>
      <c r="V30" s="107"/>
      <c r="W30" s="107"/>
      <c r="X30" s="107"/>
      <c r="Y30" s="107"/>
      <c r="Z30" s="107"/>
      <c r="AA30" s="107"/>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7"/>
      <c r="N31" s="107"/>
      <c r="O31" s="107"/>
      <c r="P31" s="107"/>
      <c r="Q31" s="107"/>
      <c r="R31" s="107"/>
      <c r="S31" s="107"/>
      <c r="T31" s="107"/>
      <c r="U31" s="107"/>
      <c r="V31" s="107"/>
      <c r="W31" s="107"/>
      <c r="X31" s="107"/>
      <c r="Y31" s="107"/>
      <c r="Z31" s="107"/>
      <c r="AA31" s="107"/>
    </row>
    <row r="32" spans="1:27" ht="15.75">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10" t="s">
        <v>922</v>
      </c>
      <c r="L32" s="52"/>
      <c r="M32" s="107"/>
      <c r="N32" s="107"/>
      <c r="O32" s="107"/>
      <c r="P32" s="107"/>
      <c r="Q32" s="107"/>
      <c r="R32" s="107"/>
      <c r="S32" s="107"/>
      <c r="T32" s="107"/>
      <c r="U32" s="107"/>
      <c r="V32" s="107"/>
      <c r="W32" s="107"/>
      <c r="X32" s="107"/>
      <c r="Y32" s="107"/>
      <c r="Z32" s="107"/>
      <c r="AA32" s="107"/>
    </row>
    <row r="33" spans="1:27" ht="15.75">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922</v>
      </c>
      <c r="L33" s="53"/>
      <c r="M33" s="107"/>
      <c r="N33" s="107"/>
      <c r="O33" s="107"/>
      <c r="P33" s="107"/>
      <c r="Q33" s="107"/>
      <c r="R33" s="107"/>
      <c r="S33" s="107"/>
      <c r="T33" s="107"/>
      <c r="U33" s="107"/>
      <c r="V33" s="107"/>
      <c r="W33" s="107"/>
      <c r="X33" s="107"/>
      <c r="Y33" s="107"/>
      <c r="Z33" s="107"/>
      <c r="AA33" s="107"/>
    </row>
    <row r="34" spans="1:27" ht="15.75">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10" t="s">
        <v>922</v>
      </c>
      <c r="L34" s="52"/>
      <c r="M34" s="107"/>
      <c r="N34" s="107"/>
      <c r="O34" s="107"/>
      <c r="P34" s="107"/>
      <c r="Q34" s="107"/>
      <c r="R34" s="107"/>
      <c r="S34" s="107"/>
      <c r="T34" s="107"/>
      <c r="U34" s="107"/>
      <c r="V34" s="107"/>
      <c r="W34" s="107"/>
      <c r="X34" s="107"/>
      <c r="Y34" s="107"/>
      <c r="Z34" s="107"/>
      <c r="AA34" s="107"/>
    </row>
    <row r="35" spans="1:27" ht="15.75">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922</v>
      </c>
      <c r="L35" s="53"/>
      <c r="M35" s="107"/>
      <c r="N35" s="107"/>
      <c r="O35" s="107"/>
      <c r="P35" s="107"/>
      <c r="Q35" s="107"/>
      <c r="R35" s="107"/>
      <c r="S35" s="107"/>
      <c r="T35" s="107"/>
      <c r="U35" s="107"/>
      <c r="V35" s="107"/>
      <c r="W35" s="107"/>
      <c r="X35" s="107"/>
      <c r="Y35" s="107"/>
      <c r="Z35" s="107"/>
      <c r="AA35" s="107"/>
    </row>
    <row r="36" spans="1:27" ht="15.75">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922</v>
      </c>
      <c r="L36" s="51"/>
      <c r="M36" s="107"/>
      <c r="N36" s="107"/>
      <c r="O36" s="107"/>
      <c r="P36" s="107"/>
      <c r="Q36" s="107"/>
      <c r="R36" s="107"/>
      <c r="S36" s="107"/>
      <c r="T36" s="107"/>
      <c r="U36" s="107"/>
      <c r="V36" s="107"/>
      <c r="W36" s="107"/>
      <c r="X36" s="107"/>
      <c r="Y36" s="107"/>
      <c r="Z36" s="107"/>
      <c r="AA36" s="107"/>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925</v>
      </c>
      <c r="L37" s="53" t="s">
        <v>926</v>
      </c>
      <c r="M37" s="107"/>
      <c r="N37" s="107"/>
      <c r="O37" s="107"/>
      <c r="P37" s="107"/>
      <c r="Q37" s="107"/>
      <c r="R37" s="107"/>
      <c r="S37" s="107"/>
      <c r="T37" s="107"/>
      <c r="U37" s="107"/>
      <c r="V37" s="107"/>
      <c r="W37" s="107"/>
      <c r="X37" s="107"/>
      <c r="Y37" s="107"/>
      <c r="Z37" s="107"/>
      <c r="AA37" s="107"/>
    </row>
    <row r="38" spans="1:27" ht="15.75">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927</v>
      </c>
      <c r="L38" s="103" t="s">
        <v>672</v>
      </c>
      <c r="M38" s="107"/>
      <c r="N38" s="107"/>
      <c r="O38" s="107"/>
      <c r="P38" s="107"/>
      <c r="Q38" s="107"/>
      <c r="R38" s="107"/>
      <c r="S38" s="107"/>
      <c r="T38" s="107"/>
      <c r="U38" s="107"/>
      <c r="V38" s="107"/>
      <c r="W38" s="107"/>
      <c r="X38" s="107"/>
      <c r="Y38" s="107"/>
      <c r="Z38" s="107"/>
      <c r="AA38" s="107"/>
    </row>
    <row r="39" spans="1:27" ht="15.75">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922</v>
      </c>
      <c r="L39" s="53"/>
      <c r="M39" s="107"/>
      <c r="N39" s="107"/>
      <c r="O39" s="107"/>
      <c r="P39" s="107"/>
      <c r="Q39" s="107"/>
      <c r="R39" s="107"/>
      <c r="S39" s="107"/>
      <c r="T39" s="107"/>
      <c r="U39" s="107"/>
      <c r="V39" s="107"/>
      <c r="W39" s="107"/>
      <c r="X39" s="107"/>
      <c r="Y39" s="107"/>
      <c r="Z39" s="107"/>
      <c r="AA39" s="107"/>
    </row>
    <row r="40" spans="1:27" ht="28.5">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928</v>
      </c>
      <c r="L40" s="103" t="s">
        <v>929</v>
      </c>
      <c r="M40" s="107"/>
      <c r="N40" s="107"/>
      <c r="O40" s="107"/>
      <c r="P40" s="107"/>
      <c r="Q40" s="107"/>
      <c r="R40" s="107"/>
      <c r="S40" s="107"/>
      <c r="T40" s="107"/>
      <c r="U40" s="107"/>
      <c r="V40" s="107"/>
      <c r="W40" s="107"/>
      <c r="X40" s="107"/>
      <c r="Y40" s="107"/>
      <c r="Z40" s="107"/>
      <c r="AA40" s="107"/>
    </row>
    <row r="41" spans="1:27" ht="42.7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930</v>
      </c>
      <c r="L41" s="102" t="s">
        <v>931</v>
      </c>
      <c r="M41" s="106" t="s">
        <v>932</v>
      </c>
      <c r="N41" s="107"/>
      <c r="O41" s="107"/>
      <c r="P41" s="107"/>
      <c r="Q41" s="107"/>
      <c r="R41" s="107"/>
      <c r="S41" s="107"/>
      <c r="T41" s="107"/>
      <c r="U41" s="107"/>
      <c r="V41" s="107"/>
      <c r="W41" s="107"/>
      <c r="X41" s="107"/>
      <c r="Y41" s="107"/>
      <c r="Z41" s="107"/>
      <c r="AA41" s="107"/>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933</v>
      </c>
      <c r="L42" s="103" t="s">
        <v>934</v>
      </c>
      <c r="M42" s="106" t="s">
        <v>935</v>
      </c>
      <c r="N42" s="107"/>
      <c r="O42" s="107"/>
      <c r="P42" s="107"/>
      <c r="Q42" s="107"/>
      <c r="R42" s="107"/>
      <c r="S42" s="107"/>
      <c r="T42" s="107"/>
      <c r="U42" s="107"/>
      <c r="V42" s="107"/>
      <c r="W42" s="107"/>
      <c r="X42" s="107"/>
      <c r="Y42" s="107"/>
      <c r="Z42" s="107"/>
      <c r="AA42" s="107"/>
    </row>
    <row r="43" spans="1:27" ht="28.5">
      <c r="A43" s="24" t="str">
        <v>Q490</v>
      </c>
      <c r="B43" s="25" t="str">
        <v>NY</v>
      </c>
      <c r="C43" s="25" t="str">
        <f>Sites[[#This Row],[SOL'#]]</f>
        <v>SOL-10411</v>
      </c>
      <c r="D43" s="20">
        <v>45396.5</v>
      </c>
      <c r="E43" s="10" t="s">
        <v>936</v>
      </c>
      <c r="F43" s="10" t="str">
        <f t="shared" si="0"/>
        <v/>
      </c>
      <c r="G43" s="11" t="str">
        <f t="shared" si="1"/>
        <v/>
      </c>
      <c r="H43" s="12">
        <v>56275.360000000001</v>
      </c>
      <c r="I43" s="12">
        <f t="shared" si="2"/>
        <v>-10878.86</v>
      </c>
      <c r="J43" s="13">
        <f t="shared" si="3"/>
        <v>-0.19331480065165288</v>
      </c>
      <c r="K43" s="53" t="s">
        <v>682</v>
      </c>
      <c r="L43" s="102" t="s">
        <v>42</v>
      </c>
      <c r="M43" s="107"/>
      <c r="N43" s="107"/>
      <c r="O43" s="107"/>
      <c r="P43" s="107"/>
      <c r="Q43" s="107"/>
      <c r="R43" s="107"/>
      <c r="S43" s="107"/>
      <c r="T43" s="107"/>
      <c r="U43" s="107"/>
      <c r="V43" s="107"/>
      <c r="W43" s="107"/>
      <c r="X43" s="107"/>
      <c r="Y43" s="107"/>
      <c r="Z43" s="107"/>
      <c r="AA43" s="107"/>
    </row>
    <row r="44" spans="1:27" ht="15.75">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922</v>
      </c>
      <c r="L44" s="52"/>
      <c r="M44" s="107"/>
      <c r="N44" s="107"/>
      <c r="O44" s="107"/>
      <c r="P44" s="107"/>
      <c r="Q44" s="107"/>
      <c r="R44" s="107"/>
      <c r="S44" s="107"/>
      <c r="T44" s="107"/>
      <c r="U44" s="107"/>
      <c r="V44" s="107"/>
      <c r="W44" s="107"/>
      <c r="X44" s="107"/>
      <c r="Y44" s="107"/>
      <c r="Z44" s="107"/>
      <c r="AA44" s="107"/>
    </row>
    <row r="45" spans="1:27" ht="15.75">
      <c r="A45" s="24" t="str">
        <v>QMOA</v>
      </c>
      <c r="B45" s="25" t="str">
        <v>NY</v>
      </c>
      <c r="C45" s="25" t="str">
        <f>Sites[[#This Row],[SOL'#]]</f>
        <v>SOL-10415</v>
      </c>
      <c r="D45" s="20">
        <v>5822</v>
      </c>
      <c r="E45" s="10" t="s">
        <v>936</v>
      </c>
      <c r="F45" s="10" t="str">
        <f t="shared" si="0"/>
        <v/>
      </c>
      <c r="G45" s="11" t="str">
        <f t="shared" si="1"/>
        <v/>
      </c>
      <c r="H45" s="12">
        <v>6997.6819999999998</v>
      </c>
      <c r="I45" s="12">
        <f t="shared" si="2"/>
        <v>-1175.6819999999998</v>
      </c>
      <c r="J45" s="64">
        <f t="shared" si="4"/>
        <v>-0.16801020680848314</v>
      </c>
      <c r="K45" s="53" t="s">
        <v>922</v>
      </c>
      <c r="L45" s="53"/>
      <c r="M45" s="107"/>
      <c r="N45" s="107"/>
      <c r="O45" s="107"/>
      <c r="P45" s="107"/>
      <c r="Q45" s="107"/>
      <c r="R45" s="107"/>
      <c r="S45" s="107"/>
      <c r="T45" s="107"/>
      <c r="U45" s="107"/>
      <c r="V45" s="107"/>
      <c r="W45" s="107"/>
      <c r="X45" s="107"/>
      <c r="Y45" s="107"/>
      <c r="Z45" s="107"/>
      <c r="AA45" s="107"/>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937</v>
      </c>
      <c r="L46" s="103" t="s">
        <v>938</v>
      </c>
      <c r="M46" s="107"/>
      <c r="N46" s="107"/>
      <c r="O46" s="107"/>
      <c r="P46" s="107"/>
      <c r="Q46" s="107"/>
      <c r="R46" s="107"/>
      <c r="S46" s="107"/>
      <c r="T46" s="107"/>
      <c r="U46" s="107"/>
      <c r="V46" s="107"/>
      <c r="W46" s="107"/>
      <c r="X46" s="107"/>
      <c r="Y46" s="107"/>
      <c r="Z46" s="107"/>
      <c r="AA46" s="107"/>
    </row>
    <row r="47" spans="1:27" ht="15.75">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939</v>
      </c>
      <c r="L47" s="102" t="s">
        <v>685</v>
      </c>
      <c r="M47" s="107"/>
      <c r="N47" s="107"/>
      <c r="O47" s="107"/>
      <c r="P47" s="107"/>
      <c r="Q47" s="107"/>
      <c r="R47" s="107"/>
      <c r="S47" s="107"/>
      <c r="T47" s="107"/>
      <c r="U47" s="107"/>
      <c r="V47" s="107"/>
      <c r="W47" s="107"/>
      <c r="X47" s="107"/>
      <c r="Y47" s="107"/>
      <c r="Z47" s="107"/>
      <c r="AA47" s="107"/>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940</v>
      </c>
      <c r="L48" s="51"/>
      <c r="M48" s="107"/>
      <c r="N48" s="107"/>
      <c r="O48" s="107"/>
      <c r="P48" s="107"/>
      <c r="Q48" s="107"/>
      <c r="R48" s="107"/>
      <c r="S48" s="107"/>
      <c r="T48" s="107"/>
      <c r="U48" s="107"/>
      <c r="V48" s="107"/>
      <c r="W48" s="107"/>
      <c r="X48" s="107"/>
      <c r="Y48" s="107"/>
      <c r="Z48" s="107"/>
      <c r="AA48" s="107"/>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941</v>
      </c>
      <c r="L49" s="53" t="s">
        <v>942</v>
      </c>
      <c r="M49" s="107"/>
      <c r="N49" s="107"/>
      <c r="O49" s="107"/>
      <c r="P49" s="107"/>
      <c r="Q49" s="107"/>
      <c r="R49" s="107"/>
      <c r="S49" s="107"/>
      <c r="T49" s="107"/>
      <c r="U49" s="107"/>
      <c r="V49" s="107"/>
      <c r="W49" s="107"/>
      <c r="X49" s="107"/>
      <c r="Y49" s="107"/>
      <c r="Z49" s="107"/>
      <c r="AA49" s="107"/>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943</v>
      </c>
      <c r="L50" s="100" t="s">
        <v>944</v>
      </c>
      <c r="M50" s="107"/>
      <c r="N50" s="107"/>
      <c r="O50" s="107"/>
      <c r="P50" s="107"/>
      <c r="Q50" s="107"/>
      <c r="R50" s="107"/>
      <c r="S50" s="107"/>
      <c r="T50" s="107"/>
      <c r="U50" s="107"/>
      <c r="V50" s="107"/>
      <c r="W50" s="107"/>
      <c r="X50" s="107"/>
      <c r="Y50" s="107"/>
      <c r="Z50" s="107"/>
      <c r="AA50" s="107"/>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940</v>
      </c>
      <c r="L51" s="53"/>
      <c r="M51" s="107"/>
      <c r="N51" s="107"/>
      <c r="O51" s="107"/>
      <c r="P51" s="107"/>
      <c r="Q51" s="107"/>
      <c r="R51" s="107"/>
      <c r="S51" s="107"/>
      <c r="T51" s="107"/>
      <c r="U51" s="107"/>
      <c r="V51" s="107"/>
      <c r="W51" s="107"/>
      <c r="X51" s="107"/>
      <c r="Y51" s="107"/>
      <c r="Z51" s="107"/>
      <c r="AA51" s="107"/>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940</v>
      </c>
      <c r="L52" s="52"/>
      <c r="M52" s="107"/>
      <c r="N52" s="107"/>
      <c r="O52" s="107"/>
      <c r="P52" s="107"/>
      <c r="Q52" s="107"/>
      <c r="R52" s="107"/>
      <c r="S52" s="107"/>
      <c r="T52" s="107"/>
      <c r="U52" s="107"/>
      <c r="V52" s="107"/>
      <c r="W52" s="107"/>
      <c r="X52" s="107"/>
      <c r="Y52" s="107"/>
      <c r="Z52" s="107"/>
      <c r="AA52" s="107"/>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940</v>
      </c>
      <c r="L53" s="53"/>
      <c r="M53" s="107"/>
      <c r="N53" s="107"/>
      <c r="O53" s="107"/>
      <c r="P53" s="107"/>
      <c r="Q53" s="107"/>
      <c r="R53" s="107"/>
      <c r="S53" s="107"/>
      <c r="T53" s="107"/>
      <c r="U53" s="107"/>
      <c r="V53" s="107"/>
      <c r="W53" s="107"/>
      <c r="X53" s="107"/>
      <c r="Y53" s="107"/>
      <c r="Z53" s="107"/>
      <c r="AA53" s="107"/>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940</v>
      </c>
      <c r="L54" s="52"/>
      <c r="M54" s="107"/>
      <c r="N54" s="107"/>
      <c r="O54" s="107"/>
      <c r="P54" s="107"/>
      <c r="Q54" s="107"/>
      <c r="R54" s="107"/>
      <c r="S54" s="107"/>
      <c r="T54" s="107"/>
      <c r="U54" s="107"/>
      <c r="V54" s="107"/>
      <c r="W54" s="107"/>
      <c r="X54" s="107"/>
      <c r="Y54" s="107"/>
      <c r="Z54" s="107"/>
      <c r="AA54" s="107"/>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945</v>
      </c>
      <c r="L55" s="53" t="s">
        <v>946</v>
      </c>
      <c r="M55" s="107"/>
      <c r="N55" s="107"/>
      <c r="O55" s="107"/>
      <c r="P55" s="107"/>
      <c r="Q55" s="107"/>
      <c r="R55" s="107"/>
      <c r="S55" s="107"/>
      <c r="T55" s="107"/>
      <c r="U55" s="107"/>
      <c r="V55" s="107"/>
      <c r="W55" s="107"/>
      <c r="X55" s="107"/>
      <c r="Y55" s="107"/>
      <c r="Z55" s="107"/>
      <c r="AA55" s="107"/>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947</v>
      </c>
      <c r="L56" s="103" t="s">
        <v>948</v>
      </c>
      <c r="M56" s="106" t="s">
        <v>949</v>
      </c>
      <c r="N56" s="106" t="s">
        <v>692</v>
      </c>
      <c r="O56" s="107"/>
      <c r="P56" s="107"/>
      <c r="Q56" s="107"/>
      <c r="R56" s="107"/>
      <c r="S56" s="107"/>
      <c r="T56" s="107"/>
      <c r="U56" s="107"/>
      <c r="V56" s="107"/>
      <c r="W56" s="107"/>
      <c r="X56" s="107"/>
      <c r="Y56" s="107"/>
      <c r="Z56" s="107"/>
      <c r="AA56" s="107"/>
    </row>
    <row r="57" spans="1:27" ht="15.75">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7"/>
      <c r="N57" s="107"/>
      <c r="O57" s="107"/>
      <c r="P57" s="107"/>
      <c r="Q57" s="107"/>
      <c r="R57" s="107"/>
      <c r="S57" s="107"/>
      <c r="T57" s="107"/>
      <c r="U57" s="107"/>
      <c r="V57" s="107"/>
      <c r="W57" s="107"/>
      <c r="X57" s="107"/>
      <c r="Y57" s="107"/>
      <c r="Z57" s="107"/>
      <c r="AA57" s="107"/>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950</v>
      </c>
      <c r="L58" s="103" t="s">
        <v>951</v>
      </c>
      <c r="M58" s="106" t="s">
        <v>425</v>
      </c>
      <c r="N58" s="107"/>
      <c r="O58" s="107"/>
      <c r="P58" s="107"/>
      <c r="Q58" s="107"/>
      <c r="R58" s="107"/>
      <c r="S58" s="107"/>
      <c r="T58" s="107"/>
      <c r="U58" s="107"/>
      <c r="V58" s="107"/>
      <c r="W58" s="107"/>
      <c r="X58" s="107"/>
      <c r="Y58" s="107"/>
      <c r="Z58" s="107"/>
      <c r="AA58" s="107"/>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952</v>
      </c>
      <c r="L59" s="102" t="s">
        <v>953</v>
      </c>
      <c r="M59" s="106" t="s">
        <v>700</v>
      </c>
      <c r="N59" s="106" t="s">
        <v>954</v>
      </c>
      <c r="O59" s="107"/>
      <c r="P59" s="107"/>
      <c r="Q59" s="107"/>
      <c r="R59" s="107"/>
      <c r="S59" s="107"/>
      <c r="T59" s="107"/>
      <c r="U59" s="107"/>
      <c r="V59" s="107"/>
      <c r="W59" s="107"/>
      <c r="X59" s="107"/>
      <c r="Y59" s="107"/>
      <c r="Z59" s="107"/>
      <c r="AA59" s="107"/>
    </row>
    <row r="60" spans="1:27" ht="15.75">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955</v>
      </c>
      <c r="L60" s="51"/>
      <c r="M60" s="107"/>
      <c r="N60" s="107"/>
      <c r="O60" s="107"/>
      <c r="P60" s="107"/>
      <c r="Q60" s="107"/>
      <c r="R60" s="107"/>
      <c r="S60" s="107"/>
      <c r="T60" s="107"/>
      <c r="U60" s="107"/>
      <c r="V60" s="107"/>
      <c r="W60" s="107"/>
      <c r="X60" s="107"/>
      <c r="Y60" s="107"/>
      <c r="Z60" s="107"/>
      <c r="AA60" s="107"/>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956</v>
      </c>
      <c r="L61" s="102" t="s">
        <v>957</v>
      </c>
      <c r="M61" s="106" t="s">
        <v>958</v>
      </c>
      <c r="N61" s="106" t="s">
        <v>959</v>
      </c>
      <c r="O61" s="107"/>
      <c r="P61" s="107"/>
      <c r="Q61" s="107"/>
      <c r="R61" s="107"/>
      <c r="S61" s="107"/>
      <c r="T61" s="107"/>
      <c r="U61" s="107"/>
      <c r="V61" s="107"/>
      <c r="W61" s="107"/>
      <c r="X61" s="107"/>
      <c r="Y61" s="107"/>
      <c r="Z61" s="107"/>
      <c r="AA61" s="107"/>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960</v>
      </c>
      <c r="L62" s="51" t="s">
        <v>961</v>
      </c>
      <c r="M62" s="107"/>
      <c r="N62" s="107"/>
      <c r="O62" s="107"/>
      <c r="P62" s="107"/>
      <c r="Q62" s="107"/>
      <c r="R62" s="107"/>
      <c r="S62" s="107"/>
      <c r="T62" s="107"/>
      <c r="U62" s="107"/>
      <c r="V62" s="107"/>
      <c r="W62" s="107"/>
      <c r="X62" s="107"/>
      <c r="Y62" s="107"/>
      <c r="Z62" s="107"/>
      <c r="AA62" s="107"/>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962</v>
      </c>
      <c r="L63" s="102" t="s">
        <v>963</v>
      </c>
      <c r="M63" s="107"/>
      <c r="N63" s="107"/>
      <c r="O63" s="107"/>
      <c r="P63" s="107"/>
      <c r="Q63" s="107"/>
      <c r="R63" s="107"/>
      <c r="S63" s="107"/>
      <c r="T63" s="107"/>
      <c r="U63" s="107"/>
      <c r="V63" s="107"/>
      <c r="W63" s="107"/>
      <c r="X63" s="107"/>
      <c r="Y63" s="107"/>
      <c r="Z63" s="107"/>
      <c r="AA63" s="107"/>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964</v>
      </c>
      <c r="L64" s="52"/>
      <c r="M64" s="107"/>
      <c r="N64" s="107"/>
      <c r="O64" s="107"/>
      <c r="P64" s="107"/>
      <c r="Q64" s="107"/>
      <c r="R64" s="107"/>
      <c r="S64" s="107"/>
      <c r="T64" s="107"/>
      <c r="U64" s="107"/>
      <c r="V64" s="107"/>
      <c r="W64" s="107"/>
      <c r="X64" s="107"/>
      <c r="Y64" s="107"/>
      <c r="Z64" s="107"/>
      <c r="AA64" s="107"/>
    </row>
    <row r="65" spans="1:27" ht="15.75">
      <c r="A65" s="24" t="str">
        <v>Washington 1</v>
      </c>
      <c r="B65" s="25" t="str">
        <v>NY</v>
      </c>
      <c r="C65" s="25" t="str">
        <f>Sites[[#This Row],[SOL'#]]</f>
        <v>SOL-10912</v>
      </c>
      <c r="D65" s="20">
        <v>343030</v>
      </c>
      <c r="E65" s="10">
        <v>352474.11</v>
      </c>
      <c r="F65" s="10">
        <f t="shared" ref="F65:F128"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965</v>
      </c>
      <c r="L65" s="53"/>
      <c r="M65" s="107"/>
      <c r="N65" s="107"/>
      <c r="O65" s="107"/>
      <c r="P65" s="107"/>
      <c r="Q65" s="107"/>
      <c r="R65" s="107"/>
      <c r="S65" s="107"/>
      <c r="T65" s="107"/>
      <c r="U65" s="107"/>
      <c r="V65" s="107"/>
      <c r="W65" s="107"/>
      <c r="X65" s="107"/>
      <c r="Y65" s="107"/>
      <c r="Z65" s="107"/>
      <c r="AA65" s="107"/>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966</v>
      </c>
      <c r="L66" s="103" t="s">
        <v>967</v>
      </c>
      <c r="M66" s="106" t="s">
        <v>968</v>
      </c>
      <c r="N66" s="106" t="s">
        <v>714</v>
      </c>
      <c r="O66" s="107"/>
      <c r="P66" s="107"/>
      <c r="Q66" s="107"/>
      <c r="R66" s="107"/>
      <c r="S66" s="107"/>
      <c r="T66" s="107"/>
      <c r="U66" s="107"/>
      <c r="V66" s="107"/>
      <c r="W66" s="107"/>
      <c r="X66" s="107"/>
      <c r="Y66" s="107"/>
      <c r="Z66" s="107"/>
      <c r="AA66" s="107"/>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969</v>
      </c>
      <c r="L67" s="102" t="s">
        <v>970</v>
      </c>
      <c r="M67" s="106" t="s">
        <v>971</v>
      </c>
      <c r="N67" s="107"/>
      <c r="O67" s="107"/>
      <c r="P67" s="107"/>
      <c r="Q67" s="107"/>
      <c r="R67" s="107"/>
      <c r="S67" s="107"/>
      <c r="T67" s="107"/>
      <c r="U67" s="107"/>
      <c r="V67" s="107"/>
      <c r="W67" s="107"/>
      <c r="X67" s="107"/>
      <c r="Y67" s="107"/>
      <c r="Z67" s="107"/>
      <c r="AA67" s="107"/>
    </row>
    <row r="68" spans="1:27" ht="15.75">
      <c r="A68" s="26" t="str">
        <v>Big Tree</v>
      </c>
      <c r="B68" s="27" t="str">
        <v>NY</v>
      </c>
      <c r="C68" s="9" t="str">
        <f>Sites[[#This Row],[SOL'#]]</f>
        <v>SOL-10966</v>
      </c>
      <c r="D68" s="9">
        <v>334799</v>
      </c>
      <c r="E68" s="14" t="s">
        <v>936</v>
      </c>
      <c r="F68" s="14" t="str">
        <f t="shared" si="5"/>
        <v/>
      </c>
      <c r="G68" s="43" t="str">
        <f t="shared" si="6"/>
        <v/>
      </c>
      <c r="H68" s="43">
        <v>396020</v>
      </c>
      <c r="I68" s="43">
        <f t="shared" si="7"/>
        <v>-61221</v>
      </c>
      <c r="J68" s="15">
        <f t="shared" si="8"/>
        <v>-0.15459067723852329</v>
      </c>
      <c r="K68" s="51" t="s">
        <v>972</v>
      </c>
      <c r="L68" s="103" t="s">
        <v>716</v>
      </c>
      <c r="M68" s="107"/>
      <c r="N68" s="107"/>
      <c r="O68" s="107"/>
      <c r="P68" s="107"/>
      <c r="Q68" s="107"/>
      <c r="R68" s="107"/>
      <c r="S68" s="107"/>
      <c r="T68" s="107"/>
      <c r="U68" s="107"/>
      <c r="V68" s="107"/>
      <c r="W68" s="107"/>
      <c r="X68" s="107"/>
      <c r="Y68" s="107"/>
      <c r="Z68" s="107"/>
      <c r="AA68" s="107"/>
    </row>
    <row r="69" spans="1:27" ht="36" customHeight="1">
      <c r="A69" s="24" t="str">
        <v>Canoga</v>
      </c>
      <c r="B69" s="25" t="str">
        <v>NY</v>
      </c>
      <c r="C69" s="25" t="str">
        <f>Sites[[#This Row],[SOL'#]]</f>
        <v>SOL-10965</v>
      </c>
      <c r="D69" s="20">
        <v>0</v>
      </c>
      <c r="E69" s="10" t="s">
        <v>936</v>
      </c>
      <c r="F69" s="10" t="str">
        <f t="shared" si="5"/>
        <v/>
      </c>
      <c r="G69" s="10" t="str">
        <f t="shared" si="6"/>
        <v/>
      </c>
      <c r="H69" s="12">
        <v>0</v>
      </c>
      <c r="I69" s="12">
        <f t="shared" si="7"/>
        <v>0</v>
      </c>
      <c r="J69" s="64" t="str">
        <f t="shared" si="8"/>
        <v/>
      </c>
      <c r="K69" s="53" t="s">
        <v>973</v>
      </c>
      <c r="L69" s="102" t="s">
        <v>718</v>
      </c>
      <c r="M69" s="107"/>
      <c r="N69" s="107"/>
      <c r="O69" s="107"/>
      <c r="P69" s="107"/>
      <c r="Q69" s="107"/>
      <c r="R69" s="107"/>
      <c r="S69" s="107"/>
      <c r="T69" s="107"/>
      <c r="U69" s="107"/>
      <c r="V69" s="107"/>
      <c r="W69" s="107"/>
      <c r="X69" s="107"/>
      <c r="Y69" s="107"/>
      <c r="Z69" s="107"/>
      <c r="AA69" s="107"/>
    </row>
    <row r="70" spans="1:27" ht="18" customHeight="1">
      <c r="A70" s="26" t="str">
        <v>County Route 84</v>
      </c>
      <c r="B70" s="27" t="str">
        <v>NY</v>
      </c>
      <c r="C70" s="9" t="str">
        <f>Sites[[#This Row],[SOL'#]]</f>
        <v>SOL-10967</v>
      </c>
      <c r="D70" s="9">
        <v>766800</v>
      </c>
      <c r="E70" s="14" t="s">
        <v>936</v>
      </c>
      <c r="F70" s="43" t="str">
        <f t="shared" si="5"/>
        <v/>
      </c>
      <c r="G70" s="43" t="str">
        <f t="shared" si="6"/>
        <v/>
      </c>
      <c r="H70" s="16">
        <v>954472.22</v>
      </c>
      <c r="I70" s="16">
        <f t="shared" si="7"/>
        <v>-187672.21999999997</v>
      </c>
      <c r="J70" s="15">
        <f t="shared" si="8"/>
        <v>-0.19662407775471974</v>
      </c>
      <c r="K70" s="51" t="s">
        <v>974</v>
      </c>
      <c r="L70" s="103" t="s">
        <v>975</v>
      </c>
      <c r="M70" s="107"/>
      <c r="N70" s="107"/>
      <c r="O70" s="107"/>
      <c r="P70" s="107"/>
      <c r="Q70" s="107"/>
      <c r="R70" s="107"/>
      <c r="S70" s="107"/>
      <c r="T70" s="107"/>
      <c r="U70" s="107"/>
      <c r="V70" s="107"/>
      <c r="W70" s="107"/>
      <c r="X70" s="107"/>
      <c r="Y70" s="107"/>
      <c r="Z70" s="107"/>
      <c r="AA70" s="107"/>
    </row>
    <row r="71" spans="1:27" ht="30.75" customHeight="1">
      <c r="A71" s="24" t="str">
        <v>Donati</v>
      </c>
      <c r="B71" s="25" t="str">
        <v>NY</v>
      </c>
      <c r="C71" s="25" t="str">
        <f>Sites[[#This Row],[SOL'#]]</f>
        <v>SOL-10968</v>
      </c>
      <c r="D71" s="20">
        <v>355625</v>
      </c>
      <c r="E71" s="10" t="s">
        <v>936</v>
      </c>
      <c r="F71" s="10" t="str">
        <f t="shared" si="5"/>
        <v/>
      </c>
      <c r="G71" s="10" t="str">
        <f t="shared" si="6"/>
        <v/>
      </c>
      <c r="H71" s="12">
        <v>496637.33</v>
      </c>
      <c r="I71" s="12">
        <f t="shared" si="7"/>
        <v>-141012.33000000002</v>
      </c>
      <c r="J71" s="64">
        <f t="shared" si="8"/>
        <v>-0.28393421412764119</v>
      </c>
      <c r="K71" s="53" t="s">
        <v>976</v>
      </c>
      <c r="L71" s="102" t="s">
        <v>977</v>
      </c>
      <c r="M71" s="106" t="s">
        <v>723</v>
      </c>
      <c r="N71" s="106" t="s">
        <v>83</v>
      </c>
      <c r="O71" s="107"/>
      <c r="P71" s="107"/>
      <c r="Q71" s="107"/>
      <c r="R71" s="107"/>
      <c r="S71" s="107"/>
      <c r="T71" s="107"/>
      <c r="U71" s="107"/>
      <c r="V71" s="107"/>
      <c r="W71" s="107"/>
      <c r="X71" s="107"/>
      <c r="Y71" s="107"/>
      <c r="Z71" s="107"/>
      <c r="AA71" s="107"/>
    </row>
    <row r="72" spans="1:27" ht="108.75" customHeight="1">
      <c r="A72" s="26" t="str">
        <v>Henrietta</v>
      </c>
      <c r="B72" s="27" t="str">
        <v>NY</v>
      </c>
      <c r="C72" s="9" t="str">
        <f>Sites[[#This Row],[SOL'#]]</f>
        <v>SOL-10972</v>
      </c>
      <c r="D72" s="9">
        <v>649490</v>
      </c>
      <c r="E72" s="14" t="s">
        <v>936</v>
      </c>
      <c r="F72" s="14" t="str">
        <f t="shared" si="5"/>
        <v/>
      </c>
      <c r="G72" s="14" t="str">
        <f t="shared" si="6"/>
        <v/>
      </c>
      <c r="H72" s="14">
        <v>1054030.1200000001</v>
      </c>
      <c r="I72" s="14">
        <f t="shared" si="7"/>
        <v>-404540.12000000011</v>
      </c>
      <c r="J72" s="15">
        <f t="shared" si="8"/>
        <v>-0.38380318771156186</v>
      </c>
      <c r="K72" s="51" t="s">
        <v>978</v>
      </c>
      <c r="L72" s="103" t="s">
        <v>979</v>
      </c>
      <c r="M72" s="106" t="s">
        <v>980</v>
      </c>
      <c r="N72" s="107"/>
      <c r="O72" s="107"/>
      <c r="P72" s="107"/>
      <c r="Q72" s="107"/>
      <c r="R72" s="107"/>
      <c r="S72" s="107"/>
      <c r="T72" s="107"/>
      <c r="U72" s="107"/>
      <c r="V72" s="107"/>
      <c r="W72" s="107"/>
      <c r="X72" s="107"/>
      <c r="Y72" s="107"/>
      <c r="Z72" s="107"/>
      <c r="AA72" s="107"/>
    </row>
    <row r="73" spans="1:27" ht="66" customHeight="1">
      <c r="A73" s="24" t="str">
        <v>NY 70</v>
      </c>
      <c r="B73" s="25" t="str">
        <v>NY</v>
      </c>
      <c r="C73" s="25" t="str">
        <f>Sites[[#This Row],[SOL'#]]</f>
        <v>SOL-10970</v>
      </c>
      <c r="D73" s="20">
        <v>886000</v>
      </c>
      <c r="E73" s="10" t="s">
        <v>936</v>
      </c>
      <c r="F73" s="10" t="str">
        <f t="shared" si="5"/>
        <v/>
      </c>
      <c r="G73" s="11" t="str">
        <f t="shared" si="6"/>
        <v/>
      </c>
      <c r="H73" s="12">
        <v>1183305.28</v>
      </c>
      <c r="I73" s="12">
        <f t="shared" si="7"/>
        <v>-297305.28000000003</v>
      </c>
      <c r="J73" s="64">
        <f t="shared" si="8"/>
        <v>-0.25124985498247759</v>
      </c>
      <c r="K73" s="53" t="s">
        <v>981</v>
      </c>
      <c r="L73" s="102" t="s">
        <v>982</v>
      </c>
      <c r="M73" s="106" t="s">
        <v>733</v>
      </c>
      <c r="N73" s="106" t="s">
        <v>983</v>
      </c>
      <c r="O73" s="107"/>
      <c r="P73" s="107"/>
      <c r="Q73" s="107"/>
      <c r="R73" s="107"/>
      <c r="S73" s="107"/>
      <c r="T73" s="107"/>
      <c r="U73" s="107"/>
      <c r="V73" s="107"/>
      <c r="W73" s="107"/>
      <c r="X73" s="107"/>
      <c r="Y73" s="107"/>
      <c r="Z73" s="107"/>
      <c r="AA73" s="107"/>
    </row>
    <row r="74" spans="1:27" ht="327.75">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984</v>
      </c>
      <c r="L74" s="103" t="s">
        <v>985</v>
      </c>
      <c r="M74" s="106" t="s">
        <v>986</v>
      </c>
      <c r="N74" s="106" t="s">
        <v>987</v>
      </c>
      <c r="O74" s="106" t="s">
        <v>988</v>
      </c>
      <c r="P74" s="106" t="s">
        <v>989</v>
      </c>
      <c r="Q74" s="106" t="s">
        <v>987</v>
      </c>
      <c r="R74" s="106" t="s">
        <v>988</v>
      </c>
      <c r="S74" s="106" t="s">
        <v>989</v>
      </c>
      <c r="T74" s="106" t="s">
        <v>987</v>
      </c>
      <c r="U74" s="106" t="s">
        <v>988</v>
      </c>
      <c r="V74" s="106" t="s">
        <v>987</v>
      </c>
      <c r="W74" s="106" t="s">
        <v>990</v>
      </c>
      <c r="X74" s="106" t="s">
        <v>987</v>
      </c>
      <c r="Y74" s="107"/>
      <c r="Z74" s="107"/>
      <c r="AA74" s="107"/>
    </row>
    <row r="75" spans="1:27" ht="15.75">
      <c r="A75" s="24" t="str">
        <v>Sangolqui</v>
      </c>
      <c r="B75" s="25" t="str">
        <v>NY</v>
      </c>
      <c r="C75" s="25" t="str">
        <f>Sites[[#This Row],[SOL'#]]</f>
        <v>SOL-10975</v>
      </c>
      <c r="D75" s="20">
        <v>354940</v>
      </c>
      <c r="E75" s="10" t="s">
        <v>936</v>
      </c>
      <c r="F75" s="10" t="str">
        <f t="shared" si="5"/>
        <v/>
      </c>
      <c r="G75" s="11" t="str">
        <f t="shared" si="6"/>
        <v/>
      </c>
      <c r="H75" s="12">
        <v>486092.87</v>
      </c>
      <c r="I75" s="12">
        <f t="shared" si="7"/>
        <v>-131152.87</v>
      </c>
      <c r="J75" s="64">
        <f t="shared" si="8"/>
        <v>-0.26981031423069424</v>
      </c>
      <c r="K75" s="53" t="s">
        <v>991</v>
      </c>
      <c r="L75" s="53"/>
      <c r="M75" s="107"/>
      <c r="N75" s="107"/>
      <c r="O75" s="107"/>
      <c r="P75" s="107"/>
      <c r="Q75" s="107"/>
      <c r="R75" s="107"/>
      <c r="S75" s="107"/>
      <c r="T75" s="107"/>
      <c r="U75" s="107"/>
      <c r="V75" s="107"/>
      <c r="W75" s="107"/>
      <c r="X75" s="107"/>
      <c r="Y75" s="107"/>
      <c r="Z75" s="107"/>
      <c r="AA75" s="107"/>
    </row>
    <row r="76" spans="1:27" ht="15.75">
      <c r="A76" s="26" t="str">
        <v>State Highway 17B</v>
      </c>
      <c r="B76" s="27" t="str">
        <v>NY</v>
      </c>
      <c r="C76" s="9" t="str">
        <f>Sites[[#This Row],[SOL'#]]</f>
        <v>SOL-10988</v>
      </c>
      <c r="D76" s="9">
        <v>683720</v>
      </c>
      <c r="E76" s="14" t="s">
        <v>936</v>
      </c>
      <c r="F76" s="14" t="str">
        <f t="shared" si="5"/>
        <v/>
      </c>
      <c r="G76" s="15" t="str">
        <f t="shared" si="6"/>
        <v/>
      </c>
      <c r="H76" s="16">
        <v>753209.85</v>
      </c>
      <c r="I76" s="16">
        <f t="shared" si="7"/>
        <v>-69489.849999999977</v>
      </c>
      <c r="J76" s="15">
        <f t="shared" si="8"/>
        <v>-9.2258286319542929E-2</v>
      </c>
      <c r="K76" s="51"/>
      <c r="L76" s="52"/>
      <c r="M76" s="107"/>
      <c r="N76" s="107"/>
      <c r="O76" s="107"/>
      <c r="P76" s="107"/>
      <c r="Q76" s="107"/>
      <c r="R76" s="107"/>
      <c r="S76" s="107"/>
      <c r="T76" s="107"/>
      <c r="U76" s="107"/>
      <c r="V76" s="107"/>
      <c r="W76" s="107"/>
      <c r="X76" s="107"/>
      <c r="Y76" s="107"/>
      <c r="Z76" s="107"/>
      <c r="AA76" s="107"/>
    </row>
    <row r="77" spans="1:27" ht="47.25" customHeight="1">
      <c r="A77" s="24" t="str">
        <v>State Route 14A</v>
      </c>
      <c r="B77" s="25" t="str">
        <v>NY</v>
      </c>
      <c r="C77" s="25" t="str">
        <f>Sites[[#This Row],[SOL'#]]</f>
        <v>SOL-10997</v>
      </c>
      <c r="D77" s="20">
        <v>190293</v>
      </c>
      <c r="E77" s="10" t="s">
        <v>936</v>
      </c>
      <c r="F77" s="10" t="str">
        <f t="shared" si="5"/>
        <v/>
      </c>
      <c r="G77" s="11" t="str">
        <f t="shared" si="6"/>
        <v/>
      </c>
      <c r="H77" s="12">
        <v>966912.78</v>
      </c>
      <c r="I77" s="12">
        <f t="shared" si="7"/>
        <v>-776619.78</v>
      </c>
      <c r="J77" s="64">
        <f t="shared" si="8"/>
        <v>-0.80319527889578624</v>
      </c>
      <c r="K77" s="53" t="s">
        <v>992</v>
      </c>
      <c r="L77" s="102" t="s">
        <v>993</v>
      </c>
      <c r="M77" s="106" t="s">
        <v>994</v>
      </c>
      <c r="N77" s="107"/>
      <c r="O77" s="107"/>
      <c r="P77" s="107"/>
      <c r="Q77" s="107"/>
      <c r="R77" s="107"/>
      <c r="S77" s="107"/>
      <c r="T77" s="107"/>
      <c r="U77" s="107"/>
      <c r="V77" s="107"/>
      <c r="W77" s="107"/>
      <c r="X77" s="107"/>
      <c r="Y77" s="107"/>
      <c r="Z77" s="107"/>
      <c r="AA77" s="107"/>
    </row>
    <row r="78" spans="1:27" ht="68.25" customHeight="1">
      <c r="A78" s="26" t="str">
        <v>West Creek</v>
      </c>
      <c r="B78" s="27" t="str">
        <v>NY</v>
      </c>
      <c r="C78" s="9" t="str">
        <f>Sites[[#This Row],[SOL'#]]</f>
        <v>SOL-10995</v>
      </c>
      <c r="D78" s="9">
        <v>565640</v>
      </c>
      <c r="E78" s="14" t="s">
        <v>936</v>
      </c>
      <c r="F78" s="14" t="str">
        <f t="shared" si="5"/>
        <v/>
      </c>
      <c r="G78" s="15" t="str">
        <f t="shared" si="6"/>
        <v/>
      </c>
      <c r="H78" s="16">
        <v>985279.61</v>
      </c>
      <c r="I78" s="16">
        <f t="shared" si="7"/>
        <v>-419639.61</v>
      </c>
      <c r="J78" s="15">
        <f t="shared" si="8"/>
        <v>-0.42590915892393227</v>
      </c>
      <c r="K78" s="51" t="s">
        <v>995</v>
      </c>
      <c r="L78" s="103" t="s">
        <v>996</v>
      </c>
      <c r="M78" s="106" t="s">
        <v>997</v>
      </c>
      <c r="N78" s="107"/>
      <c r="O78" s="107"/>
      <c r="P78" s="107"/>
      <c r="Q78" s="107"/>
      <c r="R78" s="107"/>
      <c r="S78" s="107"/>
      <c r="T78" s="107"/>
      <c r="U78" s="107"/>
      <c r="V78" s="107"/>
      <c r="W78" s="107"/>
      <c r="X78" s="107"/>
      <c r="Y78" s="107"/>
      <c r="Z78" s="107"/>
      <c r="AA78" s="107"/>
    </row>
    <row r="79" spans="1:27" ht="65.25" customHeight="1">
      <c r="A79" s="24" t="str">
        <v>Wildflower</v>
      </c>
      <c r="B79" s="25" t="str">
        <v>NY</v>
      </c>
      <c r="C79" s="25" t="str">
        <f>Sites[[#This Row],[SOL'#]]</f>
        <v>SOL-10982</v>
      </c>
      <c r="D79" s="20">
        <v>637034</v>
      </c>
      <c r="E79" s="10" t="s">
        <v>936</v>
      </c>
      <c r="F79" s="10" t="str">
        <f t="shared" si="5"/>
        <v/>
      </c>
      <c r="G79" s="11" t="str">
        <f t="shared" si="6"/>
        <v/>
      </c>
      <c r="H79" s="12">
        <v>991234.8</v>
      </c>
      <c r="I79" s="12">
        <f t="shared" si="7"/>
        <v>-354200.80000000005</v>
      </c>
      <c r="J79" s="64">
        <f t="shared" si="8"/>
        <v>-0.35733289428498682</v>
      </c>
      <c r="K79" s="53" t="s">
        <v>998</v>
      </c>
      <c r="L79" s="102" t="s">
        <v>999</v>
      </c>
      <c r="M79" s="106" t="s">
        <v>1000</v>
      </c>
      <c r="N79" s="106" t="s">
        <v>1001</v>
      </c>
      <c r="O79" s="107"/>
      <c r="P79" s="107"/>
      <c r="Q79" s="107"/>
      <c r="R79" s="107"/>
      <c r="S79" s="107"/>
      <c r="T79" s="107"/>
      <c r="U79" s="107"/>
      <c r="V79" s="107"/>
      <c r="W79" s="107"/>
      <c r="X79" s="107"/>
      <c r="Y79" s="107"/>
      <c r="Z79" s="107"/>
      <c r="AA79" s="107"/>
    </row>
    <row r="80" spans="1:27" ht="42.75">
      <c r="A80" s="26" t="str">
        <v>Glen Mary 1</v>
      </c>
      <c r="B80" s="27" t="str">
        <v>NY</v>
      </c>
      <c r="C80" s="9" t="str">
        <f>Sites[[#This Row],[SOL'#]]</f>
        <v>SOL-10993</v>
      </c>
      <c r="D80" s="9">
        <v>564170</v>
      </c>
      <c r="E80" s="14" t="s">
        <v>936</v>
      </c>
      <c r="F80" s="14" t="str">
        <f t="shared" si="5"/>
        <v/>
      </c>
      <c r="G80" s="15" t="str">
        <f t="shared" si="6"/>
        <v/>
      </c>
      <c r="H80" s="16">
        <v>1014571.98</v>
      </c>
      <c r="I80" s="16">
        <f t="shared" si="7"/>
        <v>-450401.98</v>
      </c>
      <c r="J80" s="15">
        <f t="shared" si="8"/>
        <v>-0.4439329972428373</v>
      </c>
      <c r="K80" s="51" t="s">
        <v>1002</v>
      </c>
      <c r="L80" s="103" t="s">
        <v>1003</v>
      </c>
      <c r="M80" s="106" t="s">
        <v>1004</v>
      </c>
      <c r="N80" s="106" t="s">
        <v>1005</v>
      </c>
      <c r="O80" s="107"/>
      <c r="P80" s="107"/>
      <c r="Q80" s="107"/>
      <c r="R80" s="107"/>
      <c r="S80" s="107"/>
      <c r="T80" s="107"/>
      <c r="U80" s="107"/>
      <c r="V80" s="107"/>
      <c r="W80" s="107"/>
      <c r="X80" s="107"/>
      <c r="Y80" s="107"/>
      <c r="Z80" s="107"/>
      <c r="AA80" s="107"/>
    </row>
    <row r="81" spans="1:27" ht="35.25" customHeight="1">
      <c r="A81" s="24" t="str">
        <v>Glen Mary 2</v>
      </c>
      <c r="B81" s="25" t="str">
        <v>NY</v>
      </c>
      <c r="C81" s="25" t="str">
        <f>Sites[[#This Row],[SOL'#]]</f>
        <v>SOL-10994</v>
      </c>
      <c r="D81" s="20">
        <v>248380</v>
      </c>
      <c r="E81" s="10" t="s">
        <v>936</v>
      </c>
      <c r="F81" s="10" t="str">
        <f t="shared" si="5"/>
        <v/>
      </c>
      <c r="G81" s="11" t="str">
        <f t="shared" si="6"/>
        <v/>
      </c>
      <c r="H81" s="12">
        <v>432204.17</v>
      </c>
      <c r="I81" s="12">
        <f t="shared" si="7"/>
        <v>-183824.16999999998</v>
      </c>
      <c r="J81" s="64">
        <f t="shared" si="8"/>
        <v>-0.42531790010262971</v>
      </c>
      <c r="K81" s="53" t="s">
        <v>1006</v>
      </c>
      <c r="L81" s="102" t="s">
        <v>1007</v>
      </c>
      <c r="M81" s="106" t="s">
        <v>1008</v>
      </c>
      <c r="N81" s="107"/>
      <c r="O81" s="107"/>
      <c r="P81" s="107"/>
      <c r="Q81" s="107"/>
      <c r="R81" s="107"/>
      <c r="S81" s="107"/>
      <c r="T81" s="107"/>
      <c r="U81" s="107"/>
      <c r="V81" s="107"/>
      <c r="W81" s="107"/>
      <c r="X81" s="107"/>
      <c r="Y81" s="107"/>
      <c r="Z81" s="107"/>
      <c r="AA81" s="107"/>
    </row>
    <row r="82" spans="1:27" ht="15.75">
      <c r="A82" s="26" t="str">
        <v>Telegraph 1</v>
      </c>
      <c r="B82" s="27" t="str">
        <v>NY</v>
      </c>
      <c r="C82" s="9" t="str">
        <f>Sites[[#This Row],[SOL'#]]</f>
        <v>SOL-11003</v>
      </c>
      <c r="D82" s="9">
        <v>609457</v>
      </c>
      <c r="E82" s="14" t="s">
        <v>936</v>
      </c>
      <c r="F82" s="14" t="str">
        <f t="shared" si="5"/>
        <v/>
      </c>
      <c r="G82" s="15" t="str">
        <f t="shared" si="6"/>
        <v/>
      </c>
      <c r="H82" s="16">
        <v>722853.26</v>
      </c>
      <c r="I82" s="16">
        <f t="shared" si="7"/>
        <v>-113396.26000000001</v>
      </c>
      <c r="J82" s="15">
        <f t="shared" si="8"/>
        <v>-0.15687313909326495</v>
      </c>
      <c r="K82" s="51" t="s">
        <v>1009</v>
      </c>
      <c r="L82" s="52"/>
      <c r="M82" s="107"/>
      <c r="N82" s="107"/>
      <c r="O82" s="107"/>
      <c r="P82" s="107"/>
      <c r="Q82" s="107"/>
      <c r="R82" s="107"/>
      <c r="S82" s="107"/>
      <c r="T82" s="107"/>
      <c r="U82" s="107"/>
      <c r="V82" s="107"/>
      <c r="W82" s="107"/>
      <c r="X82" s="107"/>
      <c r="Y82" s="107"/>
      <c r="Z82" s="107"/>
      <c r="AA82" s="107"/>
    </row>
    <row r="83" spans="1:27" ht="15.75">
      <c r="A83" s="24" t="str">
        <v>Telegraph 2</v>
      </c>
      <c r="B83" s="25" t="str">
        <v>NY</v>
      </c>
      <c r="C83" s="25" t="str">
        <f>Sites[[#This Row],[SOL'#]]</f>
        <v>SOL-11004</v>
      </c>
      <c r="D83" s="20">
        <v>322890</v>
      </c>
      <c r="E83" s="10" t="s">
        <v>936</v>
      </c>
      <c r="F83" s="10" t="str">
        <f t="shared" si="5"/>
        <v/>
      </c>
      <c r="G83" s="11" t="str">
        <f t="shared" si="6"/>
        <v/>
      </c>
      <c r="H83" s="12">
        <v>376205.85</v>
      </c>
      <c r="I83" s="12">
        <f t="shared" si="7"/>
        <v>-53315.849999999977</v>
      </c>
      <c r="J83" s="64">
        <f t="shared" si="8"/>
        <v>-0.14171988553607015</v>
      </c>
      <c r="K83" s="73" t="s">
        <v>1010</v>
      </c>
      <c r="L83" s="53"/>
      <c r="M83" s="107"/>
      <c r="N83" s="107"/>
      <c r="O83" s="107"/>
      <c r="P83" s="107"/>
      <c r="Q83" s="107"/>
      <c r="R83" s="107"/>
      <c r="S83" s="107"/>
      <c r="T83" s="107"/>
      <c r="U83" s="107"/>
      <c r="V83" s="107"/>
      <c r="W83" s="107"/>
      <c r="X83" s="107"/>
      <c r="Y83" s="107"/>
      <c r="Z83" s="107"/>
      <c r="AA83" s="107"/>
    </row>
    <row r="84" spans="1:27" ht="15.75">
      <c r="A84" s="26" t="str">
        <v>Cafferty Hill</v>
      </c>
      <c r="B84" s="27" t="str">
        <v>NY</v>
      </c>
      <c r="C84" s="9" t="str">
        <f>Sites[[#This Row],[SOL'#]]</f>
        <v>SOL-10996</v>
      </c>
      <c r="D84" s="9">
        <v>699070</v>
      </c>
      <c r="E84" s="14" t="s">
        <v>936</v>
      </c>
      <c r="F84" s="14" t="str">
        <f t="shared" si="5"/>
        <v/>
      </c>
      <c r="G84" s="15" t="str">
        <f t="shared" si="6"/>
        <v/>
      </c>
      <c r="H84" s="16">
        <v>925815.16</v>
      </c>
      <c r="I84" s="16">
        <f t="shared" si="7"/>
        <v>-226745.16000000003</v>
      </c>
      <c r="J84" s="15">
        <f t="shared" si="8"/>
        <v>-0.24491407118457645</v>
      </c>
      <c r="K84" s="51" t="s">
        <v>1011</v>
      </c>
      <c r="L84" s="51"/>
      <c r="M84" s="107"/>
      <c r="N84" s="107"/>
      <c r="O84" s="107"/>
      <c r="P84" s="107"/>
      <c r="Q84" s="107"/>
      <c r="R84" s="107"/>
      <c r="S84" s="107"/>
      <c r="T84" s="107"/>
      <c r="U84" s="107"/>
      <c r="V84" s="107"/>
      <c r="W84" s="107"/>
      <c r="X84" s="107"/>
      <c r="Y84" s="107"/>
      <c r="Z84" s="107"/>
      <c r="AA84" s="107"/>
    </row>
    <row r="85" spans="1:27" ht="57">
      <c r="A85" s="24" t="str">
        <v>Dunkleman</v>
      </c>
      <c r="B85" s="25" t="str">
        <v>NY</v>
      </c>
      <c r="C85" s="25" t="str">
        <f>Sites[[#This Row],[SOL'#]]</f>
        <v>SOL-11008</v>
      </c>
      <c r="D85" s="20">
        <v>931420</v>
      </c>
      <c r="E85" s="10" t="s">
        <v>936</v>
      </c>
      <c r="F85" s="10" t="str">
        <f t="shared" si="5"/>
        <v/>
      </c>
      <c r="G85" s="11" t="str">
        <f t="shared" si="6"/>
        <v/>
      </c>
      <c r="H85" s="12">
        <v>1222284.26</v>
      </c>
      <c r="I85" s="12">
        <f t="shared" si="7"/>
        <v>-290864.26</v>
      </c>
      <c r="J85" s="64">
        <f t="shared" si="8"/>
        <v>-0.23796777027955837</v>
      </c>
      <c r="K85" s="53" t="s">
        <v>1012</v>
      </c>
      <c r="L85" s="102" t="s">
        <v>299</v>
      </c>
      <c r="M85" s="107"/>
      <c r="N85" s="107"/>
      <c r="O85" s="107"/>
      <c r="P85" s="107"/>
      <c r="Q85" s="107"/>
      <c r="R85" s="107"/>
      <c r="S85" s="107"/>
      <c r="T85" s="107"/>
      <c r="U85" s="107"/>
      <c r="V85" s="107"/>
      <c r="W85" s="107"/>
      <c r="X85" s="107"/>
      <c r="Y85" s="107"/>
      <c r="Z85" s="107"/>
      <c r="AA85" s="107"/>
    </row>
    <row r="86" spans="1:27" ht="15.75">
      <c r="A86" s="26" t="str">
        <v>Route 19 1</v>
      </c>
      <c r="B86" s="27" t="str">
        <v>NY</v>
      </c>
      <c r="C86" s="9" t="str">
        <f>Sites[[#This Row],[SOL'#]]</f>
        <v>SOL-11001</v>
      </c>
      <c r="D86" s="9">
        <v>384140</v>
      </c>
      <c r="E86" s="14" t="s">
        <v>936</v>
      </c>
      <c r="F86" s="14" t="str">
        <f t="shared" si="5"/>
        <v/>
      </c>
      <c r="G86" s="15" t="str">
        <f t="shared" si="6"/>
        <v/>
      </c>
      <c r="H86" s="16">
        <v>492648.27</v>
      </c>
      <c r="I86" s="16">
        <f t="shared" si="7"/>
        <v>-108508.27000000002</v>
      </c>
      <c r="J86" s="15">
        <f t="shared" si="8"/>
        <v>-0.22025505133713352</v>
      </c>
      <c r="K86" s="51" t="s">
        <v>1013</v>
      </c>
      <c r="L86" s="51"/>
      <c r="M86" s="107"/>
      <c r="N86" s="107"/>
      <c r="O86" s="107"/>
      <c r="P86" s="107"/>
      <c r="Q86" s="107"/>
      <c r="R86" s="107"/>
      <c r="S86" s="107"/>
      <c r="T86" s="107"/>
      <c r="U86" s="107"/>
      <c r="V86" s="107"/>
      <c r="W86" s="107"/>
      <c r="X86" s="107"/>
      <c r="Y86" s="107"/>
      <c r="Z86" s="107"/>
      <c r="AA86" s="107"/>
    </row>
    <row r="87" spans="1:27" ht="15.75">
      <c r="A87" s="24" t="str">
        <v>Route 19 2</v>
      </c>
      <c r="B87" s="25" t="str">
        <v>NY</v>
      </c>
      <c r="C87" s="25" t="str">
        <f>Sites[[#This Row],[SOL'#]]</f>
        <v>SOL-11002</v>
      </c>
      <c r="D87" s="20">
        <v>926520</v>
      </c>
      <c r="E87" s="10" t="s">
        <v>936</v>
      </c>
      <c r="F87" s="10" t="str">
        <f t="shared" si="5"/>
        <v/>
      </c>
      <c r="G87" s="11" t="str">
        <f t="shared" si="6"/>
        <v/>
      </c>
      <c r="H87" s="12">
        <v>1226350.1399999999</v>
      </c>
      <c r="I87" s="12">
        <f t="shared" si="7"/>
        <v>-299830.1399999999</v>
      </c>
      <c r="J87" s="64">
        <f t="shared" si="8"/>
        <v>-0.24448983224317969</v>
      </c>
      <c r="K87" s="53" t="s">
        <v>1013</v>
      </c>
      <c r="L87" s="53"/>
      <c r="M87" s="107"/>
      <c r="N87" s="107"/>
      <c r="O87" s="107"/>
      <c r="P87" s="107"/>
      <c r="Q87" s="107"/>
      <c r="R87" s="107"/>
      <c r="S87" s="107"/>
      <c r="T87" s="107"/>
      <c r="U87" s="107"/>
      <c r="V87" s="107"/>
      <c r="W87" s="107"/>
      <c r="X87" s="107"/>
      <c r="Y87" s="107"/>
      <c r="Z87" s="107"/>
      <c r="AA87" s="107"/>
    </row>
    <row r="88" spans="1:27" ht="33" customHeight="1">
      <c r="A88" s="26" t="str">
        <v>Yellow Mills 1</v>
      </c>
      <c r="B88" s="27" t="str">
        <v>NY</v>
      </c>
      <c r="C88" s="9" t="str">
        <f>Sites[[#This Row],[SOL'#]]</f>
        <v>SOL-11006</v>
      </c>
      <c r="D88" s="9">
        <v>309410</v>
      </c>
      <c r="E88" s="14" t="s">
        <v>936</v>
      </c>
      <c r="F88" s="14" t="str">
        <f t="shared" si="5"/>
        <v/>
      </c>
      <c r="G88" s="15" t="str">
        <f t="shared" si="6"/>
        <v/>
      </c>
      <c r="H88" s="16">
        <v>416192.42</v>
      </c>
      <c r="I88" s="16">
        <f t="shared" si="7"/>
        <v>-106782.41999999998</v>
      </c>
      <c r="J88" s="15">
        <f t="shared" si="8"/>
        <v>-0.25656983373219527</v>
      </c>
      <c r="K88" s="51" t="s">
        <v>1014</v>
      </c>
      <c r="L88" s="103" t="s">
        <v>1015</v>
      </c>
      <c r="M88" s="107"/>
      <c r="N88" s="107"/>
      <c r="O88" s="107"/>
      <c r="P88" s="107"/>
      <c r="Q88" s="107"/>
      <c r="R88" s="107"/>
      <c r="S88" s="107"/>
      <c r="T88" s="107"/>
      <c r="U88" s="107"/>
      <c r="V88" s="107"/>
      <c r="W88" s="107"/>
      <c r="X88" s="107"/>
      <c r="Y88" s="107"/>
      <c r="Z88" s="107"/>
      <c r="AA88" s="107"/>
    </row>
    <row r="89" spans="1:27" ht="33.75" customHeight="1">
      <c r="A89" s="24" t="str">
        <v>Yellow Mills 2</v>
      </c>
      <c r="B89" s="25" t="str">
        <v>NY</v>
      </c>
      <c r="C89" s="25" t="str">
        <f>Sites[[#This Row],[SOL'#]]</f>
        <v>SOL-11005</v>
      </c>
      <c r="D89" s="20">
        <v>325193</v>
      </c>
      <c r="E89" s="10" t="s">
        <v>936</v>
      </c>
      <c r="F89" s="10" t="str">
        <f t="shared" si="5"/>
        <v/>
      </c>
      <c r="G89" s="11" t="str">
        <f t="shared" si="6"/>
        <v/>
      </c>
      <c r="H89" s="12">
        <v>429297.84</v>
      </c>
      <c r="I89" s="12">
        <f t="shared" si="7"/>
        <v>-104104.84000000003</v>
      </c>
      <c r="J89" s="64">
        <f t="shared" si="8"/>
        <v>-0.24250026508402656</v>
      </c>
      <c r="K89" s="53" t="s">
        <v>1016</v>
      </c>
      <c r="L89" s="102" t="s">
        <v>1017</v>
      </c>
      <c r="M89" s="107"/>
      <c r="N89" s="107"/>
      <c r="O89" s="107"/>
      <c r="P89" s="107"/>
      <c r="Q89" s="107"/>
      <c r="R89" s="107"/>
      <c r="S89" s="107"/>
      <c r="T89" s="107"/>
      <c r="U89" s="107"/>
      <c r="V89" s="107"/>
      <c r="W89" s="107"/>
      <c r="X89" s="107"/>
      <c r="Y89" s="107"/>
      <c r="Z89" s="107"/>
      <c r="AA89" s="107"/>
    </row>
    <row r="90" spans="1:27" ht="17.25" customHeight="1">
      <c r="A90" s="26" t="str">
        <v>Yellow Mills 3</v>
      </c>
      <c r="B90" s="27" t="str">
        <v>NY</v>
      </c>
      <c r="C90" s="9" t="str">
        <f>Sites[[#This Row],[SOL'#]]</f>
        <v>SOL-11007</v>
      </c>
      <c r="D90" s="9">
        <v>319142</v>
      </c>
      <c r="E90" s="14" t="s">
        <v>936</v>
      </c>
      <c r="F90" s="14" t="str">
        <f t="shared" si="5"/>
        <v/>
      </c>
      <c r="G90" s="15" t="str">
        <f t="shared" si="6"/>
        <v/>
      </c>
      <c r="H90" s="16">
        <v>411178.38</v>
      </c>
      <c r="I90" s="16">
        <f t="shared" si="7"/>
        <v>-92036.38</v>
      </c>
      <c r="J90" s="15">
        <f t="shared" si="8"/>
        <v>-0.2238356501137049</v>
      </c>
      <c r="K90" s="51" t="s">
        <v>1018</v>
      </c>
      <c r="L90" s="103" t="s">
        <v>1019</v>
      </c>
      <c r="M90" s="107"/>
      <c r="N90" s="107"/>
      <c r="O90" s="107"/>
      <c r="P90" s="107"/>
      <c r="Q90" s="107"/>
      <c r="R90" s="107"/>
      <c r="S90" s="107"/>
      <c r="T90" s="107"/>
      <c r="U90" s="107"/>
      <c r="V90" s="107"/>
      <c r="W90" s="107"/>
      <c r="X90" s="107"/>
      <c r="Y90" s="107"/>
      <c r="Z90" s="107"/>
      <c r="AA90" s="107"/>
    </row>
    <row r="91" spans="1:27" ht="15.75">
      <c r="A91" s="24" t="str">
        <v>Catskill</v>
      </c>
      <c r="B91" s="25" t="str">
        <v>NY</v>
      </c>
      <c r="C91" s="25" t="str">
        <f>Sites[[#This Row],[SOL'#]]</f>
        <v>SOL-11021</v>
      </c>
      <c r="D91" s="20">
        <v>575300</v>
      </c>
      <c r="E91" s="10" t="s">
        <v>936</v>
      </c>
      <c r="F91" s="10" t="str">
        <f t="shared" si="5"/>
        <v/>
      </c>
      <c r="G91" s="11" t="str">
        <f t="shared" si="6"/>
        <v/>
      </c>
      <c r="H91" s="12">
        <v>720288.86</v>
      </c>
      <c r="I91" s="12">
        <f t="shared" si="7"/>
        <v>-144988.85999999999</v>
      </c>
      <c r="J91" s="64">
        <f t="shared" si="8"/>
        <v>-0.20129265917010017</v>
      </c>
      <c r="K91" s="53" t="s">
        <v>1020</v>
      </c>
      <c r="L91" s="53"/>
      <c r="M91" s="107"/>
      <c r="N91" s="107"/>
      <c r="O91" s="107"/>
      <c r="P91" s="107"/>
      <c r="Q91" s="107"/>
      <c r="R91" s="107"/>
      <c r="S91" s="107"/>
      <c r="T91" s="107"/>
      <c r="U91" s="107"/>
      <c r="V91" s="107"/>
      <c r="W91" s="107"/>
      <c r="X91" s="107"/>
      <c r="Y91" s="107"/>
      <c r="Z91" s="107"/>
      <c r="AA91" s="107"/>
    </row>
    <row r="92" spans="1:27" ht="36" customHeight="1">
      <c r="A92" s="26" t="str">
        <v>Eddy Ridge</v>
      </c>
      <c r="B92" s="27" t="str">
        <v>NY</v>
      </c>
      <c r="C92" s="9" t="str">
        <f>Sites[[#This Row],[SOL'#]]</f>
        <v>SOL-11054</v>
      </c>
      <c r="D92" s="9">
        <v>466429</v>
      </c>
      <c r="E92" s="14" t="s">
        <v>936</v>
      </c>
      <c r="F92" s="14" t="str">
        <f t="shared" si="5"/>
        <v/>
      </c>
      <c r="G92" s="15" t="str">
        <f t="shared" si="6"/>
        <v/>
      </c>
      <c r="H92" s="16">
        <v>589040</v>
      </c>
      <c r="I92" s="16">
        <f t="shared" si="7"/>
        <v>-122611</v>
      </c>
      <c r="J92" s="15">
        <f t="shared" si="8"/>
        <v>-0.20815394540268911</v>
      </c>
      <c r="K92" s="51" t="s">
        <v>1021</v>
      </c>
      <c r="L92" s="103" t="s">
        <v>1022</v>
      </c>
      <c r="M92" s="106" t="s">
        <v>1023</v>
      </c>
      <c r="N92" s="107"/>
      <c r="O92" s="107"/>
      <c r="P92" s="107"/>
      <c r="Q92" s="107"/>
      <c r="R92" s="107"/>
      <c r="S92" s="107"/>
      <c r="T92" s="107"/>
      <c r="U92" s="107"/>
      <c r="V92" s="107"/>
      <c r="W92" s="107"/>
      <c r="X92" s="107"/>
      <c r="Y92" s="107"/>
      <c r="Z92" s="107"/>
      <c r="AA92" s="107"/>
    </row>
    <row r="93" spans="1:27" ht="31.5" customHeight="1">
      <c r="A93" s="24" t="str">
        <v>Ridgeway #1</v>
      </c>
      <c r="B93" s="25" t="str">
        <v>NY</v>
      </c>
      <c r="C93" s="25" t="str">
        <f>Sites[[#This Row],[SOL'#]]</f>
        <v>SOL-11018</v>
      </c>
      <c r="D93" s="20">
        <v>1046948</v>
      </c>
      <c r="E93" s="10" t="s">
        <v>936</v>
      </c>
      <c r="F93" s="10" t="str">
        <f t="shared" si="5"/>
        <v/>
      </c>
      <c r="G93" s="11" t="str">
        <f t="shared" si="6"/>
        <v/>
      </c>
      <c r="H93" s="12">
        <v>1246214.3799999999</v>
      </c>
      <c r="I93" s="12">
        <f t="shared" si="7"/>
        <v>-199266.37999999989</v>
      </c>
      <c r="J93" s="64">
        <f t="shared" si="8"/>
        <v>-0.15989735249243386</v>
      </c>
      <c r="K93" s="53" t="s">
        <v>1024</v>
      </c>
      <c r="L93" s="102" t="s">
        <v>1025</v>
      </c>
      <c r="M93" s="106" t="s">
        <v>1026</v>
      </c>
      <c r="N93" s="107"/>
      <c r="O93" s="107"/>
      <c r="P93" s="107"/>
      <c r="Q93" s="107"/>
      <c r="R93" s="107"/>
      <c r="S93" s="107"/>
      <c r="T93" s="107"/>
      <c r="U93" s="107"/>
      <c r="V93" s="107"/>
      <c r="W93" s="107"/>
      <c r="X93" s="107"/>
      <c r="Y93" s="107"/>
      <c r="Z93" s="107"/>
      <c r="AA93" s="107"/>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1027</v>
      </c>
      <c r="L94" s="103" t="s">
        <v>1028</v>
      </c>
      <c r="M94" s="107"/>
      <c r="N94" s="107"/>
      <c r="O94" s="107"/>
      <c r="P94" s="107"/>
      <c r="Q94" s="107"/>
      <c r="R94" s="107"/>
      <c r="S94" s="107"/>
      <c r="T94" s="107"/>
      <c r="U94" s="107"/>
      <c r="V94" s="107"/>
      <c r="W94" s="107"/>
      <c r="X94" s="107"/>
      <c r="Y94" s="107"/>
      <c r="Z94" s="107"/>
      <c r="AA94" s="107"/>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1029</v>
      </c>
      <c r="L95" s="102" t="s">
        <v>314</v>
      </c>
      <c r="M95" s="107"/>
      <c r="N95" s="107"/>
      <c r="O95" s="107"/>
      <c r="P95" s="107"/>
      <c r="Q95" s="107"/>
      <c r="R95" s="107"/>
      <c r="S95" s="107"/>
      <c r="T95" s="107"/>
      <c r="U95" s="107"/>
      <c r="V95" s="107"/>
      <c r="W95" s="107"/>
      <c r="X95" s="107"/>
      <c r="Y95" s="107"/>
      <c r="Z95" s="107"/>
      <c r="AA95" s="107"/>
    </row>
    <row r="96" spans="1:27" ht="30.75">
      <c r="A96" s="26" t="str">
        <v>Ridgeway #2</v>
      </c>
      <c r="B96" s="27" t="str">
        <v>NY</v>
      </c>
      <c r="C96" s="9" t="str">
        <f>Sites[[#This Row],[SOL'#]]</f>
        <v>SOL-11027</v>
      </c>
      <c r="D96" s="9">
        <v>529391</v>
      </c>
      <c r="E96" s="14" t="s">
        <v>936</v>
      </c>
      <c r="F96" s="14" t="str">
        <f t="shared" si="5"/>
        <v/>
      </c>
      <c r="G96" s="15" t="str">
        <f t="shared" si="6"/>
        <v/>
      </c>
      <c r="H96" s="16">
        <v>632557</v>
      </c>
      <c r="I96" s="16">
        <f t="shared" si="7"/>
        <v>-103166</v>
      </c>
      <c r="J96" s="15">
        <f t="shared" si="8"/>
        <v>-0.16309360263185768</v>
      </c>
      <c r="K96" s="51" t="s">
        <v>1030</v>
      </c>
      <c r="L96" s="103" t="s">
        <v>1031</v>
      </c>
      <c r="M96" s="107"/>
      <c r="N96" s="107"/>
      <c r="O96" s="107"/>
      <c r="P96" s="107"/>
      <c r="Q96" s="107"/>
      <c r="R96" s="107"/>
      <c r="S96" s="107"/>
      <c r="T96" s="107"/>
      <c r="U96" s="107"/>
      <c r="V96" s="107"/>
      <c r="W96" s="107"/>
      <c r="X96" s="107"/>
      <c r="Y96" s="107"/>
      <c r="Z96" s="107"/>
      <c r="AA96" s="107"/>
    </row>
    <row r="97" spans="1:27" ht="45.75">
      <c r="A97" s="24" t="str">
        <v>Spencer</v>
      </c>
      <c r="B97" s="25" t="str">
        <v>NY</v>
      </c>
      <c r="C97" s="25" t="str">
        <f>Sites[[#This Row],[SOL'#]]</f>
        <v>SOL-11017</v>
      </c>
      <c r="D97" s="20">
        <v>862283</v>
      </c>
      <c r="E97" s="10" t="s">
        <v>936</v>
      </c>
      <c r="F97" s="10" t="str">
        <f t="shared" si="5"/>
        <v/>
      </c>
      <c r="G97" s="11" t="str">
        <f t="shared" si="6"/>
        <v/>
      </c>
      <c r="H97" s="12">
        <v>1213900</v>
      </c>
      <c r="I97" s="12">
        <f t="shared" si="7"/>
        <v>-351617</v>
      </c>
      <c r="J97" s="64">
        <f t="shared" si="8"/>
        <v>-0.28965895049015572</v>
      </c>
      <c r="K97" s="70" t="s">
        <v>1032</v>
      </c>
      <c r="L97" s="148" t="s">
        <v>1033</v>
      </c>
      <c r="S97" s="107"/>
      <c r="T97" s="107"/>
      <c r="U97" s="107"/>
      <c r="V97" s="107"/>
      <c r="W97" s="107"/>
      <c r="X97" s="107"/>
      <c r="Y97" s="107"/>
      <c r="Z97" s="107"/>
      <c r="AA97" s="107"/>
    </row>
    <row r="98" spans="1:27" ht="15.75">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46" t="s">
        <v>1034</v>
      </c>
      <c r="L98" s="146"/>
      <c r="S98" s="107"/>
      <c r="T98" s="107"/>
      <c r="U98" s="107"/>
      <c r="V98" s="107"/>
      <c r="W98" s="107"/>
      <c r="X98" s="107"/>
      <c r="Y98" s="107"/>
      <c r="Z98" s="107"/>
      <c r="AA98" s="107"/>
    </row>
    <row r="99" spans="1:27" ht="15.75">
      <c r="A99" s="24" t="str">
        <v>Finney</v>
      </c>
      <c r="B99" s="25" t="str">
        <v>NY</v>
      </c>
      <c r="C99" s="25" t="str">
        <f>Sites[[#This Row],[SOL'#]]</f>
        <v>SOL-10999</v>
      </c>
      <c r="D99" s="20">
        <v>870110</v>
      </c>
      <c r="E99" s="10" t="s">
        <v>936</v>
      </c>
      <c r="F99" s="10" t="str">
        <f t="shared" si="5"/>
        <v/>
      </c>
      <c r="G99" s="11" t="str">
        <f t="shared" si="6"/>
        <v/>
      </c>
      <c r="H99" s="12">
        <v>1165223</v>
      </c>
      <c r="I99" s="12">
        <f t="shared" si="7"/>
        <v>-295113</v>
      </c>
      <c r="J99" s="64">
        <f t="shared" si="8"/>
        <v>-0.25326740031736417</v>
      </c>
      <c r="K99" s="70" t="s">
        <v>1035</v>
      </c>
      <c r="L99" s="17"/>
      <c r="S99" s="107"/>
      <c r="T99" s="107"/>
      <c r="U99" s="107"/>
      <c r="V99" s="107"/>
      <c r="W99" s="107"/>
      <c r="X99" s="107"/>
      <c r="Y99" s="107"/>
      <c r="Z99" s="107"/>
      <c r="AA99" s="107"/>
    </row>
    <row r="100" spans="1:27" ht="60.75">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46" t="s">
        <v>1036</v>
      </c>
      <c r="L100" s="147" t="s">
        <v>1037</v>
      </c>
      <c r="M100" s="149" t="s">
        <v>1038</v>
      </c>
      <c r="N100" s="149" t="s">
        <v>1039</v>
      </c>
      <c r="S100" s="107"/>
      <c r="T100" s="107"/>
      <c r="U100" s="107"/>
      <c r="V100" s="107"/>
      <c r="W100" s="107"/>
      <c r="X100" s="107"/>
      <c r="Y100" s="107"/>
      <c r="Z100" s="107"/>
      <c r="AA100" s="107"/>
    </row>
    <row r="101" spans="1:27" ht="30.75">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1040</v>
      </c>
      <c r="L101" s="149" t="s">
        <v>1041</v>
      </c>
      <c r="S101" s="107"/>
      <c r="T101" s="107"/>
      <c r="U101" s="107"/>
      <c r="V101" s="107"/>
      <c r="W101" s="107"/>
      <c r="X101" s="107"/>
      <c r="Y101" s="107"/>
      <c r="Z101" s="107"/>
      <c r="AA101" s="107"/>
    </row>
    <row r="102" spans="1:27" ht="15.75">
      <c r="A102" s="26" t="str">
        <v>Landau I</v>
      </c>
      <c r="B102" s="27" t="str">
        <v>NY</v>
      </c>
      <c r="C102" s="9" t="str">
        <f>Sites[[#This Row],[SOL'#]]</f>
        <v>SOL-10891</v>
      </c>
      <c r="D102" s="9">
        <v>336380</v>
      </c>
      <c r="E102" s="14" t="s">
        <v>936</v>
      </c>
      <c r="F102" s="14" t="str">
        <f t="shared" si="5"/>
        <v/>
      </c>
      <c r="G102" s="15" t="str">
        <f t="shared" si="6"/>
        <v/>
      </c>
      <c r="H102" s="16">
        <v>409363</v>
      </c>
      <c r="I102" s="16">
        <f t="shared" si="7"/>
        <v>-72983</v>
      </c>
      <c r="J102" s="15">
        <f t="shared" si="8"/>
        <v>-0.17828431001336223</v>
      </c>
      <c r="K102" s="146" t="s">
        <v>1042</v>
      </c>
      <c r="L102" s="146"/>
      <c r="S102" s="107"/>
      <c r="T102" s="107"/>
      <c r="U102" s="107"/>
      <c r="V102" s="107"/>
      <c r="W102" s="107"/>
      <c r="X102" s="107"/>
      <c r="Y102" s="107"/>
      <c r="Z102" s="107"/>
      <c r="AA102" s="107"/>
    </row>
    <row r="103" spans="1:27" ht="167.25">
      <c r="A103" s="24" t="str">
        <v>Landau II</v>
      </c>
      <c r="B103" s="25" t="str">
        <v>NY</v>
      </c>
      <c r="C103" s="25" t="str">
        <f>Sites[[#This Row],[SOL'#]]</f>
        <v>SOL-10895</v>
      </c>
      <c r="D103" s="20">
        <v>343090</v>
      </c>
      <c r="E103" s="10" t="s">
        <v>936</v>
      </c>
      <c r="F103" s="10" t="str">
        <f t="shared" si="5"/>
        <v/>
      </c>
      <c r="G103" s="11" t="str">
        <f t="shared" si="6"/>
        <v/>
      </c>
      <c r="H103" s="12">
        <v>889569</v>
      </c>
      <c r="I103" s="12">
        <f t="shared" si="7"/>
        <v>-546479</v>
      </c>
      <c r="J103" s="64">
        <f t="shared" si="8"/>
        <v>-0.61431884429425931</v>
      </c>
      <c r="K103" s="70" t="s">
        <v>1043</v>
      </c>
      <c r="L103" s="148" t="s">
        <v>1044</v>
      </c>
      <c r="M103" s="149" t="s">
        <v>797</v>
      </c>
      <c r="N103" s="149" t="s">
        <v>1045</v>
      </c>
      <c r="O103" s="149" t="s">
        <v>1046</v>
      </c>
      <c r="P103" s="149" t="s">
        <v>1047</v>
      </c>
      <c r="Q103" s="149" t="s">
        <v>1048</v>
      </c>
      <c r="R103" s="149" t="s">
        <v>1049</v>
      </c>
      <c r="S103" s="107"/>
      <c r="T103" s="107"/>
      <c r="U103" s="107"/>
      <c r="V103" s="107"/>
      <c r="W103" s="107"/>
      <c r="X103" s="107"/>
      <c r="Y103" s="107"/>
      <c r="Z103" s="107"/>
      <c r="AA103" s="107"/>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46" t="s">
        <v>1050</v>
      </c>
      <c r="L104" s="147" t="s">
        <v>1051</v>
      </c>
      <c r="S104" s="107"/>
      <c r="T104" s="107"/>
      <c r="U104" s="107"/>
      <c r="V104" s="107"/>
      <c r="W104" s="107"/>
      <c r="X104" s="107"/>
      <c r="Y104" s="107"/>
      <c r="Z104" s="107"/>
      <c r="AA104" s="107"/>
    </row>
    <row r="105" spans="1:27" ht="15.75">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1052</v>
      </c>
      <c r="L105" s="17"/>
      <c r="S105" s="107"/>
      <c r="T105" s="107"/>
      <c r="U105" s="107"/>
      <c r="V105" s="107"/>
      <c r="W105" s="107"/>
      <c r="X105" s="107"/>
      <c r="Y105" s="107"/>
      <c r="Z105" s="107"/>
      <c r="AA105" s="107"/>
    </row>
    <row r="106" spans="1:27" ht="30.75">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46" t="s">
        <v>1053</v>
      </c>
      <c r="L106" s="147" t="s">
        <v>1054</v>
      </c>
      <c r="M106" s="149" t="s">
        <v>540</v>
      </c>
      <c r="S106" s="107"/>
      <c r="T106" s="107"/>
      <c r="U106" s="107"/>
      <c r="V106" s="107"/>
      <c r="W106" s="107"/>
      <c r="X106" s="107"/>
      <c r="Y106" s="107"/>
      <c r="Z106" s="107"/>
      <c r="AA106" s="107"/>
    </row>
    <row r="107" spans="1:27" ht="76.5">
      <c r="A107" s="24" t="str">
        <v>Svenski</v>
      </c>
      <c r="B107" s="25" t="str">
        <v>NY</v>
      </c>
      <c r="C107" s="25" t="str">
        <f>Sites[[#This Row],[SOL'#]]</f>
        <v>SOL-10894</v>
      </c>
      <c r="D107" s="20">
        <v>278263</v>
      </c>
      <c r="E107" s="10" t="s">
        <v>936</v>
      </c>
      <c r="F107" s="10" t="str">
        <f t="shared" si="5"/>
        <v/>
      </c>
      <c r="G107" s="11" t="str">
        <f t="shared" si="6"/>
        <v/>
      </c>
      <c r="H107" s="12">
        <v>431419</v>
      </c>
      <c r="I107" s="12">
        <f t="shared" si="7"/>
        <v>-153156</v>
      </c>
      <c r="J107" s="64">
        <f t="shared" si="8"/>
        <v>-0.35500522693715392</v>
      </c>
      <c r="K107" s="70" t="s">
        <v>1055</v>
      </c>
      <c r="L107" s="148" t="s">
        <v>1056</v>
      </c>
      <c r="M107" s="149" t="s">
        <v>1057</v>
      </c>
      <c r="N107" s="149" t="s">
        <v>1058</v>
      </c>
      <c r="S107" s="107"/>
      <c r="T107" s="107"/>
      <c r="U107" s="107"/>
      <c r="V107" s="107"/>
      <c r="W107" s="107"/>
      <c r="X107" s="107"/>
      <c r="Y107" s="107"/>
      <c r="Z107" s="107"/>
      <c r="AA107" s="107"/>
    </row>
    <row r="108" spans="1:27" ht="213">
      <c r="A108" s="26" t="str">
        <v>Bantam</v>
      </c>
      <c r="B108" s="27" t="str">
        <v>NY</v>
      </c>
      <c r="C108" s="9" t="str">
        <f>Sites[[#This Row],[SOL'#]]</f>
        <v>SOL-10986</v>
      </c>
      <c r="D108" s="9">
        <v>108270</v>
      </c>
      <c r="E108" s="14" t="s">
        <v>936</v>
      </c>
      <c r="F108" s="14" t="str">
        <f t="shared" si="5"/>
        <v/>
      </c>
      <c r="G108" s="15" t="str">
        <f t="shared" si="6"/>
        <v/>
      </c>
      <c r="H108" s="16">
        <v>1155000</v>
      </c>
      <c r="I108" s="16">
        <f t="shared" si="7"/>
        <v>-1046730</v>
      </c>
      <c r="J108" s="15">
        <f t="shared" si="8"/>
        <v>-0.90625974025974021</v>
      </c>
      <c r="K108" s="146" t="s">
        <v>1059</v>
      </c>
      <c r="L108" s="147" t="s">
        <v>1060</v>
      </c>
      <c r="M108" s="149" t="s">
        <v>1061</v>
      </c>
      <c r="N108" s="149" t="s">
        <v>1062</v>
      </c>
      <c r="O108" s="149" t="s">
        <v>1063</v>
      </c>
      <c r="P108" s="149" t="s">
        <v>1064</v>
      </c>
      <c r="S108" s="107"/>
      <c r="T108" s="107"/>
      <c r="U108" s="107"/>
      <c r="V108" s="107"/>
      <c r="W108" s="107"/>
      <c r="X108" s="107"/>
      <c r="Y108" s="107"/>
      <c r="Z108" s="107"/>
      <c r="AA108" s="107"/>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546</v>
      </c>
      <c r="L109" s="149" t="s">
        <v>159</v>
      </c>
      <c r="S109" s="107"/>
      <c r="T109" s="107"/>
      <c r="U109" s="107"/>
      <c r="V109" s="107"/>
      <c r="W109" s="107"/>
      <c r="X109" s="107"/>
      <c r="Y109" s="107"/>
      <c r="Z109" s="107"/>
      <c r="AA109" s="107"/>
    </row>
    <row r="110" spans="1:27" ht="165.75" customHeight="1">
      <c r="A110" s="26" t="str">
        <v>Dubois</v>
      </c>
      <c r="B110" s="27" t="str">
        <v>NY</v>
      </c>
      <c r="C110" s="9" t="str">
        <f>Sites[[#This Row],[SOL'#]]</f>
        <v>SOL-10892</v>
      </c>
      <c r="D110" s="9"/>
      <c r="E110" s="14" t="s">
        <v>936</v>
      </c>
      <c r="F110" s="14" t="str">
        <f t="shared" si="5"/>
        <v/>
      </c>
      <c r="G110" s="15" t="str">
        <f t="shared" si="6"/>
        <v/>
      </c>
      <c r="H110" s="16"/>
      <c r="I110" s="16" t="str">
        <f t="shared" si="7"/>
        <v/>
      </c>
      <c r="J110" s="15" t="str">
        <f t="shared" si="8"/>
        <v/>
      </c>
      <c r="K110" s="146" t="s">
        <v>1065</v>
      </c>
      <c r="L110" s="147" t="s">
        <v>1066</v>
      </c>
      <c r="M110" s="149" t="s">
        <v>1067</v>
      </c>
      <c r="N110" s="149" t="s">
        <v>1068</v>
      </c>
      <c r="O110" s="149" t="s">
        <v>1069</v>
      </c>
      <c r="P110" s="149" t="s">
        <v>1070</v>
      </c>
      <c r="Q110" s="149" t="s">
        <v>1070</v>
      </c>
      <c r="S110" s="106" t="s">
        <v>1071</v>
      </c>
      <c r="T110" s="106" t="s">
        <v>1072</v>
      </c>
      <c r="U110" s="106" t="s">
        <v>1073</v>
      </c>
      <c r="V110" s="106" t="s">
        <v>1074</v>
      </c>
      <c r="W110" s="106" t="s">
        <v>1075</v>
      </c>
      <c r="X110" s="106" t="s">
        <v>1076</v>
      </c>
      <c r="Y110" s="106" t="s">
        <v>1077</v>
      </c>
      <c r="Z110" s="107"/>
      <c r="AA110" s="107"/>
    </row>
    <row r="111" spans="1:27" ht="64.5" customHeight="1">
      <c r="A111" s="24" t="str">
        <v>Salt Point</v>
      </c>
      <c r="B111" s="25" t="str">
        <v>NY</v>
      </c>
      <c r="C111" s="25" t="str">
        <f>Sites[[#This Row],[SOL'#]]</f>
        <v>SOL-10888</v>
      </c>
      <c r="D111" s="20">
        <v>338230</v>
      </c>
      <c r="E111" s="10" t="s">
        <v>936</v>
      </c>
      <c r="F111" s="10" t="str">
        <f t="shared" si="5"/>
        <v/>
      </c>
      <c r="G111" s="11" t="str">
        <f t="shared" si="6"/>
        <v/>
      </c>
      <c r="H111" s="12">
        <v>482241</v>
      </c>
      <c r="I111" s="12">
        <f t="shared" si="7"/>
        <v>-144011</v>
      </c>
      <c r="J111" s="64">
        <f t="shared" si="8"/>
        <v>-0.29862869395177932</v>
      </c>
      <c r="K111" s="70" t="s">
        <v>1078</v>
      </c>
      <c r="L111" s="149" t="s">
        <v>549</v>
      </c>
      <c r="S111" s="107"/>
      <c r="T111" s="107"/>
      <c r="U111" s="107"/>
      <c r="V111" s="107"/>
      <c r="W111" s="107"/>
      <c r="X111" s="107"/>
      <c r="Y111" s="107"/>
      <c r="Z111" s="107"/>
      <c r="AA111" s="107"/>
    </row>
    <row r="112" spans="1:27" ht="48" customHeight="1">
      <c r="A112" s="26" t="str">
        <v>Wheatland 2A</v>
      </c>
      <c r="B112" s="27" t="str">
        <v>NY</v>
      </c>
      <c r="C112" s="9" t="str">
        <f>Sites[[#This Row],[SOL'#]]</f>
        <v>SOL-10971</v>
      </c>
      <c r="D112" s="9">
        <v>681340</v>
      </c>
      <c r="E112" s="14" t="s">
        <v>936</v>
      </c>
      <c r="F112" s="14" t="str">
        <f t="shared" si="5"/>
        <v/>
      </c>
      <c r="G112" s="15" t="str">
        <f t="shared" si="6"/>
        <v/>
      </c>
      <c r="H112" s="16">
        <v>1053225</v>
      </c>
      <c r="I112" s="16">
        <f t="shared" si="7"/>
        <v>-371885</v>
      </c>
      <c r="J112" s="15">
        <f t="shared" si="8"/>
        <v>-0.35309169455719336</v>
      </c>
      <c r="K112" s="146" t="s">
        <v>1079</v>
      </c>
      <c r="L112" s="147" t="s">
        <v>1080</v>
      </c>
      <c r="M112" s="149" t="s">
        <v>552</v>
      </c>
      <c r="N112" s="149" t="s">
        <v>1081</v>
      </c>
      <c r="O112" s="149" t="s">
        <v>1082</v>
      </c>
      <c r="S112" s="107"/>
      <c r="T112" s="107"/>
      <c r="U112" s="107"/>
      <c r="V112" s="107"/>
      <c r="W112" s="107"/>
      <c r="X112" s="107"/>
      <c r="Y112" s="107"/>
      <c r="Z112" s="107"/>
      <c r="AA112" s="107"/>
    </row>
    <row r="113" spans="1:27" ht="63" customHeight="1">
      <c r="A113" s="24" t="str">
        <v>Wheatland 2B</v>
      </c>
      <c r="B113" s="25" t="str">
        <v>NY</v>
      </c>
      <c r="C113" s="25" t="str">
        <f>Sites[[#This Row],[SOL'#]]</f>
        <v>SOL-10961</v>
      </c>
      <c r="D113" s="20">
        <v>812620</v>
      </c>
      <c r="E113" s="10" t="s">
        <v>936</v>
      </c>
      <c r="F113" s="10" t="str">
        <f t="shared" si="5"/>
        <v/>
      </c>
      <c r="G113" s="11" t="str">
        <f t="shared" si="6"/>
        <v/>
      </c>
      <c r="H113" s="12">
        <v>1046530</v>
      </c>
      <c r="I113" s="12">
        <f t="shared" si="7"/>
        <v>-233910</v>
      </c>
      <c r="J113" s="64">
        <f t="shared" si="8"/>
        <v>-0.22351007615644081</v>
      </c>
      <c r="K113" s="70" t="s">
        <v>1083</v>
      </c>
      <c r="L113" s="149" t="s">
        <v>1084</v>
      </c>
      <c r="S113" s="107"/>
      <c r="T113" s="107"/>
      <c r="U113" s="107"/>
      <c r="V113" s="107"/>
      <c r="W113" s="107"/>
      <c r="X113" s="107"/>
      <c r="Y113" s="107"/>
      <c r="Z113" s="107"/>
      <c r="AA113" s="107"/>
    </row>
    <row r="114" spans="1:27" ht="30.75">
      <c r="A114" s="26" t="str">
        <v>Brickchurch</v>
      </c>
      <c r="B114" s="27" t="str">
        <v>NY</v>
      </c>
      <c r="C114" s="9" t="str">
        <f>Sites[[#This Row],[SOL'#]]</f>
        <v>SOL-10889</v>
      </c>
      <c r="D114" s="9">
        <v>350550</v>
      </c>
      <c r="E114" s="14">
        <v>335777.97</v>
      </c>
      <c r="F114" s="14">
        <f t="shared" si="5"/>
        <v>14772.030000000028</v>
      </c>
      <c r="G114" s="15">
        <f t="shared" si="6"/>
        <v>4.3993446026253685E-2</v>
      </c>
      <c r="H114" s="16">
        <v>499952</v>
      </c>
      <c r="I114" s="16">
        <f t="shared" si="7"/>
        <v>-149402</v>
      </c>
      <c r="J114" s="15">
        <f t="shared" si="8"/>
        <v>-0.29883268793804207</v>
      </c>
      <c r="K114" s="146" t="s">
        <v>1085</v>
      </c>
      <c r="L114" s="147" t="s">
        <v>1086</v>
      </c>
      <c r="M114" s="149" t="s">
        <v>561</v>
      </c>
      <c r="S114" s="107"/>
      <c r="T114" s="107"/>
      <c r="U114" s="107"/>
      <c r="V114" s="107"/>
      <c r="W114" s="107"/>
      <c r="X114" s="107"/>
      <c r="Y114" s="107"/>
      <c r="Z114" s="107"/>
      <c r="AA114" s="107"/>
    </row>
    <row r="115" spans="1:27" ht="15.75">
      <c r="A115" s="24" t="str">
        <v>McCarthy Solar</v>
      </c>
      <c r="B115" s="25" t="str">
        <v>NY</v>
      </c>
      <c r="C115" s="25" t="str">
        <f>Sites[[#This Row],[SOL'#]]</f>
        <v>SOL-10992</v>
      </c>
      <c r="D115" s="20">
        <v>333660</v>
      </c>
      <c r="E115" s="10" t="s">
        <v>936</v>
      </c>
      <c r="F115" s="10" t="str">
        <f t="shared" si="5"/>
        <v/>
      </c>
      <c r="G115" s="11" t="str">
        <f t="shared" si="6"/>
        <v/>
      </c>
      <c r="H115" s="12">
        <v>404377</v>
      </c>
      <c r="I115" s="12">
        <f t="shared" si="7"/>
        <v>-70717</v>
      </c>
      <c r="J115" s="64">
        <f t="shared" si="8"/>
        <v>-0.17487888777057053</v>
      </c>
      <c r="K115" s="70" t="s">
        <v>1087</v>
      </c>
      <c r="L115" s="17"/>
      <c r="S115" s="107"/>
      <c r="T115" s="107"/>
      <c r="U115" s="107"/>
      <c r="V115" s="107"/>
      <c r="W115" s="107"/>
      <c r="X115" s="107"/>
      <c r="Y115" s="107"/>
      <c r="Z115" s="107"/>
      <c r="AA115" s="107"/>
    </row>
    <row r="116" spans="1:27" ht="76.5">
      <c r="A116" s="26" t="str">
        <v>Costanza</v>
      </c>
      <c r="B116" s="27" t="str">
        <v>NY</v>
      </c>
      <c r="C116" s="9" t="str">
        <f>Sites[[#This Row],[SOL'#]]</f>
        <v>SOL-10907</v>
      </c>
      <c r="D116" s="9">
        <v>281340</v>
      </c>
      <c r="E116" s="14" t="s">
        <v>936</v>
      </c>
      <c r="F116" s="14" t="str">
        <f t="shared" si="5"/>
        <v/>
      </c>
      <c r="G116" s="15" t="str">
        <f t="shared" si="6"/>
        <v/>
      </c>
      <c r="H116" s="16">
        <v>411426</v>
      </c>
      <c r="I116" s="16">
        <f t="shared" si="7"/>
        <v>-130086</v>
      </c>
      <c r="J116" s="15">
        <f t="shared" si="8"/>
        <v>-0.31618322614516342</v>
      </c>
      <c r="K116" s="146" t="s">
        <v>1088</v>
      </c>
      <c r="L116" s="147" t="s">
        <v>1089</v>
      </c>
      <c r="M116" s="149" t="s">
        <v>1090</v>
      </c>
      <c r="N116" s="149" t="s">
        <v>1091</v>
      </c>
      <c r="O116" s="149" t="s">
        <v>1092</v>
      </c>
      <c r="S116" s="107"/>
      <c r="T116" s="107"/>
      <c r="U116" s="107"/>
      <c r="V116" s="107"/>
      <c r="W116" s="107"/>
      <c r="X116" s="107"/>
      <c r="Y116" s="107"/>
      <c r="Z116" s="107"/>
      <c r="AA116" s="107"/>
    </row>
    <row r="117" spans="1:27" ht="15.75">
      <c r="A117" s="24" t="str">
        <v>Lockenhurst Pond</v>
      </c>
      <c r="B117" s="25" t="str">
        <v>NY</v>
      </c>
      <c r="C117" s="25" t="str">
        <f>Sites[[#This Row],[SOL'#]]</f>
        <v>SOL-11000</v>
      </c>
      <c r="D117" s="20">
        <v>343913.716417911</v>
      </c>
      <c r="E117" s="10">
        <v>369550</v>
      </c>
      <c r="F117" s="10">
        <f t="shared" si="5"/>
        <v>-25636.283582089003</v>
      </c>
      <c r="G117" s="11">
        <f t="shared" si="6"/>
        <v>-6.9371623818398065E-2</v>
      </c>
      <c r="H117" s="12">
        <v>473503</v>
      </c>
      <c r="I117" s="12">
        <f t="shared" si="7"/>
        <v>-129589.283582089</v>
      </c>
      <c r="J117" s="64">
        <f t="shared" si="8"/>
        <v>-0.27368207504934289</v>
      </c>
      <c r="K117" s="70" t="s">
        <v>1093</v>
      </c>
      <c r="L117" s="149" t="s">
        <v>1094</v>
      </c>
      <c r="S117" s="107"/>
      <c r="T117" s="107"/>
      <c r="U117" s="107"/>
      <c r="V117" s="107"/>
      <c r="W117" s="107"/>
      <c r="X117" s="107"/>
      <c r="Y117" s="107"/>
      <c r="Z117" s="107"/>
      <c r="AA117" s="107"/>
    </row>
    <row r="118" spans="1:27" ht="15.75">
      <c r="A118" s="26" t="str">
        <v>Drinkwater</v>
      </c>
      <c r="B118" s="27" t="str">
        <v>NY</v>
      </c>
      <c r="C118" s="9" t="str">
        <f>Sites[[#This Row],[SOL'#]]</f>
        <v>SOL-10896</v>
      </c>
      <c r="D118" s="9">
        <v>322920</v>
      </c>
      <c r="E118" s="14" t="s">
        <v>936</v>
      </c>
      <c r="F118" s="14" t="str">
        <f t="shared" si="5"/>
        <v/>
      </c>
      <c r="G118" s="15" t="str">
        <f t="shared" si="6"/>
        <v/>
      </c>
      <c r="H118" s="16">
        <v>423973</v>
      </c>
      <c r="I118" s="12">
        <f t="shared" si="7"/>
        <v>-101053</v>
      </c>
      <c r="J118" s="15">
        <f t="shared" si="8"/>
        <v>-0.23834772497305254</v>
      </c>
      <c r="K118" s="146" t="s">
        <v>1095</v>
      </c>
      <c r="L118" s="146"/>
      <c r="S118" s="107"/>
      <c r="T118" s="107"/>
      <c r="U118" s="107"/>
      <c r="V118" s="107"/>
      <c r="W118" s="107"/>
      <c r="X118" s="107"/>
      <c r="Y118" s="107"/>
      <c r="Z118" s="107"/>
      <c r="AA118" s="107"/>
    </row>
    <row r="119" spans="1:27" ht="15.75">
      <c r="A119" s="24" t="str">
        <v>Altamont</v>
      </c>
      <c r="B119" s="25" t="str">
        <v>NY</v>
      </c>
      <c r="C119" s="25" t="str">
        <f>Sites[[#This Row],[SOL'#]]</f>
        <v>SOL-11085</v>
      </c>
      <c r="D119" s="20">
        <v>668025</v>
      </c>
      <c r="E119" s="10">
        <v>683749.6</v>
      </c>
      <c r="F119" s="10">
        <f t="shared" si="5"/>
        <v>-15724.599999999977</v>
      </c>
      <c r="G119" s="11">
        <f t="shared" si="6"/>
        <v>-2.2997600291100685E-2</v>
      </c>
      <c r="H119" s="12">
        <v>709911</v>
      </c>
      <c r="I119" s="12">
        <f t="shared" si="7"/>
        <v>-41886</v>
      </c>
      <c r="J119" s="64">
        <f t="shared" si="8"/>
        <v>-5.9001762192725564E-2</v>
      </c>
      <c r="K119" s="70" t="s">
        <v>1095</v>
      </c>
      <c r="L119" s="17"/>
      <c r="S119" s="107"/>
      <c r="T119" s="107"/>
      <c r="U119" s="107"/>
      <c r="V119" s="107"/>
      <c r="W119" s="107"/>
      <c r="X119" s="107"/>
      <c r="Y119" s="107"/>
      <c r="Z119" s="107"/>
      <c r="AA119" s="107"/>
    </row>
    <row r="120" spans="1:27" ht="37.5" customHeight="1">
      <c r="A120" s="26" t="str">
        <v>Krumkill North</v>
      </c>
      <c r="B120" s="27" t="str">
        <v>NY</v>
      </c>
      <c r="C120" s="9" t="str">
        <f>Sites[[#This Row],[SOL'#]]</f>
        <v>SOL-11086</v>
      </c>
      <c r="D120" s="9">
        <v>624527</v>
      </c>
      <c r="E120" s="14">
        <v>670096.30000000005</v>
      </c>
      <c r="F120" s="14">
        <f t="shared" si="5"/>
        <v>-45569.300000000047</v>
      </c>
      <c r="G120" s="15">
        <f t="shared" si="6"/>
        <v>-6.8004106275471224E-2</v>
      </c>
      <c r="H120" s="16">
        <v>776930</v>
      </c>
      <c r="I120" s="16">
        <f t="shared" si="7"/>
        <v>-152403</v>
      </c>
      <c r="J120" s="15">
        <f t="shared" si="8"/>
        <v>-0.19616052926261054</v>
      </c>
      <c r="K120" s="146" t="s">
        <v>1095</v>
      </c>
      <c r="L120" s="146"/>
      <c r="S120" s="107"/>
      <c r="T120" s="107"/>
      <c r="U120" s="107"/>
      <c r="V120" s="107"/>
      <c r="W120" s="107"/>
      <c r="X120" s="107"/>
      <c r="Y120" s="107"/>
      <c r="Z120" s="107"/>
      <c r="AA120" s="107"/>
    </row>
    <row r="121" spans="1:27" ht="15.75">
      <c r="A121" s="24" t="str">
        <v>Krumkill South</v>
      </c>
      <c r="B121" s="25" t="str">
        <v>NY</v>
      </c>
      <c r="C121" s="25" t="str">
        <f>Sites[[#This Row],[SOL'#]]</f>
        <v>SOL-11087</v>
      </c>
      <c r="D121" s="20">
        <v>515330</v>
      </c>
      <c r="E121" s="10">
        <v>532603.6</v>
      </c>
      <c r="F121" s="10">
        <f t="shared" si="5"/>
        <v>-17273.599999999977</v>
      </c>
      <c r="G121" s="11">
        <f t="shared" si="6"/>
        <v>-3.2432375597911803E-2</v>
      </c>
      <c r="H121" s="12">
        <v>609090</v>
      </c>
      <c r="I121" s="12">
        <f t="shared" si="7"/>
        <v>-93760</v>
      </c>
      <c r="J121" s="64">
        <f t="shared" si="8"/>
        <v>-0.15393455811128076</v>
      </c>
      <c r="K121" s="70" t="s">
        <v>1095</v>
      </c>
      <c r="L121" s="17"/>
      <c r="S121" s="107"/>
      <c r="T121" s="107"/>
      <c r="U121" s="107"/>
      <c r="V121" s="107"/>
      <c r="W121" s="107"/>
      <c r="X121" s="107"/>
      <c r="Y121" s="107"/>
      <c r="Z121" s="107"/>
      <c r="AA121" s="107"/>
    </row>
    <row r="122" spans="1:27" ht="51.75" customHeight="1">
      <c r="A122" s="26" t="str">
        <v>X092</v>
      </c>
      <c r="B122" s="27" t="str">
        <v>NY</v>
      </c>
      <c r="C122" s="9" t="str">
        <f>Sites[[#This Row],[SOL'#]]</f>
        <v>SOL-11189</v>
      </c>
      <c r="D122" s="9">
        <v>17684.400000000001</v>
      </c>
      <c r="E122" s="14">
        <v>18009.21</v>
      </c>
      <c r="F122" s="14">
        <f t="shared" si="5"/>
        <v>-324.80999999999767</v>
      </c>
      <c r="G122" s="15">
        <f t="shared" si="6"/>
        <v>-1.8035771696815001E-2</v>
      </c>
      <c r="H122" s="16">
        <v>22323</v>
      </c>
      <c r="I122" s="16">
        <f t="shared" si="7"/>
        <v>-4638.5999999999985</v>
      </c>
      <c r="J122" s="15">
        <f t="shared" si="8"/>
        <v>-0.20779465125655147</v>
      </c>
      <c r="K122" s="146" t="s">
        <v>1096</v>
      </c>
      <c r="L122" s="146"/>
      <c r="S122" s="107"/>
      <c r="T122" s="107"/>
      <c r="U122" s="107"/>
      <c r="V122" s="107"/>
      <c r="W122" s="107"/>
      <c r="X122" s="107"/>
      <c r="Y122" s="107"/>
      <c r="Z122" s="107"/>
      <c r="AA122" s="107"/>
    </row>
    <row r="123" spans="1:27" ht="60.75">
      <c r="A123" s="28" t="str">
        <v>X093</v>
      </c>
      <c r="B123" s="25" t="str">
        <v>NY</v>
      </c>
      <c r="C123" s="25" t="str">
        <f>Sites[[#This Row],[SOL'#]]</f>
        <v>SOL-10932</v>
      </c>
      <c r="D123" s="54">
        <v>1862.18017578125</v>
      </c>
      <c r="E123" s="10">
        <v>12441.15</v>
      </c>
      <c r="F123" s="10">
        <f t="shared" si="5"/>
        <v>-10578.96982421875</v>
      </c>
      <c r="G123" s="55">
        <f t="shared" si="6"/>
        <v>-0.85032089671925426</v>
      </c>
      <c r="H123" s="67">
        <v>15637</v>
      </c>
      <c r="I123" s="67">
        <f t="shared" si="7"/>
        <v>-13774.81982421875</v>
      </c>
      <c r="J123" s="64">
        <f t="shared" si="8"/>
        <v>-0.88091192838899723</v>
      </c>
      <c r="K123" s="70" t="s">
        <v>1097</v>
      </c>
      <c r="L123" s="148" t="s">
        <v>1098</v>
      </c>
      <c r="M123" s="149" t="s">
        <v>830</v>
      </c>
      <c r="S123" s="107"/>
      <c r="T123" s="107"/>
      <c r="U123" s="107"/>
      <c r="V123" s="107"/>
      <c r="W123" s="107"/>
      <c r="X123" s="107"/>
      <c r="Y123" s="107"/>
      <c r="Z123" s="107"/>
      <c r="AA123" s="107"/>
    </row>
    <row r="124" spans="1:27" ht="15.75">
      <c r="A124" s="26" t="str">
        <v>X095</v>
      </c>
      <c r="B124" s="27" t="str">
        <v>NY</v>
      </c>
      <c r="C124" s="9" t="str">
        <f>Sites[[#This Row],[SOL'#]]</f>
        <v>SOL-10929</v>
      </c>
      <c r="D124" s="66">
        <v>17538.34765625</v>
      </c>
      <c r="E124" s="14" t="s">
        <v>936</v>
      </c>
      <c r="F124" s="14" t="str">
        <f t="shared" si="5"/>
        <v/>
      </c>
      <c r="G124" s="68" t="str">
        <f t="shared" si="6"/>
        <v/>
      </c>
      <c r="H124" s="69">
        <v>21123</v>
      </c>
      <c r="I124" s="69">
        <f t="shared" si="7"/>
        <v>-3584.65234375</v>
      </c>
      <c r="J124" s="68">
        <f t="shared" si="8"/>
        <v>-0.1697037515386072</v>
      </c>
      <c r="K124" s="146" t="s">
        <v>1099</v>
      </c>
      <c r="L124" s="147" t="s">
        <v>180</v>
      </c>
      <c r="S124" s="107"/>
      <c r="T124" s="107"/>
      <c r="U124" s="107"/>
      <c r="V124" s="107"/>
      <c r="W124" s="107"/>
      <c r="X124" s="107"/>
      <c r="Y124" s="107"/>
      <c r="Z124" s="107"/>
      <c r="AA124" s="107"/>
    </row>
    <row r="125" spans="1:27" ht="63" customHeight="1">
      <c r="A125" s="24" t="str">
        <v>X181</v>
      </c>
      <c r="B125" s="25" t="str">
        <v>NY</v>
      </c>
      <c r="C125" s="25" t="str">
        <f>Sites[[#This Row],[SOL'#]]</f>
        <v>SOL-10428</v>
      </c>
      <c r="D125" s="54">
        <v>32339.283828125001</v>
      </c>
      <c r="E125" s="10" t="s">
        <v>936</v>
      </c>
      <c r="F125" s="10" t="str">
        <f t="shared" si="5"/>
        <v/>
      </c>
      <c r="G125" s="55" t="str">
        <f t="shared" si="6"/>
        <v/>
      </c>
      <c r="H125" s="67">
        <v>39535</v>
      </c>
      <c r="I125" s="67">
        <f t="shared" si="7"/>
        <v>-7195.7161718749994</v>
      </c>
      <c r="J125" s="64">
        <f t="shared" si="8"/>
        <v>-0.18200875608637915</v>
      </c>
      <c r="K125" s="70" t="s">
        <v>1087</v>
      </c>
      <c r="L125" s="17"/>
      <c r="S125" s="107"/>
      <c r="T125" s="107"/>
      <c r="U125" s="107"/>
      <c r="V125" s="107"/>
      <c r="W125" s="107"/>
      <c r="X125" s="107"/>
      <c r="Y125" s="107"/>
      <c r="Z125" s="107"/>
      <c r="AA125" s="107"/>
    </row>
    <row r="126" spans="1:27" ht="15.75">
      <c r="A126" s="26" t="str">
        <v>X415</v>
      </c>
      <c r="B126" s="27" t="str">
        <v>NY</v>
      </c>
      <c r="C126" s="9" t="str">
        <f>Sites[[#This Row],[SOL'#]]</f>
        <v>SOL-10429</v>
      </c>
      <c r="D126" s="66">
        <v>20586.1640625</v>
      </c>
      <c r="E126" s="14" t="s">
        <v>936</v>
      </c>
      <c r="F126" s="14" t="str">
        <f t="shared" si="5"/>
        <v/>
      </c>
      <c r="G126" s="68">
        <v>0</v>
      </c>
      <c r="H126" s="69">
        <v>23011</v>
      </c>
      <c r="I126" s="69">
        <f t="shared" si="7"/>
        <v>-2424.8359375</v>
      </c>
      <c r="J126" s="68">
        <f t="shared" si="8"/>
        <v>-0.10537725164051975</v>
      </c>
      <c r="K126" s="146" t="s">
        <v>1087</v>
      </c>
      <c r="L126" s="146"/>
      <c r="S126" s="107"/>
      <c r="T126" s="107"/>
      <c r="U126" s="107"/>
      <c r="V126" s="107"/>
      <c r="W126" s="107"/>
      <c r="X126" s="107"/>
      <c r="Y126" s="107"/>
      <c r="Z126" s="107"/>
      <c r="AA126" s="107"/>
    </row>
    <row r="127" spans="1:27" ht="15.75">
      <c r="A127" s="24" t="str">
        <v>K198</v>
      </c>
      <c r="B127" s="25" t="str">
        <v>NY</v>
      </c>
      <c r="C127" s="25" t="str">
        <f>Sites[[#This Row],[SOL'#]]</f>
        <v>SOL-10930</v>
      </c>
      <c r="D127" s="54">
        <v>15353.96875</v>
      </c>
      <c r="E127" s="10">
        <v>14993.88</v>
      </c>
      <c r="F127" s="10">
        <f t="shared" si="5"/>
        <v>360.0887500000008</v>
      </c>
      <c r="G127" s="55">
        <f t="shared" si="6"/>
        <v>2.4015715078418716E-2</v>
      </c>
      <c r="H127" s="67">
        <v>17463</v>
      </c>
      <c r="I127" s="67">
        <f t="shared" si="7"/>
        <v>-2109.03125</v>
      </c>
      <c r="J127" s="64">
        <f t="shared" si="8"/>
        <v>-0.12077141670961461</v>
      </c>
      <c r="K127" s="70" t="s">
        <v>1087</v>
      </c>
      <c r="L127" s="17"/>
      <c r="S127" s="107"/>
      <c r="T127" s="107"/>
      <c r="U127" s="107"/>
      <c r="V127" s="107"/>
      <c r="W127" s="107"/>
      <c r="X127" s="107"/>
      <c r="Y127" s="107"/>
      <c r="Z127" s="107"/>
      <c r="AA127" s="107"/>
    </row>
    <row r="128" spans="1:27" ht="159" customHeight="1">
      <c r="A128" s="26" t="str">
        <v>K203</v>
      </c>
      <c r="B128" s="27" t="str">
        <v>NY</v>
      </c>
      <c r="C128" s="9" t="str">
        <f>Sites[[#This Row],[SOL'#]]</f>
        <v>SOL-11190</v>
      </c>
      <c r="D128" s="66">
        <v>19346.2</v>
      </c>
      <c r="E128" s="14">
        <v>17609.03</v>
      </c>
      <c r="F128" s="14">
        <f t="shared" si="5"/>
        <v>1737.1700000000019</v>
      </c>
      <c r="G128" s="68">
        <f t="shared" si="6"/>
        <v>9.8652225591074699E-2</v>
      </c>
      <c r="H128" s="69">
        <v>23537</v>
      </c>
      <c r="I128" s="69">
        <f t="shared" si="7"/>
        <v>-4190.7999999999993</v>
      </c>
      <c r="J128" s="68">
        <f t="shared" si="8"/>
        <v>-0.17805157836597693</v>
      </c>
      <c r="K128" s="146" t="s">
        <v>1087</v>
      </c>
      <c r="L128" s="146"/>
      <c r="S128" s="106" t="s">
        <v>1100</v>
      </c>
      <c r="T128" s="106" t="s">
        <v>1101</v>
      </c>
      <c r="U128" s="107"/>
      <c r="V128" s="107"/>
      <c r="W128" s="107"/>
      <c r="X128" s="107"/>
      <c r="Y128" s="107"/>
      <c r="Z128" s="107"/>
      <c r="AA128" s="107"/>
    </row>
    <row r="129" spans="1:27" ht="45.75">
      <c r="A129" s="24" t="str">
        <v>K213</v>
      </c>
      <c r="B129" s="25" t="str">
        <v>NY</v>
      </c>
      <c r="C129" s="25" t="str">
        <f>Sites[[#This Row],[SOL'#]]</f>
        <v>SOL-11191</v>
      </c>
      <c r="D129" s="54">
        <v>19297.599999999999</v>
      </c>
      <c r="E129" s="10">
        <v>23171.24</v>
      </c>
      <c r="F129" s="10">
        <f t="shared" ref="F129:F143" si="9">IF(AND(ISNUMBER(D129),ISNUMBER(E129)), D129-E129, "")</f>
        <v>-3873.6400000000031</v>
      </c>
      <c r="G129" s="55">
        <f t="shared" ref="G129:G143" si="10">IFERROR(F129/E129, "")</f>
        <v>-0.16717448008824745</v>
      </c>
      <c r="H129" s="67">
        <v>24815</v>
      </c>
      <c r="I129" s="67">
        <f t="shared" ref="I129:I158" si="11">IF(AND(ISNUMBER(D129),ISNUMBER(H129)), D129-H129, "")</f>
        <v>-5517.4000000000015</v>
      </c>
      <c r="J129" s="64">
        <f t="shared" ref="J129:J158" si="12">IFERROR(I129/H129, "")</f>
        <v>-0.22234132581100147</v>
      </c>
      <c r="K129" s="70" t="s">
        <v>1102</v>
      </c>
      <c r="L129" s="149" t="s">
        <v>833</v>
      </c>
      <c r="S129" s="107"/>
      <c r="T129" s="107"/>
      <c r="U129" s="107"/>
      <c r="V129" s="107"/>
      <c r="W129" s="107"/>
      <c r="X129" s="107"/>
      <c r="Y129" s="107"/>
      <c r="Z129" s="107"/>
      <c r="AA129" s="107"/>
    </row>
    <row r="130" spans="1:27" ht="30.75">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46" t="s">
        <v>1103</v>
      </c>
      <c r="L130" s="147" t="s">
        <v>1104</v>
      </c>
      <c r="S130" s="107"/>
      <c r="T130" s="107"/>
      <c r="U130" s="107"/>
      <c r="V130" s="107"/>
      <c r="W130" s="107"/>
      <c r="X130" s="107"/>
      <c r="Y130" s="107"/>
      <c r="Z130" s="107"/>
      <c r="AA130" s="107"/>
    </row>
    <row r="131" spans="1:27" ht="15.75">
      <c r="A131" s="24" t="str">
        <v>K307</v>
      </c>
      <c r="B131" s="25" t="str">
        <v>NY</v>
      </c>
      <c r="C131" s="25" t="str">
        <f>Sites[[#This Row],[SOL'#]]</f>
        <v>SOL-10876</v>
      </c>
      <c r="D131" s="54">
        <v>24381.5</v>
      </c>
      <c r="E131" s="10" t="s">
        <v>936</v>
      </c>
      <c r="F131" s="10" t="str">
        <f t="shared" si="9"/>
        <v/>
      </c>
      <c r="G131" s="55" t="str">
        <f t="shared" si="10"/>
        <v/>
      </c>
      <c r="H131" s="67">
        <v>28916</v>
      </c>
      <c r="I131" s="67">
        <f t="shared" si="11"/>
        <v>-4534.5</v>
      </c>
      <c r="J131" s="64">
        <f t="shared" si="12"/>
        <v>-0.15681629547655276</v>
      </c>
      <c r="K131" s="70" t="s">
        <v>1087</v>
      </c>
      <c r="L131" s="17"/>
      <c r="S131" s="107"/>
      <c r="T131" s="107"/>
      <c r="U131" s="107"/>
      <c r="V131" s="107"/>
      <c r="W131" s="107"/>
      <c r="X131" s="107"/>
      <c r="Y131" s="107"/>
      <c r="Z131" s="107"/>
      <c r="AA131" s="107"/>
    </row>
    <row r="132" spans="1:27" ht="15.75">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46" t="s">
        <v>1105</v>
      </c>
      <c r="L132" s="147" t="s">
        <v>1106</v>
      </c>
      <c r="S132" s="107"/>
      <c r="T132" s="107"/>
      <c r="U132" s="107"/>
      <c r="V132" s="107"/>
      <c r="W132" s="107"/>
      <c r="X132" s="107"/>
      <c r="Y132" s="107"/>
      <c r="Z132" s="107"/>
      <c r="AA132" s="107"/>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1107</v>
      </c>
      <c r="L133" s="148" t="s">
        <v>1108</v>
      </c>
      <c r="M133" s="149" t="s">
        <v>836</v>
      </c>
      <c r="N133" s="149" t="s">
        <v>836</v>
      </c>
      <c r="O133" s="149" t="s">
        <v>837</v>
      </c>
      <c r="P133" s="149" t="s">
        <v>838</v>
      </c>
      <c r="S133" s="107"/>
      <c r="T133" s="107"/>
      <c r="U133" s="107"/>
      <c r="V133" s="107"/>
      <c r="W133" s="107"/>
      <c r="X133" s="107"/>
      <c r="Y133" s="107"/>
      <c r="Z133" s="107"/>
      <c r="AA133" s="107"/>
    </row>
    <row r="134" spans="1:27" ht="15.75">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46" t="s">
        <v>922</v>
      </c>
      <c r="L134" s="146"/>
      <c r="S134" s="107"/>
      <c r="T134" s="107"/>
      <c r="U134" s="107"/>
      <c r="V134" s="107"/>
      <c r="W134" s="107"/>
      <c r="X134" s="107"/>
      <c r="Y134" s="107"/>
      <c r="Z134" s="107"/>
      <c r="AA134" s="107"/>
    </row>
    <row r="135" spans="1:27" ht="96" customHeight="1">
      <c r="A135" s="24" t="str">
        <v>Q030</v>
      </c>
      <c r="B135" s="25" t="str">
        <v>NY</v>
      </c>
      <c r="C135" s="25" t="str">
        <f>Sites[[#This Row],[SOL'#]]</f>
        <v>SOL-10878</v>
      </c>
      <c r="D135" s="54">
        <v>23733.2421875</v>
      </c>
      <c r="E135" s="10" t="s">
        <v>936</v>
      </c>
      <c r="F135" s="10" t="str">
        <f t="shared" si="9"/>
        <v/>
      </c>
      <c r="G135" s="55" t="str">
        <f t="shared" si="10"/>
        <v/>
      </c>
      <c r="H135" s="67">
        <v>27337</v>
      </c>
      <c r="I135" s="67">
        <f t="shared" si="11"/>
        <v>-3603.7578125</v>
      </c>
      <c r="J135" s="64">
        <f t="shared" si="12"/>
        <v>-0.13182711389325821</v>
      </c>
      <c r="K135" s="70" t="s">
        <v>922</v>
      </c>
      <c r="L135" s="17"/>
      <c r="S135" s="107"/>
      <c r="T135" s="107"/>
      <c r="U135" s="107"/>
      <c r="V135" s="107"/>
      <c r="W135" s="107"/>
      <c r="X135" s="107"/>
      <c r="Y135" s="107"/>
      <c r="Z135" s="107"/>
      <c r="AA135" s="107"/>
    </row>
    <row r="136" spans="1:27" ht="49.5" customHeight="1">
      <c r="A136" s="26" t="str">
        <v>Q130</v>
      </c>
      <c r="B136" s="27" t="str">
        <v>NY</v>
      </c>
      <c r="C136" s="9" t="str">
        <f>Sites[[#This Row],[SOL'#]]</f>
        <v>SOL-10877</v>
      </c>
      <c r="D136" s="66">
        <v>13589.536328124999</v>
      </c>
      <c r="E136" s="14" t="s">
        <v>936</v>
      </c>
      <c r="F136" s="14" t="str">
        <f t="shared" si="9"/>
        <v/>
      </c>
      <c r="G136" s="68" t="str">
        <f t="shared" si="10"/>
        <v/>
      </c>
      <c r="H136" s="69">
        <v>15497</v>
      </c>
      <c r="I136" s="69">
        <f t="shared" si="11"/>
        <v>-1907.4636718750007</v>
      </c>
      <c r="J136" s="68">
        <f t="shared" si="12"/>
        <v>-0.12308599547493068</v>
      </c>
      <c r="K136" s="146" t="s">
        <v>922</v>
      </c>
      <c r="L136" s="146"/>
      <c r="S136" s="107"/>
      <c r="T136" s="107"/>
      <c r="U136" s="107"/>
      <c r="V136" s="107"/>
      <c r="W136" s="107"/>
      <c r="X136" s="107"/>
      <c r="Y136" s="107"/>
      <c r="Z136" s="107"/>
      <c r="AA136" s="107"/>
    </row>
    <row r="137" spans="1:27" ht="108.75" customHeight="1">
      <c r="A137" s="24" t="str">
        <v>Q196</v>
      </c>
      <c r="B137" s="25" t="str">
        <v>NY</v>
      </c>
      <c r="C137" s="25" t="str">
        <f>Sites[[#This Row],[SOL'#]]</f>
        <v>SOL-10879</v>
      </c>
      <c r="D137" s="54">
        <v>17875.938339843698</v>
      </c>
      <c r="E137" s="10" t="s">
        <v>936</v>
      </c>
      <c r="F137" s="10" t="str">
        <f t="shared" si="9"/>
        <v/>
      </c>
      <c r="G137" s="55" t="str">
        <f t="shared" si="10"/>
        <v/>
      </c>
      <c r="H137" s="67">
        <v>20173</v>
      </c>
      <c r="I137" s="67">
        <f t="shared" si="11"/>
        <v>-2297.0616601563015</v>
      </c>
      <c r="J137" s="64">
        <f t="shared" si="12"/>
        <v>-0.11386812373748582</v>
      </c>
      <c r="K137" s="70" t="s">
        <v>922</v>
      </c>
      <c r="L137" s="17"/>
      <c r="S137" s="107"/>
      <c r="T137" s="107"/>
      <c r="U137" s="107"/>
      <c r="V137" s="107"/>
      <c r="W137" s="107"/>
      <c r="X137" s="107"/>
      <c r="Y137" s="107"/>
      <c r="Z137" s="107"/>
      <c r="AA137" s="107"/>
    </row>
    <row r="138" spans="1:27" ht="30.75">
      <c r="A138" s="26" t="str">
        <v>Q220</v>
      </c>
      <c r="B138" s="27" t="str">
        <v>NY</v>
      </c>
      <c r="C138" s="9" t="str">
        <f>Sites[[#This Row],[SOL'#]]</f>
        <v>SOL-10873</v>
      </c>
      <c r="D138" s="66">
        <v>20956.796875</v>
      </c>
      <c r="E138" s="14" t="s">
        <v>936</v>
      </c>
      <c r="F138" s="14" t="str">
        <f t="shared" si="9"/>
        <v/>
      </c>
      <c r="G138" s="68" t="str">
        <f t="shared" si="10"/>
        <v/>
      </c>
      <c r="H138" s="69">
        <v>23174</v>
      </c>
      <c r="I138" s="69">
        <f t="shared" si="11"/>
        <v>-2217.203125</v>
      </c>
      <c r="J138" s="68">
        <f t="shared" si="12"/>
        <v>-9.5676323681712264E-2</v>
      </c>
      <c r="K138" s="146" t="s">
        <v>1109</v>
      </c>
      <c r="L138" s="147" t="s">
        <v>840</v>
      </c>
      <c r="S138" s="107"/>
      <c r="T138" s="107"/>
      <c r="U138" s="107"/>
      <c r="V138" s="107"/>
      <c r="W138" s="107"/>
      <c r="X138" s="107"/>
      <c r="Y138" s="107"/>
      <c r="Z138" s="107"/>
      <c r="AA138" s="107"/>
    </row>
    <row r="139" spans="1:27" ht="106.5">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1110</v>
      </c>
      <c r="L139" s="148" t="s">
        <v>1111</v>
      </c>
      <c r="M139" s="149" t="s">
        <v>1112</v>
      </c>
      <c r="N139" s="149" t="s">
        <v>1113</v>
      </c>
      <c r="S139" s="107"/>
      <c r="T139" s="107"/>
      <c r="U139" s="107"/>
      <c r="V139" s="107"/>
      <c r="W139" s="107"/>
      <c r="X139" s="107"/>
      <c r="Y139" s="107"/>
      <c r="Z139" s="107"/>
      <c r="AA139" s="107"/>
    </row>
    <row r="140" spans="1:27" ht="121.5">
      <c r="A140" s="26" t="str">
        <v>Q400</v>
      </c>
      <c r="B140" s="27" t="str">
        <v>NY</v>
      </c>
      <c r="C140" s="9" t="str">
        <f>Sites[[#This Row],[SOL'#]]</f>
        <v>SOL-10871</v>
      </c>
      <c r="D140" s="66">
        <v>26544.5859375</v>
      </c>
      <c r="E140" s="14" t="s">
        <v>936</v>
      </c>
      <c r="F140" s="14" t="str">
        <f t="shared" si="9"/>
        <v/>
      </c>
      <c r="G140" s="68" t="str">
        <f t="shared" si="10"/>
        <v/>
      </c>
      <c r="H140" s="69">
        <v>45134</v>
      </c>
      <c r="I140" s="69">
        <f t="shared" si="11"/>
        <v>-18589.4140625</v>
      </c>
      <c r="J140" s="68">
        <f t="shared" si="12"/>
        <v>-0.41187162809633537</v>
      </c>
      <c r="K140" s="146" t="s">
        <v>1114</v>
      </c>
      <c r="L140" s="147" t="s">
        <v>1115</v>
      </c>
      <c r="M140" s="149" t="s">
        <v>594</v>
      </c>
      <c r="N140" s="149" t="s">
        <v>595</v>
      </c>
      <c r="O140" s="149" t="s">
        <v>845</v>
      </c>
      <c r="P140" s="149" t="s">
        <v>846</v>
      </c>
      <c r="S140" s="107"/>
      <c r="T140" s="107"/>
      <c r="U140" s="107"/>
      <c r="V140" s="107"/>
      <c r="W140" s="107"/>
      <c r="X140" s="107"/>
      <c r="Y140" s="107"/>
      <c r="Z140" s="107"/>
      <c r="AA140" s="107"/>
    </row>
    <row r="141" spans="1:27" ht="80.25" customHeight="1">
      <c r="A141" s="24" t="str">
        <v>R003</v>
      </c>
      <c r="B141" s="25" t="str">
        <v>NY</v>
      </c>
      <c r="C141" s="25" t="str">
        <f>Sites[[#This Row],[SOL'#]]</f>
        <v>SOL-10416</v>
      </c>
      <c r="D141" s="54">
        <v>35329.273125</v>
      </c>
      <c r="E141" s="10" t="s">
        <v>936</v>
      </c>
      <c r="F141" s="10" t="str">
        <f t="shared" si="9"/>
        <v/>
      </c>
      <c r="G141" s="55" t="str">
        <f t="shared" si="10"/>
        <v/>
      </c>
      <c r="H141" s="67">
        <v>40507</v>
      </c>
      <c r="I141" s="67">
        <f t="shared" si="11"/>
        <v>-5177.7268750000003</v>
      </c>
      <c r="J141" s="64">
        <f t="shared" si="12"/>
        <v>-0.12782301515787395</v>
      </c>
      <c r="K141" s="70" t="s">
        <v>1116</v>
      </c>
      <c r="L141" s="17"/>
      <c r="S141" s="107"/>
      <c r="T141" s="107"/>
      <c r="U141" s="107"/>
      <c r="V141" s="107"/>
      <c r="W141" s="107"/>
      <c r="X141" s="107"/>
      <c r="Y141" s="107"/>
      <c r="Z141" s="107"/>
      <c r="AA141" s="107"/>
    </row>
    <row r="142" spans="1:27" ht="15.75">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46" t="s">
        <v>1116</v>
      </c>
      <c r="L142" s="146"/>
      <c r="S142" s="107"/>
      <c r="T142" s="107"/>
      <c r="U142" s="107"/>
      <c r="V142" s="107"/>
      <c r="W142" s="107"/>
      <c r="X142" s="107"/>
      <c r="Y142" s="107"/>
      <c r="Z142" s="107"/>
      <c r="AA142" s="107"/>
    </row>
    <row r="143" spans="1:27" ht="15.75">
      <c r="A143" s="24" t="str">
        <v>BK16</v>
      </c>
      <c r="B143" s="25" t="str">
        <v>NY</v>
      </c>
      <c r="C143" s="25" t="str">
        <f>Sites[[#This Row],[SOL'#]]</f>
        <v>SOL-11093</v>
      </c>
      <c r="D143" s="54">
        <v>39286.96875</v>
      </c>
      <c r="E143" s="10" t="s">
        <v>936</v>
      </c>
      <c r="F143" s="10" t="str">
        <f t="shared" si="9"/>
        <v/>
      </c>
      <c r="G143" s="55" t="str">
        <f t="shared" si="10"/>
        <v/>
      </c>
      <c r="H143" s="67">
        <v>43901</v>
      </c>
      <c r="I143" s="67">
        <f t="shared" si="11"/>
        <v>-4614.03125</v>
      </c>
      <c r="J143" s="64">
        <f t="shared" si="12"/>
        <v>-0.10510082344365732</v>
      </c>
      <c r="K143" s="70" t="s">
        <v>1116</v>
      </c>
      <c r="L143" s="17"/>
      <c r="S143" s="107"/>
      <c r="T143" s="107"/>
      <c r="U143" s="107"/>
      <c r="V143" s="107"/>
      <c r="W143" s="107"/>
      <c r="X143" s="107"/>
      <c r="Y143" s="107"/>
      <c r="Z143" s="107"/>
      <c r="AA143" s="107"/>
    </row>
    <row r="144" spans="1:27" ht="91.5">
      <c r="A144" s="26" t="str">
        <v>Trenton - Trenton East</v>
      </c>
      <c r="B144" s="27" t="str">
        <v>IL</v>
      </c>
      <c r="C144" s="9" t="str">
        <f>Sites[[#This Row],[SOL'#]]</f>
        <v>SOL-11060</v>
      </c>
      <c r="D144" s="66">
        <v>401135</v>
      </c>
      <c r="E144" s="14">
        <v>427249</v>
      </c>
      <c r="F144" s="14"/>
      <c r="G144" s="68"/>
      <c r="H144" s="69">
        <v>488196</v>
      </c>
      <c r="I144" s="69">
        <f t="shared" si="11"/>
        <v>-87061</v>
      </c>
      <c r="J144" s="68">
        <f t="shared" si="12"/>
        <v>-0.17833206335160467</v>
      </c>
      <c r="K144" s="146" t="s">
        <v>1117</v>
      </c>
      <c r="L144" s="147" t="s">
        <v>1118</v>
      </c>
      <c r="S144" s="107"/>
      <c r="T144" s="107"/>
      <c r="U144" s="107"/>
      <c r="V144" s="107"/>
      <c r="W144" s="107"/>
      <c r="X144" s="107"/>
      <c r="Y144" s="107"/>
      <c r="Z144" s="107"/>
      <c r="AA144" s="107"/>
    </row>
    <row r="145" spans="1:27" ht="15.75">
      <c r="A145" s="24" t="str">
        <v>Trenton - Trenton West</v>
      </c>
      <c r="B145" s="25" t="str">
        <v>IL</v>
      </c>
      <c r="C145" s="25" t="str">
        <f>Sites[[#This Row],[SOL'#]]</f>
        <v>SOL-11061</v>
      </c>
      <c r="D145" s="54">
        <v>154211</v>
      </c>
      <c r="E145" s="10">
        <v>253964.7</v>
      </c>
      <c r="F145" s="10">
        <f t="shared" ref="F145" si="13">IF(AND(ISNUMBER(D145),ISNUMBER(E145)), D145-E145, "")</f>
        <v>-99753.700000000012</v>
      </c>
      <c r="G145" s="55">
        <f t="shared" ref="G145" si="14">IFERROR(F145/E145, "")</f>
        <v>-0.39278569029475358</v>
      </c>
      <c r="H145" s="67">
        <v>486768</v>
      </c>
      <c r="I145" s="67">
        <f t="shared" si="11"/>
        <v>-332557</v>
      </c>
      <c r="J145" s="64">
        <f t="shared" si="12"/>
        <v>-0.6831940472668705</v>
      </c>
      <c r="K145" s="70" t="s">
        <v>1119</v>
      </c>
      <c r="L145" s="149" t="s">
        <v>1120</v>
      </c>
      <c r="S145" s="107"/>
      <c r="T145" s="107"/>
      <c r="U145" s="107"/>
      <c r="V145" s="107"/>
      <c r="W145" s="107"/>
      <c r="X145" s="107"/>
      <c r="Y145" s="107"/>
      <c r="Z145" s="107"/>
      <c r="AA145" s="107"/>
    </row>
    <row r="146" spans="1:27" ht="60.75">
      <c r="A146" s="26" t="str">
        <v>Dakota - Dakota Solar 1</v>
      </c>
      <c r="B146" s="27" t="str">
        <v>IL</v>
      </c>
      <c r="C146" s="9" t="str">
        <f>Sites[[#This Row],[SOL'#]]</f>
        <v>SOL-11113</v>
      </c>
      <c r="D146" s="66">
        <v>504703</v>
      </c>
      <c r="E146" s="14">
        <v>600136</v>
      </c>
      <c r="F146" s="14"/>
      <c r="G146" s="68"/>
      <c r="H146" s="69">
        <v>0</v>
      </c>
      <c r="I146" s="69">
        <f t="shared" si="11"/>
        <v>504703</v>
      </c>
      <c r="J146" s="68" t="str">
        <f t="shared" si="12"/>
        <v/>
      </c>
      <c r="K146" s="146" t="s">
        <v>1121</v>
      </c>
      <c r="L146" s="147" t="s">
        <v>1122</v>
      </c>
      <c r="M146" s="149" t="s">
        <v>1123</v>
      </c>
      <c r="N146" s="149" t="s">
        <v>1124</v>
      </c>
      <c r="S146" s="107"/>
      <c r="T146" s="107"/>
      <c r="U146" s="107"/>
      <c r="V146" s="107"/>
      <c r="W146" s="107"/>
      <c r="X146" s="107"/>
      <c r="Y146" s="107"/>
      <c r="Z146" s="107"/>
      <c r="AA146" s="107"/>
    </row>
    <row r="147" spans="1:27" ht="76.5">
      <c r="A147" s="24" t="str">
        <v>X018</v>
      </c>
      <c r="B147" s="25" t="str">
        <v>NY</v>
      </c>
      <c r="C147" s="25" t="str">
        <f>Sites[[#This Row],[SOL'#]]</f>
        <v>SOL-10418</v>
      </c>
      <c r="D147" s="54">
        <v>13614.8196128731</v>
      </c>
      <c r="E147" s="10">
        <v>11268.16</v>
      </c>
      <c r="F147" s="10">
        <f t="shared" ref="F147" si="15">IF(AND(ISNUMBER(D147),ISNUMBER(E147)), D147-E147, "")</f>
        <v>2346.6596128730998</v>
      </c>
      <c r="G147" s="55">
        <f t="shared" ref="G147" si="16">IFERROR(F147/E147, "")</f>
        <v>0.20825579445740031</v>
      </c>
      <c r="H147" s="67">
        <v>22512</v>
      </c>
      <c r="I147" s="67">
        <f t="shared" si="11"/>
        <v>-8897.1803871269003</v>
      </c>
      <c r="J147" s="64">
        <f t="shared" si="12"/>
        <v>-0.39521945571814587</v>
      </c>
      <c r="K147" s="70" t="s">
        <v>1125</v>
      </c>
      <c r="L147" s="148" t="s">
        <v>1126</v>
      </c>
      <c r="M147" s="149" t="s">
        <v>610</v>
      </c>
      <c r="N147" s="149" t="s">
        <v>859</v>
      </c>
      <c r="S147" s="107"/>
      <c r="T147" s="107"/>
      <c r="U147" s="107"/>
      <c r="V147" s="107"/>
      <c r="W147" s="107"/>
      <c r="X147" s="107"/>
      <c r="Y147" s="107"/>
      <c r="Z147" s="107"/>
      <c r="AA147" s="107"/>
    </row>
    <row r="148" spans="1:27" ht="30.75">
      <c r="A148" s="26" t="str">
        <v>Janiak Solar</v>
      </c>
      <c r="B148" s="27" t="str">
        <v>NY</v>
      </c>
      <c r="C148" s="9" t="str">
        <f>Sites[[#This Row],[SOL'#]]</f>
        <v>SOL-10898</v>
      </c>
      <c r="D148" s="66">
        <v>318017</v>
      </c>
      <c r="E148" s="14">
        <v>333604</v>
      </c>
      <c r="F148" s="14"/>
      <c r="G148" s="68"/>
      <c r="H148" s="69">
        <v>412625</v>
      </c>
      <c r="I148" s="69">
        <f t="shared" si="11"/>
        <v>-94608</v>
      </c>
      <c r="J148" s="68">
        <f t="shared" si="12"/>
        <v>-0.22928324750075735</v>
      </c>
      <c r="K148" s="146" t="s">
        <v>1127</v>
      </c>
      <c r="L148" s="147" t="s">
        <v>1128</v>
      </c>
      <c r="S148" s="107"/>
      <c r="T148" s="107"/>
      <c r="U148" s="107"/>
      <c r="V148" s="107"/>
      <c r="W148" s="107"/>
      <c r="X148" s="107"/>
      <c r="Y148" s="107"/>
      <c r="Z148" s="107"/>
      <c r="AA148" s="107"/>
    </row>
    <row r="149" spans="1:27" ht="91.5">
      <c r="A149" s="24" t="str">
        <v>County Route 11B</v>
      </c>
      <c r="B149" s="25" t="str">
        <v>NY</v>
      </c>
      <c r="C149" s="25" t="str">
        <f>Sites[[#This Row],[SOL'#]]</f>
        <v>SOL-10983</v>
      </c>
      <c r="D149" s="54">
        <v>556820</v>
      </c>
      <c r="E149" s="10" t="s">
        <v>936</v>
      </c>
      <c r="F149" s="10" t="str">
        <f t="shared" ref="F149" si="17">IF(AND(ISNUMBER(D149),ISNUMBER(E149)), D149-E149, "")</f>
        <v/>
      </c>
      <c r="G149" s="55" t="str">
        <f t="shared" ref="G149" si="18">IFERROR(F149/E149, "")</f>
        <v/>
      </c>
      <c r="H149" s="67" t="s">
        <v>936</v>
      </c>
      <c r="I149" s="67" t="str">
        <f t="shared" si="11"/>
        <v/>
      </c>
      <c r="J149" s="64" t="str">
        <f t="shared" si="12"/>
        <v/>
      </c>
      <c r="K149" s="70" t="s">
        <v>1129</v>
      </c>
      <c r="L149" s="148" t="s">
        <v>1130</v>
      </c>
      <c r="M149" s="149" t="s">
        <v>866</v>
      </c>
      <c r="N149" s="149" t="s">
        <v>1131</v>
      </c>
      <c r="S149" s="107"/>
      <c r="T149" s="107"/>
      <c r="U149" s="107"/>
      <c r="V149" s="107"/>
      <c r="W149" s="107"/>
      <c r="X149" s="107"/>
      <c r="Y149" s="107"/>
      <c r="Z149" s="107"/>
      <c r="AA149" s="107"/>
    </row>
    <row r="150" spans="1:27" ht="91.5">
      <c r="A150" s="26" t="str">
        <v>Barone</v>
      </c>
      <c r="B150" s="27" t="str">
        <v>NY</v>
      </c>
      <c r="C150" s="9" t="str">
        <f>Sites[[#This Row],[SOL'#]]</f>
        <v>SOL-11034</v>
      </c>
      <c r="D150" s="66">
        <v>549573</v>
      </c>
      <c r="E150" s="14" t="s">
        <v>936</v>
      </c>
      <c r="F150" s="14"/>
      <c r="G150" s="68"/>
      <c r="H150" s="69">
        <v>684560</v>
      </c>
      <c r="I150" s="69">
        <f t="shared" si="11"/>
        <v>-134987</v>
      </c>
      <c r="J150" s="68">
        <f t="shared" si="12"/>
        <v>-0.19718797475750846</v>
      </c>
      <c r="K150" s="146" t="s">
        <v>1132</v>
      </c>
      <c r="L150" s="147" t="s">
        <v>1133</v>
      </c>
      <c r="M150" s="149" t="s">
        <v>869</v>
      </c>
      <c r="S150" s="107"/>
      <c r="T150" s="107"/>
      <c r="U150" s="107"/>
      <c r="V150" s="107"/>
      <c r="W150" s="107"/>
      <c r="X150" s="107"/>
      <c r="Y150" s="107"/>
      <c r="Z150" s="107"/>
      <c r="AA150" s="107"/>
    </row>
    <row r="151" spans="1:27" ht="45.75">
      <c r="A151" s="24" t="str">
        <v>Cedarville</v>
      </c>
      <c r="B151" s="25" t="str">
        <v>IL</v>
      </c>
      <c r="C151" s="25" t="str">
        <f>Sites[[#This Row],[SOL'#]]</f>
        <v>SOL-11069</v>
      </c>
      <c r="D151" s="54">
        <v>428027</v>
      </c>
      <c r="E151" s="10">
        <v>423775.7</v>
      </c>
      <c r="F151" s="10">
        <f t="shared" ref="F151" si="19">IF(AND(ISNUMBER(D151),ISNUMBER(E151)), D151-E151, "")</f>
        <v>4251.2999999999884</v>
      </c>
      <c r="G151" s="55">
        <f t="shared" ref="G151" si="20">IFERROR(F151/E151, "")</f>
        <v>1.0031957943789575E-2</v>
      </c>
      <c r="H151" s="67">
        <v>525848</v>
      </c>
      <c r="I151" s="67">
        <f t="shared" si="11"/>
        <v>-97821</v>
      </c>
      <c r="J151" s="64">
        <f t="shared" si="12"/>
        <v>-0.18602523923262995</v>
      </c>
      <c r="K151" s="70" t="s">
        <v>1134</v>
      </c>
      <c r="L151" s="148" t="s">
        <v>1135</v>
      </c>
      <c r="M151" s="149" t="s">
        <v>1136</v>
      </c>
      <c r="S151" s="107"/>
      <c r="T151" s="107"/>
      <c r="U151" s="107"/>
      <c r="V151" s="107"/>
      <c r="W151" s="107"/>
      <c r="X151" s="107"/>
      <c r="Y151" s="107"/>
      <c r="Z151" s="107"/>
      <c r="AA151" s="107"/>
    </row>
    <row r="152" spans="1:27" ht="30.75">
      <c r="A152" s="26" t="str">
        <v xml:space="preserve"> O'Brien Hill #1</v>
      </c>
      <c r="B152" s="27" t="str">
        <v>NY</v>
      </c>
      <c r="C152" s="9" t="str">
        <f>Sites[[#This Row],[SOL'#]]</f>
        <v>SOL-11098</v>
      </c>
      <c r="D152" s="66"/>
      <c r="E152" s="14" t="s">
        <v>936</v>
      </c>
      <c r="F152" s="14"/>
      <c r="G152" s="68"/>
      <c r="H152" s="69"/>
      <c r="I152" s="69" t="str">
        <f t="shared" si="11"/>
        <v/>
      </c>
      <c r="J152" s="68" t="str">
        <f t="shared" si="12"/>
        <v/>
      </c>
      <c r="K152" s="146" t="s">
        <v>870</v>
      </c>
      <c r="L152" s="147" t="s">
        <v>871</v>
      </c>
      <c r="M152" s="149" t="s">
        <v>872</v>
      </c>
      <c r="S152" s="107"/>
      <c r="T152" s="107"/>
      <c r="U152" s="107"/>
      <c r="V152" s="107"/>
      <c r="W152" s="107"/>
      <c r="X152" s="107"/>
      <c r="Y152" s="107"/>
      <c r="Z152" s="107"/>
      <c r="AA152" s="107"/>
    </row>
    <row r="153" spans="1:27" ht="45.75">
      <c r="A153" s="24" t="str">
        <v xml:space="preserve"> O'Brien Hill #2</v>
      </c>
      <c r="B153" s="25" t="str">
        <v>NY</v>
      </c>
      <c r="C153" s="25" t="str">
        <f>Sites[[#This Row],[SOL'#]]</f>
        <v>SOL-11099</v>
      </c>
      <c r="D153" s="54">
        <v>710692</v>
      </c>
      <c r="E153" s="10" t="s">
        <v>936</v>
      </c>
      <c r="F153" s="10" t="str">
        <f t="shared" ref="F153" si="21">IF(AND(ISNUMBER(D153),ISNUMBER(E153)), D153-E153, "")</f>
        <v/>
      </c>
      <c r="G153" s="55" t="str">
        <f t="shared" ref="G153" si="22">IFERROR(F153/E153, "")</f>
        <v/>
      </c>
      <c r="H153" s="67" t="s">
        <v>656</v>
      </c>
      <c r="I153" s="67" t="str">
        <f t="shared" si="11"/>
        <v/>
      </c>
      <c r="J153" s="64" t="str">
        <f t="shared" si="12"/>
        <v/>
      </c>
      <c r="K153" s="70" t="s">
        <v>1137</v>
      </c>
      <c r="L153" s="148" t="s">
        <v>1138</v>
      </c>
      <c r="M153" s="149" t="s">
        <v>1139</v>
      </c>
      <c r="S153" s="107"/>
      <c r="T153" s="107"/>
      <c r="U153" s="107"/>
      <c r="V153" s="107"/>
      <c r="W153" s="107"/>
      <c r="X153" s="107"/>
      <c r="Y153" s="107"/>
      <c r="Z153" s="107"/>
      <c r="AA153" s="107"/>
    </row>
    <row r="154" spans="1:27" ht="30.75">
      <c r="A154" s="26" t="str">
        <v>Trinity - Freeport</v>
      </c>
      <c r="B154" s="27" t="str">
        <v>IL</v>
      </c>
      <c r="C154" s="9" t="str">
        <f>Sites[[#This Row],[SOL'#]]</f>
        <v>SOL-11057</v>
      </c>
      <c r="D154" s="66">
        <v>479568</v>
      </c>
      <c r="E154" s="14">
        <v>471609</v>
      </c>
      <c r="F154" s="14"/>
      <c r="G154" s="68"/>
      <c r="H154" s="69">
        <v>522288</v>
      </c>
      <c r="I154" s="69">
        <f t="shared" si="11"/>
        <v>-42720</v>
      </c>
      <c r="J154" s="68">
        <f t="shared" si="12"/>
        <v>-8.1793952761694697E-2</v>
      </c>
      <c r="K154" s="146" t="s">
        <v>1140</v>
      </c>
      <c r="L154" s="147" t="s">
        <v>878</v>
      </c>
      <c r="M154" s="149" t="s">
        <v>879</v>
      </c>
      <c r="S154" s="107"/>
      <c r="T154" s="107"/>
      <c r="U154" s="107"/>
      <c r="V154" s="107"/>
      <c r="W154" s="107"/>
      <c r="X154" s="107"/>
      <c r="Y154" s="107"/>
      <c r="Z154" s="107"/>
      <c r="AA154" s="107"/>
    </row>
    <row r="155" spans="1:27" ht="35.25" customHeight="1">
      <c r="A155" s="24" t="str">
        <v>Ransom</v>
      </c>
      <c r="B155" s="25" t="str">
        <v>NY</v>
      </c>
      <c r="C155" s="25" t="str">
        <f>Sites[[#This Row],[SOL'#]]</f>
        <v>SOL-11157</v>
      </c>
      <c r="D155" s="54">
        <v>743877.8</v>
      </c>
      <c r="E155" s="10" t="s">
        <v>936</v>
      </c>
      <c r="F155" s="10" t="str">
        <f t="shared" ref="F155" si="23">IF(AND(ISNUMBER(D155),ISNUMBER(E155)), D155-E155, "")</f>
        <v/>
      </c>
      <c r="G155" s="55" t="str">
        <f t="shared" ref="G155" si="24">IFERROR(F155/E155, "")</f>
        <v/>
      </c>
      <c r="H155" s="67" t="s">
        <v>936</v>
      </c>
      <c r="I155" s="67" t="str">
        <f t="shared" si="11"/>
        <v/>
      </c>
      <c r="J155" s="64" t="str">
        <f t="shared" si="12"/>
        <v/>
      </c>
      <c r="K155" s="70" t="s">
        <v>1141</v>
      </c>
      <c r="L155" s="148" t="s">
        <v>1142</v>
      </c>
      <c r="M155" s="149" t="s">
        <v>1143</v>
      </c>
      <c r="N155" s="149" t="s">
        <v>884</v>
      </c>
      <c r="S155" s="107"/>
      <c r="T155" s="107"/>
      <c r="U155" s="107"/>
      <c r="V155" s="107"/>
      <c r="W155" s="107"/>
      <c r="X155" s="107"/>
      <c r="Y155" s="107"/>
      <c r="Z155" s="107"/>
      <c r="AA155" s="107"/>
    </row>
    <row r="156" spans="1:27" ht="45.75">
      <c r="A156" s="26" t="str">
        <v>Horseheads - Wedge</v>
      </c>
      <c r="B156" s="27" t="str">
        <v>NY</v>
      </c>
      <c r="C156" s="9" t="str">
        <f>Sites[[#This Row],[SOL'#]]</f>
        <v>SOL-11160</v>
      </c>
      <c r="D156" s="66">
        <v>523669</v>
      </c>
      <c r="E156" s="14" t="s">
        <v>936</v>
      </c>
      <c r="F156" s="14"/>
      <c r="G156" s="68"/>
      <c r="H156" s="69" t="s">
        <v>936</v>
      </c>
      <c r="I156" s="69" t="str">
        <f t="shared" si="11"/>
        <v/>
      </c>
      <c r="J156" s="68" t="str">
        <f t="shared" si="12"/>
        <v/>
      </c>
      <c r="K156" s="146" t="s">
        <v>1144</v>
      </c>
      <c r="L156" s="147" t="s">
        <v>1145</v>
      </c>
      <c r="M156" s="149" t="s">
        <v>1146</v>
      </c>
      <c r="S156" s="107"/>
      <c r="T156" s="107"/>
      <c r="U156" s="107"/>
      <c r="V156" s="107"/>
      <c r="W156" s="107"/>
      <c r="X156" s="107"/>
      <c r="Y156" s="107"/>
      <c r="Z156" s="107"/>
      <c r="AA156" s="107"/>
    </row>
    <row r="157" spans="1:27" ht="30.75">
      <c r="A157" s="24" t="str">
        <v>Otisville - Shoddy Hollow</v>
      </c>
      <c r="B157" s="25" t="str">
        <v>NY</v>
      </c>
      <c r="C157" s="25" t="str">
        <f>Sites[[#This Row],[SOL'#]]</f>
        <v>SOL-11185</v>
      </c>
      <c r="D157" s="54">
        <v>758134.8</v>
      </c>
      <c r="E157" s="10" t="s">
        <v>936</v>
      </c>
      <c r="F157" s="10" t="str">
        <f t="shared" ref="F157" si="25">IF(AND(ISNUMBER(D157),ISNUMBER(E157)), D157-E157, "")</f>
        <v/>
      </c>
      <c r="G157" s="55" t="str">
        <f t="shared" ref="G157" si="26">IFERROR(F157/E157, "")</f>
        <v/>
      </c>
      <c r="H157" s="67" t="s">
        <v>936</v>
      </c>
      <c r="I157" s="67" t="str">
        <f t="shared" si="11"/>
        <v/>
      </c>
      <c r="J157" s="64" t="str">
        <f t="shared" si="12"/>
        <v/>
      </c>
      <c r="K157" s="70" t="s">
        <v>1147</v>
      </c>
      <c r="L157" s="148" t="s">
        <v>1148</v>
      </c>
      <c r="M157" s="149" t="s">
        <v>891</v>
      </c>
      <c r="S157" s="107"/>
      <c r="T157" s="107"/>
      <c r="U157" s="107"/>
      <c r="V157" s="107"/>
      <c r="W157" s="107"/>
      <c r="X157" s="107"/>
      <c r="Y157" s="107"/>
      <c r="Z157" s="107"/>
      <c r="AA157" s="107"/>
    </row>
    <row r="158" spans="1:27" ht="176.25" customHeight="1">
      <c r="A158" s="26" t="str">
        <v>Wellsville - Chenunda Creek</v>
      </c>
      <c r="B158" s="27" t="str">
        <v>NY</v>
      </c>
      <c r="C158" s="9" t="str">
        <f>Sites[[#This Row],[SOL'#]]</f>
        <v>SOL-11187</v>
      </c>
      <c r="D158" s="66">
        <v>395137</v>
      </c>
      <c r="E158" s="14" t="s">
        <v>936</v>
      </c>
      <c r="F158" s="14"/>
      <c r="G158" s="68"/>
      <c r="H158" s="69" t="s">
        <v>936</v>
      </c>
      <c r="I158" s="69" t="str">
        <f t="shared" si="11"/>
        <v/>
      </c>
      <c r="J158" s="68" t="str">
        <f t="shared" si="12"/>
        <v/>
      </c>
      <c r="K158" s="146" t="s">
        <v>1149</v>
      </c>
      <c r="L158" s="147" t="s">
        <v>1150</v>
      </c>
      <c r="M158" s="149" t="s">
        <v>1151</v>
      </c>
      <c r="N158" s="149" t="s">
        <v>1152</v>
      </c>
      <c r="S158" s="107"/>
      <c r="T158" s="107"/>
      <c r="U158" s="107"/>
      <c r="V158" s="107"/>
      <c r="W158" s="107"/>
      <c r="X158" s="107"/>
      <c r="Y158" s="107"/>
      <c r="Z158" s="107"/>
      <c r="AA158" s="107"/>
    </row>
    <row r="159" spans="1:27" ht="14.25"/>
    <row r="160" spans="1:27" ht="14.25"/>
    <row r="161" ht="14.25"/>
    <row r="162" ht="14.25"/>
    <row r="163" ht="14.25"/>
    <row r="164" ht="14.25"/>
    <row r="165" ht="14.25"/>
    <row r="166" ht="14.25"/>
    <row r="167" ht="14.25"/>
    <row r="168" ht="14.25"/>
    <row r="169" ht="14.25"/>
    <row r="170" ht="14.25"/>
    <row r="171" ht="14.25"/>
    <row r="172" ht="14.25"/>
    <row r="173" ht="14.25"/>
    <row r="174" ht="14.25"/>
    <row r="175" ht="14.25"/>
    <row r="176" ht="14.25"/>
    <row r="177" ht="14.25"/>
    <row r="178" ht="14.25"/>
    <row r="179" ht="14.25"/>
    <row r="180" ht="14.25"/>
    <row r="181" ht="14.25"/>
    <row r="182" ht="14.25"/>
    <row r="183" ht="14.25"/>
  </sheetData>
  <mergeCells count="4">
    <mergeCell ref="H1:J1"/>
    <mergeCell ref="A1:D1"/>
    <mergeCell ref="E1:G1"/>
    <mergeCell ref="A2:B2"/>
  </mergeCells>
  <phoneticPr fontId="40" type="noConversion"/>
  <conditionalFormatting sqref="G2 J2 G4:G66 J4:J158">
    <cfRule type="cellIs" dxfId="32" priority="15" stopIfTrue="1" operator="lessThanOrEqual">
      <formula>-0.1</formula>
    </cfRule>
    <cfRule type="expression" dxfId="31" priority="16">
      <formula>AND(ISNUMBER(G2), G2&gt;=0.1)</formula>
    </cfRule>
  </conditionalFormatting>
  <conditionalFormatting sqref="G73:G158">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62"/>
  <sheetViews>
    <sheetView zoomScale="70" zoomScaleNormal="70" workbookViewId="0">
      <pane xSplit="2" ySplit="3" topLeftCell="C66" activePane="bottomRight" state="frozen"/>
      <selection pane="bottomRight" activeCell="B5" sqref="B5"/>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51" t="str" cm="1">
        <f t="array" ref="A1">portfolio</f>
        <v>Generate Capital</v>
      </c>
      <c r="B1" s="151"/>
      <c r="C1" s="151"/>
      <c r="D1" s="151"/>
      <c r="E1" s="152" t="s">
        <v>1153</v>
      </c>
      <c r="F1" s="152"/>
      <c r="G1" s="152"/>
      <c r="H1" s="150" t="s">
        <v>1154</v>
      </c>
      <c r="I1" s="150"/>
      <c r="J1" s="150"/>
      <c r="K1" s="4"/>
      <c r="L1" s="4"/>
    </row>
    <row r="2" spans="1:18" ht="19.5" customHeight="1">
      <c r="A2" s="153" t="s">
        <v>2</v>
      </c>
      <c r="B2" s="153"/>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1.25">
      <c r="A4" s="26" t="str" cm="1">
        <f t="array" ref="A4:A158">Sites[Site]</f>
        <v>K026</v>
      </c>
      <c r="B4" s="27" t="str" cm="1">
        <f t="array" ref="B4:B158">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39" t="s">
        <v>1155</v>
      </c>
      <c r="L4" s="103" t="s">
        <v>1156</v>
      </c>
      <c r="M4" s="106" t="s">
        <v>1157</v>
      </c>
      <c r="N4" s="106" t="s">
        <v>1158</v>
      </c>
      <c r="O4" s="107"/>
      <c r="P4" s="107"/>
      <c r="Q4" s="107"/>
      <c r="R4" s="107"/>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1159</v>
      </c>
      <c r="L5" s="102" t="s">
        <v>1160</v>
      </c>
      <c r="M5" s="107"/>
      <c r="N5" s="107"/>
      <c r="O5" s="107"/>
      <c r="P5" s="107"/>
      <c r="Q5" s="107"/>
      <c r="R5" s="107"/>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39" t="s">
        <v>1161</v>
      </c>
      <c r="L6" s="103" t="s">
        <v>1162</v>
      </c>
      <c r="M6" s="107"/>
      <c r="N6" s="107"/>
      <c r="O6" s="107"/>
      <c r="P6" s="107"/>
      <c r="Q6" s="107"/>
      <c r="R6" s="107"/>
    </row>
    <row r="7" spans="1:18" ht="28.5">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641</v>
      </c>
      <c r="L7" s="102" t="s">
        <v>1163</v>
      </c>
      <c r="M7" s="107"/>
      <c r="N7" s="107"/>
      <c r="O7" s="107"/>
      <c r="P7" s="107"/>
      <c r="Q7" s="107"/>
      <c r="R7" s="107"/>
    </row>
    <row r="8" spans="1:18" ht="15.75">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92" t="s">
        <v>24</v>
      </c>
      <c r="L8" s="105" t="s">
        <v>1164</v>
      </c>
      <c r="M8" s="107"/>
      <c r="N8" s="107"/>
      <c r="O8" s="107"/>
      <c r="P8" s="107"/>
      <c r="Q8" s="107"/>
      <c r="R8" s="107"/>
    </row>
    <row r="9" spans="1:18" ht="15.75">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7"/>
      <c r="N9" s="107"/>
      <c r="O9" s="107"/>
      <c r="P9" s="107"/>
      <c r="Q9" s="107"/>
      <c r="R9" s="107"/>
    </row>
    <row r="10" spans="1:18" ht="28.5">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39" t="s">
        <v>1165</v>
      </c>
      <c r="L10" s="103" t="s">
        <v>1166</v>
      </c>
      <c r="M10" s="107"/>
      <c r="N10" s="107"/>
      <c r="O10" s="107"/>
      <c r="P10" s="107"/>
      <c r="Q10" s="107"/>
      <c r="R10" s="107"/>
    </row>
    <row r="11" spans="1:18" ht="15.75">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7"/>
      <c r="N11" s="107"/>
      <c r="O11" s="107"/>
      <c r="P11" s="107"/>
      <c r="Q11" s="107"/>
      <c r="R11" s="107"/>
    </row>
    <row r="12" spans="1:18" ht="71.25">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39" t="s">
        <v>1167</v>
      </c>
      <c r="L12" s="103" t="s">
        <v>1168</v>
      </c>
      <c r="M12" s="106" t="s">
        <v>1169</v>
      </c>
      <c r="N12" s="106" t="s">
        <v>1170</v>
      </c>
      <c r="O12" s="107"/>
      <c r="P12" s="107"/>
      <c r="Q12" s="107"/>
      <c r="R12" s="107"/>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1171</v>
      </c>
      <c r="L13" s="47"/>
      <c r="M13" s="107"/>
      <c r="N13" s="107"/>
      <c r="O13" s="107"/>
      <c r="P13" s="107"/>
      <c r="Q13" s="107"/>
      <c r="R13" s="107"/>
    </row>
    <row r="14" spans="1:18" ht="42.7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39" t="s">
        <v>1172</v>
      </c>
      <c r="L14" s="103" t="s">
        <v>1173</v>
      </c>
      <c r="M14" s="107"/>
      <c r="N14" s="107"/>
      <c r="O14" s="107"/>
      <c r="P14" s="107"/>
      <c r="Q14" s="107"/>
      <c r="R14" s="107"/>
    </row>
    <row r="15" spans="1:18" ht="28.5">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1174</v>
      </c>
      <c r="L15" s="47"/>
      <c r="M15" s="107"/>
      <c r="N15" s="107"/>
      <c r="O15" s="107"/>
      <c r="P15" s="107"/>
      <c r="Q15" s="107"/>
      <c r="R15" s="107"/>
    </row>
    <row r="16" spans="1:18" ht="28.5">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39" t="s">
        <v>1174</v>
      </c>
      <c r="L16" s="88"/>
      <c r="M16" s="107"/>
      <c r="N16" s="107"/>
      <c r="O16" s="107"/>
      <c r="P16" s="107"/>
      <c r="Q16" s="107"/>
      <c r="R16" s="107"/>
    </row>
    <row r="17" spans="1:18" ht="28.5">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1175</v>
      </c>
      <c r="L17" s="102" t="s">
        <v>1176</v>
      </c>
      <c r="M17" s="107"/>
      <c r="N17" s="107"/>
      <c r="O17" s="107"/>
      <c r="P17" s="107"/>
      <c r="Q17" s="107"/>
      <c r="R17" s="107"/>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39" t="s">
        <v>1177</v>
      </c>
      <c r="L18" s="103" t="s">
        <v>1178</v>
      </c>
      <c r="M18" s="107"/>
      <c r="N18" s="107"/>
      <c r="O18" s="107"/>
      <c r="P18" s="107"/>
      <c r="Q18" s="107"/>
      <c r="R18" s="107"/>
    </row>
    <row r="19" spans="1:18" ht="28.5">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1174</v>
      </c>
      <c r="L19" s="47"/>
      <c r="M19" s="107"/>
      <c r="N19" s="107"/>
      <c r="O19" s="107"/>
      <c r="P19" s="107"/>
      <c r="Q19" s="107"/>
      <c r="R19" s="107"/>
    </row>
    <row r="20" spans="1:18" ht="71.25">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39" t="s">
        <v>910</v>
      </c>
      <c r="L20" s="103" t="s">
        <v>1179</v>
      </c>
      <c r="M20" s="107"/>
      <c r="N20" s="107"/>
      <c r="O20" s="107"/>
      <c r="P20" s="107"/>
      <c r="Q20" s="107"/>
      <c r="R20" s="107"/>
    </row>
    <row r="21" spans="1:18" ht="28.5">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1174</v>
      </c>
      <c r="L21" s="47"/>
      <c r="M21" s="107"/>
      <c r="N21" s="107"/>
      <c r="O21" s="107"/>
      <c r="P21" s="107"/>
      <c r="Q21" s="107"/>
      <c r="R21" s="107"/>
    </row>
    <row r="22" spans="1:18" ht="28.5">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39" t="s">
        <v>1174</v>
      </c>
      <c r="L22" s="88"/>
      <c r="M22" s="107"/>
      <c r="N22" s="107"/>
      <c r="O22" s="107"/>
      <c r="P22" s="107"/>
      <c r="Q22" s="107"/>
      <c r="R22" s="107"/>
    </row>
    <row r="23" spans="1:18" ht="28.5">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1180</v>
      </c>
      <c r="L23" s="102" t="s">
        <v>1181</v>
      </c>
      <c r="M23" s="107"/>
      <c r="N23" s="107"/>
      <c r="O23" s="107"/>
      <c r="P23" s="107"/>
      <c r="Q23" s="107"/>
      <c r="R23" s="107"/>
    </row>
    <row r="24" spans="1:18" ht="28.5">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39" t="s">
        <v>1174</v>
      </c>
      <c r="L24" s="139"/>
      <c r="M24" s="107"/>
      <c r="N24" s="107"/>
      <c r="O24" s="107"/>
      <c r="P24" s="107"/>
      <c r="Q24" s="107"/>
      <c r="R24" s="107"/>
    </row>
    <row r="25" spans="1:18" ht="28.5">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1174</v>
      </c>
      <c r="L25" s="47"/>
      <c r="M25" s="107"/>
      <c r="N25" s="107"/>
      <c r="O25" s="107"/>
      <c r="P25" s="107"/>
      <c r="Q25" s="107"/>
      <c r="R25" s="107"/>
    </row>
    <row r="26" spans="1:18" ht="28.5">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39" t="s">
        <v>1174</v>
      </c>
      <c r="L26" s="88"/>
      <c r="M26" s="107"/>
      <c r="N26" s="107"/>
      <c r="O26" s="107"/>
      <c r="P26" s="107"/>
      <c r="Q26" s="107"/>
      <c r="R26" s="107"/>
    </row>
    <row r="27" spans="1:18" ht="28.5">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1174</v>
      </c>
      <c r="L27" s="47"/>
      <c r="M27" s="107"/>
      <c r="N27" s="107"/>
      <c r="O27" s="107"/>
      <c r="P27" s="107"/>
      <c r="Q27" s="107"/>
      <c r="R27" s="107"/>
    </row>
    <row r="28" spans="1:18" ht="57">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39" t="s">
        <v>1182</v>
      </c>
      <c r="L28" s="103" t="s">
        <v>1183</v>
      </c>
      <c r="M28" s="107"/>
      <c r="N28" s="107"/>
      <c r="O28" s="107"/>
      <c r="P28" s="107"/>
      <c r="Q28" s="107"/>
      <c r="R28" s="107"/>
    </row>
    <row r="29" spans="1:18" ht="15.75">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1184</v>
      </c>
      <c r="L29" s="102" t="s">
        <v>1185</v>
      </c>
      <c r="M29" s="107"/>
      <c r="N29" s="107"/>
      <c r="O29" s="107"/>
      <c r="P29" s="107"/>
      <c r="Q29" s="107"/>
      <c r="R29" s="107"/>
    </row>
    <row r="30" spans="1:18" ht="15.75">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39"/>
      <c r="L30" s="88"/>
      <c r="M30" s="107"/>
      <c r="N30" s="107"/>
      <c r="O30" s="107"/>
      <c r="P30" s="107"/>
      <c r="Q30" s="107"/>
      <c r="R30" s="107"/>
    </row>
    <row r="31" spans="1:18" ht="15.75">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7"/>
      <c r="N31" s="107"/>
      <c r="O31" s="107"/>
      <c r="P31" s="107"/>
      <c r="Q31" s="107"/>
      <c r="R31" s="107"/>
    </row>
    <row r="32" spans="1:18" ht="15.75">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39"/>
      <c r="L32" s="88"/>
      <c r="M32" s="107"/>
      <c r="N32" s="107"/>
      <c r="O32" s="107"/>
      <c r="P32" s="107"/>
      <c r="Q32" s="107"/>
      <c r="R32" s="107"/>
    </row>
    <row r="33" spans="1:18" ht="15.75">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7"/>
      <c r="N33" s="107"/>
      <c r="O33" s="107"/>
      <c r="P33" s="107"/>
      <c r="Q33" s="107"/>
      <c r="R33" s="107"/>
    </row>
    <row r="34" spans="1:18" ht="28.5">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39" t="s">
        <v>1174</v>
      </c>
      <c r="L34" s="88"/>
      <c r="M34" s="107"/>
      <c r="N34" s="107"/>
      <c r="O34" s="107"/>
      <c r="P34" s="107"/>
      <c r="Q34" s="107"/>
      <c r="R34" s="107"/>
    </row>
    <row r="35" spans="1:18" ht="15.75">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1186</v>
      </c>
      <c r="L35" s="102" t="s">
        <v>1187</v>
      </c>
      <c r="M35" s="107"/>
      <c r="N35" s="107"/>
      <c r="O35" s="107"/>
      <c r="P35" s="107"/>
      <c r="Q35" s="107"/>
      <c r="R35" s="107"/>
    </row>
    <row r="36" spans="1:18" ht="85.5">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39" t="s">
        <v>1188</v>
      </c>
      <c r="L36" s="139"/>
      <c r="M36" s="107"/>
      <c r="N36" s="107"/>
      <c r="O36" s="107"/>
      <c r="P36" s="107"/>
      <c r="Q36" s="107"/>
      <c r="R36" s="107"/>
    </row>
    <row r="37" spans="1:18" ht="28.5">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1189</v>
      </c>
      <c r="L37" s="102" t="s">
        <v>1190</v>
      </c>
      <c r="M37" s="107"/>
      <c r="N37" s="107"/>
      <c r="O37" s="107"/>
      <c r="P37" s="107"/>
      <c r="Q37" s="107"/>
      <c r="R37" s="107"/>
    </row>
    <row r="38" spans="1:18" ht="28.5">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39" t="s">
        <v>927</v>
      </c>
      <c r="L38" s="103" t="s">
        <v>1191</v>
      </c>
      <c r="M38" s="107"/>
      <c r="N38" s="107"/>
      <c r="O38" s="107"/>
      <c r="P38" s="107"/>
      <c r="Q38" s="107"/>
      <c r="R38" s="107"/>
    </row>
    <row r="39" spans="1:18" ht="28.5">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1174</v>
      </c>
      <c r="L39" s="47"/>
      <c r="M39" s="107"/>
      <c r="N39" s="107"/>
      <c r="O39" s="107"/>
      <c r="P39" s="107"/>
      <c r="Q39" s="107"/>
      <c r="R39" s="107"/>
    </row>
    <row r="40" spans="1:18" ht="28.5">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39" t="s">
        <v>1192</v>
      </c>
      <c r="L40" s="103" t="s">
        <v>674</v>
      </c>
      <c r="M40" s="107"/>
      <c r="N40" s="107"/>
      <c r="O40" s="107"/>
      <c r="P40" s="107"/>
      <c r="Q40" s="107"/>
      <c r="R40" s="107"/>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1193</v>
      </c>
      <c r="L41" s="102" t="s">
        <v>1194</v>
      </c>
      <c r="M41" s="107"/>
      <c r="N41" s="107"/>
      <c r="O41" s="107"/>
      <c r="P41" s="107"/>
      <c r="Q41" s="107"/>
      <c r="R41" s="107"/>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39" t="s">
        <v>1195</v>
      </c>
      <c r="L42" s="103" t="s">
        <v>1196</v>
      </c>
      <c r="M42" s="107"/>
      <c r="N42" s="107"/>
      <c r="O42" s="107"/>
      <c r="P42" s="107"/>
      <c r="Q42" s="107"/>
      <c r="R42" s="107"/>
    </row>
    <row r="43" spans="1:18" ht="42.75">
      <c r="A43" s="24" t="str">
        <v>Q490</v>
      </c>
      <c r="B43" s="25" t="str">
        <v>NY</v>
      </c>
      <c r="C43" s="25" t="str">
        <f>Sites[[#This Row],[SOL'#]]</f>
        <v>SOL-10411</v>
      </c>
      <c r="D43" s="20">
        <v>48688.986250000104</v>
      </c>
      <c r="E43" s="10" t="s">
        <v>656</v>
      </c>
      <c r="F43" s="10" t="str">
        <f t="shared" si="0"/>
        <v/>
      </c>
      <c r="G43" s="11" t="str">
        <f t="shared" si="1"/>
        <v/>
      </c>
      <c r="H43" s="12">
        <v>53116.12</v>
      </c>
      <c r="I43" s="12">
        <f t="shared" si="2"/>
        <v>-4427.133749999899</v>
      </c>
      <c r="J43" s="13">
        <f t="shared" si="3"/>
        <v>-8.3348214252093322E-2</v>
      </c>
      <c r="K43" s="47" t="s">
        <v>1197</v>
      </c>
      <c r="L43" s="102" t="s">
        <v>229</v>
      </c>
      <c r="M43" s="107"/>
      <c r="N43" s="107"/>
      <c r="O43" s="107"/>
      <c r="P43" s="107"/>
      <c r="Q43" s="107"/>
      <c r="R43" s="107"/>
    </row>
    <row r="44" spans="1:18" ht="15.75">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39"/>
      <c r="L44" s="88"/>
      <c r="M44" s="107"/>
      <c r="N44" s="107"/>
      <c r="O44" s="107"/>
      <c r="P44" s="107"/>
      <c r="Q44" s="107"/>
      <c r="R44" s="107"/>
    </row>
    <row r="45" spans="1:18" ht="28.5">
      <c r="A45" s="24" t="str">
        <v>QMOA</v>
      </c>
      <c r="B45" s="25" t="str">
        <v>NY</v>
      </c>
      <c r="C45" s="25" t="str">
        <f>Sites[[#This Row],[SOL'#]]</f>
        <v>SOL-10415</v>
      </c>
      <c r="D45" s="20">
        <v>6248.7999999999902</v>
      </c>
      <c r="E45" s="10" t="s">
        <v>656</v>
      </c>
      <c r="F45" s="10" t="str">
        <f t="shared" si="0"/>
        <v/>
      </c>
      <c r="G45" s="11" t="str">
        <f t="shared" si="1"/>
        <v/>
      </c>
      <c r="H45" s="12">
        <v>7429.65</v>
      </c>
      <c r="I45" s="12">
        <f t="shared" si="2"/>
        <v>-1180.8500000000095</v>
      </c>
      <c r="J45" s="13">
        <f t="shared" si="3"/>
        <v>-0.15893750042061328</v>
      </c>
      <c r="K45" s="47" t="s">
        <v>1174</v>
      </c>
      <c r="L45" s="47"/>
      <c r="M45" s="107"/>
      <c r="N45" s="107"/>
      <c r="O45" s="107"/>
      <c r="P45" s="107"/>
      <c r="Q45" s="107"/>
      <c r="R45" s="107"/>
    </row>
    <row r="46" spans="1:18" ht="57">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39" t="s">
        <v>1198</v>
      </c>
      <c r="L46" s="103" t="s">
        <v>1199</v>
      </c>
      <c r="M46" s="107"/>
      <c r="N46" s="107"/>
      <c r="O46" s="107"/>
      <c r="P46" s="107"/>
      <c r="Q46" s="107"/>
      <c r="R46" s="107"/>
    </row>
    <row r="47" spans="1:18" ht="15.75">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939</v>
      </c>
      <c r="L47" s="102" t="s">
        <v>685</v>
      </c>
      <c r="M47" s="107"/>
      <c r="N47" s="107"/>
      <c r="O47" s="107"/>
      <c r="P47" s="107"/>
      <c r="Q47" s="107"/>
      <c r="R47" s="107"/>
    </row>
    <row r="48" spans="1:18" ht="15.75">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39" t="s">
        <v>1200</v>
      </c>
      <c r="L48" s="103" t="s">
        <v>1201</v>
      </c>
      <c r="M48" s="107"/>
      <c r="N48" s="107"/>
      <c r="O48" s="107"/>
      <c r="P48" s="107"/>
      <c r="Q48" s="107"/>
      <c r="R48" s="107"/>
    </row>
    <row r="49" spans="1:18" ht="28.5">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1202</v>
      </c>
      <c r="L49" s="102" t="s">
        <v>1203</v>
      </c>
      <c r="M49" s="107"/>
      <c r="N49" s="107"/>
      <c r="O49" s="107"/>
      <c r="P49" s="107"/>
      <c r="Q49" s="107"/>
      <c r="R49" s="107"/>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39" t="s">
        <v>1174</v>
      </c>
      <c r="L50" s="139"/>
      <c r="M50" s="107"/>
      <c r="N50" s="107"/>
      <c r="O50" s="107"/>
      <c r="P50" s="107"/>
      <c r="Q50" s="107"/>
      <c r="R50" s="107"/>
    </row>
    <row r="51" spans="1:18" ht="28.5">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1174</v>
      </c>
      <c r="L51" s="47"/>
      <c r="M51" s="107"/>
      <c r="N51" s="107"/>
      <c r="O51" s="107"/>
      <c r="P51" s="107"/>
      <c r="Q51" s="107"/>
      <c r="R51" s="107"/>
    </row>
    <row r="52" spans="1:18" ht="28.5">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39" t="s">
        <v>1174</v>
      </c>
      <c r="L52" s="88"/>
      <c r="M52" s="107"/>
      <c r="N52" s="107"/>
      <c r="O52" s="107"/>
      <c r="P52" s="107"/>
      <c r="Q52" s="107"/>
      <c r="R52" s="107"/>
    </row>
    <row r="53" spans="1:18" ht="15.75">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1204</v>
      </c>
      <c r="L53" s="102" t="s">
        <v>1205</v>
      </c>
      <c r="M53" s="107"/>
      <c r="N53" s="107"/>
      <c r="O53" s="107"/>
      <c r="P53" s="107"/>
      <c r="Q53" s="107"/>
      <c r="R53" s="107"/>
    </row>
    <row r="54" spans="1:18" ht="15.75">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39"/>
      <c r="L54" s="88"/>
      <c r="M54" s="107"/>
      <c r="N54" s="107"/>
      <c r="O54" s="107"/>
      <c r="P54" s="107"/>
      <c r="Q54" s="107"/>
      <c r="R54" s="107"/>
    </row>
    <row r="55" spans="1:18" ht="71.25">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11" t="s">
        <v>1206</v>
      </c>
      <c r="L55" s="47"/>
      <c r="M55" s="107"/>
      <c r="N55" s="107"/>
      <c r="O55" s="107"/>
      <c r="P55" s="107"/>
      <c r="Q55" s="107"/>
      <c r="R55" s="107"/>
    </row>
    <row r="56" spans="1:18" ht="114">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39" t="s">
        <v>1207</v>
      </c>
      <c r="L56" s="103" t="s">
        <v>1208</v>
      </c>
      <c r="M56" s="106" t="s">
        <v>1209</v>
      </c>
      <c r="N56" s="107"/>
      <c r="O56" s="107"/>
      <c r="P56" s="107"/>
      <c r="Q56" s="107"/>
      <c r="R56" s="107"/>
    </row>
    <row r="57" spans="1:18" ht="15.75">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1210</v>
      </c>
      <c r="L57" s="102" t="s">
        <v>1211</v>
      </c>
      <c r="M57" s="107"/>
      <c r="N57" s="107"/>
      <c r="O57" s="107"/>
      <c r="P57" s="107"/>
      <c r="Q57" s="107"/>
      <c r="R57" s="107"/>
    </row>
    <row r="58" spans="1:18" ht="99.75">
      <c r="A58" s="26" t="str">
        <v>Boas Road 04</v>
      </c>
      <c r="B58" s="27" t="str">
        <v>NY</v>
      </c>
      <c r="C58" s="9" t="str">
        <f>Sites[[#This Row],[SOL'#]]</f>
        <v>SOL-10908</v>
      </c>
      <c r="D58" s="9" t="s">
        <v>1212</v>
      </c>
      <c r="E58" s="14">
        <v>399796</v>
      </c>
      <c r="F58" s="14" t="str">
        <f t="shared" si="4"/>
        <v/>
      </c>
      <c r="G58" s="15" t="str">
        <f t="shared" si="5"/>
        <v/>
      </c>
      <c r="H58" s="16">
        <v>381322</v>
      </c>
      <c r="I58" s="16" t="str">
        <f t="shared" si="2"/>
        <v/>
      </c>
      <c r="J58" s="15" t="str">
        <f t="shared" si="3"/>
        <v/>
      </c>
      <c r="K58" s="139" t="s">
        <v>1213</v>
      </c>
      <c r="L58" s="103" t="s">
        <v>1214</v>
      </c>
      <c r="M58" s="106" t="s">
        <v>1215</v>
      </c>
      <c r="N58" s="106" t="s">
        <v>1216</v>
      </c>
      <c r="O58" s="106" t="s">
        <v>1217</v>
      </c>
      <c r="P58" s="106" t="s">
        <v>1215</v>
      </c>
      <c r="Q58" s="107"/>
      <c r="R58" s="107"/>
    </row>
    <row r="59" spans="1:18" ht="171">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1218</v>
      </c>
      <c r="L59" s="102" t="s">
        <v>1219</v>
      </c>
      <c r="M59" s="106" t="s">
        <v>1220</v>
      </c>
      <c r="N59" s="106" t="s">
        <v>1221</v>
      </c>
      <c r="O59" s="106" t="s">
        <v>1222</v>
      </c>
      <c r="P59" s="106" t="s">
        <v>1223</v>
      </c>
      <c r="Q59" s="106" t="s">
        <v>1223</v>
      </c>
      <c r="R59" s="107"/>
    </row>
    <row r="60" spans="1:18" ht="28.5">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39" t="s">
        <v>1224</v>
      </c>
      <c r="L60" s="103" t="s">
        <v>1225</v>
      </c>
      <c r="M60" s="107"/>
      <c r="N60" s="107"/>
      <c r="O60" s="107"/>
      <c r="P60" s="107"/>
      <c r="Q60" s="107"/>
      <c r="R60" s="107"/>
    </row>
    <row r="61" spans="1:18" ht="99.75">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1226</v>
      </c>
      <c r="L61" s="102" t="s">
        <v>1227</v>
      </c>
      <c r="M61" s="106" t="s">
        <v>958</v>
      </c>
      <c r="N61" s="106" t="s">
        <v>959</v>
      </c>
      <c r="O61" s="106" t="s">
        <v>1228</v>
      </c>
      <c r="P61" s="107"/>
      <c r="Q61" s="107"/>
      <c r="R61" s="107"/>
    </row>
    <row r="62" spans="1:18" ht="15.75">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39"/>
      <c r="L62" s="139"/>
      <c r="M62" s="107"/>
      <c r="N62" s="107"/>
      <c r="O62" s="107"/>
      <c r="P62" s="107"/>
      <c r="Q62" s="107"/>
      <c r="R62" s="107"/>
    </row>
    <row r="63" spans="1:18" ht="28.5">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962</v>
      </c>
      <c r="L63" s="102" t="s">
        <v>1229</v>
      </c>
      <c r="M63" s="107"/>
      <c r="N63" s="107"/>
      <c r="O63" s="107"/>
      <c r="P63" s="107"/>
      <c r="Q63" s="107"/>
      <c r="R63" s="107"/>
    </row>
    <row r="64" spans="1:18" ht="15.75">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39"/>
      <c r="L64" s="139"/>
      <c r="M64" s="107"/>
      <c r="N64" s="107"/>
      <c r="O64" s="107"/>
      <c r="P64" s="107"/>
      <c r="Q64" s="107"/>
      <c r="R64" s="107"/>
    </row>
    <row r="65" spans="1:23" ht="28.5">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1230</v>
      </c>
      <c r="L65" s="102" t="s">
        <v>1231</v>
      </c>
      <c r="M65" s="107"/>
      <c r="N65" s="107"/>
      <c r="O65" s="107"/>
      <c r="P65" s="107"/>
      <c r="Q65" s="107"/>
      <c r="R65" s="107"/>
    </row>
    <row r="66" spans="1:23" ht="85.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39" t="s">
        <v>1232</v>
      </c>
      <c r="L66" s="103" t="s">
        <v>1233</v>
      </c>
      <c r="M66" s="106" t="s">
        <v>714</v>
      </c>
      <c r="N66" s="107"/>
      <c r="O66" s="107"/>
      <c r="P66" s="107"/>
      <c r="Q66" s="107"/>
      <c r="R66" s="107"/>
    </row>
    <row r="67" spans="1:23" ht="28.5">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1234</v>
      </c>
      <c r="L67" s="102" t="s">
        <v>1235</v>
      </c>
      <c r="M67" s="106" t="s">
        <v>1236</v>
      </c>
      <c r="N67" s="107"/>
      <c r="O67" s="107"/>
      <c r="P67" s="107"/>
      <c r="Q67" s="107"/>
      <c r="R67" s="107"/>
    </row>
    <row r="68" spans="1:23" ht="57">
      <c r="A68" s="26" t="str">
        <v>Big Tree</v>
      </c>
      <c r="B68" s="27" t="str">
        <v>NY</v>
      </c>
      <c r="C68" s="9" t="str">
        <f>Sites[[#This Row],[SOL'#]]</f>
        <v>SOL-10966</v>
      </c>
      <c r="D68" s="9">
        <v>404899</v>
      </c>
      <c r="E68" s="14" t="s">
        <v>656</v>
      </c>
      <c r="F68" s="14" t="str">
        <f t="shared" si="4"/>
        <v/>
      </c>
      <c r="G68" s="15" t="str">
        <f t="shared" si="5"/>
        <v/>
      </c>
      <c r="H68" s="16">
        <v>429682</v>
      </c>
      <c r="I68" s="16">
        <f t="shared" si="6"/>
        <v>-24783</v>
      </c>
      <c r="J68" s="15">
        <f t="shared" si="7"/>
        <v>-5.7677538272489885E-2</v>
      </c>
      <c r="K68" s="139" t="s">
        <v>1237</v>
      </c>
      <c r="L68" s="103" t="s">
        <v>1238</v>
      </c>
      <c r="M68" s="106" t="s">
        <v>1239</v>
      </c>
      <c r="N68" s="107"/>
      <c r="O68" s="107"/>
      <c r="P68" s="107"/>
      <c r="Q68" s="107"/>
      <c r="R68" s="107"/>
    </row>
    <row r="69" spans="1:23" ht="15.75">
      <c r="A69" s="24" t="str">
        <v>Canoga</v>
      </c>
      <c r="B69" s="25" t="str">
        <v>NY</v>
      </c>
      <c r="C69" s="25" t="str">
        <f>Sites[[#This Row],[SOL'#]]</f>
        <v>SOL-10965</v>
      </c>
      <c r="D69" s="20" t="s">
        <v>1212</v>
      </c>
      <c r="E69" s="10" t="s">
        <v>656</v>
      </c>
      <c r="F69" s="10" t="str">
        <f t="shared" si="4"/>
        <v/>
      </c>
      <c r="G69" s="11" t="str">
        <f t="shared" si="5"/>
        <v/>
      </c>
      <c r="H69" s="12"/>
      <c r="I69" s="12" t="str">
        <f t="shared" si="6"/>
        <v/>
      </c>
      <c r="J69" s="13" t="str">
        <f t="shared" si="7"/>
        <v/>
      </c>
      <c r="K69" s="47" t="s">
        <v>1240</v>
      </c>
      <c r="L69" s="102" t="s">
        <v>718</v>
      </c>
      <c r="M69" s="107"/>
      <c r="N69" s="107"/>
      <c r="O69" s="107"/>
      <c r="P69" s="107"/>
      <c r="Q69" s="107"/>
      <c r="R69" s="107"/>
    </row>
    <row r="70" spans="1:23" ht="172.5" customHeight="1">
      <c r="A70" s="26" t="str">
        <v>County Route 84</v>
      </c>
      <c r="B70" s="27" t="str">
        <v>NY</v>
      </c>
      <c r="C70" s="9" t="str">
        <f>Sites[[#This Row],[SOL'#]]</f>
        <v>SOL-10967</v>
      </c>
      <c r="D70" s="9">
        <v>887510</v>
      </c>
      <c r="E70" s="14" t="s">
        <v>656</v>
      </c>
      <c r="F70" s="14" t="str">
        <f t="shared" si="4"/>
        <v/>
      </c>
      <c r="G70" s="15" t="str">
        <f t="shared" si="5"/>
        <v/>
      </c>
      <c r="H70" s="16">
        <v>972096</v>
      </c>
      <c r="I70" s="16">
        <f t="shared" si="6"/>
        <v>-84586</v>
      </c>
      <c r="J70" s="15">
        <f t="shared" si="7"/>
        <v>-8.7014039765619861E-2</v>
      </c>
      <c r="K70" s="139" t="s">
        <v>1241</v>
      </c>
      <c r="L70" s="103" t="s">
        <v>1242</v>
      </c>
      <c r="M70" s="106" t="s">
        <v>1243</v>
      </c>
      <c r="N70" s="107"/>
      <c r="O70" s="107"/>
      <c r="P70" s="107"/>
      <c r="Q70" s="107"/>
      <c r="R70" s="107"/>
    </row>
    <row r="71" spans="1:23" ht="57">
      <c r="A71" s="24" t="str">
        <v>Donati</v>
      </c>
      <c r="B71" s="25" t="str">
        <v>NY</v>
      </c>
      <c r="C71" s="25" t="str">
        <f>Sites[[#This Row],[SOL'#]]</f>
        <v>SOL-10968</v>
      </c>
      <c r="D71" s="20">
        <v>476881</v>
      </c>
      <c r="E71" s="10" t="s">
        <v>656</v>
      </c>
      <c r="F71" s="10" t="str">
        <f t="shared" si="4"/>
        <v/>
      </c>
      <c r="G71" s="11" t="str">
        <f t="shared" si="5"/>
        <v/>
      </c>
      <c r="H71" s="12">
        <v>550490</v>
      </c>
      <c r="I71" s="12">
        <f t="shared" si="6"/>
        <v>-73609</v>
      </c>
      <c r="J71" s="13">
        <f t="shared" si="7"/>
        <v>-0.13371541717379062</v>
      </c>
      <c r="K71" s="47" t="s">
        <v>1244</v>
      </c>
      <c r="L71" s="102" t="s">
        <v>1245</v>
      </c>
      <c r="M71" s="106" t="s">
        <v>83</v>
      </c>
      <c r="N71" s="106" t="s">
        <v>723</v>
      </c>
      <c r="O71" s="107"/>
      <c r="P71" s="107"/>
      <c r="Q71" s="107"/>
      <c r="R71" s="107"/>
    </row>
    <row r="72" spans="1:23" ht="15.75">
      <c r="A72" s="26" t="str">
        <v>Henrietta</v>
      </c>
      <c r="B72" s="27" t="str">
        <v>NY</v>
      </c>
      <c r="C72" s="9" t="str">
        <f>Sites[[#This Row],[SOL'#]]</f>
        <v>SOL-10972</v>
      </c>
      <c r="D72" s="9">
        <v>1065880</v>
      </c>
      <c r="E72" s="14" t="s">
        <v>656</v>
      </c>
      <c r="F72" s="14" t="str">
        <f t="shared" si="4"/>
        <v/>
      </c>
      <c r="G72" s="15" t="str">
        <f t="shared" si="5"/>
        <v/>
      </c>
      <c r="H72" s="16">
        <v>1172239</v>
      </c>
      <c r="I72" s="16">
        <f t="shared" si="6"/>
        <v>-106359</v>
      </c>
      <c r="J72" s="15">
        <f t="shared" si="7"/>
        <v>-9.0731497587096144E-2</v>
      </c>
      <c r="K72" s="139" t="s">
        <v>1246</v>
      </c>
      <c r="L72" s="103" t="s">
        <v>1247</v>
      </c>
      <c r="M72" s="107"/>
      <c r="N72" s="107"/>
      <c r="O72" s="107"/>
      <c r="P72" s="107"/>
      <c r="Q72" s="107"/>
      <c r="R72" s="107"/>
    </row>
    <row r="73" spans="1:23" ht="119.25" customHeight="1">
      <c r="A73" s="24" t="str">
        <v>NY 70</v>
      </c>
      <c r="B73" s="25" t="str">
        <v>NY</v>
      </c>
      <c r="C73" s="25" t="str">
        <f>Sites[[#This Row],[SOL'#]]</f>
        <v>SOL-10970</v>
      </c>
      <c r="D73" s="20">
        <v>1143230</v>
      </c>
      <c r="E73" s="10" t="s">
        <v>656</v>
      </c>
      <c r="F73" s="10" t="str">
        <f t="shared" si="4"/>
        <v/>
      </c>
      <c r="G73" s="11" t="str">
        <f t="shared" si="5"/>
        <v/>
      </c>
      <c r="H73" s="12">
        <v>1263015</v>
      </c>
      <c r="I73" s="12">
        <f t="shared" si="6"/>
        <v>-119785</v>
      </c>
      <c r="J73" s="13">
        <f t="shared" si="7"/>
        <v>-9.4840520500548295E-2</v>
      </c>
      <c r="K73" s="47"/>
      <c r="L73" s="47"/>
      <c r="M73" s="107"/>
      <c r="N73" s="107"/>
      <c r="O73" s="107"/>
      <c r="P73" s="107"/>
      <c r="Q73" s="107"/>
      <c r="R73" s="107"/>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39" t="s">
        <v>1248</v>
      </c>
      <c r="L74" s="103" t="s">
        <v>1249</v>
      </c>
      <c r="M74" s="106" t="s">
        <v>1250</v>
      </c>
      <c r="N74" s="106" t="s">
        <v>1251</v>
      </c>
      <c r="O74" s="106" t="s">
        <v>1251</v>
      </c>
      <c r="P74" s="106" t="s">
        <v>1252</v>
      </c>
      <c r="Q74" s="106" t="s">
        <v>1253</v>
      </c>
      <c r="R74" s="106" t="s">
        <v>1254</v>
      </c>
      <c r="S74" s="117" t="s">
        <v>1255</v>
      </c>
      <c r="T74" s="117" t="s">
        <v>1256</v>
      </c>
      <c r="U74" s="117" t="s">
        <v>1252</v>
      </c>
      <c r="V74" s="117" t="s">
        <v>1254</v>
      </c>
      <c r="W74" s="117" t="s">
        <v>1255</v>
      </c>
    </row>
    <row r="75" spans="1:23" ht="28.5">
      <c r="A75" s="24" t="str">
        <v>Sangolqui</v>
      </c>
      <c r="B75" s="25" t="str">
        <v>NY</v>
      </c>
      <c r="C75" s="25" t="str">
        <f>Sites[[#This Row],[SOL'#]]</f>
        <v>SOL-10975</v>
      </c>
      <c r="D75" s="20">
        <v>437080</v>
      </c>
      <c r="E75" s="10" t="s">
        <v>656</v>
      </c>
      <c r="F75" s="10" t="str">
        <f t="shared" si="4"/>
        <v/>
      </c>
      <c r="G75" s="11" t="str">
        <f t="shared" si="5"/>
        <v/>
      </c>
      <c r="H75" s="12">
        <v>538488</v>
      </c>
      <c r="I75" s="12">
        <f t="shared" si="6"/>
        <v>-101408</v>
      </c>
      <c r="J75" s="13">
        <f t="shared" si="7"/>
        <v>-0.18831988827977597</v>
      </c>
      <c r="K75" s="47" t="s">
        <v>1257</v>
      </c>
      <c r="L75" s="102" t="s">
        <v>1258</v>
      </c>
      <c r="M75" s="107"/>
      <c r="N75" s="107"/>
      <c r="O75" s="107"/>
      <c r="P75" s="107"/>
      <c r="Q75" s="107"/>
      <c r="R75" s="107"/>
    </row>
    <row r="76" spans="1:23" ht="125.25" customHeight="1">
      <c r="A76" s="26" t="str">
        <v>State Highway 17B</v>
      </c>
      <c r="B76" s="27" t="str">
        <v>NY</v>
      </c>
      <c r="C76" s="9" t="str">
        <f>Sites[[#This Row],[SOL'#]]</f>
        <v>SOL-10988</v>
      </c>
      <c r="D76" s="9">
        <v>719330</v>
      </c>
      <c r="E76" s="14" t="s">
        <v>656</v>
      </c>
      <c r="F76" s="14" t="str">
        <f t="shared" si="4"/>
        <v/>
      </c>
      <c r="G76" s="15" t="str">
        <f t="shared" si="5"/>
        <v/>
      </c>
      <c r="H76" s="16"/>
      <c r="I76" s="16" t="str">
        <f t="shared" si="6"/>
        <v/>
      </c>
      <c r="J76" s="15" t="str">
        <f t="shared" si="7"/>
        <v/>
      </c>
      <c r="K76" s="139" t="s">
        <v>1259</v>
      </c>
      <c r="L76" s="103" t="s">
        <v>1260</v>
      </c>
      <c r="M76" s="106" t="s">
        <v>1261</v>
      </c>
      <c r="N76" s="106" t="s">
        <v>1262</v>
      </c>
      <c r="O76" s="106" t="s">
        <v>1262</v>
      </c>
      <c r="P76" s="107"/>
      <c r="Q76" s="107"/>
      <c r="R76" s="107"/>
    </row>
    <row r="77" spans="1:23" ht="93" customHeight="1">
      <c r="A77" s="24" t="str">
        <v>State Route 14A</v>
      </c>
      <c r="B77" s="25" t="str">
        <v>NY</v>
      </c>
      <c r="C77" s="25" t="str">
        <f>Sites[[#This Row],[SOL'#]]</f>
        <v>SOL-10997</v>
      </c>
      <c r="D77" s="20" t="s">
        <v>1212</v>
      </c>
      <c r="E77" s="10" t="s">
        <v>656</v>
      </c>
      <c r="F77" s="10" t="str">
        <f t="shared" si="4"/>
        <v/>
      </c>
      <c r="G77" s="11" t="str">
        <f t="shared" si="5"/>
        <v/>
      </c>
      <c r="H77" s="12">
        <v>967648</v>
      </c>
      <c r="I77" s="12" t="str">
        <f t="shared" si="6"/>
        <v/>
      </c>
      <c r="J77" s="13" t="str">
        <f t="shared" si="7"/>
        <v/>
      </c>
      <c r="K77" s="47" t="s">
        <v>1263</v>
      </c>
      <c r="L77" s="102" t="s">
        <v>1264</v>
      </c>
      <c r="M77" s="106" t="s">
        <v>1265</v>
      </c>
      <c r="N77" s="107"/>
      <c r="O77" s="107"/>
      <c r="P77" s="107"/>
      <c r="Q77" s="107"/>
      <c r="R77" s="107"/>
    </row>
    <row r="78" spans="1:23" ht="30" customHeight="1">
      <c r="A78" s="26" t="str">
        <v>West Creek</v>
      </c>
      <c r="B78" s="27" t="str">
        <v>NY</v>
      </c>
      <c r="C78" s="9" t="str">
        <f>Sites[[#This Row],[SOL'#]]</f>
        <v>SOL-10995</v>
      </c>
      <c r="D78" s="9">
        <v>836200</v>
      </c>
      <c r="E78" s="14" t="s">
        <v>656</v>
      </c>
      <c r="F78" s="14" t="str">
        <f t="shared" si="4"/>
        <v/>
      </c>
      <c r="G78" s="15" t="str">
        <f t="shared" si="5"/>
        <v/>
      </c>
      <c r="H78" s="16">
        <v>960614</v>
      </c>
      <c r="I78" s="16">
        <f t="shared" si="6"/>
        <v>-124414</v>
      </c>
      <c r="J78" s="15">
        <f t="shared" si="7"/>
        <v>-0.12951508097945688</v>
      </c>
      <c r="K78" s="139" t="s">
        <v>1266</v>
      </c>
      <c r="L78" s="103" t="s">
        <v>1267</v>
      </c>
      <c r="M78" s="106" t="s">
        <v>1268</v>
      </c>
      <c r="N78" s="107"/>
      <c r="O78" s="107"/>
      <c r="P78" s="107"/>
      <c r="Q78" s="107"/>
      <c r="R78" s="107"/>
    </row>
    <row r="79" spans="1:23" ht="42.75">
      <c r="A79" s="24" t="str">
        <v>Wildflower</v>
      </c>
      <c r="B79" s="25" t="str">
        <v>NY</v>
      </c>
      <c r="C79" s="25" t="str">
        <f>Sites[[#This Row],[SOL'#]]</f>
        <v>SOL-10982</v>
      </c>
      <c r="D79" s="20">
        <v>777681</v>
      </c>
      <c r="E79" s="10" t="s">
        <v>656</v>
      </c>
      <c r="F79" s="10" t="str">
        <f t="shared" si="4"/>
        <v/>
      </c>
      <c r="G79" s="11" t="str">
        <f t="shared" si="5"/>
        <v/>
      </c>
      <c r="H79" s="12">
        <v>972382.4</v>
      </c>
      <c r="I79" s="12">
        <f t="shared" si="6"/>
        <v>-194701.40000000002</v>
      </c>
      <c r="J79" s="13">
        <f t="shared" si="7"/>
        <v>-0.20023130817670087</v>
      </c>
      <c r="K79" s="47" t="s">
        <v>1269</v>
      </c>
      <c r="L79" s="102" t="s">
        <v>1270</v>
      </c>
      <c r="M79" s="107"/>
      <c r="N79" s="107"/>
      <c r="O79" s="107"/>
      <c r="P79" s="107"/>
      <c r="Q79" s="107"/>
      <c r="R79" s="107"/>
    </row>
    <row r="80" spans="1:23" ht="33.6" customHeight="1">
      <c r="A80" s="26" t="str">
        <v>Glen Mary 1</v>
      </c>
      <c r="B80" s="27" t="str">
        <v>NY</v>
      </c>
      <c r="C80" s="9" t="str">
        <f>Sites[[#This Row],[SOL'#]]</f>
        <v>SOL-10993</v>
      </c>
      <c r="D80" s="9">
        <v>883350</v>
      </c>
      <c r="E80" s="14" t="s">
        <v>656</v>
      </c>
      <c r="F80" s="14" t="str">
        <f t="shared" si="4"/>
        <v/>
      </c>
      <c r="G80" s="15" t="str">
        <f t="shared" si="5"/>
        <v/>
      </c>
      <c r="H80" s="16">
        <v>1006679</v>
      </c>
      <c r="I80" s="16">
        <f t="shared" si="6"/>
        <v>-123329</v>
      </c>
      <c r="J80" s="15">
        <f t="shared" si="7"/>
        <v>-0.12251075069610075</v>
      </c>
      <c r="K80" s="139" t="s">
        <v>1271</v>
      </c>
      <c r="L80" s="103" t="s">
        <v>1272</v>
      </c>
      <c r="M80" s="107"/>
      <c r="N80" s="107"/>
      <c r="O80" s="107"/>
      <c r="P80" s="107"/>
      <c r="Q80" s="107"/>
      <c r="R80" s="107"/>
    </row>
    <row r="81" spans="1:18" ht="15.75">
      <c r="A81" s="24" t="str">
        <v>Glen Mary 2</v>
      </c>
      <c r="B81" s="25" t="str">
        <v>NY</v>
      </c>
      <c r="C81" s="25" t="str">
        <f>Sites[[#This Row],[SOL'#]]</f>
        <v>SOL-10994</v>
      </c>
      <c r="D81" s="20">
        <v>396430</v>
      </c>
      <c r="E81" s="10" t="s">
        <v>656</v>
      </c>
      <c r="F81" s="10" t="str">
        <f t="shared" si="4"/>
        <v/>
      </c>
      <c r="G81" s="11" t="str">
        <f t="shared" si="5"/>
        <v/>
      </c>
      <c r="H81" s="12">
        <v>429189</v>
      </c>
      <c r="I81" s="12">
        <f t="shared" si="6"/>
        <v>-32759</v>
      </c>
      <c r="J81" s="13">
        <f t="shared" si="7"/>
        <v>-7.6327678481974137E-2</v>
      </c>
      <c r="K81" s="47"/>
      <c r="L81" s="47"/>
      <c r="M81" s="107"/>
      <c r="N81" s="107"/>
      <c r="O81" s="107"/>
      <c r="P81" s="107"/>
      <c r="Q81" s="107"/>
      <c r="R81" s="107"/>
    </row>
    <row r="82" spans="1:18" ht="15.75">
      <c r="A82" s="26" t="str">
        <v>Telegraph 1</v>
      </c>
      <c r="B82" s="27" t="str">
        <v>NY</v>
      </c>
      <c r="C82" s="9" t="str">
        <f>Sites[[#This Row],[SOL'#]]</f>
        <v>SOL-11003</v>
      </c>
      <c r="D82" s="9">
        <v>724888</v>
      </c>
      <c r="E82" s="14" t="s">
        <v>656</v>
      </c>
      <c r="F82" s="14" t="str">
        <f t="shared" si="4"/>
        <v/>
      </c>
      <c r="G82" s="15" t="str">
        <f t="shared" si="5"/>
        <v/>
      </c>
      <c r="H82" s="16">
        <v>758222</v>
      </c>
      <c r="I82" s="16">
        <f t="shared" si="6"/>
        <v>-33334</v>
      </c>
      <c r="J82" s="15">
        <f t="shared" si="7"/>
        <v>-4.3963377480474054E-2</v>
      </c>
      <c r="K82" s="139"/>
      <c r="L82" s="139"/>
      <c r="M82" s="107"/>
      <c r="N82" s="107"/>
      <c r="O82" s="107"/>
      <c r="P82" s="107"/>
      <c r="Q82" s="107"/>
      <c r="R82" s="107"/>
    </row>
    <row r="83" spans="1:18" ht="15.75">
      <c r="A83" s="24" t="str">
        <v>Telegraph 2</v>
      </c>
      <c r="B83" s="25" t="str">
        <v>NY</v>
      </c>
      <c r="C83" s="25" t="str">
        <f>Sites[[#This Row],[SOL'#]]</f>
        <v>SOL-11004</v>
      </c>
      <c r="D83" s="20">
        <v>383510</v>
      </c>
      <c r="E83" s="10" t="s">
        <v>656</v>
      </c>
      <c r="F83" s="10" t="str">
        <f t="shared" si="4"/>
        <v/>
      </c>
      <c r="G83" s="11" t="str">
        <f t="shared" si="5"/>
        <v/>
      </c>
      <c r="H83" s="12">
        <v>395820</v>
      </c>
      <c r="I83" s="12">
        <f t="shared" si="6"/>
        <v>-12310</v>
      </c>
      <c r="J83" s="13">
        <f t="shared" si="7"/>
        <v>-3.1099994947198221E-2</v>
      </c>
      <c r="K83" s="47"/>
      <c r="L83" s="47"/>
      <c r="M83" s="107"/>
      <c r="N83" s="107"/>
      <c r="O83" s="107"/>
      <c r="P83" s="107"/>
      <c r="Q83" s="107"/>
      <c r="R83" s="107"/>
    </row>
    <row r="84" spans="1:18" ht="15.75">
      <c r="A84" s="26" t="str">
        <v>Cafferty Hill</v>
      </c>
      <c r="B84" s="27" t="str">
        <v>NY</v>
      </c>
      <c r="C84" s="9" t="str">
        <f>Sites[[#This Row],[SOL'#]]</f>
        <v>SOL-10996</v>
      </c>
      <c r="D84" s="9">
        <v>887090</v>
      </c>
      <c r="E84" s="14" t="s">
        <v>656</v>
      </c>
      <c r="F84" s="14" t="str">
        <f t="shared" si="4"/>
        <v/>
      </c>
      <c r="G84" s="15" t="str">
        <f t="shared" si="5"/>
        <v/>
      </c>
      <c r="H84" s="16">
        <v>945865</v>
      </c>
      <c r="I84" s="16">
        <f t="shared" si="6"/>
        <v>-58775</v>
      </c>
      <c r="J84" s="15">
        <f t="shared" si="7"/>
        <v>-6.2138888742050924E-2</v>
      </c>
      <c r="K84" s="139"/>
      <c r="L84" s="139"/>
      <c r="M84" s="107"/>
      <c r="N84" s="107"/>
      <c r="O84" s="107"/>
      <c r="P84" s="107"/>
      <c r="Q84" s="107"/>
      <c r="R84" s="107"/>
    </row>
    <row r="85" spans="1:18" ht="57">
      <c r="A85" s="24" t="str">
        <v>Dunkleman</v>
      </c>
      <c r="B85" s="25" t="str">
        <v>NY</v>
      </c>
      <c r="C85" s="25" t="str">
        <f>Sites[[#This Row],[SOL'#]]</f>
        <v>SOL-11008</v>
      </c>
      <c r="D85" s="20">
        <v>1191520</v>
      </c>
      <c r="E85" s="10" t="s">
        <v>656</v>
      </c>
      <c r="F85" s="10" t="str">
        <f t="shared" si="4"/>
        <v/>
      </c>
      <c r="G85" s="11" t="str">
        <f t="shared" si="5"/>
        <v/>
      </c>
      <c r="H85" s="12">
        <v>1303096</v>
      </c>
      <c r="I85" s="12">
        <f t="shared" si="6"/>
        <v>-111576</v>
      </c>
      <c r="J85" s="13">
        <f t="shared" si="7"/>
        <v>-8.5623775991945331E-2</v>
      </c>
      <c r="K85" s="47" t="s">
        <v>1273</v>
      </c>
      <c r="L85" s="102" t="s">
        <v>1274</v>
      </c>
      <c r="M85" s="107"/>
      <c r="N85" s="107"/>
      <c r="O85" s="107"/>
      <c r="P85" s="107"/>
      <c r="Q85" s="107"/>
      <c r="R85" s="107"/>
    </row>
    <row r="86" spans="1:18" ht="28.5">
      <c r="A86" s="26" t="str">
        <v>Route 19 1</v>
      </c>
      <c r="B86" s="27" t="str">
        <v>NY</v>
      </c>
      <c r="C86" s="9" t="str">
        <f>Sites[[#This Row],[SOL'#]]</f>
        <v>SOL-11001</v>
      </c>
      <c r="D86" s="9">
        <v>485730</v>
      </c>
      <c r="E86" s="14" t="s">
        <v>656</v>
      </c>
      <c r="F86" s="14" t="str">
        <f t="shared" si="4"/>
        <v/>
      </c>
      <c r="G86" s="15" t="str">
        <f t="shared" si="5"/>
        <v/>
      </c>
      <c r="H86" s="16">
        <v>540517</v>
      </c>
      <c r="I86" s="16">
        <f t="shared" si="6"/>
        <v>-54787</v>
      </c>
      <c r="J86" s="15">
        <f t="shared" si="7"/>
        <v>-0.10136036424386281</v>
      </c>
      <c r="K86" s="139" t="s">
        <v>1174</v>
      </c>
      <c r="L86" s="88"/>
      <c r="M86" s="107"/>
      <c r="N86" s="107"/>
      <c r="O86" s="107"/>
      <c r="P86" s="107"/>
      <c r="Q86" s="107"/>
      <c r="R86" s="107"/>
    </row>
    <row r="87" spans="1:18" ht="28.5">
      <c r="A87" s="24" t="str">
        <v>Route 19 2</v>
      </c>
      <c r="B87" s="25" t="str">
        <v>NY</v>
      </c>
      <c r="C87" s="25" t="str">
        <f>Sites[[#This Row],[SOL'#]]</f>
        <v>SOL-11002</v>
      </c>
      <c r="D87" s="20">
        <v>1170370</v>
      </c>
      <c r="E87" s="10" t="s">
        <v>656</v>
      </c>
      <c r="F87" s="10" t="str">
        <f t="shared" si="4"/>
        <v/>
      </c>
      <c r="G87" s="11" t="str">
        <f t="shared" si="5"/>
        <v/>
      </c>
      <c r="H87" s="12">
        <v>1328891</v>
      </c>
      <c r="I87" s="12">
        <f t="shared" si="6"/>
        <v>-158521</v>
      </c>
      <c r="J87" s="13">
        <f t="shared" si="7"/>
        <v>-0.11928818842177424</v>
      </c>
      <c r="K87" s="47" t="s">
        <v>1174</v>
      </c>
      <c r="L87" s="47"/>
      <c r="M87" s="107"/>
      <c r="N87" s="107"/>
      <c r="O87" s="107"/>
      <c r="P87" s="107"/>
      <c r="Q87" s="107"/>
      <c r="R87" s="107"/>
    </row>
    <row r="88" spans="1:18" ht="128.25">
      <c r="A88" s="26" t="str">
        <v>Yellow Mills 1</v>
      </c>
      <c r="B88" s="27" t="str">
        <v>NY</v>
      </c>
      <c r="C88" s="9" t="str">
        <f>Sites[[#This Row],[SOL'#]]</f>
        <v>SOL-11006</v>
      </c>
      <c r="D88" s="9">
        <v>271062</v>
      </c>
      <c r="E88" s="14" t="s">
        <v>656</v>
      </c>
      <c r="F88" s="14" t="str">
        <f t="shared" si="4"/>
        <v/>
      </c>
      <c r="G88" s="15" t="str">
        <f t="shared" si="5"/>
        <v/>
      </c>
      <c r="H88" s="16">
        <v>404357</v>
      </c>
      <c r="I88" s="16">
        <f t="shared" si="6"/>
        <v>-133295</v>
      </c>
      <c r="J88" s="15">
        <f t="shared" si="7"/>
        <v>-0.32964682199145806</v>
      </c>
      <c r="K88" s="139" t="s">
        <v>1275</v>
      </c>
      <c r="L88" s="103" t="s">
        <v>1276</v>
      </c>
      <c r="M88" s="106" t="s">
        <v>1277</v>
      </c>
      <c r="N88" s="106" t="s">
        <v>1278</v>
      </c>
      <c r="O88" s="107"/>
      <c r="P88" s="107"/>
      <c r="Q88" s="107"/>
      <c r="R88" s="107"/>
    </row>
    <row r="89" spans="1:18" ht="57">
      <c r="A89" s="24" t="str">
        <v>Yellow Mills 2</v>
      </c>
      <c r="B89" s="25" t="str">
        <v>NY</v>
      </c>
      <c r="C89" s="25" t="str">
        <f>Sites[[#This Row],[SOL'#]]</f>
        <v>SOL-11005</v>
      </c>
      <c r="D89" s="20">
        <v>368106</v>
      </c>
      <c r="E89" s="10" t="s">
        <v>656</v>
      </c>
      <c r="F89" s="10" t="str">
        <f t="shared" si="4"/>
        <v/>
      </c>
      <c r="G89" s="11" t="str">
        <f t="shared" si="5"/>
        <v/>
      </c>
      <c r="H89" s="12">
        <v>418478</v>
      </c>
      <c r="I89" s="12">
        <f t="shared" si="6"/>
        <v>-50372</v>
      </c>
      <c r="J89" s="13">
        <f t="shared" si="7"/>
        <v>-0.12036952958100545</v>
      </c>
      <c r="K89" s="47" t="s">
        <v>1279</v>
      </c>
      <c r="L89" s="102" t="s">
        <v>1280</v>
      </c>
      <c r="M89" s="107"/>
      <c r="N89" s="107"/>
      <c r="O89" s="107"/>
      <c r="P89" s="107"/>
      <c r="Q89" s="107"/>
      <c r="R89" s="107"/>
    </row>
    <row r="90" spans="1:18" ht="42.75">
      <c r="A90" s="26" t="str">
        <v>Yellow Mills 3</v>
      </c>
      <c r="B90" s="27" t="str">
        <v>NY</v>
      </c>
      <c r="C90" s="9" t="str">
        <f>Sites[[#This Row],[SOL'#]]</f>
        <v>SOL-11007</v>
      </c>
      <c r="D90" s="9">
        <v>351235</v>
      </c>
      <c r="E90" s="14" t="s">
        <v>656</v>
      </c>
      <c r="F90" s="14" t="str">
        <f t="shared" si="4"/>
        <v/>
      </c>
      <c r="G90" s="15" t="str">
        <f t="shared" si="5"/>
        <v/>
      </c>
      <c r="H90" s="16">
        <v>398512</v>
      </c>
      <c r="I90" s="16">
        <f t="shared" si="6"/>
        <v>-47277</v>
      </c>
      <c r="J90" s="15">
        <f t="shared" si="7"/>
        <v>-0.11863381780222428</v>
      </c>
      <c r="K90" s="139" t="s">
        <v>1281</v>
      </c>
      <c r="L90" s="103" t="s">
        <v>1282</v>
      </c>
      <c r="M90" s="107"/>
      <c r="N90" s="107"/>
      <c r="O90" s="107"/>
      <c r="P90" s="107"/>
      <c r="Q90" s="107"/>
      <c r="R90" s="107"/>
    </row>
    <row r="91" spans="1:18" ht="57">
      <c r="A91" s="24" t="str">
        <v>Catskill</v>
      </c>
      <c r="B91" s="25" t="str">
        <v>NY</v>
      </c>
      <c r="C91" s="25" t="str">
        <f>Sites[[#This Row],[SOL'#]]</f>
        <v>SOL-11021</v>
      </c>
      <c r="D91" s="20">
        <v>676307</v>
      </c>
      <c r="E91" s="10" t="s">
        <v>656</v>
      </c>
      <c r="F91" s="10" t="str">
        <f t="shared" si="4"/>
        <v/>
      </c>
      <c r="G91" s="11" t="str">
        <f t="shared" si="5"/>
        <v/>
      </c>
      <c r="H91" s="12">
        <v>722557</v>
      </c>
      <c r="I91" s="12">
        <f t="shared" si="6"/>
        <v>-46250</v>
      </c>
      <c r="J91" s="13">
        <f t="shared" si="7"/>
        <v>-6.4008791001955556E-2</v>
      </c>
      <c r="K91" s="47" t="s">
        <v>1283</v>
      </c>
      <c r="L91" s="102" t="s">
        <v>1284</v>
      </c>
      <c r="M91" s="107"/>
      <c r="N91" s="107"/>
      <c r="O91" s="107"/>
      <c r="P91" s="107"/>
      <c r="Q91" s="107"/>
      <c r="R91" s="107"/>
    </row>
    <row r="92" spans="1:18" ht="15.75">
      <c r="A92" s="26" t="str">
        <v>Eddy Ridge</v>
      </c>
      <c r="B92" s="27" t="str">
        <v>NY</v>
      </c>
      <c r="C92" s="9" t="str">
        <f>Sites[[#This Row],[SOL'#]]</f>
        <v>SOL-11054</v>
      </c>
      <c r="D92" s="9">
        <v>615336</v>
      </c>
      <c r="E92" s="14" t="s">
        <v>656</v>
      </c>
      <c r="F92" s="14" t="str">
        <f t="shared" si="4"/>
        <v/>
      </c>
      <c r="G92" s="15" t="str">
        <f t="shared" si="5"/>
        <v/>
      </c>
      <c r="H92" s="16">
        <v>626850</v>
      </c>
      <c r="I92" s="16">
        <f t="shared" si="6"/>
        <v>-11514</v>
      </c>
      <c r="J92" s="15">
        <f t="shared" si="7"/>
        <v>-1.8368030629337163E-2</v>
      </c>
      <c r="K92" s="139" t="s">
        <v>1285</v>
      </c>
      <c r="L92" s="103" t="s">
        <v>1286</v>
      </c>
      <c r="M92" s="107"/>
      <c r="N92" s="107"/>
      <c r="O92" s="107"/>
      <c r="P92" s="107"/>
      <c r="Q92" s="107"/>
      <c r="R92" s="107"/>
    </row>
    <row r="93" spans="1:18" ht="15.75">
      <c r="A93" s="24" t="str">
        <v>Ridgeway #1</v>
      </c>
      <c r="B93" s="25" t="str">
        <v>NY</v>
      </c>
      <c r="C93" s="25" t="str">
        <f>Sites[[#This Row],[SOL'#]]</f>
        <v>SOL-11018</v>
      </c>
      <c r="D93" s="20">
        <v>1316830</v>
      </c>
      <c r="E93" s="10" t="s">
        <v>656</v>
      </c>
      <c r="F93" s="10" t="str">
        <f t="shared" si="4"/>
        <v/>
      </c>
      <c r="G93" s="11" t="str">
        <f t="shared" si="5"/>
        <v/>
      </c>
      <c r="H93" s="12">
        <v>1266592.7</v>
      </c>
      <c r="I93" s="12">
        <f t="shared" si="6"/>
        <v>50237.300000000047</v>
      </c>
      <c r="J93" s="13">
        <f t="shared" si="7"/>
        <v>3.9663342446233936E-2</v>
      </c>
      <c r="K93" s="47"/>
      <c r="L93" s="47"/>
      <c r="M93" s="107"/>
      <c r="N93" s="107"/>
      <c r="O93" s="107"/>
      <c r="P93" s="107"/>
      <c r="Q93" s="107"/>
      <c r="R93" s="107"/>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39" t="s">
        <v>1287</v>
      </c>
      <c r="L94" s="103" t="s">
        <v>1288</v>
      </c>
      <c r="M94" s="107"/>
      <c r="N94" s="107"/>
      <c r="O94" s="107"/>
      <c r="P94" s="107"/>
      <c r="Q94" s="107"/>
      <c r="R94" s="107"/>
    </row>
    <row r="95" spans="1:18" ht="99.75">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1289</v>
      </c>
      <c r="L95" s="102" t="s">
        <v>1290</v>
      </c>
      <c r="M95" s="106" t="s">
        <v>1291</v>
      </c>
      <c r="N95" s="106" t="s">
        <v>1291</v>
      </c>
      <c r="O95" s="107"/>
      <c r="P95" s="107"/>
      <c r="Q95" s="107"/>
      <c r="R95" s="107"/>
    </row>
    <row r="96" spans="1:18" ht="15.75">
      <c r="A96" s="24" t="str">
        <v>Ridgeway #2</v>
      </c>
      <c r="B96" s="25" t="str">
        <v>NY</v>
      </c>
      <c r="C96" s="25" t="str">
        <f>Sites[[#This Row],[SOL'#]]</f>
        <v>SOL-11027</v>
      </c>
      <c r="D96" s="20">
        <v>659346</v>
      </c>
      <c r="E96" s="10" t="s">
        <v>656</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7"/>
      <c r="N96" s="107"/>
      <c r="O96" s="107"/>
      <c r="P96" s="107"/>
      <c r="Q96" s="107"/>
      <c r="R96" s="107"/>
    </row>
    <row r="97" spans="1:18" ht="15.75">
      <c r="A97" s="26" t="str">
        <v>Spencer</v>
      </c>
      <c r="B97" s="27" t="str">
        <v>NY</v>
      </c>
      <c r="C97" s="9" t="str">
        <f>Sites[[#This Row],[SOL'#]]</f>
        <v>SOL-11017</v>
      </c>
      <c r="D97" s="66">
        <v>1160891</v>
      </c>
      <c r="E97" s="14" t="s">
        <v>656</v>
      </c>
      <c r="F97" s="14" t="str">
        <f t="shared" si="8"/>
        <v/>
      </c>
      <c r="G97" s="68" t="str">
        <f t="shared" si="9"/>
        <v/>
      </c>
      <c r="H97" s="69">
        <v>1233800</v>
      </c>
      <c r="I97" s="69">
        <f t="shared" si="6"/>
        <v>-72909</v>
      </c>
      <c r="J97" s="68">
        <f t="shared" si="7"/>
        <v>-5.9093045874533963E-2</v>
      </c>
      <c r="K97" s="139" t="s">
        <v>1292</v>
      </c>
      <c r="L97" s="106" t="s">
        <v>1293</v>
      </c>
      <c r="M97" s="107"/>
      <c r="N97" s="107"/>
      <c r="O97" s="107"/>
      <c r="P97" s="107"/>
      <c r="Q97" s="107"/>
      <c r="R97" s="107"/>
    </row>
    <row r="98" spans="1:18" ht="15.75">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11" t="s">
        <v>1294</v>
      </c>
      <c r="L98" s="102" t="s">
        <v>1295</v>
      </c>
      <c r="M98" s="107"/>
      <c r="N98" s="107"/>
      <c r="O98" s="107"/>
      <c r="P98" s="107"/>
      <c r="Q98" s="107"/>
      <c r="R98" s="107"/>
    </row>
    <row r="99" spans="1:18" ht="114">
      <c r="A99" s="26" t="str">
        <v>Finney</v>
      </c>
      <c r="B99" s="27" t="str">
        <v>NY</v>
      </c>
      <c r="C99" s="9" t="str">
        <f>Sites[[#This Row],[SOL'#]]</f>
        <v>SOL-10999</v>
      </c>
      <c r="D99" s="66">
        <v>1023680</v>
      </c>
      <c r="E99" s="14" t="s">
        <v>656</v>
      </c>
      <c r="F99" s="14" t="str">
        <f t="shared" si="8"/>
        <v/>
      </c>
      <c r="G99" s="68" t="str">
        <f t="shared" si="9"/>
        <v/>
      </c>
      <c r="H99" s="69">
        <v>1241407</v>
      </c>
      <c r="I99" s="69">
        <f t="shared" si="6"/>
        <v>-217727</v>
      </c>
      <c r="J99" s="68">
        <f t="shared" si="7"/>
        <v>-0.17538728233367462</v>
      </c>
      <c r="K99" s="139" t="s">
        <v>1296</v>
      </c>
      <c r="L99" s="105" t="s">
        <v>1297</v>
      </c>
      <c r="M99" s="106" t="s">
        <v>1298</v>
      </c>
      <c r="N99" s="106" t="s">
        <v>1299</v>
      </c>
      <c r="O99" s="106" t="s">
        <v>1300</v>
      </c>
      <c r="P99" s="107"/>
      <c r="Q99" s="107"/>
      <c r="R99" s="107"/>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11" t="s">
        <v>1301</v>
      </c>
      <c r="L100" s="102" t="s">
        <v>1302</v>
      </c>
      <c r="M100" s="106" t="s">
        <v>1303</v>
      </c>
      <c r="N100" s="107"/>
      <c r="O100" s="107"/>
      <c r="P100" s="107"/>
      <c r="Q100" s="107"/>
      <c r="R100" s="107"/>
    </row>
    <row r="101" spans="1:18" ht="57">
      <c r="A101" s="26" t="str">
        <v>Genesee</v>
      </c>
      <c r="B101" s="27" t="str">
        <v>NY</v>
      </c>
      <c r="C101" s="9" t="str">
        <f>Sites[[#This Row],[SOL'#]]</f>
        <v>SOL-10951</v>
      </c>
      <c r="D101" s="66">
        <v>706865</v>
      </c>
      <c r="E101" s="14" t="s">
        <v>656</v>
      </c>
      <c r="F101" s="14" t="str">
        <f t="shared" si="8"/>
        <v/>
      </c>
      <c r="G101" s="68" t="str">
        <f t="shared" si="9"/>
        <v/>
      </c>
      <c r="H101" s="69">
        <v>958340</v>
      </c>
      <c r="I101" s="69">
        <f t="shared" si="6"/>
        <v>-251475</v>
      </c>
      <c r="J101" s="68">
        <f t="shared" si="7"/>
        <v>-0.26240687021307679</v>
      </c>
      <c r="K101" s="139" t="s">
        <v>1304</v>
      </c>
      <c r="L101" s="105" t="s">
        <v>1305</v>
      </c>
      <c r="M101" s="106" t="s">
        <v>1306</v>
      </c>
      <c r="N101" s="106" t="s">
        <v>1307</v>
      </c>
      <c r="O101" s="107"/>
      <c r="P101" s="107"/>
      <c r="Q101" s="107"/>
      <c r="R101" s="107"/>
    </row>
    <row r="102" spans="1:18" ht="15.75">
      <c r="A102" s="24" t="str">
        <v>Landau I</v>
      </c>
      <c r="B102" s="25" t="str">
        <v>NY</v>
      </c>
      <c r="C102" s="25" t="str">
        <f>Sites[[#This Row],[SOL'#]]</f>
        <v>SOL-10891</v>
      </c>
      <c r="D102" s="54">
        <v>378150</v>
      </c>
      <c r="E102" s="10" t="s">
        <v>656</v>
      </c>
      <c r="F102" s="10" t="str">
        <f t="shared" si="8"/>
        <v/>
      </c>
      <c r="G102" s="55" t="str">
        <f t="shared" si="9"/>
        <v/>
      </c>
      <c r="H102" s="67">
        <v>415759</v>
      </c>
      <c r="I102" s="67">
        <f t="shared" si="6"/>
        <v>-37609</v>
      </c>
      <c r="J102" s="64">
        <f t="shared" si="7"/>
        <v>-9.0458655134344659E-2</v>
      </c>
      <c r="K102" s="111"/>
      <c r="L102" s="47"/>
      <c r="M102" s="107"/>
      <c r="N102" s="107"/>
      <c r="O102" s="107"/>
      <c r="P102" s="107"/>
      <c r="Q102" s="107"/>
      <c r="R102" s="107"/>
    </row>
    <row r="103" spans="1:18" ht="42.75">
      <c r="A103" s="26" t="str">
        <v>Landau II</v>
      </c>
      <c r="B103" s="27" t="str">
        <v>NY</v>
      </c>
      <c r="C103" s="9" t="str">
        <f>Sites[[#This Row],[SOL'#]]</f>
        <v>SOL-10895</v>
      </c>
      <c r="D103" s="66">
        <v>22460</v>
      </c>
      <c r="E103" s="14" t="s">
        <v>656</v>
      </c>
      <c r="F103" s="14" t="str">
        <f t="shared" si="8"/>
        <v/>
      </c>
      <c r="G103" s="68" t="str">
        <f t="shared" si="9"/>
        <v/>
      </c>
      <c r="H103" s="69"/>
      <c r="I103" s="69" t="str">
        <f t="shared" si="6"/>
        <v/>
      </c>
      <c r="J103" s="68" t="str">
        <f t="shared" si="7"/>
        <v/>
      </c>
      <c r="K103" s="139" t="s">
        <v>1308</v>
      </c>
      <c r="L103" s="106" t="s">
        <v>1309</v>
      </c>
      <c r="M103" s="106" t="s">
        <v>1048</v>
      </c>
      <c r="N103" s="106" t="s">
        <v>1310</v>
      </c>
      <c r="O103" s="107"/>
      <c r="P103" s="107"/>
      <c r="Q103" s="107"/>
      <c r="R103" s="107"/>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8" si="10">IF(AND(ISNUMBER(D104),ISNUMBER(H104)), D104-H104, "")</f>
        <v>-339465</v>
      </c>
      <c r="J104" s="64">
        <f t="shared" ref="J104:J158" si="11">IFERROR(I104/H104, "")</f>
        <v>-0.84260626745268385</v>
      </c>
      <c r="K104" s="111" t="s">
        <v>1311</v>
      </c>
      <c r="L104" s="102" t="s">
        <v>1051</v>
      </c>
      <c r="M104" s="107"/>
      <c r="N104" s="107"/>
      <c r="O104" s="107"/>
      <c r="P104" s="107"/>
      <c r="Q104" s="107"/>
      <c r="R104" s="107"/>
    </row>
    <row r="105" spans="1:18" ht="15.75">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39"/>
      <c r="L105" s="91"/>
      <c r="M105" s="107"/>
      <c r="N105" s="107"/>
      <c r="O105" s="107"/>
      <c r="P105" s="107"/>
      <c r="Q105" s="107"/>
      <c r="R105" s="107"/>
    </row>
    <row r="106" spans="1:18" ht="85.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11" t="s">
        <v>1312</v>
      </c>
      <c r="L106" s="102" t="s">
        <v>1054</v>
      </c>
      <c r="M106" s="106" t="s">
        <v>540</v>
      </c>
      <c r="N106" s="107"/>
      <c r="O106" s="107"/>
      <c r="P106" s="107"/>
      <c r="Q106" s="107"/>
      <c r="R106" s="107"/>
    </row>
    <row r="107" spans="1:18" ht="28.5">
      <c r="A107" s="26" t="str">
        <v>Svenski</v>
      </c>
      <c r="B107" s="27" t="str">
        <v>NY</v>
      </c>
      <c r="C107" s="9" t="str">
        <f>Sites[[#This Row],[SOL'#]]</f>
        <v>SOL-10894</v>
      </c>
      <c r="D107" s="66">
        <v>365745</v>
      </c>
      <c r="E107" s="14" t="s">
        <v>656</v>
      </c>
      <c r="F107" s="14" t="str">
        <f t="shared" si="8"/>
        <v/>
      </c>
      <c r="G107" s="68" t="str">
        <f t="shared" si="9"/>
        <v/>
      </c>
      <c r="H107" s="69">
        <v>437648</v>
      </c>
      <c r="I107" s="69">
        <f t="shared" si="10"/>
        <v>-71903</v>
      </c>
      <c r="J107" s="68">
        <f t="shared" si="11"/>
        <v>-0.1642941359265894</v>
      </c>
      <c r="K107" s="139" t="s">
        <v>1313</v>
      </c>
      <c r="L107" s="106" t="s">
        <v>1314</v>
      </c>
      <c r="M107" s="107"/>
      <c r="N107" s="107"/>
      <c r="O107" s="107"/>
      <c r="P107" s="107"/>
      <c r="Q107" s="107"/>
      <c r="R107" s="107"/>
    </row>
    <row r="108" spans="1:18" ht="142.5">
      <c r="A108" s="24" t="str">
        <v>Bantam</v>
      </c>
      <c r="B108" s="25" t="str">
        <v>NY</v>
      </c>
      <c r="C108" s="25" t="str">
        <f>Sites[[#This Row],[SOL'#]]</f>
        <v>SOL-10986</v>
      </c>
      <c r="D108" s="54">
        <v>94580</v>
      </c>
      <c r="E108" s="10" t="s">
        <v>656</v>
      </c>
      <c r="F108" s="10" t="str">
        <f t="shared" si="8"/>
        <v/>
      </c>
      <c r="G108" s="55" t="str">
        <f t="shared" si="9"/>
        <v/>
      </c>
      <c r="H108" s="67">
        <v>1178744</v>
      </c>
      <c r="I108" s="67">
        <f t="shared" si="10"/>
        <v>-1084164</v>
      </c>
      <c r="J108" s="64">
        <f t="shared" si="11"/>
        <v>-0.91976205181108028</v>
      </c>
      <c r="K108" s="111" t="s">
        <v>1315</v>
      </c>
      <c r="L108" s="102" t="s">
        <v>1316</v>
      </c>
      <c r="M108" s="106" t="s">
        <v>1063</v>
      </c>
      <c r="N108" s="106" t="s">
        <v>1064</v>
      </c>
      <c r="O108" s="107"/>
      <c r="P108" s="107"/>
      <c r="Q108" s="107"/>
      <c r="R108" s="107"/>
    </row>
    <row r="109" spans="1:18" ht="28.5">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39" t="s">
        <v>1317</v>
      </c>
      <c r="L109" s="106" t="s">
        <v>1318</v>
      </c>
      <c r="M109" s="107"/>
      <c r="N109" s="107"/>
      <c r="O109" s="107"/>
      <c r="P109" s="107"/>
      <c r="Q109" s="107"/>
      <c r="R109" s="107"/>
    </row>
    <row r="110" spans="1:18" ht="114">
      <c r="A110" s="24" t="str">
        <v>Dubois</v>
      </c>
      <c r="B110" s="25" t="str">
        <v>NY</v>
      </c>
      <c r="C110" s="25" t="str">
        <f>Sites[[#This Row],[SOL'#]]</f>
        <v>SOL-10892</v>
      </c>
      <c r="D110" s="54">
        <v>275800</v>
      </c>
      <c r="E110" s="10" t="s">
        <v>656</v>
      </c>
      <c r="F110" s="10" t="str">
        <f t="shared" si="8"/>
        <v/>
      </c>
      <c r="G110" s="55" t="str">
        <f t="shared" si="9"/>
        <v/>
      </c>
      <c r="H110" s="67"/>
      <c r="I110" s="67" t="str">
        <f t="shared" si="10"/>
        <v/>
      </c>
      <c r="J110" s="64" t="str">
        <f t="shared" si="11"/>
        <v/>
      </c>
      <c r="K110" s="111" t="s">
        <v>1319</v>
      </c>
      <c r="L110" s="102" t="s">
        <v>1320</v>
      </c>
      <c r="M110" s="106" t="s">
        <v>1321</v>
      </c>
      <c r="N110" s="106" t="s">
        <v>1322</v>
      </c>
      <c r="O110" s="106" t="s">
        <v>1323</v>
      </c>
      <c r="P110" s="107"/>
      <c r="Q110" s="107"/>
      <c r="R110" s="107"/>
    </row>
    <row r="111" spans="1:18" ht="85.5">
      <c r="A111" s="26" t="str">
        <v>Salt Point</v>
      </c>
      <c r="B111" s="27" t="str">
        <v>NY</v>
      </c>
      <c r="C111" s="9" t="str">
        <f>Sites[[#This Row],[SOL'#]]</f>
        <v>SOL-10888</v>
      </c>
      <c r="D111" s="66">
        <v>385040</v>
      </c>
      <c r="E111" s="14" t="s">
        <v>656</v>
      </c>
      <c r="F111" s="14" t="str">
        <f t="shared" si="8"/>
        <v/>
      </c>
      <c r="G111" s="68" t="str">
        <f t="shared" si="9"/>
        <v/>
      </c>
      <c r="H111" s="69">
        <v>482846</v>
      </c>
      <c r="I111" s="69">
        <f t="shared" si="10"/>
        <v>-97806</v>
      </c>
      <c r="J111" s="68">
        <f t="shared" si="11"/>
        <v>-0.20256147922940235</v>
      </c>
      <c r="K111" s="139" t="s">
        <v>1324</v>
      </c>
      <c r="L111" s="105" t="s">
        <v>1325</v>
      </c>
      <c r="M111" s="106" t="s">
        <v>1326</v>
      </c>
      <c r="N111" s="107"/>
      <c r="O111" s="107"/>
      <c r="P111" s="107"/>
      <c r="Q111" s="107"/>
      <c r="R111" s="107"/>
    </row>
    <row r="112" spans="1:18" ht="142.5">
      <c r="A112" s="24" t="str">
        <v>Wheatland 2A</v>
      </c>
      <c r="B112" s="25" t="str">
        <v>NY</v>
      </c>
      <c r="C112" s="25" t="str">
        <f>Sites[[#This Row],[SOL'#]]</f>
        <v>SOL-10971</v>
      </c>
      <c r="D112" s="54">
        <v>864380</v>
      </c>
      <c r="E112" s="10" t="s">
        <v>656</v>
      </c>
      <c r="F112" s="10" t="str">
        <f t="shared" si="8"/>
        <v/>
      </c>
      <c r="G112" s="55" t="str">
        <f t="shared" si="9"/>
        <v/>
      </c>
      <c r="H112" s="67">
        <v>1095784</v>
      </c>
      <c r="I112" s="67">
        <f t="shared" si="10"/>
        <v>-231404</v>
      </c>
      <c r="J112" s="64">
        <f t="shared" si="11"/>
        <v>-0.2111766552532251</v>
      </c>
      <c r="K112" s="111" t="s">
        <v>1327</v>
      </c>
      <c r="L112" s="102" t="s">
        <v>1328</v>
      </c>
      <c r="M112" s="106" t="s">
        <v>552</v>
      </c>
      <c r="N112" s="106" t="s">
        <v>1082</v>
      </c>
      <c r="O112" s="106" t="s">
        <v>1329</v>
      </c>
      <c r="P112" s="107"/>
      <c r="Q112" s="107"/>
      <c r="R112" s="107"/>
    </row>
    <row r="113" spans="1:18" ht="28.5">
      <c r="A113" s="26" t="str">
        <v>Wheatland 2B</v>
      </c>
      <c r="B113" s="27" t="str">
        <v>NY</v>
      </c>
      <c r="C113" s="9" t="str">
        <f>Sites[[#This Row],[SOL'#]]</f>
        <v>SOL-10961</v>
      </c>
      <c r="D113" s="66">
        <v>1027920</v>
      </c>
      <c r="E113" s="14" t="s">
        <v>656</v>
      </c>
      <c r="F113" s="14" t="str">
        <f t="shared" si="8"/>
        <v/>
      </c>
      <c r="G113" s="68" t="str">
        <f t="shared" si="9"/>
        <v/>
      </c>
      <c r="H113" s="69">
        <v>1088223</v>
      </c>
      <c r="I113" s="69">
        <f t="shared" si="10"/>
        <v>-60303</v>
      </c>
      <c r="J113" s="68">
        <f t="shared" si="11"/>
        <v>-5.5414193598187139E-2</v>
      </c>
      <c r="K113" s="139" t="s">
        <v>1330</v>
      </c>
      <c r="L113" s="106" t="s">
        <v>1084</v>
      </c>
      <c r="M113" s="107"/>
      <c r="N113" s="107"/>
      <c r="O113" s="107"/>
      <c r="P113" s="107"/>
      <c r="Q113" s="107"/>
      <c r="R113" s="107"/>
    </row>
    <row r="114" spans="1:18" ht="57">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11" t="s">
        <v>1085</v>
      </c>
      <c r="L114" s="102" t="s">
        <v>1331</v>
      </c>
      <c r="M114" s="106" t="s">
        <v>561</v>
      </c>
      <c r="N114" s="107"/>
      <c r="O114" s="107"/>
      <c r="P114" s="107"/>
      <c r="Q114" s="107"/>
      <c r="R114" s="107"/>
    </row>
    <row r="115" spans="1:18" ht="15.75">
      <c r="A115" s="26" t="str">
        <v>McCarthy Solar</v>
      </c>
      <c r="B115" s="27" t="str">
        <v>NY</v>
      </c>
      <c r="C115" s="9" t="str">
        <f>Sites[[#This Row],[SOL'#]]</f>
        <v>SOL-10992</v>
      </c>
      <c r="D115" s="66">
        <v>283530</v>
      </c>
      <c r="E115" s="14" t="s">
        <v>656</v>
      </c>
      <c r="F115" s="14" t="str">
        <f t="shared" si="8"/>
        <v/>
      </c>
      <c r="G115" s="68" t="str">
        <f t="shared" si="9"/>
        <v/>
      </c>
      <c r="H115" s="69">
        <v>418645</v>
      </c>
      <c r="I115" s="69">
        <f t="shared" si="10"/>
        <v>-135115</v>
      </c>
      <c r="J115" s="68">
        <f t="shared" si="11"/>
        <v>-0.32274361332393792</v>
      </c>
      <c r="K115" s="139" t="s">
        <v>1332</v>
      </c>
      <c r="L115" s="106" t="s">
        <v>1333</v>
      </c>
      <c r="M115" s="107"/>
      <c r="N115" s="107"/>
      <c r="O115" s="107"/>
      <c r="P115" s="107"/>
      <c r="Q115" s="107"/>
      <c r="R115" s="107"/>
    </row>
    <row r="116" spans="1:18" ht="85.5">
      <c r="A116" s="24" t="str">
        <v>Costanza</v>
      </c>
      <c r="B116" s="25" t="str">
        <v>NY</v>
      </c>
      <c r="C116" s="25" t="str">
        <f>Sites[[#This Row],[SOL'#]]</f>
        <v>SOL-10907</v>
      </c>
      <c r="D116" s="54">
        <v>364360</v>
      </c>
      <c r="E116" s="10" t="s">
        <v>656</v>
      </c>
      <c r="F116" s="10" t="str">
        <f t="shared" si="8"/>
        <v/>
      </c>
      <c r="G116" s="55" t="str">
        <f t="shared" si="9"/>
        <v/>
      </c>
      <c r="H116" s="67">
        <v>414587</v>
      </c>
      <c r="I116" s="67">
        <f t="shared" si="10"/>
        <v>-50227</v>
      </c>
      <c r="J116" s="64">
        <f t="shared" si="11"/>
        <v>-0.12114948129101974</v>
      </c>
      <c r="K116" s="111" t="s">
        <v>1334</v>
      </c>
      <c r="L116" s="102" t="s">
        <v>1335</v>
      </c>
      <c r="M116" s="106" t="s">
        <v>1336</v>
      </c>
      <c r="N116" s="106" t="s">
        <v>1337</v>
      </c>
      <c r="O116" s="107"/>
      <c r="P116" s="107"/>
      <c r="Q116" s="107"/>
      <c r="R116" s="107"/>
    </row>
    <row r="117" spans="1:18" ht="85.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39" t="s">
        <v>1338</v>
      </c>
      <c r="L117" s="91"/>
      <c r="M117" s="107"/>
      <c r="N117" s="107"/>
      <c r="O117" s="107"/>
      <c r="P117" s="107"/>
      <c r="Q117" s="107"/>
      <c r="R117" s="107"/>
    </row>
    <row r="118" spans="1:18" ht="15.75">
      <c r="A118" s="24" t="str">
        <v>Drinkwater</v>
      </c>
      <c r="B118" s="25" t="str">
        <v>NY</v>
      </c>
      <c r="C118" s="25" t="str">
        <f>Sites[[#This Row],[SOL'#]]</f>
        <v>SOL-10896</v>
      </c>
      <c r="D118" s="54">
        <v>392340</v>
      </c>
      <c r="E118" s="10" t="s">
        <v>656</v>
      </c>
      <c r="F118" s="10" t="str">
        <f t="shared" si="8"/>
        <v/>
      </c>
      <c r="G118" s="55" t="str">
        <f t="shared" si="9"/>
        <v/>
      </c>
      <c r="H118" s="67">
        <v>416568</v>
      </c>
      <c r="I118" s="67">
        <f t="shared" si="10"/>
        <v>-24228</v>
      </c>
      <c r="J118" s="64">
        <f t="shared" si="11"/>
        <v>-5.8160972518292331E-2</v>
      </c>
      <c r="K118" s="111"/>
      <c r="L118" s="47"/>
      <c r="M118" s="107"/>
      <c r="N118" s="107"/>
      <c r="O118" s="107"/>
      <c r="P118" s="107"/>
      <c r="Q118" s="107"/>
      <c r="R118" s="107"/>
    </row>
    <row r="119" spans="1:18" ht="15.75">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39"/>
      <c r="L119" s="91"/>
      <c r="M119" s="107"/>
      <c r="N119" s="107"/>
      <c r="O119" s="107"/>
      <c r="P119" s="107"/>
      <c r="Q119" s="107"/>
      <c r="R119" s="107"/>
    </row>
    <row r="120" spans="1:18" ht="28.5">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11" t="s">
        <v>1339</v>
      </c>
      <c r="L120" s="102" t="s">
        <v>1340</v>
      </c>
      <c r="M120" s="107"/>
      <c r="N120" s="107"/>
      <c r="O120" s="107"/>
      <c r="P120" s="107"/>
      <c r="Q120" s="107"/>
      <c r="R120" s="107"/>
    </row>
    <row r="121" spans="1:18" ht="28.5">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39" t="s">
        <v>1341</v>
      </c>
      <c r="L121" s="106" t="s">
        <v>1342</v>
      </c>
      <c r="M121" s="107"/>
      <c r="N121" s="107"/>
      <c r="O121" s="107"/>
      <c r="P121" s="107"/>
      <c r="Q121" s="107"/>
      <c r="R121" s="107"/>
    </row>
    <row r="122" spans="1:18" ht="15.75">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11"/>
      <c r="L122" s="47"/>
      <c r="M122" s="107"/>
      <c r="N122" s="107"/>
      <c r="O122" s="107"/>
      <c r="P122" s="107"/>
      <c r="Q122" s="107"/>
      <c r="R122" s="107"/>
    </row>
    <row r="123" spans="1:18" ht="42.7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39" t="s">
        <v>1343</v>
      </c>
      <c r="L123" s="105" t="s">
        <v>1344</v>
      </c>
      <c r="M123" s="106" t="s">
        <v>1345</v>
      </c>
      <c r="N123" s="107"/>
      <c r="O123" s="107"/>
      <c r="P123" s="107"/>
      <c r="Q123" s="107"/>
      <c r="R123" s="107"/>
    </row>
    <row r="124" spans="1:18" ht="85.5">
      <c r="A124" s="24" t="str">
        <v>X095</v>
      </c>
      <c r="B124" s="25" t="str">
        <v>NY</v>
      </c>
      <c r="C124" s="25" t="str">
        <f>Sites[[#This Row],[SOL'#]]</f>
        <v>SOL-10929</v>
      </c>
      <c r="D124" s="54">
        <v>19363.9609375</v>
      </c>
      <c r="E124" s="10" t="s">
        <v>656</v>
      </c>
      <c r="F124" s="10" t="str">
        <f t="shared" si="8"/>
        <v/>
      </c>
      <c r="G124" s="55" t="str">
        <f t="shared" si="9"/>
        <v/>
      </c>
      <c r="H124" s="67">
        <v>21772</v>
      </c>
      <c r="I124" s="67">
        <f t="shared" si="10"/>
        <v>-2408.0390625</v>
      </c>
      <c r="J124" s="64">
        <f t="shared" si="11"/>
        <v>-0.11060256579551718</v>
      </c>
      <c r="K124" s="111" t="s">
        <v>1346</v>
      </c>
      <c r="L124" s="102" t="s">
        <v>180</v>
      </c>
      <c r="M124" s="107"/>
      <c r="N124" s="107"/>
      <c r="O124" s="107"/>
      <c r="P124" s="107"/>
      <c r="Q124" s="107"/>
      <c r="R124" s="107"/>
    </row>
    <row r="125" spans="1:18" ht="15.75">
      <c r="A125" s="26" t="str">
        <v>X181</v>
      </c>
      <c r="B125" s="27" t="str">
        <v>NY</v>
      </c>
      <c r="C125" s="9" t="str">
        <f>Sites[[#This Row],[SOL'#]]</f>
        <v>SOL-10428</v>
      </c>
      <c r="D125" s="66">
        <v>31533.84375</v>
      </c>
      <c r="E125" s="14" t="s">
        <v>656</v>
      </c>
      <c r="F125" s="14" t="str">
        <f t="shared" si="8"/>
        <v/>
      </c>
      <c r="G125" s="68" t="str">
        <f t="shared" si="9"/>
        <v/>
      </c>
      <c r="H125" s="69">
        <v>40286</v>
      </c>
      <c r="I125" s="69">
        <f t="shared" si="10"/>
        <v>-8752.15625</v>
      </c>
      <c r="J125" s="68">
        <f t="shared" si="11"/>
        <v>-0.217250564712307</v>
      </c>
      <c r="K125" s="139" t="s">
        <v>1347</v>
      </c>
      <c r="L125" s="106" t="s">
        <v>1348</v>
      </c>
      <c r="M125" s="107"/>
      <c r="N125" s="107"/>
      <c r="O125" s="107"/>
      <c r="P125" s="107"/>
      <c r="Q125" s="107"/>
      <c r="R125" s="107"/>
    </row>
    <row r="126" spans="1:18" ht="15.75">
      <c r="A126" s="24" t="str">
        <v>X415</v>
      </c>
      <c r="B126" s="25" t="str">
        <v>NY</v>
      </c>
      <c r="C126" s="25" t="str">
        <f>Sites[[#This Row],[SOL'#]]</f>
        <v>SOL-10429</v>
      </c>
      <c r="D126" s="54">
        <v>22569.3984375</v>
      </c>
      <c r="E126" s="10" t="s">
        <v>656</v>
      </c>
      <c r="F126" s="10" t="str">
        <f t="shared" si="8"/>
        <v/>
      </c>
      <c r="G126" s="55" t="str">
        <f t="shared" si="9"/>
        <v/>
      </c>
      <c r="H126" s="67">
        <v>23788</v>
      </c>
      <c r="I126" s="67">
        <f t="shared" si="10"/>
        <v>-1218.6015625</v>
      </c>
      <c r="J126" s="64">
        <f t="shared" si="11"/>
        <v>-5.1227575353119219E-2</v>
      </c>
      <c r="K126" s="111"/>
      <c r="L126" s="47"/>
      <c r="M126" s="107"/>
      <c r="N126" s="107"/>
      <c r="O126" s="107"/>
      <c r="P126" s="107"/>
      <c r="Q126" s="107"/>
      <c r="R126" s="107"/>
    </row>
    <row r="127" spans="1:18" ht="15.75">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39"/>
      <c r="L127" s="91"/>
      <c r="M127" s="107"/>
      <c r="N127" s="107"/>
      <c r="O127" s="107"/>
      <c r="P127" s="107"/>
      <c r="Q127" s="107"/>
      <c r="R127" s="107"/>
    </row>
    <row r="128" spans="1:18" ht="85.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11" t="s">
        <v>1338</v>
      </c>
      <c r="L128" s="47"/>
      <c r="M128" s="107"/>
      <c r="N128" s="107"/>
      <c r="O128" s="107"/>
      <c r="P128" s="107"/>
      <c r="Q128" s="107"/>
      <c r="R128" s="107"/>
    </row>
    <row r="129" spans="1:18" ht="15.75">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39" t="s">
        <v>1349</v>
      </c>
      <c r="L129" s="106" t="s">
        <v>833</v>
      </c>
      <c r="M129" s="107"/>
      <c r="N129" s="107"/>
      <c r="O129" s="107"/>
      <c r="P129" s="107"/>
      <c r="Q129" s="107"/>
      <c r="R129" s="107"/>
    </row>
    <row r="130" spans="1:18" ht="15.75">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11"/>
      <c r="L130" s="47"/>
      <c r="M130" s="107"/>
      <c r="N130" s="107"/>
      <c r="O130" s="107"/>
      <c r="P130" s="107"/>
      <c r="Q130" s="107"/>
      <c r="R130" s="107"/>
    </row>
    <row r="131" spans="1:18" ht="15.75">
      <c r="A131" s="26" t="str">
        <v>K307</v>
      </c>
      <c r="B131" s="27" t="str">
        <v>NY</v>
      </c>
      <c r="C131" s="9" t="str">
        <f>Sites[[#This Row],[SOL'#]]</f>
        <v>SOL-10876</v>
      </c>
      <c r="D131" s="66">
        <v>26644.9921875</v>
      </c>
      <c r="E131" s="14" t="s">
        <v>656</v>
      </c>
      <c r="F131" s="14" t="str">
        <f t="shared" si="8"/>
        <v/>
      </c>
      <c r="G131" s="68" t="str">
        <f t="shared" si="9"/>
        <v/>
      </c>
      <c r="H131" s="69">
        <v>29938</v>
      </c>
      <c r="I131" s="69">
        <f t="shared" si="10"/>
        <v>-3293.0078125</v>
      </c>
      <c r="J131" s="68">
        <f t="shared" si="11"/>
        <v>-0.10999424853029595</v>
      </c>
      <c r="K131" s="139"/>
      <c r="L131" s="91"/>
      <c r="M131" s="107"/>
      <c r="N131" s="107"/>
      <c r="O131" s="107"/>
      <c r="P131" s="107"/>
      <c r="Q131" s="107"/>
      <c r="R131" s="107"/>
    </row>
    <row r="132" spans="1:18" ht="42.7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11" t="s">
        <v>1350</v>
      </c>
      <c r="L132" s="102" t="s">
        <v>1351</v>
      </c>
      <c r="M132" s="107"/>
      <c r="N132" s="107"/>
      <c r="O132" s="107"/>
      <c r="P132" s="107"/>
      <c r="Q132" s="107"/>
      <c r="R132" s="107"/>
    </row>
    <row r="133" spans="1:18" ht="199.5">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39" t="s">
        <v>1352</v>
      </c>
      <c r="L133" s="105" t="s">
        <v>1353</v>
      </c>
      <c r="M133" s="106" t="s">
        <v>837</v>
      </c>
      <c r="N133" s="106" t="s">
        <v>1354</v>
      </c>
      <c r="O133" s="106" t="s">
        <v>838</v>
      </c>
      <c r="P133" s="106" t="s">
        <v>1355</v>
      </c>
      <c r="Q133" s="107"/>
      <c r="R133" s="107"/>
    </row>
    <row r="134" spans="1:18" ht="15.75">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11"/>
      <c r="L134" s="47"/>
      <c r="M134" s="107"/>
      <c r="N134" s="107"/>
      <c r="O134" s="107"/>
      <c r="P134" s="107"/>
      <c r="Q134" s="107"/>
      <c r="R134" s="107"/>
    </row>
    <row r="135" spans="1:18" ht="15.75">
      <c r="A135" s="26" t="str">
        <v>Q030</v>
      </c>
      <c r="B135" s="27" t="str">
        <v>NY</v>
      </c>
      <c r="C135" s="9" t="str">
        <f>Sites[[#This Row],[SOL'#]]</f>
        <v>SOL-10878</v>
      </c>
      <c r="D135" s="66">
        <v>25762.8359375</v>
      </c>
      <c r="E135" s="14" t="s">
        <v>656</v>
      </c>
      <c r="F135" s="14" t="str">
        <f t="shared" si="8"/>
        <v/>
      </c>
      <c r="G135" s="68" t="str">
        <f t="shared" si="9"/>
        <v/>
      </c>
      <c r="H135" s="69">
        <v>27991</v>
      </c>
      <c r="I135" s="69">
        <f t="shared" si="10"/>
        <v>-2228.1640625</v>
      </c>
      <c r="J135" s="68">
        <f t="shared" si="11"/>
        <v>-7.9602874584687941E-2</v>
      </c>
      <c r="K135" s="139"/>
      <c r="L135" s="91"/>
      <c r="M135" s="107"/>
      <c r="N135" s="107"/>
      <c r="O135" s="107"/>
      <c r="P135" s="107"/>
      <c r="Q135" s="107"/>
      <c r="R135" s="107"/>
    </row>
    <row r="136" spans="1:18" ht="15.75">
      <c r="A136" s="24" t="str">
        <v>Q130</v>
      </c>
      <c r="B136" s="25" t="str">
        <v>NY</v>
      </c>
      <c r="C136" s="25" t="str">
        <f>Sites[[#This Row],[SOL'#]]</f>
        <v>SOL-10877</v>
      </c>
      <c r="D136" s="54">
        <v>14657.908984375001</v>
      </c>
      <c r="E136" s="10" t="s">
        <v>656</v>
      </c>
      <c r="F136" s="10" t="str">
        <f t="shared" si="8"/>
        <v/>
      </c>
      <c r="G136" s="55" t="str">
        <f t="shared" si="9"/>
        <v/>
      </c>
      <c r="H136" s="67">
        <v>16011.71</v>
      </c>
      <c r="I136" s="67">
        <f t="shared" si="10"/>
        <v>-1353.8010156249984</v>
      </c>
      <c r="J136" s="64">
        <f t="shared" si="11"/>
        <v>-8.4550682945481681E-2</v>
      </c>
      <c r="K136" s="111"/>
      <c r="L136" s="47"/>
      <c r="M136" s="107"/>
      <c r="N136" s="107"/>
      <c r="O136" s="107"/>
      <c r="P136" s="107"/>
      <c r="Q136" s="107"/>
      <c r="R136" s="107"/>
    </row>
    <row r="137" spans="1:18" ht="15.75">
      <c r="A137" s="26" t="str">
        <v>Q196</v>
      </c>
      <c r="B137" s="27" t="str">
        <v>NY</v>
      </c>
      <c r="C137" s="9" t="str">
        <f>Sites[[#This Row],[SOL'#]]</f>
        <v>SOL-10879</v>
      </c>
      <c r="D137" s="66">
        <v>19067.674023437499</v>
      </c>
      <c r="E137" s="14" t="s">
        <v>656</v>
      </c>
      <c r="F137" s="14" t="str">
        <f t="shared" si="8"/>
        <v/>
      </c>
      <c r="G137" s="68" t="str">
        <f t="shared" si="9"/>
        <v/>
      </c>
      <c r="H137" s="69">
        <v>20705</v>
      </c>
      <c r="I137" s="69">
        <f t="shared" si="10"/>
        <v>-1637.3259765625007</v>
      </c>
      <c r="J137" s="68">
        <f t="shared" si="11"/>
        <v>-7.9078772111205065E-2</v>
      </c>
      <c r="K137" s="139"/>
      <c r="L137" s="91"/>
      <c r="M137" s="107"/>
      <c r="N137" s="107"/>
      <c r="O137" s="107"/>
      <c r="P137" s="107"/>
      <c r="Q137" s="107"/>
      <c r="R137" s="107"/>
    </row>
    <row r="138" spans="1:18" ht="15.75">
      <c r="A138" s="24" t="str">
        <v>Q220</v>
      </c>
      <c r="B138" s="25" t="str">
        <v>NY</v>
      </c>
      <c r="C138" s="25" t="str">
        <f>Sites[[#This Row],[SOL'#]]</f>
        <v>SOL-10873</v>
      </c>
      <c r="D138" s="54">
        <v>22339.375</v>
      </c>
      <c r="E138" s="10" t="s">
        <v>656</v>
      </c>
      <c r="F138" s="10" t="str">
        <f t="shared" si="8"/>
        <v/>
      </c>
      <c r="G138" s="55" t="str">
        <f t="shared" si="9"/>
        <v/>
      </c>
      <c r="H138" s="67">
        <v>24264</v>
      </c>
      <c r="I138" s="67">
        <f t="shared" si="10"/>
        <v>-1924.625</v>
      </c>
      <c r="J138" s="64">
        <f t="shared" si="11"/>
        <v>-7.9320186284207062E-2</v>
      </c>
      <c r="K138" s="111" t="s">
        <v>1356</v>
      </c>
      <c r="L138" s="102" t="s">
        <v>1357</v>
      </c>
      <c r="M138" s="107"/>
      <c r="N138" s="107"/>
      <c r="O138" s="107"/>
      <c r="P138" s="107"/>
      <c r="Q138" s="107"/>
      <c r="R138" s="107"/>
    </row>
    <row r="139" spans="1:18" ht="28.5">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39" t="s">
        <v>1358</v>
      </c>
      <c r="L139" s="106" t="s">
        <v>1359</v>
      </c>
      <c r="M139" s="107"/>
      <c r="N139" s="107"/>
      <c r="O139" s="107"/>
      <c r="P139" s="107"/>
      <c r="Q139" s="107"/>
      <c r="R139" s="107"/>
    </row>
    <row r="140" spans="1:18" ht="171">
      <c r="A140" s="24" t="str">
        <v>Q400</v>
      </c>
      <c r="B140" s="25" t="str">
        <v>NY</v>
      </c>
      <c r="C140" s="25" t="str">
        <f>Sites[[#This Row],[SOL'#]]</f>
        <v>SOL-10871</v>
      </c>
      <c r="D140" s="54">
        <v>34967.640625</v>
      </c>
      <c r="E140" s="10" t="s">
        <v>656</v>
      </c>
      <c r="F140" s="10" t="str">
        <f t="shared" si="8"/>
        <v/>
      </c>
      <c r="G140" s="55" t="str">
        <f t="shared" si="9"/>
        <v/>
      </c>
      <c r="H140" s="67">
        <v>47087</v>
      </c>
      <c r="I140" s="67">
        <f t="shared" si="10"/>
        <v>-12119.359375</v>
      </c>
      <c r="J140" s="64">
        <f t="shared" si="11"/>
        <v>-0.25738227907915134</v>
      </c>
      <c r="K140" s="111" t="s">
        <v>1360</v>
      </c>
      <c r="L140" s="102" t="s">
        <v>1361</v>
      </c>
      <c r="M140" s="106" t="s">
        <v>1362</v>
      </c>
      <c r="N140" s="106" t="s">
        <v>1363</v>
      </c>
      <c r="O140" s="106" t="s">
        <v>1364</v>
      </c>
      <c r="P140" s="106" t="s">
        <v>1365</v>
      </c>
      <c r="Q140" s="107"/>
      <c r="R140" s="107"/>
    </row>
    <row r="141" spans="1:18" ht="28.5">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39" t="s">
        <v>1366</v>
      </c>
      <c r="L141" s="106" t="s">
        <v>1367</v>
      </c>
      <c r="M141" s="107"/>
      <c r="N141" s="107"/>
      <c r="O141" s="107"/>
      <c r="P141" s="107"/>
      <c r="Q141" s="107"/>
      <c r="R141" s="107"/>
    </row>
    <row r="142" spans="1:18" ht="15.75">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11"/>
      <c r="L142" s="47"/>
      <c r="M142" s="107"/>
      <c r="N142" s="107"/>
      <c r="O142" s="107"/>
      <c r="P142" s="107"/>
      <c r="Q142" s="107"/>
      <c r="R142" s="107"/>
    </row>
    <row r="143" spans="1:18" ht="28.5">
      <c r="A143" s="26" t="str">
        <v>BK16</v>
      </c>
      <c r="B143" s="27" t="str">
        <v>NY</v>
      </c>
      <c r="C143" s="9" t="str">
        <f>Sites[[#This Row],[SOL'#]]</f>
        <v>SOL-11093</v>
      </c>
      <c r="D143" s="66">
        <v>40757.8125</v>
      </c>
      <c r="E143" s="14" t="s">
        <v>656</v>
      </c>
      <c r="F143" s="14" t="str">
        <f t="shared" si="8"/>
        <v/>
      </c>
      <c r="G143" s="68" t="str">
        <f t="shared" si="9"/>
        <v/>
      </c>
      <c r="H143" s="69">
        <v>45236</v>
      </c>
      <c r="I143" s="69">
        <f t="shared" si="10"/>
        <v>-4478.1875</v>
      </c>
      <c r="J143" s="68">
        <f t="shared" si="11"/>
        <v>-9.8996098240339558E-2</v>
      </c>
      <c r="K143" s="139" t="s">
        <v>1368</v>
      </c>
      <c r="L143" s="106" t="s">
        <v>1369</v>
      </c>
      <c r="M143" s="107"/>
      <c r="N143" s="107"/>
      <c r="O143" s="107"/>
      <c r="P143" s="107"/>
      <c r="Q143" s="107"/>
      <c r="R143" s="107"/>
    </row>
    <row r="144" spans="1:18" ht="99.75">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11" t="s">
        <v>1117</v>
      </c>
      <c r="L144" s="102" t="s">
        <v>1118</v>
      </c>
      <c r="M144" s="107"/>
      <c r="N144" s="107"/>
      <c r="O144" s="107"/>
      <c r="P144" s="107"/>
      <c r="Q144" s="107"/>
      <c r="R144" s="107"/>
    </row>
    <row r="145" spans="1:18" ht="28.5">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39" t="s">
        <v>1370</v>
      </c>
      <c r="L145" s="106" t="s">
        <v>1120</v>
      </c>
      <c r="M145" s="107"/>
      <c r="N145" s="107"/>
      <c r="O145" s="107"/>
      <c r="P145" s="107"/>
      <c r="Q145" s="107"/>
      <c r="R145" s="107"/>
    </row>
    <row r="146" spans="1:18" ht="15.75">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11"/>
      <c r="L146" s="47"/>
      <c r="M146" s="107"/>
      <c r="N146" s="107"/>
      <c r="O146" s="107"/>
      <c r="P146" s="107"/>
      <c r="Q146" s="107"/>
      <c r="R146" s="107"/>
    </row>
    <row r="147" spans="1:18" ht="15.75">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39"/>
      <c r="L147" s="91"/>
      <c r="M147" s="107"/>
      <c r="N147" s="107"/>
      <c r="O147" s="107"/>
      <c r="P147" s="107"/>
      <c r="Q147" s="107"/>
      <c r="R147" s="107"/>
    </row>
    <row r="148" spans="1:18" ht="28.5">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11" t="s">
        <v>1371</v>
      </c>
      <c r="L148" s="102" t="s">
        <v>1372</v>
      </c>
      <c r="M148" s="107"/>
      <c r="N148" s="107"/>
      <c r="O148" s="107"/>
      <c r="P148" s="107"/>
      <c r="Q148" s="107"/>
      <c r="R148" s="107"/>
    </row>
    <row r="149" spans="1:18" ht="99.75">
      <c r="A149" s="26" t="str">
        <v>County Route 11B</v>
      </c>
      <c r="B149" s="27" t="str">
        <v>NY</v>
      </c>
      <c r="C149" s="9" t="str">
        <f>Sites[[#This Row],[SOL'#]]</f>
        <v>SOL-10983</v>
      </c>
      <c r="D149" s="66">
        <v>108145</v>
      </c>
      <c r="E149" s="14" t="s">
        <v>656</v>
      </c>
      <c r="F149" s="14" t="str">
        <f t="shared" si="8"/>
        <v/>
      </c>
      <c r="G149" s="68" t="str">
        <f t="shared" si="9"/>
        <v/>
      </c>
      <c r="H149" s="133" t="s">
        <v>936</v>
      </c>
      <c r="I149" s="69" t="str">
        <f t="shared" si="10"/>
        <v/>
      </c>
      <c r="J149" s="68" t="str">
        <f t="shared" si="11"/>
        <v/>
      </c>
      <c r="K149" s="139" t="s">
        <v>1373</v>
      </c>
      <c r="L149" s="105" t="s">
        <v>1374</v>
      </c>
      <c r="M149" s="106" t="s">
        <v>1375</v>
      </c>
      <c r="N149" s="107"/>
      <c r="O149" s="107"/>
      <c r="P149" s="107"/>
      <c r="Q149" s="107"/>
      <c r="R149" s="107"/>
    </row>
    <row r="150" spans="1:18" ht="128.25">
      <c r="A150" s="24" t="str">
        <v>Barone</v>
      </c>
      <c r="B150" s="25" t="str">
        <v>NY</v>
      </c>
      <c r="C150" s="25" t="str">
        <f>Sites[[#This Row],[SOL'#]]</f>
        <v>SOL-11034</v>
      </c>
      <c r="D150" s="54">
        <v>116276</v>
      </c>
      <c r="E150" s="10" t="s">
        <v>656</v>
      </c>
      <c r="F150" s="10" t="str">
        <f t="shared" si="8"/>
        <v/>
      </c>
      <c r="G150" s="55" t="str">
        <f t="shared" si="9"/>
        <v/>
      </c>
      <c r="H150" s="67">
        <v>233057</v>
      </c>
      <c r="I150" s="67">
        <f t="shared" si="10"/>
        <v>-116781</v>
      </c>
      <c r="J150" s="64">
        <f t="shared" si="11"/>
        <v>-0.5010834259430097</v>
      </c>
      <c r="K150" s="111" t="s">
        <v>1376</v>
      </c>
      <c r="L150" s="102" t="s">
        <v>1377</v>
      </c>
      <c r="M150" s="106" t="s">
        <v>1378</v>
      </c>
      <c r="N150" s="106" t="s">
        <v>1379</v>
      </c>
      <c r="O150" s="107"/>
      <c r="P150" s="107"/>
      <c r="Q150" s="107"/>
      <c r="R150" s="107"/>
    </row>
    <row r="151" spans="1:18" ht="15.75">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39" t="s">
        <v>1380</v>
      </c>
      <c r="L151" s="106" t="s">
        <v>1381</v>
      </c>
      <c r="M151" s="107"/>
      <c r="N151" s="107"/>
      <c r="O151" s="107"/>
      <c r="P151" s="107"/>
      <c r="Q151" s="107"/>
      <c r="R151" s="107"/>
    </row>
    <row r="152" spans="1:18" ht="28.5">
      <c r="A152" s="24" t="str">
        <v xml:space="preserve"> O'Brien Hill #1</v>
      </c>
      <c r="B152" s="25" t="str">
        <v>NY</v>
      </c>
      <c r="C152" s="25" t="str">
        <f>Sites[[#This Row],[SOL'#]]</f>
        <v>SOL-11098</v>
      </c>
      <c r="D152" s="54">
        <v>0</v>
      </c>
      <c r="E152" s="10" t="s">
        <v>656</v>
      </c>
      <c r="F152" s="10" t="str">
        <f t="shared" si="8"/>
        <v/>
      </c>
      <c r="G152" s="55" t="str">
        <f t="shared" si="9"/>
        <v/>
      </c>
      <c r="H152" s="134" t="s">
        <v>656</v>
      </c>
      <c r="I152" s="67" t="str">
        <f t="shared" si="10"/>
        <v/>
      </c>
      <c r="J152" s="64" t="str">
        <f t="shared" si="11"/>
        <v/>
      </c>
      <c r="K152" s="111" t="s">
        <v>1382</v>
      </c>
      <c r="L152" s="102" t="s">
        <v>1383</v>
      </c>
      <c r="M152" s="106" t="s">
        <v>872</v>
      </c>
      <c r="N152" s="107"/>
      <c r="O152" s="107"/>
      <c r="P152" s="107"/>
      <c r="Q152" s="107"/>
      <c r="R152" s="107"/>
    </row>
    <row r="153" spans="1:18" ht="85.5">
      <c r="A153" s="26" t="str">
        <v xml:space="preserve"> O'Brien Hill #2</v>
      </c>
      <c r="B153" s="27" t="str">
        <v>NY</v>
      </c>
      <c r="C153" s="9" t="str">
        <f>Sites[[#This Row],[SOL'#]]</f>
        <v>SOL-11099</v>
      </c>
      <c r="D153" s="66">
        <v>140669</v>
      </c>
      <c r="E153" s="14" t="s">
        <v>656</v>
      </c>
      <c r="F153" s="14" t="str">
        <f t="shared" si="8"/>
        <v/>
      </c>
      <c r="G153" s="68" t="str">
        <f t="shared" si="9"/>
        <v/>
      </c>
      <c r="H153" s="69">
        <v>288848</v>
      </c>
      <c r="I153" s="69">
        <f t="shared" si="10"/>
        <v>-148179</v>
      </c>
      <c r="J153" s="68">
        <f t="shared" si="11"/>
        <v>-0.51299991691131663</v>
      </c>
      <c r="K153" s="139" t="s">
        <v>1384</v>
      </c>
      <c r="L153" s="105" t="s">
        <v>1385</v>
      </c>
      <c r="M153" s="106" t="s">
        <v>1386</v>
      </c>
      <c r="N153" s="106" t="s">
        <v>1387</v>
      </c>
      <c r="O153" s="107"/>
      <c r="P153" s="107"/>
      <c r="Q153" s="107"/>
      <c r="R153" s="107"/>
    </row>
    <row r="154" spans="1:18" ht="71.25">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11" t="s">
        <v>1388</v>
      </c>
      <c r="L154" s="102" t="s">
        <v>1389</v>
      </c>
      <c r="M154" s="106" t="s">
        <v>879</v>
      </c>
      <c r="N154" s="106" t="s">
        <v>1390</v>
      </c>
      <c r="O154" s="107"/>
      <c r="P154" s="107"/>
      <c r="Q154" s="107"/>
      <c r="R154" s="107"/>
    </row>
    <row r="155" spans="1:18" ht="199.5">
      <c r="A155" s="26" t="str">
        <v>Ransom</v>
      </c>
      <c r="B155" s="27" t="str">
        <v>NY</v>
      </c>
      <c r="C155" s="9" t="str">
        <f>Sites[[#This Row],[SOL'#]]</f>
        <v>SOL-11157</v>
      </c>
      <c r="D155" s="66">
        <v>156931</v>
      </c>
      <c r="E155" s="14" t="s">
        <v>656</v>
      </c>
      <c r="F155" s="14" t="str">
        <f t="shared" ref="F155:F158" si="12">IF(AND(ISNUMBER(D155),ISNUMBER(E155)), D155-E155, "")</f>
        <v/>
      </c>
      <c r="G155" s="68" t="str">
        <f t="shared" si="9"/>
        <v/>
      </c>
      <c r="H155" s="69">
        <v>326042</v>
      </c>
      <c r="I155" s="69">
        <f t="shared" si="10"/>
        <v>-169111</v>
      </c>
      <c r="J155" s="68">
        <f t="shared" si="11"/>
        <v>-0.51867857515289439</v>
      </c>
      <c r="K155" s="139" t="s">
        <v>1391</v>
      </c>
      <c r="L155" s="105" t="s">
        <v>1392</v>
      </c>
      <c r="M155" s="106" t="s">
        <v>1393</v>
      </c>
      <c r="N155" s="106" t="s">
        <v>1394</v>
      </c>
      <c r="O155" s="106" t="s">
        <v>1395</v>
      </c>
      <c r="P155" s="106" t="s">
        <v>1396</v>
      </c>
      <c r="Q155" s="107"/>
      <c r="R155" s="107"/>
    </row>
    <row r="156" spans="1:18" ht="57">
      <c r="A156" s="24" t="str">
        <v>Horseheads - Wedge</v>
      </c>
      <c r="B156" s="25" t="str">
        <v>NY</v>
      </c>
      <c r="C156" s="25" t="str">
        <f>Sites[[#This Row],[SOL'#]]</f>
        <v>SOL-11160</v>
      </c>
      <c r="D156" s="54">
        <v>165061</v>
      </c>
      <c r="E156" s="10" t="s">
        <v>656</v>
      </c>
      <c r="F156" s="10" t="str">
        <f t="shared" si="12"/>
        <v/>
      </c>
      <c r="G156" s="55" t="str">
        <f t="shared" ref="G156:G158" si="13">IFERROR(F156/E156, "")</f>
        <v/>
      </c>
      <c r="H156" s="67">
        <v>344639</v>
      </c>
      <c r="I156" s="67">
        <f t="shared" si="10"/>
        <v>-179578</v>
      </c>
      <c r="J156" s="64">
        <f t="shared" si="11"/>
        <v>-0.52106116835297223</v>
      </c>
      <c r="K156" s="111" t="s">
        <v>1397</v>
      </c>
      <c r="L156" s="102" t="s">
        <v>1398</v>
      </c>
      <c r="M156" s="107"/>
      <c r="N156" s="107"/>
      <c r="O156" s="107"/>
      <c r="P156" s="107"/>
      <c r="Q156" s="107"/>
      <c r="R156" s="107"/>
    </row>
    <row r="157" spans="1:18" ht="171">
      <c r="A157" s="26" t="str">
        <v>Otisville - Shoddy Hollow</v>
      </c>
      <c r="B157" s="27" t="str">
        <v>NY</v>
      </c>
      <c r="C157" s="9" t="str">
        <f>Sites[[#This Row],[SOL'#]]</f>
        <v>SOL-11185</v>
      </c>
      <c r="D157" s="66">
        <v>173192</v>
      </c>
      <c r="E157" s="14" t="s">
        <v>656</v>
      </c>
      <c r="F157" s="14" t="str">
        <f t="shared" si="12"/>
        <v/>
      </c>
      <c r="G157" s="68" t="str">
        <f t="shared" si="13"/>
        <v/>
      </c>
      <c r="H157" s="69">
        <v>363236</v>
      </c>
      <c r="I157" s="69">
        <f t="shared" si="10"/>
        <v>-190044</v>
      </c>
      <c r="J157" s="68">
        <f t="shared" si="11"/>
        <v>-0.52319703994097499</v>
      </c>
      <c r="K157" s="139" t="s">
        <v>1399</v>
      </c>
      <c r="L157" s="105" t="s">
        <v>1400</v>
      </c>
      <c r="M157" s="106" t="s">
        <v>1401</v>
      </c>
      <c r="N157" s="106" t="s">
        <v>1402</v>
      </c>
      <c r="O157" s="106" t="s">
        <v>1403</v>
      </c>
      <c r="P157" s="106" t="s">
        <v>1404</v>
      </c>
      <c r="Q157" s="107"/>
      <c r="R157" s="107"/>
    </row>
    <row r="158" spans="1:18" ht="28.5">
      <c r="A158" s="24" t="str">
        <v>Wellsville - Chenunda Creek</v>
      </c>
      <c r="B158" s="25" t="str">
        <v>NY</v>
      </c>
      <c r="C158" s="25" t="str">
        <f>Sites[[#This Row],[SOL'#]]</f>
        <v>SOL-11187</v>
      </c>
      <c r="D158" s="54">
        <v>181323</v>
      </c>
      <c r="E158" s="10" t="s">
        <v>656</v>
      </c>
      <c r="F158" s="10" t="str">
        <f t="shared" si="12"/>
        <v/>
      </c>
      <c r="G158" s="55" t="str">
        <f t="shared" si="13"/>
        <v/>
      </c>
      <c r="H158" s="67">
        <v>381833</v>
      </c>
      <c r="I158" s="67">
        <f t="shared" si="10"/>
        <v>-200510</v>
      </c>
      <c r="J158" s="64">
        <f t="shared" si="11"/>
        <v>-0.52512485824954891</v>
      </c>
      <c r="K158" s="111" t="s">
        <v>1405</v>
      </c>
      <c r="L158" s="102" t="s">
        <v>1406</v>
      </c>
      <c r="M158" s="107"/>
      <c r="N158" s="107"/>
      <c r="O158" s="107"/>
      <c r="P158" s="107"/>
      <c r="Q158" s="107"/>
      <c r="R158" s="107"/>
    </row>
    <row r="159" spans="1:18">
      <c r="M159" s="107"/>
      <c r="N159" s="107"/>
      <c r="O159" s="107"/>
      <c r="P159" s="107"/>
      <c r="Q159" s="107"/>
      <c r="R159" s="107"/>
    </row>
    <row r="160" spans="1:18">
      <c r="M160" s="107"/>
      <c r="N160" s="107"/>
      <c r="O160" s="107"/>
      <c r="P160" s="107"/>
      <c r="Q160" s="107"/>
      <c r="R160" s="107"/>
    </row>
    <row r="161" spans="13:18">
      <c r="M161" s="107"/>
      <c r="N161" s="107"/>
      <c r="O161" s="107"/>
      <c r="P161" s="107"/>
      <c r="Q161" s="107"/>
      <c r="R161" s="107"/>
    </row>
    <row r="162" spans="13:18">
      <c r="M162" s="107"/>
      <c r="N162" s="107"/>
      <c r="O162" s="107"/>
      <c r="P162" s="107"/>
      <c r="Q162" s="107"/>
      <c r="R162" s="107"/>
    </row>
  </sheetData>
  <mergeCells count="4">
    <mergeCell ref="H1:J1"/>
    <mergeCell ref="A1:D1"/>
    <mergeCell ref="E1:G1"/>
    <mergeCell ref="A2:B2"/>
  </mergeCells>
  <phoneticPr fontId="40" type="noConversion"/>
  <conditionalFormatting sqref="G2 J2 G4:G158 J4:J158">
    <cfRule type="cellIs" dxfId="28" priority="39" stopIfTrue="1" operator="lessThanOrEqual">
      <formula>-0.1</formula>
    </cfRule>
    <cfRule type="expression" dxfId="27" priority="40">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58"/>
  <sheetViews>
    <sheetView tabSelected="1" zoomScale="60" zoomScaleNormal="60" workbookViewId="0">
      <pane xSplit="2" ySplit="3" topLeftCell="C64" activePane="bottomRight" state="frozen"/>
      <selection pane="bottomRight" activeCell="H70" sqref="H70"/>
      <selection pane="bottomLeft" activeCell="A4" sqref="A4"/>
      <selection pane="topRight" activeCell="C1" sqref="C1"/>
    </sheetView>
  </sheetViews>
  <sheetFormatPr defaultRowHeight="13.5"/>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51" t="str" cm="1">
        <f t="array" ref="A1">portfolio</f>
        <v>Generate Capital</v>
      </c>
      <c r="B1" s="151"/>
      <c r="C1" s="151"/>
      <c r="D1" s="151"/>
      <c r="E1" s="152" t="s">
        <v>1407</v>
      </c>
      <c r="F1" s="152"/>
      <c r="G1" s="152"/>
      <c r="H1" s="150" t="s">
        <v>1408</v>
      </c>
      <c r="I1" s="150"/>
      <c r="J1" s="150"/>
      <c r="K1" s="4"/>
      <c r="L1" s="4"/>
    </row>
    <row r="2" spans="1:24" ht="19.5" customHeight="1">
      <c r="A2" s="153" t="s">
        <v>2</v>
      </c>
      <c r="B2" s="153"/>
      <c r="C2" s="57"/>
      <c r="D2" s="5">
        <f>SUM(D4:D159)</f>
        <v>53193021.895261116</v>
      </c>
      <c r="E2" s="5">
        <f>SUM(E4:E84)</f>
        <v>18342180.643999998</v>
      </c>
      <c r="F2" s="5">
        <f>D2-E2</f>
        <v>34850841.251261115</v>
      </c>
      <c r="G2" s="6">
        <f>IFERROR(F2/E2, 0)</f>
        <v>1.9000380558710368</v>
      </c>
      <c r="H2" s="5">
        <f>SUM(H4:H159)</f>
        <v>50539857.817800023</v>
      </c>
      <c r="I2" s="7">
        <f>D2-H2</f>
        <v>2653164.0774610937</v>
      </c>
      <c r="J2" s="6">
        <f>IFERROR(I2/H2, 0)</f>
        <v>5.2496468965661701E-2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5">
      <c r="A4" s="26" t="str" cm="1">
        <f t="array" ref="A4:A158">Sites[Site]</f>
        <v>K026</v>
      </c>
      <c r="B4" s="27" t="str" cm="1">
        <f t="array" ref="B4:B158">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 t="shared" ref="I4:I51" si="2">IF(AND(ISNUMBER(D4),ISNUMBER(H4)), D4-H4, "")</f>
        <v>-15553.64</v>
      </c>
      <c r="J4" s="15">
        <f t="shared" ref="J4:J51" si="3">IFERROR(I4/H4, "")</f>
        <v>-0.41328263856541847</v>
      </c>
      <c r="K4" s="51" t="s">
        <v>1409</v>
      </c>
      <c r="L4" s="103" t="s">
        <v>1410</v>
      </c>
      <c r="M4" s="107"/>
      <c r="N4" s="107"/>
      <c r="O4" s="107"/>
      <c r="P4" s="107"/>
      <c r="Q4" s="107"/>
      <c r="R4" s="107"/>
      <c r="S4" s="107"/>
      <c r="T4" s="107"/>
      <c r="U4" s="107"/>
      <c r="V4" s="107"/>
      <c r="W4" s="107"/>
      <c r="X4" s="107"/>
    </row>
    <row r="5" spans="1:24" ht="15.75">
      <c r="A5" s="28" t="str">
        <v>K041</v>
      </c>
      <c r="B5" s="25" t="str">
        <v>NY</v>
      </c>
      <c r="C5" s="25" t="str">
        <f>Sites[[#This Row],[SOL'#]]</f>
        <v>SOL-10357</v>
      </c>
      <c r="D5" s="20">
        <v>30806.78125</v>
      </c>
      <c r="E5" s="10">
        <v>35182.89</v>
      </c>
      <c r="F5" s="10">
        <f t="shared" si="0"/>
        <v>-4376.1087499999994</v>
      </c>
      <c r="G5" s="11">
        <f t="shared" si="1"/>
        <v>-0.12438173072195034</v>
      </c>
      <c r="H5" s="12">
        <v>32538</v>
      </c>
      <c r="I5" s="12">
        <f t="shared" si="2"/>
        <v>-1731.21875</v>
      </c>
      <c r="J5" s="13">
        <f t="shared" si="3"/>
        <v>-5.3206059069395781E-2</v>
      </c>
      <c r="K5" s="53" t="s">
        <v>1411</v>
      </c>
      <c r="L5" s="53"/>
      <c r="M5" s="107"/>
      <c r="N5" s="107"/>
      <c r="O5" s="107"/>
      <c r="P5" s="107"/>
      <c r="Q5" s="107"/>
      <c r="R5" s="107"/>
      <c r="S5" s="107"/>
      <c r="T5" s="107"/>
      <c r="U5" s="107"/>
      <c r="V5" s="107"/>
      <c r="W5" s="107"/>
      <c r="X5" s="107"/>
    </row>
    <row r="6" spans="1:24" ht="71.2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1412</v>
      </c>
      <c r="L6" s="103" t="s">
        <v>1413</v>
      </c>
      <c r="M6" s="106" t="s">
        <v>1414</v>
      </c>
      <c r="N6" s="107"/>
      <c r="O6" s="107"/>
      <c r="P6" s="107"/>
      <c r="Q6" s="107"/>
      <c r="R6" s="107"/>
      <c r="S6" s="107"/>
      <c r="T6" s="107"/>
      <c r="U6" s="107"/>
      <c r="V6" s="107"/>
      <c r="W6" s="107"/>
      <c r="X6" s="107"/>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641</v>
      </c>
      <c r="L7" s="145" t="s">
        <v>1415</v>
      </c>
      <c r="M7" s="106" t="s">
        <v>1416</v>
      </c>
      <c r="N7" s="107"/>
      <c r="O7" s="107"/>
      <c r="P7" s="107"/>
      <c r="Q7" s="107"/>
      <c r="R7" s="107"/>
      <c r="S7" s="107"/>
      <c r="T7" s="107"/>
      <c r="U7" s="107"/>
      <c r="V7" s="107"/>
      <c r="W7" s="107"/>
      <c r="X7" s="107"/>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1417</v>
      </c>
      <c r="L8" s="103" t="s">
        <v>1418</v>
      </c>
      <c r="M8" s="106" t="s">
        <v>1419</v>
      </c>
      <c r="N8" s="107"/>
      <c r="O8" s="107"/>
      <c r="P8" s="107"/>
      <c r="Q8" s="107"/>
      <c r="R8" s="107"/>
      <c r="S8" s="107"/>
      <c r="T8" s="107"/>
      <c r="U8" s="107"/>
      <c r="V8" s="107"/>
      <c r="W8" s="107"/>
      <c r="X8" s="107"/>
    </row>
    <row r="9" spans="1:24" ht="15.75">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7"/>
      <c r="N9" s="107"/>
      <c r="O9" s="107"/>
      <c r="P9" s="107"/>
      <c r="Q9" s="107"/>
      <c r="R9" s="107"/>
      <c r="S9" s="107"/>
      <c r="T9" s="107"/>
      <c r="U9" s="107"/>
      <c r="V9" s="107"/>
      <c r="W9" s="107"/>
      <c r="X9" s="107"/>
    </row>
    <row r="10" spans="1:24" ht="15.75">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7"/>
      <c r="N10" s="107"/>
      <c r="O10" s="107"/>
      <c r="P10" s="107"/>
      <c r="Q10" s="107"/>
      <c r="R10" s="107"/>
      <c r="S10" s="107"/>
      <c r="T10" s="107"/>
      <c r="U10" s="107"/>
      <c r="V10" s="107"/>
      <c r="W10" s="107"/>
      <c r="X10" s="107"/>
    </row>
    <row r="11" spans="1:24" ht="15.75">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7"/>
      <c r="N11" s="107"/>
      <c r="O11" s="107"/>
      <c r="P11" s="107"/>
      <c r="Q11" s="107"/>
      <c r="R11" s="107"/>
      <c r="S11" s="107"/>
      <c r="T11" s="107"/>
      <c r="U11" s="107"/>
      <c r="V11" s="107"/>
      <c r="W11" s="107"/>
      <c r="X11" s="107"/>
    </row>
    <row r="12" spans="1:24" ht="57">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1420</v>
      </c>
      <c r="L12" s="103" t="s">
        <v>1421</v>
      </c>
      <c r="M12" s="106" t="s">
        <v>1169</v>
      </c>
      <c r="N12" s="106" t="s">
        <v>1170</v>
      </c>
      <c r="O12" s="107"/>
      <c r="P12" s="107"/>
      <c r="Q12" s="107"/>
      <c r="R12" s="107"/>
      <c r="S12" s="107"/>
      <c r="T12" s="107"/>
      <c r="U12" s="107"/>
      <c r="V12" s="107"/>
      <c r="W12" s="107"/>
      <c r="X12" s="107"/>
    </row>
    <row r="13" spans="1:24" ht="28.5">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1171</v>
      </c>
      <c r="L13" s="53"/>
      <c r="M13" s="107"/>
      <c r="N13" s="107"/>
      <c r="O13" s="107"/>
      <c r="P13" s="107"/>
      <c r="Q13" s="107"/>
      <c r="R13" s="107"/>
      <c r="S13" s="107"/>
      <c r="T13" s="107"/>
      <c r="U13" s="107"/>
      <c r="V13" s="107"/>
      <c r="W13" s="107"/>
      <c r="X13" s="107"/>
    </row>
    <row r="14" spans="1:24" ht="57">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1422</v>
      </c>
      <c r="L14" s="103" t="s">
        <v>1423</v>
      </c>
      <c r="M14" s="106" t="s">
        <v>1424</v>
      </c>
      <c r="N14" s="107"/>
      <c r="O14" s="107"/>
      <c r="P14" s="107"/>
      <c r="Q14" s="107"/>
      <c r="R14" s="107"/>
      <c r="S14" s="107"/>
      <c r="T14" s="107"/>
      <c r="U14" s="107"/>
      <c r="V14" s="107"/>
      <c r="W14" s="107"/>
      <c r="X14" s="107"/>
    </row>
    <row r="15" spans="1:24" ht="15.75">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7"/>
      <c r="N15" s="107"/>
      <c r="O15" s="107"/>
      <c r="P15" s="107"/>
      <c r="Q15" s="107"/>
      <c r="R15" s="107"/>
      <c r="S15" s="107"/>
      <c r="T15" s="107"/>
      <c r="U15" s="107"/>
      <c r="V15" s="107"/>
      <c r="W15" s="107"/>
      <c r="X15" s="107"/>
    </row>
    <row r="16" spans="1:24" ht="28.5">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1425</v>
      </c>
      <c r="L16" s="103" t="s">
        <v>646</v>
      </c>
      <c r="M16" s="107"/>
      <c r="N16" s="107"/>
      <c r="O16" s="107"/>
      <c r="P16" s="107"/>
      <c r="Q16" s="107"/>
      <c r="R16" s="107"/>
      <c r="S16" s="107"/>
      <c r="T16" s="107"/>
      <c r="U16" s="107"/>
      <c r="V16" s="107"/>
      <c r="W16" s="107"/>
      <c r="X16" s="107"/>
    </row>
    <row r="17" spans="1:24" ht="57">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1426</v>
      </c>
      <c r="L17" s="102" t="s">
        <v>1427</v>
      </c>
      <c r="M17" s="107"/>
      <c r="N17" s="107"/>
      <c r="O17" s="107"/>
      <c r="P17" s="107"/>
      <c r="Q17" s="107"/>
      <c r="R17" s="107"/>
      <c r="S17" s="107"/>
      <c r="T17" s="107"/>
      <c r="U17" s="107"/>
      <c r="V17" s="107"/>
      <c r="W17" s="107"/>
      <c r="X17" s="107"/>
    </row>
    <row r="18" spans="1:24" ht="28.5">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1177</v>
      </c>
      <c r="L18" s="103" t="s">
        <v>1428</v>
      </c>
      <c r="M18" s="107"/>
      <c r="N18" s="107"/>
      <c r="O18" s="107"/>
      <c r="P18" s="107"/>
      <c r="Q18" s="107"/>
      <c r="R18" s="107"/>
      <c r="S18" s="107"/>
      <c r="T18" s="107"/>
      <c r="U18" s="107"/>
      <c r="V18" s="107"/>
      <c r="W18" s="107"/>
      <c r="X18" s="107"/>
    </row>
    <row r="19" spans="1:24" ht="15.75">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7"/>
      <c r="N19" s="107"/>
      <c r="O19" s="107"/>
      <c r="P19" s="107"/>
      <c r="Q19" s="107"/>
      <c r="R19" s="107"/>
      <c r="S19" s="107"/>
      <c r="T19" s="107"/>
      <c r="U19" s="107"/>
      <c r="V19" s="107"/>
      <c r="W19" s="107"/>
      <c r="X19" s="107"/>
    </row>
    <row r="20" spans="1:24" ht="71.25">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910</v>
      </c>
      <c r="L20" s="103" t="s">
        <v>1179</v>
      </c>
      <c r="M20" s="107"/>
      <c r="N20" s="107"/>
      <c r="O20" s="107"/>
      <c r="P20" s="107"/>
      <c r="Q20" s="107"/>
      <c r="R20" s="107"/>
      <c r="S20" s="107"/>
      <c r="T20" s="107"/>
      <c r="U20" s="107"/>
      <c r="V20" s="107"/>
      <c r="W20" s="107"/>
      <c r="X20" s="107"/>
    </row>
    <row r="21" spans="1:24" ht="15.75">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7"/>
      <c r="N21" s="107"/>
      <c r="O21" s="107"/>
      <c r="P21" s="107"/>
      <c r="Q21" s="107"/>
      <c r="R21" s="107"/>
      <c r="S21" s="107"/>
      <c r="T21" s="107"/>
      <c r="U21" s="107"/>
      <c r="V21" s="107"/>
      <c r="W21" s="107"/>
      <c r="X21" s="107"/>
    </row>
    <row r="22" spans="1:24" ht="15.75">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7"/>
      <c r="N22" s="107"/>
      <c r="O22" s="107"/>
      <c r="P22" s="107"/>
      <c r="Q22" s="107"/>
      <c r="R22" s="107"/>
      <c r="S22" s="107"/>
      <c r="T22" s="107"/>
      <c r="U22" s="107"/>
      <c r="V22" s="107"/>
      <c r="W22" s="107"/>
      <c r="X22" s="107"/>
    </row>
    <row r="23" spans="1:24" ht="15.75">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1180</v>
      </c>
      <c r="L23" s="102" t="s">
        <v>1429</v>
      </c>
      <c r="M23" s="107"/>
      <c r="N23" s="107"/>
      <c r="O23" s="107"/>
      <c r="P23" s="107"/>
      <c r="Q23" s="107"/>
      <c r="R23" s="107"/>
      <c r="S23" s="107"/>
      <c r="T23" s="107"/>
      <c r="U23" s="107"/>
      <c r="V23" s="107"/>
      <c r="W23" s="107"/>
      <c r="X23" s="107"/>
    </row>
    <row r="24" spans="1:24" ht="15.75">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39" t="s">
        <v>1430</v>
      </c>
      <c r="L24" s="51"/>
      <c r="M24" s="107"/>
      <c r="N24" s="107"/>
      <c r="O24" s="107"/>
      <c r="P24" s="107"/>
      <c r="Q24" s="107"/>
      <c r="R24" s="107"/>
      <c r="S24" s="107"/>
      <c r="T24" s="107"/>
      <c r="U24" s="107"/>
      <c r="V24" s="107"/>
      <c r="W24" s="107"/>
      <c r="X24" s="107"/>
    </row>
    <row r="25" spans="1:24" ht="15.75">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7"/>
      <c r="N25" s="107"/>
      <c r="O25" s="107"/>
      <c r="P25" s="107"/>
      <c r="Q25" s="107"/>
      <c r="R25" s="107"/>
      <c r="S25" s="107"/>
      <c r="T25" s="107"/>
      <c r="U25" s="107"/>
      <c r="V25" s="107"/>
      <c r="W25" s="107"/>
      <c r="X25" s="107"/>
    </row>
    <row r="26" spans="1:24" ht="15.75">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1431</v>
      </c>
      <c r="L26" s="51"/>
      <c r="M26" s="107"/>
      <c r="N26" s="107"/>
      <c r="O26" s="107"/>
      <c r="P26" s="107"/>
      <c r="Q26" s="107"/>
      <c r="R26" s="107"/>
      <c r="S26" s="107"/>
      <c r="T26" s="107"/>
      <c r="U26" s="107"/>
      <c r="V26" s="107"/>
      <c r="W26" s="107"/>
      <c r="X26" s="107"/>
    </row>
    <row r="27" spans="1:24" ht="15.75">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663</v>
      </c>
      <c r="L27" s="102" t="s">
        <v>664</v>
      </c>
      <c r="M27" s="107"/>
      <c r="N27" s="107"/>
      <c r="O27" s="107"/>
      <c r="P27" s="107"/>
      <c r="Q27" s="107"/>
      <c r="R27" s="107"/>
      <c r="S27" s="107"/>
      <c r="T27" s="107"/>
      <c r="U27" s="107"/>
      <c r="V27" s="107"/>
      <c r="W27" s="107"/>
      <c r="X27" s="107"/>
    </row>
    <row r="28" spans="1:24" ht="42.7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1432</v>
      </c>
      <c r="L28" s="103" t="s">
        <v>1433</v>
      </c>
      <c r="M28" s="106" t="s">
        <v>1434</v>
      </c>
      <c r="N28" s="107"/>
      <c r="O28" s="107"/>
      <c r="P28" s="107"/>
      <c r="Q28" s="107"/>
      <c r="R28" s="107"/>
      <c r="S28" s="107"/>
      <c r="T28" s="107"/>
      <c r="U28" s="107"/>
      <c r="V28" s="107"/>
      <c r="W28" s="107"/>
      <c r="X28" s="107"/>
    </row>
    <row r="29" spans="1:24" ht="15.75">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7"/>
      <c r="N29" s="107"/>
      <c r="O29" s="107"/>
      <c r="P29" s="107"/>
      <c r="Q29" s="107"/>
      <c r="R29" s="107"/>
      <c r="S29" s="107"/>
      <c r="T29" s="107"/>
      <c r="U29" s="107"/>
      <c r="V29" s="107"/>
      <c r="W29" s="107"/>
      <c r="X29" s="107"/>
    </row>
    <row r="30" spans="1:24" ht="15.75">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7"/>
      <c r="N30" s="107"/>
      <c r="O30" s="107"/>
      <c r="P30" s="107"/>
      <c r="Q30" s="107"/>
      <c r="R30" s="107"/>
      <c r="S30" s="107"/>
      <c r="T30" s="107"/>
      <c r="U30" s="107"/>
      <c r="V30" s="107"/>
      <c r="W30" s="107"/>
      <c r="X30" s="107"/>
    </row>
    <row r="31" spans="1:24" ht="15.75">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7"/>
      <c r="N31" s="107"/>
      <c r="O31" s="107"/>
      <c r="P31" s="107"/>
      <c r="Q31" s="107"/>
      <c r="R31" s="107"/>
      <c r="S31" s="107"/>
      <c r="T31" s="107"/>
      <c r="U31" s="107"/>
      <c r="V31" s="107"/>
      <c r="W31" s="107"/>
      <c r="X31" s="107"/>
    </row>
    <row r="32" spans="1:24" ht="15.75">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7"/>
      <c r="N32" s="107"/>
      <c r="O32" s="107"/>
      <c r="P32" s="107"/>
      <c r="Q32" s="107"/>
      <c r="R32" s="107"/>
      <c r="S32" s="107"/>
      <c r="T32" s="107"/>
      <c r="U32" s="107"/>
      <c r="V32" s="107"/>
      <c r="W32" s="107"/>
      <c r="X32" s="107"/>
    </row>
    <row r="33" spans="1:24" ht="15.75">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7"/>
      <c r="N33" s="107"/>
      <c r="O33" s="107"/>
      <c r="P33" s="107"/>
      <c r="Q33" s="107"/>
      <c r="R33" s="107"/>
      <c r="S33" s="107"/>
      <c r="T33" s="107"/>
      <c r="U33" s="107"/>
      <c r="V33" s="107"/>
      <c r="W33" s="107"/>
      <c r="X33" s="107"/>
    </row>
    <row r="34" spans="1:24" ht="28.5">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1435</v>
      </c>
      <c r="L34" s="103" t="s">
        <v>1436</v>
      </c>
      <c r="M34" s="107"/>
      <c r="N34" s="107"/>
      <c r="O34" s="107"/>
      <c r="P34" s="107"/>
      <c r="Q34" s="107"/>
      <c r="R34" s="107"/>
      <c r="S34" s="107"/>
      <c r="T34" s="107"/>
      <c r="U34" s="107"/>
      <c r="V34" s="107"/>
      <c r="W34" s="107"/>
      <c r="X34" s="107"/>
    </row>
    <row r="35" spans="1:24" ht="28.5">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1437</v>
      </c>
      <c r="L35" s="102" t="s">
        <v>1438</v>
      </c>
      <c r="M35" s="107"/>
      <c r="N35" s="107"/>
      <c r="O35" s="107"/>
      <c r="P35" s="107"/>
      <c r="Q35" s="107"/>
      <c r="R35" s="107"/>
      <c r="S35" s="107"/>
      <c r="T35" s="107"/>
      <c r="U35" s="107"/>
      <c r="V35" s="107"/>
      <c r="W35" s="107"/>
      <c r="X35" s="107"/>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1188</v>
      </c>
      <c r="L36" s="51"/>
      <c r="M36" s="107"/>
      <c r="N36" s="107"/>
      <c r="O36" s="107"/>
      <c r="P36" s="107"/>
      <c r="Q36" s="107"/>
      <c r="R36" s="107"/>
      <c r="S36" s="107"/>
      <c r="T36" s="107"/>
      <c r="U36" s="107"/>
      <c r="V36" s="107"/>
      <c r="W36" s="107"/>
      <c r="X36" s="107"/>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1439</v>
      </c>
      <c r="L37" s="102" t="s">
        <v>1440</v>
      </c>
      <c r="M37" s="107"/>
      <c r="N37" s="107"/>
      <c r="O37" s="107"/>
      <c r="P37" s="107"/>
      <c r="Q37" s="107"/>
      <c r="R37" s="107"/>
      <c r="S37" s="107"/>
      <c r="T37" s="107"/>
      <c r="U37" s="107"/>
      <c r="V37" s="107"/>
      <c r="W37" s="107"/>
      <c r="X37" s="107"/>
    </row>
    <row r="38" spans="1:24" ht="28.5">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927</v>
      </c>
      <c r="L38" s="103" t="s">
        <v>672</v>
      </c>
      <c r="M38" s="107"/>
      <c r="N38" s="107"/>
      <c r="O38" s="107"/>
      <c r="P38" s="107"/>
      <c r="Q38" s="107"/>
      <c r="R38" s="107"/>
      <c r="S38" s="107"/>
      <c r="T38" s="107"/>
      <c r="U38" s="107"/>
      <c r="V38" s="107"/>
      <c r="W38" s="107"/>
      <c r="X38" s="107"/>
    </row>
    <row r="39" spans="1:24" ht="28.5">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1441</v>
      </c>
      <c r="L39" s="102" t="s">
        <v>1442</v>
      </c>
      <c r="M39" s="107"/>
      <c r="N39" s="107"/>
      <c r="O39" s="107"/>
      <c r="P39" s="107"/>
      <c r="Q39" s="107"/>
      <c r="R39" s="107"/>
      <c r="S39" s="107"/>
      <c r="T39" s="107"/>
      <c r="U39" s="107"/>
      <c r="V39" s="107"/>
      <c r="W39" s="107"/>
      <c r="X39" s="107"/>
    </row>
    <row r="40" spans="1:24" ht="28.5">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1443</v>
      </c>
      <c r="L40" s="103" t="s">
        <v>929</v>
      </c>
      <c r="M40" s="107"/>
      <c r="N40" s="107"/>
      <c r="O40" s="107"/>
      <c r="P40" s="107"/>
      <c r="Q40" s="107"/>
      <c r="R40" s="107"/>
      <c r="S40" s="107"/>
      <c r="T40" s="107"/>
      <c r="U40" s="107"/>
      <c r="V40" s="107"/>
      <c r="W40" s="107"/>
      <c r="X40" s="107"/>
    </row>
    <row r="41" spans="1:24" ht="15.75">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1444</v>
      </c>
      <c r="L41" s="53"/>
      <c r="M41" s="107"/>
      <c r="N41" s="107"/>
      <c r="O41" s="107"/>
      <c r="P41" s="107"/>
      <c r="Q41" s="107"/>
      <c r="R41" s="107"/>
      <c r="S41" s="107"/>
      <c r="T41" s="107"/>
      <c r="U41" s="107"/>
      <c r="V41" s="107"/>
      <c r="W41" s="107"/>
      <c r="X41" s="107"/>
    </row>
    <row r="42" spans="1:24" ht="42.7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1445</v>
      </c>
      <c r="L42" s="103" t="s">
        <v>1446</v>
      </c>
      <c r="M42" s="107"/>
      <c r="N42" s="107"/>
      <c r="O42" s="107"/>
      <c r="P42" s="107"/>
      <c r="Q42" s="107"/>
      <c r="R42" s="107"/>
      <c r="S42" s="107"/>
      <c r="T42" s="107"/>
      <c r="U42" s="107"/>
      <c r="V42" s="107"/>
      <c r="W42" s="107"/>
      <c r="X42" s="107"/>
    </row>
    <row r="43" spans="1:24" ht="42.75">
      <c r="A43" s="28" t="str">
        <v>Q490</v>
      </c>
      <c r="B43" s="25" t="str">
        <v>NY</v>
      </c>
      <c r="C43" s="25" t="str">
        <f>Sites[[#This Row],[SOL'#]]</f>
        <v>SOL-10411</v>
      </c>
      <c r="D43" s="20">
        <v>54376.138749999896</v>
      </c>
      <c r="E43" s="10" t="s">
        <v>656</v>
      </c>
      <c r="F43" s="10" t="str">
        <f t="shared" si="0"/>
        <v/>
      </c>
      <c r="G43" s="11" t="str">
        <f t="shared" si="1"/>
        <v/>
      </c>
      <c r="H43" s="12">
        <v>52505.61</v>
      </c>
      <c r="I43" s="12">
        <f t="shared" si="2"/>
        <v>1870.5287499998958</v>
      </c>
      <c r="J43" s="13">
        <f t="shared" si="3"/>
        <v>3.562531222853893E-2</v>
      </c>
      <c r="K43" s="53" t="s">
        <v>1197</v>
      </c>
      <c r="L43" s="102" t="s">
        <v>229</v>
      </c>
      <c r="M43" s="107"/>
      <c r="N43" s="107"/>
      <c r="O43" s="107"/>
      <c r="P43" s="107"/>
      <c r="Q43" s="107"/>
      <c r="R43" s="107"/>
      <c r="S43" s="107"/>
      <c r="T43" s="107"/>
      <c r="U43" s="107"/>
      <c r="V43" s="107"/>
      <c r="W43" s="107"/>
      <c r="X43" s="107"/>
    </row>
    <row r="44" spans="1:24" ht="15.75">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1447</v>
      </c>
      <c r="L44" s="103" t="s">
        <v>1448</v>
      </c>
      <c r="M44" s="107"/>
      <c r="N44" s="107"/>
      <c r="O44" s="107"/>
      <c r="P44" s="107"/>
      <c r="Q44" s="107"/>
      <c r="R44" s="107"/>
      <c r="S44" s="107"/>
      <c r="T44" s="107"/>
      <c r="U44" s="107"/>
      <c r="V44" s="107"/>
      <c r="W44" s="107"/>
      <c r="X44" s="107"/>
    </row>
    <row r="45" spans="1:24" ht="15.75">
      <c r="A45" s="28" t="str">
        <v>QMOA</v>
      </c>
      <c r="B45" s="25" t="str">
        <v>NY</v>
      </c>
      <c r="C45" s="25" t="str">
        <f>Sites[[#This Row],[SOL'#]]</f>
        <v>SOL-10415</v>
      </c>
      <c r="D45" s="20">
        <v>7003.7</v>
      </c>
      <c r="E45" s="10" t="s">
        <v>656</v>
      </c>
      <c r="F45" s="10" t="str">
        <f t="shared" si="0"/>
        <v/>
      </c>
      <c r="G45" s="11" t="str">
        <f t="shared" si="1"/>
        <v/>
      </c>
      <c r="H45" s="12">
        <v>7555.0460000000003</v>
      </c>
      <c r="I45" s="12">
        <f t="shared" si="2"/>
        <v>-551.34600000000046</v>
      </c>
      <c r="J45" s="13">
        <f t="shared" si="3"/>
        <v>-7.2977186373186925E-2</v>
      </c>
      <c r="K45" s="53"/>
      <c r="L45" s="53"/>
      <c r="M45" s="107"/>
      <c r="N45" s="107"/>
      <c r="O45" s="107"/>
      <c r="P45" s="107"/>
      <c r="Q45" s="107"/>
      <c r="R45" s="107"/>
      <c r="S45" s="107"/>
      <c r="T45" s="107"/>
      <c r="U45" s="107"/>
      <c r="V45" s="107"/>
      <c r="W45" s="107"/>
      <c r="X45" s="107"/>
    </row>
    <row r="46" spans="1:24" ht="15.75">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1449</v>
      </c>
      <c r="L46" s="103" t="s">
        <v>231</v>
      </c>
      <c r="M46" s="107"/>
      <c r="N46" s="107"/>
      <c r="O46" s="107"/>
      <c r="P46" s="107"/>
      <c r="Q46" s="107"/>
      <c r="R46" s="107"/>
      <c r="S46" s="107"/>
      <c r="T46" s="107"/>
      <c r="U46" s="107"/>
      <c r="V46" s="107"/>
      <c r="W46" s="107"/>
      <c r="X46" s="107"/>
    </row>
    <row r="47" spans="1:24" ht="15.75">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939</v>
      </c>
      <c r="L47" s="102" t="s">
        <v>685</v>
      </c>
      <c r="M47" s="107"/>
      <c r="N47" s="107"/>
      <c r="O47" s="107"/>
      <c r="P47" s="107"/>
      <c r="Q47" s="107"/>
      <c r="R47" s="107"/>
      <c r="S47" s="107"/>
      <c r="T47" s="107"/>
      <c r="U47" s="107"/>
      <c r="V47" s="107"/>
      <c r="W47" s="107"/>
      <c r="X47" s="107"/>
    </row>
    <row r="48" spans="1:24" ht="42.7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1450</v>
      </c>
      <c r="L48" s="103" t="s">
        <v>1451</v>
      </c>
      <c r="M48" s="106" t="s">
        <v>1452</v>
      </c>
      <c r="N48" s="107"/>
      <c r="O48" s="107"/>
      <c r="P48" s="107"/>
      <c r="Q48" s="107"/>
      <c r="R48" s="107"/>
      <c r="S48" s="107"/>
      <c r="T48" s="107"/>
      <c r="U48" s="107"/>
      <c r="V48" s="107"/>
      <c r="W48" s="107"/>
      <c r="X48" s="107"/>
    </row>
    <row r="49" spans="1:24" ht="15.75">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7"/>
      <c r="N49" s="107"/>
      <c r="O49" s="107"/>
      <c r="P49" s="107"/>
      <c r="Q49" s="107"/>
      <c r="R49" s="107"/>
      <c r="S49" s="107"/>
      <c r="T49" s="107"/>
      <c r="U49" s="107"/>
      <c r="V49" s="107"/>
      <c r="W49" s="107"/>
      <c r="X49" s="107"/>
    </row>
    <row r="50" spans="1:24" ht="15.75">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7"/>
      <c r="N50" s="107"/>
      <c r="O50" s="107"/>
      <c r="P50" s="107"/>
      <c r="Q50" s="107"/>
      <c r="R50" s="107"/>
      <c r="S50" s="107"/>
      <c r="T50" s="107"/>
      <c r="U50" s="107"/>
      <c r="V50" s="107"/>
      <c r="W50" s="107"/>
      <c r="X50" s="107"/>
    </row>
    <row r="51" spans="1:24" ht="15.75">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7"/>
      <c r="N51" s="107"/>
      <c r="O51" s="107"/>
      <c r="P51" s="107"/>
      <c r="Q51" s="107"/>
      <c r="R51" s="107"/>
      <c r="S51" s="107"/>
      <c r="T51" s="107"/>
      <c r="U51" s="107"/>
      <c r="V51" s="107"/>
      <c r="W51" s="107"/>
      <c r="X51" s="107"/>
    </row>
    <row r="52" spans="1:24" ht="15.75">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1453</v>
      </c>
      <c r="L52" s="103" t="s">
        <v>1454</v>
      </c>
      <c r="M52" s="107"/>
      <c r="N52" s="107"/>
      <c r="O52" s="107"/>
      <c r="P52" s="107"/>
      <c r="Q52" s="107"/>
      <c r="R52" s="107"/>
      <c r="S52" s="107"/>
      <c r="T52" s="107"/>
      <c r="U52" s="107"/>
      <c r="V52" s="107"/>
      <c r="W52" s="107"/>
      <c r="X52" s="107"/>
    </row>
    <row r="53" spans="1:24" ht="15.75">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7"/>
      <c r="N53" s="107"/>
      <c r="O53" s="107"/>
      <c r="P53" s="107"/>
      <c r="Q53" s="107"/>
      <c r="R53" s="107"/>
      <c r="S53" s="107"/>
      <c r="T53" s="107"/>
      <c r="U53" s="107"/>
      <c r="V53" s="107"/>
      <c r="W53" s="107"/>
      <c r="X53" s="107"/>
    </row>
    <row r="54" spans="1:24" ht="15.75">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7"/>
      <c r="N54" s="107"/>
      <c r="O54" s="107"/>
      <c r="P54" s="107"/>
      <c r="Q54" s="107"/>
      <c r="R54" s="107"/>
      <c r="S54" s="107"/>
      <c r="T54" s="107"/>
      <c r="U54" s="107"/>
      <c r="V54" s="107"/>
      <c r="W54" s="107"/>
      <c r="X54" s="107"/>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11"/>
      <c r="L55" s="53"/>
      <c r="M55" s="107"/>
      <c r="N55" s="107"/>
      <c r="O55" s="107"/>
      <c r="P55" s="107"/>
      <c r="Q55" s="107"/>
      <c r="R55" s="107"/>
      <c r="S55" s="107"/>
      <c r="T55" s="107"/>
      <c r="U55" s="107"/>
      <c r="V55" s="107"/>
      <c r="W55" s="107"/>
      <c r="X55" s="107"/>
    </row>
    <row r="56" spans="1:24" ht="99.75">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1455</v>
      </c>
      <c r="L56" s="103" t="s">
        <v>1456</v>
      </c>
      <c r="M56" s="106" t="s">
        <v>949</v>
      </c>
      <c r="N56" s="106" t="s">
        <v>1457</v>
      </c>
      <c r="O56" s="106" t="s">
        <v>1458</v>
      </c>
      <c r="P56" s="107"/>
      <c r="Q56" s="107"/>
      <c r="R56" s="107"/>
      <c r="S56" s="107"/>
      <c r="T56" s="107"/>
      <c r="U56" s="107"/>
      <c r="V56" s="107"/>
      <c r="W56" s="107"/>
      <c r="X56" s="107"/>
    </row>
    <row r="57" spans="1:24" ht="15.75">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1459</v>
      </c>
      <c r="L57" s="102" t="s">
        <v>1460</v>
      </c>
      <c r="M57" s="107"/>
      <c r="N57" s="107"/>
      <c r="O57" s="107"/>
      <c r="P57" s="107"/>
      <c r="Q57" s="107"/>
      <c r="R57" s="107"/>
      <c r="S57" s="107"/>
      <c r="T57" s="107"/>
      <c r="U57" s="107"/>
      <c r="V57" s="107"/>
      <c r="W57" s="107"/>
      <c r="X57" s="107"/>
    </row>
    <row r="58" spans="1:24" ht="69.75" customHeight="1">
      <c r="A58" s="26" t="str">
        <v>Boas Road 04</v>
      </c>
      <c r="B58" s="27" t="str">
        <v>NY</v>
      </c>
      <c r="C58" s="27" t="str">
        <f>Sites[[#This Row],[SOL'#]]</f>
        <v>SOL-10908</v>
      </c>
      <c r="D58" s="9">
        <v>0</v>
      </c>
      <c r="E58" s="14">
        <v>418297.2</v>
      </c>
      <c r="F58" s="14"/>
      <c r="G58" s="14">
        <f t="shared" si="7"/>
        <v>0</v>
      </c>
      <c r="H58" s="16">
        <v>421307.46</v>
      </c>
      <c r="I58" s="16">
        <f t="shared" si="4"/>
        <v>-421307.46</v>
      </c>
      <c r="J58" s="15">
        <f t="shared" si="5"/>
        <v>-1</v>
      </c>
      <c r="K58" s="140" t="s">
        <v>1461</v>
      </c>
      <c r="L58" s="103" t="s">
        <v>1462</v>
      </c>
      <c r="M58" s="106" t="s">
        <v>1217</v>
      </c>
      <c r="N58" s="106" t="s">
        <v>1463</v>
      </c>
      <c r="O58" s="107"/>
      <c r="P58" s="107"/>
      <c r="Q58" s="107"/>
      <c r="R58" s="107"/>
      <c r="S58" s="107"/>
      <c r="T58" s="107"/>
      <c r="U58" s="107"/>
      <c r="V58" s="107"/>
      <c r="W58" s="107"/>
      <c r="X58" s="107"/>
    </row>
    <row r="59" spans="1:24" ht="149.25" customHeight="1">
      <c r="A59" s="28" t="str">
        <v>Kelly Bridge Farm</v>
      </c>
      <c r="B59" s="25" t="str">
        <v>NY</v>
      </c>
      <c r="C59" s="25" t="str">
        <f>Sites[[#This Row],[SOL'#]]</f>
        <v>SOL-10911</v>
      </c>
      <c r="D59" s="20">
        <v>356939</v>
      </c>
      <c r="E59" s="10">
        <v>395735.4</v>
      </c>
      <c r="F59" s="10"/>
      <c r="G59" s="11">
        <f t="shared" si="7"/>
        <v>0</v>
      </c>
      <c r="H59" s="12">
        <v>409604.48</v>
      </c>
      <c r="I59" s="12">
        <f t="shared" si="4"/>
        <v>-52665.479999999981</v>
      </c>
      <c r="J59" s="13">
        <f t="shared" si="5"/>
        <v>-0.12857642572659359</v>
      </c>
      <c r="K59" s="73" t="s">
        <v>1464</v>
      </c>
      <c r="L59" s="102" t="s">
        <v>1465</v>
      </c>
      <c r="M59" s="106" t="s">
        <v>1223</v>
      </c>
      <c r="N59" s="106" t="s">
        <v>1466</v>
      </c>
      <c r="O59" s="106" t="s">
        <v>1223</v>
      </c>
      <c r="P59" s="106" t="s">
        <v>1467</v>
      </c>
      <c r="Q59" s="107"/>
      <c r="R59" s="107"/>
      <c r="S59" s="107"/>
      <c r="T59" s="107"/>
      <c r="U59" s="107"/>
      <c r="V59" s="107"/>
      <c r="W59" s="107"/>
      <c r="X59" s="107"/>
    </row>
    <row r="60" spans="1:24" ht="42.75">
      <c r="A60" s="26" t="str">
        <v>Pool Brook Road</v>
      </c>
      <c r="B60" s="27" t="str">
        <v>NY</v>
      </c>
      <c r="C60" s="27" t="str">
        <f>Sites[[#This Row],[SOL'#]]</f>
        <v>SOL-10909</v>
      </c>
      <c r="D60" s="9">
        <v>304116</v>
      </c>
      <c r="E60" s="14">
        <v>391072.41</v>
      </c>
      <c r="F60" s="14"/>
      <c r="G60" s="15">
        <f t="shared" si="7"/>
        <v>0</v>
      </c>
      <c r="H60" s="16">
        <v>388129.3</v>
      </c>
      <c r="I60" s="16">
        <f t="shared" si="4"/>
        <v>-84013.299999999988</v>
      </c>
      <c r="J60" s="15">
        <f t="shared" si="5"/>
        <v>-0.21645698997730908</v>
      </c>
      <c r="K60" s="51" t="s">
        <v>1468</v>
      </c>
      <c r="L60" s="103" t="s">
        <v>1469</v>
      </c>
      <c r="M60" s="106" t="s">
        <v>1470</v>
      </c>
      <c r="N60" s="107"/>
      <c r="O60" s="107"/>
      <c r="P60" s="107"/>
      <c r="Q60" s="107"/>
      <c r="R60" s="107"/>
      <c r="S60" s="107"/>
      <c r="T60" s="107"/>
      <c r="U60" s="107"/>
      <c r="V60" s="107"/>
      <c r="W60" s="107"/>
      <c r="X60" s="107"/>
    </row>
    <row r="61" spans="1:24" ht="28.5">
      <c r="A61" s="28" t="str">
        <v>Sackett Lake</v>
      </c>
      <c r="B61" s="25" t="str">
        <v>NY</v>
      </c>
      <c r="C61" s="25" t="str">
        <f>Sites[[#This Row],[SOL'#]]</f>
        <v>SOL-10910</v>
      </c>
      <c r="D61" s="20">
        <v>372255</v>
      </c>
      <c r="E61" s="10">
        <v>182350.26</v>
      </c>
      <c r="F61" s="10"/>
      <c r="G61" s="11">
        <f t="shared" si="7"/>
        <v>0</v>
      </c>
      <c r="H61" s="12">
        <v>401920.7</v>
      </c>
      <c r="I61" s="12">
        <f t="shared" si="4"/>
        <v>-29665.700000000012</v>
      </c>
      <c r="J61" s="13">
        <f t="shared" si="5"/>
        <v>-7.3809833631360636E-2</v>
      </c>
      <c r="K61" s="53" t="s">
        <v>1471</v>
      </c>
      <c r="L61" s="102" t="s">
        <v>1472</v>
      </c>
      <c r="M61" s="107"/>
      <c r="N61" s="107"/>
      <c r="O61" s="107"/>
      <c r="P61" s="107"/>
      <c r="Q61" s="107"/>
      <c r="R61" s="107"/>
      <c r="S61" s="107"/>
      <c r="T61" s="107"/>
      <c r="U61" s="107"/>
      <c r="V61" s="107"/>
      <c r="W61" s="107"/>
      <c r="X61" s="107"/>
    </row>
    <row r="62" spans="1:24" ht="15.75">
      <c r="A62" s="26" t="str">
        <v>Burritt Road</v>
      </c>
      <c r="B62" s="27" t="str">
        <v>NY</v>
      </c>
      <c r="C62" s="27" t="str">
        <f>Sites[[#This Row],[SOL'#]]</f>
        <v>SOL-10913</v>
      </c>
      <c r="D62" s="9">
        <v>439000</v>
      </c>
      <c r="E62" s="14">
        <v>460347.77</v>
      </c>
      <c r="F62" s="14"/>
      <c r="G62" s="15">
        <f t="shared" si="7"/>
        <v>0</v>
      </c>
      <c r="H62" s="16">
        <v>411700.36</v>
      </c>
      <c r="I62" s="16">
        <f t="shared" si="4"/>
        <v>27299.640000000014</v>
      </c>
      <c r="J62" s="15">
        <f t="shared" si="5"/>
        <v>6.6309487803216924E-2</v>
      </c>
      <c r="K62" s="51"/>
      <c r="L62" s="51"/>
      <c r="M62" s="107"/>
      <c r="N62" s="107"/>
      <c r="O62" s="107"/>
      <c r="P62" s="107"/>
      <c r="Q62" s="107"/>
      <c r="R62" s="107"/>
      <c r="S62" s="107"/>
      <c r="T62" s="107"/>
      <c r="U62" s="107"/>
      <c r="V62" s="107"/>
      <c r="W62" s="107"/>
      <c r="X62" s="107"/>
    </row>
    <row r="63" spans="1:24" ht="28.5">
      <c r="A63" s="28" t="str">
        <v>Villa Roma 1</v>
      </c>
      <c r="B63" s="25" t="str">
        <v>NY</v>
      </c>
      <c r="C63" s="25" t="str">
        <f>Sites[[#This Row],[SOL'#]]</f>
        <v>SOL-10914</v>
      </c>
      <c r="D63" s="20">
        <v>338515</v>
      </c>
      <c r="E63" s="10">
        <v>3881.75</v>
      </c>
      <c r="F63" s="10"/>
      <c r="G63" s="11">
        <f t="shared" si="7"/>
        <v>0</v>
      </c>
      <c r="H63" s="12">
        <v>360546.51</v>
      </c>
      <c r="I63" s="12">
        <f t="shared" si="4"/>
        <v>-22031.510000000009</v>
      </c>
      <c r="J63" s="13">
        <f t="shared" si="5"/>
        <v>-6.1105875078363701E-2</v>
      </c>
      <c r="K63" s="53" t="s">
        <v>962</v>
      </c>
      <c r="L63" s="102" t="s">
        <v>963</v>
      </c>
      <c r="M63" s="107"/>
      <c r="N63" s="107"/>
      <c r="O63" s="107"/>
      <c r="P63" s="107"/>
      <c r="Q63" s="107"/>
      <c r="R63" s="107"/>
      <c r="S63" s="107"/>
      <c r="T63" s="107"/>
      <c r="U63" s="107"/>
      <c r="V63" s="107"/>
      <c r="W63" s="107"/>
      <c r="X63" s="107"/>
    </row>
    <row r="64" spans="1:24" ht="15.75">
      <c r="A64" s="26" t="str">
        <v>Villa Roma 2</v>
      </c>
      <c r="B64" s="27" t="str">
        <v>NY</v>
      </c>
      <c r="C64" s="27" t="str">
        <f>Sites[[#This Row],[SOL'#]]</f>
        <v>SOL-10915</v>
      </c>
      <c r="D64" s="9">
        <v>327962</v>
      </c>
      <c r="E64" s="14">
        <v>355213.51</v>
      </c>
      <c r="F64" s="14"/>
      <c r="G64" s="15">
        <f t="shared" si="7"/>
        <v>0</v>
      </c>
      <c r="H64" s="16">
        <v>349710.41</v>
      </c>
      <c r="I64" s="16">
        <f t="shared" si="4"/>
        <v>-21748.409999999974</v>
      </c>
      <c r="J64" s="15">
        <f t="shared" si="5"/>
        <v>-6.2189770101496192E-2</v>
      </c>
      <c r="K64" s="51"/>
      <c r="L64" s="51"/>
      <c r="M64" s="107"/>
      <c r="N64" s="107"/>
      <c r="O64" s="107"/>
      <c r="P64" s="107"/>
      <c r="Q64" s="107"/>
      <c r="R64" s="107"/>
      <c r="S64" s="107"/>
      <c r="T64" s="107"/>
      <c r="U64" s="107"/>
      <c r="V64" s="107"/>
      <c r="W64" s="107"/>
      <c r="X64" s="107"/>
    </row>
    <row r="65" spans="1:29" ht="28.5">
      <c r="A65" s="28" t="str">
        <v>Washington 1</v>
      </c>
      <c r="B65" s="25" t="str">
        <v>NY</v>
      </c>
      <c r="C65" s="25" t="str">
        <f>Sites[[#This Row],[SOL'#]]</f>
        <v>SOL-10912</v>
      </c>
      <c r="D65" s="20">
        <v>414100</v>
      </c>
      <c r="E65" s="10">
        <v>455057.17</v>
      </c>
      <c r="F65" s="10"/>
      <c r="G65" s="11">
        <f t="shared" si="7"/>
        <v>0</v>
      </c>
      <c r="H65" s="12">
        <v>406846.2</v>
      </c>
      <c r="I65" s="12">
        <f t="shared" si="4"/>
        <v>7253.7999999999884</v>
      </c>
      <c r="J65" s="13">
        <f t="shared" si="5"/>
        <v>1.7829341898732219E-2</v>
      </c>
      <c r="K65" s="53" t="s">
        <v>1473</v>
      </c>
      <c r="L65" s="102" t="s">
        <v>1231</v>
      </c>
      <c r="M65" s="107"/>
      <c r="N65" s="107"/>
      <c r="O65" s="107"/>
      <c r="P65" s="107"/>
      <c r="Q65" s="107"/>
      <c r="R65" s="107"/>
      <c r="S65" s="107"/>
      <c r="T65" s="107"/>
      <c r="U65" s="107"/>
      <c r="V65" s="107"/>
      <c r="W65" s="107"/>
      <c r="X65" s="107"/>
    </row>
    <row r="66" spans="1:29" ht="85.5">
      <c r="A66" s="26" t="str">
        <v>Washington 3</v>
      </c>
      <c r="B66" s="27" t="str">
        <v>NY</v>
      </c>
      <c r="C66" s="27" t="str">
        <f>Sites[[#This Row],[SOL'#]]</f>
        <v>SOL-10828</v>
      </c>
      <c r="D66" s="9">
        <v>468035</v>
      </c>
      <c r="E66" s="14">
        <v>1177020.71</v>
      </c>
      <c r="F66" s="14"/>
      <c r="G66" s="15">
        <f t="shared" si="7"/>
        <v>0</v>
      </c>
      <c r="H66" s="16">
        <v>497085.28</v>
      </c>
      <c r="I66" s="16">
        <f t="shared" si="4"/>
        <v>-29050.280000000028</v>
      </c>
      <c r="J66" s="15">
        <f t="shared" si="5"/>
        <v>-5.8441239700358916E-2</v>
      </c>
      <c r="K66" s="51" t="s">
        <v>1474</v>
      </c>
      <c r="L66" s="103" t="s">
        <v>1475</v>
      </c>
      <c r="M66" s="106" t="s">
        <v>714</v>
      </c>
      <c r="N66" s="107"/>
      <c r="O66" s="107"/>
      <c r="P66" s="107"/>
      <c r="Q66" s="107"/>
      <c r="R66" s="107"/>
      <c r="S66" s="107"/>
      <c r="T66" s="107"/>
      <c r="U66" s="107"/>
      <c r="V66" s="107"/>
      <c r="W66" s="107"/>
      <c r="X66" s="107"/>
    </row>
    <row r="67" spans="1:29" ht="15.75">
      <c r="A67" s="28" t="str">
        <v>Washington 4</v>
      </c>
      <c r="B67" s="25" t="str">
        <v>NY</v>
      </c>
      <c r="C67" s="25" t="str">
        <f>Sites[[#This Row],[SOL'#]]</f>
        <v>SOL-10829</v>
      </c>
      <c r="D67" s="20">
        <v>512454</v>
      </c>
      <c r="E67" s="10">
        <v>540275.93000000005</v>
      </c>
      <c r="F67" s="10"/>
      <c r="G67" s="11">
        <f t="shared" si="7"/>
        <v>0</v>
      </c>
      <c r="H67" s="12">
        <v>498240.8</v>
      </c>
      <c r="I67" s="12">
        <f t="shared" si="4"/>
        <v>14213.200000000012</v>
      </c>
      <c r="J67" s="13">
        <f t="shared" si="5"/>
        <v>2.8526768582580977E-2</v>
      </c>
      <c r="K67" s="53"/>
      <c r="L67" s="53"/>
      <c r="M67" s="107"/>
      <c r="N67" s="107"/>
      <c r="O67" s="107"/>
      <c r="P67" s="107"/>
      <c r="Q67" s="107"/>
      <c r="R67" s="107"/>
      <c r="S67" s="107"/>
      <c r="T67" s="107"/>
      <c r="U67" s="107"/>
      <c r="V67" s="107"/>
      <c r="W67" s="107"/>
      <c r="X67" s="107"/>
    </row>
    <row r="68" spans="1:29" ht="15.75">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1476</v>
      </c>
      <c r="L68" s="103" t="s">
        <v>1477</v>
      </c>
      <c r="M68" s="107"/>
      <c r="N68" s="107"/>
      <c r="O68" s="107"/>
      <c r="P68" s="107"/>
      <c r="Q68" s="107"/>
      <c r="R68" s="107"/>
      <c r="S68" s="107"/>
      <c r="T68" s="107"/>
      <c r="U68" s="107"/>
      <c r="V68" s="107"/>
      <c r="W68" s="107"/>
      <c r="X68" s="107"/>
    </row>
    <row r="69" spans="1:29" ht="71.25">
      <c r="A69" s="28" t="str">
        <v>Canoga</v>
      </c>
      <c r="B69" s="25" t="str">
        <v>NY</v>
      </c>
      <c r="C69" s="25" t="str">
        <f>Sites[[#This Row],[SOL'#]]</f>
        <v>SOL-10965</v>
      </c>
      <c r="D69" s="20">
        <v>564710</v>
      </c>
      <c r="E69" s="10" t="s">
        <v>656</v>
      </c>
      <c r="F69" s="10" t="str">
        <f t="shared" si="6"/>
        <v/>
      </c>
      <c r="G69" s="11" t="str">
        <f t="shared" si="7"/>
        <v/>
      </c>
      <c r="H69" s="12">
        <v>0</v>
      </c>
      <c r="I69" s="12">
        <f t="shared" si="4"/>
        <v>564710</v>
      </c>
      <c r="J69" s="13" t="str">
        <f t="shared" si="5"/>
        <v/>
      </c>
      <c r="K69" s="53" t="s">
        <v>1478</v>
      </c>
      <c r="L69" s="102" t="s">
        <v>1479</v>
      </c>
      <c r="M69" s="106" t="s">
        <v>1480</v>
      </c>
      <c r="N69" s="107"/>
      <c r="O69" s="107"/>
      <c r="P69" s="107"/>
      <c r="Q69" s="107"/>
      <c r="R69" s="107"/>
      <c r="S69" s="107"/>
      <c r="T69" s="107"/>
      <c r="U69" s="107"/>
      <c r="V69" s="107"/>
      <c r="W69" s="107"/>
      <c r="X69" s="107"/>
    </row>
    <row r="70" spans="1:29" ht="85.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1481</v>
      </c>
      <c r="L70" s="103" t="s">
        <v>1482</v>
      </c>
      <c r="M70" s="106" t="s">
        <v>1483</v>
      </c>
      <c r="N70" s="107"/>
      <c r="O70" s="107"/>
      <c r="P70" s="107"/>
      <c r="Q70" s="107"/>
      <c r="R70" s="107"/>
      <c r="S70" s="107"/>
      <c r="T70" s="107"/>
      <c r="U70" s="107"/>
      <c r="V70" s="107"/>
      <c r="W70" s="107"/>
      <c r="X70" s="107"/>
    </row>
    <row r="71" spans="1:29" ht="42.75">
      <c r="A71" s="28" t="str">
        <v>Donati</v>
      </c>
      <c r="B71" s="25" t="str">
        <v>NY</v>
      </c>
      <c r="C71" s="25" t="str">
        <f>Sites[[#This Row],[SOL'#]]</f>
        <v>SOL-10968</v>
      </c>
      <c r="D71" s="20">
        <v>547550</v>
      </c>
      <c r="E71" s="10" t="s">
        <v>656</v>
      </c>
      <c r="F71" s="10" t="str">
        <f t="shared" si="6"/>
        <v/>
      </c>
      <c r="G71" s="11" t="str">
        <f t="shared" si="7"/>
        <v/>
      </c>
      <c r="H71" s="12">
        <v>545503.25</v>
      </c>
      <c r="I71" s="12">
        <f t="shared" si="4"/>
        <v>2046.75</v>
      </c>
      <c r="J71" s="13">
        <f t="shared" si="5"/>
        <v>3.7520399740973128E-3</v>
      </c>
      <c r="K71" s="53" t="s">
        <v>1244</v>
      </c>
      <c r="L71" s="102" t="s">
        <v>1245</v>
      </c>
      <c r="M71" s="106" t="s">
        <v>83</v>
      </c>
      <c r="N71" s="106" t="s">
        <v>723</v>
      </c>
      <c r="O71" s="107"/>
      <c r="P71" s="107"/>
      <c r="Q71" s="107"/>
      <c r="R71" s="107"/>
      <c r="S71" s="107"/>
      <c r="T71" s="107"/>
      <c r="U71" s="107"/>
      <c r="V71" s="107"/>
      <c r="W71" s="107"/>
      <c r="X71" s="107"/>
    </row>
    <row r="72" spans="1:29" ht="15.75">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7"/>
      <c r="N72" s="107"/>
      <c r="O72" s="107"/>
      <c r="P72" s="107"/>
      <c r="Q72" s="107"/>
      <c r="R72" s="107"/>
      <c r="S72" s="107"/>
      <c r="T72" s="107"/>
      <c r="U72" s="107"/>
      <c r="V72" s="107"/>
      <c r="W72" s="107"/>
      <c r="X72" s="107"/>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1484</v>
      </c>
      <c r="L73" s="102" t="s">
        <v>1485</v>
      </c>
      <c r="M73" s="107"/>
      <c r="N73" s="107"/>
      <c r="O73" s="107"/>
      <c r="P73" s="107"/>
      <c r="Q73" s="107"/>
      <c r="R73" s="107"/>
      <c r="S73" s="107"/>
      <c r="T73" s="107"/>
      <c r="U73" s="107"/>
      <c r="V73" s="107"/>
      <c r="W73" s="107"/>
      <c r="X73" s="107"/>
    </row>
    <row r="74" spans="1:29" ht="384.75">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1486</v>
      </c>
      <c r="L74" s="103" t="s">
        <v>1487</v>
      </c>
      <c r="M74" s="106" t="s">
        <v>1254</v>
      </c>
      <c r="N74" s="106" t="s">
        <v>1250</v>
      </c>
      <c r="O74" s="106" t="s">
        <v>1251</v>
      </c>
      <c r="P74" s="106" t="s">
        <v>1488</v>
      </c>
      <c r="Q74" s="106" t="s">
        <v>1251</v>
      </c>
      <c r="R74" s="106" t="s">
        <v>1252</v>
      </c>
      <c r="S74" s="106" t="s">
        <v>1489</v>
      </c>
      <c r="T74" s="106" t="s">
        <v>1254</v>
      </c>
      <c r="U74" s="106" t="s">
        <v>1255</v>
      </c>
      <c r="V74" s="106" t="s">
        <v>1489</v>
      </c>
      <c r="W74" s="106" t="s">
        <v>1490</v>
      </c>
      <c r="X74" s="106" t="s">
        <v>1491</v>
      </c>
      <c r="Y74" s="117" t="s">
        <v>1492</v>
      </c>
      <c r="Z74" s="117" t="s">
        <v>1493</v>
      </c>
      <c r="AA74" s="117" t="s">
        <v>1494</v>
      </c>
      <c r="AB74" s="117" t="s">
        <v>1495</v>
      </c>
      <c r="AC74" s="117" t="s">
        <v>1496</v>
      </c>
    </row>
    <row r="75" spans="1:29" ht="15.75">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7"/>
      <c r="N75" s="107"/>
      <c r="O75" s="107"/>
      <c r="P75" s="107"/>
      <c r="Q75" s="107"/>
      <c r="R75" s="107"/>
      <c r="S75" s="107"/>
      <c r="T75" s="107"/>
      <c r="U75" s="107"/>
      <c r="V75" s="107"/>
      <c r="W75" s="107"/>
      <c r="X75" s="107"/>
    </row>
    <row r="76" spans="1:29" ht="57">
      <c r="A76" s="26" t="str">
        <v>State Highway 17B</v>
      </c>
      <c r="B76" s="27" t="str">
        <v>NY</v>
      </c>
      <c r="C76" s="27" t="str">
        <f>Sites[[#This Row],[SOL'#]]</f>
        <v>SOL-10988</v>
      </c>
      <c r="D76" s="9">
        <v>844420</v>
      </c>
      <c r="E76" s="14">
        <v>841370</v>
      </c>
      <c r="F76" s="14">
        <f t="shared" si="6"/>
        <v>3050</v>
      </c>
      <c r="G76" s="15">
        <f t="shared" si="7"/>
        <v>3.6250401131487932E-3</v>
      </c>
      <c r="H76" s="144" t="s">
        <v>936</v>
      </c>
      <c r="I76" s="16" t="str">
        <f t="shared" si="4"/>
        <v/>
      </c>
      <c r="J76" s="15" t="str">
        <f t="shared" si="5"/>
        <v/>
      </c>
      <c r="K76" s="51" t="s">
        <v>1497</v>
      </c>
      <c r="L76" s="103" t="s">
        <v>1498</v>
      </c>
      <c r="M76" s="106" t="s">
        <v>1499</v>
      </c>
      <c r="N76" s="107"/>
      <c r="O76" s="107"/>
      <c r="P76" s="107"/>
      <c r="Q76" s="107"/>
      <c r="R76" s="107"/>
      <c r="S76" s="107"/>
      <c r="T76" s="107"/>
      <c r="U76" s="107"/>
      <c r="V76" s="107"/>
      <c r="W76" s="107"/>
      <c r="X76" s="107"/>
    </row>
    <row r="77" spans="1:29" ht="85.5">
      <c r="A77" s="28" t="str">
        <v>State Route 14A</v>
      </c>
      <c r="B77" s="25" t="str">
        <v>NY</v>
      </c>
      <c r="C77" s="25" t="str">
        <f>Sites[[#This Row],[SOL'#]]</f>
        <v>SOL-10997</v>
      </c>
      <c r="D77" s="20">
        <v>0</v>
      </c>
      <c r="E77" s="10" t="s">
        <v>656</v>
      </c>
      <c r="F77" s="10" t="str">
        <f t="shared" si="6"/>
        <v/>
      </c>
      <c r="G77" s="11" t="str">
        <f t="shared" si="7"/>
        <v/>
      </c>
      <c r="H77" s="12">
        <v>1023871.6</v>
      </c>
      <c r="I77" s="12">
        <f t="shared" si="4"/>
        <v>-1023871.6</v>
      </c>
      <c r="J77" s="13">
        <f t="shared" si="5"/>
        <v>-1</v>
      </c>
      <c r="K77" s="53" t="s">
        <v>1500</v>
      </c>
      <c r="L77" s="102" t="s">
        <v>1501</v>
      </c>
      <c r="M77" s="106" t="s">
        <v>1265</v>
      </c>
      <c r="N77" s="106" t="s">
        <v>1502</v>
      </c>
      <c r="O77" s="107"/>
      <c r="P77" s="107"/>
      <c r="Q77" s="107"/>
      <c r="R77" s="107"/>
      <c r="S77" s="107"/>
      <c r="T77" s="107"/>
      <c r="U77" s="107"/>
      <c r="V77" s="107"/>
      <c r="W77" s="107"/>
      <c r="X77" s="107"/>
    </row>
    <row r="78" spans="1:29" ht="28.5">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1503</v>
      </c>
      <c r="L78" s="103" t="s">
        <v>1504</v>
      </c>
      <c r="M78" s="107"/>
      <c r="N78" s="107"/>
      <c r="O78" s="107"/>
      <c r="P78" s="107"/>
      <c r="Q78" s="107"/>
      <c r="R78" s="107"/>
      <c r="S78" s="107"/>
      <c r="T78" s="107"/>
      <c r="U78" s="107"/>
      <c r="V78" s="107"/>
      <c r="W78" s="107"/>
      <c r="X78" s="107"/>
    </row>
    <row r="79" spans="1:29" ht="85.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1505</v>
      </c>
      <c r="L79" s="102" t="s">
        <v>1506</v>
      </c>
      <c r="M79" s="107"/>
      <c r="N79" s="107"/>
      <c r="O79" s="107"/>
      <c r="P79" s="107"/>
      <c r="Q79" s="107"/>
      <c r="R79" s="107"/>
      <c r="S79" s="107"/>
      <c r="T79" s="107"/>
      <c r="U79" s="107"/>
      <c r="V79" s="107"/>
      <c r="W79" s="107"/>
      <c r="X79" s="107"/>
    </row>
    <row r="80" spans="1:29" ht="28.5">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1507</v>
      </c>
      <c r="L80" s="103" t="s">
        <v>1508</v>
      </c>
      <c r="M80" s="106" t="s">
        <v>1509</v>
      </c>
      <c r="N80" s="107"/>
      <c r="O80" s="107"/>
      <c r="P80" s="107"/>
      <c r="Q80" s="107"/>
      <c r="R80" s="107"/>
      <c r="S80" s="107"/>
      <c r="T80" s="107"/>
      <c r="U80" s="107"/>
      <c r="V80" s="107"/>
      <c r="W80" s="107"/>
      <c r="X80" s="107"/>
    </row>
    <row r="81" spans="1:24" ht="42.7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1510</v>
      </c>
      <c r="L81" s="102" t="s">
        <v>1511</v>
      </c>
      <c r="M81" s="107"/>
      <c r="N81" s="107"/>
      <c r="O81" s="107"/>
      <c r="P81" s="107"/>
      <c r="Q81" s="107"/>
      <c r="R81" s="107"/>
      <c r="S81" s="107"/>
      <c r="T81" s="107"/>
      <c r="U81" s="107"/>
      <c r="V81" s="107"/>
      <c r="W81" s="107"/>
      <c r="X81" s="107"/>
    </row>
    <row r="82" spans="1:24" ht="28.5">
      <c r="A82" s="26" t="str">
        <v>Telegraph 1</v>
      </c>
      <c r="B82" s="27" t="str">
        <v>NY</v>
      </c>
      <c r="C82" s="27" t="str">
        <f>Sites[[#This Row],[SOL'#]]</f>
        <v>SOL-11003</v>
      </c>
      <c r="D82" s="9">
        <v>758150</v>
      </c>
      <c r="E82" s="14" t="s">
        <v>656</v>
      </c>
      <c r="F82" s="14" t="str">
        <f t="shared" si="6"/>
        <v/>
      </c>
      <c r="G82" s="15" t="str">
        <f t="shared" si="7"/>
        <v/>
      </c>
      <c r="H82" s="16">
        <v>748051.86</v>
      </c>
      <c r="I82" s="16">
        <f t="shared" si="4"/>
        <v>10098.140000000014</v>
      </c>
      <c r="J82" s="15">
        <f t="shared" si="5"/>
        <v>1.3499251241752162E-2</v>
      </c>
      <c r="K82" s="70" t="s">
        <v>1512</v>
      </c>
      <c r="L82" s="103" t="s">
        <v>1513</v>
      </c>
      <c r="M82" s="107"/>
      <c r="N82" s="107"/>
      <c r="O82" s="107"/>
      <c r="P82" s="107"/>
      <c r="Q82" s="107"/>
      <c r="R82" s="107"/>
      <c r="S82" s="107"/>
      <c r="T82" s="107"/>
      <c r="U82" s="107"/>
      <c r="V82" s="107"/>
      <c r="W82" s="107"/>
      <c r="X82" s="107"/>
    </row>
    <row r="83" spans="1:24" ht="28.5">
      <c r="A83" s="28" t="str">
        <v>Telegraph 2</v>
      </c>
      <c r="B83" s="25" t="str">
        <v>NY</v>
      </c>
      <c r="C83" s="25" t="str">
        <f>Sites[[#This Row],[SOL'#]]</f>
        <v>SOL-11004</v>
      </c>
      <c r="D83" s="20">
        <v>399640</v>
      </c>
      <c r="E83" s="10" t="s">
        <v>656</v>
      </c>
      <c r="F83" s="10" t="str">
        <f t="shared" si="6"/>
        <v/>
      </c>
      <c r="G83" s="11" t="str">
        <f t="shared" si="7"/>
        <v/>
      </c>
      <c r="H83" s="12">
        <v>390141.68</v>
      </c>
      <c r="I83" s="12">
        <f t="shared" si="4"/>
        <v>9498.320000000007</v>
      </c>
      <c r="J83" s="13">
        <f t="shared" si="5"/>
        <v>2.4345822266413596E-2</v>
      </c>
      <c r="K83" s="53" t="s">
        <v>1514</v>
      </c>
      <c r="L83" s="102" t="s">
        <v>1515</v>
      </c>
      <c r="M83" s="107"/>
      <c r="N83" s="107"/>
      <c r="O83" s="107"/>
      <c r="P83" s="107"/>
      <c r="Q83" s="107"/>
      <c r="R83" s="107"/>
      <c r="S83" s="107"/>
      <c r="T83" s="107"/>
      <c r="U83" s="107"/>
      <c r="V83" s="107"/>
      <c r="W83" s="107"/>
      <c r="X83" s="107"/>
    </row>
    <row r="84" spans="1:24" ht="15.75">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1516</v>
      </c>
      <c r="L84" s="103" t="s">
        <v>1517</v>
      </c>
      <c r="M84" s="107"/>
      <c r="N84" s="107"/>
      <c r="O84" s="107"/>
      <c r="P84" s="107"/>
      <c r="Q84" s="107"/>
      <c r="R84" s="107"/>
      <c r="S84" s="107"/>
      <c r="T84" s="107"/>
      <c r="U84" s="107"/>
      <c r="V84" s="107"/>
      <c r="W84" s="107"/>
      <c r="X84" s="107"/>
    </row>
    <row r="85" spans="1:24" ht="57">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1273</v>
      </c>
      <c r="L85" s="102" t="s">
        <v>1518</v>
      </c>
      <c r="M85" s="107"/>
      <c r="N85" s="107"/>
      <c r="O85" s="107"/>
      <c r="P85" s="107"/>
      <c r="Q85" s="107"/>
      <c r="R85" s="107"/>
      <c r="S85" s="107"/>
      <c r="T85" s="107"/>
      <c r="U85" s="107"/>
      <c r="V85" s="107"/>
      <c r="W85" s="107"/>
      <c r="X85" s="107"/>
    </row>
    <row r="86" spans="1:24" ht="15.75">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10" t="s">
        <v>1519</v>
      </c>
      <c r="L86" s="103" t="s">
        <v>1520</v>
      </c>
      <c r="M86" s="107"/>
      <c r="N86" s="107"/>
      <c r="O86" s="107"/>
      <c r="P86" s="107"/>
      <c r="Q86" s="107"/>
      <c r="R86" s="107"/>
      <c r="S86" s="107"/>
      <c r="T86" s="107"/>
      <c r="U86" s="107"/>
      <c r="V86" s="107"/>
      <c r="W86" s="107"/>
      <c r="X86" s="107"/>
    </row>
    <row r="87" spans="1:24" ht="15.75">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1521</v>
      </c>
      <c r="L87" s="102" t="s">
        <v>1522</v>
      </c>
      <c r="M87" s="107"/>
      <c r="N87" s="107"/>
      <c r="O87" s="107"/>
      <c r="P87" s="107"/>
      <c r="Q87" s="107"/>
      <c r="R87" s="107"/>
      <c r="S87" s="107"/>
      <c r="T87" s="107"/>
      <c r="U87" s="107"/>
      <c r="V87" s="107"/>
      <c r="W87" s="107"/>
      <c r="X87" s="107"/>
    </row>
    <row r="88" spans="1:24" ht="15.75">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7"/>
      <c r="N88" s="107"/>
      <c r="O88" s="107"/>
      <c r="P88" s="107"/>
      <c r="Q88" s="107"/>
      <c r="R88" s="107"/>
      <c r="S88" s="107"/>
      <c r="T88" s="107"/>
      <c r="U88" s="107"/>
      <c r="V88" s="107"/>
      <c r="W88" s="107"/>
      <c r="X88" s="107"/>
    </row>
    <row r="89" spans="1:24" ht="15.75">
      <c r="A89" s="28" t="str">
        <v>Yellow Mills 2</v>
      </c>
      <c r="B89" s="25" t="str">
        <v>NY</v>
      </c>
      <c r="C89" s="25" t="str">
        <f>Sites[[#This Row],[SOL'#]]</f>
        <v>SOL-11005</v>
      </c>
      <c r="D89" s="20">
        <v>452895</v>
      </c>
      <c r="E89" s="10" t="s">
        <v>656</v>
      </c>
      <c r="F89" s="10" t="str">
        <f t="shared" si="6"/>
        <v/>
      </c>
      <c r="G89" s="11" t="str">
        <f t="shared" si="7"/>
        <v/>
      </c>
      <c r="H89" s="12">
        <v>450519.38</v>
      </c>
      <c r="I89" s="12">
        <f t="shared" si="4"/>
        <v>2375.6199999999953</v>
      </c>
      <c r="J89" s="13">
        <f t="shared" si="5"/>
        <v>5.2730694959226736E-3</v>
      </c>
      <c r="K89" s="53"/>
      <c r="L89" s="53"/>
      <c r="M89" s="107"/>
      <c r="N89" s="107"/>
      <c r="O89" s="107"/>
      <c r="P89" s="107"/>
      <c r="Q89" s="107"/>
      <c r="R89" s="107"/>
      <c r="S89" s="107"/>
      <c r="T89" s="107"/>
      <c r="U89" s="107"/>
      <c r="V89" s="107"/>
      <c r="W89" s="107"/>
      <c r="X89" s="107"/>
    </row>
    <row r="90" spans="1:24" ht="15.75">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7"/>
      <c r="N90" s="107"/>
      <c r="O90" s="107"/>
      <c r="P90" s="107"/>
      <c r="Q90" s="107"/>
      <c r="R90" s="107"/>
      <c r="S90" s="107"/>
      <c r="T90" s="107"/>
      <c r="U90" s="107"/>
      <c r="V90" s="107"/>
      <c r="W90" s="107"/>
      <c r="X90" s="107"/>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1523</v>
      </c>
      <c r="L91" s="102" t="s">
        <v>1524</v>
      </c>
      <c r="M91" s="107"/>
      <c r="N91" s="107"/>
      <c r="O91" s="107"/>
      <c r="P91" s="107"/>
      <c r="Q91" s="107"/>
      <c r="R91" s="107"/>
      <c r="S91" s="107"/>
      <c r="T91" s="107"/>
      <c r="U91" s="107"/>
      <c r="V91" s="107"/>
      <c r="W91" s="107"/>
      <c r="X91" s="107"/>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1525</v>
      </c>
      <c r="L92" s="103" t="s">
        <v>1526</v>
      </c>
      <c r="M92" s="106" t="s">
        <v>1527</v>
      </c>
      <c r="N92" s="106" t="s">
        <v>1528</v>
      </c>
      <c r="O92" s="107"/>
      <c r="P92" s="107"/>
      <c r="Q92" s="107"/>
      <c r="R92" s="107"/>
      <c r="S92" s="107"/>
      <c r="T92" s="107"/>
      <c r="U92" s="107"/>
      <c r="V92" s="107"/>
      <c r="W92" s="107"/>
      <c r="X92" s="107"/>
    </row>
    <row r="93" spans="1:24" ht="42.7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1529</v>
      </c>
      <c r="L93" s="102" t="s">
        <v>1530</v>
      </c>
      <c r="M93" s="106" t="s">
        <v>1531</v>
      </c>
      <c r="N93" s="107"/>
      <c r="O93" s="107"/>
      <c r="P93" s="107"/>
      <c r="Q93" s="107"/>
      <c r="R93" s="107"/>
      <c r="S93" s="107"/>
      <c r="T93" s="107"/>
      <c r="U93" s="107"/>
      <c r="V93" s="107"/>
      <c r="W93" s="107"/>
      <c r="X93" s="107"/>
    </row>
    <row r="94" spans="1:24" ht="42.75">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1532</v>
      </c>
      <c r="L94" s="103" t="s">
        <v>1533</v>
      </c>
      <c r="M94" s="107"/>
      <c r="N94" s="107"/>
      <c r="O94" s="107"/>
      <c r="P94" s="107"/>
      <c r="Q94" s="107"/>
      <c r="R94" s="107"/>
      <c r="S94" s="107"/>
      <c r="T94" s="107"/>
      <c r="U94" s="107"/>
      <c r="V94" s="107"/>
      <c r="W94" s="107"/>
      <c r="X94" s="107"/>
    </row>
    <row r="95" spans="1:24" ht="71.25">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1534</v>
      </c>
      <c r="L95" s="102" t="s">
        <v>314</v>
      </c>
      <c r="M95" s="107"/>
      <c r="N95" s="107"/>
      <c r="O95" s="107"/>
      <c r="P95" s="107"/>
      <c r="Q95" s="107"/>
      <c r="R95" s="107"/>
      <c r="S95" s="107"/>
      <c r="T95" s="107"/>
      <c r="U95" s="107"/>
      <c r="V95" s="107"/>
      <c r="W95" s="107"/>
      <c r="X95" s="107"/>
    </row>
    <row r="96" spans="1:24" ht="15.75">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7"/>
      <c r="N96" s="107"/>
      <c r="O96" s="107"/>
      <c r="P96" s="107"/>
      <c r="Q96" s="107"/>
      <c r="R96" s="107"/>
      <c r="S96" s="107"/>
      <c r="T96" s="107"/>
      <c r="U96" s="107"/>
      <c r="V96" s="107"/>
      <c r="W96" s="107"/>
      <c r="X96" s="107"/>
    </row>
    <row r="97" spans="1:24" ht="15.75">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1535</v>
      </c>
      <c r="L97" s="103" t="s">
        <v>1536</v>
      </c>
      <c r="M97" s="107"/>
      <c r="N97" s="107"/>
      <c r="O97" s="107"/>
      <c r="P97" s="107"/>
      <c r="Q97" s="107"/>
      <c r="R97" s="107"/>
      <c r="S97" s="107"/>
      <c r="T97" s="107"/>
      <c r="U97" s="107"/>
      <c r="V97" s="107"/>
      <c r="W97" s="107"/>
      <c r="X97" s="107"/>
    </row>
    <row r="98" spans="1:24" ht="15.75">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1537</v>
      </c>
      <c r="L98" s="102" t="s">
        <v>1295</v>
      </c>
      <c r="M98" s="107"/>
      <c r="N98" s="107"/>
      <c r="O98" s="107"/>
      <c r="P98" s="107"/>
      <c r="Q98" s="107"/>
      <c r="R98" s="107"/>
      <c r="S98" s="107"/>
      <c r="T98" s="107"/>
      <c r="U98" s="107"/>
      <c r="V98" s="107"/>
      <c r="W98" s="107"/>
      <c r="X98" s="107"/>
    </row>
    <row r="99" spans="1:24" ht="57">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1538</v>
      </c>
      <c r="L99" s="103" t="s">
        <v>1539</v>
      </c>
      <c r="M99" s="106" t="s">
        <v>1299</v>
      </c>
      <c r="N99" s="106" t="s">
        <v>1540</v>
      </c>
      <c r="O99" s="107"/>
      <c r="P99" s="107"/>
      <c r="Q99" s="107"/>
      <c r="R99" s="107"/>
      <c r="S99" s="107"/>
      <c r="T99" s="107"/>
      <c r="U99" s="107"/>
      <c r="V99" s="107"/>
      <c r="W99" s="107"/>
      <c r="X99" s="107"/>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1541</v>
      </c>
      <c r="L100" s="102" t="s">
        <v>1542</v>
      </c>
      <c r="M100" s="106" t="s">
        <v>1543</v>
      </c>
      <c r="N100" s="106" t="s">
        <v>1544</v>
      </c>
      <c r="O100" s="106" t="s">
        <v>1545</v>
      </c>
      <c r="P100" s="106" t="s">
        <v>1545</v>
      </c>
      <c r="Q100" s="107"/>
      <c r="R100" s="107"/>
      <c r="S100" s="107"/>
      <c r="T100" s="107"/>
      <c r="U100" s="107"/>
      <c r="V100" s="107"/>
      <c r="W100" s="107"/>
      <c r="X100" s="107"/>
    </row>
    <row r="101" spans="1:24" ht="15.75">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1546</v>
      </c>
      <c r="L101" s="103" t="s">
        <v>1547</v>
      </c>
      <c r="M101" s="107"/>
      <c r="N101" s="107"/>
      <c r="O101" s="107"/>
      <c r="P101" s="107"/>
      <c r="Q101" s="107"/>
      <c r="R101" s="107"/>
      <c r="S101" s="107"/>
      <c r="T101" s="107"/>
      <c r="U101" s="107"/>
      <c r="V101" s="107"/>
      <c r="W101" s="107"/>
      <c r="X101" s="107"/>
    </row>
    <row r="102" spans="1:24" ht="15.75">
      <c r="A102" s="28" t="str">
        <v>Landau I</v>
      </c>
      <c r="B102" s="25" t="str">
        <v>NY</v>
      </c>
      <c r="C102" s="25" t="str">
        <f>Sites[[#This Row],[SOL'#]]</f>
        <v>SOL-10891</v>
      </c>
      <c r="D102" s="20">
        <v>429340</v>
      </c>
      <c r="E102" s="10" t="s">
        <v>656</v>
      </c>
      <c r="F102" s="10" t="str">
        <f t="shared" si="12"/>
        <v/>
      </c>
      <c r="G102" s="11" t="str">
        <f t="shared" si="13"/>
        <v/>
      </c>
      <c r="H102" s="12">
        <v>448929.38</v>
      </c>
      <c r="I102" s="12">
        <f t="shared" si="10"/>
        <v>-19589.380000000005</v>
      </c>
      <c r="J102" s="13">
        <f t="shared" si="11"/>
        <v>-4.3635771844560509E-2</v>
      </c>
      <c r="K102" s="53"/>
      <c r="L102" s="53"/>
      <c r="M102" s="107"/>
      <c r="N102" s="107"/>
      <c r="O102" s="107"/>
      <c r="P102" s="107"/>
      <c r="Q102" s="107"/>
      <c r="R102" s="107"/>
      <c r="S102" s="107"/>
      <c r="T102" s="107"/>
      <c r="U102" s="107"/>
      <c r="V102" s="107"/>
      <c r="W102" s="107"/>
      <c r="X102" s="107"/>
    </row>
    <row r="103" spans="1:24" ht="209.25" customHeight="1">
      <c r="A103" s="26" t="str">
        <v>Landau II</v>
      </c>
      <c r="B103" s="27" t="str">
        <v>NY</v>
      </c>
      <c r="C103" s="27" t="str">
        <f>Sites[[#This Row],[SOL'#]]</f>
        <v>SOL-10895</v>
      </c>
      <c r="D103" s="9">
        <v>374100</v>
      </c>
      <c r="E103" s="14" t="s">
        <v>656</v>
      </c>
      <c r="F103" s="14" t="str">
        <f t="shared" si="12"/>
        <v/>
      </c>
      <c r="G103" s="15" t="str">
        <f t="shared" si="13"/>
        <v/>
      </c>
      <c r="H103" s="144" t="s">
        <v>936</v>
      </c>
      <c r="I103" s="16" t="str">
        <f t="shared" si="10"/>
        <v/>
      </c>
      <c r="J103" s="15" t="str">
        <f t="shared" si="11"/>
        <v/>
      </c>
      <c r="K103" s="51" t="s">
        <v>1548</v>
      </c>
      <c r="L103" s="103" t="s">
        <v>1549</v>
      </c>
      <c r="M103" s="106" t="s">
        <v>1550</v>
      </c>
      <c r="N103" s="106" t="s">
        <v>1551</v>
      </c>
      <c r="O103" s="106" t="s">
        <v>1552</v>
      </c>
      <c r="P103" s="106" t="s">
        <v>1553</v>
      </c>
      <c r="Q103" s="106" t="s">
        <v>1554</v>
      </c>
      <c r="R103" s="106" t="s">
        <v>1555</v>
      </c>
      <c r="S103" s="107"/>
      <c r="T103" s="107"/>
      <c r="U103" s="107"/>
      <c r="V103" s="107"/>
      <c r="W103" s="107"/>
      <c r="X103" s="107"/>
    </row>
    <row r="104" spans="1:24" ht="15.75">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7"/>
      <c r="N104" s="107"/>
      <c r="O104" s="107"/>
      <c r="P104" s="107"/>
      <c r="Q104" s="107"/>
      <c r="R104" s="107"/>
      <c r="S104" s="107"/>
      <c r="T104" s="107"/>
      <c r="U104" s="107"/>
      <c r="V104" s="107"/>
      <c r="W104" s="107"/>
      <c r="X104" s="107"/>
    </row>
    <row r="105" spans="1:24" ht="15.75">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1556</v>
      </c>
      <c r="L105" s="103" t="s">
        <v>1557</v>
      </c>
      <c r="M105" s="107"/>
      <c r="N105" s="107"/>
      <c r="O105" s="107"/>
      <c r="P105" s="107"/>
      <c r="Q105" s="107"/>
      <c r="R105" s="107"/>
      <c r="S105" s="107"/>
      <c r="T105" s="107"/>
      <c r="U105" s="107"/>
      <c r="V105" s="107"/>
      <c r="W105" s="107"/>
      <c r="X105" s="107"/>
    </row>
    <row r="106" spans="1:24" ht="28.5">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1558</v>
      </c>
      <c r="L106" s="102" t="s">
        <v>1559</v>
      </c>
      <c r="M106" s="107"/>
      <c r="N106" s="107"/>
      <c r="O106" s="107"/>
      <c r="P106" s="107"/>
      <c r="Q106" s="107"/>
      <c r="R106" s="107"/>
      <c r="S106" s="107"/>
      <c r="T106" s="107"/>
      <c r="U106" s="107"/>
      <c r="V106" s="107"/>
      <c r="W106" s="107"/>
      <c r="X106" s="107"/>
    </row>
    <row r="107" spans="1:24" ht="84.75" customHeight="1">
      <c r="A107" s="26" t="str">
        <v>Svenski</v>
      </c>
      <c r="B107" s="27" t="str">
        <v>NY</v>
      </c>
      <c r="C107" s="27" t="str">
        <f>Sites[[#This Row],[SOL'#]]</f>
        <v>SOL-10894</v>
      </c>
      <c r="D107" s="9">
        <v>406997</v>
      </c>
      <c r="E107" s="14" t="s">
        <v>656</v>
      </c>
      <c r="F107" s="14" t="str">
        <f t="shared" si="12"/>
        <v/>
      </c>
      <c r="G107" s="15" t="str">
        <f t="shared" si="13"/>
        <v/>
      </c>
      <c r="H107" s="16">
        <v>455483.42</v>
      </c>
      <c r="I107" s="16">
        <f t="shared" si="10"/>
        <v>-48486.419999999984</v>
      </c>
      <c r="J107" s="15">
        <f t="shared" si="11"/>
        <v>-0.10645046091908238</v>
      </c>
      <c r="K107" s="51" t="s">
        <v>1560</v>
      </c>
      <c r="L107" s="103" t="s">
        <v>1561</v>
      </c>
      <c r="M107" s="106" t="s">
        <v>1562</v>
      </c>
      <c r="N107" s="107"/>
      <c r="O107" s="107"/>
      <c r="P107" s="107"/>
      <c r="Q107" s="107"/>
      <c r="R107" s="107"/>
      <c r="S107" s="107"/>
      <c r="T107" s="107"/>
      <c r="U107" s="107"/>
      <c r="V107" s="107"/>
      <c r="W107" s="107"/>
      <c r="X107" s="107"/>
    </row>
    <row r="108" spans="1:24" ht="114">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1563</v>
      </c>
      <c r="L108" s="102" t="s">
        <v>1564</v>
      </c>
      <c r="M108" s="106" t="s">
        <v>1064</v>
      </c>
      <c r="N108" s="106" t="s">
        <v>1565</v>
      </c>
      <c r="O108" s="107"/>
      <c r="P108" s="107"/>
      <c r="Q108" s="107"/>
      <c r="R108" s="107"/>
      <c r="S108" s="107"/>
      <c r="T108" s="107"/>
      <c r="U108" s="107"/>
      <c r="V108" s="107"/>
      <c r="W108" s="107"/>
      <c r="X108" s="107"/>
    </row>
    <row r="109" spans="1:24" ht="28.5">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1317</v>
      </c>
      <c r="L109" s="103" t="s">
        <v>1566</v>
      </c>
      <c r="M109" s="107"/>
      <c r="N109" s="107"/>
      <c r="O109" s="107"/>
      <c r="P109" s="107"/>
      <c r="Q109" s="107"/>
      <c r="R109" s="107"/>
      <c r="S109" s="107"/>
      <c r="T109" s="107"/>
      <c r="U109" s="107"/>
      <c r="V109" s="107"/>
      <c r="W109" s="107"/>
      <c r="X109" s="107"/>
    </row>
    <row r="110" spans="1:24" ht="28.5">
      <c r="A110" s="28" t="str">
        <v>Dubois</v>
      </c>
      <c r="B110" s="25" t="str">
        <v>NY</v>
      </c>
      <c r="C110" s="25" t="str">
        <f>Sites[[#This Row],[SOL'#]]</f>
        <v>SOL-10892</v>
      </c>
      <c r="D110" s="20">
        <v>386460</v>
      </c>
      <c r="E110" s="10">
        <v>386385.12</v>
      </c>
      <c r="F110" s="10">
        <f t="shared" si="12"/>
        <v>74.880000000004657</v>
      </c>
      <c r="G110" s="11">
        <f t="shared" si="13"/>
        <v>1.9379628283823315E-4</v>
      </c>
      <c r="H110" s="143" t="s">
        <v>936</v>
      </c>
      <c r="I110" s="12" t="str">
        <f t="shared" si="10"/>
        <v/>
      </c>
      <c r="J110" s="13" t="str">
        <f t="shared" si="11"/>
        <v/>
      </c>
      <c r="K110" s="53" t="s">
        <v>1567</v>
      </c>
      <c r="L110" s="102" t="s">
        <v>1568</v>
      </c>
      <c r="M110" s="107"/>
      <c r="N110" s="107"/>
      <c r="O110" s="107"/>
      <c r="P110" s="107"/>
      <c r="Q110" s="107"/>
      <c r="R110" s="107"/>
      <c r="S110" s="107"/>
      <c r="T110" s="107"/>
      <c r="U110" s="107"/>
      <c r="V110" s="107"/>
      <c r="W110" s="107"/>
      <c r="X110" s="107"/>
    </row>
    <row r="111" spans="1:24" ht="99.75">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1569</v>
      </c>
      <c r="L111" s="103" t="s">
        <v>1570</v>
      </c>
      <c r="M111" s="106" t="s">
        <v>1571</v>
      </c>
      <c r="N111" s="106" t="s">
        <v>1572</v>
      </c>
      <c r="O111" s="106" t="s">
        <v>1573</v>
      </c>
      <c r="P111" s="106" t="s">
        <v>1574</v>
      </c>
      <c r="Q111" s="106" t="s">
        <v>1575</v>
      </c>
      <c r="R111" s="107"/>
      <c r="S111" s="107"/>
      <c r="T111" s="107"/>
      <c r="U111" s="107"/>
      <c r="V111" s="107"/>
      <c r="W111" s="107"/>
      <c r="X111" s="107"/>
    </row>
    <row r="112" spans="1:24" ht="28.5">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1576</v>
      </c>
      <c r="L112" s="102" t="s">
        <v>1577</v>
      </c>
      <c r="M112" s="106" t="s">
        <v>1578</v>
      </c>
      <c r="N112" s="107"/>
      <c r="O112" s="107"/>
      <c r="P112" s="107"/>
      <c r="Q112" s="107"/>
      <c r="R112" s="107"/>
      <c r="S112" s="107"/>
      <c r="T112" s="107"/>
      <c r="U112" s="107"/>
      <c r="V112" s="107"/>
      <c r="W112" s="107"/>
      <c r="X112" s="107"/>
    </row>
    <row r="113" spans="1:24" ht="57">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1579</v>
      </c>
      <c r="L113" s="103" t="s">
        <v>1580</v>
      </c>
      <c r="M113" s="106" t="s">
        <v>1581</v>
      </c>
      <c r="N113" s="107"/>
      <c r="O113" s="107"/>
      <c r="P113" s="107"/>
      <c r="Q113" s="107"/>
      <c r="R113" s="107"/>
      <c r="S113" s="107"/>
      <c r="T113" s="107"/>
      <c r="U113" s="107"/>
      <c r="V113" s="107"/>
      <c r="W113" s="107"/>
      <c r="X113" s="107"/>
    </row>
    <row r="114" spans="1:24" ht="28.5">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1582</v>
      </c>
      <c r="L114" s="102" t="s">
        <v>1583</v>
      </c>
      <c r="M114" s="107"/>
      <c r="N114" s="107"/>
      <c r="O114" s="107"/>
      <c r="P114" s="107"/>
      <c r="Q114" s="107"/>
      <c r="R114" s="107"/>
      <c r="S114" s="107"/>
      <c r="T114" s="107"/>
      <c r="U114" s="107"/>
      <c r="V114" s="107"/>
      <c r="W114" s="107"/>
      <c r="X114" s="107"/>
    </row>
    <row r="115" spans="1:24" ht="42.75">
      <c r="A115" s="26" t="str">
        <v>McCarthy Solar</v>
      </c>
      <c r="B115" s="27" t="str">
        <v>NY</v>
      </c>
      <c r="C115" s="27" t="str">
        <f>Sites[[#This Row],[SOL'#]]</f>
        <v>SOL-10992</v>
      </c>
      <c r="D115" s="9">
        <v>211620</v>
      </c>
      <c r="E115" s="14" t="s">
        <v>656</v>
      </c>
      <c r="F115" s="14" t="str">
        <f t="shared" si="12"/>
        <v/>
      </c>
      <c r="G115" s="15" t="str">
        <f t="shared" si="13"/>
        <v/>
      </c>
      <c r="H115" s="16">
        <v>448453.17</v>
      </c>
      <c r="I115" s="16">
        <f t="shared" si="10"/>
        <v>-236833.16999999998</v>
      </c>
      <c r="J115" s="15">
        <f t="shared" si="11"/>
        <v>-0.52811126298873079</v>
      </c>
      <c r="K115" s="38" t="s">
        <v>1584</v>
      </c>
      <c r="L115" s="103" t="s">
        <v>1585</v>
      </c>
      <c r="M115" s="106" t="s">
        <v>1586</v>
      </c>
      <c r="N115" s="107"/>
      <c r="O115" s="107"/>
      <c r="P115" s="107"/>
      <c r="Q115" s="107"/>
      <c r="R115" s="107"/>
      <c r="S115" s="107"/>
      <c r="T115" s="107"/>
      <c r="U115" s="107"/>
      <c r="V115" s="107"/>
      <c r="W115" s="107"/>
      <c r="X115" s="107"/>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1587</v>
      </c>
      <c r="L116" s="102" t="s">
        <v>1588</v>
      </c>
      <c r="M116" s="106" t="s">
        <v>1589</v>
      </c>
      <c r="N116" s="106" t="s">
        <v>1590</v>
      </c>
      <c r="O116" s="106" t="s">
        <v>1591</v>
      </c>
      <c r="P116" s="106" t="s">
        <v>1592</v>
      </c>
      <c r="Q116" s="107"/>
      <c r="R116" s="107"/>
      <c r="S116" s="107"/>
      <c r="T116" s="107"/>
      <c r="U116" s="107"/>
      <c r="V116" s="107"/>
      <c r="W116" s="107"/>
      <c r="X116" s="107"/>
    </row>
    <row r="117" spans="1:24" ht="15.75">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7"/>
      <c r="N117" s="107"/>
      <c r="O117" s="107"/>
      <c r="P117" s="107"/>
      <c r="Q117" s="107"/>
      <c r="R117" s="107"/>
      <c r="S117" s="107"/>
      <c r="T117" s="107"/>
      <c r="U117" s="107"/>
      <c r="V117" s="107"/>
      <c r="W117" s="107"/>
      <c r="X117" s="107"/>
    </row>
    <row r="118" spans="1:24" ht="15.75">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7"/>
      <c r="N118" s="107"/>
      <c r="O118" s="107"/>
      <c r="P118" s="107"/>
      <c r="Q118" s="107"/>
      <c r="R118" s="107"/>
      <c r="S118" s="107"/>
      <c r="T118" s="107"/>
      <c r="U118" s="107"/>
      <c r="V118" s="107"/>
      <c r="W118" s="107"/>
      <c r="X118" s="107"/>
    </row>
    <row r="119" spans="1:24" ht="15.75">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7"/>
      <c r="N119" s="107"/>
      <c r="O119" s="107"/>
      <c r="P119" s="107"/>
      <c r="Q119" s="107"/>
      <c r="R119" s="107"/>
      <c r="S119" s="107"/>
      <c r="T119" s="107"/>
      <c r="U119" s="107"/>
      <c r="V119" s="107"/>
      <c r="W119" s="107"/>
      <c r="X119" s="107"/>
    </row>
    <row r="120" spans="1:24" ht="15.75">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7"/>
      <c r="N120" s="107"/>
      <c r="O120" s="107"/>
      <c r="P120" s="107"/>
      <c r="Q120" s="107"/>
      <c r="R120" s="107"/>
      <c r="S120" s="107"/>
      <c r="T120" s="107"/>
      <c r="U120" s="107"/>
      <c r="V120" s="107"/>
      <c r="W120" s="107"/>
      <c r="X120" s="107"/>
    </row>
    <row r="121" spans="1:24" ht="15.75">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7"/>
      <c r="N121" s="107"/>
      <c r="O121" s="107"/>
      <c r="P121" s="107"/>
      <c r="Q121" s="107"/>
      <c r="R121" s="107"/>
      <c r="S121" s="107"/>
      <c r="T121" s="107"/>
      <c r="U121" s="107"/>
      <c r="V121" s="107"/>
      <c r="W121" s="107"/>
      <c r="X121" s="107"/>
    </row>
    <row r="122" spans="1:24" ht="15.75">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7"/>
      <c r="N122" s="107"/>
      <c r="O122" s="107"/>
      <c r="P122" s="107"/>
      <c r="Q122" s="107"/>
      <c r="R122" s="107"/>
      <c r="S122" s="107"/>
      <c r="T122" s="107"/>
      <c r="U122" s="107"/>
      <c r="V122" s="107"/>
      <c r="W122" s="107"/>
      <c r="X122" s="107"/>
    </row>
    <row r="123" spans="1:24" ht="15.75">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1593</v>
      </c>
      <c r="L123" s="103" t="s">
        <v>1594</v>
      </c>
      <c r="M123" s="107"/>
      <c r="N123" s="107"/>
      <c r="O123" s="107"/>
      <c r="P123" s="107"/>
      <c r="Q123" s="107"/>
      <c r="R123" s="107"/>
      <c r="S123" s="107"/>
      <c r="T123" s="107"/>
      <c r="U123" s="107"/>
      <c r="V123" s="107"/>
      <c r="W123" s="107"/>
      <c r="X123" s="107"/>
    </row>
    <row r="124" spans="1:24" ht="15.75">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7"/>
      <c r="N124" s="107"/>
      <c r="O124" s="107"/>
      <c r="P124" s="107"/>
      <c r="Q124" s="107"/>
      <c r="R124" s="107"/>
      <c r="S124" s="107"/>
      <c r="T124" s="107"/>
      <c r="U124" s="107"/>
      <c r="V124" s="107"/>
      <c r="W124" s="107"/>
      <c r="X124" s="107"/>
    </row>
    <row r="125" spans="1:24" ht="28.5">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1595</v>
      </c>
      <c r="L125" s="103" t="s">
        <v>1596</v>
      </c>
      <c r="M125" s="107"/>
      <c r="N125" s="107"/>
      <c r="O125" s="107"/>
      <c r="P125" s="107"/>
      <c r="Q125" s="107"/>
      <c r="R125" s="107"/>
      <c r="S125" s="107"/>
      <c r="T125" s="107"/>
      <c r="U125" s="107"/>
      <c r="V125" s="107"/>
      <c r="W125" s="107"/>
      <c r="X125" s="107"/>
    </row>
    <row r="126" spans="1:24" ht="15.75">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7"/>
      <c r="N126" s="107"/>
      <c r="O126" s="107"/>
      <c r="P126" s="107"/>
      <c r="Q126" s="107"/>
      <c r="R126" s="107"/>
      <c r="S126" s="107"/>
      <c r="T126" s="107"/>
      <c r="U126" s="107"/>
      <c r="V126" s="107"/>
      <c r="W126" s="107"/>
      <c r="X126" s="107"/>
    </row>
    <row r="127" spans="1:24" ht="15.75">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1597</v>
      </c>
      <c r="L127" s="103" t="s">
        <v>1598</v>
      </c>
      <c r="M127" s="107"/>
      <c r="N127" s="107"/>
      <c r="O127" s="107"/>
      <c r="P127" s="107"/>
      <c r="Q127" s="107"/>
      <c r="R127" s="107"/>
      <c r="S127" s="107"/>
      <c r="T127" s="107"/>
      <c r="U127" s="107"/>
      <c r="V127" s="107"/>
      <c r="W127" s="107"/>
      <c r="X127" s="107"/>
    </row>
    <row r="128" spans="1:24" ht="85.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1338</v>
      </c>
      <c r="L128" s="53"/>
      <c r="M128" s="107"/>
      <c r="N128" s="107"/>
      <c r="O128" s="107"/>
      <c r="P128" s="107"/>
      <c r="Q128" s="107"/>
      <c r="R128" s="107"/>
      <c r="S128" s="107"/>
      <c r="T128" s="107"/>
      <c r="U128" s="107"/>
      <c r="V128" s="107"/>
      <c r="W128" s="107"/>
      <c r="X128" s="107"/>
    </row>
    <row r="129" spans="1:24" ht="15.75">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7"/>
      <c r="N129" s="107"/>
      <c r="O129" s="107"/>
      <c r="P129" s="107"/>
      <c r="Q129" s="107"/>
      <c r="R129" s="107"/>
      <c r="S129" s="107"/>
      <c r="T129" s="107"/>
      <c r="U129" s="107"/>
      <c r="V129" s="107"/>
      <c r="W129" s="107"/>
      <c r="X129" s="107"/>
    </row>
    <row r="130" spans="1:24" ht="15.75">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7"/>
      <c r="N130" s="107"/>
      <c r="O130" s="107"/>
      <c r="P130" s="107"/>
      <c r="Q130" s="107"/>
      <c r="R130" s="107"/>
      <c r="S130" s="107"/>
      <c r="T130" s="107"/>
      <c r="U130" s="107"/>
      <c r="V130" s="107"/>
      <c r="W130" s="107"/>
      <c r="X130" s="107"/>
    </row>
    <row r="131" spans="1:24" ht="15.75">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7"/>
      <c r="N131" s="107"/>
      <c r="O131" s="107"/>
      <c r="P131" s="107"/>
      <c r="Q131" s="107"/>
      <c r="R131" s="107"/>
      <c r="S131" s="107"/>
      <c r="T131" s="107"/>
      <c r="U131" s="107"/>
      <c r="V131" s="107"/>
      <c r="W131" s="107"/>
      <c r="X131" s="107"/>
    </row>
    <row r="132" spans="1:24" ht="42.7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1599</v>
      </c>
      <c r="L132" s="102" t="s">
        <v>1600</v>
      </c>
      <c r="M132" s="107"/>
      <c r="N132" s="107"/>
      <c r="O132" s="107"/>
      <c r="P132" s="107"/>
      <c r="Q132" s="107"/>
      <c r="R132" s="107"/>
      <c r="S132" s="107"/>
      <c r="T132" s="107"/>
      <c r="U132" s="107"/>
      <c r="V132" s="107"/>
      <c r="W132" s="107"/>
      <c r="X132" s="107"/>
    </row>
    <row r="133" spans="1:24" ht="114">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1601</v>
      </c>
      <c r="L133" s="103" t="s">
        <v>1602</v>
      </c>
      <c r="M133" s="106" t="s">
        <v>1355</v>
      </c>
      <c r="N133" s="106" t="s">
        <v>1603</v>
      </c>
      <c r="O133" s="106" t="s">
        <v>1604</v>
      </c>
      <c r="P133" s="107"/>
      <c r="Q133" s="107"/>
      <c r="R133" s="107"/>
      <c r="S133" s="107"/>
      <c r="T133" s="107"/>
      <c r="U133" s="107"/>
      <c r="V133" s="107"/>
      <c r="W133" s="107"/>
      <c r="X133" s="107"/>
    </row>
    <row r="134" spans="1:24" ht="15.75">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7"/>
      <c r="N134" s="107"/>
      <c r="O134" s="107"/>
      <c r="P134" s="107"/>
      <c r="Q134" s="107"/>
      <c r="R134" s="107"/>
      <c r="S134" s="107"/>
      <c r="T134" s="107"/>
      <c r="U134" s="107"/>
      <c r="V134" s="107"/>
      <c r="W134" s="107"/>
      <c r="X134" s="107"/>
    </row>
    <row r="135" spans="1:24" ht="15.75">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7"/>
      <c r="N135" s="107"/>
      <c r="O135" s="107"/>
      <c r="P135" s="107"/>
      <c r="Q135" s="107"/>
      <c r="R135" s="107"/>
      <c r="S135" s="107"/>
      <c r="T135" s="107"/>
      <c r="U135" s="107"/>
      <c r="V135" s="107"/>
      <c r="W135" s="107"/>
      <c r="X135" s="107"/>
    </row>
    <row r="136" spans="1:24" ht="15.75">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7"/>
      <c r="N136" s="107"/>
      <c r="O136" s="107"/>
      <c r="P136" s="107"/>
      <c r="Q136" s="107"/>
      <c r="R136" s="107"/>
      <c r="S136" s="107"/>
      <c r="T136" s="107"/>
      <c r="U136" s="107"/>
      <c r="V136" s="107"/>
      <c r="W136" s="107"/>
      <c r="X136" s="107"/>
    </row>
    <row r="137" spans="1:24" ht="15.75">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7"/>
      <c r="N137" s="107"/>
      <c r="O137" s="107"/>
      <c r="P137" s="107"/>
      <c r="Q137" s="107"/>
      <c r="R137" s="107"/>
      <c r="S137" s="107"/>
      <c r="T137" s="107"/>
      <c r="U137" s="107"/>
      <c r="V137" s="107"/>
      <c r="W137" s="107"/>
      <c r="X137" s="107"/>
    </row>
    <row r="138" spans="1:24" ht="15.75">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1356</v>
      </c>
      <c r="L138" s="102" t="s">
        <v>1605</v>
      </c>
      <c r="M138" s="107"/>
      <c r="N138" s="107"/>
      <c r="O138" s="107"/>
      <c r="P138" s="107"/>
      <c r="Q138" s="107"/>
      <c r="R138" s="107"/>
      <c r="S138" s="107"/>
      <c r="T138" s="107"/>
      <c r="U138" s="107"/>
      <c r="V138" s="107"/>
      <c r="W138" s="107"/>
      <c r="X138" s="107"/>
    </row>
    <row r="139" spans="1:24" ht="15.75">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7"/>
      <c r="N139" s="107"/>
      <c r="O139" s="107"/>
      <c r="P139" s="107"/>
      <c r="Q139" s="107"/>
      <c r="R139" s="107"/>
      <c r="S139" s="107"/>
      <c r="T139" s="107"/>
      <c r="U139" s="107"/>
      <c r="V139" s="107"/>
      <c r="W139" s="107"/>
      <c r="X139" s="107"/>
    </row>
    <row r="140" spans="1:24" ht="71.25">
      <c r="A140" s="28" t="str">
        <v>Q400</v>
      </c>
      <c r="B140" s="25" t="str">
        <v>NY</v>
      </c>
      <c r="C140" s="25" t="str">
        <f>Sites[[#This Row],[SOL'#]]</f>
        <v>SOL-10871</v>
      </c>
      <c r="D140" s="20">
        <v>28683.4375</v>
      </c>
      <c r="E140" s="10" t="s">
        <v>656</v>
      </c>
      <c r="F140" s="10" t="str">
        <f t="shared" si="12"/>
        <v/>
      </c>
      <c r="G140" s="11" t="str">
        <f t="shared" si="13"/>
        <v/>
      </c>
      <c r="H140" s="12">
        <v>48524</v>
      </c>
      <c r="I140" s="12">
        <f t="shared" si="10"/>
        <v>-19840.5625</v>
      </c>
      <c r="J140" s="13">
        <f t="shared" si="11"/>
        <v>-0.40888142980793007</v>
      </c>
      <c r="K140" s="53" t="s">
        <v>1606</v>
      </c>
      <c r="L140" s="102" t="s">
        <v>1607</v>
      </c>
      <c r="M140" s="106" t="s">
        <v>1365</v>
      </c>
      <c r="N140" s="107"/>
      <c r="O140" s="107"/>
      <c r="P140" s="107"/>
      <c r="Q140" s="107"/>
      <c r="R140" s="107"/>
      <c r="S140" s="107"/>
      <c r="T140" s="107"/>
      <c r="U140" s="107"/>
      <c r="V140" s="107"/>
      <c r="W140" s="107"/>
      <c r="X140" s="107"/>
    </row>
    <row r="141" spans="1:24" ht="28.5">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1366</v>
      </c>
      <c r="L141" s="103" t="s">
        <v>1608</v>
      </c>
      <c r="M141" s="107"/>
      <c r="N141" s="107"/>
      <c r="O141" s="107"/>
      <c r="P141" s="107"/>
      <c r="Q141" s="107"/>
      <c r="R141" s="107"/>
      <c r="S141" s="107"/>
      <c r="T141" s="107"/>
      <c r="U141" s="107"/>
      <c r="V141" s="107"/>
      <c r="W141" s="107"/>
      <c r="X141" s="107"/>
    </row>
    <row r="142" spans="1:24" ht="15.75">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7"/>
      <c r="N142" s="107"/>
      <c r="O142" s="107"/>
      <c r="P142" s="107"/>
      <c r="Q142" s="107"/>
      <c r="R142" s="107"/>
      <c r="S142" s="107"/>
      <c r="T142" s="107"/>
      <c r="U142" s="107"/>
      <c r="V142" s="107"/>
      <c r="W142" s="107"/>
      <c r="X142" s="107"/>
    </row>
    <row r="143" spans="1:24" ht="15.75">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7"/>
      <c r="N143" s="107"/>
      <c r="O143" s="107"/>
      <c r="P143" s="107"/>
      <c r="Q143" s="107"/>
      <c r="R143" s="107"/>
      <c r="S143" s="107"/>
      <c r="T143" s="107"/>
      <c r="U143" s="107"/>
      <c r="V143" s="107"/>
      <c r="W143" s="107"/>
      <c r="X143" s="107"/>
    </row>
    <row r="144" spans="1:24" ht="114">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1609</v>
      </c>
      <c r="L144" s="102" t="s">
        <v>1610</v>
      </c>
      <c r="M144" s="106" t="s">
        <v>1611</v>
      </c>
      <c r="N144" s="107"/>
      <c r="O144" s="107"/>
      <c r="P144" s="107"/>
      <c r="Q144" s="107"/>
      <c r="R144" s="107"/>
      <c r="S144" s="107"/>
      <c r="T144" s="107"/>
      <c r="U144" s="107"/>
      <c r="V144" s="107"/>
      <c r="W144" s="107"/>
      <c r="X144" s="107"/>
    </row>
    <row r="145" spans="1:24" ht="71.2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1612</v>
      </c>
      <c r="L145" s="103" t="s">
        <v>1613</v>
      </c>
      <c r="M145" s="106" t="s">
        <v>1614</v>
      </c>
      <c r="N145" s="107"/>
      <c r="O145" s="107"/>
      <c r="P145" s="107"/>
      <c r="Q145" s="107"/>
      <c r="R145" s="107"/>
      <c r="S145" s="107"/>
      <c r="T145" s="107"/>
      <c r="U145" s="107"/>
      <c r="V145" s="107"/>
      <c r="W145" s="107"/>
      <c r="X145" s="107"/>
    </row>
    <row r="146" spans="1:24" ht="71.25">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1615</v>
      </c>
      <c r="L146" s="102" t="s">
        <v>1616</v>
      </c>
      <c r="M146" s="106" t="s">
        <v>1617</v>
      </c>
      <c r="N146" s="107"/>
      <c r="O146" s="107"/>
      <c r="P146" s="107"/>
      <c r="Q146" s="107"/>
      <c r="R146" s="107"/>
      <c r="S146" s="107"/>
      <c r="T146" s="107"/>
      <c r="U146" s="107"/>
      <c r="V146" s="107"/>
      <c r="W146" s="107"/>
      <c r="X146" s="107"/>
    </row>
    <row r="147" spans="1:24" ht="15.75">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1618</v>
      </c>
      <c r="L147" s="103" t="s">
        <v>1619</v>
      </c>
      <c r="M147" s="107"/>
      <c r="N147" s="107"/>
      <c r="O147" s="107"/>
      <c r="P147" s="107"/>
      <c r="Q147" s="107"/>
      <c r="R147" s="107"/>
      <c r="S147" s="107"/>
      <c r="T147" s="107"/>
      <c r="U147" s="107"/>
      <c r="V147" s="107"/>
      <c r="W147" s="107"/>
      <c r="X147" s="107"/>
    </row>
    <row r="148" spans="1:24" ht="28.5">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1620</v>
      </c>
      <c r="L148" s="102" t="s">
        <v>1621</v>
      </c>
      <c r="M148" s="107"/>
      <c r="N148" s="107"/>
      <c r="O148" s="107"/>
      <c r="P148" s="107"/>
      <c r="Q148" s="107"/>
      <c r="R148" s="107"/>
      <c r="S148" s="107"/>
      <c r="T148" s="107"/>
      <c r="U148" s="107"/>
      <c r="V148" s="107"/>
      <c r="W148" s="107"/>
      <c r="X148" s="107"/>
    </row>
    <row r="149" spans="1:24" ht="42.75">
      <c r="A149" s="26" t="str">
        <v>County Route 11B</v>
      </c>
      <c r="B149" s="27" t="str">
        <v>NY</v>
      </c>
      <c r="C149" s="27" t="str">
        <f>Sites[[#This Row],[SOL'#]]</f>
        <v>SOL-10983</v>
      </c>
      <c r="D149" s="9">
        <v>1436404</v>
      </c>
      <c r="E149" s="14">
        <v>1431678</v>
      </c>
      <c r="F149" s="14">
        <f t="shared" si="12"/>
        <v>4726</v>
      </c>
      <c r="G149" s="15">
        <f t="shared" si="13"/>
        <v>3.3010215984320495E-3</v>
      </c>
      <c r="H149" s="144" t="s">
        <v>936</v>
      </c>
      <c r="I149" s="16" t="str">
        <f t="shared" si="10"/>
        <v/>
      </c>
      <c r="J149" s="15" t="str">
        <f t="shared" si="11"/>
        <v/>
      </c>
      <c r="K149" s="51" t="s">
        <v>1622</v>
      </c>
      <c r="L149" s="102" t="s">
        <v>1623</v>
      </c>
      <c r="M149" s="107"/>
      <c r="N149" s="107"/>
      <c r="O149" s="107"/>
      <c r="P149" s="107"/>
      <c r="Q149" s="107"/>
      <c r="R149" s="107"/>
      <c r="S149" s="107"/>
      <c r="T149" s="107"/>
      <c r="U149" s="107"/>
      <c r="V149" s="107"/>
      <c r="W149" s="107"/>
      <c r="X149" s="107"/>
    </row>
    <row r="150" spans="1:24" ht="85.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1624</v>
      </c>
      <c r="L150" s="102" t="s">
        <v>1625</v>
      </c>
      <c r="M150" s="106" t="s">
        <v>1626</v>
      </c>
      <c r="N150" s="106" t="s">
        <v>1627</v>
      </c>
      <c r="O150" s="107"/>
      <c r="P150" s="107"/>
      <c r="Q150" s="107"/>
      <c r="R150" s="107"/>
      <c r="S150" s="107"/>
      <c r="T150" s="107"/>
      <c r="U150" s="107"/>
      <c r="V150" s="107"/>
      <c r="W150" s="107"/>
      <c r="X150" s="107"/>
    </row>
    <row r="151" spans="1:24" ht="15.75">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1380</v>
      </c>
      <c r="L151" s="103" t="s">
        <v>1381</v>
      </c>
      <c r="M151" s="107"/>
      <c r="N151" s="107"/>
      <c r="O151" s="107"/>
      <c r="P151" s="107"/>
      <c r="Q151" s="107"/>
      <c r="R151" s="107"/>
      <c r="S151" s="107"/>
      <c r="T151" s="107"/>
      <c r="U151" s="107"/>
      <c r="V151" s="107"/>
      <c r="W151" s="107"/>
      <c r="X151" s="107"/>
    </row>
    <row r="152" spans="1:24" ht="28.5">
      <c r="A152" s="28" t="str">
        <v xml:space="preserve"> O'Brien Hill #1</v>
      </c>
      <c r="B152" s="25" t="str">
        <v>NY</v>
      </c>
      <c r="C152" s="25" t="str">
        <f>Sites[[#This Row],[SOL'#]]</f>
        <v>SOL-11098</v>
      </c>
      <c r="D152" s="20">
        <v>0</v>
      </c>
      <c r="E152" s="10" t="s">
        <v>656</v>
      </c>
      <c r="F152" s="10" t="str">
        <f t="shared" si="12"/>
        <v/>
      </c>
      <c r="G152" s="11" t="str">
        <f t="shared" si="13"/>
        <v/>
      </c>
      <c r="H152" s="143" t="s">
        <v>936</v>
      </c>
      <c r="I152" s="12" t="str">
        <f t="shared" si="10"/>
        <v/>
      </c>
      <c r="J152" s="13" t="str">
        <f t="shared" si="11"/>
        <v/>
      </c>
      <c r="K152" s="53" t="s">
        <v>1382</v>
      </c>
      <c r="L152" s="102" t="s">
        <v>1383</v>
      </c>
      <c r="M152" s="106" t="s">
        <v>872</v>
      </c>
      <c r="N152" s="107"/>
      <c r="O152" s="107"/>
      <c r="P152" s="107"/>
      <c r="Q152" s="107"/>
      <c r="R152" s="107"/>
      <c r="S152" s="107"/>
      <c r="T152" s="107"/>
      <c r="U152" s="107"/>
      <c r="V152" s="107"/>
      <c r="W152" s="107"/>
      <c r="X152" s="107"/>
    </row>
    <row r="153" spans="1:24" ht="57">
      <c r="A153" s="26" t="str">
        <v xml:space="preserve"> O'Brien Hill #2</v>
      </c>
      <c r="B153" s="27" t="str">
        <v>NY</v>
      </c>
      <c r="C153" s="27" t="str">
        <f>Sites[[#This Row],[SOL'#]]</f>
        <v>SOL-11099</v>
      </c>
      <c r="D153" s="9">
        <v>1037428</v>
      </c>
      <c r="E153" s="14">
        <v>1037322</v>
      </c>
      <c r="F153" s="14">
        <f t="shared" si="12"/>
        <v>106</v>
      </c>
      <c r="G153" s="15">
        <f t="shared" si="13"/>
        <v>1.0218620640456869E-4</v>
      </c>
      <c r="H153" s="144" t="s">
        <v>936</v>
      </c>
      <c r="I153" s="16" t="str">
        <f t="shared" si="10"/>
        <v/>
      </c>
      <c r="J153" s="15" t="str">
        <f t="shared" si="11"/>
        <v/>
      </c>
      <c r="K153" s="51" t="s">
        <v>1628</v>
      </c>
      <c r="L153" s="103" t="s">
        <v>1629</v>
      </c>
      <c r="M153" s="106" t="s">
        <v>1630</v>
      </c>
      <c r="N153" s="107"/>
      <c r="O153" s="107"/>
      <c r="P153" s="107"/>
      <c r="Q153" s="107"/>
      <c r="R153" s="107"/>
      <c r="S153" s="107"/>
      <c r="T153" s="107"/>
      <c r="U153" s="107"/>
      <c r="V153" s="107"/>
      <c r="W153" s="107"/>
      <c r="X153" s="107"/>
    </row>
    <row r="154" spans="1:24" ht="42.7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1631</v>
      </c>
      <c r="L154" s="102" t="s">
        <v>1632</v>
      </c>
      <c r="M154" s="106" t="s">
        <v>1633</v>
      </c>
      <c r="N154" s="107"/>
      <c r="O154" s="107"/>
      <c r="P154" s="107"/>
      <c r="Q154" s="107"/>
      <c r="R154" s="107"/>
      <c r="S154" s="107"/>
      <c r="T154" s="107"/>
      <c r="U154" s="107"/>
      <c r="V154" s="107"/>
      <c r="W154" s="107"/>
      <c r="X154" s="107"/>
    </row>
    <row r="155" spans="1:24" ht="57">
      <c r="A155" s="26" t="str">
        <v>Ransom</v>
      </c>
      <c r="B155" s="27" t="str">
        <v>NY</v>
      </c>
      <c r="C155" s="27" t="str">
        <f>Sites[[#This Row],[SOL'#]]</f>
        <v>SOL-11157</v>
      </c>
      <c r="D155" s="9">
        <v>864708</v>
      </c>
      <c r="E155" s="14">
        <v>861300</v>
      </c>
      <c r="F155" s="14">
        <f t="shared" si="12"/>
        <v>3408</v>
      </c>
      <c r="G155" s="15">
        <f t="shared" si="13"/>
        <v>3.9568094740508536E-3</v>
      </c>
      <c r="H155" s="144" t="s">
        <v>936</v>
      </c>
      <c r="I155" s="16" t="str">
        <f t="shared" ref="I155:I158" si="14">IF(AND(ISNUMBER(D155),ISNUMBER(H155)), D155-H155, "")</f>
        <v/>
      </c>
      <c r="J155" s="15" t="str">
        <f t="shared" ref="J155:J158" si="15">IFERROR(I155/H155, "")</f>
        <v/>
      </c>
      <c r="K155" s="51" t="s">
        <v>1634</v>
      </c>
      <c r="L155" s="103" t="s">
        <v>1635</v>
      </c>
      <c r="M155" s="106" t="s">
        <v>1636</v>
      </c>
      <c r="N155" s="107"/>
      <c r="O155" s="107"/>
      <c r="P155" s="107"/>
      <c r="Q155" s="107"/>
      <c r="R155" s="107"/>
      <c r="S155" s="107"/>
      <c r="T155" s="107"/>
      <c r="U155" s="107"/>
      <c r="V155" s="107"/>
      <c r="W155" s="107"/>
      <c r="X155" s="107"/>
    </row>
    <row r="156" spans="1:24" ht="15.75">
      <c r="A156" s="28" t="str">
        <v>Horseheads - Wedge</v>
      </c>
      <c r="B156" s="25" t="str">
        <v>NY</v>
      </c>
      <c r="C156" s="25" t="str">
        <f>Sites[[#This Row],[SOL'#]]</f>
        <v>SOL-11160</v>
      </c>
      <c r="D156" s="20">
        <v>730633</v>
      </c>
      <c r="E156" s="10">
        <v>728031</v>
      </c>
      <c r="F156" s="10">
        <f t="shared" si="12"/>
        <v>2602</v>
      </c>
      <c r="G156" s="11">
        <f t="shared" si="13"/>
        <v>3.5740236336090085E-3</v>
      </c>
      <c r="H156" s="143" t="s">
        <v>936</v>
      </c>
      <c r="I156" s="12" t="str">
        <f t="shared" si="14"/>
        <v/>
      </c>
      <c r="J156" s="13" t="str">
        <f t="shared" si="15"/>
        <v/>
      </c>
      <c r="K156" s="53"/>
      <c r="L156" s="53"/>
      <c r="M156" s="107"/>
      <c r="N156" s="107"/>
      <c r="O156" s="107"/>
      <c r="P156" s="107"/>
      <c r="Q156" s="107"/>
      <c r="R156" s="107"/>
      <c r="S156" s="107"/>
      <c r="T156" s="107"/>
      <c r="U156" s="107"/>
      <c r="V156" s="107"/>
      <c r="W156" s="107"/>
      <c r="X156" s="107"/>
    </row>
    <row r="157" spans="1:24" ht="42.75">
      <c r="A157" s="26" t="str">
        <v>Otisville - Shoddy Hollow</v>
      </c>
      <c r="B157" s="27" t="str">
        <v>NY</v>
      </c>
      <c r="C157" s="27" t="str">
        <f>Sites[[#This Row],[SOL'#]]</f>
        <v>SOL-11185</v>
      </c>
      <c r="D157" s="9">
        <v>1135818</v>
      </c>
      <c r="E157" s="14">
        <v>1131387</v>
      </c>
      <c r="F157" s="14">
        <f t="shared" si="12"/>
        <v>4431</v>
      </c>
      <c r="G157" s="15">
        <f t="shared" si="13"/>
        <v>3.9164317779857823E-3</v>
      </c>
      <c r="H157" s="144" t="s">
        <v>936</v>
      </c>
      <c r="I157" s="16" t="str">
        <f t="shared" si="14"/>
        <v/>
      </c>
      <c r="J157" s="15" t="str">
        <f t="shared" si="15"/>
        <v/>
      </c>
      <c r="K157" s="51" t="s">
        <v>1637</v>
      </c>
      <c r="L157" s="103" t="s">
        <v>1638</v>
      </c>
      <c r="M157" s="106" t="s">
        <v>1639</v>
      </c>
      <c r="N157" s="107"/>
      <c r="O157" s="107"/>
      <c r="P157" s="107"/>
      <c r="Q157" s="107"/>
      <c r="R157" s="107"/>
      <c r="S157" s="107"/>
      <c r="T157" s="107"/>
      <c r="U157" s="107"/>
      <c r="V157" s="107"/>
      <c r="W157" s="107"/>
      <c r="X157" s="107"/>
    </row>
    <row r="158" spans="1:24" ht="28.5">
      <c r="A158" s="28" t="str">
        <v>Wellsville - Chenunda Creek</v>
      </c>
      <c r="B158" s="25" t="str">
        <v>NY</v>
      </c>
      <c r="C158" s="25" t="str">
        <f>Sites[[#This Row],[SOL'#]]</f>
        <v>SOL-11187</v>
      </c>
      <c r="D158" s="20">
        <v>621490</v>
      </c>
      <c r="E158" s="10">
        <v>619787</v>
      </c>
      <c r="F158" s="10">
        <f t="shared" si="12"/>
        <v>1703</v>
      </c>
      <c r="G158" s="11">
        <f t="shared" si="13"/>
        <v>2.7477181676930948E-3</v>
      </c>
      <c r="H158" s="143" t="s">
        <v>936</v>
      </c>
      <c r="I158" s="12" t="str">
        <f t="shared" si="14"/>
        <v/>
      </c>
      <c r="J158" s="13" t="str">
        <f t="shared" si="15"/>
        <v/>
      </c>
      <c r="K158" s="53" t="s">
        <v>1640</v>
      </c>
      <c r="L158" s="102" t="s">
        <v>1641</v>
      </c>
      <c r="M158" s="107"/>
      <c r="N158" s="107"/>
      <c r="O158" s="107"/>
      <c r="P158" s="107"/>
      <c r="Q158" s="107"/>
      <c r="R158" s="107"/>
      <c r="S158" s="107"/>
      <c r="T158" s="107"/>
      <c r="U158" s="107"/>
      <c r="V158" s="107"/>
      <c r="W158" s="107"/>
      <c r="X158" s="107"/>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58 G59:G158">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s>
  <pageMargins left="0.4" right="0.7" top="0.25" bottom="0.25" header="0.3" footer="0.3"/>
  <pageSetup fitToHeight="99" orientation="landscape" r:id="rId18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173"/>
  <sheetViews>
    <sheetView zoomScale="70" zoomScaleNormal="70" workbookViewId="0">
      <pane xSplit="2" ySplit="3" topLeftCell="C159" activePane="bottomRight" state="frozen"/>
      <selection pane="bottomRight" activeCell="A159" sqref="A159"/>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1" t="str" cm="1">
        <f t="array" ref="A1">portfolio</f>
        <v>Generate Capital</v>
      </c>
      <c r="B1" s="151"/>
      <c r="C1" s="151"/>
      <c r="D1" s="151"/>
      <c r="E1" s="152" t="s">
        <v>1642</v>
      </c>
      <c r="F1" s="152"/>
      <c r="G1" s="152"/>
      <c r="H1" s="150" t="s">
        <v>1643</v>
      </c>
      <c r="I1" s="150"/>
      <c r="J1" s="150"/>
      <c r="K1" s="4"/>
      <c r="L1" s="4"/>
    </row>
    <row r="2" spans="1:12" ht="19.5" customHeight="1">
      <c r="A2" s="153" t="s">
        <v>2</v>
      </c>
      <c r="B2" s="153"/>
      <c r="C2" s="57"/>
      <c r="D2" s="5">
        <f>SUM(D4:D173)</f>
        <v>0</v>
      </c>
      <c r="E2" s="5">
        <f>SUM(E4:E100)</f>
        <v>0</v>
      </c>
      <c r="F2" s="5">
        <f>D2-E2</f>
        <v>0</v>
      </c>
      <c r="G2" s="6">
        <f>IFERROR(F2/E2, 0)</f>
        <v>0</v>
      </c>
      <c r="H2" s="5">
        <f>SUM(H4:H173)</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75">
      <c r="A4" s="28" t="str" cm="1">
        <f t="array" ref="A4:A158">Sites[Site]</f>
        <v>K026</v>
      </c>
      <c r="B4" s="25" t="str" cm="1">
        <f t="array" ref="B4:B158">Sites[State]</f>
        <v>NY</v>
      </c>
      <c r="C4" s="25" t="str">
        <f>Sites[[#This Row],[SOL'#]]</f>
        <v>SOL-10356</v>
      </c>
      <c r="D4" s="77"/>
      <c r="E4" s="78"/>
      <c r="F4" s="10" t="str">
        <f>IF(AND(ISNUMBER(D4),ISNUMBER(E4)), D4-E4, "")</f>
        <v/>
      </c>
      <c r="G4" s="11" t="str">
        <f>IFERROR(F4/E4, "")</f>
        <v/>
      </c>
      <c r="H4" s="67"/>
      <c r="I4" s="12" t="str">
        <f>IF(AND(ISNUMBER(D4),ISNUMBER(H4)), D4-H4, "")</f>
        <v/>
      </c>
      <c r="J4" s="13" t="str">
        <f>IFERROR(I4/H4, "")</f>
        <v/>
      </c>
      <c r="K4" s="53"/>
      <c r="L4" s="53"/>
    </row>
    <row r="5" spans="1:12" ht="15.75">
      <c r="A5" s="26" t="str">
        <v>K041</v>
      </c>
      <c r="B5" s="27" t="str">
        <v>NY</v>
      </c>
      <c r="C5" s="25" t="str">
        <f>Sites[[#This Row],[SOL'#]]</f>
        <v>SOL-10357</v>
      </c>
      <c r="D5" s="72"/>
      <c r="E5" s="79"/>
      <c r="F5" s="14" t="str">
        <f t="shared" ref="F5:F17" si="0">IF(AND(ISNUMBER(D5),ISNUMBER(E5)), D5-E5, "")</f>
        <v/>
      </c>
      <c r="G5" s="15" t="str">
        <f>IFERROR(F5/E5, "")</f>
        <v/>
      </c>
      <c r="H5" s="69"/>
      <c r="I5" s="16" t="str">
        <f t="shared" ref="I5:I17" si="1">IF(AND(ISNUMBER(D5),ISNUMBER(H5)), D5-H5, "")</f>
        <v/>
      </c>
      <c r="J5" s="15" t="str">
        <f t="shared" ref="J5:J17" si="2">IFERROR(I5/H5, "")</f>
        <v/>
      </c>
      <c r="K5" s="51"/>
      <c r="L5" s="51"/>
    </row>
    <row r="6" spans="1:12" ht="15.75">
      <c r="A6" s="24" t="str">
        <v>K043</v>
      </c>
      <c r="B6" s="25" t="str">
        <v>NY</v>
      </c>
      <c r="C6" s="25" t="str">
        <f>Sites[[#This Row],[SOL'#]]</f>
        <v>SOL-10358</v>
      </c>
      <c r="D6" s="77"/>
      <c r="E6" s="78"/>
      <c r="F6" s="10" t="str">
        <f t="shared" si="0"/>
        <v/>
      </c>
      <c r="G6" s="11" t="str">
        <f t="shared" ref="G6:G17" si="3">IFERROR(F6/E6, "")</f>
        <v/>
      </c>
      <c r="H6" s="67"/>
      <c r="I6" s="12" t="str">
        <f t="shared" si="1"/>
        <v/>
      </c>
      <c r="J6" s="13" t="str">
        <f t="shared" si="2"/>
        <v/>
      </c>
      <c r="K6" s="53"/>
      <c r="L6" s="53"/>
    </row>
    <row r="7" spans="1:12" ht="15.75">
      <c r="A7" s="26" t="str">
        <v>K058</v>
      </c>
      <c r="B7" s="27" t="str">
        <v>NY</v>
      </c>
      <c r="C7" s="25" t="str">
        <f>Sites[[#This Row],[SOL'#]]</f>
        <v>SOL-10360</v>
      </c>
      <c r="D7" s="72"/>
      <c r="E7" s="79"/>
      <c r="F7" s="14" t="str">
        <f t="shared" si="0"/>
        <v/>
      </c>
      <c r="G7" s="15" t="str">
        <f t="shared" si="3"/>
        <v/>
      </c>
      <c r="H7" s="69"/>
      <c r="I7" s="16" t="str">
        <f t="shared" si="1"/>
        <v/>
      </c>
      <c r="J7" s="15" t="str">
        <f t="shared" si="2"/>
        <v/>
      </c>
      <c r="K7" s="51"/>
      <c r="L7" s="51"/>
    </row>
    <row r="8" spans="1:12" ht="15.75">
      <c r="A8" s="24" t="str">
        <v>K115</v>
      </c>
      <c r="B8" s="25" t="str">
        <v>NY</v>
      </c>
      <c r="C8" s="25" t="str">
        <f>Sites[[#This Row],[SOL'#]]</f>
        <v>SOL-10361</v>
      </c>
      <c r="D8" s="77"/>
      <c r="E8" s="78"/>
      <c r="F8" s="10" t="str">
        <f t="shared" si="0"/>
        <v/>
      </c>
      <c r="G8" s="11" t="str">
        <f t="shared" si="3"/>
        <v/>
      </c>
      <c r="H8" s="67"/>
      <c r="I8" s="12" t="str">
        <f t="shared" si="1"/>
        <v/>
      </c>
      <c r="J8" s="13" t="str">
        <f t="shared" si="2"/>
        <v/>
      </c>
      <c r="K8" s="53"/>
      <c r="L8" s="53"/>
    </row>
    <row r="9" spans="1:12" ht="15.75">
      <c r="A9" s="26" t="str">
        <v>K152</v>
      </c>
      <c r="B9" s="27" t="str">
        <v>NY</v>
      </c>
      <c r="C9" s="25" t="str">
        <f>Sites[[#This Row],[SOL'#]]</f>
        <v>SOL-10362</v>
      </c>
      <c r="D9" s="72"/>
      <c r="E9" s="79"/>
      <c r="F9" s="14" t="str">
        <f t="shared" si="0"/>
        <v/>
      </c>
      <c r="G9" s="15" t="str">
        <f t="shared" si="3"/>
        <v/>
      </c>
      <c r="H9" s="69"/>
      <c r="I9" s="16" t="str">
        <f t="shared" si="1"/>
        <v/>
      </c>
      <c r="J9" s="15" t="str">
        <f t="shared" si="2"/>
        <v/>
      </c>
      <c r="K9" s="51"/>
      <c r="L9" s="51"/>
    </row>
    <row r="10" spans="1:12" ht="15.75">
      <c r="A10" s="24" t="str">
        <v>K166</v>
      </c>
      <c r="B10" s="25" t="str">
        <v>NY</v>
      </c>
      <c r="C10" s="25" t="str">
        <f>Sites[[#This Row],[SOL'#]]</f>
        <v>SOL-10363</v>
      </c>
      <c r="D10" s="77"/>
      <c r="E10" s="78"/>
      <c r="F10" s="10" t="str">
        <f t="shared" si="0"/>
        <v/>
      </c>
      <c r="G10" s="11" t="str">
        <f t="shared" si="3"/>
        <v/>
      </c>
      <c r="H10" s="67"/>
      <c r="I10" s="12" t="str">
        <f t="shared" si="1"/>
        <v/>
      </c>
      <c r="J10" s="13" t="str">
        <f t="shared" si="2"/>
        <v/>
      </c>
      <c r="K10" s="53"/>
      <c r="L10" s="53"/>
    </row>
    <row r="11" spans="1:12" ht="15.75">
      <c r="A11" s="26" t="str">
        <v>K206</v>
      </c>
      <c r="B11" s="27" t="str">
        <v>NY</v>
      </c>
      <c r="C11" s="25" t="str">
        <f>Sites[[#This Row],[SOL'#]]</f>
        <v>SOL-10927</v>
      </c>
      <c r="D11" s="72"/>
      <c r="E11" s="79"/>
      <c r="F11" s="14" t="str">
        <f t="shared" si="0"/>
        <v/>
      </c>
      <c r="G11" s="15" t="str">
        <f t="shared" si="3"/>
        <v/>
      </c>
      <c r="H11" s="69"/>
      <c r="I11" s="16" t="str">
        <f t="shared" si="1"/>
        <v/>
      </c>
      <c r="J11" s="15" t="str">
        <f t="shared" si="2"/>
        <v/>
      </c>
      <c r="K11" s="51"/>
      <c r="L11" s="51"/>
    </row>
    <row r="12" spans="1:12" ht="15.75">
      <c r="A12" s="24" t="str">
        <v>K251</v>
      </c>
      <c r="B12" s="25" t="str">
        <v>NY</v>
      </c>
      <c r="C12" s="25" t="str">
        <f>Sites[[#This Row],[SOL'#]]</f>
        <v>SOL-10365</v>
      </c>
      <c r="D12" s="77"/>
      <c r="E12" s="78"/>
      <c r="F12" s="10" t="str">
        <f t="shared" si="0"/>
        <v/>
      </c>
      <c r="G12" s="11" t="str">
        <f t="shared" si="3"/>
        <v/>
      </c>
      <c r="H12" s="67"/>
      <c r="I12" s="12" t="str">
        <f t="shared" si="1"/>
        <v/>
      </c>
      <c r="J12" s="13" t="str">
        <f t="shared" si="2"/>
        <v/>
      </c>
      <c r="K12" s="53"/>
      <c r="L12" s="53"/>
    </row>
    <row r="13" spans="1:12" ht="15.75">
      <c r="A13" s="26" t="str">
        <v>K269</v>
      </c>
      <c r="B13" s="27" t="str">
        <v>NY</v>
      </c>
      <c r="C13" s="25" t="str">
        <f>Sites[[#This Row],[SOL'#]]</f>
        <v>SOL-10366</v>
      </c>
      <c r="D13" s="72"/>
      <c r="E13" s="79"/>
      <c r="F13" s="14" t="str">
        <f t="shared" si="0"/>
        <v/>
      </c>
      <c r="G13" s="15" t="str">
        <f t="shared" si="3"/>
        <v/>
      </c>
      <c r="H13" s="69"/>
      <c r="I13" s="16" t="str">
        <f t="shared" si="1"/>
        <v/>
      </c>
      <c r="J13" s="15" t="str">
        <f t="shared" si="2"/>
        <v/>
      </c>
      <c r="K13" s="51"/>
      <c r="L13" s="51"/>
    </row>
    <row r="14" spans="1:12" ht="15.75">
      <c r="A14" s="24" t="str">
        <v>K273</v>
      </c>
      <c r="B14" s="25" t="str">
        <v>NY</v>
      </c>
      <c r="C14" s="25" t="str">
        <f>Sites[[#This Row],[SOL'#]]</f>
        <v>SOL-10367</v>
      </c>
      <c r="D14" s="77"/>
      <c r="E14" s="78"/>
      <c r="F14" s="10" t="str">
        <f t="shared" si="0"/>
        <v/>
      </c>
      <c r="G14" s="11" t="str">
        <f t="shared" si="3"/>
        <v/>
      </c>
      <c r="H14" s="67"/>
      <c r="I14" s="12" t="str">
        <f t="shared" si="1"/>
        <v/>
      </c>
      <c r="J14" s="13" t="str">
        <f t="shared" si="2"/>
        <v/>
      </c>
      <c r="K14" s="53"/>
      <c r="L14" s="53"/>
    </row>
    <row r="15" spans="1:12" ht="15.75">
      <c r="A15" s="26" t="str">
        <v>K287</v>
      </c>
      <c r="B15" s="27" t="str">
        <v>NY</v>
      </c>
      <c r="C15" s="25" t="str">
        <f>Sites[[#This Row],[SOL'#]]</f>
        <v>SOL-10919</v>
      </c>
      <c r="D15" s="72"/>
      <c r="E15" s="79"/>
      <c r="F15" s="14" t="str">
        <f t="shared" si="0"/>
        <v/>
      </c>
      <c r="G15" s="15" t="str">
        <f t="shared" si="3"/>
        <v/>
      </c>
      <c r="H15" s="69"/>
      <c r="I15" s="16" t="str">
        <f t="shared" si="1"/>
        <v/>
      </c>
      <c r="J15" s="15" t="str">
        <f t="shared" si="2"/>
        <v/>
      </c>
      <c r="K15" s="51"/>
      <c r="L15" s="51"/>
    </row>
    <row r="16" spans="1:12" ht="15.75">
      <c r="A16" s="24" t="str">
        <v>K298</v>
      </c>
      <c r="B16" s="25" t="str">
        <v>NY</v>
      </c>
      <c r="C16" s="25" t="str">
        <f>Sites[[#This Row],[SOL'#]]</f>
        <v>SOL-10368</v>
      </c>
      <c r="D16" s="77"/>
      <c r="E16" s="78"/>
      <c r="F16" s="10" t="str">
        <f t="shared" si="0"/>
        <v/>
      </c>
      <c r="G16" s="11" t="str">
        <f t="shared" si="3"/>
        <v/>
      </c>
      <c r="H16" s="67"/>
      <c r="I16" s="12" t="str">
        <f t="shared" si="1"/>
        <v/>
      </c>
      <c r="J16" s="13" t="str">
        <f t="shared" si="2"/>
        <v/>
      </c>
      <c r="K16" s="53"/>
      <c r="L16" s="53"/>
    </row>
    <row r="17" spans="1:12" ht="15.75">
      <c r="A17" s="26" t="str">
        <v>K335</v>
      </c>
      <c r="B17" s="27" t="str">
        <v>NY</v>
      </c>
      <c r="C17" s="25" t="str">
        <f>Sites[[#This Row],[SOL'#]]</f>
        <v>SOL-10370</v>
      </c>
      <c r="D17" s="72"/>
      <c r="E17" s="79"/>
      <c r="F17" s="14" t="str">
        <f t="shared" si="0"/>
        <v/>
      </c>
      <c r="G17" s="15" t="str">
        <f t="shared" si="3"/>
        <v/>
      </c>
      <c r="H17" s="69"/>
      <c r="I17" s="16" t="str">
        <f t="shared" si="1"/>
        <v/>
      </c>
      <c r="J17" s="15" t="str">
        <f t="shared" si="2"/>
        <v/>
      </c>
      <c r="K17" s="51"/>
      <c r="L17" s="51"/>
    </row>
    <row r="18" spans="1:12" ht="70.349999999999994" customHeight="1">
      <c r="A18" s="24" t="str">
        <v>K345</v>
      </c>
      <c r="B18" s="25" t="str">
        <v>NY</v>
      </c>
      <c r="C18" s="25" t="str">
        <f>Sites[[#This Row],[SOL'#]]</f>
        <v>SOL-10920</v>
      </c>
      <c r="D18" s="77"/>
      <c r="E18" s="78"/>
      <c r="F18" s="10" t="str">
        <f t="shared" ref="F18:F81" si="4">IF(AND(ISNUMBER(D18),ISNUMBER(E18)), D18-E18, "")</f>
        <v/>
      </c>
      <c r="G18" s="10" t="str">
        <f>IFERROR(F18/E18, "")</f>
        <v/>
      </c>
      <c r="H18" s="67"/>
      <c r="I18" s="12" t="str">
        <f t="shared" ref="I18:I81" si="5">IF(AND(ISNUMBER(D18),ISNUMBER(H18)), D18-H18, "")</f>
        <v/>
      </c>
      <c r="J18" s="13" t="str">
        <f t="shared" ref="J18:J81" si="6">IFERROR(I18/H18, "")</f>
        <v/>
      </c>
      <c r="K18" s="53"/>
      <c r="L18" s="53"/>
    </row>
    <row r="19" spans="1:12" ht="15.75">
      <c r="A19" s="26" t="str">
        <v>K445</v>
      </c>
      <c r="B19" s="27" t="str">
        <v>NY</v>
      </c>
      <c r="C19" s="25" t="str">
        <f>Sites[[#This Row],[SOL'#]]</f>
        <v>SOL-10373</v>
      </c>
      <c r="D19" s="72"/>
      <c r="E19" s="79"/>
      <c r="F19" s="14" t="str">
        <f t="shared" si="4"/>
        <v/>
      </c>
      <c r="G19" s="15" t="str">
        <f t="shared" ref="G19:G81" si="7">IFERROR(F19/E19, "")</f>
        <v/>
      </c>
      <c r="H19" s="69"/>
      <c r="I19" s="16" t="str">
        <f t="shared" si="5"/>
        <v/>
      </c>
      <c r="J19" s="15" t="str">
        <f t="shared" si="6"/>
        <v/>
      </c>
      <c r="K19" s="51"/>
      <c r="L19" s="51"/>
    </row>
    <row r="20" spans="1:12" ht="15.75">
      <c r="A20" s="24" t="str">
        <v>K495</v>
      </c>
      <c r="B20" s="25" t="str">
        <v>NY</v>
      </c>
      <c r="C20" s="25" t="str">
        <f>Sites[[#This Row],[SOL'#]]</f>
        <v>SOL-10374</v>
      </c>
      <c r="D20" s="77"/>
      <c r="E20" s="78"/>
      <c r="F20" s="10" t="str">
        <f t="shared" si="4"/>
        <v/>
      </c>
      <c r="G20" s="11" t="str">
        <f t="shared" si="7"/>
        <v/>
      </c>
      <c r="H20" s="67"/>
      <c r="I20" s="12" t="str">
        <f t="shared" si="5"/>
        <v/>
      </c>
      <c r="J20" s="13" t="str">
        <f t="shared" si="6"/>
        <v/>
      </c>
      <c r="K20" s="53"/>
      <c r="L20" s="53"/>
    </row>
    <row r="21" spans="1:12" ht="15.75">
      <c r="A21" s="26" t="str">
        <v>M020</v>
      </c>
      <c r="B21" s="27" t="str">
        <v>NY</v>
      </c>
      <c r="C21" s="25" t="str">
        <f>Sites[[#This Row],[SOL'#]]</f>
        <v>SOL-10380</v>
      </c>
      <c r="D21" s="72"/>
      <c r="E21" s="79"/>
      <c r="F21" s="14" t="str">
        <f t="shared" si="4"/>
        <v/>
      </c>
      <c r="G21" s="15" t="str">
        <f t="shared" si="7"/>
        <v/>
      </c>
      <c r="H21" s="69"/>
      <c r="I21" s="16" t="str">
        <f t="shared" si="5"/>
        <v/>
      </c>
      <c r="J21" s="15" t="str">
        <f t="shared" si="6"/>
        <v/>
      </c>
      <c r="K21" s="51"/>
      <c r="L21" s="51"/>
    </row>
    <row r="22" spans="1:12" ht="15.75">
      <c r="A22" s="24" t="str">
        <v>M092</v>
      </c>
      <c r="B22" s="25" t="str">
        <v>NY</v>
      </c>
      <c r="C22" s="25" t="str">
        <f>Sites[[#This Row],[SOL'#]]</f>
        <v>SOL-10383</v>
      </c>
      <c r="D22" s="77"/>
      <c r="E22" s="78"/>
      <c r="F22" s="10" t="str">
        <f t="shared" si="4"/>
        <v/>
      </c>
      <c r="G22" s="11" t="str">
        <f t="shared" si="7"/>
        <v/>
      </c>
      <c r="H22" s="67"/>
      <c r="I22" s="12" t="str">
        <f t="shared" si="5"/>
        <v/>
      </c>
      <c r="J22" s="13" t="str">
        <f t="shared" si="6"/>
        <v/>
      </c>
      <c r="K22" s="53"/>
      <c r="L22" s="53"/>
    </row>
    <row r="23" spans="1:12" ht="15.75">
      <c r="A23" s="26" t="str">
        <v>M143</v>
      </c>
      <c r="B23" s="27" t="str">
        <v>NY</v>
      </c>
      <c r="C23" s="25" t="str">
        <f>Sites[[#This Row],[SOL'#]]</f>
        <v>SOL-10384</v>
      </c>
      <c r="D23" s="72"/>
      <c r="E23" s="79"/>
      <c r="F23" s="14" t="str">
        <f t="shared" si="4"/>
        <v/>
      </c>
      <c r="G23" s="15" t="str">
        <f t="shared" si="7"/>
        <v/>
      </c>
      <c r="H23" s="69"/>
      <c r="I23" s="16" t="str">
        <f t="shared" si="5"/>
        <v/>
      </c>
      <c r="J23" s="15" t="str">
        <f t="shared" si="6"/>
        <v/>
      </c>
      <c r="K23" s="51"/>
      <c r="L23" s="51"/>
    </row>
    <row r="24" spans="1:12" ht="15.75">
      <c r="A24" s="24" t="str">
        <v>M144</v>
      </c>
      <c r="B24" s="25" t="str">
        <v>NY</v>
      </c>
      <c r="C24" s="25" t="str">
        <f>Sites[[#This Row],[SOL'#]]</f>
        <v>SOL-10385</v>
      </c>
      <c r="D24" s="77"/>
      <c r="E24" s="78"/>
      <c r="F24" s="10" t="str">
        <f t="shared" si="4"/>
        <v/>
      </c>
      <c r="G24" s="11" t="str">
        <f t="shared" si="7"/>
        <v/>
      </c>
      <c r="H24" s="67"/>
      <c r="I24" s="12" t="str">
        <f t="shared" si="5"/>
        <v/>
      </c>
      <c r="J24" s="13" t="str">
        <f t="shared" si="6"/>
        <v/>
      </c>
      <c r="K24" s="53"/>
      <c r="L24" s="53"/>
    </row>
    <row r="25" spans="1:12" ht="15.75">
      <c r="A25" s="26" t="str">
        <v>M167</v>
      </c>
      <c r="B25" s="27" t="str">
        <v>NY</v>
      </c>
      <c r="C25" s="25" t="str">
        <f>Sites[[#This Row],[SOL'#]]</f>
        <v>SOL-10386</v>
      </c>
      <c r="D25" s="72"/>
      <c r="E25" s="79"/>
      <c r="F25" s="14" t="str">
        <f t="shared" si="4"/>
        <v/>
      </c>
      <c r="G25" s="15" t="str">
        <f t="shared" si="7"/>
        <v/>
      </c>
      <c r="H25" s="69"/>
      <c r="I25" s="16" t="str">
        <f t="shared" si="5"/>
        <v/>
      </c>
      <c r="J25" s="15" t="str">
        <f t="shared" si="6"/>
        <v/>
      </c>
      <c r="K25" s="51"/>
      <c r="L25" s="51"/>
    </row>
    <row r="26" spans="1:12" ht="15.75">
      <c r="A26" s="24" t="str">
        <v>M188</v>
      </c>
      <c r="B26" s="25" t="str">
        <v>NY</v>
      </c>
      <c r="C26" s="25" t="str">
        <f>Sites[[#This Row],[SOL'#]]</f>
        <v>SOL-10387</v>
      </c>
      <c r="D26" s="77"/>
      <c r="E26" s="78"/>
      <c r="F26" s="10" t="str">
        <f t="shared" si="4"/>
        <v/>
      </c>
      <c r="G26" s="11" t="str">
        <f t="shared" si="7"/>
        <v/>
      </c>
      <c r="H26" s="67"/>
      <c r="I26" s="12" t="str">
        <f t="shared" si="5"/>
        <v/>
      </c>
      <c r="J26" s="13" t="str">
        <f t="shared" si="6"/>
        <v/>
      </c>
      <c r="K26" s="53"/>
      <c r="L26" s="53"/>
    </row>
    <row r="27" spans="1:12" ht="15.75">
      <c r="A27" s="26" t="str">
        <v>EMHC</v>
      </c>
      <c r="B27" s="27" t="str">
        <v>NY</v>
      </c>
      <c r="C27" s="25" t="str">
        <f>Sites[[#This Row],[SOL'#]]</f>
        <v>SOL-10351</v>
      </c>
      <c r="D27" s="72"/>
      <c r="E27" s="79"/>
      <c r="F27" s="14" t="str">
        <f t="shared" si="4"/>
        <v/>
      </c>
      <c r="G27" s="15" t="str">
        <f t="shared" si="7"/>
        <v/>
      </c>
      <c r="H27" s="69"/>
      <c r="I27" s="16" t="str">
        <f t="shared" si="5"/>
        <v/>
      </c>
      <c r="J27" s="15" t="str">
        <f t="shared" si="6"/>
        <v/>
      </c>
      <c r="K27" s="51"/>
      <c r="L27" s="51"/>
    </row>
    <row r="28" spans="1:12" ht="15.75">
      <c r="A28" s="24" t="str">
        <v>Q008</v>
      </c>
      <c r="B28" s="25" t="str">
        <v>NY</v>
      </c>
      <c r="C28" s="25" t="str">
        <f>Sites[[#This Row],[SOL'#]]</f>
        <v>SOL-10397</v>
      </c>
      <c r="D28" s="77"/>
      <c r="E28" s="78"/>
      <c r="F28" s="10" t="str">
        <f t="shared" si="4"/>
        <v/>
      </c>
      <c r="G28" s="11" t="str">
        <f t="shared" si="7"/>
        <v/>
      </c>
      <c r="H28" s="67"/>
      <c r="I28" s="12" t="str">
        <f t="shared" si="5"/>
        <v/>
      </c>
      <c r="J28" s="13" t="str">
        <f t="shared" si="6"/>
        <v/>
      </c>
      <c r="K28" s="53"/>
      <c r="L28" s="53"/>
    </row>
    <row r="29" spans="1:12" ht="15.75">
      <c r="A29" s="26" t="str">
        <v>Q018</v>
      </c>
      <c r="B29" s="27" t="str">
        <v>NY</v>
      </c>
      <c r="C29" s="25" t="str">
        <f>Sites[[#This Row],[SOL'#]]</f>
        <v>SOL-10398</v>
      </c>
      <c r="D29" s="72"/>
      <c r="E29" s="79"/>
      <c r="F29" s="14" t="str">
        <f t="shared" si="4"/>
        <v/>
      </c>
      <c r="G29" s="15" t="str">
        <f t="shared" si="7"/>
        <v/>
      </c>
      <c r="H29" s="69"/>
      <c r="I29" s="16" t="str">
        <f t="shared" si="5"/>
        <v/>
      </c>
      <c r="J29" s="15" t="str">
        <f t="shared" si="6"/>
        <v/>
      </c>
      <c r="K29" s="51"/>
      <c r="L29" s="51"/>
    </row>
    <row r="30" spans="1:12" ht="15.75">
      <c r="A30" s="24" t="str">
        <v>Q021</v>
      </c>
      <c r="B30" s="25" t="str">
        <v>NY</v>
      </c>
      <c r="C30" s="25" t="str">
        <f>Sites[[#This Row],[SOL'#]]</f>
        <v>SOL-10399</v>
      </c>
      <c r="D30" s="77"/>
      <c r="E30" s="78"/>
      <c r="F30" s="10" t="str">
        <f t="shared" si="4"/>
        <v/>
      </c>
      <c r="G30" s="11" t="str">
        <f t="shared" si="7"/>
        <v/>
      </c>
      <c r="H30" s="67"/>
      <c r="I30" s="12" t="str">
        <f t="shared" si="5"/>
        <v/>
      </c>
      <c r="J30" s="13" t="str">
        <f t="shared" si="6"/>
        <v/>
      </c>
      <c r="K30" s="53"/>
      <c r="L30" s="53"/>
    </row>
    <row r="31" spans="1:12" ht="15.75">
      <c r="A31" s="26" t="str">
        <v>Q025</v>
      </c>
      <c r="B31" s="27" t="str">
        <v>NY</v>
      </c>
      <c r="C31" s="25" t="str">
        <f>Sites[[#This Row],[SOL'#]]</f>
        <v>SOL-10400</v>
      </c>
      <c r="D31" s="72"/>
      <c r="E31" s="79"/>
      <c r="F31" s="14" t="str">
        <f t="shared" si="4"/>
        <v/>
      </c>
      <c r="G31" s="15" t="str">
        <f t="shared" si="7"/>
        <v/>
      </c>
      <c r="H31" s="69"/>
      <c r="I31" s="16" t="str">
        <f t="shared" si="5"/>
        <v/>
      </c>
      <c r="J31" s="15" t="str">
        <f t="shared" si="6"/>
        <v/>
      </c>
      <c r="K31" s="51"/>
      <c r="L31" s="51"/>
    </row>
    <row r="32" spans="1:12" ht="15.75">
      <c r="A32" s="24" t="str">
        <v>Q074</v>
      </c>
      <c r="B32" s="25" t="str">
        <v>NY</v>
      </c>
      <c r="C32" s="25" t="str">
        <f>Sites[[#This Row],[SOL'#]]</f>
        <v>SOL-10402</v>
      </c>
      <c r="D32" s="77"/>
      <c r="E32" s="78"/>
      <c r="F32" s="10" t="str">
        <f t="shared" si="4"/>
        <v/>
      </c>
      <c r="G32" s="11" t="str">
        <f t="shared" si="7"/>
        <v/>
      </c>
      <c r="H32" s="67"/>
      <c r="I32" s="12" t="str">
        <f t="shared" si="5"/>
        <v/>
      </c>
      <c r="J32" s="13" t="str">
        <f t="shared" si="6"/>
        <v/>
      </c>
      <c r="K32" s="53"/>
      <c r="L32" s="53"/>
    </row>
    <row r="33" spans="1:12" ht="15.75">
      <c r="A33" s="26" t="str">
        <v>Q115</v>
      </c>
      <c r="B33" s="27" t="str">
        <v>NY</v>
      </c>
      <c r="C33" s="25" t="str">
        <f>Sites[[#This Row],[SOL'#]]</f>
        <v>SOL-10872</v>
      </c>
      <c r="D33" s="72"/>
      <c r="E33" s="79"/>
      <c r="F33" s="14" t="str">
        <f t="shared" si="4"/>
        <v/>
      </c>
      <c r="G33" s="15" t="str">
        <f t="shared" si="7"/>
        <v/>
      </c>
      <c r="H33" s="69"/>
      <c r="I33" s="16" t="str">
        <f t="shared" si="5"/>
        <v/>
      </c>
      <c r="J33" s="15" t="str">
        <f t="shared" si="6"/>
        <v/>
      </c>
      <c r="K33" s="51"/>
      <c r="L33" s="51"/>
    </row>
    <row r="34" spans="1:12" ht="15.75">
      <c r="A34" s="24" t="str">
        <v>Q139</v>
      </c>
      <c r="B34" s="25" t="str">
        <v>NY</v>
      </c>
      <c r="C34" s="25" t="str">
        <f>Sites[[#This Row],[SOL'#]]</f>
        <v>SOL-10403</v>
      </c>
      <c r="D34" s="77"/>
      <c r="E34" s="78"/>
      <c r="F34" s="10" t="str">
        <f t="shared" si="4"/>
        <v/>
      </c>
      <c r="G34" s="11" t="str">
        <f t="shared" si="7"/>
        <v/>
      </c>
      <c r="H34" s="67"/>
      <c r="I34" s="12" t="str">
        <f t="shared" si="5"/>
        <v/>
      </c>
      <c r="J34" s="13" t="str">
        <f t="shared" si="6"/>
        <v/>
      </c>
      <c r="K34" s="53"/>
      <c r="L34" s="53"/>
    </row>
    <row r="35" spans="1:12" ht="15.75">
      <c r="A35" s="26" t="str">
        <v>Q157</v>
      </c>
      <c r="B35" s="27" t="str">
        <v>NY</v>
      </c>
      <c r="C35" s="25" t="str">
        <f>Sites[[#This Row],[SOL'#]]</f>
        <v>SOL-10404</v>
      </c>
      <c r="D35" s="72"/>
      <c r="E35" s="79"/>
      <c r="F35" s="14" t="str">
        <f t="shared" si="4"/>
        <v/>
      </c>
      <c r="G35" s="15" t="str">
        <f t="shared" si="7"/>
        <v/>
      </c>
      <c r="H35" s="69"/>
      <c r="I35" s="16" t="str">
        <f t="shared" si="5"/>
        <v/>
      </c>
      <c r="J35" s="15" t="str">
        <f t="shared" si="6"/>
        <v/>
      </c>
      <c r="K35" s="51"/>
      <c r="L35" s="51"/>
    </row>
    <row r="36" spans="1:12" ht="15.75">
      <c r="A36" s="24" t="str">
        <v>Q192</v>
      </c>
      <c r="B36" s="25" t="str">
        <v>NY</v>
      </c>
      <c r="C36" s="25" t="str">
        <f>Sites[[#This Row],[SOL'#]]</f>
        <v>SOL-10406</v>
      </c>
      <c r="D36" s="77"/>
      <c r="E36" s="78"/>
      <c r="F36" s="10" t="str">
        <f t="shared" si="4"/>
        <v/>
      </c>
      <c r="G36" s="11" t="str">
        <f t="shared" si="7"/>
        <v/>
      </c>
      <c r="H36" s="67"/>
      <c r="I36" s="12" t="str">
        <f t="shared" si="5"/>
        <v/>
      </c>
      <c r="J36" s="13" t="str">
        <f t="shared" si="6"/>
        <v/>
      </c>
      <c r="K36" s="53"/>
      <c r="L36" s="53"/>
    </row>
    <row r="37" spans="1:12" ht="153.75" customHeight="1">
      <c r="A37" s="26" t="str">
        <v>Q210</v>
      </c>
      <c r="B37" s="27" t="str">
        <v>NY</v>
      </c>
      <c r="C37" s="25" t="str">
        <f>Sites[[#This Row],[SOL'#]]</f>
        <v>SOL-10407</v>
      </c>
      <c r="D37" s="72"/>
      <c r="E37" s="79"/>
      <c r="F37" s="14" t="str">
        <f t="shared" si="4"/>
        <v/>
      </c>
      <c r="G37" s="15" t="str">
        <f t="shared" si="7"/>
        <v/>
      </c>
      <c r="H37" s="69"/>
      <c r="I37" s="16" t="str">
        <f t="shared" si="5"/>
        <v/>
      </c>
      <c r="J37" s="15" t="str">
        <f t="shared" si="6"/>
        <v/>
      </c>
      <c r="K37" s="51"/>
      <c r="L37" s="51"/>
    </row>
    <row r="38" spans="1:12" ht="15.75">
      <c r="A38" s="24" t="str">
        <v>Q229</v>
      </c>
      <c r="B38" s="25" t="str">
        <v>NY</v>
      </c>
      <c r="C38" s="25" t="str">
        <f>Sites[[#This Row],[SOL'#]]</f>
        <v>SOL-10408</v>
      </c>
      <c r="D38" s="77"/>
      <c r="E38" s="78"/>
      <c r="F38" s="10" t="str">
        <f t="shared" si="4"/>
        <v/>
      </c>
      <c r="G38" s="11" t="str">
        <f t="shared" si="7"/>
        <v/>
      </c>
      <c r="H38" s="67"/>
      <c r="I38" s="12" t="str">
        <f t="shared" si="5"/>
        <v/>
      </c>
      <c r="J38" s="13" t="str">
        <f t="shared" si="6"/>
        <v/>
      </c>
      <c r="K38" s="53"/>
      <c r="L38" s="53"/>
    </row>
    <row r="39" spans="1:12" ht="15.75">
      <c r="A39" s="26" t="str">
        <v>Q231</v>
      </c>
      <c r="B39" s="27" t="str">
        <v>NY</v>
      </c>
      <c r="C39" s="25" t="str">
        <f>Sites[[#This Row],[SOL'#]]</f>
        <v>SOL-10870</v>
      </c>
      <c r="D39" s="72"/>
      <c r="E39" s="79"/>
      <c r="F39" s="14" t="str">
        <f t="shared" si="4"/>
        <v/>
      </c>
      <c r="G39" s="15" t="str">
        <f t="shared" si="7"/>
        <v/>
      </c>
      <c r="H39" s="69"/>
      <c r="I39" s="16" t="str">
        <f t="shared" si="5"/>
        <v/>
      </c>
      <c r="J39" s="15" t="str">
        <f t="shared" si="6"/>
        <v/>
      </c>
      <c r="K39" s="51"/>
      <c r="L39" s="51"/>
    </row>
    <row r="40" spans="1:12" ht="15.75">
      <c r="A40" s="24" t="str">
        <v>Q405</v>
      </c>
      <c r="B40" s="25" t="str">
        <v>NY</v>
      </c>
      <c r="C40" s="25" t="str">
        <f>Sites[[#This Row],[SOL'#]]</f>
        <v>SOL-10409</v>
      </c>
      <c r="D40" s="77"/>
      <c r="E40" s="78"/>
      <c r="F40" s="10" t="str">
        <f t="shared" si="4"/>
        <v/>
      </c>
      <c r="G40" s="11" t="str">
        <f t="shared" si="7"/>
        <v/>
      </c>
      <c r="H40" s="67"/>
      <c r="I40" s="12" t="str">
        <f t="shared" si="5"/>
        <v/>
      </c>
      <c r="J40" s="13" t="str">
        <f t="shared" si="6"/>
        <v/>
      </c>
      <c r="K40" s="53"/>
      <c r="L40" s="53"/>
    </row>
    <row r="41" spans="1:12" ht="15.75">
      <c r="A41" s="26" t="str">
        <v>Q435</v>
      </c>
      <c r="B41" s="27" t="str">
        <v>NY</v>
      </c>
      <c r="C41" s="25" t="str">
        <f>Sites[[#This Row],[SOL'#]]</f>
        <v>SOL-10923</v>
      </c>
      <c r="D41" s="72"/>
      <c r="E41" s="79"/>
      <c r="F41" s="14" t="str">
        <f t="shared" si="4"/>
        <v/>
      </c>
      <c r="G41" s="15" t="str">
        <f t="shared" si="7"/>
        <v/>
      </c>
      <c r="H41" s="69"/>
      <c r="I41" s="16" t="str">
        <f t="shared" si="5"/>
        <v/>
      </c>
      <c r="J41" s="15" t="str">
        <f t="shared" si="6"/>
        <v/>
      </c>
      <c r="K41" s="51"/>
      <c r="L41" s="51"/>
    </row>
    <row r="42" spans="1:12" ht="15.75">
      <c r="A42" s="24" t="str">
        <v>Q485</v>
      </c>
      <c r="B42" s="25" t="str">
        <v>NY</v>
      </c>
      <c r="C42" s="25" t="str">
        <f>Sites[[#This Row],[SOL'#]]</f>
        <v>SOL-10869</v>
      </c>
      <c r="D42" s="77"/>
      <c r="E42" s="78"/>
      <c r="F42" s="10" t="str">
        <f t="shared" si="4"/>
        <v/>
      </c>
      <c r="G42" s="11" t="str">
        <f t="shared" si="7"/>
        <v/>
      </c>
      <c r="H42" s="67"/>
      <c r="I42" s="12" t="str">
        <f t="shared" si="5"/>
        <v/>
      </c>
      <c r="J42" s="13" t="str">
        <f t="shared" si="6"/>
        <v/>
      </c>
      <c r="K42" s="53"/>
      <c r="L42" s="53"/>
    </row>
    <row r="43" spans="1:12" ht="15.75">
      <c r="A43" s="26" t="str">
        <v>Q490</v>
      </c>
      <c r="B43" s="27" t="str">
        <v>NY</v>
      </c>
      <c r="C43" s="25" t="str">
        <f>Sites[[#This Row],[SOL'#]]</f>
        <v>SOL-10411</v>
      </c>
      <c r="D43" s="72"/>
      <c r="E43" s="79"/>
      <c r="F43" s="14" t="str">
        <f t="shared" si="4"/>
        <v/>
      </c>
      <c r="G43" s="15" t="str">
        <f t="shared" si="7"/>
        <v/>
      </c>
      <c r="H43" s="69"/>
      <c r="I43" s="16" t="str">
        <f t="shared" si="5"/>
        <v/>
      </c>
      <c r="J43" s="15" t="str">
        <f t="shared" si="6"/>
        <v/>
      </c>
      <c r="K43" s="51"/>
      <c r="L43" s="51"/>
    </row>
    <row r="44" spans="1:12" ht="15.75">
      <c r="A44" s="24" t="str">
        <v>Q620</v>
      </c>
      <c r="B44" s="25" t="str">
        <v>NY</v>
      </c>
      <c r="C44" s="25" t="str">
        <f>Sites[[#This Row],[SOL'#]]</f>
        <v>SOL-10867</v>
      </c>
      <c r="D44" s="77"/>
      <c r="E44" s="78"/>
      <c r="F44" s="10" t="str">
        <f t="shared" si="4"/>
        <v/>
      </c>
      <c r="G44" s="11" t="str">
        <f t="shared" si="7"/>
        <v/>
      </c>
      <c r="H44" s="67"/>
      <c r="I44" s="12" t="str">
        <f t="shared" si="5"/>
        <v/>
      </c>
      <c r="J44" s="13" t="str">
        <f t="shared" si="6"/>
        <v/>
      </c>
      <c r="K44" s="53"/>
      <c r="L44" s="53"/>
    </row>
    <row r="45" spans="1:12" ht="15.75">
      <c r="A45" s="26" t="str">
        <v>QMOA</v>
      </c>
      <c r="B45" s="27" t="str">
        <v>NY</v>
      </c>
      <c r="C45" s="25" t="str">
        <f>Sites[[#This Row],[SOL'#]]</f>
        <v>SOL-10415</v>
      </c>
      <c r="D45" s="72"/>
      <c r="E45" s="79"/>
      <c r="F45" s="14" t="str">
        <f t="shared" si="4"/>
        <v/>
      </c>
      <c r="G45" s="15" t="str">
        <f t="shared" si="7"/>
        <v/>
      </c>
      <c r="H45" s="69"/>
      <c r="I45" s="16" t="str">
        <f t="shared" si="5"/>
        <v/>
      </c>
      <c r="J45" s="15" t="str">
        <f t="shared" si="6"/>
        <v/>
      </c>
      <c r="K45" s="51"/>
      <c r="L45" s="51"/>
    </row>
    <row r="46" spans="1:12" ht="15.75">
      <c r="A46" s="24" t="str">
        <v>X024</v>
      </c>
      <c r="B46" s="25" t="str">
        <v>NY</v>
      </c>
      <c r="C46" s="25" t="str">
        <f>Sites[[#This Row],[SOL'#]]</f>
        <v>SOL-10419</v>
      </c>
      <c r="D46" s="77"/>
      <c r="E46" s="78"/>
      <c r="F46" s="10" t="str">
        <f t="shared" si="4"/>
        <v/>
      </c>
      <c r="G46" s="11" t="str">
        <f t="shared" si="7"/>
        <v/>
      </c>
      <c r="H46" s="67"/>
      <c r="I46" s="12" t="str">
        <f t="shared" si="5"/>
        <v/>
      </c>
      <c r="J46" s="13" t="str">
        <f t="shared" si="6"/>
        <v/>
      </c>
      <c r="K46" s="53"/>
      <c r="L46" s="53"/>
    </row>
    <row r="47" spans="1:12" ht="15.75">
      <c r="A47" s="26" t="str">
        <v>X026</v>
      </c>
      <c r="B47" s="27" t="str">
        <v>NY</v>
      </c>
      <c r="C47" s="25" t="str">
        <f>Sites[[#This Row],[SOL'#]]</f>
        <v>SOL-10420</v>
      </c>
      <c r="D47" s="72"/>
      <c r="E47" s="79"/>
      <c r="F47" s="14" t="str">
        <f t="shared" si="4"/>
        <v/>
      </c>
      <c r="G47" s="15" t="str">
        <f t="shared" si="7"/>
        <v/>
      </c>
      <c r="H47" s="69"/>
      <c r="I47" s="16" t="str">
        <f t="shared" si="5"/>
        <v/>
      </c>
      <c r="J47" s="15" t="str">
        <f t="shared" si="6"/>
        <v/>
      </c>
      <c r="K47" s="51"/>
      <c r="L47" s="51"/>
    </row>
    <row r="48" spans="1:12" ht="15.75">
      <c r="A48" s="24" t="str">
        <v>X090</v>
      </c>
      <c r="B48" s="25" t="str">
        <v>NY</v>
      </c>
      <c r="C48" s="25" t="str">
        <f>Sites[[#This Row],[SOL'#]]</f>
        <v>SOL-10925</v>
      </c>
      <c r="D48" s="77"/>
      <c r="E48" s="78"/>
      <c r="F48" s="10" t="str">
        <f t="shared" si="4"/>
        <v/>
      </c>
      <c r="G48" s="11" t="str">
        <f t="shared" si="7"/>
        <v/>
      </c>
      <c r="H48" s="67"/>
      <c r="I48" s="12" t="str">
        <f t="shared" si="5"/>
        <v/>
      </c>
      <c r="J48" s="13" t="str">
        <f t="shared" si="6"/>
        <v/>
      </c>
      <c r="K48" s="53"/>
      <c r="L48" s="53"/>
    </row>
    <row r="49" spans="1:12" ht="15.75">
      <c r="A49" s="26" t="str">
        <v>X117</v>
      </c>
      <c r="B49" s="27" t="str">
        <v>NY</v>
      </c>
      <c r="C49" s="25" t="str">
        <f>Sites[[#This Row],[SOL'#]]</f>
        <v>SOL-10422</v>
      </c>
      <c r="D49" s="72"/>
      <c r="E49" s="79"/>
      <c r="F49" s="14" t="str">
        <f t="shared" si="4"/>
        <v/>
      </c>
      <c r="G49" s="15" t="str">
        <f t="shared" si="7"/>
        <v/>
      </c>
      <c r="H49" s="69"/>
      <c r="I49" s="16" t="str">
        <f t="shared" si="5"/>
        <v/>
      </c>
      <c r="J49" s="15" t="str">
        <f t="shared" si="6"/>
        <v/>
      </c>
      <c r="K49" s="51"/>
      <c r="L49" s="51"/>
    </row>
    <row r="50" spans="1:12" ht="15.75">
      <c r="A50" s="24" t="str">
        <v>X125</v>
      </c>
      <c r="B50" s="25" t="str">
        <v>NY</v>
      </c>
      <c r="C50" s="25" t="str">
        <f>Sites[[#This Row],[SOL'#]]</f>
        <v>SOL-10423</v>
      </c>
      <c r="D50" s="77"/>
      <c r="E50" s="78"/>
      <c r="F50" s="10" t="str">
        <f t="shared" si="4"/>
        <v/>
      </c>
      <c r="G50" s="11" t="str">
        <f t="shared" si="7"/>
        <v/>
      </c>
      <c r="H50" s="67"/>
      <c r="I50" s="12" t="str">
        <f t="shared" si="5"/>
        <v/>
      </c>
      <c r="J50" s="13" t="str">
        <f t="shared" si="6"/>
        <v/>
      </c>
      <c r="K50" s="53"/>
      <c r="L50" s="53"/>
    </row>
    <row r="51" spans="1:12" ht="15.75">
      <c r="A51" s="26" t="str">
        <v>X134</v>
      </c>
      <c r="B51" s="27" t="str">
        <v>NY</v>
      </c>
      <c r="C51" s="25" t="str">
        <f>Sites[[#This Row],[SOL'#]]</f>
        <v>SOL-10424</v>
      </c>
      <c r="D51" s="72"/>
      <c r="E51" s="79"/>
      <c r="F51" s="14" t="str">
        <f t="shared" si="4"/>
        <v/>
      </c>
      <c r="G51" s="15" t="str">
        <f t="shared" si="7"/>
        <v/>
      </c>
      <c r="H51" s="69"/>
      <c r="I51" s="16" t="str">
        <f t="shared" si="5"/>
        <v/>
      </c>
      <c r="J51" s="15" t="str">
        <f t="shared" si="6"/>
        <v/>
      </c>
      <c r="K51" s="51"/>
      <c r="L51" s="51"/>
    </row>
    <row r="52" spans="1:12" ht="15.75">
      <c r="A52" s="24" t="str">
        <v>X135</v>
      </c>
      <c r="B52" s="25" t="str">
        <v>NY</v>
      </c>
      <c r="C52" s="25" t="str">
        <f>Sites[[#This Row],[SOL'#]]</f>
        <v>SOL-10425</v>
      </c>
      <c r="D52" s="77"/>
      <c r="E52" s="78"/>
      <c r="F52" s="10" t="str">
        <f t="shared" si="4"/>
        <v/>
      </c>
      <c r="G52" s="11" t="str">
        <f t="shared" si="7"/>
        <v/>
      </c>
      <c r="H52" s="67"/>
      <c r="I52" s="12" t="str">
        <f t="shared" si="5"/>
        <v/>
      </c>
      <c r="J52" s="13" t="str">
        <f t="shared" si="6"/>
        <v/>
      </c>
      <c r="K52" s="53"/>
      <c r="L52" s="53"/>
    </row>
    <row r="53" spans="1:12" ht="15.75">
      <c r="A53" s="26" t="str">
        <v>X139 JHS 222</v>
      </c>
      <c r="B53" s="27" t="str">
        <v>NY</v>
      </c>
      <c r="C53" s="25" t="str">
        <f>Sites[[#This Row],[SOL'#]]</f>
        <v>SOL-10426</v>
      </c>
      <c r="D53" s="72"/>
      <c r="E53" s="79"/>
      <c r="F53" s="14" t="str">
        <f t="shared" si="4"/>
        <v/>
      </c>
      <c r="G53" s="15" t="str">
        <f t="shared" si="7"/>
        <v/>
      </c>
      <c r="H53" s="69"/>
      <c r="I53" s="16" t="str">
        <f t="shared" si="5"/>
        <v/>
      </c>
      <c r="J53" s="15" t="str">
        <f t="shared" si="6"/>
        <v/>
      </c>
      <c r="K53" s="51"/>
      <c r="L53" s="51"/>
    </row>
    <row r="54" spans="1:12" ht="15.75">
      <c r="A54" s="24" t="str">
        <v>X140</v>
      </c>
      <c r="B54" s="25" t="str">
        <v>NY</v>
      </c>
      <c r="C54" s="25" t="str">
        <f>Sites[[#This Row],[SOL'#]]</f>
        <v>SOL-10926</v>
      </c>
      <c r="D54" s="77"/>
      <c r="E54" s="78"/>
      <c r="F54" s="10" t="str">
        <f t="shared" si="4"/>
        <v/>
      </c>
      <c r="G54" s="11" t="str">
        <f t="shared" si="7"/>
        <v/>
      </c>
      <c r="H54" s="67"/>
      <c r="I54" s="12" t="str">
        <f t="shared" si="5"/>
        <v/>
      </c>
      <c r="J54" s="13" t="str">
        <f t="shared" si="6"/>
        <v/>
      </c>
      <c r="K54" s="53"/>
      <c r="L54" s="53"/>
    </row>
    <row r="55" spans="1:12" ht="86.25" customHeight="1">
      <c r="A55" s="26" t="str">
        <v>X166</v>
      </c>
      <c r="B55" s="27" t="str">
        <v>NY</v>
      </c>
      <c r="C55" s="25" t="str">
        <f>Sites[[#This Row],[SOL'#]]</f>
        <v>SOL-10427</v>
      </c>
      <c r="D55" s="72"/>
      <c r="E55" s="79"/>
      <c r="F55" s="14" t="str">
        <f t="shared" si="4"/>
        <v/>
      </c>
      <c r="G55" s="15" t="str">
        <f t="shared" si="7"/>
        <v/>
      </c>
      <c r="H55" s="69"/>
      <c r="I55" s="16" t="str">
        <f t="shared" si="5"/>
        <v/>
      </c>
      <c r="J55" s="15" t="str">
        <f t="shared" si="6"/>
        <v/>
      </c>
      <c r="K55" s="51"/>
      <c r="L55" s="51"/>
    </row>
    <row r="56" spans="1:12" ht="15.75">
      <c r="A56" s="24" t="str">
        <v>Murphy</v>
      </c>
      <c r="B56" s="25" t="str">
        <v>MN</v>
      </c>
      <c r="C56" s="25" t="str">
        <f>Sites[[#This Row],[SOL'#]]</f>
        <v>SOL-10094</v>
      </c>
      <c r="D56" s="77"/>
      <c r="E56" s="78"/>
      <c r="F56" s="10" t="str">
        <f t="shared" si="4"/>
        <v/>
      </c>
      <c r="G56" s="11" t="str">
        <f t="shared" si="7"/>
        <v/>
      </c>
      <c r="H56" s="67"/>
      <c r="I56" s="12" t="str">
        <f t="shared" si="5"/>
        <v/>
      </c>
      <c r="J56" s="13" t="str">
        <f t="shared" si="6"/>
        <v/>
      </c>
      <c r="K56" s="53"/>
      <c r="L56" s="53"/>
    </row>
    <row r="57" spans="1:12" ht="15.75">
      <c r="A57" s="26" t="str">
        <v>Terning</v>
      </c>
      <c r="B57" s="27" t="str">
        <v>MN</v>
      </c>
      <c r="C57" s="25" t="str">
        <f>Sites[[#This Row],[SOL'#]]</f>
        <v>SOL-10093</v>
      </c>
      <c r="D57" s="72"/>
      <c r="E57" s="79"/>
      <c r="F57" s="14" t="str">
        <f t="shared" si="4"/>
        <v/>
      </c>
      <c r="G57" s="15" t="str">
        <f t="shared" si="7"/>
        <v/>
      </c>
      <c r="H57" s="69"/>
      <c r="I57" s="16" t="str">
        <f t="shared" si="5"/>
        <v/>
      </c>
      <c r="J57" s="15" t="str">
        <f t="shared" si="6"/>
        <v/>
      </c>
      <c r="K57" s="51"/>
      <c r="L57" s="51"/>
    </row>
    <row r="58" spans="1:12" ht="15.75">
      <c r="A58" s="24" t="str">
        <v>Boas Road 04</v>
      </c>
      <c r="B58" s="25" t="str">
        <v>NY</v>
      </c>
      <c r="C58" s="25" t="str">
        <f>Sites[[#This Row],[SOL'#]]</f>
        <v>SOL-10908</v>
      </c>
      <c r="D58" s="77"/>
      <c r="E58" s="78"/>
      <c r="F58" s="10" t="str">
        <f t="shared" si="4"/>
        <v/>
      </c>
      <c r="G58" s="11" t="str">
        <f t="shared" si="7"/>
        <v/>
      </c>
      <c r="H58" s="67"/>
      <c r="I58" s="12" t="str">
        <f t="shared" si="5"/>
        <v/>
      </c>
      <c r="J58" s="13" t="str">
        <f t="shared" si="6"/>
        <v/>
      </c>
      <c r="K58" s="53"/>
      <c r="L58" s="53"/>
    </row>
    <row r="59" spans="1:12" ht="15.75">
      <c r="A59" s="26" t="str">
        <v>Kelly Bridge Farm</v>
      </c>
      <c r="B59" s="27" t="str">
        <v>NY</v>
      </c>
      <c r="C59" s="25" t="str">
        <f>Sites[[#This Row],[SOL'#]]</f>
        <v>SOL-10911</v>
      </c>
      <c r="D59" s="72"/>
      <c r="E59" s="79"/>
      <c r="F59" s="14" t="str">
        <f t="shared" si="4"/>
        <v/>
      </c>
      <c r="G59" s="15" t="str">
        <f t="shared" si="7"/>
        <v/>
      </c>
      <c r="H59" s="69"/>
      <c r="I59" s="16" t="str">
        <f t="shared" si="5"/>
        <v/>
      </c>
      <c r="J59" s="15" t="str">
        <f t="shared" si="6"/>
        <v/>
      </c>
      <c r="K59" s="51"/>
      <c r="L59" s="51"/>
    </row>
    <row r="60" spans="1:12" ht="15.75">
      <c r="A60" s="24" t="str">
        <v>Pool Brook Road</v>
      </c>
      <c r="B60" s="25" t="str">
        <v>NY</v>
      </c>
      <c r="C60" s="25" t="str">
        <f>Sites[[#This Row],[SOL'#]]</f>
        <v>SOL-10909</v>
      </c>
      <c r="D60" s="77"/>
      <c r="E60" s="78"/>
      <c r="F60" s="10" t="str">
        <f t="shared" si="4"/>
        <v/>
      </c>
      <c r="G60" s="11" t="str">
        <f t="shared" si="7"/>
        <v/>
      </c>
      <c r="H60" s="67"/>
      <c r="I60" s="12" t="str">
        <f t="shared" si="5"/>
        <v/>
      </c>
      <c r="J60" s="13" t="str">
        <f t="shared" si="6"/>
        <v/>
      </c>
      <c r="K60" s="53"/>
      <c r="L60" s="53"/>
    </row>
    <row r="61" spans="1:12" ht="15.75">
      <c r="A61" s="26" t="str">
        <v>Sackett Lake</v>
      </c>
      <c r="B61" s="27" t="str">
        <v>NY</v>
      </c>
      <c r="C61" s="25" t="str">
        <f>Sites[[#This Row],[SOL'#]]</f>
        <v>SOL-10910</v>
      </c>
      <c r="D61" s="72"/>
      <c r="E61" s="79"/>
      <c r="F61" s="14" t="str">
        <f t="shared" si="4"/>
        <v/>
      </c>
      <c r="G61" s="15" t="str">
        <f t="shared" si="7"/>
        <v/>
      </c>
      <c r="H61" s="69"/>
      <c r="I61" s="16" t="str">
        <f t="shared" si="5"/>
        <v/>
      </c>
      <c r="J61" s="15" t="str">
        <f t="shared" si="6"/>
        <v/>
      </c>
      <c r="K61" s="51"/>
      <c r="L61" s="51"/>
    </row>
    <row r="62" spans="1:12" ht="15.75">
      <c r="A62" s="24" t="str">
        <v>Burritt Road</v>
      </c>
      <c r="B62" s="25" t="str">
        <v>NY</v>
      </c>
      <c r="C62" s="25" t="str">
        <f>Sites[[#This Row],[SOL'#]]</f>
        <v>SOL-10913</v>
      </c>
      <c r="D62" s="77"/>
      <c r="E62" s="78"/>
      <c r="F62" s="10" t="str">
        <f t="shared" si="4"/>
        <v/>
      </c>
      <c r="G62" s="11" t="str">
        <f t="shared" si="7"/>
        <v/>
      </c>
      <c r="H62" s="67"/>
      <c r="I62" s="12" t="str">
        <f t="shared" si="5"/>
        <v/>
      </c>
      <c r="J62" s="13" t="str">
        <f t="shared" si="6"/>
        <v/>
      </c>
      <c r="K62" s="53"/>
      <c r="L62" s="53"/>
    </row>
    <row r="63" spans="1:12" ht="15.75">
      <c r="A63" s="26" t="str">
        <v>Villa Roma 1</v>
      </c>
      <c r="B63" s="27" t="str">
        <v>NY</v>
      </c>
      <c r="C63" s="25" t="str">
        <f>Sites[[#This Row],[SOL'#]]</f>
        <v>SOL-10914</v>
      </c>
      <c r="D63" s="72"/>
      <c r="E63" s="79"/>
      <c r="F63" s="14" t="str">
        <f t="shared" si="4"/>
        <v/>
      </c>
      <c r="G63" s="15" t="str">
        <f t="shared" si="7"/>
        <v/>
      </c>
      <c r="H63" s="69"/>
      <c r="I63" s="16" t="str">
        <f t="shared" si="5"/>
        <v/>
      </c>
      <c r="J63" s="15" t="str">
        <f t="shared" si="6"/>
        <v/>
      </c>
      <c r="K63" s="51"/>
      <c r="L63" s="51"/>
    </row>
    <row r="64" spans="1:12" ht="15.75">
      <c r="A64" s="24" t="str">
        <v>Villa Roma 2</v>
      </c>
      <c r="B64" s="25" t="str">
        <v>NY</v>
      </c>
      <c r="C64" s="25" t="str">
        <f>Sites[[#This Row],[SOL'#]]</f>
        <v>SOL-10915</v>
      </c>
      <c r="D64" s="77"/>
      <c r="E64" s="78"/>
      <c r="F64" s="10" t="str">
        <f t="shared" si="4"/>
        <v/>
      </c>
      <c r="G64" s="11" t="str">
        <f t="shared" si="7"/>
        <v/>
      </c>
      <c r="H64" s="67"/>
      <c r="I64" s="12" t="str">
        <f t="shared" si="5"/>
        <v/>
      </c>
      <c r="J64" s="13" t="str">
        <f t="shared" si="6"/>
        <v/>
      </c>
      <c r="K64" s="53"/>
      <c r="L64" s="53"/>
    </row>
    <row r="65" spans="1:12" ht="15.75">
      <c r="A65" s="26" t="str">
        <v>Washington 1</v>
      </c>
      <c r="B65" s="27" t="str">
        <v>NY</v>
      </c>
      <c r="C65" s="25" t="str">
        <f>Sites[[#This Row],[SOL'#]]</f>
        <v>SOL-10912</v>
      </c>
      <c r="D65" s="72"/>
      <c r="E65" s="79"/>
      <c r="F65" s="14" t="str">
        <f t="shared" si="4"/>
        <v/>
      </c>
      <c r="G65" s="15" t="str">
        <f t="shared" si="7"/>
        <v/>
      </c>
      <c r="H65" s="69"/>
      <c r="I65" s="16" t="str">
        <f t="shared" si="5"/>
        <v/>
      </c>
      <c r="J65" s="15" t="str">
        <f t="shared" si="6"/>
        <v/>
      </c>
      <c r="K65" s="51"/>
      <c r="L65" s="51"/>
    </row>
    <row r="66" spans="1:12" ht="15.75">
      <c r="A66" s="24" t="str">
        <v>Washington 3</v>
      </c>
      <c r="B66" s="25" t="str">
        <v>NY</v>
      </c>
      <c r="C66" s="25" t="str">
        <f>Sites[[#This Row],[SOL'#]]</f>
        <v>SOL-10828</v>
      </c>
      <c r="D66" s="77"/>
      <c r="E66" s="78"/>
      <c r="F66" s="10" t="str">
        <f t="shared" si="4"/>
        <v/>
      </c>
      <c r="G66" s="11" t="str">
        <f t="shared" si="7"/>
        <v/>
      </c>
      <c r="H66" s="67"/>
      <c r="I66" s="12" t="str">
        <f t="shared" si="5"/>
        <v/>
      </c>
      <c r="J66" s="13" t="str">
        <f t="shared" si="6"/>
        <v/>
      </c>
      <c r="K66" s="53"/>
      <c r="L66" s="53"/>
    </row>
    <row r="67" spans="1:12" ht="15.75">
      <c r="A67" s="26" t="str">
        <v>Washington 4</v>
      </c>
      <c r="B67" s="27" t="str">
        <v>NY</v>
      </c>
      <c r="C67" s="25" t="str">
        <f>Sites[[#This Row],[SOL'#]]</f>
        <v>SOL-10829</v>
      </c>
      <c r="D67" s="72"/>
      <c r="E67" s="79"/>
      <c r="F67" s="14" t="str">
        <f t="shared" si="4"/>
        <v/>
      </c>
      <c r="G67" s="15" t="str">
        <f t="shared" si="7"/>
        <v/>
      </c>
      <c r="H67" s="69"/>
      <c r="I67" s="16" t="str">
        <f t="shared" si="5"/>
        <v/>
      </c>
      <c r="J67" s="15" t="str">
        <f t="shared" si="6"/>
        <v/>
      </c>
      <c r="K67" s="51"/>
      <c r="L67" s="51"/>
    </row>
    <row r="68" spans="1:12" ht="15.75">
      <c r="A68" s="24" t="str">
        <v>Big Tree</v>
      </c>
      <c r="B68" s="25" t="str">
        <v>NY</v>
      </c>
      <c r="C68" s="25" t="str">
        <f>Sites[[#This Row],[SOL'#]]</f>
        <v>SOL-10966</v>
      </c>
      <c r="D68" s="77"/>
      <c r="E68" s="78"/>
      <c r="F68" s="10" t="str">
        <f t="shared" si="4"/>
        <v/>
      </c>
      <c r="G68" s="11" t="str">
        <f t="shared" si="7"/>
        <v/>
      </c>
      <c r="H68" s="67"/>
      <c r="I68" s="12" t="str">
        <f t="shared" si="5"/>
        <v/>
      </c>
      <c r="J68" s="13" t="str">
        <f t="shared" si="6"/>
        <v/>
      </c>
      <c r="K68" s="53"/>
      <c r="L68" s="53"/>
    </row>
    <row r="69" spans="1:12" ht="15.75">
      <c r="A69" s="26" t="str">
        <v>Canoga</v>
      </c>
      <c r="B69" s="27" t="str">
        <v>NY</v>
      </c>
      <c r="C69" s="25" t="str">
        <f>Sites[[#This Row],[SOL'#]]</f>
        <v>SOL-10965</v>
      </c>
      <c r="D69" s="72"/>
      <c r="E69" s="79"/>
      <c r="F69" s="14" t="str">
        <f t="shared" si="4"/>
        <v/>
      </c>
      <c r="G69" s="15" t="str">
        <f t="shared" si="7"/>
        <v/>
      </c>
      <c r="H69" s="69"/>
      <c r="I69" s="16" t="str">
        <f t="shared" si="5"/>
        <v/>
      </c>
      <c r="J69" s="15" t="str">
        <f t="shared" si="6"/>
        <v/>
      </c>
      <c r="K69" s="51"/>
      <c r="L69" s="51"/>
    </row>
    <row r="70" spans="1:12" ht="15.75">
      <c r="A70" s="24" t="str">
        <v>County Route 84</v>
      </c>
      <c r="B70" s="25" t="str">
        <v>NY</v>
      </c>
      <c r="C70" s="25" t="str">
        <f>Sites[[#This Row],[SOL'#]]</f>
        <v>SOL-10967</v>
      </c>
      <c r="D70" s="77"/>
      <c r="E70" s="78"/>
      <c r="F70" s="10" t="str">
        <f t="shared" si="4"/>
        <v/>
      </c>
      <c r="G70" s="11" t="str">
        <f t="shared" si="7"/>
        <v/>
      </c>
      <c r="H70" s="67"/>
      <c r="I70" s="12" t="str">
        <f t="shared" si="5"/>
        <v/>
      </c>
      <c r="J70" s="13" t="str">
        <f t="shared" si="6"/>
        <v/>
      </c>
      <c r="K70" s="53"/>
      <c r="L70" s="53"/>
    </row>
    <row r="71" spans="1:12" ht="15.75">
      <c r="A71" s="26" t="str">
        <v>Donati</v>
      </c>
      <c r="B71" s="27" t="str">
        <v>NY</v>
      </c>
      <c r="C71" s="25" t="str">
        <f>Sites[[#This Row],[SOL'#]]</f>
        <v>SOL-10968</v>
      </c>
      <c r="D71" s="72"/>
      <c r="E71" s="79"/>
      <c r="F71" s="14" t="str">
        <f t="shared" si="4"/>
        <v/>
      </c>
      <c r="G71" s="15" t="str">
        <f t="shared" si="7"/>
        <v/>
      </c>
      <c r="H71" s="69"/>
      <c r="I71" s="16" t="str">
        <f t="shared" si="5"/>
        <v/>
      </c>
      <c r="J71" s="15" t="str">
        <f t="shared" si="6"/>
        <v/>
      </c>
      <c r="K71" s="51"/>
      <c r="L71" s="51"/>
    </row>
    <row r="72" spans="1:12" ht="15.75">
      <c r="A72" s="24" t="str">
        <v>Henrietta</v>
      </c>
      <c r="B72" s="25" t="str">
        <v>NY</v>
      </c>
      <c r="C72" s="25" t="str">
        <f>Sites[[#This Row],[SOL'#]]</f>
        <v>SOL-10972</v>
      </c>
      <c r="D72" s="77"/>
      <c r="E72" s="78"/>
      <c r="F72" s="10" t="str">
        <f t="shared" si="4"/>
        <v/>
      </c>
      <c r="G72" s="11" t="str">
        <f t="shared" si="7"/>
        <v/>
      </c>
      <c r="H72" s="67"/>
      <c r="I72" s="12" t="str">
        <f t="shared" si="5"/>
        <v/>
      </c>
      <c r="J72" s="13" t="str">
        <f t="shared" si="6"/>
        <v/>
      </c>
      <c r="K72" s="53"/>
      <c r="L72" s="53"/>
    </row>
    <row r="73" spans="1:12" ht="15.75">
      <c r="A73" s="26" t="str">
        <v>NY 70</v>
      </c>
      <c r="B73" s="27" t="str">
        <v>NY</v>
      </c>
      <c r="C73" s="25" t="str">
        <f>Sites[[#This Row],[SOL'#]]</f>
        <v>SOL-10970</v>
      </c>
      <c r="D73" s="72"/>
      <c r="E73" s="79"/>
      <c r="F73" s="14" t="str">
        <f t="shared" si="4"/>
        <v/>
      </c>
      <c r="G73" s="15" t="str">
        <f t="shared" si="7"/>
        <v/>
      </c>
      <c r="H73" s="69"/>
      <c r="I73" s="16" t="str">
        <f t="shared" si="5"/>
        <v/>
      </c>
      <c r="J73" s="15" t="str">
        <f t="shared" si="6"/>
        <v/>
      </c>
      <c r="K73" s="51"/>
      <c r="L73" s="51"/>
    </row>
    <row r="74" spans="1:12" ht="15.75">
      <c r="A74" s="24" t="str">
        <v>Reid</v>
      </c>
      <c r="B74" s="25" t="str">
        <v>NY</v>
      </c>
      <c r="C74" s="25" t="str">
        <f>Sites[[#This Row],[SOL'#]]</f>
        <v>SOL-10991</v>
      </c>
      <c r="D74" s="77"/>
      <c r="E74" s="78"/>
      <c r="F74" s="10" t="str">
        <f t="shared" si="4"/>
        <v/>
      </c>
      <c r="G74" s="11" t="str">
        <f t="shared" si="7"/>
        <v/>
      </c>
      <c r="H74" s="67"/>
      <c r="I74" s="12" t="str">
        <f t="shared" si="5"/>
        <v/>
      </c>
      <c r="J74" s="13" t="str">
        <f t="shared" si="6"/>
        <v/>
      </c>
      <c r="K74" s="53"/>
      <c r="L74" s="53"/>
    </row>
    <row r="75" spans="1:12" ht="24.75" customHeight="1">
      <c r="A75" s="26" t="str">
        <v>Sangolqui</v>
      </c>
      <c r="B75" s="27" t="str">
        <v>NY</v>
      </c>
      <c r="C75" s="25" t="str">
        <f>Sites[[#This Row],[SOL'#]]</f>
        <v>SOL-10975</v>
      </c>
      <c r="D75" s="72"/>
      <c r="E75" s="79"/>
      <c r="F75" s="14" t="str">
        <f t="shared" si="4"/>
        <v/>
      </c>
      <c r="G75" s="15" t="str">
        <f t="shared" si="7"/>
        <v/>
      </c>
      <c r="H75" s="69"/>
      <c r="I75" s="16" t="str">
        <f t="shared" si="5"/>
        <v/>
      </c>
      <c r="J75" s="15" t="str">
        <f t="shared" si="6"/>
        <v/>
      </c>
      <c r="K75" s="51"/>
      <c r="L75" s="51"/>
    </row>
    <row r="76" spans="1:12" ht="15.75">
      <c r="A76" s="24" t="str">
        <v>State Highway 17B</v>
      </c>
      <c r="B76" s="25" t="str">
        <v>NY</v>
      </c>
      <c r="C76" s="25" t="str">
        <f>Sites[[#This Row],[SOL'#]]</f>
        <v>SOL-10988</v>
      </c>
      <c r="D76" s="77"/>
      <c r="E76" s="78"/>
      <c r="F76" s="10" t="str">
        <f t="shared" si="4"/>
        <v/>
      </c>
      <c r="G76" s="11" t="str">
        <f t="shared" si="7"/>
        <v/>
      </c>
      <c r="H76" s="67"/>
      <c r="I76" s="12" t="str">
        <f t="shared" si="5"/>
        <v/>
      </c>
      <c r="J76" s="13" t="str">
        <f t="shared" si="6"/>
        <v/>
      </c>
      <c r="K76" s="53"/>
      <c r="L76" s="53"/>
    </row>
    <row r="77" spans="1:12" ht="15.75">
      <c r="A77" s="26" t="str">
        <v>State Route 14A</v>
      </c>
      <c r="B77" s="27" t="str">
        <v>NY</v>
      </c>
      <c r="C77" s="25" t="str">
        <f>Sites[[#This Row],[SOL'#]]</f>
        <v>SOL-10997</v>
      </c>
      <c r="D77" s="72"/>
      <c r="E77" s="79"/>
      <c r="F77" s="14" t="str">
        <f t="shared" si="4"/>
        <v/>
      </c>
      <c r="G77" s="15" t="str">
        <f t="shared" si="7"/>
        <v/>
      </c>
      <c r="H77" s="69"/>
      <c r="I77" s="16" t="str">
        <f t="shared" si="5"/>
        <v/>
      </c>
      <c r="J77" s="15" t="str">
        <f t="shared" si="6"/>
        <v/>
      </c>
      <c r="K77" s="51"/>
      <c r="L77" s="51"/>
    </row>
    <row r="78" spans="1:12" ht="15.75">
      <c r="A78" s="24" t="str">
        <v>West Creek</v>
      </c>
      <c r="B78" s="25" t="str">
        <v>NY</v>
      </c>
      <c r="C78" s="25" t="str">
        <f>Sites[[#This Row],[SOL'#]]</f>
        <v>SOL-10995</v>
      </c>
      <c r="D78" s="77"/>
      <c r="E78" s="78"/>
      <c r="F78" s="10" t="str">
        <f t="shared" si="4"/>
        <v/>
      </c>
      <c r="G78" s="11" t="str">
        <f t="shared" si="7"/>
        <v/>
      </c>
      <c r="H78" s="67"/>
      <c r="I78" s="12" t="str">
        <f t="shared" si="5"/>
        <v/>
      </c>
      <c r="J78" s="13" t="str">
        <f t="shared" si="6"/>
        <v/>
      </c>
      <c r="K78" s="53"/>
      <c r="L78" s="53"/>
    </row>
    <row r="79" spans="1:12" ht="79.5" customHeight="1">
      <c r="A79" s="26" t="str">
        <v>Wildflower</v>
      </c>
      <c r="B79" s="27" t="str">
        <v>NY</v>
      </c>
      <c r="C79" s="25" t="str">
        <f>Sites[[#This Row],[SOL'#]]</f>
        <v>SOL-10982</v>
      </c>
      <c r="D79" s="72"/>
      <c r="E79" s="79"/>
      <c r="F79" s="14" t="str">
        <f t="shared" si="4"/>
        <v/>
      </c>
      <c r="G79" s="15" t="str">
        <f t="shared" si="7"/>
        <v/>
      </c>
      <c r="H79" s="69"/>
      <c r="I79" s="16" t="str">
        <f t="shared" si="5"/>
        <v/>
      </c>
      <c r="J79" s="15" t="str">
        <f t="shared" si="6"/>
        <v/>
      </c>
      <c r="K79" s="51"/>
      <c r="L79" s="51"/>
    </row>
    <row r="80" spans="1:12" ht="15.75">
      <c r="A80" s="24" t="str">
        <v>Glen Mary 1</v>
      </c>
      <c r="B80" s="25" t="str">
        <v>NY</v>
      </c>
      <c r="C80" s="25" t="str">
        <f>Sites[[#This Row],[SOL'#]]</f>
        <v>SOL-10993</v>
      </c>
      <c r="D80" s="77"/>
      <c r="E80" s="78"/>
      <c r="F80" s="10" t="str">
        <f t="shared" si="4"/>
        <v/>
      </c>
      <c r="G80" s="11" t="str">
        <f t="shared" si="7"/>
        <v/>
      </c>
      <c r="H80" s="67"/>
      <c r="I80" s="12" t="str">
        <f t="shared" si="5"/>
        <v/>
      </c>
      <c r="J80" s="13" t="str">
        <f t="shared" si="6"/>
        <v/>
      </c>
      <c r="K80" s="53"/>
      <c r="L80" s="53"/>
    </row>
    <row r="81" spans="1:12" ht="15.75">
      <c r="A81" s="26" t="str">
        <v>Glen Mary 2</v>
      </c>
      <c r="B81" s="27" t="str">
        <v>NY</v>
      </c>
      <c r="C81" s="25" t="str">
        <f>Sites[[#This Row],[SOL'#]]</f>
        <v>SOL-10994</v>
      </c>
      <c r="D81" s="72"/>
      <c r="E81" s="79"/>
      <c r="F81" s="14" t="str">
        <f t="shared" si="4"/>
        <v/>
      </c>
      <c r="G81" s="15" t="str">
        <f t="shared" si="7"/>
        <v/>
      </c>
      <c r="H81" s="69"/>
      <c r="I81" s="16" t="str">
        <f t="shared" si="5"/>
        <v/>
      </c>
      <c r="J81" s="15" t="str">
        <f t="shared" si="6"/>
        <v/>
      </c>
      <c r="K81" s="51"/>
      <c r="L81" s="51"/>
    </row>
    <row r="82" spans="1:12" ht="15.75">
      <c r="A82" s="24" t="str">
        <v>Telegraph 1</v>
      </c>
      <c r="B82" s="25" t="str">
        <v>NY</v>
      </c>
      <c r="C82" s="25" t="str">
        <f>Sites[[#This Row],[SOL'#]]</f>
        <v>SOL-11003</v>
      </c>
      <c r="D82" s="77"/>
      <c r="E82" s="78"/>
      <c r="F82" s="10" t="str">
        <f t="shared" ref="F82:F145" si="8">IF(AND(ISNUMBER(D82),ISNUMBER(E82)), D82-E82, "")</f>
        <v/>
      </c>
      <c r="G82" s="11" t="str">
        <f t="shared" ref="G82:G145" si="9">IFERROR(F82/E82, "")</f>
        <v/>
      </c>
      <c r="H82" s="67"/>
      <c r="I82" s="12" t="str">
        <f t="shared" ref="I82:I145" si="10">IF(AND(ISNUMBER(D82),ISNUMBER(H82)), D82-H82, "")</f>
        <v/>
      </c>
      <c r="J82" s="13" t="str">
        <f t="shared" ref="J82:J145" si="11">IFERROR(I82/H82, "")</f>
        <v/>
      </c>
      <c r="K82" s="53"/>
      <c r="L82" s="53"/>
    </row>
    <row r="83" spans="1:12" ht="59.45" customHeight="1">
      <c r="A83" s="26" t="str">
        <v>Telegraph 2</v>
      </c>
      <c r="B83" s="27" t="str">
        <v>NY</v>
      </c>
      <c r="C83" s="25" t="str">
        <f>Sites[[#This Row],[SOL'#]]</f>
        <v>SOL-11004</v>
      </c>
      <c r="D83" s="72"/>
      <c r="E83" s="79"/>
      <c r="F83" s="14" t="str">
        <f t="shared" si="8"/>
        <v/>
      </c>
      <c r="G83" s="15" t="str">
        <f t="shared" si="9"/>
        <v/>
      </c>
      <c r="H83" s="69"/>
      <c r="I83" s="16" t="str">
        <f t="shared" si="10"/>
        <v/>
      </c>
      <c r="J83" s="15" t="str">
        <f t="shared" si="11"/>
        <v/>
      </c>
      <c r="K83" s="51"/>
      <c r="L83" s="51"/>
    </row>
    <row r="84" spans="1:12" ht="15.75">
      <c r="A84" s="24" t="str">
        <v>Cafferty Hill</v>
      </c>
      <c r="B84" s="25" t="str">
        <v>NY</v>
      </c>
      <c r="C84" s="25" t="str">
        <f>Sites[[#This Row],[SOL'#]]</f>
        <v>SOL-10996</v>
      </c>
      <c r="D84" s="77"/>
      <c r="E84" s="78"/>
      <c r="F84" s="10" t="str">
        <f t="shared" si="8"/>
        <v/>
      </c>
      <c r="G84" s="11" t="str">
        <f t="shared" si="9"/>
        <v/>
      </c>
      <c r="H84" s="67"/>
      <c r="I84" s="12" t="str">
        <f t="shared" si="10"/>
        <v/>
      </c>
      <c r="J84" s="13" t="str">
        <f t="shared" si="11"/>
        <v/>
      </c>
      <c r="K84" s="53"/>
      <c r="L84" s="53"/>
    </row>
    <row r="85" spans="1:12" ht="15.75">
      <c r="A85" s="26" t="str">
        <v>Dunkleman</v>
      </c>
      <c r="B85" s="27" t="str">
        <v>NY</v>
      </c>
      <c r="C85" s="25" t="str">
        <f>Sites[[#This Row],[SOL'#]]</f>
        <v>SOL-11008</v>
      </c>
      <c r="D85" s="72"/>
      <c r="E85" s="79"/>
      <c r="F85" s="14" t="str">
        <f t="shared" si="8"/>
        <v/>
      </c>
      <c r="G85" s="15" t="str">
        <f t="shared" si="9"/>
        <v/>
      </c>
      <c r="H85" s="69"/>
      <c r="I85" s="16" t="str">
        <f t="shared" si="10"/>
        <v/>
      </c>
      <c r="J85" s="15" t="str">
        <f t="shared" si="11"/>
        <v/>
      </c>
      <c r="K85" s="51"/>
      <c r="L85" s="51"/>
    </row>
    <row r="86" spans="1:12" ht="15.75">
      <c r="A86" s="24" t="str">
        <v>Route 19 1</v>
      </c>
      <c r="B86" s="25" t="str">
        <v>NY</v>
      </c>
      <c r="C86" s="25" t="str">
        <f>Sites[[#This Row],[SOL'#]]</f>
        <v>SOL-11001</v>
      </c>
      <c r="D86" s="77"/>
      <c r="E86" s="78"/>
      <c r="F86" s="10" t="str">
        <f t="shared" si="8"/>
        <v/>
      </c>
      <c r="G86" s="11" t="str">
        <f t="shared" si="9"/>
        <v/>
      </c>
      <c r="H86" s="67"/>
      <c r="I86" s="12" t="str">
        <f t="shared" si="10"/>
        <v/>
      </c>
      <c r="J86" s="13" t="str">
        <f t="shared" si="11"/>
        <v/>
      </c>
      <c r="K86" s="53"/>
      <c r="L86" s="53"/>
    </row>
    <row r="87" spans="1:12" ht="15.75">
      <c r="A87" s="26" t="str">
        <v>Route 19 2</v>
      </c>
      <c r="B87" s="27" t="str">
        <v>NY</v>
      </c>
      <c r="C87" s="25" t="str">
        <f>Sites[[#This Row],[SOL'#]]</f>
        <v>SOL-11002</v>
      </c>
      <c r="D87" s="72"/>
      <c r="E87" s="79"/>
      <c r="F87" s="14" t="str">
        <f t="shared" si="8"/>
        <v/>
      </c>
      <c r="G87" s="15" t="str">
        <f t="shared" si="9"/>
        <v/>
      </c>
      <c r="H87" s="69"/>
      <c r="I87" s="16" t="str">
        <f t="shared" si="10"/>
        <v/>
      </c>
      <c r="J87" s="15" t="str">
        <f t="shared" si="11"/>
        <v/>
      </c>
      <c r="K87" s="51"/>
      <c r="L87" s="51"/>
    </row>
    <row r="88" spans="1:12" ht="15.75">
      <c r="A88" s="24" t="str">
        <v>Yellow Mills 1</v>
      </c>
      <c r="B88" s="25" t="str">
        <v>NY</v>
      </c>
      <c r="C88" s="25" t="str">
        <f>Sites[[#This Row],[SOL'#]]</f>
        <v>SOL-11006</v>
      </c>
      <c r="D88" s="77"/>
      <c r="E88" s="78"/>
      <c r="F88" s="10" t="str">
        <f t="shared" si="8"/>
        <v/>
      </c>
      <c r="G88" s="11" t="str">
        <f t="shared" si="9"/>
        <v/>
      </c>
      <c r="H88" s="67"/>
      <c r="I88" s="12" t="str">
        <f t="shared" si="10"/>
        <v/>
      </c>
      <c r="J88" s="13" t="str">
        <f t="shared" si="11"/>
        <v/>
      </c>
      <c r="K88" s="53"/>
      <c r="L88" s="53"/>
    </row>
    <row r="89" spans="1:12" ht="15.75">
      <c r="A89" s="26" t="str">
        <v>Yellow Mills 2</v>
      </c>
      <c r="B89" s="27" t="str">
        <v>NY</v>
      </c>
      <c r="C89" s="25" t="str">
        <f>Sites[[#This Row],[SOL'#]]</f>
        <v>SOL-11005</v>
      </c>
      <c r="D89" s="72"/>
      <c r="E89" s="79"/>
      <c r="F89" s="14" t="str">
        <f t="shared" si="8"/>
        <v/>
      </c>
      <c r="G89" s="15" t="str">
        <f t="shared" si="9"/>
        <v/>
      </c>
      <c r="H89" s="69"/>
      <c r="I89" s="16" t="str">
        <f t="shared" si="10"/>
        <v/>
      </c>
      <c r="J89" s="15" t="str">
        <f t="shared" si="11"/>
        <v/>
      </c>
      <c r="K89" s="51"/>
      <c r="L89" s="51"/>
    </row>
    <row r="90" spans="1:12" ht="15.75">
      <c r="A90" s="24" t="str">
        <v>Yellow Mills 3</v>
      </c>
      <c r="B90" s="25" t="str">
        <v>NY</v>
      </c>
      <c r="C90" s="25" t="str">
        <f>Sites[[#This Row],[SOL'#]]</f>
        <v>SOL-11007</v>
      </c>
      <c r="D90" s="77"/>
      <c r="E90" s="78"/>
      <c r="F90" s="10" t="str">
        <f t="shared" si="8"/>
        <v/>
      </c>
      <c r="G90" s="11" t="str">
        <f t="shared" si="9"/>
        <v/>
      </c>
      <c r="H90" s="67"/>
      <c r="I90" s="12" t="str">
        <f t="shared" si="10"/>
        <v/>
      </c>
      <c r="J90" s="13" t="str">
        <f t="shared" si="11"/>
        <v/>
      </c>
      <c r="K90" s="53"/>
      <c r="L90" s="53"/>
    </row>
    <row r="91" spans="1:12" ht="15.75">
      <c r="A91" s="26" t="str">
        <v>Catskill</v>
      </c>
      <c r="B91" s="27" t="str">
        <v>NY</v>
      </c>
      <c r="C91" s="25" t="str">
        <f>Sites[[#This Row],[SOL'#]]</f>
        <v>SOL-11021</v>
      </c>
      <c r="D91" s="72"/>
      <c r="E91" s="79"/>
      <c r="F91" s="14" t="str">
        <f t="shared" si="8"/>
        <v/>
      </c>
      <c r="G91" s="15" t="str">
        <f t="shared" si="9"/>
        <v/>
      </c>
      <c r="H91" s="69"/>
      <c r="I91" s="16" t="str">
        <f t="shared" si="10"/>
        <v/>
      </c>
      <c r="J91" s="15" t="str">
        <f t="shared" si="11"/>
        <v/>
      </c>
      <c r="K91" s="51"/>
      <c r="L91" s="51"/>
    </row>
    <row r="92" spans="1:12" ht="15.75">
      <c r="A92" s="24" t="str">
        <v>Eddy Ridge</v>
      </c>
      <c r="B92" s="25" t="str">
        <v>NY</v>
      </c>
      <c r="C92" s="25" t="str">
        <f>Sites[[#This Row],[SOL'#]]</f>
        <v>SOL-11054</v>
      </c>
      <c r="D92" s="77"/>
      <c r="E92" s="78"/>
      <c r="F92" s="10" t="str">
        <f t="shared" si="8"/>
        <v/>
      </c>
      <c r="G92" s="11" t="str">
        <f t="shared" si="9"/>
        <v/>
      </c>
      <c r="H92" s="67"/>
      <c r="I92" s="12" t="str">
        <f t="shared" si="10"/>
        <v/>
      </c>
      <c r="J92" s="13" t="str">
        <f t="shared" si="11"/>
        <v/>
      </c>
      <c r="K92" s="53"/>
      <c r="L92" s="53"/>
    </row>
    <row r="93" spans="1:12" ht="15.75">
      <c r="A93" s="26" t="str">
        <v>Ridgeway #1</v>
      </c>
      <c r="B93" s="27" t="str">
        <v>NY</v>
      </c>
      <c r="C93" s="25" t="str">
        <f>Sites[[#This Row],[SOL'#]]</f>
        <v>SOL-11018</v>
      </c>
      <c r="D93" s="72"/>
      <c r="E93" s="79"/>
      <c r="F93" s="14" t="str">
        <f t="shared" si="8"/>
        <v/>
      </c>
      <c r="G93" s="15" t="str">
        <f t="shared" si="9"/>
        <v/>
      </c>
      <c r="H93" s="69"/>
      <c r="I93" s="16" t="str">
        <f t="shared" si="10"/>
        <v/>
      </c>
      <c r="J93" s="15" t="str">
        <f t="shared" si="11"/>
        <v/>
      </c>
      <c r="K93" s="51"/>
      <c r="L93" s="51"/>
    </row>
    <row r="94" spans="1:12" ht="15.75">
      <c r="A94" s="24" t="str">
        <v>Rivard 1</v>
      </c>
      <c r="B94" s="25" t="str">
        <v>NY</v>
      </c>
      <c r="C94" s="25" t="str">
        <f>Sites[[#This Row],[SOL'#]]</f>
        <v>SOL-11011</v>
      </c>
      <c r="D94" s="77"/>
      <c r="E94" s="78"/>
      <c r="F94" s="10" t="str">
        <f t="shared" si="8"/>
        <v/>
      </c>
      <c r="G94" s="11" t="str">
        <f t="shared" si="9"/>
        <v/>
      </c>
      <c r="H94" s="67"/>
      <c r="I94" s="12" t="str">
        <f t="shared" si="10"/>
        <v/>
      </c>
      <c r="J94" s="13" t="str">
        <f t="shared" si="11"/>
        <v/>
      </c>
      <c r="K94" s="53"/>
      <c r="L94" s="53"/>
    </row>
    <row r="95" spans="1:12" ht="15.75">
      <c r="A95" s="26" t="str">
        <v>Rivard 2</v>
      </c>
      <c r="B95" s="27" t="str">
        <v>NY</v>
      </c>
      <c r="C95" s="25" t="str">
        <f>Sites[[#This Row],[SOL'#]]</f>
        <v>SOL-11012</v>
      </c>
      <c r="D95" s="72"/>
      <c r="E95" s="79"/>
      <c r="F95" s="14" t="str">
        <f t="shared" si="8"/>
        <v/>
      </c>
      <c r="G95" s="15" t="str">
        <f t="shared" si="9"/>
        <v/>
      </c>
      <c r="H95" s="69"/>
      <c r="I95" s="16" t="str">
        <f t="shared" si="10"/>
        <v/>
      </c>
      <c r="J95" s="15" t="str">
        <f t="shared" si="11"/>
        <v/>
      </c>
      <c r="K95" s="51"/>
      <c r="L95" s="51"/>
    </row>
    <row r="96" spans="1:12" ht="15.75">
      <c r="A96" s="24" t="str">
        <v>Ridgeway #2</v>
      </c>
      <c r="B96" s="25" t="str">
        <v>NY</v>
      </c>
      <c r="C96" s="25" t="str">
        <f>Sites[[#This Row],[SOL'#]]</f>
        <v>SOL-11027</v>
      </c>
      <c r="D96" s="77"/>
      <c r="E96" s="78"/>
      <c r="F96" s="10" t="str">
        <f t="shared" si="8"/>
        <v/>
      </c>
      <c r="G96" s="11" t="str">
        <f t="shared" si="9"/>
        <v/>
      </c>
      <c r="H96" s="67"/>
      <c r="I96" s="12" t="str">
        <f t="shared" si="10"/>
        <v/>
      </c>
      <c r="J96" s="13" t="str">
        <f t="shared" si="11"/>
        <v/>
      </c>
      <c r="K96" s="53"/>
      <c r="L96" s="53"/>
    </row>
    <row r="97" spans="1:12" ht="15.75">
      <c r="A97" s="26" t="str">
        <v>Spencer</v>
      </c>
      <c r="B97" s="27" t="str">
        <v>NY</v>
      </c>
      <c r="C97" s="25" t="str">
        <f>Sites[[#This Row],[SOL'#]]</f>
        <v>SOL-11017</v>
      </c>
      <c r="D97" s="72"/>
      <c r="E97" s="79"/>
      <c r="F97" s="14" t="str">
        <f t="shared" si="8"/>
        <v/>
      </c>
      <c r="G97" s="15" t="str">
        <f t="shared" si="9"/>
        <v/>
      </c>
      <c r="H97" s="69"/>
      <c r="I97" s="16" t="str">
        <f t="shared" si="10"/>
        <v/>
      </c>
      <c r="J97" s="15" t="str">
        <f t="shared" si="11"/>
        <v/>
      </c>
      <c r="K97" s="51"/>
      <c r="L97" s="51"/>
    </row>
    <row r="98" spans="1:12" ht="15.75">
      <c r="A98" s="24" t="str">
        <v>Reisender</v>
      </c>
      <c r="B98" s="25" t="str">
        <v>NY</v>
      </c>
      <c r="C98" s="25" t="str">
        <f>Sites[[#This Row],[SOL'#]]</f>
        <v>SOL-10886</v>
      </c>
      <c r="D98" s="77"/>
      <c r="E98" s="78"/>
      <c r="F98" s="10" t="str">
        <f t="shared" si="8"/>
        <v/>
      </c>
      <c r="G98" s="11" t="str">
        <f t="shared" si="9"/>
        <v/>
      </c>
      <c r="H98" s="67"/>
      <c r="I98" s="12" t="str">
        <f t="shared" si="10"/>
        <v/>
      </c>
      <c r="J98" s="13" t="str">
        <f t="shared" si="11"/>
        <v/>
      </c>
      <c r="K98" s="53"/>
      <c r="L98" s="53"/>
    </row>
    <row r="99" spans="1:12" ht="15.75">
      <c r="A99" s="26" t="str">
        <v>Finney</v>
      </c>
      <c r="B99" s="27" t="str">
        <v>NY</v>
      </c>
      <c r="C99" s="25" t="str">
        <f>Sites[[#This Row],[SOL'#]]</f>
        <v>SOL-10999</v>
      </c>
      <c r="D99" s="72"/>
      <c r="E99" s="79"/>
      <c r="F99" s="14" t="str">
        <f t="shared" si="8"/>
        <v/>
      </c>
      <c r="G99" s="15" t="str">
        <f t="shared" si="9"/>
        <v/>
      </c>
      <c r="H99" s="69"/>
      <c r="I99" s="16" t="str">
        <f t="shared" si="10"/>
        <v/>
      </c>
      <c r="J99" s="15" t="str">
        <f t="shared" si="11"/>
        <v/>
      </c>
      <c r="K99" s="51"/>
      <c r="L99" s="51"/>
    </row>
    <row r="100" spans="1:12" ht="15.75">
      <c r="A100" s="24" t="str">
        <v>Davis Solar</v>
      </c>
      <c r="B100" s="25" t="str">
        <v>NY</v>
      </c>
      <c r="C100" s="25" t="str">
        <f>Sites[[#This Row],[SOL'#]]</f>
        <v>SOL-10958</v>
      </c>
      <c r="D100" s="77"/>
      <c r="E100" s="78"/>
      <c r="F100" s="10" t="str">
        <f t="shared" si="8"/>
        <v/>
      </c>
      <c r="G100" s="11" t="str">
        <f t="shared" si="9"/>
        <v/>
      </c>
      <c r="H100" s="67"/>
      <c r="I100" s="12" t="str">
        <f t="shared" si="10"/>
        <v/>
      </c>
      <c r="J100" s="13" t="str">
        <f t="shared" si="11"/>
        <v/>
      </c>
      <c r="K100" s="53"/>
      <c r="L100" s="53"/>
    </row>
    <row r="101" spans="1:12" ht="15.75">
      <c r="A101" s="26" t="str">
        <v>Genesee</v>
      </c>
      <c r="B101" s="27" t="str">
        <v>NY</v>
      </c>
      <c r="C101" s="25" t="str">
        <f>Sites[[#This Row],[SOL'#]]</f>
        <v>SOL-10951</v>
      </c>
      <c r="D101" s="72"/>
      <c r="E101" s="79"/>
      <c r="F101" s="14" t="str">
        <f t="shared" si="8"/>
        <v/>
      </c>
      <c r="G101" s="15" t="str">
        <f t="shared" si="9"/>
        <v/>
      </c>
      <c r="H101" s="69"/>
      <c r="I101" s="16" t="str">
        <f t="shared" si="10"/>
        <v/>
      </c>
      <c r="J101" s="15" t="str">
        <f t="shared" si="11"/>
        <v/>
      </c>
      <c r="K101" s="51"/>
      <c r="L101" s="51"/>
    </row>
    <row r="102" spans="1:12" ht="15.75">
      <c r="A102" s="24" t="str">
        <v>Landau I</v>
      </c>
      <c r="B102" s="25" t="str">
        <v>NY</v>
      </c>
      <c r="C102" s="25" t="str">
        <f>Sites[[#This Row],[SOL'#]]</f>
        <v>SOL-10891</v>
      </c>
      <c r="D102" s="77"/>
      <c r="E102" s="78"/>
      <c r="F102" s="10" t="str">
        <f t="shared" si="8"/>
        <v/>
      </c>
      <c r="G102" s="11" t="str">
        <f t="shared" si="9"/>
        <v/>
      </c>
      <c r="H102" s="67"/>
      <c r="I102" s="12" t="str">
        <f t="shared" si="10"/>
        <v/>
      </c>
      <c r="J102" s="13" t="str">
        <f t="shared" si="11"/>
        <v/>
      </c>
      <c r="K102" s="53"/>
      <c r="L102" s="53"/>
    </row>
    <row r="103" spans="1:12" ht="15.75">
      <c r="A103" s="26" t="str">
        <v>Landau II</v>
      </c>
      <c r="B103" s="27" t="str">
        <v>NY</v>
      </c>
      <c r="C103" s="25" t="str">
        <f>Sites[[#This Row],[SOL'#]]</f>
        <v>SOL-10895</v>
      </c>
      <c r="D103" s="72"/>
      <c r="E103" s="79"/>
      <c r="F103" s="14" t="str">
        <f t="shared" si="8"/>
        <v/>
      </c>
      <c r="G103" s="15" t="str">
        <f t="shared" si="9"/>
        <v/>
      </c>
      <c r="H103" s="69"/>
      <c r="I103" s="16" t="str">
        <f t="shared" si="10"/>
        <v/>
      </c>
      <c r="J103" s="15" t="str">
        <f t="shared" si="11"/>
        <v/>
      </c>
      <c r="K103" s="51"/>
      <c r="L103" s="51"/>
    </row>
    <row r="104" spans="1:12" ht="15.75">
      <c r="A104" s="24" t="str">
        <v>New Beginnings</v>
      </c>
      <c r="B104" s="25" t="str">
        <v>NY</v>
      </c>
      <c r="C104" s="25" t="str">
        <f>Sites[[#This Row],[SOL'#]]</f>
        <v>SOL-10890</v>
      </c>
      <c r="D104" s="77"/>
      <c r="E104" s="78"/>
      <c r="F104" s="10" t="str">
        <f t="shared" si="8"/>
        <v/>
      </c>
      <c r="G104" s="11" t="str">
        <f t="shared" si="9"/>
        <v/>
      </c>
      <c r="H104" s="67"/>
      <c r="I104" s="12" t="str">
        <f t="shared" si="10"/>
        <v/>
      </c>
      <c r="J104" s="13" t="str">
        <f t="shared" si="11"/>
        <v/>
      </c>
      <c r="K104" s="53"/>
      <c r="L104" s="53"/>
    </row>
    <row r="105" spans="1:12" ht="15.75">
      <c r="A105" s="26" t="str">
        <v>Bullitt Farm Solar, LLC</v>
      </c>
      <c r="B105" s="27" t="str">
        <v>NY</v>
      </c>
      <c r="C105" s="25" t="str">
        <f>Sites[[#This Row],[SOL'#]]</f>
        <v>SOL-10998</v>
      </c>
      <c r="D105" s="72"/>
      <c r="E105" s="79"/>
      <c r="F105" s="14" t="str">
        <f t="shared" si="8"/>
        <v/>
      </c>
      <c r="G105" s="15" t="str">
        <f t="shared" si="9"/>
        <v/>
      </c>
      <c r="H105" s="69"/>
      <c r="I105" s="16" t="str">
        <f t="shared" si="10"/>
        <v/>
      </c>
      <c r="J105" s="15" t="str">
        <f t="shared" si="11"/>
        <v/>
      </c>
      <c r="K105" s="51"/>
      <c r="L105" s="51"/>
    </row>
    <row r="106" spans="1:12" ht="15.75">
      <c r="A106" s="24" t="str">
        <v>Brodhead Solar, LLC</v>
      </c>
      <c r="B106" s="25" t="str">
        <v>NY</v>
      </c>
      <c r="C106" s="25" t="str">
        <f>Sites[[#This Row],[SOL'#]]</f>
        <v>SOL-10899</v>
      </c>
      <c r="D106" s="77"/>
      <c r="E106" s="78"/>
      <c r="F106" s="10" t="str">
        <f t="shared" si="8"/>
        <v/>
      </c>
      <c r="G106" s="11" t="str">
        <f t="shared" si="9"/>
        <v/>
      </c>
      <c r="H106" s="67"/>
      <c r="I106" s="12" t="str">
        <f t="shared" si="10"/>
        <v/>
      </c>
      <c r="J106" s="13" t="str">
        <f t="shared" si="11"/>
        <v/>
      </c>
      <c r="K106" s="53"/>
      <c r="L106" s="53"/>
    </row>
    <row r="107" spans="1:12" ht="15.75">
      <c r="A107" s="26" t="str">
        <v>Svenski</v>
      </c>
      <c r="B107" s="27" t="str">
        <v>NY</v>
      </c>
      <c r="C107" s="25" t="str">
        <f>Sites[[#This Row],[SOL'#]]</f>
        <v>SOL-10894</v>
      </c>
      <c r="D107" s="72"/>
      <c r="E107" s="79"/>
      <c r="F107" s="14" t="str">
        <f t="shared" si="8"/>
        <v/>
      </c>
      <c r="G107" s="15" t="str">
        <f t="shared" si="9"/>
        <v/>
      </c>
      <c r="H107" s="69"/>
      <c r="I107" s="16" t="str">
        <f t="shared" si="10"/>
        <v/>
      </c>
      <c r="J107" s="15" t="str">
        <f t="shared" si="11"/>
        <v/>
      </c>
      <c r="K107" s="51"/>
      <c r="L107" s="51"/>
    </row>
    <row r="108" spans="1:12" ht="15.75">
      <c r="A108" s="24" t="str">
        <v>Bantam</v>
      </c>
      <c r="B108" s="25" t="str">
        <v>NY</v>
      </c>
      <c r="C108" s="25" t="str">
        <f>Sites[[#This Row],[SOL'#]]</f>
        <v>SOL-10986</v>
      </c>
      <c r="D108" s="77"/>
      <c r="E108" s="78"/>
      <c r="F108" s="10" t="str">
        <f t="shared" si="8"/>
        <v/>
      </c>
      <c r="G108" s="11" t="str">
        <f t="shared" si="9"/>
        <v/>
      </c>
      <c r="H108" s="67"/>
      <c r="I108" s="12" t="str">
        <f t="shared" si="10"/>
        <v/>
      </c>
      <c r="J108" s="13" t="str">
        <f t="shared" si="11"/>
        <v/>
      </c>
      <c r="K108" s="53"/>
      <c r="L108" s="53"/>
    </row>
    <row r="109" spans="1:12" ht="15.75">
      <c r="A109" s="26" t="str">
        <v>Bogart</v>
      </c>
      <c r="B109" s="27" t="str">
        <v>NY</v>
      </c>
      <c r="C109" s="25" t="str">
        <f>Sites[[#This Row],[SOL'#]]</f>
        <v>SOL-10887</v>
      </c>
      <c r="D109" s="72"/>
      <c r="E109" s="79"/>
      <c r="F109" s="14" t="str">
        <f t="shared" si="8"/>
        <v/>
      </c>
      <c r="G109" s="15" t="str">
        <f t="shared" si="9"/>
        <v/>
      </c>
      <c r="H109" s="69"/>
      <c r="I109" s="16" t="str">
        <f t="shared" si="10"/>
        <v/>
      </c>
      <c r="J109" s="15" t="str">
        <f t="shared" si="11"/>
        <v/>
      </c>
      <c r="K109" s="51"/>
      <c r="L109" s="51"/>
    </row>
    <row r="110" spans="1:12" ht="15.75">
      <c r="A110" s="26" t="str">
        <v>Dubois</v>
      </c>
      <c r="B110" s="25" t="str">
        <v>NY</v>
      </c>
      <c r="C110" s="25" t="str">
        <f>Sites[[#This Row],[SOL'#]]</f>
        <v>SOL-10892</v>
      </c>
      <c r="D110" s="77"/>
      <c r="E110" s="78"/>
      <c r="F110" s="10" t="str">
        <f t="shared" si="8"/>
        <v/>
      </c>
      <c r="G110" s="11" t="str">
        <f t="shared" si="9"/>
        <v/>
      </c>
      <c r="H110" s="67"/>
      <c r="I110" s="12" t="str">
        <f t="shared" si="10"/>
        <v/>
      </c>
      <c r="J110" s="13" t="str">
        <f t="shared" si="11"/>
        <v/>
      </c>
      <c r="K110" s="53"/>
      <c r="L110" s="53"/>
    </row>
    <row r="111" spans="1:12" ht="64.5" customHeight="1">
      <c r="A111" s="26" t="str">
        <v>Salt Point</v>
      </c>
      <c r="B111" s="27" t="str">
        <v>NY</v>
      </c>
      <c r="C111" s="25" t="str">
        <f>Sites[[#This Row],[SOL'#]]</f>
        <v>SOL-10888</v>
      </c>
      <c r="D111" s="72"/>
      <c r="E111" s="79"/>
      <c r="F111" s="14" t="str">
        <f t="shared" si="8"/>
        <v/>
      </c>
      <c r="G111" s="15" t="str">
        <f t="shared" si="9"/>
        <v/>
      </c>
      <c r="H111" s="69"/>
      <c r="I111" s="16" t="str">
        <f t="shared" si="10"/>
        <v/>
      </c>
      <c r="J111" s="15" t="str">
        <f t="shared" si="11"/>
        <v/>
      </c>
      <c r="K111" s="51"/>
      <c r="L111" s="51"/>
    </row>
    <row r="112" spans="1:12" ht="15.75">
      <c r="A112" s="24" t="str">
        <v>Wheatland 2A</v>
      </c>
      <c r="B112" s="25" t="str">
        <v>NY</v>
      </c>
      <c r="C112" s="25" t="str">
        <f>Sites[[#This Row],[SOL'#]]</f>
        <v>SOL-10971</v>
      </c>
      <c r="D112" s="77"/>
      <c r="E112" s="78"/>
      <c r="F112" s="10" t="str">
        <f t="shared" si="8"/>
        <v/>
      </c>
      <c r="G112" s="11" t="str">
        <f t="shared" si="9"/>
        <v/>
      </c>
      <c r="H112" s="67"/>
      <c r="I112" s="12" t="str">
        <f t="shared" si="10"/>
        <v/>
      </c>
      <c r="J112" s="13" t="str">
        <f t="shared" si="11"/>
        <v/>
      </c>
      <c r="K112" s="53"/>
      <c r="L112" s="53"/>
    </row>
    <row r="113" spans="1:12" ht="15.75">
      <c r="A113" s="26" t="str">
        <v>Wheatland 2B</v>
      </c>
      <c r="B113" s="27" t="str">
        <v>NY</v>
      </c>
      <c r="C113" s="25" t="str">
        <f>Sites[[#This Row],[SOL'#]]</f>
        <v>SOL-10961</v>
      </c>
      <c r="D113" s="72"/>
      <c r="E113" s="79"/>
      <c r="F113" s="14" t="str">
        <f t="shared" si="8"/>
        <v/>
      </c>
      <c r="G113" s="15" t="str">
        <f t="shared" si="9"/>
        <v/>
      </c>
      <c r="H113" s="69"/>
      <c r="I113" s="16" t="str">
        <f t="shared" si="10"/>
        <v/>
      </c>
      <c r="J113" s="15" t="str">
        <f t="shared" si="11"/>
        <v/>
      </c>
      <c r="K113" s="51"/>
      <c r="L113" s="51"/>
    </row>
    <row r="114" spans="1:12" ht="15.75">
      <c r="A114" s="24" t="str">
        <v>Brickchurch</v>
      </c>
      <c r="B114" s="25" t="str">
        <v>NY</v>
      </c>
      <c r="C114" s="25" t="str">
        <f>Sites[[#This Row],[SOL'#]]</f>
        <v>SOL-10889</v>
      </c>
      <c r="D114" s="77"/>
      <c r="E114" s="78"/>
      <c r="F114" s="10" t="str">
        <f t="shared" si="8"/>
        <v/>
      </c>
      <c r="G114" s="11" t="str">
        <f t="shared" si="9"/>
        <v/>
      </c>
      <c r="H114" s="67"/>
      <c r="I114" s="12" t="str">
        <f t="shared" si="10"/>
        <v/>
      </c>
      <c r="J114" s="13" t="str">
        <f t="shared" si="11"/>
        <v/>
      </c>
      <c r="K114" s="53"/>
      <c r="L114" s="53"/>
    </row>
    <row r="115" spans="1:12" ht="15.75">
      <c r="A115" s="26" t="str">
        <v>McCarthy Solar</v>
      </c>
      <c r="B115" s="27" t="str">
        <v>NY</v>
      </c>
      <c r="C115" s="25" t="str">
        <f>Sites[[#This Row],[SOL'#]]</f>
        <v>SOL-10992</v>
      </c>
      <c r="D115" s="72"/>
      <c r="E115" s="79"/>
      <c r="F115" s="14" t="str">
        <f t="shared" si="8"/>
        <v/>
      </c>
      <c r="G115" s="15" t="str">
        <f t="shared" si="9"/>
        <v/>
      </c>
      <c r="H115" s="69"/>
      <c r="I115" s="16" t="str">
        <f t="shared" si="10"/>
        <v/>
      </c>
      <c r="J115" s="15" t="str">
        <f t="shared" si="11"/>
        <v/>
      </c>
      <c r="K115" s="51"/>
      <c r="L115" s="51"/>
    </row>
    <row r="116" spans="1:12" ht="15.75">
      <c r="A116" s="24" t="str">
        <v>Costanza</v>
      </c>
      <c r="B116" s="25" t="str">
        <v>NY</v>
      </c>
      <c r="C116" s="25" t="str">
        <f>Sites[[#This Row],[SOL'#]]</f>
        <v>SOL-10907</v>
      </c>
      <c r="D116" s="77"/>
      <c r="E116" s="78"/>
      <c r="F116" s="10" t="str">
        <f t="shared" si="8"/>
        <v/>
      </c>
      <c r="G116" s="11" t="str">
        <f t="shared" si="9"/>
        <v/>
      </c>
      <c r="H116" s="67"/>
      <c r="I116" s="12" t="str">
        <f t="shared" si="10"/>
        <v/>
      </c>
      <c r="J116" s="13" t="str">
        <f t="shared" si="11"/>
        <v/>
      </c>
      <c r="K116" s="53"/>
      <c r="L116" s="53"/>
    </row>
    <row r="117" spans="1:12" ht="15.75">
      <c r="A117" s="26" t="str">
        <v>Lockenhurst Pond</v>
      </c>
      <c r="B117" s="27" t="str">
        <v>NY</v>
      </c>
      <c r="C117" s="25" t="str">
        <f>Sites[[#This Row],[SOL'#]]</f>
        <v>SOL-11000</v>
      </c>
      <c r="D117" s="72"/>
      <c r="E117" s="79"/>
      <c r="F117" s="14" t="str">
        <f t="shared" si="8"/>
        <v/>
      </c>
      <c r="G117" s="15" t="str">
        <f t="shared" si="9"/>
        <v/>
      </c>
      <c r="H117" s="69"/>
      <c r="I117" s="16" t="str">
        <f t="shared" si="10"/>
        <v/>
      </c>
      <c r="J117" s="15" t="str">
        <f t="shared" si="11"/>
        <v/>
      </c>
      <c r="K117" s="51"/>
      <c r="L117" s="51"/>
    </row>
    <row r="118" spans="1:12" ht="15.75">
      <c r="A118" s="24" t="str">
        <v>Drinkwater</v>
      </c>
      <c r="B118" s="25" t="str">
        <v>NY</v>
      </c>
      <c r="C118" s="25" t="str">
        <f>Sites[[#This Row],[SOL'#]]</f>
        <v>SOL-10896</v>
      </c>
      <c r="D118" s="77"/>
      <c r="E118" s="78"/>
      <c r="F118" s="10" t="str">
        <f t="shared" si="8"/>
        <v/>
      </c>
      <c r="G118" s="11" t="str">
        <f t="shared" si="9"/>
        <v/>
      </c>
      <c r="H118" s="67"/>
      <c r="I118" s="12" t="str">
        <f t="shared" si="10"/>
        <v/>
      </c>
      <c r="J118" s="13" t="str">
        <f t="shared" si="11"/>
        <v/>
      </c>
      <c r="K118" s="53"/>
      <c r="L118" s="53"/>
    </row>
    <row r="119" spans="1:12" ht="15.75">
      <c r="A119" s="26" t="str">
        <v>Altamont</v>
      </c>
      <c r="B119" s="27" t="str">
        <v>NY</v>
      </c>
      <c r="C119" s="25" t="str">
        <f>Sites[[#This Row],[SOL'#]]</f>
        <v>SOL-11085</v>
      </c>
      <c r="D119" s="72"/>
      <c r="E119" s="79"/>
      <c r="F119" s="14" t="str">
        <f t="shared" si="8"/>
        <v/>
      </c>
      <c r="G119" s="15" t="str">
        <f t="shared" si="9"/>
        <v/>
      </c>
      <c r="H119" s="69"/>
      <c r="I119" s="16" t="str">
        <f t="shared" si="10"/>
        <v/>
      </c>
      <c r="J119" s="15" t="str">
        <f t="shared" si="11"/>
        <v/>
      </c>
      <c r="K119" s="51"/>
      <c r="L119" s="51"/>
    </row>
    <row r="120" spans="1:12" ht="15.75">
      <c r="A120" s="24" t="str">
        <v>Krumkill North</v>
      </c>
      <c r="B120" s="25" t="str">
        <v>NY</v>
      </c>
      <c r="C120" s="25" t="str">
        <f>Sites[[#This Row],[SOL'#]]</f>
        <v>SOL-11086</v>
      </c>
      <c r="D120" s="77"/>
      <c r="E120" s="78"/>
      <c r="F120" s="10" t="str">
        <f t="shared" si="8"/>
        <v/>
      </c>
      <c r="G120" s="11" t="str">
        <f t="shared" si="9"/>
        <v/>
      </c>
      <c r="H120" s="67"/>
      <c r="I120" s="12" t="str">
        <f t="shared" si="10"/>
        <v/>
      </c>
      <c r="J120" s="13" t="str">
        <f t="shared" si="11"/>
        <v/>
      </c>
      <c r="K120" s="53"/>
      <c r="L120" s="53"/>
    </row>
    <row r="121" spans="1:12" ht="15.75">
      <c r="A121" s="26" t="str">
        <v>Krumkill South</v>
      </c>
      <c r="B121" s="27" t="str">
        <v>NY</v>
      </c>
      <c r="C121" s="25" t="str">
        <f>Sites[[#This Row],[SOL'#]]</f>
        <v>SOL-11087</v>
      </c>
      <c r="D121" s="72"/>
      <c r="E121" s="79"/>
      <c r="F121" s="14" t="str">
        <f t="shared" si="8"/>
        <v/>
      </c>
      <c r="G121" s="15" t="str">
        <f t="shared" si="9"/>
        <v/>
      </c>
      <c r="H121" s="69"/>
      <c r="I121" s="16" t="str">
        <f t="shared" si="10"/>
        <v/>
      </c>
      <c r="J121" s="15" t="str">
        <f t="shared" si="11"/>
        <v/>
      </c>
      <c r="K121" s="51"/>
      <c r="L121" s="51"/>
    </row>
    <row r="122" spans="1:12" ht="15.75">
      <c r="A122" s="24" t="str">
        <v>X092</v>
      </c>
      <c r="B122" s="25" t="str">
        <v>NY</v>
      </c>
      <c r="C122" s="25" t="str">
        <f>Sites[[#This Row],[SOL'#]]</f>
        <v>SOL-11189</v>
      </c>
      <c r="D122" s="77"/>
      <c r="E122" s="78"/>
      <c r="F122" s="10" t="str">
        <f t="shared" si="8"/>
        <v/>
      </c>
      <c r="G122" s="11" t="str">
        <f t="shared" si="9"/>
        <v/>
      </c>
      <c r="H122" s="67"/>
      <c r="I122" s="12" t="str">
        <f t="shared" si="10"/>
        <v/>
      </c>
      <c r="J122" s="13" t="str">
        <f t="shared" si="11"/>
        <v/>
      </c>
      <c r="K122" s="53"/>
      <c r="L122" s="53"/>
    </row>
    <row r="123" spans="1:12" ht="15.75">
      <c r="A123" s="26" t="str">
        <v>X093</v>
      </c>
      <c r="B123" s="27" t="str">
        <v>NY</v>
      </c>
      <c r="C123" s="25" t="str">
        <f>Sites[[#This Row],[SOL'#]]</f>
        <v>SOL-10932</v>
      </c>
      <c r="D123" s="72"/>
      <c r="E123" s="79"/>
      <c r="F123" s="14" t="str">
        <f t="shared" si="8"/>
        <v/>
      </c>
      <c r="G123" s="15" t="str">
        <f t="shared" si="9"/>
        <v/>
      </c>
      <c r="H123" s="69"/>
      <c r="I123" s="16" t="str">
        <f t="shared" si="10"/>
        <v/>
      </c>
      <c r="J123" s="15" t="str">
        <f t="shared" si="11"/>
        <v/>
      </c>
      <c r="K123" s="51"/>
      <c r="L123" s="51"/>
    </row>
    <row r="124" spans="1:12" ht="15.75">
      <c r="A124" s="24" t="str">
        <v>X095</v>
      </c>
      <c r="B124" s="25" t="str">
        <v>NY</v>
      </c>
      <c r="C124" s="25" t="str">
        <f>Sites[[#This Row],[SOL'#]]</f>
        <v>SOL-10929</v>
      </c>
      <c r="D124" s="77"/>
      <c r="E124" s="78"/>
      <c r="F124" s="10" t="str">
        <f t="shared" si="8"/>
        <v/>
      </c>
      <c r="G124" s="11" t="str">
        <f t="shared" si="9"/>
        <v/>
      </c>
      <c r="H124" s="67"/>
      <c r="I124" s="12" t="str">
        <f t="shared" si="10"/>
        <v/>
      </c>
      <c r="J124" s="13" t="str">
        <f t="shared" si="11"/>
        <v/>
      </c>
      <c r="K124" s="53"/>
      <c r="L124" s="53"/>
    </row>
    <row r="125" spans="1:12" ht="15.75">
      <c r="A125" s="26" t="str">
        <v>X181</v>
      </c>
      <c r="B125" s="27" t="str">
        <v>NY</v>
      </c>
      <c r="C125" s="25" t="str">
        <f>Sites[[#This Row],[SOL'#]]</f>
        <v>SOL-10428</v>
      </c>
      <c r="D125" s="72"/>
      <c r="E125" s="79"/>
      <c r="F125" s="14" t="str">
        <f>IF(AND(ISNUMBER(D125),ISNUMBER(E125)), D125-E125, "")</f>
        <v/>
      </c>
      <c r="G125" s="15" t="str">
        <f t="shared" si="9"/>
        <v/>
      </c>
      <c r="H125" s="69"/>
      <c r="I125" s="16" t="str">
        <f>IF(AND(ISNUMBER(D125),ISNUMBER(H125)), D125-H125, "")</f>
        <v/>
      </c>
      <c r="J125" s="15" t="str">
        <f t="shared" si="11"/>
        <v/>
      </c>
      <c r="K125" s="51"/>
      <c r="L125" s="51"/>
    </row>
    <row r="126" spans="1:12" ht="129" customHeight="1">
      <c r="A126" s="24" t="str">
        <v>X415</v>
      </c>
      <c r="B126" s="25" t="str">
        <v>NY</v>
      </c>
      <c r="C126" s="25" t="str">
        <f>Sites[[#This Row],[SOL'#]]</f>
        <v>SOL-10429</v>
      </c>
      <c r="D126" s="77"/>
      <c r="E126" s="78"/>
      <c r="F126" s="10" t="str">
        <f t="shared" si="8"/>
        <v/>
      </c>
      <c r="G126" s="11" t="str">
        <f t="shared" si="9"/>
        <v/>
      </c>
      <c r="H126" s="67"/>
      <c r="I126" s="12" t="str">
        <f t="shared" si="10"/>
        <v/>
      </c>
      <c r="J126" s="13" t="str">
        <f t="shared" si="11"/>
        <v/>
      </c>
      <c r="K126" s="53"/>
      <c r="L126" s="53"/>
    </row>
    <row r="127" spans="1:12" ht="15.75">
      <c r="A127" s="26" t="str">
        <v>K198</v>
      </c>
      <c r="B127" s="27" t="str">
        <v>NY</v>
      </c>
      <c r="C127" s="25" t="str">
        <f>Sites[[#This Row],[SOL'#]]</f>
        <v>SOL-10930</v>
      </c>
      <c r="D127" s="72"/>
      <c r="E127" s="79"/>
      <c r="F127" s="14" t="str">
        <f t="shared" si="8"/>
        <v/>
      </c>
      <c r="G127" s="15" t="str">
        <f t="shared" si="9"/>
        <v/>
      </c>
      <c r="H127" s="69"/>
      <c r="I127" s="16" t="str">
        <f t="shared" si="10"/>
        <v/>
      </c>
      <c r="J127" s="15" t="str">
        <f t="shared" si="11"/>
        <v/>
      </c>
      <c r="K127" s="51"/>
      <c r="L127" s="51"/>
    </row>
    <row r="128" spans="1:12" ht="15.75">
      <c r="A128" s="24" t="str">
        <v>K203</v>
      </c>
      <c r="B128" s="25" t="str">
        <v>NY</v>
      </c>
      <c r="C128" s="25" t="str">
        <f>Sites[[#This Row],[SOL'#]]</f>
        <v>SOL-11190</v>
      </c>
      <c r="D128" s="77"/>
      <c r="E128" s="78"/>
      <c r="F128" s="10" t="str">
        <f t="shared" si="8"/>
        <v/>
      </c>
      <c r="G128" s="11" t="str">
        <f t="shared" si="9"/>
        <v/>
      </c>
      <c r="H128" s="67"/>
      <c r="I128" s="12" t="str">
        <f t="shared" si="10"/>
        <v/>
      </c>
      <c r="J128" s="13" t="str">
        <f t="shared" si="11"/>
        <v/>
      </c>
      <c r="K128" s="53"/>
      <c r="L128" s="53"/>
    </row>
    <row r="129" spans="1:12" ht="15.75">
      <c r="A129" s="26" t="str">
        <v>K213</v>
      </c>
      <c r="B129" s="27" t="str">
        <v>NY</v>
      </c>
      <c r="C129" s="25" t="str">
        <f>Sites[[#This Row],[SOL'#]]</f>
        <v>SOL-11191</v>
      </c>
      <c r="D129" s="72"/>
      <c r="E129" s="79"/>
      <c r="F129" s="14" t="str">
        <f t="shared" si="8"/>
        <v/>
      </c>
      <c r="G129" s="15" t="str">
        <f t="shared" si="9"/>
        <v/>
      </c>
      <c r="H129" s="69"/>
      <c r="I129" s="16" t="str">
        <f t="shared" si="10"/>
        <v/>
      </c>
      <c r="J129" s="15" t="str">
        <f t="shared" si="11"/>
        <v/>
      </c>
      <c r="K129" s="51"/>
      <c r="L129" s="51"/>
    </row>
    <row r="130" spans="1:12" ht="15.75">
      <c r="A130" s="24" t="str">
        <v>K217</v>
      </c>
      <c r="B130" s="25" t="str">
        <v>NY</v>
      </c>
      <c r="C130" s="25" t="str">
        <f>Sites[[#This Row],[SOL'#]]</f>
        <v>SOL-10933</v>
      </c>
      <c r="D130" s="77"/>
      <c r="E130" s="78"/>
      <c r="F130" s="10" t="str">
        <f t="shared" si="8"/>
        <v/>
      </c>
      <c r="G130" s="11" t="str">
        <f t="shared" si="9"/>
        <v/>
      </c>
      <c r="H130" s="67"/>
      <c r="I130" s="12" t="str">
        <f t="shared" si="10"/>
        <v/>
      </c>
      <c r="J130" s="13" t="str">
        <f t="shared" si="11"/>
        <v/>
      </c>
      <c r="K130" s="53"/>
      <c r="L130" s="53"/>
    </row>
    <row r="131" spans="1:12" ht="15.75">
      <c r="A131" s="26" t="str">
        <v>K307</v>
      </c>
      <c r="B131" s="27" t="str">
        <v>NY</v>
      </c>
      <c r="C131" s="25" t="str">
        <f>Sites[[#This Row],[SOL'#]]</f>
        <v>SOL-10876</v>
      </c>
      <c r="D131" s="72"/>
      <c r="E131" s="79"/>
      <c r="F131" s="14" t="str">
        <f t="shared" si="8"/>
        <v/>
      </c>
      <c r="G131" s="15" t="str">
        <f t="shared" si="9"/>
        <v/>
      </c>
      <c r="H131" s="69"/>
      <c r="I131" s="16" t="str">
        <f t="shared" si="10"/>
        <v/>
      </c>
      <c r="J131" s="15" t="str">
        <f t="shared" si="11"/>
        <v/>
      </c>
      <c r="K131" s="51"/>
      <c r="L131" s="51"/>
    </row>
    <row r="132" spans="1:12" ht="15.75">
      <c r="A132" s="24" t="str">
        <v>K610</v>
      </c>
      <c r="B132" s="25" t="str">
        <v>NY</v>
      </c>
      <c r="C132" s="25" t="str">
        <f>Sites[[#This Row],[SOL'#]]</f>
        <v>SOL-11158</v>
      </c>
      <c r="D132" s="77"/>
      <c r="E132" s="78"/>
      <c r="F132" s="10" t="str">
        <f t="shared" si="8"/>
        <v/>
      </c>
      <c r="G132" s="11" t="str">
        <f t="shared" si="9"/>
        <v/>
      </c>
      <c r="H132" s="67"/>
      <c r="I132" s="12" t="str">
        <f t="shared" si="10"/>
        <v/>
      </c>
      <c r="J132" s="13" t="str">
        <f t="shared" si="11"/>
        <v/>
      </c>
      <c r="K132" s="53"/>
      <c r="L132" s="53"/>
    </row>
    <row r="133" spans="1:12" ht="15.75">
      <c r="A133" s="26" t="str">
        <v>M025</v>
      </c>
      <c r="B133" s="27" t="str">
        <v>NY</v>
      </c>
      <c r="C133" s="25" t="str">
        <f>Sites[[#This Row],[SOL'#]]</f>
        <v>SOL-10392</v>
      </c>
      <c r="D133" s="72"/>
      <c r="E133" s="79"/>
      <c r="F133" s="14" t="str">
        <f t="shared" si="8"/>
        <v/>
      </c>
      <c r="G133" s="15" t="str">
        <f t="shared" si="9"/>
        <v/>
      </c>
      <c r="H133" s="69"/>
      <c r="I133" s="16" t="str">
        <f t="shared" si="10"/>
        <v/>
      </c>
      <c r="J133" s="15" t="str">
        <f t="shared" si="11"/>
        <v/>
      </c>
      <c r="K133" s="51"/>
      <c r="L133" s="51"/>
    </row>
    <row r="134" spans="1:12" ht="15.75">
      <c r="A134" s="24" t="str">
        <v>M028</v>
      </c>
      <c r="B134" s="25" t="str">
        <v>NY</v>
      </c>
      <c r="C134" s="25" t="str">
        <f>Sites[[#This Row],[SOL'#]]</f>
        <v>SOL-10381</v>
      </c>
      <c r="D134" s="77"/>
      <c r="E134" s="78"/>
      <c r="F134" s="10" t="str">
        <f t="shared" si="8"/>
        <v/>
      </c>
      <c r="G134" s="11" t="str">
        <f t="shared" si="9"/>
        <v/>
      </c>
      <c r="H134" s="67"/>
      <c r="I134" s="12" t="str">
        <f t="shared" si="10"/>
        <v/>
      </c>
      <c r="J134" s="13" t="str">
        <f t="shared" si="11"/>
        <v/>
      </c>
      <c r="K134" s="53"/>
      <c r="L134" s="53"/>
    </row>
    <row r="135" spans="1:12" ht="15.75">
      <c r="A135" s="26" t="str">
        <v>Q030</v>
      </c>
      <c r="B135" s="27" t="str">
        <v>NY</v>
      </c>
      <c r="C135" s="25" t="str">
        <f>Sites[[#This Row],[SOL'#]]</f>
        <v>SOL-10878</v>
      </c>
      <c r="D135" s="72"/>
      <c r="E135" s="79"/>
      <c r="F135" s="14" t="str">
        <f t="shared" si="8"/>
        <v/>
      </c>
      <c r="G135" s="15" t="str">
        <f t="shared" si="9"/>
        <v/>
      </c>
      <c r="H135" s="69"/>
      <c r="I135" s="16" t="str">
        <f t="shared" si="10"/>
        <v/>
      </c>
      <c r="J135" s="15" t="str">
        <f t="shared" si="11"/>
        <v/>
      </c>
      <c r="K135" s="51"/>
      <c r="L135" s="51"/>
    </row>
    <row r="136" spans="1:12" ht="15.75">
      <c r="A136" s="24" t="str">
        <v>Q130</v>
      </c>
      <c r="B136" s="25" t="str">
        <v>NY</v>
      </c>
      <c r="C136" s="25" t="str">
        <f>Sites[[#This Row],[SOL'#]]</f>
        <v>SOL-10877</v>
      </c>
      <c r="D136" s="77"/>
      <c r="E136" s="78"/>
      <c r="F136" s="10" t="str">
        <f t="shared" si="8"/>
        <v/>
      </c>
      <c r="G136" s="11" t="str">
        <f t="shared" si="9"/>
        <v/>
      </c>
      <c r="H136" s="67"/>
      <c r="I136" s="12" t="str">
        <f t="shared" si="10"/>
        <v/>
      </c>
      <c r="J136" s="13" t="str">
        <f t="shared" si="11"/>
        <v/>
      </c>
      <c r="K136" s="53"/>
      <c r="L136" s="53"/>
    </row>
    <row r="137" spans="1:12" ht="15.75">
      <c r="A137" s="26" t="str">
        <v>Q196</v>
      </c>
      <c r="B137" s="27" t="str">
        <v>NY</v>
      </c>
      <c r="C137" s="25" t="str">
        <f>Sites[[#This Row],[SOL'#]]</f>
        <v>SOL-10879</v>
      </c>
      <c r="D137" s="72"/>
      <c r="E137" s="79"/>
      <c r="F137" s="14" t="str">
        <f t="shared" si="8"/>
        <v/>
      </c>
      <c r="G137" s="15" t="str">
        <f t="shared" si="9"/>
        <v/>
      </c>
      <c r="H137" s="69"/>
      <c r="I137" s="16" t="str">
        <f t="shared" si="10"/>
        <v/>
      </c>
      <c r="J137" s="15" t="str">
        <f t="shared" si="11"/>
        <v/>
      </c>
      <c r="K137" s="51"/>
      <c r="L137" s="51"/>
    </row>
    <row r="138" spans="1:12" ht="15.75">
      <c r="A138" s="24" t="str">
        <v>Q220</v>
      </c>
      <c r="B138" s="25" t="str">
        <v>NY</v>
      </c>
      <c r="C138" s="25" t="str">
        <f>Sites[[#This Row],[SOL'#]]</f>
        <v>SOL-10873</v>
      </c>
      <c r="D138" s="77"/>
      <c r="E138" s="78"/>
      <c r="F138" s="10" t="str">
        <f t="shared" si="8"/>
        <v/>
      </c>
      <c r="G138" s="11" t="str">
        <f t="shared" si="9"/>
        <v/>
      </c>
      <c r="H138" s="67"/>
      <c r="I138" s="12" t="str">
        <f t="shared" si="10"/>
        <v/>
      </c>
      <c r="J138" s="13" t="str">
        <f t="shared" si="11"/>
        <v/>
      </c>
      <c r="K138" s="53"/>
      <c r="L138" s="53"/>
    </row>
    <row r="139" spans="1:12" ht="15.75">
      <c r="A139" s="26" t="str">
        <v>Q205</v>
      </c>
      <c r="B139" s="27" t="str">
        <v>NY</v>
      </c>
      <c r="C139" s="25" t="str">
        <f>Sites[[#This Row],[SOL'#]]</f>
        <v>SOL-10922</v>
      </c>
      <c r="D139" s="72"/>
      <c r="E139" s="79"/>
      <c r="F139" s="14" t="str">
        <f t="shared" si="8"/>
        <v/>
      </c>
      <c r="G139" s="15" t="str">
        <f t="shared" si="9"/>
        <v/>
      </c>
      <c r="H139" s="69"/>
      <c r="I139" s="16" t="str">
        <f t="shared" si="10"/>
        <v/>
      </c>
      <c r="J139" s="15" t="str">
        <f t="shared" si="11"/>
        <v/>
      </c>
      <c r="K139" s="51"/>
      <c r="L139" s="51"/>
    </row>
    <row r="140" spans="1:12" ht="15.75">
      <c r="A140" s="28" t="str">
        <v>Q400</v>
      </c>
      <c r="B140" s="25" t="str">
        <v>NY</v>
      </c>
      <c r="C140" s="25" t="str">
        <f>Sites[[#This Row],[SOL'#]]</f>
        <v>SOL-10871</v>
      </c>
      <c r="D140" s="77"/>
      <c r="E140" s="78"/>
      <c r="F140" s="10" t="str">
        <f t="shared" si="8"/>
        <v/>
      </c>
      <c r="G140" s="11" t="str">
        <f t="shared" si="9"/>
        <v/>
      </c>
      <c r="H140" s="67"/>
      <c r="I140" s="12" t="str">
        <f t="shared" si="10"/>
        <v/>
      </c>
      <c r="J140" s="13" t="str">
        <f t="shared" si="11"/>
        <v/>
      </c>
      <c r="K140" s="53"/>
      <c r="L140" s="53"/>
    </row>
    <row r="141" spans="1:12" ht="15.75">
      <c r="A141" s="26" t="str">
        <v>R003</v>
      </c>
      <c r="B141" s="27" t="str">
        <v>NY</v>
      </c>
      <c r="C141" s="25" t="str">
        <f>Sites[[#This Row],[SOL'#]]</f>
        <v>SOL-10416</v>
      </c>
      <c r="D141" s="72"/>
      <c r="E141" s="79"/>
      <c r="F141" s="14" t="str">
        <f t="shared" si="8"/>
        <v/>
      </c>
      <c r="G141" s="15" t="str">
        <f t="shared" si="9"/>
        <v/>
      </c>
      <c r="H141" s="69"/>
      <c r="I141" s="16" t="str">
        <f t="shared" si="10"/>
        <v/>
      </c>
      <c r="J141" s="15" t="str">
        <f t="shared" si="11"/>
        <v/>
      </c>
      <c r="K141" s="51"/>
      <c r="L141" s="51"/>
    </row>
    <row r="142" spans="1:12" ht="15.75">
      <c r="A142" s="28" t="str">
        <v>R007</v>
      </c>
      <c r="B142" s="25" t="str">
        <v>NY</v>
      </c>
      <c r="C142" s="25" t="str">
        <f>Sites[[#This Row],[SOL'#]]</f>
        <v>SOL-10417</v>
      </c>
      <c r="D142" s="77"/>
      <c r="E142" s="78"/>
      <c r="F142" s="10" t="str">
        <f t="shared" si="8"/>
        <v/>
      </c>
      <c r="G142" s="11" t="str">
        <f t="shared" si="9"/>
        <v/>
      </c>
      <c r="H142" s="67"/>
      <c r="I142" s="12" t="str">
        <f t="shared" si="10"/>
        <v/>
      </c>
      <c r="J142" s="13" t="str">
        <f t="shared" si="11"/>
        <v/>
      </c>
      <c r="K142" s="53"/>
      <c r="L142" s="53"/>
    </row>
    <row r="143" spans="1:12" ht="15.75">
      <c r="A143" s="26" t="str">
        <v>BK16</v>
      </c>
      <c r="B143" s="27" t="str">
        <v>NY</v>
      </c>
      <c r="C143" s="25" t="str">
        <f>Sites[[#This Row],[SOL'#]]</f>
        <v>SOL-11093</v>
      </c>
      <c r="D143" s="72"/>
      <c r="E143" s="79"/>
      <c r="F143" s="14" t="str">
        <f t="shared" si="8"/>
        <v/>
      </c>
      <c r="G143" s="15" t="str">
        <f t="shared" si="9"/>
        <v/>
      </c>
      <c r="H143" s="69"/>
      <c r="I143" s="16" t="str">
        <f t="shared" si="10"/>
        <v/>
      </c>
      <c r="J143" s="15" t="str">
        <f t="shared" si="11"/>
        <v/>
      </c>
      <c r="K143" s="51"/>
      <c r="L143" s="51"/>
    </row>
    <row r="144" spans="1:12" ht="15.75">
      <c r="A144" s="24" t="str">
        <v>Trenton - Trenton East</v>
      </c>
      <c r="B144" s="25" t="str">
        <v>IL</v>
      </c>
      <c r="C144" s="25" t="str">
        <f>Sites[[#This Row],[SOL'#]]</f>
        <v>SOL-11060</v>
      </c>
      <c r="D144" s="77"/>
      <c r="E144" s="78"/>
      <c r="F144" s="10" t="str">
        <f t="shared" si="8"/>
        <v/>
      </c>
      <c r="G144" s="11" t="str">
        <f t="shared" si="9"/>
        <v/>
      </c>
      <c r="H144" s="67"/>
      <c r="I144" s="12" t="str">
        <f t="shared" si="10"/>
        <v/>
      </c>
      <c r="J144" s="13" t="str">
        <f t="shared" si="11"/>
        <v/>
      </c>
      <c r="K144" s="53"/>
      <c r="L144" s="53"/>
    </row>
    <row r="145" spans="1:12" ht="15.75">
      <c r="A145" s="26" t="str">
        <v>Trenton - Trenton West</v>
      </c>
      <c r="B145" s="27" t="str">
        <v>IL</v>
      </c>
      <c r="C145" s="25" t="str">
        <f>Sites[[#This Row],[SOL'#]]</f>
        <v>SOL-11061</v>
      </c>
      <c r="D145" s="72"/>
      <c r="E145" s="79"/>
      <c r="F145" s="14" t="str">
        <f t="shared" si="8"/>
        <v/>
      </c>
      <c r="G145" s="15" t="str">
        <f t="shared" si="9"/>
        <v/>
      </c>
      <c r="H145" s="69"/>
      <c r="I145" s="16" t="str">
        <f t="shared" si="10"/>
        <v/>
      </c>
      <c r="J145" s="15" t="str">
        <f t="shared" si="11"/>
        <v/>
      </c>
      <c r="K145" s="51"/>
      <c r="L145" s="51"/>
    </row>
    <row r="146" spans="1:12" ht="15.75">
      <c r="A146" s="24" t="str">
        <v>Dakota - Dakota Solar 1</v>
      </c>
      <c r="B146" s="25" t="str">
        <v>IL</v>
      </c>
      <c r="C146" s="25" t="str">
        <f>Sites[[#This Row],[SOL'#]]</f>
        <v>SOL-11113</v>
      </c>
      <c r="D146" s="77"/>
      <c r="E146" s="78"/>
      <c r="F146" s="10" t="str">
        <f t="shared" ref="F146:F158" si="12">IF(AND(ISNUMBER(D146),ISNUMBER(E146)), D146-E146, "")</f>
        <v/>
      </c>
      <c r="G146" s="11" t="str">
        <f t="shared" ref="G146:G158" si="13">IFERROR(F146/E146, "")</f>
        <v/>
      </c>
      <c r="H146" s="67"/>
      <c r="I146" s="12" t="str">
        <f t="shared" ref="I146:I158" si="14">IF(AND(ISNUMBER(D146),ISNUMBER(H146)), D146-H146, "")</f>
        <v/>
      </c>
      <c r="J146" s="13" t="str">
        <f t="shared" ref="J146:J158" si="15">IFERROR(I146/H146, "")</f>
        <v/>
      </c>
      <c r="K146" s="53"/>
      <c r="L146" s="53"/>
    </row>
    <row r="147" spans="1:12" ht="15.75">
      <c r="A147" s="26" t="str">
        <v>X018</v>
      </c>
      <c r="B147" s="27" t="str">
        <v>NY</v>
      </c>
      <c r="C147" s="25" t="str">
        <f>Sites[[#This Row],[SOL'#]]</f>
        <v>SOL-10418</v>
      </c>
      <c r="D147" s="81"/>
      <c r="E147" s="79"/>
      <c r="F147" s="14" t="str">
        <f t="shared" si="12"/>
        <v/>
      </c>
      <c r="G147" s="15" t="str">
        <f t="shared" si="13"/>
        <v/>
      </c>
      <c r="H147" s="69"/>
      <c r="I147" s="16" t="str">
        <f t="shared" si="14"/>
        <v/>
      </c>
      <c r="J147" s="15" t="str">
        <f t="shared" si="15"/>
        <v/>
      </c>
      <c r="K147" s="51"/>
      <c r="L147" s="51"/>
    </row>
    <row r="148" spans="1:12" ht="15.75">
      <c r="A148" s="24" t="str">
        <v>Janiak Solar</v>
      </c>
      <c r="B148" s="25" t="str">
        <v>NY</v>
      </c>
      <c r="C148" s="25" t="str">
        <f>Sites[[#This Row],[SOL'#]]</f>
        <v>SOL-10898</v>
      </c>
      <c r="D148" s="77"/>
      <c r="E148" s="78"/>
      <c r="F148" s="10" t="str">
        <f t="shared" si="12"/>
        <v/>
      </c>
      <c r="G148" s="11" t="str">
        <f t="shared" si="13"/>
        <v/>
      </c>
      <c r="H148" s="67"/>
      <c r="I148" s="12" t="str">
        <f t="shared" si="14"/>
        <v/>
      </c>
      <c r="J148" s="13" t="str">
        <f t="shared" si="15"/>
        <v/>
      </c>
      <c r="K148" s="53"/>
      <c r="L148" s="53"/>
    </row>
    <row r="149" spans="1:12" ht="15.75">
      <c r="A149" s="26" t="str">
        <v>County Route 11B</v>
      </c>
      <c r="B149" s="27" t="str">
        <v>NY</v>
      </c>
      <c r="C149" s="25" t="str">
        <f>Sites[[#This Row],[SOL'#]]</f>
        <v>SOL-10983</v>
      </c>
      <c r="D149" s="72"/>
      <c r="E149" s="79"/>
      <c r="F149" s="14" t="str">
        <f t="shared" si="12"/>
        <v/>
      </c>
      <c r="G149" s="15" t="str">
        <f t="shared" si="13"/>
        <v/>
      </c>
      <c r="H149" s="69"/>
      <c r="I149" s="16" t="str">
        <f t="shared" si="14"/>
        <v/>
      </c>
      <c r="J149" s="15" t="str">
        <f t="shared" si="15"/>
        <v/>
      </c>
      <c r="K149" s="51"/>
      <c r="L149" s="51"/>
    </row>
    <row r="150" spans="1:12" ht="15.75">
      <c r="A150" s="24" t="str">
        <v>Barone</v>
      </c>
      <c r="B150" s="25" t="str">
        <v>NY</v>
      </c>
      <c r="C150" s="25" t="str">
        <f>Sites[[#This Row],[SOL'#]]</f>
        <v>SOL-11034</v>
      </c>
      <c r="D150" s="77"/>
      <c r="E150" s="78"/>
      <c r="F150" s="10" t="str">
        <f t="shared" si="12"/>
        <v/>
      </c>
      <c r="G150" s="11" t="str">
        <f t="shared" si="13"/>
        <v/>
      </c>
      <c r="H150" s="67"/>
      <c r="I150" s="12" t="str">
        <f t="shared" si="14"/>
        <v/>
      </c>
      <c r="J150" s="13" t="str">
        <f t="shared" si="15"/>
        <v/>
      </c>
      <c r="K150" s="53"/>
      <c r="L150" s="53"/>
    </row>
    <row r="151" spans="1:12" ht="63" customHeight="1">
      <c r="A151" s="26" t="str">
        <v>Cedarville</v>
      </c>
      <c r="B151" s="27" t="str">
        <v>IL</v>
      </c>
      <c r="C151" s="25" t="str">
        <f>Sites[[#This Row],[SOL'#]]</f>
        <v>SOL-11069</v>
      </c>
      <c r="D151" s="72"/>
      <c r="E151" s="79"/>
      <c r="F151" s="14" t="str">
        <f t="shared" si="12"/>
        <v/>
      </c>
      <c r="G151" s="15" t="str">
        <f t="shared" si="13"/>
        <v/>
      </c>
      <c r="H151" s="69"/>
      <c r="I151" s="16" t="str">
        <f t="shared" si="14"/>
        <v/>
      </c>
      <c r="J151" s="15" t="str">
        <f t="shared" si="15"/>
        <v/>
      </c>
      <c r="K151" s="51"/>
      <c r="L151" s="51"/>
    </row>
    <row r="152" spans="1:12" ht="15.75">
      <c r="A152" s="24" t="str">
        <v xml:space="preserve"> O'Brien Hill #1</v>
      </c>
      <c r="B152" s="25" t="str">
        <v>NY</v>
      </c>
      <c r="C152" s="25" t="str">
        <f>Sites[[#This Row],[SOL'#]]</f>
        <v>SOL-11098</v>
      </c>
      <c r="D152" s="77"/>
      <c r="E152" s="78"/>
      <c r="F152" s="10" t="str">
        <f t="shared" si="12"/>
        <v/>
      </c>
      <c r="G152" s="11" t="str">
        <f t="shared" si="13"/>
        <v/>
      </c>
      <c r="H152" s="67"/>
      <c r="I152" s="12" t="str">
        <f t="shared" si="14"/>
        <v/>
      </c>
      <c r="J152" s="13" t="str">
        <f t="shared" si="15"/>
        <v/>
      </c>
      <c r="K152" s="53"/>
      <c r="L152" s="53"/>
    </row>
    <row r="153" spans="1:12" ht="15.75">
      <c r="A153" s="26" t="str">
        <v xml:space="preserve"> O'Brien Hill #2</v>
      </c>
      <c r="B153" s="27" t="str">
        <v>NY</v>
      </c>
      <c r="C153" s="25" t="str">
        <f>Sites[[#This Row],[SOL'#]]</f>
        <v>SOL-11099</v>
      </c>
      <c r="D153" s="72"/>
      <c r="E153" s="79"/>
      <c r="F153" s="14" t="str">
        <f t="shared" si="12"/>
        <v/>
      </c>
      <c r="G153" s="15" t="str">
        <f t="shared" si="13"/>
        <v/>
      </c>
      <c r="H153" s="69"/>
      <c r="I153" s="16" t="str">
        <f t="shared" si="14"/>
        <v/>
      </c>
      <c r="J153" s="15" t="str">
        <f t="shared" si="15"/>
        <v/>
      </c>
      <c r="K153" s="51"/>
      <c r="L153" s="51"/>
    </row>
    <row r="154" spans="1:12" ht="15.75">
      <c r="A154" s="24" t="str">
        <v>Trinity - Freeport</v>
      </c>
      <c r="B154" s="25" t="str">
        <v>IL</v>
      </c>
      <c r="C154" s="25" t="str">
        <f>Sites[[#This Row],[SOL'#]]</f>
        <v>SOL-11057</v>
      </c>
      <c r="D154" s="77"/>
      <c r="E154" s="78"/>
      <c r="F154" s="10" t="str">
        <f t="shared" si="12"/>
        <v/>
      </c>
      <c r="G154" s="11" t="str">
        <f t="shared" si="13"/>
        <v/>
      </c>
      <c r="H154" s="67"/>
      <c r="I154" s="12" t="str">
        <f t="shared" si="14"/>
        <v/>
      </c>
      <c r="J154" s="13" t="str">
        <f t="shared" si="15"/>
        <v/>
      </c>
      <c r="K154" s="53"/>
      <c r="L154" s="53"/>
    </row>
    <row r="155" spans="1:12" ht="15.75">
      <c r="A155" s="26" t="str">
        <v>Ransom</v>
      </c>
      <c r="B155" s="27" t="str">
        <v>NY</v>
      </c>
      <c r="C155" s="25" t="str">
        <f>Sites[[#This Row],[SOL'#]]</f>
        <v>SOL-11157</v>
      </c>
      <c r="D155" s="72"/>
      <c r="E155" s="79"/>
      <c r="F155" s="14" t="str">
        <f t="shared" si="12"/>
        <v/>
      </c>
      <c r="G155" s="15" t="str">
        <f t="shared" si="13"/>
        <v/>
      </c>
      <c r="H155" s="69"/>
      <c r="I155" s="16" t="str">
        <f t="shared" si="14"/>
        <v/>
      </c>
      <c r="J155" s="15" t="str">
        <f t="shared" si="15"/>
        <v/>
      </c>
      <c r="K155" s="51"/>
      <c r="L155" s="51"/>
    </row>
    <row r="156" spans="1:12" ht="15.75">
      <c r="A156" s="24" t="str">
        <v>Horseheads - Wedge</v>
      </c>
      <c r="B156" s="25" t="str">
        <v>NY</v>
      </c>
      <c r="C156" s="25" t="str">
        <f>Sites[[#This Row],[SOL'#]]</f>
        <v>SOL-11160</v>
      </c>
      <c r="D156" s="77"/>
      <c r="E156" s="78"/>
      <c r="F156" s="10" t="str">
        <f t="shared" si="12"/>
        <v/>
      </c>
      <c r="G156" s="11" t="str">
        <f t="shared" si="13"/>
        <v/>
      </c>
      <c r="H156" s="67"/>
      <c r="I156" s="12" t="str">
        <f t="shared" si="14"/>
        <v/>
      </c>
      <c r="J156" s="13" t="str">
        <f t="shared" si="15"/>
        <v/>
      </c>
      <c r="K156" s="53"/>
      <c r="L156" s="53"/>
    </row>
    <row r="157" spans="1:12" ht="15.75">
      <c r="A157" s="26" t="str">
        <v>Otisville - Shoddy Hollow</v>
      </c>
      <c r="B157" s="27" t="str">
        <v>NY</v>
      </c>
      <c r="C157" s="25" t="str">
        <f>Sites[[#This Row],[SOL'#]]</f>
        <v>SOL-11185</v>
      </c>
      <c r="D157" s="72"/>
      <c r="E157" s="79"/>
      <c r="F157" s="14" t="str">
        <f t="shared" si="12"/>
        <v/>
      </c>
      <c r="G157" s="15" t="str">
        <f t="shared" si="13"/>
        <v/>
      </c>
      <c r="H157" s="69"/>
      <c r="I157" s="16" t="str">
        <f t="shared" si="14"/>
        <v/>
      </c>
      <c r="J157" s="15" t="str">
        <f t="shared" si="15"/>
        <v/>
      </c>
      <c r="K157" s="51"/>
      <c r="L157" s="51"/>
    </row>
    <row r="158" spans="1:12" ht="15.75">
      <c r="A158" s="24" t="str">
        <v>Wellsville - Chenunda Creek</v>
      </c>
      <c r="B158" s="25" t="str">
        <v>NY</v>
      </c>
      <c r="C158" s="25" t="str">
        <f>Sites[[#This Row],[SOL'#]]</f>
        <v>SOL-11187</v>
      </c>
      <c r="D158" s="77"/>
      <c r="E158" s="78"/>
      <c r="F158" s="10" t="str">
        <f t="shared" si="12"/>
        <v/>
      </c>
      <c r="G158" s="11" t="str">
        <f t="shared" si="13"/>
        <v/>
      </c>
      <c r="H158" s="67"/>
      <c r="I158" s="12" t="str">
        <f t="shared" si="14"/>
        <v/>
      </c>
      <c r="J158" s="13" t="str">
        <f t="shared" si="15"/>
        <v/>
      </c>
      <c r="K158" s="53"/>
      <c r="L158" s="53"/>
    </row>
    <row r="159" spans="1:12" ht="14.25">
      <c r="A159" s="17"/>
      <c r="B159" s="29"/>
      <c r="C159" s="29"/>
      <c r="D159" s="17"/>
      <c r="E159" s="17"/>
      <c r="F159" s="17"/>
      <c r="G159" s="18"/>
      <c r="H159" s="17"/>
      <c r="I159" s="17"/>
      <c r="J159" s="18"/>
      <c r="K159" s="17"/>
      <c r="L159" s="17"/>
    </row>
    <row r="160" spans="1:12" ht="14.25">
      <c r="A160" s="17"/>
      <c r="B160" s="29"/>
      <c r="C160" s="29"/>
      <c r="D160" s="17"/>
      <c r="E160" s="17"/>
      <c r="F160" s="17"/>
      <c r="G160" s="18"/>
      <c r="H160" s="17"/>
      <c r="I160" s="17"/>
      <c r="J160" s="18"/>
      <c r="K160" s="17"/>
      <c r="L160" s="17"/>
    </row>
    <row r="161" spans="1:12" ht="14.25">
      <c r="A161" s="17"/>
      <c r="B161" s="29"/>
      <c r="C161" s="29"/>
      <c r="D161" s="17"/>
      <c r="E161" s="17"/>
      <c r="F161" s="17"/>
      <c r="G161" s="18"/>
      <c r="H161" s="17"/>
      <c r="I161" s="17"/>
      <c r="J161" s="18"/>
      <c r="K161" s="17"/>
      <c r="L161" s="17"/>
    </row>
    <row r="162" spans="1:12" ht="14.25">
      <c r="A162" s="17"/>
      <c r="B162" s="29"/>
      <c r="C162" s="29"/>
      <c r="D162" s="17"/>
      <c r="E162" s="17"/>
      <c r="F162" s="17"/>
      <c r="G162" s="18"/>
      <c r="H162" s="17"/>
      <c r="I162" s="17"/>
      <c r="J162" s="18"/>
      <c r="K162" s="17"/>
      <c r="L162" s="17"/>
    </row>
    <row r="163" spans="1:12" ht="14.25">
      <c r="A163" s="17"/>
      <c r="B163" s="29"/>
      <c r="C163" s="29"/>
      <c r="D163" s="17"/>
      <c r="E163" s="17"/>
      <c r="F163" s="17"/>
      <c r="G163" s="18"/>
      <c r="H163" s="17"/>
      <c r="I163" s="17"/>
      <c r="J163" s="18"/>
      <c r="K163" s="17"/>
      <c r="L163" s="17"/>
    </row>
    <row r="164" spans="1:12" ht="14.25">
      <c r="A164" s="17"/>
      <c r="B164" s="29"/>
      <c r="C164" s="29"/>
      <c r="D164" s="17"/>
      <c r="E164" s="17"/>
      <c r="F164" s="17"/>
      <c r="G164" s="18"/>
      <c r="H164" s="17"/>
      <c r="I164" s="17"/>
      <c r="J164" s="18"/>
      <c r="K164" s="17"/>
      <c r="L164" s="17"/>
    </row>
    <row r="165" spans="1:12" ht="14.25">
      <c r="A165" s="17"/>
      <c r="B165" s="29"/>
      <c r="C165" s="29"/>
      <c r="D165" s="17"/>
      <c r="E165" s="17"/>
      <c r="F165" s="17"/>
      <c r="G165" s="18"/>
      <c r="H165" s="17"/>
      <c r="I165" s="17"/>
      <c r="J165" s="18"/>
      <c r="K165" s="17"/>
      <c r="L165" s="17"/>
    </row>
    <row r="166" spans="1:12" ht="14.25">
      <c r="A166" s="17"/>
      <c r="B166" s="29"/>
      <c r="C166" s="29"/>
      <c r="D166" s="17"/>
      <c r="E166" s="17"/>
      <c r="F166" s="17"/>
      <c r="G166" s="18"/>
      <c r="H166" s="17"/>
      <c r="I166" s="17"/>
      <c r="J166" s="18"/>
      <c r="K166" s="17"/>
      <c r="L166" s="17"/>
    </row>
    <row r="167" spans="1:12" ht="14.25">
      <c r="A167" s="17"/>
      <c r="B167" s="29"/>
      <c r="C167" s="29"/>
      <c r="D167" s="17"/>
      <c r="E167" s="17"/>
      <c r="F167" s="17"/>
      <c r="G167" s="18"/>
      <c r="H167" s="17"/>
      <c r="I167" s="17"/>
      <c r="J167" s="18"/>
      <c r="K167" s="17"/>
      <c r="L167" s="17"/>
    </row>
    <row r="168" spans="1:12" ht="14.25">
      <c r="A168" s="17"/>
      <c r="B168" s="29"/>
      <c r="C168" s="29"/>
      <c r="D168" s="17"/>
      <c r="E168" s="17"/>
      <c r="F168" s="17"/>
      <c r="G168" s="18"/>
      <c r="H168" s="17"/>
      <c r="I168" s="17"/>
      <c r="J168" s="18"/>
      <c r="K168" s="17"/>
      <c r="L168" s="17"/>
    </row>
    <row r="169" spans="1:12" ht="14.25">
      <c r="A169" s="17"/>
      <c r="B169" s="29"/>
      <c r="C169" s="29"/>
      <c r="D169" s="17"/>
      <c r="E169" s="17"/>
      <c r="F169" s="17"/>
      <c r="G169" s="18"/>
      <c r="H169" s="17"/>
      <c r="I169" s="17"/>
      <c r="J169" s="18"/>
      <c r="K169" s="17"/>
      <c r="L169" s="17"/>
    </row>
    <row r="170" spans="1:12" ht="14.25">
      <c r="A170" s="17"/>
      <c r="B170" s="29"/>
      <c r="C170" s="29"/>
      <c r="D170" s="17"/>
      <c r="E170" s="17"/>
      <c r="F170" s="17"/>
      <c r="G170" s="18"/>
      <c r="H170" s="17"/>
      <c r="I170" s="17"/>
      <c r="J170" s="18"/>
      <c r="K170" s="17"/>
      <c r="L170" s="17"/>
    </row>
    <row r="171" spans="1:12" ht="14.25">
      <c r="A171" s="17"/>
      <c r="B171" s="29"/>
      <c r="C171" s="29"/>
      <c r="D171" s="17"/>
      <c r="E171" s="17"/>
      <c r="F171" s="17"/>
      <c r="G171" s="18"/>
      <c r="H171" s="17"/>
      <c r="I171" s="17"/>
      <c r="J171" s="18"/>
      <c r="K171" s="17"/>
      <c r="L171" s="17"/>
    </row>
    <row r="172" spans="1:12" ht="14.25">
      <c r="A172" s="17"/>
      <c r="B172" s="29"/>
      <c r="C172" s="29"/>
      <c r="D172" s="17"/>
      <c r="E172" s="17"/>
      <c r="F172" s="17"/>
      <c r="G172" s="18"/>
      <c r="H172" s="17"/>
      <c r="I172" s="17"/>
      <c r="J172" s="18"/>
      <c r="K172" s="17"/>
      <c r="L172" s="17"/>
    </row>
    <row r="173" spans="1:12" ht="14.25">
      <c r="A173" s="17"/>
      <c r="B173" s="29"/>
      <c r="C173" s="29"/>
      <c r="D173" s="17"/>
      <c r="E173" s="17"/>
      <c r="F173" s="17"/>
      <c r="G173" s="18"/>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58">
    <cfRule type="cellIs" dxfId="22" priority="3" stopIfTrue="1" operator="lessThanOrEqual">
      <formula>-0.1</formula>
    </cfRule>
    <cfRule type="expression" dxfId="21" priority="4">
      <formula>AND(ISNUMBER(G4), G4&gt;=0.1)</formula>
    </cfRule>
  </conditionalFormatting>
  <conditionalFormatting sqref="J4:J158">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172"/>
  <sheetViews>
    <sheetView zoomScale="70" zoomScaleNormal="70" workbookViewId="0">
      <pane xSplit="2" ySplit="3" topLeftCell="C154" activePane="bottomRight" state="frozen"/>
      <selection pane="bottomRight" activeCell="A159" sqref="A159:XFD186"/>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51" t="str" cm="1">
        <f t="array" ref="A1">portfolio</f>
        <v>Generate Capital</v>
      </c>
      <c r="B1" s="151"/>
      <c r="C1" s="151"/>
      <c r="D1" s="151"/>
      <c r="E1" s="152" t="s">
        <v>1644</v>
      </c>
      <c r="F1" s="152"/>
      <c r="G1" s="152"/>
      <c r="H1" s="150" t="s">
        <v>1645</v>
      </c>
      <c r="I1" s="150"/>
      <c r="J1" s="150"/>
      <c r="K1" s="4"/>
      <c r="L1" s="4"/>
    </row>
    <row r="2" spans="1:12" ht="19.5" customHeight="1">
      <c r="A2" s="153" t="s">
        <v>2</v>
      </c>
      <c r="B2" s="153"/>
      <c r="C2" s="57"/>
      <c r="D2" s="5">
        <f>SUM(D4:D172)</f>
        <v>0</v>
      </c>
      <c r="E2" s="5">
        <f>SUM(E4:E100)</f>
        <v>0</v>
      </c>
      <c r="F2" s="5">
        <f>D2-E2</f>
        <v>0</v>
      </c>
      <c r="G2" s="6">
        <f>IFERROR(F2/E2, 0)</f>
        <v>0</v>
      </c>
      <c r="H2" s="5">
        <f>SUM(H4:H172)</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75">
      <c r="A4" s="28" t="str" cm="1">
        <f t="array" ref="A4:A158">Sites[Site]</f>
        <v>K026</v>
      </c>
      <c r="B4" s="25" t="str" cm="1">
        <f t="array" ref="B4:B158">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75">
      <c r="A5" s="26" t="str">
        <v>K041</v>
      </c>
      <c r="B5" s="27" t="str">
        <v>NY</v>
      </c>
      <c r="C5" s="27"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75">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37"/>
      <c r="L6" s="37"/>
    </row>
    <row r="7" spans="1:12" ht="15.75">
      <c r="A7" s="26" t="str">
        <v>K058</v>
      </c>
      <c r="B7" s="27" t="str">
        <v>NY</v>
      </c>
      <c r="C7" s="27" t="str">
        <f>Sites[[#This Row],[SOL'#]]</f>
        <v>SOL-10360</v>
      </c>
      <c r="D7" s="9"/>
      <c r="E7" s="14"/>
      <c r="F7" s="14" t="str">
        <f t="shared" si="0"/>
        <v/>
      </c>
      <c r="G7" s="15" t="str">
        <f t="shared" si="3"/>
        <v/>
      </c>
      <c r="H7" s="16"/>
      <c r="I7" s="16" t="str">
        <f t="shared" si="1"/>
        <v/>
      </c>
      <c r="J7" s="15" t="str">
        <f t="shared" si="2"/>
        <v/>
      </c>
      <c r="K7" s="38"/>
      <c r="L7" s="39"/>
    </row>
    <row r="8" spans="1:12" ht="15.75">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75">
      <c r="A9" s="26" t="str">
        <v>K152</v>
      </c>
      <c r="B9" s="27" t="str">
        <v>NY</v>
      </c>
      <c r="C9" s="27" t="str">
        <f>Sites[[#This Row],[SOL'#]]</f>
        <v>SOL-10362</v>
      </c>
      <c r="D9" s="9"/>
      <c r="E9" s="14"/>
      <c r="F9" s="14" t="str">
        <f t="shared" si="0"/>
        <v/>
      </c>
      <c r="G9" s="15" t="str">
        <f t="shared" si="3"/>
        <v/>
      </c>
      <c r="H9" s="16"/>
      <c r="I9" s="16" t="str">
        <f t="shared" si="1"/>
        <v/>
      </c>
      <c r="J9" s="15" t="str">
        <f t="shared" si="2"/>
        <v/>
      </c>
      <c r="K9" s="38"/>
      <c r="L9" s="39"/>
    </row>
    <row r="10" spans="1:12" ht="15.75">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75">
      <c r="A11" s="26" t="str">
        <v>K206</v>
      </c>
      <c r="B11" s="27" t="str">
        <v>NY</v>
      </c>
      <c r="C11" s="27" t="str">
        <f>Sites[[#This Row],[SOL'#]]</f>
        <v>SOL-10927</v>
      </c>
      <c r="D11" s="9"/>
      <c r="E11" s="14"/>
      <c r="F11" s="14" t="str">
        <f t="shared" si="0"/>
        <v/>
      </c>
      <c r="G11" s="15" t="str">
        <f t="shared" si="3"/>
        <v/>
      </c>
      <c r="H11" s="16"/>
      <c r="I11" s="16" t="str">
        <f t="shared" si="1"/>
        <v/>
      </c>
      <c r="J11" s="15" t="str">
        <f t="shared" si="2"/>
        <v/>
      </c>
      <c r="K11" s="38"/>
      <c r="L11" s="38"/>
    </row>
    <row r="12" spans="1:12" ht="15.75">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75">
      <c r="A13" s="26" t="str">
        <v>K269</v>
      </c>
      <c r="B13" s="27" t="str">
        <v>NY</v>
      </c>
      <c r="C13" s="27" t="str">
        <f>Sites[[#This Row],[SOL'#]]</f>
        <v>SOL-10366</v>
      </c>
      <c r="D13" s="9"/>
      <c r="E13" s="14"/>
      <c r="F13" s="14" t="str">
        <f t="shared" si="0"/>
        <v/>
      </c>
      <c r="G13" s="15" t="str">
        <f t="shared" si="3"/>
        <v/>
      </c>
      <c r="H13" s="16"/>
      <c r="I13" s="16" t="str">
        <f t="shared" si="1"/>
        <v/>
      </c>
      <c r="J13" s="15" t="str">
        <f t="shared" si="2"/>
        <v/>
      </c>
      <c r="K13" s="38"/>
      <c r="L13" s="39"/>
    </row>
    <row r="14" spans="1:12" ht="15.75">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75">
      <c r="A15" s="26" t="str">
        <v>K287</v>
      </c>
      <c r="B15" s="27" t="str">
        <v>NY</v>
      </c>
      <c r="C15" s="27" t="str">
        <f>Sites[[#This Row],[SOL'#]]</f>
        <v>SOL-10919</v>
      </c>
      <c r="D15" s="9"/>
      <c r="E15" s="14"/>
      <c r="F15" s="14" t="str">
        <f t="shared" si="0"/>
        <v/>
      </c>
      <c r="G15" s="15" t="str">
        <f t="shared" si="3"/>
        <v/>
      </c>
      <c r="H15" s="16"/>
      <c r="I15" s="16" t="str">
        <f t="shared" si="1"/>
        <v/>
      </c>
      <c r="J15" s="15" t="str">
        <f t="shared" si="2"/>
        <v/>
      </c>
      <c r="K15" s="38"/>
      <c r="L15" s="39"/>
    </row>
    <row r="16" spans="1:12" ht="15.75">
      <c r="A16" s="24" t="str">
        <v>K298</v>
      </c>
      <c r="B16" s="25" t="str">
        <v>NY</v>
      </c>
      <c r="C16" s="25" t="str">
        <f>Sites[[#This Row],[SOL'#]]</f>
        <v>SOL-10368</v>
      </c>
      <c r="D16" s="20"/>
      <c r="E16" s="10"/>
      <c r="F16" s="10" t="str">
        <f t="shared" si="0"/>
        <v/>
      </c>
      <c r="G16" s="11" t="str">
        <f t="shared" si="3"/>
        <v/>
      </c>
      <c r="H16" s="12"/>
      <c r="I16" s="12" t="str">
        <f t="shared" si="1"/>
        <v/>
      </c>
      <c r="J16" s="13" t="str">
        <f t="shared" si="2"/>
        <v/>
      </c>
      <c r="K16" s="37"/>
      <c r="L16" s="37"/>
    </row>
    <row r="17" spans="1:12" ht="15.75">
      <c r="A17" s="26" t="str">
        <v>K335</v>
      </c>
      <c r="B17" s="27" t="str">
        <v>NY</v>
      </c>
      <c r="C17" s="27" t="str">
        <f>Sites[[#This Row],[SOL'#]]</f>
        <v>SOL-10370</v>
      </c>
      <c r="D17" s="9"/>
      <c r="E17" s="14"/>
      <c r="F17" s="14" t="str">
        <f t="shared" si="0"/>
        <v/>
      </c>
      <c r="G17" s="15" t="str">
        <f t="shared" si="3"/>
        <v/>
      </c>
      <c r="H17" s="16"/>
      <c r="I17" s="16" t="str">
        <f t="shared" si="1"/>
        <v/>
      </c>
      <c r="J17" s="15" t="str">
        <f t="shared" si="2"/>
        <v/>
      </c>
      <c r="K17" s="38"/>
      <c r="L17" s="38"/>
    </row>
    <row r="18" spans="1:12" ht="12.75" customHeight="1">
      <c r="A18" s="24" t="str">
        <v>K345</v>
      </c>
      <c r="B18" s="25" t="str">
        <v>NY</v>
      </c>
      <c r="C18" s="25" t="str">
        <f>Sites[[#This Row],[SOL'#]]</f>
        <v>SOL-10920</v>
      </c>
      <c r="D18" s="20"/>
      <c r="E18" s="10"/>
      <c r="F18" s="10" t="str">
        <f t="shared" si="0"/>
        <v/>
      </c>
      <c r="G18" s="11" t="str">
        <f t="shared" ref="G18:G49" si="4">IFERROR(F18/E18, "")</f>
        <v/>
      </c>
      <c r="H18" s="12"/>
      <c r="I18" s="12" t="str">
        <f t="shared" si="1"/>
        <v/>
      </c>
      <c r="J18" s="13" t="str">
        <f t="shared" si="2"/>
        <v/>
      </c>
      <c r="K18" s="37"/>
      <c r="L18" s="37"/>
    </row>
    <row r="19" spans="1:12" ht="15.75">
      <c r="A19" s="26" t="str">
        <v>K445</v>
      </c>
      <c r="B19" s="27" t="str">
        <v>NY</v>
      </c>
      <c r="C19" s="27" t="str">
        <f>Sites[[#This Row],[SOL'#]]</f>
        <v>SOL-10373</v>
      </c>
      <c r="D19" s="9"/>
      <c r="E19" s="14"/>
      <c r="F19" s="14" t="str">
        <f t="shared" si="0"/>
        <v/>
      </c>
      <c r="G19" s="15" t="str">
        <f t="shared" si="4"/>
        <v/>
      </c>
      <c r="H19" s="16"/>
      <c r="I19" s="16" t="str">
        <f t="shared" si="1"/>
        <v/>
      </c>
      <c r="J19" s="15" t="str">
        <f t="shared" si="2"/>
        <v/>
      </c>
      <c r="K19" s="38"/>
      <c r="L19" s="39"/>
    </row>
    <row r="20" spans="1:12" ht="15.75">
      <c r="A20" s="24" t="str">
        <v>K495</v>
      </c>
      <c r="B20" s="25" t="str">
        <v>NY</v>
      </c>
      <c r="C20" s="25" t="str">
        <f>Sites[[#This Row],[SOL'#]]</f>
        <v>SOL-10374</v>
      </c>
      <c r="D20" s="20"/>
      <c r="E20" s="10"/>
      <c r="F20" s="10" t="str">
        <f t="shared" si="0"/>
        <v/>
      </c>
      <c r="G20" s="11" t="str">
        <f t="shared" si="4"/>
        <v/>
      </c>
      <c r="H20" s="12"/>
      <c r="I20" s="12" t="str">
        <f t="shared" si="1"/>
        <v/>
      </c>
      <c r="J20" s="13" t="str">
        <f t="shared" si="2"/>
        <v/>
      </c>
      <c r="K20" s="37"/>
      <c r="L20" s="37"/>
    </row>
    <row r="21" spans="1:12" ht="15.75">
      <c r="A21" s="26" t="str">
        <v>M020</v>
      </c>
      <c r="B21" s="27" t="str">
        <v>NY</v>
      </c>
      <c r="C21" s="27" t="str">
        <f>Sites[[#This Row],[SOL'#]]</f>
        <v>SOL-10380</v>
      </c>
      <c r="D21" s="9"/>
      <c r="E21" s="14"/>
      <c r="F21" s="14" t="str">
        <f t="shared" si="0"/>
        <v/>
      </c>
      <c r="G21" s="15" t="str">
        <f t="shared" si="4"/>
        <v/>
      </c>
      <c r="H21" s="16"/>
      <c r="I21" s="16" t="str">
        <f t="shared" si="1"/>
        <v/>
      </c>
      <c r="J21" s="15" t="str">
        <f t="shared" si="2"/>
        <v/>
      </c>
      <c r="K21" s="38"/>
      <c r="L21" s="38"/>
    </row>
    <row r="22" spans="1:12" ht="15.75">
      <c r="A22" s="24" t="str">
        <v>M092</v>
      </c>
      <c r="B22" s="25" t="str">
        <v>NY</v>
      </c>
      <c r="C22" s="25" t="str">
        <f>Sites[[#This Row],[SOL'#]]</f>
        <v>SOL-10383</v>
      </c>
      <c r="D22" s="20"/>
      <c r="E22" s="10"/>
      <c r="F22" s="10" t="str">
        <f t="shared" si="0"/>
        <v/>
      </c>
      <c r="G22" s="11" t="str">
        <f t="shared" si="4"/>
        <v/>
      </c>
      <c r="H22" s="12"/>
      <c r="I22" s="12" t="str">
        <f t="shared" si="1"/>
        <v/>
      </c>
      <c r="J22" s="13" t="str">
        <f t="shared" si="2"/>
        <v/>
      </c>
      <c r="K22" s="37"/>
      <c r="L22" s="37"/>
    </row>
    <row r="23" spans="1:12" ht="15.75">
      <c r="A23" s="26" t="str">
        <v>M143</v>
      </c>
      <c r="B23" s="27" t="str">
        <v>NY</v>
      </c>
      <c r="C23" s="27" t="str">
        <f>Sites[[#This Row],[SOL'#]]</f>
        <v>SOL-10384</v>
      </c>
      <c r="D23" s="9"/>
      <c r="E23" s="14"/>
      <c r="F23" s="14" t="str">
        <f t="shared" si="0"/>
        <v/>
      </c>
      <c r="G23" s="15" t="str">
        <f t="shared" si="4"/>
        <v/>
      </c>
      <c r="H23" s="16"/>
      <c r="I23" s="16" t="str">
        <f t="shared" si="1"/>
        <v/>
      </c>
      <c r="J23" s="15" t="str">
        <f t="shared" si="2"/>
        <v/>
      </c>
      <c r="K23" s="38"/>
      <c r="L23" s="39"/>
    </row>
    <row r="24" spans="1:12" ht="15.75">
      <c r="A24" s="24" t="str">
        <v>M144</v>
      </c>
      <c r="B24" s="25" t="str">
        <v>NY</v>
      </c>
      <c r="C24" s="25" t="str">
        <f>Sites[[#This Row],[SOL'#]]</f>
        <v>SOL-10385</v>
      </c>
      <c r="D24" s="20"/>
      <c r="E24" s="10"/>
      <c r="F24" s="10" t="str">
        <f t="shared" si="0"/>
        <v/>
      </c>
      <c r="G24" s="11" t="str">
        <f t="shared" si="4"/>
        <v/>
      </c>
      <c r="H24" s="12"/>
      <c r="I24" s="12" t="str">
        <f t="shared" si="1"/>
        <v/>
      </c>
      <c r="J24" s="13" t="str">
        <f t="shared" si="2"/>
        <v/>
      </c>
      <c r="K24" s="37"/>
      <c r="L24" s="37"/>
    </row>
    <row r="25" spans="1:12" ht="35.25" customHeight="1">
      <c r="A25" s="26" t="str">
        <v>M167</v>
      </c>
      <c r="B25" s="27" t="str">
        <v>NY</v>
      </c>
      <c r="C25" s="27" t="str">
        <f>Sites[[#This Row],[SOL'#]]</f>
        <v>SOL-10386</v>
      </c>
      <c r="D25" s="9"/>
      <c r="E25" s="14"/>
      <c r="F25" s="14" t="str">
        <f t="shared" si="0"/>
        <v/>
      </c>
      <c r="G25" s="15" t="str">
        <f t="shared" si="4"/>
        <v/>
      </c>
      <c r="H25" s="16"/>
      <c r="I25" s="16" t="str">
        <f t="shared" si="1"/>
        <v/>
      </c>
      <c r="J25" s="15" t="str">
        <f t="shared" si="2"/>
        <v/>
      </c>
      <c r="K25" s="38"/>
      <c r="L25" s="51"/>
    </row>
    <row r="26" spans="1:12" ht="15.75">
      <c r="A26" s="24" t="str">
        <v>M188</v>
      </c>
      <c r="B26" s="25" t="str">
        <v>NY</v>
      </c>
      <c r="C26" s="25" t="str">
        <f>Sites[[#This Row],[SOL'#]]</f>
        <v>SOL-10387</v>
      </c>
      <c r="D26" s="20"/>
      <c r="E26" s="10"/>
      <c r="F26" s="10" t="str">
        <f t="shared" si="0"/>
        <v/>
      </c>
      <c r="G26" s="11" t="str">
        <f t="shared" si="4"/>
        <v/>
      </c>
      <c r="H26" s="12"/>
      <c r="I26" s="12" t="str">
        <f t="shared" si="1"/>
        <v/>
      </c>
      <c r="J26" s="13" t="str">
        <f t="shared" si="2"/>
        <v/>
      </c>
      <c r="K26" s="37"/>
      <c r="L26" s="37"/>
    </row>
    <row r="27" spans="1:12" ht="15.75">
      <c r="A27" s="26" t="str">
        <v>EMHC</v>
      </c>
      <c r="B27" s="27" t="str">
        <v>NY</v>
      </c>
      <c r="C27" s="27" t="str">
        <f>Sites[[#This Row],[SOL'#]]</f>
        <v>SOL-10351</v>
      </c>
      <c r="D27" s="9"/>
      <c r="E27" s="14"/>
      <c r="F27" s="14" t="str">
        <f t="shared" si="0"/>
        <v/>
      </c>
      <c r="G27" s="15" t="str">
        <f t="shared" si="4"/>
        <v/>
      </c>
      <c r="H27" s="16"/>
      <c r="I27" s="16" t="str">
        <f t="shared" si="1"/>
        <v/>
      </c>
      <c r="J27" s="15" t="str">
        <f t="shared" si="2"/>
        <v/>
      </c>
      <c r="K27" s="38"/>
      <c r="L27" s="39"/>
    </row>
    <row r="28" spans="1:12" ht="15.75">
      <c r="A28" s="24" t="str">
        <v>Q008</v>
      </c>
      <c r="B28" s="25" t="str">
        <v>NY</v>
      </c>
      <c r="C28" s="25" t="str">
        <f>Sites[[#This Row],[SOL'#]]</f>
        <v>SOL-10397</v>
      </c>
      <c r="D28" s="20"/>
      <c r="E28" s="10"/>
      <c r="F28" s="10" t="str">
        <f t="shared" si="0"/>
        <v/>
      </c>
      <c r="G28" s="11" t="str">
        <f t="shared" si="4"/>
        <v/>
      </c>
      <c r="H28" s="12"/>
      <c r="I28" s="12" t="str">
        <f t="shared" si="1"/>
        <v/>
      </c>
      <c r="J28" s="13" t="str">
        <f t="shared" si="2"/>
        <v/>
      </c>
      <c r="K28" s="37"/>
      <c r="L28" s="37"/>
    </row>
    <row r="29" spans="1:12" ht="15.75">
      <c r="A29" s="26" t="str">
        <v>Q018</v>
      </c>
      <c r="B29" s="27" t="str">
        <v>NY</v>
      </c>
      <c r="C29" s="27" t="str">
        <f>Sites[[#This Row],[SOL'#]]</f>
        <v>SOL-10398</v>
      </c>
      <c r="D29" s="9"/>
      <c r="E29" s="14"/>
      <c r="F29" s="14" t="str">
        <f t="shared" si="0"/>
        <v/>
      </c>
      <c r="G29" s="15" t="str">
        <f t="shared" si="4"/>
        <v/>
      </c>
      <c r="H29" s="16"/>
      <c r="I29" s="16" t="str">
        <f t="shared" si="1"/>
        <v/>
      </c>
      <c r="J29" s="15" t="str">
        <f t="shared" si="2"/>
        <v/>
      </c>
      <c r="K29" s="38"/>
      <c r="L29" s="38"/>
    </row>
    <row r="30" spans="1:12" ht="15.75">
      <c r="A30" s="24" t="str">
        <v>Q021</v>
      </c>
      <c r="B30" s="25" t="str">
        <v>NY</v>
      </c>
      <c r="C30" s="25" t="str">
        <f>Sites[[#This Row],[SOL'#]]</f>
        <v>SOL-10399</v>
      </c>
      <c r="D30" s="20"/>
      <c r="E30" s="10"/>
      <c r="F30" s="10" t="str">
        <f t="shared" si="0"/>
        <v/>
      </c>
      <c r="G30" s="11" t="str">
        <f t="shared" si="4"/>
        <v/>
      </c>
      <c r="H30" s="12"/>
      <c r="I30" s="12" t="str">
        <f t="shared" si="1"/>
        <v/>
      </c>
      <c r="J30" s="13" t="str">
        <f t="shared" si="2"/>
        <v/>
      </c>
      <c r="K30" s="37"/>
      <c r="L30" s="37"/>
    </row>
    <row r="31" spans="1:12" ht="15.75">
      <c r="A31" s="26" t="str">
        <v>Q025</v>
      </c>
      <c r="B31" s="27" t="str">
        <v>NY</v>
      </c>
      <c r="C31" s="27" t="str">
        <f>Sites[[#This Row],[SOL'#]]</f>
        <v>SOL-10400</v>
      </c>
      <c r="D31" s="9"/>
      <c r="E31" s="14"/>
      <c r="F31" s="14" t="str">
        <f t="shared" si="0"/>
        <v/>
      </c>
      <c r="G31" s="15" t="str">
        <f t="shared" si="4"/>
        <v/>
      </c>
      <c r="H31" s="16"/>
      <c r="I31" s="16" t="str">
        <f t="shared" si="1"/>
        <v/>
      </c>
      <c r="J31" s="15" t="str">
        <f t="shared" si="2"/>
        <v/>
      </c>
      <c r="K31" s="38"/>
      <c r="L31" s="39"/>
    </row>
    <row r="32" spans="1:12" ht="15.75">
      <c r="A32" s="24" t="str">
        <v>Q074</v>
      </c>
      <c r="B32" s="25" t="str">
        <v>NY</v>
      </c>
      <c r="C32" s="25" t="str">
        <f>Sites[[#This Row],[SOL'#]]</f>
        <v>SOL-10402</v>
      </c>
      <c r="D32" s="20"/>
      <c r="E32" s="10"/>
      <c r="F32" s="10" t="str">
        <f t="shared" si="0"/>
        <v/>
      </c>
      <c r="G32" s="11" t="str">
        <f t="shared" si="4"/>
        <v/>
      </c>
      <c r="H32" s="12"/>
      <c r="I32" s="12" t="str">
        <f t="shared" si="1"/>
        <v/>
      </c>
      <c r="J32" s="13" t="str">
        <f t="shared" si="2"/>
        <v/>
      </c>
      <c r="K32" s="37"/>
      <c r="L32" s="37"/>
    </row>
    <row r="33" spans="1:12" ht="15.75">
      <c r="A33" s="26" t="str">
        <v>Q115</v>
      </c>
      <c r="B33" s="27" t="str">
        <v>NY</v>
      </c>
      <c r="C33" s="27" t="str">
        <f>Sites[[#This Row],[SOL'#]]</f>
        <v>SOL-10872</v>
      </c>
      <c r="D33" s="9"/>
      <c r="E33" s="14"/>
      <c r="F33" s="14" t="str">
        <f t="shared" si="0"/>
        <v/>
      </c>
      <c r="G33" s="15" t="str">
        <f t="shared" si="4"/>
        <v/>
      </c>
      <c r="H33" s="16"/>
      <c r="I33" s="16" t="str">
        <f t="shared" si="1"/>
        <v/>
      </c>
      <c r="J33" s="15" t="str">
        <f t="shared" si="2"/>
        <v/>
      </c>
      <c r="K33" s="38"/>
      <c r="L33" s="39"/>
    </row>
    <row r="34" spans="1:12" ht="15.75">
      <c r="A34" s="24" t="str">
        <v>Q139</v>
      </c>
      <c r="B34" s="25" t="str">
        <v>NY</v>
      </c>
      <c r="C34" s="25" t="str">
        <f>Sites[[#This Row],[SOL'#]]</f>
        <v>SOL-10403</v>
      </c>
      <c r="D34" s="20"/>
      <c r="E34" s="10"/>
      <c r="F34" s="10" t="str">
        <f t="shared" si="0"/>
        <v/>
      </c>
      <c r="G34" s="11" t="str">
        <f t="shared" si="4"/>
        <v/>
      </c>
      <c r="H34" s="12"/>
      <c r="I34" s="12" t="str">
        <f t="shared" si="1"/>
        <v/>
      </c>
      <c r="J34" s="13" t="str">
        <f t="shared" si="2"/>
        <v/>
      </c>
      <c r="K34" s="37"/>
      <c r="L34" s="37"/>
    </row>
    <row r="35" spans="1:12" ht="15.75">
      <c r="A35" s="26" t="str">
        <v>Q157</v>
      </c>
      <c r="B35" s="27" t="str">
        <v>NY</v>
      </c>
      <c r="C35" s="27" t="str">
        <f>Sites[[#This Row],[SOL'#]]</f>
        <v>SOL-10404</v>
      </c>
      <c r="D35" s="9"/>
      <c r="E35" s="14"/>
      <c r="F35" s="14" t="str">
        <f t="shared" si="0"/>
        <v/>
      </c>
      <c r="G35" s="15" t="str">
        <f t="shared" si="4"/>
        <v/>
      </c>
      <c r="H35" s="16"/>
      <c r="I35" s="16" t="str">
        <f t="shared" si="1"/>
        <v/>
      </c>
      <c r="J35" s="15" t="str">
        <f t="shared" si="2"/>
        <v/>
      </c>
      <c r="K35" s="38"/>
      <c r="L35" s="39"/>
    </row>
    <row r="36" spans="1:12" ht="15.75">
      <c r="A36" s="24" t="str">
        <v>Q192</v>
      </c>
      <c r="B36" s="25" t="str">
        <v>NY</v>
      </c>
      <c r="C36" s="25" t="str">
        <f>Sites[[#This Row],[SOL'#]]</f>
        <v>SOL-10406</v>
      </c>
      <c r="D36" s="54"/>
      <c r="E36" s="10"/>
      <c r="F36" s="10" t="str">
        <f t="shared" si="0"/>
        <v/>
      </c>
      <c r="G36" s="55" t="str">
        <f t="shared" si="4"/>
        <v/>
      </c>
      <c r="H36" s="67"/>
      <c r="I36" s="67" t="str">
        <f t="shared" si="1"/>
        <v/>
      </c>
      <c r="J36" s="64" t="str">
        <f t="shared" si="2"/>
        <v/>
      </c>
      <c r="K36" s="56"/>
      <c r="L36" s="56"/>
    </row>
    <row r="37" spans="1:12" ht="178.5" customHeight="1">
      <c r="A37" s="26" t="str">
        <v>Q210</v>
      </c>
      <c r="B37" s="27" t="str">
        <v>NY</v>
      </c>
      <c r="C37" s="27" t="str">
        <f>Sites[[#This Row],[SOL'#]]</f>
        <v>SOL-10407</v>
      </c>
      <c r="D37" s="9"/>
      <c r="E37" s="14"/>
      <c r="F37" s="14" t="str">
        <f t="shared" si="0"/>
        <v/>
      </c>
      <c r="G37" s="15" t="str">
        <f t="shared" si="4"/>
        <v/>
      </c>
      <c r="H37" s="16"/>
      <c r="I37" s="16" t="str">
        <f t="shared" si="1"/>
        <v/>
      </c>
      <c r="J37" s="15" t="str">
        <f t="shared" si="2"/>
        <v/>
      </c>
      <c r="K37" s="38"/>
      <c r="L37" s="50"/>
    </row>
    <row r="38" spans="1:12" ht="15.75">
      <c r="A38" s="24" t="str">
        <v>Q229</v>
      </c>
      <c r="B38" s="25" t="str">
        <v>NY</v>
      </c>
      <c r="C38" s="25" t="str">
        <f>Sites[[#This Row],[SOL'#]]</f>
        <v>SOL-10408</v>
      </c>
      <c r="D38" s="54"/>
      <c r="E38" s="10"/>
      <c r="F38" s="10" t="str">
        <f t="shared" si="0"/>
        <v/>
      </c>
      <c r="G38" s="55" t="str">
        <f t="shared" si="4"/>
        <v/>
      </c>
      <c r="H38" s="67"/>
      <c r="I38" s="67" t="str">
        <f t="shared" si="1"/>
        <v/>
      </c>
      <c r="J38" s="64" t="str">
        <f t="shared" si="2"/>
        <v/>
      </c>
      <c r="K38" s="56"/>
      <c r="L38" s="56"/>
    </row>
    <row r="39" spans="1:12" ht="15.75">
      <c r="A39" s="26" t="str">
        <v>Q231</v>
      </c>
      <c r="B39" s="27" t="str">
        <v>NY</v>
      </c>
      <c r="C39" s="27" t="str">
        <f>Sites[[#This Row],[SOL'#]]</f>
        <v>SOL-10870</v>
      </c>
      <c r="D39" s="9"/>
      <c r="E39" s="14"/>
      <c r="F39" s="14" t="str">
        <f t="shared" si="0"/>
        <v/>
      </c>
      <c r="G39" s="15" t="str">
        <f t="shared" si="4"/>
        <v/>
      </c>
      <c r="H39" s="16"/>
      <c r="I39" s="16" t="str">
        <f t="shared" si="1"/>
        <v/>
      </c>
      <c r="J39" s="15" t="str">
        <f t="shared" si="2"/>
        <v/>
      </c>
      <c r="K39" s="38"/>
      <c r="L39" s="39"/>
    </row>
    <row r="40" spans="1:12" ht="15.75">
      <c r="A40" s="24" t="str">
        <v>Q405</v>
      </c>
      <c r="B40" s="25" t="str">
        <v>NY</v>
      </c>
      <c r="C40" s="25" t="str">
        <f>Sites[[#This Row],[SOL'#]]</f>
        <v>SOL-10409</v>
      </c>
      <c r="D40" s="54"/>
      <c r="E40" s="10"/>
      <c r="F40" s="10" t="str">
        <f t="shared" si="0"/>
        <v/>
      </c>
      <c r="G40" s="55" t="str">
        <f t="shared" si="4"/>
        <v/>
      </c>
      <c r="H40" s="67"/>
      <c r="I40" s="67" t="str">
        <f t="shared" si="1"/>
        <v/>
      </c>
      <c r="J40" s="64" t="str">
        <f t="shared" si="2"/>
        <v/>
      </c>
      <c r="K40" s="56"/>
      <c r="L40" s="56"/>
    </row>
    <row r="41" spans="1:12" ht="15.75">
      <c r="A41" s="26" t="str">
        <v>Q435</v>
      </c>
      <c r="B41" s="27" t="str">
        <v>NY</v>
      </c>
      <c r="C41" s="27" t="str">
        <f>Sites[[#This Row],[SOL'#]]</f>
        <v>SOL-10923</v>
      </c>
      <c r="D41" s="9"/>
      <c r="E41" s="14"/>
      <c r="F41" s="14" t="str">
        <f t="shared" si="0"/>
        <v/>
      </c>
      <c r="G41" s="15" t="str">
        <f t="shared" si="4"/>
        <v/>
      </c>
      <c r="H41" s="16"/>
      <c r="I41" s="16" t="str">
        <f t="shared" si="1"/>
        <v/>
      </c>
      <c r="J41" s="15" t="str">
        <f t="shared" si="2"/>
        <v/>
      </c>
      <c r="K41" s="38"/>
      <c r="L41" s="38"/>
    </row>
    <row r="42" spans="1:12" ht="15.75">
      <c r="A42" s="24" t="str">
        <v>Q485</v>
      </c>
      <c r="B42" s="25" t="str">
        <v>NY</v>
      </c>
      <c r="C42" s="25" t="str">
        <f>Sites[[#This Row],[SOL'#]]</f>
        <v>SOL-10869</v>
      </c>
      <c r="D42" s="54"/>
      <c r="E42" s="10"/>
      <c r="F42" s="10" t="str">
        <f t="shared" si="0"/>
        <v/>
      </c>
      <c r="G42" s="55" t="str">
        <f t="shared" si="4"/>
        <v/>
      </c>
      <c r="H42" s="67"/>
      <c r="I42" s="67" t="str">
        <f t="shared" si="1"/>
        <v/>
      </c>
      <c r="J42" s="64" t="str">
        <f t="shared" si="2"/>
        <v/>
      </c>
      <c r="K42" s="56"/>
      <c r="L42" s="56"/>
    </row>
    <row r="43" spans="1:12" ht="15.75">
      <c r="A43" s="26" t="str">
        <v>Q490</v>
      </c>
      <c r="B43" s="27" t="str">
        <v>NY</v>
      </c>
      <c r="C43" s="27" t="str">
        <f>Sites[[#This Row],[SOL'#]]</f>
        <v>SOL-10411</v>
      </c>
      <c r="D43" s="9"/>
      <c r="E43" s="14"/>
      <c r="F43" s="14" t="str">
        <f t="shared" si="0"/>
        <v/>
      </c>
      <c r="G43" s="15" t="str">
        <f t="shared" si="4"/>
        <v/>
      </c>
      <c r="H43" s="16"/>
      <c r="I43" s="16" t="str">
        <f t="shared" si="1"/>
        <v/>
      </c>
      <c r="J43" s="15" t="str">
        <f t="shared" si="2"/>
        <v/>
      </c>
      <c r="K43" s="38"/>
      <c r="L43" s="39"/>
    </row>
    <row r="44" spans="1:12" ht="15.75">
      <c r="A44" s="24" t="str">
        <v>Q620</v>
      </c>
      <c r="B44" s="25" t="str">
        <v>NY</v>
      </c>
      <c r="C44" s="25" t="str">
        <f>Sites[[#This Row],[SOL'#]]</f>
        <v>SOL-10867</v>
      </c>
      <c r="D44" s="54"/>
      <c r="E44" s="10"/>
      <c r="F44" s="10" t="str">
        <f t="shared" si="0"/>
        <v/>
      </c>
      <c r="G44" s="55" t="str">
        <f t="shared" si="4"/>
        <v/>
      </c>
      <c r="H44" s="67"/>
      <c r="I44" s="67" t="str">
        <f t="shared" si="1"/>
        <v/>
      </c>
      <c r="J44" s="64" t="str">
        <f t="shared" si="2"/>
        <v/>
      </c>
      <c r="K44" s="56"/>
      <c r="L44" s="56"/>
    </row>
    <row r="45" spans="1:12" ht="15.75">
      <c r="A45" s="26" t="str">
        <v>QMOA</v>
      </c>
      <c r="B45" s="27" t="str">
        <v>NY</v>
      </c>
      <c r="C45" s="27" t="str">
        <f>Sites[[#This Row],[SOL'#]]</f>
        <v>SOL-10415</v>
      </c>
      <c r="D45" s="9"/>
      <c r="E45" s="14"/>
      <c r="F45" s="14" t="str">
        <f t="shared" si="0"/>
        <v/>
      </c>
      <c r="G45" s="15" t="str">
        <f t="shared" si="4"/>
        <v/>
      </c>
      <c r="H45" s="16"/>
      <c r="I45" s="16" t="str">
        <f t="shared" si="1"/>
        <v/>
      </c>
      <c r="J45" s="15" t="str">
        <f t="shared" si="2"/>
        <v/>
      </c>
      <c r="K45" s="38"/>
      <c r="L45" s="39"/>
    </row>
    <row r="46" spans="1:12" ht="15.75">
      <c r="A46" s="24" t="str">
        <v>X024</v>
      </c>
      <c r="B46" s="25" t="str">
        <v>NY</v>
      </c>
      <c r="C46" s="25" t="str">
        <f>Sites[[#This Row],[SOL'#]]</f>
        <v>SOL-10419</v>
      </c>
      <c r="D46" s="54"/>
      <c r="E46" s="10"/>
      <c r="F46" s="10" t="str">
        <f t="shared" si="0"/>
        <v/>
      </c>
      <c r="G46" s="55" t="str">
        <f t="shared" si="4"/>
        <v/>
      </c>
      <c r="H46" s="67"/>
      <c r="I46" s="67" t="str">
        <f t="shared" si="1"/>
        <v/>
      </c>
      <c r="J46" s="64" t="str">
        <f t="shared" si="2"/>
        <v/>
      </c>
      <c r="K46" s="56"/>
      <c r="L46" s="56"/>
    </row>
    <row r="47" spans="1:12" ht="15.75">
      <c r="A47" s="26" t="str">
        <v>X026</v>
      </c>
      <c r="B47" s="27" t="str">
        <v>NY</v>
      </c>
      <c r="C47" s="27" t="str">
        <f>Sites[[#This Row],[SOL'#]]</f>
        <v>SOL-10420</v>
      </c>
      <c r="D47" s="9"/>
      <c r="E47" s="14"/>
      <c r="F47" s="14" t="str">
        <f t="shared" si="0"/>
        <v/>
      </c>
      <c r="G47" s="15" t="str">
        <f t="shared" si="4"/>
        <v/>
      </c>
      <c r="H47" s="16"/>
      <c r="I47" s="16" t="str">
        <f t="shared" si="1"/>
        <v/>
      </c>
      <c r="J47" s="15" t="str">
        <f t="shared" si="2"/>
        <v/>
      </c>
      <c r="K47" s="38"/>
      <c r="L47" s="39"/>
    </row>
    <row r="48" spans="1:12" ht="15.75">
      <c r="A48" s="24" t="str">
        <v>X090</v>
      </c>
      <c r="B48" s="25" t="str">
        <v>NY</v>
      </c>
      <c r="C48" s="25" t="str">
        <f>Sites[[#This Row],[SOL'#]]</f>
        <v>SOL-10925</v>
      </c>
      <c r="D48" s="54"/>
      <c r="E48" s="10"/>
      <c r="F48" s="10" t="str">
        <f t="shared" si="0"/>
        <v/>
      </c>
      <c r="G48" s="55" t="str">
        <f t="shared" si="4"/>
        <v/>
      </c>
      <c r="H48" s="67"/>
      <c r="I48" s="67" t="str">
        <f t="shared" si="1"/>
        <v/>
      </c>
      <c r="J48" s="64" t="str">
        <f t="shared" si="2"/>
        <v/>
      </c>
      <c r="K48" s="56"/>
      <c r="L48" s="56"/>
    </row>
    <row r="49" spans="1:12" ht="15.75">
      <c r="A49" s="26" t="str">
        <v>X117</v>
      </c>
      <c r="B49" s="27" t="str">
        <v>NY</v>
      </c>
      <c r="C49" s="27" t="str">
        <f>Sites[[#This Row],[SOL'#]]</f>
        <v>SOL-10422</v>
      </c>
      <c r="D49" s="9"/>
      <c r="E49" s="14"/>
      <c r="F49" s="14" t="str">
        <f t="shared" si="0"/>
        <v/>
      </c>
      <c r="G49" s="15" t="str">
        <f t="shared" si="4"/>
        <v/>
      </c>
      <c r="H49" s="16"/>
      <c r="I49" s="16" t="str">
        <f t="shared" si="1"/>
        <v/>
      </c>
      <c r="J49" s="15" t="str">
        <f t="shared" si="2"/>
        <v/>
      </c>
      <c r="K49" s="38"/>
      <c r="L49" s="39"/>
    </row>
    <row r="50" spans="1:12" ht="15.75">
      <c r="A50" s="24" t="str">
        <v>X125</v>
      </c>
      <c r="B50" s="25" t="str">
        <v>NY</v>
      </c>
      <c r="C50" s="25" t="str">
        <f>Sites[[#This Row],[SOL'#]]</f>
        <v>SOL-10423</v>
      </c>
      <c r="D50" s="54"/>
      <c r="E50" s="10"/>
      <c r="F50" s="10" t="str">
        <f t="shared" si="0"/>
        <v/>
      </c>
      <c r="G50" s="55" t="str">
        <f t="shared" ref="G50:G81" si="5">IFERROR(F50/E50, "")</f>
        <v/>
      </c>
      <c r="H50" s="67"/>
      <c r="I50" s="67" t="str">
        <f t="shared" si="1"/>
        <v/>
      </c>
      <c r="J50" s="64" t="str">
        <f t="shared" si="2"/>
        <v/>
      </c>
      <c r="K50" s="56"/>
      <c r="L50" s="56"/>
    </row>
    <row r="51" spans="1:12" ht="15.75">
      <c r="A51" s="26" t="str">
        <v>X134</v>
      </c>
      <c r="B51" s="27" t="str">
        <v>NY</v>
      </c>
      <c r="C51" s="27" t="str">
        <f>Sites[[#This Row],[SOL'#]]</f>
        <v>SOL-10424</v>
      </c>
      <c r="D51" s="9"/>
      <c r="E51" s="14"/>
      <c r="F51" s="14" t="str">
        <f t="shared" si="0"/>
        <v/>
      </c>
      <c r="G51" s="15" t="str">
        <f t="shared" si="5"/>
        <v/>
      </c>
      <c r="H51" s="16"/>
      <c r="I51" s="16" t="str">
        <f t="shared" si="1"/>
        <v/>
      </c>
      <c r="J51" s="15" t="str">
        <f t="shared" si="2"/>
        <v/>
      </c>
      <c r="K51" s="38"/>
      <c r="L51" s="39"/>
    </row>
    <row r="52" spans="1:12" ht="15.75">
      <c r="A52" s="24" t="str">
        <v>X135</v>
      </c>
      <c r="B52" s="25" t="str">
        <v>NY</v>
      </c>
      <c r="C52" s="25" t="str">
        <f>Sites[[#This Row],[SOL'#]]</f>
        <v>SOL-10425</v>
      </c>
      <c r="D52" s="54"/>
      <c r="E52" s="10"/>
      <c r="F52" s="10" t="str">
        <f t="shared" si="0"/>
        <v/>
      </c>
      <c r="G52" s="55" t="str">
        <f t="shared" si="5"/>
        <v/>
      </c>
      <c r="H52" s="67"/>
      <c r="I52" s="67" t="str">
        <f t="shared" si="1"/>
        <v/>
      </c>
      <c r="J52" s="64" t="str">
        <f t="shared" si="2"/>
        <v/>
      </c>
      <c r="K52" s="56"/>
      <c r="L52" s="56"/>
    </row>
    <row r="53" spans="1:12" ht="15.75">
      <c r="A53" s="26" t="str">
        <v>X139 JHS 222</v>
      </c>
      <c r="B53" s="27" t="str">
        <v>NY</v>
      </c>
      <c r="C53" s="27" t="str">
        <f>Sites[[#This Row],[SOL'#]]</f>
        <v>SOL-10426</v>
      </c>
      <c r="D53" s="9"/>
      <c r="E53" s="14"/>
      <c r="F53" s="14" t="str">
        <f t="shared" si="0"/>
        <v/>
      </c>
      <c r="G53" s="15" t="str">
        <f t="shared" si="5"/>
        <v/>
      </c>
      <c r="H53" s="16"/>
      <c r="I53" s="16" t="str">
        <f t="shared" si="1"/>
        <v/>
      </c>
      <c r="J53" s="15" t="str">
        <f t="shared" si="2"/>
        <v/>
      </c>
      <c r="K53" s="38"/>
      <c r="L53" s="38"/>
    </row>
    <row r="54" spans="1:12" ht="15.75">
      <c r="A54" s="24" t="str">
        <v>X140</v>
      </c>
      <c r="B54" s="25" t="str">
        <v>NY</v>
      </c>
      <c r="C54" s="25" t="str">
        <f>Sites[[#This Row],[SOL'#]]</f>
        <v>SOL-10926</v>
      </c>
      <c r="D54" s="54"/>
      <c r="E54" s="10"/>
      <c r="F54" s="10" t="str">
        <f t="shared" si="0"/>
        <v/>
      </c>
      <c r="G54" s="55" t="str">
        <f t="shared" si="5"/>
        <v/>
      </c>
      <c r="H54" s="67"/>
      <c r="I54" s="67" t="str">
        <f t="shared" si="1"/>
        <v/>
      </c>
      <c r="J54" s="64" t="str">
        <f t="shared" si="2"/>
        <v/>
      </c>
      <c r="K54" s="56"/>
      <c r="L54" s="56"/>
    </row>
    <row r="55" spans="1:12" ht="15.75">
      <c r="A55" s="26" t="str">
        <v>X166</v>
      </c>
      <c r="B55" s="27" t="str">
        <v>NY</v>
      </c>
      <c r="C55" s="27" t="str">
        <f>Sites[[#This Row],[SOL'#]]</f>
        <v>SOL-10427</v>
      </c>
      <c r="D55" s="9"/>
      <c r="E55" s="14"/>
      <c r="F55" s="14" t="str">
        <f t="shared" si="0"/>
        <v/>
      </c>
      <c r="G55" s="15" t="str">
        <f t="shared" si="5"/>
        <v/>
      </c>
      <c r="H55" s="16"/>
      <c r="I55" s="16" t="str">
        <f t="shared" si="1"/>
        <v/>
      </c>
      <c r="J55" s="15" t="str">
        <f t="shared" si="2"/>
        <v/>
      </c>
      <c r="K55" s="38"/>
      <c r="L55" s="85"/>
    </row>
    <row r="56" spans="1:12" ht="15.75">
      <c r="A56" s="24" t="str">
        <v>Murphy</v>
      </c>
      <c r="B56" s="25" t="str">
        <v>MN</v>
      </c>
      <c r="C56" s="25" t="str">
        <f>Sites[[#This Row],[SOL'#]]</f>
        <v>SOL-10094</v>
      </c>
      <c r="D56" s="54"/>
      <c r="E56" s="10"/>
      <c r="F56" s="10" t="str">
        <f t="shared" si="0"/>
        <v/>
      </c>
      <c r="G56" s="55" t="str">
        <f t="shared" si="5"/>
        <v/>
      </c>
      <c r="H56" s="67"/>
      <c r="I56" s="67" t="str">
        <f t="shared" si="1"/>
        <v/>
      </c>
      <c r="J56" s="64" t="str">
        <f t="shared" si="2"/>
        <v/>
      </c>
      <c r="K56" s="56"/>
      <c r="L56" s="56"/>
    </row>
    <row r="57" spans="1:12" ht="15.75">
      <c r="A57" s="26" t="str">
        <v>Terning</v>
      </c>
      <c r="B57" s="27" t="str">
        <v>MN</v>
      </c>
      <c r="C57" s="27" t="str">
        <f>Sites[[#This Row],[SOL'#]]</f>
        <v>SOL-10093</v>
      </c>
      <c r="D57" s="9"/>
      <c r="E57" s="14"/>
      <c r="F57" s="14" t="str">
        <f t="shared" si="0"/>
        <v/>
      </c>
      <c r="G57" s="15" t="str">
        <f t="shared" si="5"/>
        <v/>
      </c>
      <c r="H57" s="16"/>
      <c r="I57" s="16" t="str">
        <f t="shared" si="1"/>
        <v/>
      </c>
      <c r="J57" s="15" t="str">
        <f t="shared" si="2"/>
        <v/>
      </c>
      <c r="K57" s="38"/>
      <c r="L57" s="39"/>
    </row>
    <row r="58" spans="1:12" ht="15.75">
      <c r="A58" s="24" t="str">
        <v>Boas Road 04</v>
      </c>
      <c r="B58" s="25" t="str">
        <v>NY</v>
      </c>
      <c r="C58" s="25" t="str">
        <f>Sites[[#This Row],[SOL'#]]</f>
        <v>SOL-10908</v>
      </c>
      <c r="D58" s="54"/>
      <c r="E58" s="10"/>
      <c r="F58" s="10" t="str">
        <f t="shared" si="0"/>
        <v/>
      </c>
      <c r="G58" s="55" t="str">
        <f t="shared" si="5"/>
        <v/>
      </c>
      <c r="H58" s="67"/>
      <c r="I58" s="67" t="str">
        <f t="shared" si="1"/>
        <v/>
      </c>
      <c r="J58" s="64" t="str">
        <f t="shared" si="2"/>
        <v/>
      </c>
      <c r="K58" s="56"/>
      <c r="L58" s="56"/>
    </row>
    <row r="59" spans="1:12" ht="15.75">
      <c r="A59" s="26" t="str">
        <v>Kelly Bridge Farm</v>
      </c>
      <c r="B59" s="27" t="str">
        <v>NY</v>
      </c>
      <c r="C59" s="27" t="str">
        <f>Sites[[#This Row],[SOL'#]]</f>
        <v>SOL-10911</v>
      </c>
      <c r="D59" s="9"/>
      <c r="E59" s="14"/>
      <c r="F59" s="14" t="str">
        <f t="shared" si="0"/>
        <v/>
      </c>
      <c r="G59" s="15" t="str">
        <f t="shared" si="5"/>
        <v/>
      </c>
      <c r="H59" s="16"/>
      <c r="I59" s="16" t="str">
        <f t="shared" si="1"/>
        <v/>
      </c>
      <c r="J59" s="15" t="str">
        <f t="shared" si="2"/>
        <v/>
      </c>
      <c r="K59" s="38"/>
      <c r="L59" s="39"/>
    </row>
    <row r="60" spans="1:12" ht="15.75">
      <c r="A60" s="24" t="str">
        <v>Pool Brook Road</v>
      </c>
      <c r="B60" s="25" t="str">
        <v>NY</v>
      </c>
      <c r="C60" s="25" t="str">
        <f>Sites[[#This Row],[SOL'#]]</f>
        <v>SOL-10909</v>
      </c>
      <c r="D60" s="54"/>
      <c r="E60" s="10"/>
      <c r="F60" s="10" t="str">
        <f>IF(AND(ISNUMBER(D60),ISNUMBER(E60)), D60-E60, "")</f>
        <v/>
      </c>
      <c r="G60" s="55" t="str">
        <f t="shared" si="5"/>
        <v/>
      </c>
      <c r="H60" s="67"/>
      <c r="I60" s="67" t="str">
        <f t="shared" si="1"/>
        <v/>
      </c>
      <c r="J60" s="64" t="str">
        <f t="shared" si="2"/>
        <v/>
      </c>
      <c r="K60" s="56"/>
      <c r="L60" s="56"/>
    </row>
    <row r="61" spans="1:12" ht="15.75">
      <c r="A61" s="26" t="str">
        <v>Sackett Lake</v>
      </c>
      <c r="B61" s="27" t="str">
        <v>NY</v>
      </c>
      <c r="C61" s="27" t="str">
        <f>Sites[[#This Row],[SOL'#]]</f>
        <v>SOL-10910</v>
      </c>
      <c r="D61" s="9"/>
      <c r="E61" s="14"/>
      <c r="F61" s="14" t="str">
        <f t="shared" si="0"/>
        <v/>
      </c>
      <c r="G61" s="15" t="str">
        <f t="shared" si="5"/>
        <v/>
      </c>
      <c r="H61" s="16"/>
      <c r="I61" s="16" t="str">
        <f t="shared" si="1"/>
        <v/>
      </c>
      <c r="J61" s="15" t="str">
        <f t="shared" si="2"/>
        <v/>
      </c>
      <c r="K61" s="38"/>
      <c r="L61" s="39"/>
    </row>
    <row r="62" spans="1:12" ht="15.75">
      <c r="A62" s="24" t="str">
        <v>Burritt Road</v>
      </c>
      <c r="B62" s="25" t="str">
        <v>NY</v>
      </c>
      <c r="C62" s="25" t="str">
        <f>Sites[[#This Row],[SOL'#]]</f>
        <v>SOL-10913</v>
      </c>
      <c r="D62" s="54"/>
      <c r="E62" s="10"/>
      <c r="F62" s="10" t="str">
        <f t="shared" si="0"/>
        <v/>
      </c>
      <c r="G62" s="55" t="str">
        <f t="shared" si="5"/>
        <v/>
      </c>
      <c r="H62" s="67"/>
      <c r="I62" s="67" t="str">
        <f t="shared" si="1"/>
        <v/>
      </c>
      <c r="J62" s="64" t="str">
        <f t="shared" si="2"/>
        <v/>
      </c>
      <c r="K62" s="56"/>
      <c r="L62" s="56"/>
    </row>
    <row r="63" spans="1:12" ht="15.75">
      <c r="A63" s="26" t="str">
        <v>Villa Roma 1</v>
      </c>
      <c r="B63" s="27" t="str">
        <v>NY</v>
      </c>
      <c r="C63" s="27" t="str">
        <f>Sites[[#This Row],[SOL'#]]</f>
        <v>SOL-10914</v>
      </c>
      <c r="D63" s="66"/>
      <c r="E63" s="14"/>
      <c r="F63" s="14" t="str">
        <f t="shared" si="0"/>
        <v/>
      </c>
      <c r="G63" s="68" t="str">
        <f t="shared" si="5"/>
        <v/>
      </c>
      <c r="H63" s="69"/>
      <c r="I63" s="69" t="str">
        <f t="shared" si="1"/>
        <v/>
      </c>
      <c r="J63" s="68" t="str">
        <f t="shared" si="2"/>
        <v/>
      </c>
      <c r="K63" s="38"/>
      <c r="L63" s="39"/>
    </row>
    <row r="64" spans="1:12" ht="15.75">
      <c r="A64" s="24" t="str">
        <v>Villa Roma 2</v>
      </c>
      <c r="B64" s="25" t="str">
        <v>NY</v>
      </c>
      <c r="C64" s="25" t="str">
        <f>Sites[[#This Row],[SOL'#]]</f>
        <v>SOL-10915</v>
      </c>
      <c r="D64" s="54"/>
      <c r="E64" s="10"/>
      <c r="F64" s="10" t="str">
        <f t="shared" si="0"/>
        <v/>
      </c>
      <c r="G64" s="55" t="str">
        <f t="shared" si="5"/>
        <v/>
      </c>
      <c r="H64" s="67"/>
      <c r="I64" s="67" t="str">
        <f t="shared" si="1"/>
        <v/>
      </c>
      <c r="J64" s="64" t="str">
        <f t="shared" si="2"/>
        <v/>
      </c>
      <c r="K64" s="56"/>
      <c r="L64" s="56"/>
    </row>
    <row r="65" spans="1:12" ht="15.75">
      <c r="A65" s="26" t="str">
        <v>Washington 1</v>
      </c>
      <c r="B65" s="27" t="str">
        <v>NY</v>
      </c>
      <c r="C65" s="27" t="str">
        <f>Sites[[#This Row],[SOL'#]]</f>
        <v>SOL-10912</v>
      </c>
      <c r="D65" s="9"/>
      <c r="E65" s="14"/>
      <c r="F65" s="14" t="str">
        <f t="shared" si="0"/>
        <v/>
      </c>
      <c r="G65" s="15" t="str">
        <f t="shared" si="5"/>
        <v/>
      </c>
      <c r="H65" s="16"/>
      <c r="I65" s="16" t="str">
        <f t="shared" si="1"/>
        <v/>
      </c>
      <c r="J65" s="15" t="str">
        <f t="shared" si="2"/>
        <v/>
      </c>
      <c r="K65" s="38"/>
      <c r="L65" s="38"/>
    </row>
    <row r="66" spans="1:12" ht="15.75">
      <c r="A66" s="24" t="str">
        <v>Washington 3</v>
      </c>
      <c r="B66" s="25" t="str">
        <v>NY</v>
      </c>
      <c r="C66" s="25" t="str">
        <f>Sites[[#This Row],[SOL'#]]</f>
        <v>SOL-10828</v>
      </c>
      <c r="D66" s="20"/>
      <c r="E66" s="10"/>
      <c r="F66" s="10" t="str">
        <f t="shared" si="0"/>
        <v/>
      </c>
      <c r="G66" s="55" t="str">
        <f t="shared" si="5"/>
        <v/>
      </c>
      <c r="H66" s="12"/>
      <c r="I66" s="67" t="str">
        <f t="shared" si="1"/>
        <v/>
      </c>
      <c r="J66" s="64" t="str">
        <f t="shared" si="2"/>
        <v/>
      </c>
      <c r="K66" s="37"/>
      <c r="L66" s="37"/>
    </row>
    <row r="67" spans="1:12" ht="15.75">
      <c r="A67" s="26" t="str">
        <v>Washington 4</v>
      </c>
      <c r="B67" s="27" t="str">
        <v>NY</v>
      </c>
      <c r="C67" s="27" t="str">
        <f>Sites[[#This Row],[SOL'#]]</f>
        <v>SOL-10829</v>
      </c>
      <c r="D67" s="9"/>
      <c r="E67" s="14"/>
      <c r="F67" s="14" t="str">
        <f t="shared" si="0"/>
        <v/>
      </c>
      <c r="G67" s="15" t="str">
        <f t="shared" si="5"/>
        <v/>
      </c>
      <c r="H67" s="16"/>
      <c r="I67" s="16" t="str">
        <f t="shared" si="1"/>
        <v/>
      </c>
      <c r="J67" s="15" t="str">
        <f t="shared" si="2"/>
        <v/>
      </c>
      <c r="K67" s="38"/>
      <c r="L67" s="39"/>
    </row>
    <row r="68" spans="1:12" ht="15.75">
      <c r="A68" s="24" t="str">
        <v>Big Tree</v>
      </c>
      <c r="B68" s="25" t="str">
        <v>NY</v>
      </c>
      <c r="C68" s="25" t="str">
        <f>Sites[[#This Row],[SOL'#]]</f>
        <v>SOL-10966</v>
      </c>
      <c r="D68" s="20"/>
      <c r="E68" s="10"/>
      <c r="F68" s="10" t="str">
        <f t="shared" si="0"/>
        <v/>
      </c>
      <c r="G68" s="55" t="str">
        <f t="shared" si="5"/>
        <v/>
      </c>
      <c r="H68" s="12"/>
      <c r="I68" s="67" t="str">
        <f t="shared" si="1"/>
        <v/>
      </c>
      <c r="J68" s="64" t="str">
        <f t="shared" si="2"/>
        <v/>
      </c>
      <c r="K68" s="37"/>
      <c r="L68" s="37"/>
    </row>
    <row r="69" spans="1:12" ht="15.75">
      <c r="A69" s="26" t="str">
        <v>Canoga</v>
      </c>
      <c r="B69" s="27" t="str">
        <v>NY</v>
      </c>
      <c r="C69" s="27" t="str">
        <f>Sites[[#This Row],[SOL'#]]</f>
        <v>SOL-10965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75">
      <c r="A70" s="24" t="str">
        <v>County Route 84</v>
      </c>
      <c r="B70" s="25" t="str">
        <v>NY</v>
      </c>
      <c r="C70" s="25" t="str">
        <f>Sites[[#This Row],[SOL'#]]</f>
        <v>SOL-10967</v>
      </c>
      <c r="D70" s="20"/>
      <c r="E70" s="10"/>
      <c r="F70" s="10" t="str">
        <f t="shared" si="6"/>
        <v/>
      </c>
      <c r="G70" s="55" t="str">
        <f t="shared" si="5"/>
        <v/>
      </c>
      <c r="H70" s="12"/>
      <c r="I70" s="67" t="str">
        <f t="shared" si="7"/>
        <v/>
      </c>
      <c r="J70" s="64" t="str">
        <f t="shared" si="8"/>
        <v/>
      </c>
      <c r="K70" s="37"/>
      <c r="L70" s="37"/>
    </row>
    <row r="71" spans="1:12" ht="15.75">
      <c r="A71" s="26" t="str">
        <v>Donati</v>
      </c>
      <c r="B71" s="27" t="str">
        <v>NY</v>
      </c>
      <c r="C71" s="27" t="str">
        <f>Sites[[#This Row],[SOL'#]]</f>
        <v>SOL-10968</v>
      </c>
      <c r="D71" s="9"/>
      <c r="E71" s="14"/>
      <c r="F71" s="14" t="str">
        <f t="shared" si="6"/>
        <v/>
      </c>
      <c r="G71" s="15" t="str">
        <f t="shared" si="5"/>
        <v/>
      </c>
      <c r="H71" s="16"/>
      <c r="I71" s="16" t="str">
        <f t="shared" si="7"/>
        <v/>
      </c>
      <c r="J71" s="15" t="str">
        <f t="shared" si="8"/>
        <v/>
      </c>
      <c r="K71" s="38"/>
      <c r="L71" s="39"/>
    </row>
    <row r="72" spans="1:12" ht="15.75">
      <c r="A72" s="24" t="str">
        <v>Henrietta</v>
      </c>
      <c r="B72" s="25" t="str">
        <v>NY</v>
      </c>
      <c r="C72" s="25" t="str">
        <f>Sites[[#This Row],[SOL'#]]</f>
        <v>SOL-10972</v>
      </c>
      <c r="D72" s="20"/>
      <c r="E72" s="10"/>
      <c r="F72" s="10" t="str">
        <f t="shared" si="6"/>
        <v/>
      </c>
      <c r="G72" s="55" t="str">
        <f t="shared" si="5"/>
        <v/>
      </c>
      <c r="H72" s="12"/>
      <c r="I72" s="67" t="str">
        <f t="shared" si="7"/>
        <v/>
      </c>
      <c r="J72" s="64" t="str">
        <f t="shared" si="8"/>
        <v/>
      </c>
      <c r="K72" s="37"/>
      <c r="L72" s="37"/>
    </row>
    <row r="73" spans="1:12" ht="15.75">
      <c r="A73" s="26" t="str">
        <v>NY 70</v>
      </c>
      <c r="B73" s="27" t="str">
        <v>NY</v>
      </c>
      <c r="C73" s="27" t="str">
        <f>Sites[[#This Row],[SOL'#]]</f>
        <v>SOL-10970</v>
      </c>
      <c r="D73" s="9"/>
      <c r="E73" s="14"/>
      <c r="F73" s="14" t="str">
        <f t="shared" si="6"/>
        <v/>
      </c>
      <c r="G73" s="15" t="str">
        <f t="shared" si="5"/>
        <v/>
      </c>
      <c r="H73" s="16"/>
      <c r="I73" s="16" t="str">
        <f t="shared" si="7"/>
        <v/>
      </c>
      <c r="J73" s="15" t="str">
        <f t="shared" si="8"/>
        <v/>
      </c>
      <c r="K73" s="38"/>
      <c r="L73" s="38"/>
    </row>
    <row r="74" spans="1:12" ht="15.75">
      <c r="A74" s="24" t="str">
        <v>Reid</v>
      </c>
      <c r="B74" s="25" t="str">
        <v>NY</v>
      </c>
      <c r="C74" s="25" t="str">
        <f>Sites[[#This Row],[SOL'#]]</f>
        <v>SOL-10991</v>
      </c>
      <c r="D74" s="20"/>
      <c r="E74" s="10"/>
      <c r="F74" s="10" t="str">
        <f t="shared" si="6"/>
        <v/>
      </c>
      <c r="G74" s="55" t="str">
        <f t="shared" si="5"/>
        <v/>
      </c>
      <c r="H74" s="12"/>
      <c r="I74" s="67" t="str">
        <f t="shared" si="7"/>
        <v/>
      </c>
      <c r="J74" s="64" t="str">
        <f t="shared" si="8"/>
        <v/>
      </c>
      <c r="K74" s="37"/>
      <c r="L74" s="37"/>
    </row>
    <row r="75" spans="1:12" ht="15.75">
      <c r="A75" s="26" t="str">
        <v>Sangolqui</v>
      </c>
      <c r="B75" s="27" t="str">
        <v>NY</v>
      </c>
      <c r="C75" s="27" t="str">
        <f>Sites[[#This Row],[SOL'#]]</f>
        <v>SOL-10975</v>
      </c>
      <c r="D75" s="9"/>
      <c r="E75" s="14"/>
      <c r="F75" s="14" t="str">
        <f t="shared" si="6"/>
        <v/>
      </c>
      <c r="G75" s="15" t="str">
        <f t="shared" si="5"/>
        <v/>
      </c>
      <c r="H75" s="16"/>
      <c r="I75" s="16" t="str">
        <f t="shared" si="7"/>
        <v/>
      </c>
      <c r="J75" s="15" t="str">
        <f t="shared" si="8"/>
        <v/>
      </c>
      <c r="K75" s="38"/>
      <c r="L75" s="39"/>
    </row>
    <row r="76" spans="1:12" ht="15.75">
      <c r="A76" s="24" t="str">
        <v>State Highway 17B</v>
      </c>
      <c r="B76" s="25" t="str">
        <v>NY</v>
      </c>
      <c r="C76" s="25" t="str">
        <f>Sites[[#This Row],[SOL'#]]</f>
        <v>SOL-10988</v>
      </c>
      <c r="D76" s="20"/>
      <c r="E76" s="10"/>
      <c r="F76" s="10" t="str">
        <f t="shared" si="6"/>
        <v/>
      </c>
      <c r="G76" s="55" t="str">
        <f t="shared" si="5"/>
        <v/>
      </c>
      <c r="H76" s="12"/>
      <c r="I76" s="67" t="str">
        <f t="shared" si="7"/>
        <v/>
      </c>
      <c r="J76" s="64" t="str">
        <f t="shared" si="8"/>
        <v/>
      </c>
      <c r="K76" s="37"/>
      <c r="L76" s="37"/>
    </row>
    <row r="77" spans="1:12" ht="15.75">
      <c r="A77" s="26" t="str">
        <v>State Route 14A</v>
      </c>
      <c r="B77" s="27" t="str">
        <v>NY</v>
      </c>
      <c r="C77" s="27" t="str">
        <f>Sites[[#This Row],[SOL'#]]</f>
        <v>SOL-10997</v>
      </c>
      <c r="D77" s="9"/>
      <c r="E77" s="14"/>
      <c r="F77" s="14" t="str">
        <f t="shared" si="6"/>
        <v/>
      </c>
      <c r="G77" s="15" t="str">
        <f t="shared" si="5"/>
        <v/>
      </c>
      <c r="H77" s="16"/>
      <c r="I77" s="16" t="str">
        <f t="shared" si="7"/>
        <v/>
      </c>
      <c r="J77" s="15" t="str">
        <f t="shared" si="8"/>
        <v/>
      </c>
      <c r="K77" s="38"/>
      <c r="L77" s="38"/>
    </row>
    <row r="78" spans="1:12" ht="15.75">
      <c r="A78" s="24" t="str">
        <v>West Creek</v>
      </c>
      <c r="B78" s="25" t="str">
        <v>NY</v>
      </c>
      <c r="C78" s="25" t="str">
        <f>Sites[[#This Row],[SOL'#]]</f>
        <v>SOL-10995</v>
      </c>
      <c r="D78" s="20"/>
      <c r="E78" s="10"/>
      <c r="F78" s="10" t="str">
        <f t="shared" si="6"/>
        <v/>
      </c>
      <c r="G78" s="55" t="str">
        <f t="shared" si="5"/>
        <v/>
      </c>
      <c r="H78" s="12"/>
      <c r="I78" s="67" t="str">
        <f t="shared" si="7"/>
        <v/>
      </c>
      <c r="J78" s="64" t="str">
        <f t="shared" si="8"/>
        <v/>
      </c>
      <c r="K78" s="37"/>
      <c r="L78" s="37"/>
    </row>
    <row r="79" spans="1:12" ht="15.75">
      <c r="A79" s="26" t="str">
        <v>Wildflower</v>
      </c>
      <c r="B79" s="27" t="str">
        <v>NY</v>
      </c>
      <c r="C79" s="27" t="str">
        <f>Sites[[#This Row],[SOL'#]]</f>
        <v>SOL-10982</v>
      </c>
      <c r="D79" s="9"/>
      <c r="E79" s="14"/>
      <c r="F79" s="14" t="str">
        <f t="shared" si="6"/>
        <v/>
      </c>
      <c r="G79" s="15" t="str">
        <f t="shared" si="5"/>
        <v/>
      </c>
      <c r="H79" s="16"/>
      <c r="I79" s="16" t="str">
        <f t="shared" si="7"/>
        <v/>
      </c>
      <c r="J79" s="15" t="str">
        <f t="shared" si="8"/>
        <v/>
      </c>
      <c r="K79" s="38"/>
      <c r="L79" s="39"/>
    </row>
    <row r="80" spans="1:12" ht="44.25" customHeight="1">
      <c r="A80" s="24" t="str">
        <v>Glen Mary 1</v>
      </c>
      <c r="B80" s="25" t="str">
        <v>NY</v>
      </c>
      <c r="C80" s="25" t="str">
        <f>Sites[[#This Row],[SOL'#]]</f>
        <v>SOL-10993</v>
      </c>
      <c r="D80" s="20"/>
      <c r="E80" s="10"/>
      <c r="F80" s="10" t="str">
        <f t="shared" si="6"/>
        <v/>
      </c>
      <c r="G80" s="55" t="str">
        <f t="shared" si="5"/>
        <v/>
      </c>
      <c r="H80" s="12"/>
      <c r="I80" s="67" t="str">
        <f t="shared" si="7"/>
        <v/>
      </c>
      <c r="J80" s="64" t="str">
        <f t="shared" si="8"/>
        <v/>
      </c>
      <c r="K80" s="37"/>
      <c r="L80" s="37"/>
    </row>
    <row r="81" spans="1:12" ht="47.25" customHeight="1">
      <c r="A81" s="26" t="str">
        <v>Glen Mary 2</v>
      </c>
      <c r="B81" s="27" t="str">
        <v>NY</v>
      </c>
      <c r="C81" s="27" t="str">
        <f>Sites[[#This Row],[SOL'#]]</f>
        <v>SOL-10994</v>
      </c>
      <c r="D81" s="9"/>
      <c r="E81" s="14"/>
      <c r="F81" s="14" t="str">
        <f t="shared" si="6"/>
        <v/>
      </c>
      <c r="G81" s="15" t="str">
        <f t="shared" si="5"/>
        <v/>
      </c>
      <c r="H81" s="16"/>
      <c r="I81" s="16" t="str">
        <f t="shared" si="7"/>
        <v/>
      </c>
      <c r="J81" s="15" t="str">
        <f t="shared" si="8"/>
        <v/>
      </c>
      <c r="K81" s="38"/>
      <c r="L81" s="86"/>
    </row>
    <row r="82" spans="1:12" ht="15.75">
      <c r="A82" s="24" t="str">
        <v>Telegraph 1</v>
      </c>
      <c r="B82" s="25" t="str">
        <v>NY</v>
      </c>
      <c r="C82" s="25" t="str">
        <f>Sites[[#This Row],[SOL'#]]</f>
        <v>SOL-11003</v>
      </c>
      <c r="D82" s="54"/>
      <c r="E82" s="10"/>
      <c r="F82" s="10" t="str">
        <f t="shared" si="6"/>
        <v/>
      </c>
      <c r="G82" s="55" t="str">
        <f t="shared" ref="G82:G113" si="9">IFERROR(F82/E82, "")</f>
        <v/>
      </c>
      <c r="H82" s="67"/>
      <c r="I82" s="67" t="str">
        <f t="shared" si="7"/>
        <v/>
      </c>
      <c r="J82" s="64" t="str">
        <f t="shared" si="8"/>
        <v/>
      </c>
      <c r="K82" s="56"/>
      <c r="L82" s="56"/>
    </row>
    <row r="83" spans="1:12" ht="60.75" customHeight="1">
      <c r="A83" s="26" t="str">
        <v>Telegraph 2</v>
      </c>
      <c r="B83" s="27" t="str">
        <v>NY</v>
      </c>
      <c r="C83" s="27" t="str">
        <f>Sites[[#This Row],[SOL'#]]</f>
        <v>SOL-11004</v>
      </c>
      <c r="D83" s="9"/>
      <c r="E83" s="14"/>
      <c r="F83" s="14" t="str">
        <f t="shared" si="6"/>
        <v/>
      </c>
      <c r="G83" s="15" t="str">
        <f t="shared" si="9"/>
        <v/>
      </c>
      <c r="H83" s="16"/>
      <c r="I83" s="16" t="str">
        <f t="shared" si="7"/>
        <v/>
      </c>
      <c r="J83" s="15" t="str">
        <f t="shared" si="8"/>
        <v/>
      </c>
      <c r="K83" s="50"/>
      <c r="L83" s="86"/>
    </row>
    <row r="84" spans="1:12" ht="15.75">
      <c r="A84" s="24" t="str">
        <v>Cafferty Hill</v>
      </c>
      <c r="B84" s="25" t="str">
        <v>NY</v>
      </c>
      <c r="C84" s="25" t="str">
        <f>Sites[[#This Row],[SOL'#]]</f>
        <v>SOL-10996</v>
      </c>
      <c r="D84" s="54"/>
      <c r="E84" s="10"/>
      <c r="F84" s="10" t="str">
        <f t="shared" si="6"/>
        <v/>
      </c>
      <c r="G84" s="55" t="str">
        <f t="shared" si="9"/>
        <v/>
      </c>
      <c r="H84" s="67"/>
      <c r="I84" s="67" t="str">
        <f t="shared" si="7"/>
        <v/>
      </c>
      <c r="J84" s="64" t="str">
        <f t="shared" si="8"/>
        <v/>
      </c>
      <c r="K84" s="56"/>
      <c r="L84" s="56"/>
    </row>
    <row r="85" spans="1:12" ht="15.75">
      <c r="A85" s="26" t="str">
        <v>Dunkleman</v>
      </c>
      <c r="B85" s="27" t="str">
        <v>NY</v>
      </c>
      <c r="C85" s="27" t="str">
        <f>Sites[[#This Row],[SOL'#]]</f>
        <v>SOL-11008</v>
      </c>
      <c r="D85" s="9"/>
      <c r="E85" s="14"/>
      <c r="F85" s="14" t="str">
        <f t="shared" si="6"/>
        <v/>
      </c>
      <c r="G85" s="15" t="str">
        <f t="shared" si="9"/>
        <v/>
      </c>
      <c r="H85" s="16"/>
      <c r="I85" s="16" t="str">
        <f t="shared" si="7"/>
        <v/>
      </c>
      <c r="J85" s="15" t="str">
        <f t="shared" si="8"/>
        <v/>
      </c>
      <c r="K85" s="38"/>
      <c r="L85" s="39"/>
    </row>
    <row r="86" spans="1:12" ht="15.75">
      <c r="A86" s="24" t="str">
        <v>Route 19 1</v>
      </c>
      <c r="B86" s="25" t="str">
        <v>NY</v>
      </c>
      <c r="C86" s="25" t="str">
        <f>Sites[[#This Row],[SOL'#]]</f>
        <v>SOL-11001</v>
      </c>
      <c r="D86" s="54"/>
      <c r="E86" s="10"/>
      <c r="F86" s="10" t="str">
        <f t="shared" si="6"/>
        <v/>
      </c>
      <c r="G86" s="55" t="str">
        <f t="shared" si="9"/>
        <v/>
      </c>
      <c r="H86" s="67"/>
      <c r="I86" s="67" t="str">
        <f t="shared" si="7"/>
        <v/>
      </c>
      <c r="J86" s="64" t="str">
        <f t="shared" si="8"/>
        <v/>
      </c>
      <c r="K86" s="56"/>
      <c r="L86" s="56"/>
    </row>
    <row r="87" spans="1:12" ht="39" customHeight="1">
      <c r="A87" s="26" t="str">
        <v>Route 19 2</v>
      </c>
      <c r="B87" s="27" t="str">
        <v>NY</v>
      </c>
      <c r="C87" s="27" t="str">
        <f>Sites[[#This Row],[SOL'#]]</f>
        <v>SOL-11002</v>
      </c>
      <c r="D87" s="9"/>
      <c r="E87" s="14"/>
      <c r="F87" s="14" t="str">
        <f t="shared" si="6"/>
        <v/>
      </c>
      <c r="G87" s="15" t="str">
        <f t="shared" si="9"/>
        <v/>
      </c>
      <c r="H87" s="16"/>
      <c r="I87" s="16" t="str">
        <f t="shared" si="7"/>
        <v/>
      </c>
      <c r="J87" s="15" t="str">
        <f t="shared" si="8"/>
        <v/>
      </c>
      <c r="K87" s="38"/>
      <c r="L87" s="85"/>
    </row>
    <row r="88" spans="1:12" ht="15.75">
      <c r="A88" s="24" t="str">
        <v>Yellow Mills 1</v>
      </c>
      <c r="B88" s="25" t="str">
        <v>NY</v>
      </c>
      <c r="C88" s="25" t="str">
        <f>Sites[[#This Row],[SOL'#]]</f>
        <v>SOL-11006</v>
      </c>
      <c r="D88" s="20"/>
      <c r="E88" s="10"/>
      <c r="F88" s="10" t="str">
        <f t="shared" si="6"/>
        <v/>
      </c>
      <c r="G88" s="55" t="str">
        <f t="shared" si="9"/>
        <v/>
      </c>
      <c r="H88" s="12"/>
      <c r="I88" s="67" t="str">
        <f t="shared" si="7"/>
        <v/>
      </c>
      <c r="J88" s="64" t="str">
        <f t="shared" si="8"/>
        <v/>
      </c>
      <c r="K88" s="37"/>
      <c r="L88" s="37"/>
    </row>
    <row r="89" spans="1:12" ht="15.75">
      <c r="A89" s="26" t="str">
        <v>Yellow Mills 2</v>
      </c>
      <c r="B89" s="27" t="str">
        <v>NY</v>
      </c>
      <c r="C89" s="27" t="str">
        <f>Sites[[#This Row],[SOL'#]]</f>
        <v>SOL-11005</v>
      </c>
      <c r="D89" s="9"/>
      <c r="E89" s="14"/>
      <c r="F89" s="14" t="str">
        <f t="shared" si="6"/>
        <v/>
      </c>
      <c r="G89" s="15" t="str">
        <f t="shared" si="9"/>
        <v/>
      </c>
      <c r="H89" s="16"/>
      <c r="I89" s="16" t="str">
        <f t="shared" si="7"/>
        <v/>
      </c>
      <c r="J89" s="15" t="str">
        <f t="shared" si="8"/>
        <v/>
      </c>
      <c r="K89" s="38"/>
      <c r="L89" s="38"/>
    </row>
    <row r="90" spans="1:12" ht="15.75">
      <c r="A90" s="24" t="str">
        <v>Yellow Mills 3</v>
      </c>
      <c r="B90" s="25" t="str">
        <v>NY</v>
      </c>
      <c r="C90" s="25" t="str">
        <f>Sites[[#This Row],[SOL'#]]</f>
        <v>SOL-11007</v>
      </c>
      <c r="D90" s="54"/>
      <c r="E90" s="10"/>
      <c r="F90" s="10" t="str">
        <f t="shared" si="6"/>
        <v/>
      </c>
      <c r="G90" s="55" t="str">
        <f t="shared" si="9"/>
        <v/>
      </c>
      <c r="H90" s="67"/>
      <c r="I90" s="67" t="str">
        <f t="shared" si="7"/>
        <v/>
      </c>
      <c r="J90" s="64" t="str">
        <f t="shared" si="8"/>
        <v/>
      </c>
      <c r="K90" s="56"/>
      <c r="L90" s="56"/>
    </row>
    <row r="91" spans="1:12" ht="15.75">
      <c r="A91" s="26" t="str">
        <v>Catskill</v>
      </c>
      <c r="B91" s="27" t="str">
        <v>NY</v>
      </c>
      <c r="C91" s="27" t="str">
        <f>Sites[[#This Row],[SOL'#]]</f>
        <v>SOL-11021</v>
      </c>
      <c r="D91" s="9"/>
      <c r="E91" s="14"/>
      <c r="F91" s="14" t="str">
        <f t="shared" si="6"/>
        <v/>
      </c>
      <c r="G91" s="15" t="str">
        <f t="shared" si="9"/>
        <v/>
      </c>
      <c r="H91" s="16"/>
      <c r="I91" s="16" t="str">
        <f t="shared" si="7"/>
        <v/>
      </c>
      <c r="J91" s="15" t="str">
        <f t="shared" si="8"/>
        <v/>
      </c>
      <c r="K91" s="38"/>
      <c r="L91" s="38"/>
    </row>
    <row r="92" spans="1:12" ht="15.75">
      <c r="A92" s="24" t="str">
        <v>Eddy Ridge</v>
      </c>
      <c r="B92" s="25" t="str">
        <v>NY</v>
      </c>
      <c r="C92" s="25" t="str">
        <f>Sites[[#This Row],[SOL'#]]</f>
        <v>SOL-11054</v>
      </c>
      <c r="D92" s="20"/>
      <c r="E92" s="10"/>
      <c r="F92" s="10" t="str">
        <f t="shared" si="6"/>
        <v/>
      </c>
      <c r="G92" s="55" t="str">
        <f t="shared" si="9"/>
        <v/>
      </c>
      <c r="H92" s="12"/>
      <c r="I92" s="67" t="str">
        <f t="shared" si="7"/>
        <v/>
      </c>
      <c r="J92" s="64" t="str">
        <f t="shared" si="8"/>
        <v/>
      </c>
      <c r="K92" s="37"/>
      <c r="L92" s="37"/>
    </row>
    <row r="93" spans="1:12" ht="45" customHeight="1">
      <c r="A93" s="26" t="str">
        <v>Ridgeway #1</v>
      </c>
      <c r="B93" s="27" t="str">
        <v>NY</v>
      </c>
      <c r="C93" s="27" t="str">
        <f>Sites[[#This Row],[SOL'#]]</f>
        <v>SOL-11018</v>
      </c>
      <c r="D93" s="9"/>
      <c r="E93" s="14"/>
      <c r="F93" s="14" t="str">
        <f t="shared" si="6"/>
        <v/>
      </c>
      <c r="G93" s="15" t="str">
        <f t="shared" si="9"/>
        <v/>
      </c>
      <c r="H93" s="16"/>
      <c r="I93" s="16" t="str">
        <f t="shared" si="7"/>
        <v/>
      </c>
      <c r="J93" s="15" t="str">
        <f t="shared" si="8"/>
        <v/>
      </c>
      <c r="K93" s="50"/>
      <c r="L93" s="86"/>
    </row>
    <row r="94" spans="1:12" ht="15.75">
      <c r="A94" s="24" t="str">
        <v>Rivard 1</v>
      </c>
      <c r="B94" s="25" t="str">
        <v>NY</v>
      </c>
      <c r="C94" s="25" t="str">
        <f>Sites[[#This Row],[SOL'#]]</f>
        <v>SOL-11011</v>
      </c>
      <c r="D94" s="20"/>
      <c r="E94" s="10"/>
      <c r="F94" s="10" t="str">
        <f t="shared" si="6"/>
        <v/>
      </c>
      <c r="G94" s="55" t="str">
        <f t="shared" si="9"/>
        <v/>
      </c>
      <c r="H94" s="12"/>
      <c r="I94" s="67" t="str">
        <f t="shared" si="7"/>
        <v/>
      </c>
      <c r="J94" s="64" t="str">
        <f t="shared" si="8"/>
        <v/>
      </c>
      <c r="K94" s="37"/>
      <c r="L94" s="37"/>
    </row>
    <row r="95" spans="1:12" ht="15.75">
      <c r="A95" s="26" t="str">
        <v>Rivard 2</v>
      </c>
      <c r="B95" s="27" t="str">
        <v>NY</v>
      </c>
      <c r="C95" s="27" t="str">
        <f>Sites[[#This Row],[SOL'#]]</f>
        <v>SOL-11012</v>
      </c>
      <c r="D95" s="9"/>
      <c r="E95" s="14"/>
      <c r="F95" s="14" t="str">
        <f t="shared" si="6"/>
        <v/>
      </c>
      <c r="G95" s="15" t="str">
        <f t="shared" si="9"/>
        <v/>
      </c>
      <c r="H95" s="16"/>
      <c r="I95" s="16" t="str">
        <f t="shared" si="7"/>
        <v/>
      </c>
      <c r="J95" s="15" t="str">
        <f t="shared" si="8"/>
        <v/>
      </c>
      <c r="K95" s="38"/>
      <c r="L95" s="39"/>
    </row>
    <row r="96" spans="1:12" ht="15.75">
      <c r="A96" s="24" t="str">
        <v>Ridgeway #2</v>
      </c>
      <c r="B96" s="25" t="str">
        <v>NY</v>
      </c>
      <c r="C96" s="25" t="str">
        <f>Sites[[#This Row],[SOL'#]]</f>
        <v>SOL-11027</v>
      </c>
      <c r="D96" s="20"/>
      <c r="E96" s="10"/>
      <c r="F96" s="10" t="str">
        <f t="shared" si="6"/>
        <v/>
      </c>
      <c r="G96" s="55" t="str">
        <f t="shared" si="9"/>
        <v/>
      </c>
      <c r="H96" s="12"/>
      <c r="I96" s="67" t="str">
        <f t="shared" si="7"/>
        <v/>
      </c>
      <c r="J96" s="64" t="str">
        <f t="shared" si="8"/>
        <v/>
      </c>
      <c r="K96" s="37"/>
      <c r="L96" s="37"/>
    </row>
    <row r="97" spans="1:12" ht="15.75">
      <c r="A97" s="26" t="str">
        <v>Spencer</v>
      </c>
      <c r="B97" s="27" t="str">
        <v>NY</v>
      </c>
      <c r="C97" s="27" t="str">
        <f>Sites[[#This Row],[SOL'#]]</f>
        <v>SOL-11017</v>
      </c>
      <c r="D97" s="9"/>
      <c r="E97" s="14"/>
      <c r="F97" s="14" t="str">
        <f t="shared" si="6"/>
        <v/>
      </c>
      <c r="G97" s="15" t="str">
        <f t="shared" si="9"/>
        <v/>
      </c>
      <c r="H97" s="16"/>
      <c r="I97" s="16" t="str">
        <f t="shared" si="7"/>
        <v/>
      </c>
      <c r="J97" s="15" t="str">
        <f t="shared" si="8"/>
        <v/>
      </c>
      <c r="K97" s="38"/>
      <c r="L97" s="86"/>
    </row>
    <row r="98" spans="1:12" ht="15.75">
      <c r="A98" s="24" t="str">
        <v>Reisender</v>
      </c>
      <c r="B98" s="25" t="str">
        <v>NY</v>
      </c>
      <c r="C98" s="25" t="str">
        <f>Sites[[#This Row],[SOL'#]]</f>
        <v>SOL-10886</v>
      </c>
      <c r="D98" s="20"/>
      <c r="E98" s="10"/>
      <c r="F98" s="10" t="str">
        <f t="shared" si="6"/>
        <v/>
      </c>
      <c r="G98" s="55" t="str">
        <f t="shared" si="9"/>
        <v/>
      </c>
      <c r="H98" s="12"/>
      <c r="I98" s="67" t="str">
        <f t="shared" si="7"/>
        <v/>
      </c>
      <c r="J98" s="64" t="str">
        <f t="shared" si="8"/>
        <v/>
      </c>
      <c r="K98" s="37"/>
      <c r="L98" s="37"/>
    </row>
    <row r="99" spans="1:12" ht="15.75">
      <c r="A99" s="26" t="str">
        <v>Finney</v>
      </c>
      <c r="B99" s="27" t="str">
        <v>NY</v>
      </c>
      <c r="C99" s="27" t="str">
        <f>Sites[[#This Row],[SOL'#]]</f>
        <v>SOL-10999</v>
      </c>
      <c r="D99" s="9"/>
      <c r="E99" s="14"/>
      <c r="F99" s="14" t="str">
        <f t="shared" si="6"/>
        <v/>
      </c>
      <c r="G99" s="15" t="str">
        <f t="shared" si="9"/>
        <v/>
      </c>
      <c r="H99" s="16"/>
      <c r="I99" s="16" t="str">
        <f t="shared" si="7"/>
        <v/>
      </c>
      <c r="J99" s="15" t="str">
        <f t="shared" si="8"/>
        <v/>
      </c>
      <c r="K99" s="38"/>
      <c r="L99" s="39"/>
    </row>
    <row r="100" spans="1:12" ht="15.75">
      <c r="A100" s="24" t="str">
        <v>Davis Solar</v>
      </c>
      <c r="B100" s="25" t="str">
        <v>NY</v>
      </c>
      <c r="C100" s="25" t="str">
        <f>Sites[[#This Row],[SOL'#]]</f>
        <v>SOL-10958</v>
      </c>
      <c r="D100" s="20"/>
      <c r="E100" s="10"/>
      <c r="F100" s="10" t="str">
        <f t="shared" si="6"/>
        <v/>
      </c>
      <c r="G100" s="55" t="str">
        <f t="shared" si="9"/>
        <v/>
      </c>
      <c r="H100" s="12"/>
      <c r="I100" s="67" t="str">
        <f t="shared" si="7"/>
        <v/>
      </c>
      <c r="J100" s="64" t="str">
        <f t="shared" si="8"/>
        <v/>
      </c>
      <c r="K100" s="37"/>
      <c r="L100" s="37"/>
    </row>
    <row r="101" spans="1:12" ht="15.75">
      <c r="A101" s="26" t="str">
        <v>Genesee</v>
      </c>
      <c r="B101" s="27" t="str">
        <v>NY</v>
      </c>
      <c r="C101" s="27" t="str">
        <f>Sites[[#This Row],[SOL'#]]</f>
        <v>SOL-10951</v>
      </c>
      <c r="D101" s="9"/>
      <c r="E101" s="14"/>
      <c r="F101" s="14" t="str">
        <f t="shared" si="6"/>
        <v/>
      </c>
      <c r="G101" s="15" t="str">
        <f t="shared" si="9"/>
        <v/>
      </c>
      <c r="H101" s="16"/>
      <c r="I101" s="16" t="str">
        <f t="shared" si="7"/>
        <v/>
      </c>
      <c r="J101" s="15" t="str">
        <f t="shared" si="8"/>
        <v/>
      </c>
      <c r="K101" s="38"/>
      <c r="L101" s="38"/>
    </row>
    <row r="102" spans="1:12" ht="15.75">
      <c r="A102" s="24" t="str">
        <v>Landau I</v>
      </c>
      <c r="B102" s="25" t="str">
        <v>NY</v>
      </c>
      <c r="C102" s="25" t="str">
        <f>Sites[[#This Row],[SOL'#]]</f>
        <v>SOL-10891</v>
      </c>
      <c r="D102" s="20"/>
      <c r="E102" s="10"/>
      <c r="F102" s="10" t="str">
        <f t="shared" si="6"/>
        <v/>
      </c>
      <c r="G102" s="55" t="str">
        <f t="shared" si="9"/>
        <v/>
      </c>
      <c r="H102" s="12"/>
      <c r="I102" s="67" t="str">
        <f t="shared" si="7"/>
        <v/>
      </c>
      <c r="J102" s="64" t="str">
        <f t="shared" si="8"/>
        <v/>
      </c>
      <c r="K102" s="37"/>
      <c r="L102" s="37"/>
    </row>
    <row r="103" spans="1:12" ht="15.75">
      <c r="A103" s="26" t="str">
        <v>Landau II</v>
      </c>
      <c r="B103" s="27" t="str">
        <v>NY</v>
      </c>
      <c r="C103" s="27" t="str">
        <f>Sites[[#This Row],[SOL'#]]</f>
        <v>SOL-10895</v>
      </c>
      <c r="D103" s="9"/>
      <c r="E103" s="14"/>
      <c r="F103" s="14" t="str">
        <f t="shared" si="6"/>
        <v/>
      </c>
      <c r="G103" s="15" t="str">
        <f t="shared" si="9"/>
        <v/>
      </c>
      <c r="H103" s="16"/>
      <c r="I103" s="16" t="str">
        <f t="shared" si="7"/>
        <v/>
      </c>
      <c r="J103" s="15" t="str">
        <f t="shared" si="8"/>
        <v/>
      </c>
      <c r="K103" s="38"/>
      <c r="L103" s="39"/>
    </row>
    <row r="104" spans="1:12" ht="40.5" customHeight="1">
      <c r="A104" s="24" t="str">
        <v>New Beginnings</v>
      </c>
      <c r="B104" s="25" t="str">
        <v>NY</v>
      </c>
      <c r="C104" s="25" t="str">
        <f>Sites[[#This Row],[SOL'#]]</f>
        <v>SOL-10890</v>
      </c>
      <c r="D104" s="20"/>
      <c r="E104" s="10"/>
      <c r="F104" s="10" t="str">
        <f t="shared" si="6"/>
        <v/>
      </c>
      <c r="G104" s="55" t="str">
        <f t="shared" si="9"/>
        <v/>
      </c>
      <c r="H104" s="12"/>
      <c r="I104" s="67" t="str">
        <f t="shared" si="7"/>
        <v/>
      </c>
      <c r="J104" s="64" t="str">
        <f t="shared" si="8"/>
        <v/>
      </c>
      <c r="K104" s="37"/>
      <c r="L104" s="37"/>
    </row>
    <row r="105" spans="1:12" ht="15.75">
      <c r="A105" s="26" t="str">
        <v>Bullitt Farm Solar, LLC</v>
      </c>
      <c r="B105" s="27" t="str">
        <v>NY</v>
      </c>
      <c r="C105" s="27" t="str">
        <f>Sites[[#This Row],[SOL'#]]</f>
        <v>SOL-10998</v>
      </c>
      <c r="D105" s="9"/>
      <c r="E105" s="14"/>
      <c r="F105" s="14" t="str">
        <f t="shared" si="6"/>
        <v/>
      </c>
      <c r="G105" s="15" t="str">
        <f t="shared" si="9"/>
        <v/>
      </c>
      <c r="H105" s="16"/>
      <c r="I105" s="16" t="str">
        <f t="shared" si="7"/>
        <v/>
      </c>
      <c r="J105" s="15" t="str">
        <f t="shared" si="8"/>
        <v/>
      </c>
      <c r="K105" s="38"/>
      <c r="L105" s="39"/>
    </row>
    <row r="106" spans="1:12" ht="15.75">
      <c r="A106" s="24" t="str">
        <v>Brodhead Solar, LLC</v>
      </c>
      <c r="B106" s="25" t="str">
        <v>NY</v>
      </c>
      <c r="C106" s="25" t="str">
        <f>Sites[[#This Row],[SOL'#]]</f>
        <v>SOL-10899</v>
      </c>
      <c r="D106" s="20"/>
      <c r="E106" s="10"/>
      <c r="F106" s="10" t="str">
        <f t="shared" si="6"/>
        <v/>
      </c>
      <c r="G106" s="55" t="str">
        <f t="shared" si="9"/>
        <v/>
      </c>
      <c r="H106" s="12"/>
      <c r="I106" s="67" t="str">
        <f t="shared" si="7"/>
        <v/>
      </c>
      <c r="J106" s="64" t="str">
        <f t="shared" si="8"/>
        <v/>
      </c>
      <c r="K106" s="37"/>
      <c r="L106" s="37"/>
    </row>
    <row r="107" spans="1:12" ht="15.75">
      <c r="A107" s="26" t="str">
        <v>Svenski</v>
      </c>
      <c r="B107" s="27" t="str">
        <v>NY</v>
      </c>
      <c r="C107" s="27" t="str">
        <f>Sites[[#This Row],[SOL'#]]</f>
        <v>SOL-10894</v>
      </c>
      <c r="D107" s="9"/>
      <c r="E107" s="14"/>
      <c r="F107" s="14" t="str">
        <f t="shared" si="6"/>
        <v/>
      </c>
      <c r="G107" s="15" t="str">
        <f t="shared" si="9"/>
        <v/>
      </c>
      <c r="H107" s="16"/>
      <c r="I107" s="16" t="str">
        <f t="shared" si="7"/>
        <v/>
      </c>
      <c r="J107" s="15" t="str">
        <f t="shared" si="8"/>
        <v/>
      </c>
      <c r="K107" s="38"/>
      <c r="L107" s="85"/>
    </row>
    <row r="108" spans="1:12" ht="15.75">
      <c r="A108" s="24" t="str">
        <v>Bantam</v>
      </c>
      <c r="B108" s="25" t="str">
        <v>NY</v>
      </c>
      <c r="C108" s="25" t="str">
        <f>Sites[[#This Row],[SOL'#]]</f>
        <v>SOL-10986</v>
      </c>
      <c r="D108" s="20"/>
      <c r="E108" s="10"/>
      <c r="F108" s="10" t="str">
        <f t="shared" si="6"/>
        <v/>
      </c>
      <c r="G108" s="55" t="str">
        <f t="shared" si="9"/>
        <v/>
      </c>
      <c r="H108" s="12"/>
      <c r="I108" s="67" t="str">
        <f t="shared" si="7"/>
        <v/>
      </c>
      <c r="J108" s="64" t="str">
        <f t="shared" si="8"/>
        <v/>
      </c>
      <c r="K108" s="37"/>
      <c r="L108" s="37"/>
    </row>
    <row r="109" spans="1:12" ht="15.75">
      <c r="A109" s="26" t="str">
        <v>Bogart</v>
      </c>
      <c r="B109" s="27" t="str">
        <v>NY</v>
      </c>
      <c r="C109" s="27" t="str">
        <f>Sites[[#This Row],[SOL'#]]</f>
        <v>SOL-10887</v>
      </c>
      <c r="D109" s="9"/>
      <c r="E109" s="14"/>
      <c r="F109" s="14" t="str">
        <f t="shared" si="6"/>
        <v/>
      </c>
      <c r="G109" s="15" t="str">
        <f t="shared" si="9"/>
        <v/>
      </c>
      <c r="H109" s="16"/>
      <c r="I109" s="16" t="str">
        <f t="shared" si="7"/>
        <v/>
      </c>
      <c r="J109" s="15" t="str">
        <f t="shared" si="8"/>
        <v/>
      </c>
      <c r="K109" s="38"/>
      <c r="L109" s="85"/>
    </row>
    <row r="110" spans="1:12" ht="15.75">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37"/>
      <c r="L110" s="37"/>
    </row>
    <row r="111" spans="1:12" ht="15.75">
      <c r="A111" s="26" t="str">
        <v>Salt Point</v>
      </c>
      <c r="B111" s="27" t="str">
        <v>NY</v>
      </c>
      <c r="C111" s="27" t="str">
        <f>Sites[[#This Row],[SOL'#]]</f>
        <v>SOL-10888</v>
      </c>
      <c r="D111" s="9"/>
      <c r="E111" s="14"/>
      <c r="F111" s="14" t="str">
        <f t="shared" si="6"/>
        <v/>
      </c>
      <c r="G111" s="15" t="str">
        <f t="shared" si="9"/>
        <v/>
      </c>
      <c r="H111" s="16"/>
      <c r="I111" s="16" t="str">
        <f t="shared" si="7"/>
        <v/>
      </c>
      <c r="J111" s="15" t="str">
        <f t="shared" si="8"/>
        <v/>
      </c>
      <c r="K111" s="38"/>
      <c r="L111" s="85"/>
    </row>
    <row r="112" spans="1:12" ht="15.75">
      <c r="A112" s="24" t="str">
        <v>Wheatland 2A</v>
      </c>
      <c r="B112" s="25" t="str">
        <v>NY</v>
      </c>
      <c r="C112" s="25" t="str">
        <f>Sites[[#This Row],[SOL'#]]</f>
        <v>SOL-10971</v>
      </c>
      <c r="D112" s="20"/>
      <c r="E112" s="10"/>
      <c r="F112" s="10" t="str">
        <f t="shared" si="6"/>
        <v/>
      </c>
      <c r="G112" s="55" t="str">
        <f t="shared" si="9"/>
        <v/>
      </c>
      <c r="H112" s="12"/>
      <c r="I112" s="67" t="str">
        <f t="shared" si="7"/>
        <v/>
      </c>
      <c r="J112" s="64" t="str">
        <f t="shared" si="8"/>
        <v/>
      </c>
      <c r="K112" s="37"/>
      <c r="L112" s="37"/>
    </row>
    <row r="113" spans="1:12" ht="15.75">
      <c r="A113" s="26" t="str">
        <v>Wheatland 2B</v>
      </c>
      <c r="B113" s="27" t="str">
        <v>NY</v>
      </c>
      <c r="C113" s="27" t="str">
        <f>Sites[[#This Row],[SOL'#]]</f>
        <v>SOL-10961</v>
      </c>
      <c r="D113" s="9"/>
      <c r="E113" s="14"/>
      <c r="F113" s="14" t="str">
        <f t="shared" si="6"/>
        <v/>
      </c>
      <c r="G113" s="15" t="str">
        <f t="shared" si="9"/>
        <v/>
      </c>
      <c r="H113" s="16"/>
      <c r="I113" s="16" t="str">
        <f t="shared" si="7"/>
        <v/>
      </c>
      <c r="J113" s="15" t="str">
        <f t="shared" si="8"/>
        <v/>
      </c>
      <c r="K113" s="38"/>
      <c r="L113" s="38"/>
    </row>
    <row r="114" spans="1:12" ht="15.75">
      <c r="A114" s="24" t="str">
        <v>Brickchurch</v>
      </c>
      <c r="B114" s="25" t="str">
        <v>NY</v>
      </c>
      <c r="C114" s="25" t="str">
        <f>Sites[[#This Row],[SOL'#]]</f>
        <v>SOL-10889</v>
      </c>
      <c r="D114" s="20"/>
      <c r="E114" s="10"/>
      <c r="F114" s="10" t="str">
        <f t="shared" si="6"/>
        <v/>
      </c>
      <c r="G114" s="55" t="str">
        <f t="shared" ref="G114:G145" si="10">IFERROR(F114/E114, "")</f>
        <v/>
      </c>
      <c r="H114" s="12"/>
      <c r="I114" s="67" t="str">
        <f t="shared" si="7"/>
        <v/>
      </c>
      <c r="J114" s="64" t="str">
        <f t="shared" si="8"/>
        <v/>
      </c>
      <c r="K114" s="37"/>
      <c r="L114" s="37"/>
    </row>
    <row r="115" spans="1:12" ht="15.75">
      <c r="A115" s="26" t="str">
        <v>McCarthy Solar</v>
      </c>
      <c r="B115" s="27" t="str">
        <v>NY</v>
      </c>
      <c r="C115" s="27" t="str">
        <f>Sites[[#This Row],[SOL'#]]</f>
        <v>SOL-10992</v>
      </c>
      <c r="D115" s="9"/>
      <c r="E115" s="14"/>
      <c r="F115" s="14" t="str">
        <f t="shared" si="6"/>
        <v/>
      </c>
      <c r="G115" s="15" t="str">
        <f t="shared" si="10"/>
        <v/>
      </c>
      <c r="H115" s="16"/>
      <c r="I115" s="16" t="str">
        <f t="shared" si="7"/>
        <v/>
      </c>
      <c r="J115" s="15" t="str">
        <f t="shared" si="8"/>
        <v/>
      </c>
      <c r="K115" s="38"/>
      <c r="L115" s="39"/>
    </row>
    <row r="116" spans="1:12" ht="15.75">
      <c r="A116" s="24" t="str">
        <v>Costanza</v>
      </c>
      <c r="B116" s="25" t="str">
        <v>NY</v>
      </c>
      <c r="C116" s="25" t="str">
        <f>Sites[[#This Row],[SOL'#]]</f>
        <v>SOL-10907</v>
      </c>
      <c r="D116" s="20"/>
      <c r="E116" s="10"/>
      <c r="F116" s="10" t="str">
        <f t="shared" si="6"/>
        <v/>
      </c>
      <c r="G116" s="55" t="str">
        <f t="shared" si="10"/>
        <v/>
      </c>
      <c r="H116" s="12"/>
      <c r="I116" s="67" t="str">
        <f t="shared" si="7"/>
        <v/>
      </c>
      <c r="J116" s="64" t="str">
        <f t="shared" si="8"/>
        <v/>
      </c>
      <c r="K116" s="37"/>
      <c r="L116" s="37"/>
    </row>
    <row r="117" spans="1:12" ht="15.75">
      <c r="A117" s="26" t="str">
        <v>Lockenhurst Pond</v>
      </c>
      <c r="B117" s="27" t="str">
        <v>NY</v>
      </c>
      <c r="C117" s="25" t="str">
        <f>Sites[[#This Row],[SOL'#]]</f>
        <v>SOL-11000</v>
      </c>
      <c r="D117" s="9"/>
      <c r="E117" s="14"/>
      <c r="F117" s="14" t="str">
        <f t="shared" si="6"/>
        <v/>
      </c>
      <c r="G117" s="15" t="str">
        <f t="shared" si="10"/>
        <v/>
      </c>
      <c r="H117" s="16"/>
      <c r="I117" s="16" t="str">
        <f t="shared" si="7"/>
        <v/>
      </c>
      <c r="J117" s="15" t="str">
        <f t="shared" si="8"/>
        <v/>
      </c>
      <c r="K117" s="38"/>
      <c r="L117" s="39"/>
    </row>
    <row r="118" spans="1:12" ht="15.75">
      <c r="A118" s="24" t="str">
        <v>Drinkwater</v>
      </c>
      <c r="B118" s="25" t="str">
        <v>NY</v>
      </c>
      <c r="C118" s="25" t="str">
        <f>Sites[[#This Row],[SOL'#]]</f>
        <v>SOL-10896</v>
      </c>
      <c r="D118" s="20"/>
      <c r="E118" s="10"/>
      <c r="F118" s="10" t="str">
        <f t="shared" si="6"/>
        <v/>
      </c>
      <c r="G118" s="55" t="str">
        <f t="shared" si="10"/>
        <v/>
      </c>
      <c r="H118" s="12"/>
      <c r="I118" s="67" t="str">
        <f t="shared" si="7"/>
        <v/>
      </c>
      <c r="J118" s="64" t="str">
        <f t="shared" si="8"/>
        <v/>
      </c>
      <c r="K118" s="37"/>
      <c r="L118" s="37"/>
    </row>
    <row r="119" spans="1:12" ht="15.75">
      <c r="A119" s="26" t="str">
        <v>Altamont</v>
      </c>
      <c r="B119" s="27" t="str">
        <v>NY</v>
      </c>
      <c r="C119" s="25" t="str">
        <f>Sites[[#This Row],[SOL'#]]</f>
        <v>SOL-11085</v>
      </c>
      <c r="D119" s="9"/>
      <c r="E119" s="14"/>
      <c r="F119" s="14" t="str">
        <f t="shared" si="6"/>
        <v/>
      </c>
      <c r="G119" s="15" t="str">
        <f t="shared" si="10"/>
        <v/>
      </c>
      <c r="H119" s="16"/>
      <c r="I119" s="16" t="str">
        <f t="shared" si="7"/>
        <v/>
      </c>
      <c r="J119" s="15" t="str">
        <f t="shared" si="8"/>
        <v/>
      </c>
      <c r="K119" s="38"/>
      <c r="L119" s="86"/>
    </row>
    <row r="120" spans="1:12" ht="15.75">
      <c r="A120" s="24" t="str">
        <v>Krumkill North</v>
      </c>
      <c r="B120" s="25" t="str">
        <v>NY</v>
      </c>
      <c r="C120" s="25" t="str">
        <f>Sites[[#This Row],[SOL'#]]</f>
        <v>SOL-11086</v>
      </c>
      <c r="D120" s="20"/>
      <c r="E120" s="10"/>
      <c r="F120" s="10" t="str">
        <f t="shared" si="6"/>
        <v/>
      </c>
      <c r="G120" s="55" t="str">
        <f t="shared" si="10"/>
        <v/>
      </c>
      <c r="H120" s="12"/>
      <c r="I120" s="67" t="str">
        <f t="shared" si="7"/>
        <v/>
      </c>
      <c r="J120" s="64" t="str">
        <f t="shared" si="8"/>
        <v/>
      </c>
      <c r="K120" s="37"/>
      <c r="L120" s="37"/>
    </row>
    <row r="121" spans="1:12" ht="15.75">
      <c r="A121" s="26" t="str">
        <v>Krumkill South</v>
      </c>
      <c r="B121" s="27" t="str">
        <v>NY</v>
      </c>
      <c r="C121" s="25" t="str">
        <f>Sites[[#This Row],[SOL'#]]</f>
        <v>SOL-11087</v>
      </c>
      <c r="D121" s="9"/>
      <c r="E121" s="14"/>
      <c r="F121" s="14" t="str">
        <f t="shared" si="6"/>
        <v/>
      </c>
      <c r="G121" s="15" t="str">
        <f t="shared" si="10"/>
        <v/>
      </c>
      <c r="H121" s="16"/>
      <c r="I121" s="16" t="str">
        <f t="shared" si="7"/>
        <v/>
      </c>
      <c r="J121" s="15" t="str">
        <f t="shared" si="8"/>
        <v/>
      </c>
      <c r="K121" s="38"/>
      <c r="L121" s="39"/>
    </row>
    <row r="122" spans="1:12" ht="15.75">
      <c r="A122" s="24" t="str">
        <v>X092</v>
      </c>
      <c r="B122" s="25" t="str">
        <v>NY</v>
      </c>
      <c r="C122" s="25" t="str">
        <f>Sites[[#This Row],[SOL'#]]</f>
        <v>SOL-11189</v>
      </c>
      <c r="D122" s="20"/>
      <c r="E122" s="10"/>
      <c r="F122" s="10" t="str">
        <f t="shared" si="6"/>
        <v/>
      </c>
      <c r="G122" s="55" t="str">
        <f t="shared" si="10"/>
        <v/>
      </c>
      <c r="H122" s="12"/>
      <c r="I122" s="67" t="str">
        <f t="shared" si="7"/>
        <v/>
      </c>
      <c r="J122" s="64" t="str">
        <f t="shared" si="8"/>
        <v/>
      </c>
      <c r="K122" s="37"/>
      <c r="L122" s="37"/>
    </row>
    <row r="123" spans="1:12" ht="15.75">
      <c r="A123" s="26" t="str">
        <v>X093</v>
      </c>
      <c r="B123" s="27" t="str">
        <v>NY</v>
      </c>
      <c r="C123" s="25" t="str">
        <f>Sites[[#This Row],[SOL'#]]</f>
        <v>SOL-10932</v>
      </c>
      <c r="D123" s="9"/>
      <c r="E123" s="14"/>
      <c r="F123" s="14" t="str">
        <f t="shared" si="6"/>
        <v/>
      </c>
      <c r="G123" s="15" t="str">
        <f t="shared" si="10"/>
        <v/>
      </c>
      <c r="H123" s="16"/>
      <c r="I123" s="16" t="str">
        <f t="shared" si="7"/>
        <v/>
      </c>
      <c r="J123" s="15" t="str">
        <f t="shared" si="8"/>
        <v/>
      </c>
      <c r="K123" s="38"/>
      <c r="L123" s="39"/>
    </row>
    <row r="124" spans="1:12" ht="15.75">
      <c r="A124" s="24" t="str">
        <v>X095</v>
      </c>
      <c r="B124" s="25" t="str">
        <v>NY</v>
      </c>
      <c r="C124" s="25" t="str">
        <f>Sites[[#This Row],[SOL'#]]</f>
        <v>SOL-10929</v>
      </c>
      <c r="D124" s="54"/>
      <c r="E124" s="10"/>
      <c r="F124" s="10" t="str">
        <f t="shared" si="6"/>
        <v/>
      </c>
      <c r="G124" s="55" t="str">
        <f t="shared" si="10"/>
        <v/>
      </c>
      <c r="H124" s="67"/>
      <c r="I124" s="67" t="str">
        <f t="shared" si="7"/>
        <v/>
      </c>
      <c r="J124" s="64" t="str">
        <f t="shared" si="8"/>
        <v/>
      </c>
      <c r="K124" s="56"/>
      <c r="L124" s="56"/>
    </row>
    <row r="125" spans="1:12" ht="15.75">
      <c r="A125" s="26" t="str">
        <v>X181</v>
      </c>
      <c r="B125" s="27" t="str">
        <v>NY</v>
      </c>
      <c r="C125" s="25" t="str">
        <f>Sites[[#This Row],[SOL'#]]</f>
        <v>SOL-10428</v>
      </c>
      <c r="D125" s="9"/>
      <c r="E125" s="14"/>
      <c r="F125" s="14" t="str">
        <f t="shared" si="6"/>
        <v/>
      </c>
      <c r="G125" s="15" t="str">
        <f t="shared" si="10"/>
        <v/>
      </c>
      <c r="H125" s="16"/>
      <c r="I125" s="16" t="str">
        <f t="shared" si="7"/>
        <v/>
      </c>
      <c r="J125" s="15" t="str">
        <f t="shared" si="8"/>
        <v/>
      </c>
      <c r="K125" s="38"/>
      <c r="L125" s="38"/>
    </row>
    <row r="126" spans="1:12" ht="15.75">
      <c r="A126" s="24" t="str">
        <v>X415</v>
      </c>
      <c r="B126" s="25" t="str">
        <v>NY</v>
      </c>
      <c r="C126" s="25" t="str">
        <f>Sites[[#This Row],[SOL'#]]</f>
        <v>SOL-10429</v>
      </c>
      <c r="D126" s="20"/>
      <c r="E126" s="10"/>
      <c r="F126" s="10" t="str">
        <f t="shared" si="6"/>
        <v/>
      </c>
      <c r="G126" s="55" t="str">
        <f t="shared" si="10"/>
        <v/>
      </c>
      <c r="H126" s="12"/>
      <c r="I126" s="67" t="str">
        <f t="shared" si="7"/>
        <v/>
      </c>
      <c r="J126" s="64" t="str">
        <f t="shared" si="8"/>
        <v/>
      </c>
      <c r="K126" s="37"/>
      <c r="L126" s="37"/>
    </row>
    <row r="127" spans="1:12" ht="75" customHeight="1">
      <c r="A127" s="26" t="str">
        <v>K198</v>
      </c>
      <c r="B127" s="27" t="str">
        <v>NY</v>
      </c>
      <c r="C127" s="25" t="str">
        <f>Sites[[#This Row],[SOL'#]]</f>
        <v>SOL-10930</v>
      </c>
      <c r="D127" s="9"/>
      <c r="E127" s="14"/>
      <c r="F127" s="14" t="str">
        <f t="shared" si="6"/>
        <v/>
      </c>
      <c r="G127" s="15" t="str">
        <f t="shared" si="10"/>
        <v/>
      </c>
      <c r="H127" s="16"/>
      <c r="I127" s="16" t="str">
        <f t="shared" si="7"/>
        <v/>
      </c>
      <c r="J127" s="15" t="str">
        <f t="shared" si="8"/>
        <v/>
      </c>
      <c r="K127" s="50"/>
      <c r="L127" s="86"/>
    </row>
    <row r="128" spans="1:12" ht="15.75">
      <c r="A128" s="24" t="str">
        <v>K203</v>
      </c>
      <c r="B128" s="25" t="str">
        <v>NY</v>
      </c>
      <c r="C128" s="25" t="str">
        <f>Sites[[#This Row],[SOL'#]]</f>
        <v>SOL-11190</v>
      </c>
      <c r="D128" s="20"/>
      <c r="E128" s="10"/>
      <c r="F128" s="10" t="str">
        <f t="shared" si="6"/>
        <v/>
      </c>
      <c r="G128" s="55" t="str">
        <f t="shared" si="10"/>
        <v/>
      </c>
      <c r="H128" s="12"/>
      <c r="I128" s="67" t="str">
        <f t="shared" si="7"/>
        <v/>
      </c>
      <c r="J128" s="64" t="str">
        <f t="shared" si="8"/>
        <v/>
      </c>
      <c r="K128" s="37"/>
      <c r="L128" s="37"/>
    </row>
    <row r="129" spans="1:12" ht="15.75">
      <c r="A129" s="26" t="str">
        <v>K213</v>
      </c>
      <c r="B129" s="27" t="str">
        <v>NY</v>
      </c>
      <c r="C129" s="25" t="str">
        <f>Sites[[#This Row],[SOL'#]]</f>
        <v>SOL-11191</v>
      </c>
      <c r="D129" s="9"/>
      <c r="E129" s="14"/>
      <c r="F129" s="14" t="str">
        <f t="shared" si="6"/>
        <v/>
      </c>
      <c r="G129" s="15" t="str">
        <f t="shared" si="10"/>
        <v/>
      </c>
      <c r="H129" s="16"/>
      <c r="I129" s="16" t="str">
        <f t="shared" si="7"/>
        <v/>
      </c>
      <c r="J129" s="15" t="str">
        <f t="shared" si="8"/>
        <v/>
      </c>
      <c r="K129" s="38"/>
      <c r="L129" s="39"/>
    </row>
    <row r="130" spans="1:12" ht="15.75">
      <c r="A130" s="24" t="str">
        <v>K217</v>
      </c>
      <c r="B130" s="25" t="str">
        <v>NY</v>
      </c>
      <c r="C130" s="25" t="str">
        <f>Sites[[#This Row],[SOL'#]]</f>
        <v>SOL-10933</v>
      </c>
      <c r="D130" s="20"/>
      <c r="E130" s="10"/>
      <c r="F130" s="10" t="str">
        <f t="shared" si="6"/>
        <v/>
      </c>
      <c r="G130" s="55" t="str">
        <f t="shared" si="10"/>
        <v/>
      </c>
      <c r="H130" s="12"/>
      <c r="I130" s="67" t="str">
        <f t="shared" si="7"/>
        <v/>
      </c>
      <c r="J130" s="64" t="str">
        <f t="shared" si="8"/>
        <v/>
      </c>
      <c r="K130" s="37"/>
      <c r="L130" s="37"/>
    </row>
    <row r="131" spans="1:12" ht="15.75">
      <c r="A131" s="26" t="str">
        <v>K307</v>
      </c>
      <c r="B131" s="27" t="str">
        <v>NY</v>
      </c>
      <c r="C131" s="25" t="str">
        <f>Sites[[#This Row],[SOL'#]]</f>
        <v>SOL-10876</v>
      </c>
      <c r="D131" s="9"/>
      <c r="E131" s="14"/>
      <c r="F131" s="14" t="str">
        <f t="shared" si="6"/>
        <v/>
      </c>
      <c r="G131" s="15" t="str">
        <f t="shared" si="10"/>
        <v/>
      </c>
      <c r="H131" s="16"/>
      <c r="I131" s="16" t="str">
        <f t="shared" si="7"/>
        <v/>
      </c>
      <c r="J131" s="15" t="str">
        <f t="shared" si="8"/>
        <v/>
      </c>
      <c r="K131" s="38"/>
      <c r="L131" s="39"/>
    </row>
    <row r="132" spans="1:12" ht="15.75">
      <c r="A132" s="24" t="str">
        <v>K610</v>
      </c>
      <c r="B132" s="25" t="str">
        <v>NY</v>
      </c>
      <c r="C132" s="25" t="str">
        <f>Sites[[#This Row],[SOL'#]]</f>
        <v>SOL-11158</v>
      </c>
      <c r="D132" s="20"/>
      <c r="E132" s="10"/>
      <c r="F132" s="10" t="str">
        <f t="shared" si="6"/>
        <v/>
      </c>
      <c r="G132" s="55" t="str">
        <f t="shared" si="10"/>
        <v/>
      </c>
      <c r="H132" s="12"/>
      <c r="I132" s="67" t="str">
        <f t="shared" si="7"/>
        <v/>
      </c>
      <c r="J132" s="64" t="str">
        <f t="shared" si="8"/>
        <v/>
      </c>
      <c r="K132" s="37"/>
      <c r="L132" s="37"/>
    </row>
    <row r="133" spans="1:12" ht="15.75">
      <c r="A133" s="26" t="str">
        <v>M025</v>
      </c>
      <c r="B133" s="27" t="str">
        <v>NY</v>
      </c>
      <c r="C133" s="25" t="str">
        <f>Sites[[#This Row],[SOL'#]]</f>
        <v>SOL-10392</v>
      </c>
      <c r="D133" s="9"/>
      <c r="E133" s="14"/>
      <c r="F133" s="14" t="str">
        <f t="shared" ref="F133:F158" si="11">IF(AND(ISNUMBER(D133),ISNUMBER(E133)), D133-E133, "")</f>
        <v/>
      </c>
      <c r="G133" s="15" t="str">
        <f t="shared" si="10"/>
        <v/>
      </c>
      <c r="H133" s="16"/>
      <c r="I133" s="16"/>
      <c r="J133" s="15" t="str">
        <f t="shared" ref="J133:J158" si="12">IFERROR(I133/H133, "")</f>
        <v/>
      </c>
      <c r="K133" s="38"/>
      <c r="L133" s="39"/>
    </row>
    <row r="134" spans="1:12" ht="15.75">
      <c r="A134" s="24" t="str">
        <v>M028</v>
      </c>
      <c r="B134" s="25" t="str">
        <v>NY</v>
      </c>
      <c r="C134" s="25" t="str">
        <f>Sites[[#This Row],[SOL'#]]</f>
        <v>SOL-10381</v>
      </c>
      <c r="D134" s="20"/>
      <c r="E134" s="10"/>
      <c r="F134" s="10" t="str">
        <f t="shared" si="11"/>
        <v/>
      </c>
      <c r="G134" s="55" t="str">
        <f t="shared" si="10"/>
        <v/>
      </c>
      <c r="H134" s="12"/>
      <c r="I134" s="67" t="str">
        <f t="shared" ref="I134:I158" si="13">IF(AND(ISNUMBER(D134),ISNUMBER(H134)), D134-H134, "")</f>
        <v/>
      </c>
      <c r="J134" s="64" t="str">
        <f t="shared" si="12"/>
        <v/>
      </c>
      <c r="K134" s="37"/>
      <c r="L134" s="37"/>
    </row>
    <row r="135" spans="1:12" ht="15.75">
      <c r="A135" s="26" t="str">
        <v>Q030</v>
      </c>
      <c r="B135" s="27" t="str">
        <v>NY</v>
      </c>
      <c r="C135" s="25" t="str">
        <f>Sites[[#This Row],[SOL'#]]</f>
        <v>SOL-10878</v>
      </c>
      <c r="D135" s="9"/>
      <c r="E135" s="14"/>
      <c r="F135" s="14" t="str">
        <f t="shared" si="11"/>
        <v/>
      </c>
      <c r="G135" s="15" t="str">
        <f t="shared" si="10"/>
        <v/>
      </c>
      <c r="H135" s="16"/>
      <c r="I135" s="16" t="str">
        <f t="shared" si="13"/>
        <v/>
      </c>
      <c r="J135" s="15" t="str">
        <f t="shared" si="12"/>
        <v/>
      </c>
      <c r="K135" s="38"/>
      <c r="L135" s="39"/>
    </row>
    <row r="136" spans="1:12" ht="15.75">
      <c r="A136" s="24" t="str">
        <v>Q130</v>
      </c>
      <c r="B136" s="25" t="str">
        <v>NY</v>
      </c>
      <c r="C136" s="25" t="str">
        <f>Sites[[#This Row],[SOL'#]]</f>
        <v>SOL-10877</v>
      </c>
      <c r="D136" s="20"/>
      <c r="E136" s="10"/>
      <c r="F136" s="10" t="str">
        <f>IF(AND(ISNUMBER(D136),ISNUMBER(E136)), D136-E136, "")</f>
        <v/>
      </c>
      <c r="G136" s="55" t="str">
        <f t="shared" si="10"/>
        <v/>
      </c>
      <c r="H136" s="12"/>
      <c r="I136" s="67" t="str">
        <f>IF(AND(ISNUMBER(D136),ISNUMBER(H136)), D136-H136, "")</f>
        <v/>
      </c>
      <c r="J136" s="64" t="str">
        <f t="shared" si="12"/>
        <v/>
      </c>
      <c r="K136" s="37"/>
      <c r="L136" s="37"/>
    </row>
    <row r="137" spans="1:12" ht="15.75">
      <c r="A137" s="26" t="str">
        <v>Q196</v>
      </c>
      <c r="B137" s="27" t="str">
        <v>NY</v>
      </c>
      <c r="C137" s="25" t="str">
        <f>Sites[[#This Row],[SOL'#]]</f>
        <v>SOL-10879</v>
      </c>
      <c r="D137" s="9"/>
      <c r="E137" s="14"/>
      <c r="F137" s="14" t="str">
        <f t="shared" si="11"/>
        <v/>
      </c>
      <c r="G137" s="15" t="str">
        <f t="shared" si="10"/>
        <v/>
      </c>
      <c r="H137" s="16"/>
      <c r="I137" s="16" t="str">
        <f t="shared" si="13"/>
        <v/>
      </c>
      <c r="J137" s="15" t="str">
        <f t="shared" si="12"/>
        <v/>
      </c>
      <c r="K137" s="38"/>
      <c r="L137" s="39"/>
    </row>
    <row r="138" spans="1:12" ht="15.75">
      <c r="A138" s="24" t="str">
        <v>Q220</v>
      </c>
      <c r="B138" s="25" t="str">
        <v>NY</v>
      </c>
      <c r="C138" s="25" t="str">
        <f>Sites[[#This Row],[SOL'#]]</f>
        <v>SOL-10873</v>
      </c>
      <c r="D138" s="20"/>
      <c r="E138" s="10"/>
      <c r="F138" s="10" t="str">
        <f t="shared" si="11"/>
        <v/>
      </c>
      <c r="G138" s="55" t="str">
        <f t="shared" si="10"/>
        <v/>
      </c>
      <c r="H138" s="12"/>
      <c r="I138" s="67" t="str">
        <f t="shared" si="13"/>
        <v/>
      </c>
      <c r="J138" s="64" t="str">
        <f t="shared" si="12"/>
        <v/>
      </c>
      <c r="K138" s="37"/>
      <c r="L138" s="37"/>
    </row>
    <row r="139" spans="1:12" ht="15.75">
      <c r="A139" s="26" t="str">
        <v>Q205</v>
      </c>
      <c r="B139" s="27" t="str">
        <v>NY</v>
      </c>
      <c r="C139" s="25" t="str">
        <f>Sites[[#This Row],[SOL'#]]</f>
        <v>SOL-10922</v>
      </c>
      <c r="D139" s="9"/>
      <c r="E139" s="14"/>
      <c r="F139" s="14" t="str">
        <f t="shared" si="11"/>
        <v/>
      </c>
      <c r="G139" s="15" t="str">
        <f t="shared" si="10"/>
        <v/>
      </c>
      <c r="H139" s="16"/>
      <c r="I139" s="16" t="str">
        <f t="shared" si="13"/>
        <v/>
      </c>
      <c r="J139" s="15" t="str">
        <f t="shared" si="12"/>
        <v/>
      </c>
      <c r="K139" s="80"/>
      <c r="L139" s="87"/>
    </row>
    <row r="140" spans="1:12" ht="15.75">
      <c r="A140" s="24" t="str">
        <v>Q400</v>
      </c>
      <c r="B140" s="25" t="str">
        <v>NY</v>
      </c>
      <c r="C140" s="25" t="str">
        <f>Sites[[#This Row],[SOL'#]]</f>
        <v>SOL-10871</v>
      </c>
      <c r="D140" s="54"/>
      <c r="E140" s="10"/>
      <c r="F140" s="10" t="str">
        <f t="shared" si="11"/>
        <v/>
      </c>
      <c r="G140" s="55" t="str">
        <f t="shared" si="10"/>
        <v/>
      </c>
      <c r="H140" s="67"/>
      <c r="I140" s="67" t="str">
        <f t="shared" si="13"/>
        <v/>
      </c>
      <c r="J140" s="64" t="str">
        <f t="shared" si="12"/>
        <v/>
      </c>
      <c r="K140" s="56"/>
      <c r="L140" s="37"/>
    </row>
    <row r="141" spans="1:12" ht="15.75">
      <c r="A141" s="26" t="str">
        <v>R003</v>
      </c>
      <c r="B141" s="27" t="str">
        <v>NY</v>
      </c>
      <c r="C141" s="25" t="str">
        <f>Sites[[#This Row],[SOL'#]]</f>
        <v>SOL-10416</v>
      </c>
      <c r="D141" s="66"/>
      <c r="E141" s="14"/>
      <c r="F141" s="14" t="str">
        <f t="shared" si="11"/>
        <v/>
      </c>
      <c r="G141" s="68" t="str">
        <f t="shared" si="10"/>
        <v/>
      </c>
      <c r="H141" s="69"/>
      <c r="I141" s="16" t="str">
        <f t="shared" si="13"/>
        <v/>
      </c>
      <c r="J141" s="15" t="str">
        <f t="shared" si="12"/>
        <v/>
      </c>
      <c r="K141" s="38"/>
      <c r="L141" s="17"/>
    </row>
    <row r="142" spans="1:12" ht="15.75">
      <c r="A142" s="24" t="str">
        <v>R007</v>
      </c>
      <c r="B142" s="25" t="str">
        <v>NY</v>
      </c>
      <c r="C142" s="25" t="str">
        <f>Sites[[#This Row],[SOL'#]]</f>
        <v>SOL-10417</v>
      </c>
      <c r="D142" s="54"/>
      <c r="E142" s="10"/>
      <c r="F142" s="10" t="str">
        <f t="shared" si="11"/>
        <v/>
      </c>
      <c r="G142" s="55" t="str">
        <f t="shared" si="10"/>
        <v/>
      </c>
      <c r="H142" s="67"/>
      <c r="I142" s="67" t="str">
        <f t="shared" si="13"/>
        <v/>
      </c>
      <c r="J142" s="64" t="str">
        <f t="shared" si="12"/>
        <v/>
      </c>
      <c r="K142" s="56"/>
      <c r="L142" s="37"/>
    </row>
    <row r="143" spans="1:12" ht="15.75">
      <c r="A143" s="26" t="str">
        <v>BK16</v>
      </c>
      <c r="B143" s="27" t="str">
        <v>NY</v>
      </c>
      <c r="C143" s="25" t="str">
        <f>Sites[[#This Row],[SOL'#]]</f>
        <v>SOL-11093</v>
      </c>
      <c r="D143" s="66"/>
      <c r="E143" s="14"/>
      <c r="F143" s="14" t="str">
        <f t="shared" si="11"/>
        <v/>
      </c>
      <c r="G143" s="68" t="str">
        <f t="shared" si="10"/>
        <v/>
      </c>
      <c r="H143" s="69"/>
      <c r="I143" s="16" t="str">
        <f t="shared" si="13"/>
        <v/>
      </c>
      <c r="J143" s="15" t="str">
        <f t="shared" si="12"/>
        <v/>
      </c>
      <c r="K143" s="38"/>
      <c r="L143" s="17"/>
    </row>
    <row r="144" spans="1:12" ht="15.75">
      <c r="A144" s="24" t="str">
        <v>Trenton - Trenton East</v>
      </c>
      <c r="B144" s="25" t="str">
        <v>IL</v>
      </c>
      <c r="C144" s="25" t="str">
        <f>Sites[[#This Row],[SOL'#]]</f>
        <v>SOL-11060</v>
      </c>
      <c r="D144" s="54"/>
      <c r="E144" s="10"/>
      <c r="F144" s="10" t="str">
        <f t="shared" si="11"/>
        <v/>
      </c>
      <c r="G144" s="55" t="str">
        <f t="shared" si="10"/>
        <v/>
      </c>
      <c r="H144" s="67"/>
      <c r="I144" s="67" t="str">
        <f t="shared" si="13"/>
        <v/>
      </c>
      <c r="J144" s="64" t="str">
        <f t="shared" si="12"/>
        <v/>
      </c>
      <c r="K144" s="56"/>
      <c r="L144" s="37"/>
    </row>
    <row r="145" spans="1:12" ht="15.75">
      <c r="A145" s="26" t="str">
        <v>Trenton - Trenton West</v>
      </c>
      <c r="B145" s="27" t="str">
        <v>IL</v>
      </c>
      <c r="C145" s="25" t="str">
        <f>Sites[[#This Row],[SOL'#]]</f>
        <v>SOL-11061</v>
      </c>
      <c r="D145" s="66"/>
      <c r="E145" s="14"/>
      <c r="F145" s="14" t="str">
        <f t="shared" si="11"/>
        <v/>
      </c>
      <c r="G145" s="68" t="str">
        <f t="shared" si="10"/>
        <v/>
      </c>
      <c r="H145" s="69"/>
      <c r="I145" s="16" t="str">
        <f t="shared" si="13"/>
        <v/>
      </c>
      <c r="J145" s="15" t="str">
        <f t="shared" si="12"/>
        <v/>
      </c>
      <c r="K145" s="50"/>
      <c r="L145" s="84"/>
    </row>
    <row r="146" spans="1:12" ht="15.75">
      <c r="A146" s="24" t="str">
        <v>Dakota - Dakota Solar 1</v>
      </c>
      <c r="B146" s="25" t="str">
        <v>IL</v>
      </c>
      <c r="C146" s="25" t="str">
        <f>Sites[[#This Row],[SOL'#]]</f>
        <v>SOL-11113</v>
      </c>
      <c r="D146" s="54"/>
      <c r="E146" s="10"/>
      <c r="F146" s="10" t="str">
        <f t="shared" si="11"/>
        <v/>
      </c>
      <c r="G146" s="55" t="str">
        <f t="shared" ref="G146:G158" si="14">IFERROR(F146/E146, "")</f>
        <v/>
      </c>
      <c r="H146" s="67"/>
      <c r="I146" s="67" t="str">
        <f t="shared" si="13"/>
        <v/>
      </c>
      <c r="J146" s="64" t="str">
        <f t="shared" si="12"/>
        <v/>
      </c>
      <c r="K146" s="56"/>
      <c r="L146" s="37"/>
    </row>
    <row r="147" spans="1:12" ht="15.75">
      <c r="A147" s="26" t="str">
        <v>X018</v>
      </c>
      <c r="B147" s="27" t="str">
        <v>NY</v>
      </c>
      <c r="C147" s="25" t="str">
        <f>Sites[[#This Row],[SOL'#]]</f>
        <v>SOL-10418</v>
      </c>
      <c r="D147" s="66"/>
      <c r="E147" s="14"/>
      <c r="F147" s="14" t="str">
        <f t="shared" si="11"/>
        <v/>
      </c>
      <c r="G147" s="68" t="str">
        <f t="shared" si="14"/>
        <v/>
      </c>
      <c r="H147" s="69"/>
      <c r="I147" s="16" t="str">
        <f t="shared" si="13"/>
        <v/>
      </c>
      <c r="J147" s="15" t="str">
        <f t="shared" si="12"/>
        <v/>
      </c>
      <c r="K147" s="38"/>
      <c r="L147" s="17"/>
    </row>
    <row r="148" spans="1:12" ht="15.75">
      <c r="A148" s="24" t="str">
        <v>Janiak Solar</v>
      </c>
      <c r="B148" s="25" t="str">
        <v>NY</v>
      </c>
      <c r="C148" s="25" t="str">
        <f>Sites[[#This Row],[SOL'#]]</f>
        <v>SOL-10898</v>
      </c>
      <c r="D148" s="54"/>
      <c r="E148" s="10"/>
      <c r="F148" s="10" t="str">
        <f t="shared" si="11"/>
        <v/>
      </c>
      <c r="G148" s="55" t="str">
        <f t="shared" si="14"/>
        <v/>
      </c>
      <c r="H148" s="67"/>
      <c r="I148" s="67" t="str">
        <f t="shared" si="13"/>
        <v/>
      </c>
      <c r="J148" s="64" t="str">
        <f t="shared" si="12"/>
        <v/>
      </c>
      <c r="K148" s="56"/>
      <c r="L148" s="37"/>
    </row>
    <row r="149" spans="1:12" ht="15.75">
      <c r="A149" s="26" t="str">
        <v>County Route 11B</v>
      </c>
      <c r="B149" s="27" t="str">
        <v>NY</v>
      </c>
      <c r="C149" s="25" t="str">
        <f>Sites[[#This Row],[SOL'#]]</f>
        <v>SOL-10983</v>
      </c>
      <c r="D149" s="66"/>
      <c r="E149" s="14"/>
      <c r="F149" s="14" t="str">
        <f t="shared" si="11"/>
        <v/>
      </c>
      <c r="G149" s="68" t="str">
        <f t="shared" si="14"/>
        <v/>
      </c>
      <c r="H149" s="69"/>
      <c r="I149" s="16" t="str">
        <f t="shared" si="13"/>
        <v/>
      </c>
      <c r="J149" s="15" t="str">
        <f t="shared" si="12"/>
        <v/>
      </c>
      <c r="K149" s="38"/>
      <c r="L149" s="83"/>
    </row>
    <row r="150" spans="1:12" ht="15.75">
      <c r="A150" s="24" t="str">
        <v>Barone</v>
      </c>
      <c r="B150" s="25" t="str">
        <v>NY</v>
      </c>
      <c r="C150" s="25" t="str">
        <f>Sites[[#This Row],[SOL'#]]</f>
        <v>SOL-11034</v>
      </c>
      <c r="D150" s="54"/>
      <c r="E150" s="10"/>
      <c r="F150" s="10" t="str">
        <f t="shared" si="11"/>
        <v/>
      </c>
      <c r="G150" s="55" t="str">
        <f t="shared" si="14"/>
        <v/>
      </c>
      <c r="H150" s="67"/>
      <c r="I150" s="67" t="str">
        <f t="shared" si="13"/>
        <v/>
      </c>
      <c r="J150" s="64" t="str">
        <f t="shared" si="12"/>
        <v/>
      </c>
      <c r="K150" s="56"/>
      <c r="L150" s="37"/>
    </row>
    <row r="151" spans="1:12" ht="15.75">
      <c r="A151" s="26" t="str">
        <v>Cedarville</v>
      </c>
      <c r="B151" s="27" t="str">
        <v>IL</v>
      </c>
      <c r="C151" s="25" t="str">
        <f>Sites[[#This Row],[SOL'#]]</f>
        <v>SOL-11069</v>
      </c>
      <c r="D151" s="66"/>
      <c r="E151" s="14"/>
      <c r="F151" s="14" t="str">
        <f t="shared" si="11"/>
        <v/>
      </c>
      <c r="G151" s="68" t="str">
        <f t="shared" si="14"/>
        <v/>
      </c>
      <c r="H151" s="69"/>
      <c r="I151" s="16" t="str">
        <f t="shared" si="13"/>
        <v/>
      </c>
      <c r="J151" s="15" t="str">
        <f t="shared" si="12"/>
        <v/>
      </c>
      <c r="K151" s="38"/>
      <c r="L151" s="17"/>
    </row>
    <row r="152" spans="1:12" ht="15.75">
      <c r="A152" s="24" t="str">
        <v xml:space="preserve"> O'Brien Hill #1</v>
      </c>
      <c r="B152" s="25" t="str">
        <v>NY</v>
      </c>
      <c r="C152" s="25" t="str">
        <f>Sites[[#This Row],[SOL'#]]</f>
        <v>SOL-11098</v>
      </c>
      <c r="D152" s="54"/>
      <c r="E152" s="10"/>
      <c r="F152" s="10" t="str">
        <f t="shared" si="11"/>
        <v/>
      </c>
      <c r="G152" s="55" t="str">
        <f t="shared" si="14"/>
        <v/>
      </c>
      <c r="H152" s="67"/>
      <c r="I152" s="67" t="str">
        <f t="shared" si="13"/>
        <v/>
      </c>
      <c r="J152" s="64" t="str">
        <f t="shared" si="12"/>
        <v/>
      </c>
      <c r="K152" s="56"/>
      <c r="L152" s="56"/>
    </row>
    <row r="153" spans="1:12" ht="15.75">
      <c r="A153" s="26" t="str">
        <v xml:space="preserve"> O'Brien Hill #2</v>
      </c>
      <c r="B153" s="27" t="str">
        <v>NY</v>
      </c>
      <c r="C153" s="25" t="str">
        <f>Sites[[#This Row],[SOL'#]]</f>
        <v>SOL-11099</v>
      </c>
      <c r="D153" s="66"/>
      <c r="E153" s="14"/>
      <c r="F153" s="14" t="str">
        <f t="shared" si="11"/>
        <v/>
      </c>
      <c r="G153" s="68" t="str">
        <f t="shared" si="14"/>
        <v/>
      </c>
      <c r="H153" s="69"/>
      <c r="I153" s="16" t="str">
        <f t="shared" si="13"/>
        <v/>
      </c>
      <c r="J153" s="15" t="str">
        <f t="shared" si="12"/>
        <v/>
      </c>
      <c r="K153" s="139"/>
      <c r="L153" s="82"/>
    </row>
    <row r="154" spans="1:12" ht="15.75">
      <c r="A154" s="24" t="str">
        <v>Trinity - Freeport</v>
      </c>
      <c r="B154" s="25" t="str">
        <v>IL</v>
      </c>
      <c r="C154" s="25" t="str">
        <f>Sites[[#This Row],[SOL'#]]</f>
        <v>SOL-11057</v>
      </c>
      <c r="D154" s="54"/>
      <c r="E154" s="10"/>
      <c r="F154" s="10" t="str">
        <f t="shared" si="11"/>
        <v/>
      </c>
      <c r="G154" s="55" t="str">
        <f t="shared" si="14"/>
        <v/>
      </c>
      <c r="H154" s="67"/>
      <c r="I154" s="67" t="str">
        <f t="shared" si="13"/>
        <v/>
      </c>
      <c r="J154" s="64" t="str">
        <f t="shared" si="12"/>
        <v/>
      </c>
      <c r="K154" s="56"/>
      <c r="L154" s="53"/>
    </row>
    <row r="155" spans="1:12" ht="15.75">
      <c r="A155" s="26" t="str">
        <v>Ransom</v>
      </c>
      <c r="B155" s="27" t="str">
        <v>NY</v>
      </c>
      <c r="C155" s="25" t="str">
        <f>Sites[[#This Row],[SOL'#]]</f>
        <v>SOL-11157</v>
      </c>
      <c r="D155" s="66"/>
      <c r="E155" s="14"/>
      <c r="F155" s="14" t="str">
        <f t="shared" si="11"/>
        <v/>
      </c>
      <c r="G155" s="68" t="str">
        <f t="shared" si="14"/>
        <v/>
      </c>
      <c r="H155" s="69"/>
      <c r="I155" s="16" t="str">
        <f t="shared" si="13"/>
        <v/>
      </c>
      <c r="J155" s="15" t="str">
        <f t="shared" si="12"/>
        <v/>
      </c>
      <c r="K155" s="38"/>
      <c r="L155" s="17"/>
    </row>
    <row r="156" spans="1:12" ht="15.75">
      <c r="A156" s="24" t="str">
        <v>Horseheads - Wedge</v>
      </c>
      <c r="B156" s="25" t="str">
        <v>NY</v>
      </c>
      <c r="C156" s="25" t="str">
        <f>Sites[[#This Row],[SOL'#]]</f>
        <v>SOL-11160</v>
      </c>
      <c r="D156" s="54"/>
      <c r="E156" s="10"/>
      <c r="F156" s="10" t="str">
        <f t="shared" si="11"/>
        <v/>
      </c>
      <c r="G156" s="55" t="str">
        <f t="shared" si="14"/>
        <v/>
      </c>
      <c r="H156" s="67"/>
      <c r="I156" s="67" t="str">
        <f t="shared" si="13"/>
        <v/>
      </c>
      <c r="J156" s="64" t="str">
        <f t="shared" si="12"/>
        <v/>
      </c>
      <c r="K156" s="56"/>
      <c r="L156" s="37"/>
    </row>
    <row r="157" spans="1:12" ht="15.75">
      <c r="A157" s="26" t="str">
        <v>Otisville - Shoddy Hollow</v>
      </c>
      <c r="B157" s="27" t="str">
        <v>NY</v>
      </c>
      <c r="C157" s="25" t="str">
        <f>Sites[[#This Row],[SOL'#]]</f>
        <v>SOL-11185</v>
      </c>
      <c r="D157" s="66"/>
      <c r="E157" s="14"/>
      <c r="F157" s="14" t="str">
        <f t="shared" si="11"/>
        <v/>
      </c>
      <c r="G157" s="68" t="str">
        <f t="shared" si="14"/>
        <v/>
      </c>
      <c r="H157" s="69"/>
      <c r="I157" s="16" t="str">
        <f t="shared" si="13"/>
        <v/>
      </c>
      <c r="J157" s="15" t="str">
        <f t="shared" si="12"/>
        <v/>
      </c>
      <c r="L157" s="17"/>
    </row>
    <row r="158" spans="1:12" ht="15.75">
      <c r="A158" s="24" t="str">
        <v>Wellsville - Chenunda Creek</v>
      </c>
      <c r="B158" s="25" t="str">
        <v>NY</v>
      </c>
      <c r="C158" s="25" t="str">
        <f>Sites[[#This Row],[SOL'#]]</f>
        <v>SOL-11187</v>
      </c>
      <c r="D158" s="54"/>
      <c r="E158" s="10"/>
      <c r="F158" s="10" t="str">
        <f t="shared" si="11"/>
        <v/>
      </c>
      <c r="G158" s="55" t="str">
        <f t="shared" si="14"/>
        <v/>
      </c>
      <c r="H158" s="67"/>
      <c r="I158" s="67" t="str">
        <f t="shared" si="13"/>
        <v/>
      </c>
      <c r="J158" s="64" t="str">
        <f t="shared" si="12"/>
        <v/>
      </c>
      <c r="K158" s="56"/>
      <c r="L158" s="37"/>
    </row>
    <row r="159" spans="1:12" ht="14.25">
      <c r="A159" s="17"/>
      <c r="B159" s="29"/>
      <c r="C159" s="29"/>
      <c r="D159" s="17"/>
      <c r="E159" s="17"/>
      <c r="F159" s="17"/>
      <c r="G159" s="18"/>
      <c r="H159" s="17"/>
      <c r="I159" s="17"/>
      <c r="J159" s="18"/>
      <c r="K159" s="17"/>
      <c r="L159" s="17"/>
    </row>
    <row r="160" spans="1:12" ht="14.25">
      <c r="A160" s="17"/>
      <c r="B160" s="29"/>
      <c r="C160" s="29"/>
      <c r="D160" s="17"/>
      <c r="E160" s="17"/>
      <c r="F160" s="17"/>
      <c r="G160" s="18"/>
      <c r="H160" s="17"/>
      <c r="I160" s="17"/>
      <c r="J160" s="18"/>
      <c r="K160" s="17"/>
      <c r="L160" s="17"/>
    </row>
    <row r="161" spans="1:12" ht="14.25">
      <c r="A161" s="17"/>
      <c r="B161" s="29"/>
      <c r="C161" s="29"/>
      <c r="D161" s="17"/>
      <c r="E161" s="17"/>
      <c r="F161" s="17"/>
      <c r="G161" s="18"/>
      <c r="H161" s="17"/>
      <c r="I161" s="17"/>
      <c r="J161" s="18"/>
      <c r="K161" s="17"/>
      <c r="L161" s="17"/>
    </row>
    <row r="162" spans="1:12" ht="14.25">
      <c r="A162" s="17"/>
      <c r="B162" s="29"/>
      <c r="C162" s="29"/>
      <c r="D162" s="17"/>
      <c r="E162" s="17"/>
      <c r="F162" s="17"/>
      <c r="G162" s="18"/>
      <c r="H162" s="17"/>
      <c r="I162" s="17"/>
      <c r="J162" s="18"/>
      <c r="K162" s="17"/>
      <c r="L162" s="17"/>
    </row>
    <row r="163" spans="1:12" ht="14.25">
      <c r="A163" s="17"/>
      <c r="B163" s="29"/>
      <c r="C163" s="29"/>
      <c r="D163" s="17"/>
      <c r="E163" s="17"/>
      <c r="F163" s="17"/>
      <c r="G163" s="18"/>
      <c r="H163" s="17"/>
      <c r="I163" s="17"/>
      <c r="J163" s="18"/>
      <c r="K163" s="17"/>
      <c r="L163" s="17"/>
    </row>
    <row r="164" spans="1:12" ht="14.25">
      <c r="A164" s="17"/>
      <c r="B164" s="29"/>
      <c r="C164" s="29"/>
      <c r="D164" s="17"/>
      <c r="E164" s="17"/>
      <c r="F164" s="17"/>
      <c r="G164" s="18"/>
      <c r="H164" s="17"/>
      <c r="I164" s="17"/>
      <c r="J164" s="18"/>
      <c r="K164" s="17"/>
      <c r="L164" s="17"/>
    </row>
    <row r="165" spans="1:12" ht="14.25">
      <c r="A165" s="17"/>
      <c r="B165" s="29"/>
      <c r="C165" s="29"/>
      <c r="D165" s="17"/>
      <c r="E165" s="17"/>
      <c r="F165" s="17"/>
      <c r="G165" s="18"/>
      <c r="H165" s="17"/>
      <c r="I165" s="17"/>
      <c r="J165" s="18"/>
      <c r="K165" s="17"/>
      <c r="L165" s="17"/>
    </row>
    <row r="166" spans="1:12" ht="14.25">
      <c r="A166" s="17"/>
      <c r="B166" s="29"/>
      <c r="C166" s="29"/>
      <c r="D166" s="17"/>
      <c r="E166" s="17"/>
      <c r="F166" s="17"/>
      <c r="G166" s="18"/>
      <c r="H166" s="17"/>
      <c r="I166" s="17"/>
      <c r="J166" s="18"/>
      <c r="K166" s="17"/>
      <c r="L166" s="17"/>
    </row>
    <row r="167" spans="1:12" ht="14.25">
      <c r="A167" s="17"/>
      <c r="B167" s="29"/>
      <c r="C167" s="29"/>
      <c r="D167" s="17"/>
      <c r="E167" s="17"/>
      <c r="F167" s="17"/>
      <c r="G167" s="18"/>
      <c r="H167" s="17"/>
      <c r="I167" s="17"/>
      <c r="J167" s="18"/>
      <c r="K167" s="17"/>
      <c r="L167" s="17"/>
    </row>
    <row r="168" spans="1:12" ht="14.25">
      <c r="A168" s="17"/>
      <c r="B168" s="29"/>
      <c r="C168" s="29"/>
      <c r="D168" s="17"/>
      <c r="E168" s="17"/>
      <c r="F168" s="17"/>
      <c r="G168" s="18"/>
      <c r="H168" s="17"/>
      <c r="I168" s="17"/>
      <c r="J168" s="18"/>
      <c r="K168" s="17"/>
      <c r="L168" s="17"/>
    </row>
    <row r="169" spans="1:12" ht="14.25">
      <c r="A169" s="17"/>
      <c r="B169" s="29"/>
      <c r="C169" s="29"/>
      <c r="D169" s="17"/>
      <c r="E169" s="17"/>
      <c r="F169" s="17"/>
      <c r="G169" s="18"/>
      <c r="H169" s="17"/>
      <c r="I169" s="17"/>
      <c r="J169" s="18"/>
      <c r="K169" s="17"/>
      <c r="L169" s="17"/>
    </row>
    <row r="170" spans="1:12" ht="14.25">
      <c r="A170" s="17"/>
      <c r="B170" s="29"/>
      <c r="C170" s="29"/>
      <c r="D170" s="17"/>
      <c r="E170" s="17"/>
      <c r="F170" s="17"/>
      <c r="G170" s="18"/>
      <c r="H170" s="17"/>
      <c r="I170" s="17"/>
      <c r="J170" s="18"/>
      <c r="K170" s="17"/>
      <c r="L170" s="17"/>
    </row>
    <row r="171" spans="1:12" ht="14.25">
      <c r="A171" s="17"/>
      <c r="B171" s="29"/>
      <c r="C171" s="29"/>
      <c r="D171" s="17"/>
      <c r="E171" s="17"/>
      <c r="F171" s="17"/>
      <c r="G171" s="18"/>
      <c r="H171" s="17"/>
      <c r="I171" s="17"/>
      <c r="J171" s="18"/>
      <c r="K171" s="17"/>
      <c r="L171" s="17"/>
    </row>
    <row r="172" spans="1:12" ht="14.2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58 J4:J158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172"/>
  <sheetViews>
    <sheetView zoomScale="60" zoomScaleNormal="60" workbookViewId="0">
      <pane xSplit="2" ySplit="3" topLeftCell="C146" activePane="bottomRight" state="frozen"/>
      <selection pane="bottomRight" activeCell="A159" sqref="A159:XFD186"/>
      <selection pane="bottomLeft" activeCell="K164" sqref="K164"/>
      <selection pane="topRight" activeCell="K164" sqref="K164"/>
    </sheetView>
  </sheetViews>
  <sheetFormatPr defaultRowHeight="13.5"/>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51" t="str" cm="1">
        <f t="array" ref="A1">portfolio</f>
        <v>Generate Capital</v>
      </c>
      <c r="B1" s="151"/>
      <c r="C1" s="151"/>
      <c r="D1" s="151"/>
      <c r="E1" s="152" t="s">
        <v>1646</v>
      </c>
      <c r="F1" s="152"/>
      <c r="G1" s="152"/>
      <c r="H1" s="150" t="s">
        <v>1647</v>
      </c>
      <c r="I1" s="150"/>
      <c r="J1" s="150"/>
      <c r="K1" s="4"/>
      <c r="L1" s="4"/>
    </row>
    <row r="2" spans="1:12" ht="19.5" customHeight="1">
      <c r="A2" s="153" t="s">
        <v>2</v>
      </c>
      <c r="B2" s="153"/>
      <c r="C2" s="57"/>
      <c r="D2" s="5">
        <f>SUM(D4:D172)</f>
        <v>0</v>
      </c>
      <c r="E2" s="5">
        <f>SUM(E4:E100)</f>
        <v>0</v>
      </c>
      <c r="F2" s="5">
        <f>D2-E2</f>
        <v>0</v>
      </c>
      <c r="G2" s="6">
        <f>IFERROR(F2/E2, 0)</f>
        <v>0</v>
      </c>
      <c r="H2" s="5">
        <f>SUM(H4:H172)</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75">
      <c r="A4" s="28" t="str" cm="1">
        <f t="array" ref="A4:A158">Sites[Site]</f>
        <v>K026</v>
      </c>
      <c r="B4" s="25" t="str" cm="1">
        <f t="array" ref="B4:B158">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47"/>
    </row>
    <row r="5" spans="1:12" ht="15.75">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51"/>
      <c r="L5" s="139"/>
    </row>
    <row r="6" spans="1:12" ht="15.75">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47"/>
    </row>
    <row r="7" spans="1:12" ht="15.75">
      <c r="A7" s="26" t="str">
        <v>K058</v>
      </c>
      <c r="B7" s="27" t="str">
        <v>NY</v>
      </c>
      <c r="C7" s="25" t="str">
        <f>Sites[[#This Row],[SOL'#]]</f>
        <v>SOL-10360</v>
      </c>
      <c r="D7" s="9"/>
      <c r="E7" s="14"/>
      <c r="F7" s="14" t="str">
        <f t="shared" si="0"/>
        <v/>
      </c>
      <c r="G7" s="15" t="str">
        <f t="shared" si="3"/>
        <v/>
      </c>
      <c r="H7" s="16"/>
      <c r="I7" s="16" t="str">
        <f t="shared" si="1"/>
        <v/>
      </c>
      <c r="J7" s="15" t="str">
        <f t="shared" si="2"/>
        <v/>
      </c>
      <c r="K7" s="51"/>
      <c r="L7" s="139"/>
    </row>
    <row r="8" spans="1:12" ht="15.75">
      <c r="A8" s="24" t="str">
        <v>K115</v>
      </c>
      <c r="B8" s="25" t="str">
        <v>NY</v>
      </c>
      <c r="C8" s="25" t="str">
        <f>Sites[[#This Row],[SOL'#]]</f>
        <v>SOL-10361</v>
      </c>
      <c r="D8" s="20"/>
      <c r="E8" s="10"/>
      <c r="F8" s="10" t="str">
        <f t="shared" si="0"/>
        <v/>
      </c>
      <c r="G8" s="11" t="str">
        <f t="shared" si="3"/>
        <v/>
      </c>
      <c r="H8" s="12"/>
      <c r="I8" s="12" t="str">
        <f t="shared" si="1"/>
        <v/>
      </c>
      <c r="J8" s="13" t="str">
        <f t="shared" si="2"/>
        <v/>
      </c>
      <c r="K8" s="53"/>
      <c r="L8" s="47"/>
    </row>
    <row r="9" spans="1:12" ht="15.75">
      <c r="A9" s="26" t="str">
        <v>K152</v>
      </c>
      <c r="B9" s="27" t="str">
        <v>NY</v>
      </c>
      <c r="C9" s="25" t="str">
        <f>Sites[[#This Row],[SOL'#]]</f>
        <v>SOL-10362</v>
      </c>
      <c r="D9" s="9"/>
      <c r="E9" s="14"/>
      <c r="F9" s="14" t="str">
        <f t="shared" si="0"/>
        <v/>
      </c>
      <c r="G9" s="15" t="str">
        <f t="shared" si="3"/>
        <v/>
      </c>
      <c r="H9" s="16"/>
      <c r="I9" s="16" t="str">
        <f t="shared" si="1"/>
        <v/>
      </c>
      <c r="J9" s="15" t="str">
        <f t="shared" si="2"/>
        <v/>
      </c>
      <c r="K9" s="51"/>
      <c r="L9" s="88"/>
    </row>
    <row r="10" spans="1:12" ht="15.75">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47"/>
    </row>
    <row r="11" spans="1:12" ht="15.75">
      <c r="A11" s="26" t="str">
        <v>K206</v>
      </c>
      <c r="B11" s="27" t="str">
        <v>NY</v>
      </c>
      <c r="C11" s="25" t="str">
        <f>Sites[[#This Row],[SOL'#]]</f>
        <v>SOL-10927</v>
      </c>
      <c r="D11" s="9"/>
      <c r="E11" s="14"/>
      <c r="F11" s="14" t="str">
        <f t="shared" si="0"/>
        <v/>
      </c>
      <c r="G11" s="15" t="str">
        <f t="shared" si="3"/>
        <v/>
      </c>
      <c r="H11" s="16"/>
      <c r="I11" s="16" t="str">
        <f t="shared" si="1"/>
        <v/>
      </c>
      <c r="J11" s="15" t="str">
        <f t="shared" si="2"/>
        <v/>
      </c>
      <c r="K11" s="51"/>
      <c r="L11" s="89"/>
    </row>
    <row r="12" spans="1:12" ht="15.75">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47"/>
    </row>
    <row r="13" spans="1:12" ht="15.75">
      <c r="A13" s="26" t="str">
        <v>K269</v>
      </c>
      <c r="B13" s="27" t="str">
        <v>NY</v>
      </c>
      <c r="C13" s="25" t="str">
        <f>Sites[[#This Row],[SOL'#]]</f>
        <v>SOL-10366</v>
      </c>
      <c r="D13" s="9"/>
      <c r="E13" s="14"/>
      <c r="F13" s="14" t="str">
        <f t="shared" si="0"/>
        <v/>
      </c>
      <c r="G13" s="15" t="str">
        <f t="shared" si="3"/>
        <v/>
      </c>
      <c r="H13" s="16"/>
      <c r="I13" s="16" t="str">
        <f t="shared" si="1"/>
        <v/>
      </c>
      <c r="J13" s="15" t="str">
        <f t="shared" si="2"/>
        <v/>
      </c>
      <c r="K13" s="51"/>
      <c r="L13" s="139"/>
    </row>
    <row r="14" spans="1:12" ht="15.75">
      <c r="A14" s="24" t="str">
        <v>K273</v>
      </c>
      <c r="B14" s="25" t="str">
        <v>NY</v>
      </c>
      <c r="C14" s="25" t="str">
        <f>Sites[[#This Row],[SOL'#]]</f>
        <v>SOL-10367</v>
      </c>
      <c r="D14" s="20"/>
      <c r="E14" s="10"/>
      <c r="F14" s="10" t="str">
        <f t="shared" si="0"/>
        <v/>
      </c>
      <c r="G14" s="11" t="str">
        <f t="shared" si="3"/>
        <v/>
      </c>
      <c r="H14" s="12"/>
      <c r="I14" s="12" t="str">
        <f t="shared" si="1"/>
        <v/>
      </c>
      <c r="J14" s="13" t="str">
        <f t="shared" si="2"/>
        <v/>
      </c>
      <c r="K14" s="53"/>
      <c r="L14" s="47"/>
    </row>
    <row r="15" spans="1:12" ht="15.75">
      <c r="A15" s="26" t="str">
        <v>K287</v>
      </c>
      <c r="B15" s="27" t="str">
        <v>NY</v>
      </c>
      <c r="C15" s="25" t="str">
        <f>Sites[[#This Row],[SOL'#]]</f>
        <v>SOL-10919</v>
      </c>
      <c r="D15" s="9"/>
      <c r="E15" s="14"/>
      <c r="F15" s="14" t="str">
        <f t="shared" si="0"/>
        <v/>
      </c>
      <c r="G15" s="15" t="str">
        <f t="shared" si="3"/>
        <v/>
      </c>
      <c r="H15" s="16"/>
      <c r="I15" s="16" t="str">
        <f t="shared" si="1"/>
        <v/>
      </c>
      <c r="J15" s="15" t="str">
        <f t="shared" si="2"/>
        <v/>
      </c>
      <c r="K15" s="51"/>
      <c r="L15" s="139"/>
    </row>
    <row r="16" spans="1:12" ht="15.75">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47"/>
    </row>
    <row r="17" spans="1:12" ht="15.75">
      <c r="A17" s="26" t="str">
        <v>K335</v>
      </c>
      <c r="B17" s="27" t="str">
        <v>NY</v>
      </c>
      <c r="C17" s="25" t="str">
        <f>Sites[[#This Row],[SOL'#]]</f>
        <v>SOL-10370</v>
      </c>
      <c r="D17" s="9"/>
      <c r="E17" s="14"/>
      <c r="F17" s="14" t="str">
        <f t="shared" si="0"/>
        <v/>
      </c>
      <c r="G17" s="15" t="str">
        <f t="shared" si="3"/>
        <v/>
      </c>
      <c r="H17" s="16"/>
      <c r="I17" s="16" t="str">
        <f t="shared" si="1"/>
        <v/>
      </c>
      <c r="J17" s="15" t="str">
        <f t="shared" si="2"/>
        <v/>
      </c>
      <c r="K17" s="51"/>
      <c r="L17" s="139"/>
    </row>
    <row r="18" spans="1:12" ht="24" customHeight="1">
      <c r="A18" s="24" t="str">
        <v>K345</v>
      </c>
      <c r="B18" s="25" t="str">
        <v>NY</v>
      </c>
      <c r="C18" s="25" t="str">
        <f>Sites[[#This Row],[SOL'#]]</f>
        <v>SOL-10920</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3"/>
      <c r="L18" s="47"/>
    </row>
    <row r="19" spans="1:12" ht="15.75">
      <c r="A19" s="26" t="str">
        <v>K445</v>
      </c>
      <c r="B19" s="27" t="str">
        <v>NY</v>
      </c>
      <c r="C19" s="25" t="str">
        <f>Sites[[#This Row],[SOL'#]]</f>
        <v>SOL-10373</v>
      </c>
      <c r="D19" s="9"/>
      <c r="E19" s="14"/>
      <c r="F19" s="14" t="str">
        <f t="shared" si="4"/>
        <v/>
      </c>
      <c r="G19" s="15" t="str">
        <f t="shared" si="5"/>
        <v/>
      </c>
      <c r="H19" s="16"/>
      <c r="I19" s="16" t="str">
        <f t="shared" si="6"/>
        <v/>
      </c>
      <c r="J19" s="15" t="str">
        <f t="shared" si="7"/>
        <v/>
      </c>
      <c r="K19" s="51"/>
      <c r="L19" s="88"/>
    </row>
    <row r="20" spans="1:12" ht="15.75">
      <c r="A20" s="24" t="str">
        <v>K495</v>
      </c>
      <c r="B20" s="25" t="str">
        <v>NY</v>
      </c>
      <c r="C20" s="25" t="str">
        <f>Sites[[#This Row],[SOL'#]]</f>
        <v>SOL-10374</v>
      </c>
      <c r="D20" s="20"/>
      <c r="E20" s="10"/>
      <c r="F20" s="10" t="str">
        <f t="shared" si="4"/>
        <v/>
      </c>
      <c r="G20" s="11" t="str">
        <f t="shared" si="5"/>
        <v/>
      </c>
      <c r="H20" s="12"/>
      <c r="I20" s="12" t="str">
        <f t="shared" si="6"/>
        <v/>
      </c>
      <c r="J20" s="13" t="str">
        <f t="shared" si="7"/>
        <v/>
      </c>
      <c r="K20" s="53"/>
      <c r="L20" s="47"/>
    </row>
    <row r="21" spans="1:12" ht="15.75">
      <c r="A21" s="26" t="str">
        <v>M020</v>
      </c>
      <c r="B21" s="27" t="str">
        <v>NY</v>
      </c>
      <c r="C21" s="25" t="str">
        <f>Sites[[#This Row],[SOL'#]]</f>
        <v>SOL-10380</v>
      </c>
      <c r="D21" s="9"/>
      <c r="E21" s="14"/>
      <c r="F21" s="14" t="str">
        <f t="shared" si="4"/>
        <v/>
      </c>
      <c r="G21" s="15" t="str">
        <f t="shared" si="5"/>
        <v/>
      </c>
      <c r="H21" s="16"/>
      <c r="I21" s="16" t="str">
        <f t="shared" si="6"/>
        <v/>
      </c>
      <c r="J21" s="15" t="str">
        <f t="shared" si="7"/>
        <v/>
      </c>
      <c r="K21" s="51"/>
      <c r="L21" s="88"/>
    </row>
    <row r="22" spans="1:12" ht="15.75">
      <c r="A22" s="24" t="str">
        <v>M092</v>
      </c>
      <c r="B22" s="25" t="str">
        <v>NY</v>
      </c>
      <c r="C22" s="25" t="str">
        <f>Sites[[#This Row],[SOL'#]]</f>
        <v>SOL-10383</v>
      </c>
      <c r="D22" s="20"/>
      <c r="E22" s="10"/>
      <c r="F22" s="10" t="str">
        <f t="shared" si="4"/>
        <v/>
      </c>
      <c r="G22" s="11" t="str">
        <f t="shared" si="5"/>
        <v/>
      </c>
      <c r="H22" s="12"/>
      <c r="I22" s="12" t="str">
        <f t="shared" si="6"/>
        <v/>
      </c>
      <c r="J22" s="13" t="str">
        <f t="shared" si="7"/>
        <v/>
      </c>
      <c r="K22" s="53"/>
      <c r="L22" s="47"/>
    </row>
    <row r="23" spans="1:12" ht="15.75">
      <c r="A23" s="26" t="str">
        <v>M143</v>
      </c>
      <c r="B23" s="27" t="str">
        <v>NY</v>
      </c>
      <c r="C23" s="25" t="str">
        <f>Sites[[#This Row],[SOL'#]]</f>
        <v>SOL-10384</v>
      </c>
      <c r="D23" s="9"/>
      <c r="E23" s="14"/>
      <c r="F23" s="14" t="str">
        <f t="shared" si="4"/>
        <v/>
      </c>
      <c r="G23" s="15" t="str">
        <f t="shared" si="5"/>
        <v/>
      </c>
      <c r="H23" s="16"/>
      <c r="I23" s="16" t="str">
        <f t="shared" si="6"/>
        <v/>
      </c>
      <c r="J23" s="15" t="str">
        <f t="shared" si="7"/>
        <v/>
      </c>
      <c r="K23" s="51"/>
      <c r="L23" s="88"/>
    </row>
    <row r="24" spans="1:12" ht="15.75">
      <c r="A24" s="24" t="str">
        <v>M144</v>
      </c>
      <c r="B24" s="25" t="str">
        <v>NY</v>
      </c>
      <c r="C24" s="25" t="str">
        <f>Sites[[#This Row],[SOL'#]]</f>
        <v>SOL-10385</v>
      </c>
      <c r="D24" s="20"/>
      <c r="E24" s="10"/>
      <c r="F24" s="10" t="str">
        <f t="shared" si="4"/>
        <v/>
      </c>
      <c r="G24" s="11" t="str">
        <f t="shared" si="5"/>
        <v/>
      </c>
      <c r="H24" s="12"/>
      <c r="I24" s="12" t="str">
        <f t="shared" si="6"/>
        <v/>
      </c>
      <c r="J24" s="13" t="str">
        <f t="shared" si="7"/>
        <v/>
      </c>
      <c r="K24" s="53"/>
      <c r="L24" s="47"/>
    </row>
    <row r="25" spans="1:12" ht="15.75">
      <c r="A25" s="26" t="str">
        <v>M167</v>
      </c>
      <c r="B25" s="27" t="str">
        <v>NY</v>
      </c>
      <c r="C25" s="25" t="str">
        <f>Sites[[#This Row],[SOL'#]]</f>
        <v>SOL-10386</v>
      </c>
      <c r="D25" s="9"/>
      <c r="E25" s="14"/>
      <c r="F25" s="14" t="str">
        <f t="shared" si="4"/>
        <v/>
      </c>
      <c r="G25" s="15" t="str">
        <f t="shared" si="5"/>
        <v/>
      </c>
      <c r="H25" s="16"/>
      <c r="I25" s="16" t="str">
        <f t="shared" si="6"/>
        <v/>
      </c>
      <c r="J25" s="15" t="str">
        <f t="shared" si="7"/>
        <v/>
      </c>
      <c r="K25" s="51"/>
      <c r="L25" s="88"/>
    </row>
    <row r="26" spans="1:12" ht="15.75">
      <c r="A26" s="24" t="str">
        <v>M188</v>
      </c>
      <c r="B26" s="25" t="str">
        <v>NY</v>
      </c>
      <c r="C26" s="25" t="str">
        <f>Sites[[#This Row],[SOL'#]]</f>
        <v>SOL-10387</v>
      </c>
      <c r="D26" s="20"/>
      <c r="E26" s="10"/>
      <c r="F26" s="10" t="str">
        <f t="shared" si="4"/>
        <v/>
      </c>
      <c r="G26" s="11" t="str">
        <f t="shared" si="5"/>
        <v/>
      </c>
      <c r="H26" s="12"/>
      <c r="I26" s="12" t="str">
        <f t="shared" si="6"/>
        <v/>
      </c>
      <c r="J26" s="13" t="str">
        <f t="shared" si="7"/>
        <v/>
      </c>
      <c r="K26" s="53"/>
      <c r="L26" s="47"/>
    </row>
    <row r="27" spans="1:12" ht="15.75">
      <c r="A27" s="26" t="str">
        <v>EMHC</v>
      </c>
      <c r="B27" s="27" t="str">
        <v>NY</v>
      </c>
      <c r="C27" s="25" t="str">
        <f>Sites[[#This Row],[SOL'#]]</f>
        <v>SOL-10351</v>
      </c>
      <c r="D27" s="9"/>
      <c r="E27" s="14"/>
      <c r="F27" s="14" t="str">
        <f t="shared" si="4"/>
        <v/>
      </c>
      <c r="G27" s="15" t="str">
        <f t="shared" si="5"/>
        <v/>
      </c>
      <c r="H27" s="16"/>
      <c r="I27" s="16" t="str">
        <f t="shared" si="6"/>
        <v/>
      </c>
      <c r="J27" s="15" t="str">
        <f t="shared" si="7"/>
        <v/>
      </c>
      <c r="K27" s="51"/>
      <c r="L27" s="88"/>
    </row>
    <row r="28" spans="1:12" ht="15.75">
      <c r="A28" s="24" t="str">
        <v>Q008</v>
      </c>
      <c r="B28" s="25" t="str">
        <v>NY</v>
      </c>
      <c r="C28" s="25" t="str">
        <f>Sites[[#This Row],[SOL'#]]</f>
        <v>SOL-10397</v>
      </c>
      <c r="D28" s="20"/>
      <c r="E28" s="10"/>
      <c r="F28" s="10" t="str">
        <f t="shared" si="4"/>
        <v/>
      </c>
      <c r="G28" s="11" t="str">
        <f t="shared" si="5"/>
        <v/>
      </c>
      <c r="H28" s="12"/>
      <c r="I28" s="12" t="str">
        <f t="shared" si="6"/>
        <v/>
      </c>
      <c r="J28" s="13" t="str">
        <f t="shared" si="7"/>
        <v/>
      </c>
      <c r="K28" s="53"/>
      <c r="L28" s="47"/>
    </row>
    <row r="29" spans="1:12" ht="15.75">
      <c r="A29" s="26" t="str">
        <v>Q018</v>
      </c>
      <c r="B29" s="27" t="str">
        <v>NY</v>
      </c>
      <c r="C29" s="25" t="str">
        <f>Sites[[#This Row],[SOL'#]]</f>
        <v>SOL-10398</v>
      </c>
      <c r="D29" s="9"/>
      <c r="E29" s="14"/>
      <c r="F29" s="14" t="str">
        <f t="shared" si="4"/>
        <v/>
      </c>
      <c r="G29" s="15" t="str">
        <f t="shared" si="5"/>
        <v/>
      </c>
      <c r="H29" s="16"/>
      <c r="I29" s="16" t="str">
        <f t="shared" si="6"/>
        <v/>
      </c>
      <c r="J29" s="15" t="str">
        <f t="shared" si="7"/>
        <v/>
      </c>
      <c r="K29" s="51"/>
      <c r="L29" s="139"/>
    </row>
    <row r="30" spans="1:12" ht="15.75">
      <c r="A30" s="24" t="str">
        <v>Q021</v>
      </c>
      <c r="B30" s="25" t="str">
        <v>NY</v>
      </c>
      <c r="C30" s="25" t="str">
        <f>Sites[[#This Row],[SOL'#]]</f>
        <v>SOL-10399</v>
      </c>
      <c r="D30" s="20"/>
      <c r="E30" s="10"/>
      <c r="F30" s="10" t="str">
        <f t="shared" si="4"/>
        <v/>
      </c>
      <c r="G30" s="11" t="str">
        <f t="shared" si="5"/>
        <v/>
      </c>
      <c r="H30" s="12"/>
      <c r="I30" s="12" t="str">
        <f t="shared" si="6"/>
        <v/>
      </c>
      <c r="J30" s="13" t="str">
        <f t="shared" si="7"/>
        <v/>
      </c>
      <c r="K30" s="53"/>
      <c r="L30" s="47"/>
    </row>
    <row r="31" spans="1:12" ht="15.75">
      <c r="A31" s="26" t="str">
        <v>Q025</v>
      </c>
      <c r="B31" s="27" t="str">
        <v>NY</v>
      </c>
      <c r="C31" s="25" t="str">
        <f>Sites[[#This Row],[SOL'#]]</f>
        <v>SOL-10400</v>
      </c>
      <c r="D31" s="9"/>
      <c r="E31" s="14"/>
      <c r="F31" s="14" t="str">
        <f t="shared" si="4"/>
        <v/>
      </c>
      <c r="G31" s="15" t="str">
        <f t="shared" si="5"/>
        <v/>
      </c>
      <c r="H31" s="16"/>
      <c r="I31" s="16" t="str">
        <f t="shared" si="6"/>
        <v/>
      </c>
      <c r="J31" s="15" t="str">
        <f t="shared" si="7"/>
        <v/>
      </c>
      <c r="K31" s="51"/>
      <c r="L31" s="139"/>
    </row>
    <row r="32" spans="1:12" ht="15.75">
      <c r="A32" s="24" t="str">
        <v>Q074</v>
      </c>
      <c r="B32" s="25" t="str">
        <v>NY</v>
      </c>
      <c r="C32" s="25" t="str">
        <f>Sites[[#This Row],[SOL'#]]</f>
        <v>SOL-10402</v>
      </c>
      <c r="D32" s="20"/>
      <c r="E32" s="10"/>
      <c r="F32" s="10" t="str">
        <f t="shared" si="4"/>
        <v/>
      </c>
      <c r="G32" s="11" t="str">
        <f t="shared" si="5"/>
        <v/>
      </c>
      <c r="H32" s="12"/>
      <c r="I32" s="12" t="str">
        <f t="shared" si="6"/>
        <v/>
      </c>
      <c r="J32" s="13" t="str">
        <f t="shared" si="7"/>
        <v/>
      </c>
      <c r="K32" s="53"/>
      <c r="L32" s="47"/>
    </row>
    <row r="33" spans="1:12" ht="15.75">
      <c r="A33" s="26" t="str">
        <v>Q115</v>
      </c>
      <c r="B33" s="27" t="str">
        <v>NY</v>
      </c>
      <c r="C33" s="25" t="str">
        <f>Sites[[#This Row],[SOL'#]]</f>
        <v>SOL-10872</v>
      </c>
      <c r="D33" s="9"/>
      <c r="E33" s="14"/>
      <c r="F33" s="14" t="str">
        <f t="shared" si="4"/>
        <v/>
      </c>
      <c r="G33" s="15" t="str">
        <f t="shared" si="5"/>
        <v/>
      </c>
      <c r="H33" s="16"/>
      <c r="I33" s="16" t="str">
        <f t="shared" si="6"/>
        <v/>
      </c>
      <c r="J33" s="15" t="str">
        <f t="shared" si="7"/>
        <v/>
      </c>
      <c r="K33" s="51"/>
      <c r="L33" s="88"/>
    </row>
    <row r="34" spans="1:12" ht="15.75">
      <c r="A34" s="24" t="str">
        <v>Q139</v>
      </c>
      <c r="B34" s="25" t="str">
        <v>NY</v>
      </c>
      <c r="C34" s="25" t="str">
        <f>Sites[[#This Row],[SOL'#]]</f>
        <v>SOL-10403</v>
      </c>
      <c r="D34" s="20"/>
      <c r="E34" s="10"/>
      <c r="F34" s="10" t="str">
        <f t="shared" si="4"/>
        <v/>
      </c>
      <c r="G34" s="11" t="str">
        <f t="shared" si="5"/>
        <v/>
      </c>
      <c r="H34" s="12"/>
      <c r="I34" s="12" t="str">
        <f t="shared" si="6"/>
        <v/>
      </c>
      <c r="J34" s="13" t="str">
        <f t="shared" si="7"/>
        <v/>
      </c>
      <c r="K34" s="53"/>
      <c r="L34" s="47"/>
    </row>
    <row r="35" spans="1:12" ht="15.75">
      <c r="A35" s="26" t="str">
        <v>Q157</v>
      </c>
      <c r="B35" s="27" t="str">
        <v>NY</v>
      </c>
      <c r="C35" s="25" t="str">
        <f>Sites[[#This Row],[SOL'#]]</f>
        <v>SOL-10404</v>
      </c>
      <c r="D35" s="9"/>
      <c r="E35" s="14"/>
      <c r="F35" s="14" t="str">
        <f t="shared" si="4"/>
        <v/>
      </c>
      <c r="G35" s="15" t="str">
        <f t="shared" si="5"/>
        <v/>
      </c>
      <c r="H35" s="16"/>
      <c r="I35" s="16" t="str">
        <f t="shared" si="6"/>
        <v/>
      </c>
      <c r="J35" s="15" t="str">
        <f t="shared" si="7"/>
        <v/>
      </c>
      <c r="K35" s="51"/>
      <c r="L35" s="88"/>
    </row>
    <row r="36" spans="1:12" ht="15.75">
      <c r="A36" s="24" t="str">
        <v>Q192</v>
      </c>
      <c r="B36" s="25" t="str">
        <v>NY</v>
      </c>
      <c r="C36" s="25" t="str">
        <f>Sites[[#This Row],[SOL'#]]</f>
        <v>SOL-10406</v>
      </c>
      <c r="D36" s="20"/>
      <c r="E36" s="10"/>
      <c r="F36" s="10" t="str">
        <f t="shared" si="4"/>
        <v/>
      </c>
      <c r="G36" s="11" t="str">
        <f t="shared" si="5"/>
        <v/>
      </c>
      <c r="H36" s="12"/>
      <c r="I36" s="12" t="str">
        <f t="shared" si="6"/>
        <v/>
      </c>
      <c r="J36" s="13" t="str">
        <f t="shared" si="7"/>
        <v/>
      </c>
      <c r="K36" s="53"/>
      <c r="L36" s="47"/>
    </row>
    <row r="37" spans="1:12" ht="15.75">
      <c r="A37" s="26" t="str">
        <v>Q210</v>
      </c>
      <c r="B37" s="27" t="str">
        <v>NY</v>
      </c>
      <c r="C37" s="25" t="str">
        <f>Sites[[#This Row],[SOL'#]]</f>
        <v>SOL-10407</v>
      </c>
      <c r="D37" s="9"/>
      <c r="E37" s="14"/>
      <c r="F37" s="14" t="str">
        <f t="shared" si="4"/>
        <v/>
      </c>
      <c r="G37" s="15" t="str">
        <f t="shared" si="5"/>
        <v/>
      </c>
      <c r="H37" s="16"/>
      <c r="I37" s="16" t="str">
        <f t="shared" si="6"/>
        <v/>
      </c>
      <c r="J37" s="15" t="str">
        <f t="shared" si="7"/>
        <v/>
      </c>
      <c r="K37" s="51"/>
      <c r="L37" s="139"/>
    </row>
    <row r="38" spans="1:12" ht="15.75">
      <c r="A38" s="24" t="str">
        <v>Q229</v>
      </c>
      <c r="B38" s="25" t="str">
        <v>NY</v>
      </c>
      <c r="C38" s="25" t="str">
        <f>Sites[[#This Row],[SOL'#]]</f>
        <v>SOL-10408</v>
      </c>
      <c r="D38" s="20"/>
      <c r="E38" s="10"/>
      <c r="F38" s="10" t="str">
        <f t="shared" si="4"/>
        <v/>
      </c>
      <c r="G38" s="11" t="str">
        <f t="shared" si="5"/>
        <v/>
      </c>
      <c r="H38" s="12"/>
      <c r="I38" s="12" t="str">
        <f t="shared" si="6"/>
        <v/>
      </c>
      <c r="J38" s="13" t="str">
        <f t="shared" si="7"/>
        <v/>
      </c>
      <c r="K38" s="53"/>
      <c r="L38" s="47"/>
    </row>
    <row r="39" spans="1:12" ht="15.75">
      <c r="A39" s="26" t="str">
        <v>Q231</v>
      </c>
      <c r="B39" s="27" t="str">
        <v>NY</v>
      </c>
      <c r="C39" s="25" t="str">
        <f>Sites[[#This Row],[SOL'#]]</f>
        <v>SOL-10870</v>
      </c>
      <c r="D39" s="9"/>
      <c r="E39" s="14"/>
      <c r="F39" s="14" t="str">
        <f t="shared" si="4"/>
        <v/>
      </c>
      <c r="G39" s="15" t="str">
        <f t="shared" si="5"/>
        <v/>
      </c>
      <c r="H39" s="16"/>
      <c r="I39" s="16" t="str">
        <f t="shared" si="6"/>
        <v/>
      </c>
      <c r="J39" s="15" t="str">
        <f t="shared" si="7"/>
        <v/>
      </c>
      <c r="K39" s="51"/>
      <c r="L39" s="88"/>
    </row>
    <row r="40" spans="1:12" ht="15.75">
      <c r="A40" s="24" t="str">
        <v>Q405</v>
      </c>
      <c r="B40" s="25" t="str">
        <v>NY</v>
      </c>
      <c r="C40" s="25" t="str">
        <f>Sites[[#This Row],[SOL'#]]</f>
        <v>SOL-10409</v>
      </c>
      <c r="D40" s="20"/>
      <c r="E40" s="10"/>
      <c r="F40" s="10" t="str">
        <f t="shared" si="4"/>
        <v/>
      </c>
      <c r="G40" s="11" t="str">
        <f t="shared" si="5"/>
        <v/>
      </c>
      <c r="H40" s="12"/>
      <c r="I40" s="12" t="str">
        <f t="shared" si="6"/>
        <v/>
      </c>
      <c r="J40" s="13" t="str">
        <f t="shared" si="7"/>
        <v/>
      </c>
      <c r="K40" s="53"/>
      <c r="L40" s="47"/>
    </row>
    <row r="41" spans="1:12" ht="15.75">
      <c r="A41" s="26" t="str">
        <v>Q435</v>
      </c>
      <c r="B41" s="27" t="str">
        <v>NY</v>
      </c>
      <c r="C41" s="25" t="str">
        <f>Sites[[#This Row],[SOL'#]]</f>
        <v>SOL-10923</v>
      </c>
      <c r="D41" s="9"/>
      <c r="E41" s="14"/>
      <c r="F41" s="14" t="str">
        <f t="shared" si="4"/>
        <v/>
      </c>
      <c r="G41" s="15" t="str">
        <f t="shared" si="5"/>
        <v/>
      </c>
      <c r="H41" s="16"/>
      <c r="I41" s="16" t="str">
        <f t="shared" si="6"/>
        <v/>
      </c>
      <c r="J41" s="15" t="str">
        <f t="shared" si="7"/>
        <v/>
      </c>
      <c r="K41" s="51"/>
      <c r="L41" s="139"/>
    </row>
    <row r="42" spans="1:12" ht="15.75">
      <c r="A42" s="24" t="str">
        <v>Q485</v>
      </c>
      <c r="B42" s="25" t="str">
        <v>NY</v>
      </c>
      <c r="C42" s="25" t="str">
        <f>Sites[[#This Row],[SOL'#]]</f>
        <v>SOL-10869</v>
      </c>
      <c r="D42" s="20"/>
      <c r="E42" s="10"/>
      <c r="F42" s="10" t="str">
        <f t="shared" si="4"/>
        <v/>
      </c>
      <c r="G42" s="11" t="str">
        <f t="shared" si="5"/>
        <v/>
      </c>
      <c r="H42" s="12"/>
      <c r="I42" s="12" t="str">
        <f t="shared" si="6"/>
        <v/>
      </c>
      <c r="J42" s="13" t="str">
        <f t="shared" si="7"/>
        <v/>
      </c>
      <c r="K42" s="53"/>
      <c r="L42" s="47"/>
    </row>
    <row r="43" spans="1:12" ht="15.75">
      <c r="A43" s="26" t="str">
        <v>Q490</v>
      </c>
      <c r="B43" s="27" t="str">
        <v>NY</v>
      </c>
      <c r="C43" s="25" t="str">
        <f>Sites[[#This Row],[SOL'#]]</f>
        <v>SOL-10411</v>
      </c>
      <c r="D43" s="9"/>
      <c r="E43" s="14"/>
      <c r="F43" s="14" t="str">
        <f t="shared" si="4"/>
        <v/>
      </c>
      <c r="G43" s="15" t="str">
        <f t="shared" si="5"/>
        <v/>
      </c>
      <c r="H43" s="16"/>
      <c r="I43" s="16" t="str">
        <f t="shared" si="6"/>
        <v/>
      </c>
      <c r="J43" s="15" t="str">
        <f t="shared" si="7"/>
        <v/>
      </c>
      <c r="K43" s="51"/>
      <c r="L43" s="88"/>
    </row>
    <row r="44" spans="1:12" ht="15.75">
      <c r="A44" s="24" t="str">
        <v>Q620</v>
      </c>
      <c r="B44" s="25" t="str">
        <v>NY</v>
      </c>
      <c r="C44" s="25" t="str">
        <f>Sites[[#This Row],[SOL'#]]</f>
        <v>SOL-10867</v>
      </c>
      <c r="D44" s="20"/>
      <c r="E44" s="10"/>
      <c r="F44" s="10" t="str">
        <f t="shared" si="4"/>
        <v/>
      </c>
      <c r="G44" s="11" t="str">
        <f t="shared" si="5"/>
        <v/>
      </c>
      <c r="H44" s="12"/>
      <c r="I44" s="12" t="str">
        <f t="shared" si="6"/>
        <v/>
      </c>
      <c r="J44" s="13" t="str">
        <f t="shared" si="7"/>
        <v/>
      </c>
      <c r="K44" s="53"/>
      <c r="L44" s="47"/>
    </row>
    <row r="45" spans="1:12" ht="15.75">
      <c r="A45" s="26" t="str">
        <v>QMOA</v>
      </c>
      <c r="B45" s="27" t="str">
        <v>NY</v>
      </c>
      <c r="C45" s="25" t="str">
        <f>Sites[[#This Row],[SOL'#]]</f>
        <v>SOL-10415</v>
      </c>
      <c r="D45" s="9"/>
      <c r="E45" s="14"/>
      <c r="F45" s="14" t="str">
        <f t="shared" si="4"/>
        <v/>
      </c>
      <c r="G45" s="15" t="str">
        <f t="shared" si="5"/>
        <v/>
      </c>
      <c r="H45" s="16"/>
      <c r="I45" s="16" t="str">
        <f t="shared" si="6"/>
        <v/>
      </c>
      <c r="J45" s="15" t="str">
        <f t="shared" si="7"/>
        <v/>
      </c>
      <c r="K45" s="51"/>
      <c r="L45" s="88"/>
    </row>
    <row r="46" spans="1:12" ht="15.75">
      <c r="A46" s="24" t="str">
        <v>X024</v>
      </c>
      <c r="B46" s="25" t="str">
        <v>NY</v>
      </c>
      <c r="C46" s="25" t="str">
        <f>Sites[[#This Row],[SOL'#]]</f>
        <v>SOL-10419</v>
      </c>
      <c r="D46" s="20"/>
      <c r="E46" s="10"/>
      <c r="F46" s="10" t="str">
        <f t="shared" si="4"/>
        <v/>
      </c>
      <c r="G46" s="11" t="str">
        <f t="shared" si="5"/>
        <v/>
      </c>
      <c r="H46" s="12"/>
      <c r="I46" s="12" t="str">
        <f t="shared" si="6"/>
        <v/>
      </c>
      <c r="J46" s="13" t="str">
        <f t="shared" si="7"/>
        <v/>
      </c>
      <c r="K46" s="53"/>
      <c r="L46" s="47"/>
    </row>
    <row r="47" spans="1:12" ht="15.75">
      <c r="A47" s="26" t="str">
        <v>X026</v>
      </c>
      <c r="B47" s="27" t="str">
        <v>NY</v>
      </c>
      <c r="C47" s="25" t="str">
        <f>Sites[[#This Row],[SOL'#]]</f>
        <v>SOL-10420</v>
      </c>
      <c r="D47" s="9"/>
      <c r="E47" s="14"/>
      <c r="F47" s="14" t="str">
        <f t="shared" si="4"/>
        <v/>
      </c>
      <c r="G47" s="15" t="str">
        <f t="shared" si="5"/>
        <v/>
      </c>
      <c r="H47" s="16"/>
      <c r="I47" s="16" t="str">
        <f t="shared" si="6"/>
        <v/>
      </c>
      <c r="J47" s="15" t="str">
        <f t="shared" si="7"/>
        <v/>
      </c>
      <c r="K47" s="51"/>
      <c r="L47" s="139"/>
    </row>
    <row r="48" spans="1:12" ht="15.75">
      <c r="A48" s="24" t="str">
        <v>X090</v>
      </c>
      <c r="B48" s="25" t="str">
        <v>NY</v>
      </c>
      <c r="C48" s="25" t="str">
        <f>Sites[[#This Row],[SOL'#]]</f>
        <v>SOL-10925</v>
      </c>
      <c r="D48" s="20"/>
      <c r="E48" s="10"/>
      <c r="F48" s="10" t="str">
        <f t="shared" si="4"/>
        <v/>
      </c>
      <c r="G48" s="11" t="str">
        <f t="shared" si="5"/>
        <v/>
      </c>
      <c r="H48" s="12"/>
      <c r="I48" s="12" t="str">
        <f t="shared" si="6"/>
        <v/>
      </c>
      <c r="J48" s="13" t="str">
        <f t="shared" si="7"/>
        <v/>
      </c>
      <c r="K48" s="53"/>
      <c r="L48" s="47"/>
    </row>
    <row r="49" spans="1:12" ht="15.75">
      <c r="A49" s="26" t="str">
        <v>X117</v>
      </c>
      <c r="B49" s="27" t="str">
        <v>NY</v>
      </c>
      <c r="C49" s="25" t="str">
        <f>Sites[[#This Row],[SOL'#]]</f>
        <v>SOL-10422</v>
      </c>
      <c r="D49" s="9"/>
      <c r="E49" s="14"/>
      <c r="F49" s="14" t="str">
        <f t="shared" si="4"/>
        <v/>
      </c>
      <c r="G49" s="15" t="str">
        <f t="shared" si="5"/>
        <v/>
      </c>
      <c r="H49" s="16"/>
      <c r="I49" s="16" t="str">
        <f t="shared" si="6"/>
        <v/>
      </c>
      <c r="J49" s="15" t="str">
        <f t="shared" si="7"/>
        <v/>
      </c>
      <c r="K49" s="51"/>
      <c r="L49" s="88"/>
    </row>
    <row r="50" spans="1:12" ht="15.75">
      <c r="A50" s="24" t="str">
        <v>X125</v>
      </c>
      <c r="B50" s="25" t="str">
        <v>NY</v>
      </c>
      <c r="C50" s="25" t="str">
        <f>Sites[[#This Row],[SOL'#]]</f>
        <v>SOL-10423</v>
      </c>
      <c r="D50" s="20"/>
      <c r="E50" s="10"/>
      <c r="F50" s="10" t="str">
        <f t="shared" si="4"/>
        <v/>
      </c>
      <c r="G50" s="11" t="str">
        <f t="shared" si="5"/>
        <v/>
      </c>
      <c r="H50" s="12"/>
      <c r="I50" s="12" t="str">
        <f t="shared" si="6"/>
        <v/>
      </c>
      <c r="J50" s="13" t="str">
        <f t="shared" si="7"/>
        <v/>
      </c>
      <c r="K50" s="53"/>
      <c r="L50" s="47"/>
    </row>
    <row r="51" spans="1:12" ht="15.75">
      <c r="A51" s="26" t="str">
        <v>X134</v>
      </c>
      <c r="B51" s="27" t="str">
        <v>NY</v>
      </c>
      <c r="C51" s="25" t="str">
        <f>Sites[[#This Row],[SOL'#]]</f>
        <v>SOL-10424</v>
      </c>
      <c r="D51" s="9"/>
      <c r="E51" s="14"/>
      <c r="F51" s="14" t="str">
        <f t="shared" si="4"/>
        <v/>
      </c>
      <c r="G51" s="15" t="str">
        <f t="shared" si="5"/>
        <v/>
      </c>
      <c r="H51" s="16"/>
      <c r="I51" s="16" t="str">
        <f t="shared" si="6"/>
        <v/>
      </c>
      <c r="J51" s="15" t="str">
        <f t="shared" si="7"/>
        <v/>
      </c>
      <c r="K51" s="51"/>
      <c r="L51" s="139"/>
    </row>
    <row r="52" spans="1:12" ht="15.75">
      <c r="A52" s="24" t="str">
        <v>X135</v>
      </c>
      <c r="B52" s="25" t="str">
        <v>NY</v>
      </c>
      <c r="C52" s="25" t="str">
        <f>Sites[[#This Row],[SOL'#]]</f>
        <v>SOL-10425</v>
      </c>
      <c r="D52" s="20"/>
      <c r="E52" s="10"/>
      <c r="F52" s="10" t="str">
        <f t="shared" si="4"/>
        <v/>
      </c>
      <c r="G52" s="11" t="str">
        <f t="shared" si="5"/>
        <v/>
      </c>
      <c r="H52" s="12"/>
      <c r="I52" s="12" t="str">
        <f t="shared" si="6"/>
        <v/>
      </c>
      <c r="J52" s="13" t="str">
        <f t="shared" si="7"/>
        <v/>
      </c>
      <c r="K52" s="73"/>
      <c r="L52" s="111"/>
    </row>
    <row r="53" spans="1:12" ht="15.75">
      <c r="A53" s="26" t="str">
        <v>X139 JHS 222</v>
      </c>
      <c r="B53" s="27" t="str">
        <v>NY</v>
      </c>
      <c r="C53" s="25" t="str">
        <f>Sites[[#This Row],[SOL'#]]</f>
        <v>SOL-10426</v>
      </c>
      <c r="D53" s="9"/>
      <c r="E53" s="14"/>
      <c r="F53" s="14" t="str">
        <f t="shared" si="4"/>
        <v/>
      </c>
      <c r="G53" s="15" t="str">
        <f t="shared" si="5"/>
        <v/>
      </c>
      <c r="H53" s="16"/>
      <c r="I53" s="16" t="str">
        <f t="shared" si="6"/>
        <v/>
      </c>
      <c r="J53" s="15" t="str">
        <f t="shared" si="7"/>
        <v/>
      </c>
      <c r="K53" s="51"/>
      <c r="L53" s="139"/>
    </row>
    <row r="54" spans="1:12" ht="15.75">
      <c r="A54" s="24" t="str">
        <v>X140</v>
      </c>
      <c r="B54" s="25" t="str">
        <v>NY</v>
      </c>
      <c r="C54" s="25" t="str">
        <f>Sites[[#This Row],[SOL'#]]</f>
        <v>SOL-10926</v>
      </c>
      <c r="D54" s="20"/>
      <c r="E54" s="10"/>
      <c r="F54" s="10" t="str">
        <f t="shared" si="4"/>
        <v/>
      </c>
      <c r="G54" s="11" t="str">
        <f t="shared" si="5"/>
        <v/>
      </c>
      <c r="H54" s="12"/>
      <c r="I54" s="12" t="str">
        <f t="shared" si="6"/>
        <v/>
      </c>
      <c r="J54" s="13" t="str">
        <f t="shared" si="7"/>
        <v/>
      </c>
      <c r="K54" s="53"/>
      <c r="L54" s="47"/>
    </row>
    <row r="55" spans="1:12" ht="15.75">
      <c r="A55" s="26" t="str">
        <v>X166</v>
      </c>
      <c r="B55" s="27" t="str">
        <v>NY</v>
      </c>
      <c r="C55" s="25" t="str">
        <f>Sites[[#This Row],[SOL'#]]</f>
        <v>SOL-10427</v>
      </c>
      <c r="D55" s="9"/>
      <c r="E55" s="14"/>
      <c r="F55" s="14" t="str">
        <f t="shared" si="4"/>
        <v/>
      </c>
      <c r="G55" s="15" t="str">
        <f t="shared" si="5"/>
        <v/>
      </c>
      <c r="H55" s="16"/>
      <c r="I55" s="16" t="str">
        <f t="shared" si="6"/>
        <v/>
      </c>
      <c r="J55" s="15" t="str">
        <f t="shared" si="7"/>
        <v/>
      </c>
      <c r="K55" s="51"/>
      <c r="L55" s="88"/>
    </row>
    <row r="56" spans="1:12" ht="15.75">
      <c r="A56" s="24" t="str">
        <v>Murphy</v>
      </c>
      <c r="B56" s="25" t="str">
        <v>MN</v>
      </c>
      <c r="C56" s="25" t="str">
        <f>Sites[[#This Row],[SOL'#]]</f>
        <v>SOL-10094</v>
      </c>
      <c r="D56" s="20"/>
      <c r="E56" s="10"/>
      <c r="F56" s="10" t="str">
        <f t="shared" si="4"/>
        <v/>
      </c>
      <c r="G56" s="11" t="str">
        <f t="shared" si="5"/>
        <v/>
      </c>
      <c r="H56" s="12"/>
      <c r="I56" s="12" t="str">
        <f t="shared" si="6"/>
        <v/>
      </c>
      <c r="J56" s="13" t="str">
        <f t="shared" si="7"/>
        <v/>
      </c>
      <c r="K56" s="53"/>
      <c r="L56" s="47"/>
    </row>
    <row r="57" spans="1:12" ht="15.75">
      <c r="A57" s="26" t="str">
        <v>Terning</v>
      </c>
      <c r="B57" s="27" t="str">
        <v>MN</v>
      </c>
      <c r="C57" s="25" t="str">
        <f>Sites[[#This Row],[SOL'#]]</f>
        <v>SOL-10093</v>
      </c>
      <c r="D57" s="9"/>
      <c r="E57" s="14"/>
      <c r="F57" s="14" t="str">
        <f t="shared" si="4"/>
        <v/>
      </c>
      <c r="G57" s="15" t="str">
        <f t="shared" si="5"/>
        <v/>
      </c>
      <c r="H57" s="16"/>
      <c r="I57" s="16" t="str">
        <f t="shared" si="6"/>
        <v/>
      </c>
      <c r="J57" s="15" t="str">
        <f t="shared" si="7"/>
        <v/>
      </c>
      <c r="K57" s="51"/>
      <c r="L57" s="88"/>
    </row>
    <row r="58" spans="1:12" ht="15.75">
      <c r="A58" s="24" t="str">
        <v>Boas Road 04</v>
      </c>
      <c r="B58" s="25" t="str">
        <v>NY</v>
      </c>
      <c r="C58" s="25" t="str">
        <f>Sites[[#This Row],[SOL'#]]</f>
        <v>SOL-10908</v>
      </c>
      <c r="D58" s="20"/>
      <c r="E58" s="10"/>
      <c r="F58" s="10" t="str">
        <f t="shared" si="4"/>
        <v/>
      </c>
      <c r="G58" s="11" t="str">
        <f t="shared" si="5"/>
        <v/>
      </c>
      <c r="H58" s="12"/>
      <c r="I58" s="12" t="str">
        <f t="shared" si="6"/>
        <v/>
      </c>
      <c r="J58" s="13" t="str">
        <f t="shared" si="7"/>
        <v/>
      </c>
      <c r="K58" s="53"/>
      <c r="L58" s="47"/>
    </row>
    <row r="59" spans="1:12" ht="15.75">
      <c r="A59" s="26" t="str">
        <v>Kelly Bridge Farm</v>
      </c>
      <c r="B59" s="27" t="str">
        <v>NY</v>
      </c>
      <c r="C59" s="25" t="str">
        <f>Sites[[#This Row],[SOL'#]]</f>
        <v>SOL-10911</v>
      </c>
      <c r="D59" s="9"/>
      <c r="E59" s="14"/>
      <c r="F59" s="14" t="str">
        <f t="shared" si="4"/>
        <v/>
      </c>
      <c r="G59" s="15" t="str">
        <f t="shared" si="5"/>
        <v/>
      </c>
      <c r="H59" s="16"/>
      <c r="I59" s="16" t="str">
        <f t="shared" si="6"/>
        <v/>
      </c>
      <c r="J59" s="15" t="str">
        <f t="shared" si="7"/>
        <v/>
      </c>
      <c r="K59" s="51"/>
      <c r="L59" s="88"/>
    </row>
    <row r="60" spans="1:12" ht="15.75">
      <c r="A60" s="24" t="str">
        <v>Pool Brook Road</v>
      </c>
      <c r="B60" s="25" t="str">
        <v>NY</v>
      </c>
      <c r="C60" s="25" t="str">
        <f>Sites[[#This Row],[SOL'#]]</f>
        <v>SOL-10909</v>
      </c>
      <c r="D60" s="20"/>
      <c r="E60" s="10"/>
      <c r="F60" s="10" t="str">
        <f t="shared" si="4"/>
        <v/>
      </c>
      <c r="G60" s="11" t="str">
        <f t="shared" si="5"/>
        <v/>
      </c>
      <c r="H60" s="12"/>
      <c r="I60" s="12" t="str">
        <f t="shared" si="6"/>
        <v/>
      </c>
      <c r="J60" s="13" t="str">
        <f t="shared" si="7"/>
        <v/>
      </c>
      <c r="K60" s="53"/>
      <c r="L60" s="47"/>
    </row>
    <row r="61" spans="1:12" ht="15.75">
      <c r="A61" s="26" t="str">
        <v>Sackett Lake</v>
      </c>
      <c r="B61" s="27" t="str">
        <v>NY</v>
      </c>
      <c r="C61" s="25" t="str">
        <f>Sites[[#This Row],[SOL'#]]</f>
        <v>SOL-10910</v>
      </c>
      <c r="D61" s="9"/>
      <c r="E61" s="14"/>
      <c r="F61" s="14" t="str">
        <f t="shared" si="4"/>
        <v/>
      </c>
      <c r="G61" s="15" t="str">
        <f t="shared" si="5"/>
        <v/>
      </c>
      <c r="H61" s="16"/>
      <c r="I61" s="16" t="str">
        <f t="shared" si="6"/>
        <v/>
      </c>
      <c r="J61" s="15" t="str">
        <f t="shared" si="7"/>
        <v/>
      </c>
      <c r="K61" s="51"/>
      <c r="L61" s="88"/>
    </row>
    <row r="62" spans="1:12" ht="15.75">
      <c r="A62" s="24" t="str">
        <v>Burritt Road</v>
      </c>
      <c r="B62" s="25" t="str">
        <v>NY</v>
      </c>
      <c r="C62" s="25" t="str">
        <f>Sites[[#This Row],[SOL'#]]</f>
        <v>SOL-10913</v>
      </c>
      <c r="D62" s="20"/>
      <c r="E62" s="10"/>
      <c r="F62" s="10" t="str">
        <f t="shared" si="4"/>
        <v/>
      </c>
      <c r="G62" s="11" t="str">
        <f t="shared" si="5"/>
        <v/>
      </c>
      <c r="H62" s="12"/>
      <c r="I62" s="12" t="str">
        <f t="shared" si="6"/>
        <v/>
      </c>
      <c r="J62" s="13" t="str">
        <f t="shared" si="7"/>
        <v/>
      </c>
      <c r="K62" s="53"/>
      <c r="L62" s="47"/>
    </row>
    <row r="63" spans="1:12" ht="15.75">
      <c r="A63" s="26" t="str">
        <v>Villa Roma 1</v>
      </c>
      <c r="B63" s="27" t="str">
        <v>NY</v>
      </c>
      <c r="C63" s="25" t="str">
        <f>Sites[[#This Row],[SOL'#]]</f>
        <v>SOL-10914</v>
      </c>
      <c r="D63" s="9"/>
      <c r="E63" s="14"/>
      <c r="F63" s="14" t="str">
        <f t="shared" si="4"/>
        <v/>
      </c>
      <c r="G63" s="15" t="str">
        <f t="shared" si="5"/>
        <v/>
      </c>
      <c r="H63" s="16"/>
      <c r="I63" s="16" t="str">
        <f t="shared" si="6"/>
        <v/>
      </c>
      <c r="J63" s="15" t="str">
        <f t="shared" si="7"/>
        <v/>
      </c>
      <c r="K63" s="51"/>
      <c r="L63" s="90"/>
    </row>
    <row r="64" spans="1:12" ht="15.75">
      <c r="A64" s="24" t="str">
        <v>Villa Roma 2</v>
      </c>
      <c r="B64" s="25" t="str">
        <v>NY</v>
      </c>
      <c r="C64" s="25" t="str">
        <f>Sites[[#This Row],[SOL'#]]</f>
        <v>SOL-10915</v>
      </c>
      <c r="D64" s="20"/>
      <c r="E64" s="10"/>
      <c r="F64" s="10" t="str">
        <f t="shared" si="4"/>
        <v/>
      </c>
      <c r="G64" s="11" t="str">
        <f t="shared" si="5"/>
        <v/>
      </c>
      <c r="H64" s="12"/>
      <c r="I64" s="12" t="str">
        <f t="shared" si="6"/>
        <v/>
      </c>
      <c r="J64" s="13" t="str">
        <f t="shared" si="7"/>
        <v/>
      </c>
      <c r="K64" s="53"/>
      <c r="L64" s="47"/>
    </row>
    <row r="65" spans="1:12" ht="15.75">
      <c r="A65" s="26" t="str">
        <v>Washington 1</v>
      </c>
      <c r="B65" s="27" t="str">
        <v>NY</v>
      </c>
      <c r="C65" s="25" t="str">
        <f>Sites[[#This Row],[SOL'#]]</f>
        <v>SOL-10912</v>
      </c>
      <c r="D65" s="9"/>
      <c r="E65" s="14"/>
      <c r="F65" s="14" t="str">
        <f t="shared" si="4"/>
        <v/>
      </c>
      <c r="G65" s="15" t="str">
        <f t="shared" si="5"/>
        <v/>
      </c>
      <c r="H65" s="16"/>
      <c r="I65" s="16" t="str">
        <f t="shared" si="6"/>
        <v/>
      </c>
      <c r="J65" s="15" t="str">
        <f t="shared" si="7"/>
        <v/>
      </c>
      <c r="K65" s="51"/>
      <c r="L65" s="139"/>
    </row>
    <row r="66" spans="1:12" ht="15.75">
      <c r="A66" s="24" t="str">
        <v>Washington 3</v>
      </c>
      <c r="B66" s="25" t="str">
        <v>NY</v>
      </c>
      <c r="C66" s="25" t="str">
        <f>Sites[[#This Row],[SOL'#]]</f>
        <v>SOL-10828</v>
      </c>
      <c r="D66" s="20"/>
      <c r="E66" s="10"/>
      <c r="F66" s="10" t="str">
        <f t="shared" si="4"/>
        <v/>
      </c>
      <c r="G66" s="11" t="str">
        <f t="shared" si="5"/>
        <v/>
      </c>
      <c r="H66" s="12"/>
      <c r="I66" s="12" t="str">
        <f t="shared" si="6"/>
        <v/>
      </c>
      <c r="J66" s="13" t="str">
        <f t="shared" si="7"/>
        <v/>
      </c>
      <c r="K66" s="53"/>
      <c r="L66" s="47"/>
    </row>
    <row r="67" spans="1:12" ht="15.75">
      <c r="A67" s="26" t="str">
        <v>Washington 4</v>
      </c>
      <c r="B67" s="27" t="str">
        <v>NY</v>
      </c>
      <c r="C67" s="25" t="str">
        <f>Sites[[#This Row],[SOL'#]]</f>
        <v>SOL-10829</v>
      </c>
      <c r="D67" s="9"/>
      <c r="E67" s="14"/>
      <c r="F67" s="14" t="str">
        <f t="shared" si="4"/>
        <v/>
      </c>
      <c r="G67" s="15" t="str">
        <f t="shared" si="5"/>
        <v/>
      </c>
      <c r="H67" s="16"/>
      <c r="I67" s="16" t="str">
        <f t="shared" si="6"/>
        <v/>
      </c>
      <c r="J67" s="15" t="str">
        <f t="shared" si="7"/>
        <v/>
      </c>
      <c r="K67" s="51"/>
      <c r="L67" s="88"/>
    </row>
    <row r="68" spans="1:12" ht="15.75">
      <c r="A68" s="24" t="str">
        <v>Big Tree</v>
      </c>
      <c r="B68" s="25" t="str">
        <v>NY</v>
      </c>
      <c r="C68" s="25" t="str">
        <f>Sites[[#This Row],[SOL'#]]</f>
        <v>SOL-10966</v>
      </c>
      <c r="D68" s="20"/>
      <c r="E68" s="10"/>
      <c r="F68" s="10" t="str">
        <f t="shared" si="4"/>
        <v/>
      </c>
      <c r="G68" s="11" t="str">
        <f t="shared" si="5"/>
        <v/>
      </c>
      <c r="H68" s="12"/>
      <c r="I68" s="12" t="str">
        <f t="shared" si="6"/>
        <v/>
      </c>
      <c r="J68" s="13" t="str">
        <f t="shared" si="7"/>
        <v/>
      </c>
      <c r="K68" s="53"/>
      <c r="L68" s="47"/>
    </row>
    <row r="69" spans="1:12" ht="15.75">
      <c r="A69" s="26" t="str">
        <v>Canoga</v>
      </c>
      <c r="B69" s="27" t="str">
        <v>NY</v>
      </c>
      <c r="C69" s="25" t="str">
        <f>Sites[[#This Row],[SOL'#]]</f>
        <v>SOL-10965</v>
      </c>
      <c r="D69" s="9"/>
      <c r="E69" s="14"/>
      <c r="F69" s="14" t="str">
        <f t="shared" si="4"/>
        <v/>
      </c>
      <c r="G69" s="15" t="str">
        <f t="shared" si="5"/>
        <v/>
      </c>
      <c r="H69" s="16"/>
      <c r="I69" s="16" t="str">
        <f t="shared" si="6"/>
        <v/>
      </c>
      <c r="J69" s="15" t="str">
        <f t="shared" si="7"/>
        <v/>
      </c>
      <c r="K69" s="51"/>
      <c r="L69" s="139"/>
    </row>
    <row r="70" spans="1:12" ht="15.75">
      <c r="A70" s="24" t="str">
        <v>County Route 84</v>
      </c>
      <c r="B70" s="25" t="str">
        <v>NY</v>
      </c>
      <c r="C70" s="25" t="str">
        <f>Sites[[#This Row],[SOL'#]]</f>
        <v>SOL-10967</v>
      </c>
      <c r="D70" s="20"/>
      <c r="E70" s="10"/>
      <c r="F70" s="10" t="str">
        <f t="shared" si="4"/>
        <v/>
      </c>
      <c r="G70" s="11" t="str">
        <f t="shared" si="5"/>
        <v/>
      </c>
      <c r="H70" s="12"/>
      <c r="I70" s="12" t="str">
        <f t="shared" si="6"/>
        <v/>
      </c>
      <c r="J70" s="13" t="str">
        <f t="shared" si="7"/>
        <v/>
      </c>
      <c r="K70" s="53"/>
      <c r="L70" s="47"/>
    </row>
    <row r="71" spans="1:12" ht="15.75">
      <c r="A71" s="26" t="str">
        <v>Donati</v>
      </c>
      <c r="B71" s="27" t="str">
        <v>NY</v>
      </c>
      <c r="C71" s="25" t="str">
        <f>Sites[[#This Row],[SOL'#]]</f>
        <v>SOL-10968</v>
      </c>
      <c r="D71" s="9"/>
      <c r="E71" s="14"/>
      <c r="F71" s="14" t="str">
        <f t="shared" si="4"/>
        <v/>
      </c>
      <c r="G71" s="15" t="str">
        <f t="shared" si="5"/>
        <v/>
      </c>
      <c r="H71" s="16"/>
      <c r="I71" s="16" t="str">
        <f t="shared" si="6"/>
        <v/>
      </c>
      <c r="J71" s="15" t="str">
        <f t="shared" si="7"/>
        <v/>
      </c>
      <c r="K71" s="51"/>
      <c r="L71" s="88"/>
    </row>
    <row r="72" spans="1:12" ht="15.75">
      <c r="A72" s="24" t="str">
        <v>Henrietta</v>
      </c>
      <c r="B72" s="25" t="str">
        <v>NY</v>
      </c>
      <c r="C72" s="25" t="str">
        <f>Sites[[#This Row],[SOL'#]]</f>
        <v>SOL-10972</v>
      </c>
      <c r="D72" s="20"/>
      <c r="E72" s="10"/>
      <c r="F72" s="10" t="str">
        <f t="shared" si="4"/>
        <v/>
      </c>
      <c r="G72" s="11" t="str">
        <f t="shared" si="5"/>
        <v/>
      </c>
      <c r="H72" s="12"/>
      <c r="I72" s="12" t="str">
        <f t="shared" si="6"/>
        <v/>
      </c>
      <c r="J72" s="13" t="str">
        <f t="shared" si="7"/>
        <v/>
      </c>
      <c r="K72" s="53"/>
      <c r="L72" s="47"/>
    </row>
    <row r="73" spans="1:12" ht="15.75">
      <c r="A73" s="26" t="str">
        <v>NY 70</v>
      </c>
      <c r="B73" s="27" t="str">
        <v>NY</v>
      </c>
      <c r="C73" s="25" t="str">
        <f>Sites[[#This Row],[SOL'#]]</f>
        <v>SOL-10970</v>
      </c>
      <c r="D73" s="9"/>
      <c r="E73" s="14"/>
      <c r="F73" s="14" t="str">
        <f t="shared" si="4"/>
        <v/>
      </c>
      <c r="G73" s="15" t="str">
        <f t="shared" si="5"/>
        <v/>
      </c>
      <c r="H73" s="16"/>
      <c r="I73" s="16" t="str">
        <f t="shared" si="6"/>
        <v/>
      </c>
      <c r="J73" s="15" t="str">
        <f t="shared" si="7"/>
        <v/>
      </c>
      <c r="K73" s="51"/>
      <c r="L73" s="88"/>
    </row>
    <row r="74" spans="1:12" ht="15.75">
      <c r="A74" s="24" t="str">
        <v>Reid</v>
      </c>
      <c r="B74" s="25" t="str">
        <v>NY</v>
      </c>
      <c r="C74" s="25" t="str">
        <f>Sites[[#This Row],[SOL'#]]</f>
        <v>SOL-10991</v>
      </c>
      <c r="D74" s="20"/>
      <c r="E74" s="10"/>
      <c r="F74" s="10" t="str">
        <f t="shared" si="4"/>
        <v/>
      </c>
      <c r="G74" s="11" t="str">
        <f t="shared" si="5"/>
        <v/>
      </c>
      <c r="H74" s="12"/>
      <c r="I74" s="12" t="str">
        <f t="shared" si="6"/>
        <v/>
      </c>
      <c r="J74" s="13" t="str">
        <f t="shared" si="7"/>
        <v/>
      </c>
      <c r="K74" s="53"/>
      <c r="L74" s="47"/>
    </row>
    <row r="75" spans="1:12" ht="15.75">
      <c r="A75" s="26" t="str">
        <v>Sangolqui</v>
      </c>
      <c r="B75" s="27" t="str">
        <v>NY</v>
      </c>
      <c r="C75" s="25" t="str">
        <f>Sites[[#This Row],[SOL'#]]</f>
        <v>SOL-10975</v>
      </c>
      <c r="D75" s="9"/>
      <c r="E75" s="14"/>
      <c r="F75" s="14" t="str">
        <f t="shared" si="4"/>
        <v/>
      </c>
      <c r="G75" s="15" t="str">
        <f t="shared" si="5"/>
        <v/>
      </c>
      <c r="H75" s="16"/>
      <c r="I75" s="16" t="str">
        <f t="shared" si="6"/>
        <v/>
      </c>
      <c r="J75" s="15" t="str">
        <f t="shared" si="7"/>
        <v/>
      </c>
      <c r="K75" s="51"/>
      <c r="L75" s="88"/>
    </row>
    <row r="76" spans="1:12" ht="15.75">
      <c r="A76" s="24" t="str">
        <v>State Highway 17B</v>
      </c>
      <c r="B76" s="25" t="str">
        <v>NY</v>
      </c>
      <c r="C76" s="25" t="str">
        <f>Sites[[#This Row],[SOL'#]]</f>
        <v>SOL-10988</v>
      </c>
      <c r="D76" s="20"/>
      <c r="E76" s="10"/>
      <c r="F76" s="10" t="str">
        <f t="shared" si="4"/>
        <v/>
      </c>
      <c r="G76" s="11" t="str">
        <f t="shared" si="5"/>
        <v/>
      </c>
      <c r="H76" s="12"/>
      <c r="I76" s="12" t="str">
        <f t="shared" si="6"/>
        <v/>
      </c>
      <c r="J76" s="13" t="str">
        <f t="shared" si="7"/>
        <v/>
      </c>
      <c r="K76" s="53"/>
      <c r="L76" s="47"/>
    </row>
    <row r="77" spans="1:12" ht="42" customHeight="1">
      <c r="A77" s="26" t="str">
        <v>State Route 14A</v>
      </c>
      <c r="B77" s="27" t="str">
        <v>NY</v>
      </c>
      <c r="C77" s="25" t="str">
        <f>Sites[[#This Row],[SOL'#]]</f>
        <v>SOL-10997</v>
      </c>
      <c r="D77" s="9"/>
      <c r="E77" s="14"/>
      <c r="F77" s="14" t="str">
        <f t="shared" si="4"/>
        <v/>
      </c>
      <c r="G77" s="15" t="str">
        <f t="shared" si="5"/>
        <v/>
      </c>
      <c r="H77" s="16"/>
      <c r="I77" s="16" t="str">
        <f t="shared" si="6"/>
        <v/>
      </c>
      <c r="J77" s="15" t="str">
        <f t="shared" si="7"/>
        <v/>
      </c>
      <c r="K77" s="51"/>
      <c r="L77" s="139"/>
    </row>
    <row r="78" spans="1:12" ht="15.75">
      <c r="A78" s="24" t="str">
        <v>West Creek</v>
      </c>
      <c r="B78" s="25" t="str">
        <v>NY</v>
      </c>
      <c r="C78" s="25" t="str">
        <f>Sites[[#This Row],[SOL'#]]</f>
        <v>SOL-10995</v>
      </c>
      <c r="D78" s="20"/>
      <c r="E78" s="10"/>
      <c r="F78" s="10" t="str">
        <f t="shared" si="4"/>
        <v/>
      </c>
      <c r="G78" s="11" t="str">
        <f t="shared" si="5"/>
        <v/>
      </c>
      <c r="H78" s="12"/>
      <c r="I78" s="12" t="str">
        <f t="shared" si="6"/>
        <v/>
      </c>
      <c r="J78" s="13" t="str">
        <f t="shared" si="7"/>
        <v/>
      </c>
      <c r="K78" s="53"/>
      <c r="L78" s="47"/>
    </row>
    <row r="79" spans="1:12" ht="15.75">
      <c r="A79" s="26" t="str">
        <v>Wildflower</v>
      </c>
      <c r="B79" s="27" t="str">
        <v>NY</v>
      </c>
      <c r="C79" s="25" t="str">
        <f>Sites[[#This Row],[SOL'#]]</f>
        <v>SOL-10982</v>
      </c>
      <c r="D79" s="9"/>
      <c r="E79" s="14"/>
      <c r="F79" s="14" t="str">
        <f t="shared" si="4"/>
        <v/>
      </c>
      <c r="G79" s="15" t="str">
        <f t="shared" si="5"/>
        <v/>
      </c>
      <c r="H79" s="16"/>
      <c r="I79" s="16" t="str">
        <f t="shared" si="6"/>
        <v/>
      </c>
      <c r="J79" s="15" t="str">
        <f t="shared" si="7"/>
        <v/>
      </c>
      <c r="K79" s="51"/>
      <c r="L79" s="88"/>
    </row>
    <row r="80" spans="1:12" ht="15.75">
      <c r="A80" s="24" t="str">
        <v>Glen Mary 1</v>
      </c>
      <c r="B80" s="25" t="str">
        <v>NY</v>
      </c>
      <c r="C80" s="25" t="str">
        <f>Sites[[#This Row],[SOL'#]]</f>
        <v>SOL-10993</v>
      </c>
      <c r="D80" s="20"/>
      <c r="E80" s="10"/>
      <c r="F80" s="10" t="str">
        <f t="shared" si="4"/>
        <v/>
      </c>
      <c r="G80" s="11" t="str">
        <f t="shared" si="5"/>
        <v/>
      </c>
      <c r="H80" s="12"/>
      <c r="I80" s="12" t="str">
        <f t="shared" si="6"/>
        <v/>
      </c>
      <c r="J80" s="13" t="str">
        <f t="shared" si="7"/>
        <v/>
      </c>
      <c r="K80" s="53"/>
      <c r="L80" s="47"/>
    </row>
    <row r="81" spans="1:12" ht="94.5" customHeight="1">
      <c r="A81" s="26" t="str">
        <v>Glen Mary 2</v>
      </c>
      <c r="B81" s="27" t="str">
        <v>NY</v>
      </c>
      <c r="C81" s="25" t="str">
        <f>Sites[[#This Row],[SOL'#]]</f>
        <v>SOL-10994</v>
      </c>
      <c r="D81" s="9"/>
      <c r="E81" s="14"/>
      <c r="F81" s="14" t="str">
        <f t="shared" si="4"/>
        <v/>
      </c>
      <c r="G81" s="15" t="str">
        <f t="shared" si="5"/>
        <v/>
      </c>
      <c r="H81" s="16"/>
      <c r="I81" s="16" t="str">
        <f t="shared" si="6"/>
        <v/>
      </c>
      <c r="J81" s="15" t="str">
        <f t="shared" si="7"/>
        <v/>
      </c>
      <c r="K81" s="51"/>
      <c r="L81" s="90"/>
    </row>
    <row r="82" spans="1:12" ht="15.75">
      <c r="A82" s="24" t="str">
        <v>Telegraph 1</v>
      </c>
      <c r="B82" s="25" t="str">
        <v>NY</v>
      </c>
      <c r="C82" s="25" t="str">
        <f>Sites[[#This Row],[SOL'#]]</f>
        <v>SOL-11003</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3"/>
      <c r="L82" s="47"/>
    </row>
    <row r="83" spans="1:12" ht="121.5" customHeight="1">
      <c r="A83" s="26" t="str">
        <v>Telegraph 2</v>
      </c>
      <c r="B83" s="27" t="str">
        <v>NY</v>
      </c>
      <c r="C83" s="25" t="str">
        <f>Sites[[#This Row],[SOL'#]]</f>
        <v>SOL-11004</v>
      </c>
      <c r="D83" s="9"/>
      <c r="E83" s="14"/>
      <c r="F83" s="14" t="str">
        <f t="shared" si="8"/>
        <v/>
      </c>
      <c r="G83" s="15" t="str">
        <f t="shared" si="9"/>
        <v/>
      </c>
      <c r="H83" s="16"/>
      <c r="I83" s="16" t="str">
        <f t="shared" si="10"/>
        <v/>
      </c>
      <c r="J83" s="15" t="str">
        <f t="shared" si="11"/>
        <v/>
      </c>
      <c r="K83" s="51"/>
      <c r="L83" s="139"/>
    </row>
    <row r="84" spans="1:12" ht="15.75">
      <c r="A84" s="24" t="str">
        <v>Cafferty Hill</v>
      </c>
      <c r="B84" s="25" t="str">
        <v>NY</v>
      </c>
      <c r="C84" s="25" t="str">
        <f>Sites[[#This Row],[SOL'#]]</f>
        <v>SOL-10996</v>
      </c>
      <c r="D84" s="20"/>
      <c r="E84" s="10"/>
      <c r="F84" s="10" t="str">
        <f t="shared" si="8"/>
        <v/>
      </c>
      <c r="G84" s="11" t="str">
        <f t="shared" si="9"/>
        <v/>
      </c>
      <c r="H84" s="12"/>
      <c r="I84" s="12" t="str">
        <f t="shared" si="10"/>
        <v/>
      </c>
      <c r="J84" s="13" t="str">
        <f t="shared" si="11"/>
        <v/>
      </c>
      <c r="K84" s="53"/>
      <c r="L84" s="47"/>
    </row>
    <row r="85" spans="1:12" ht="15.75">
      <c r="A85" s="26" t="str">
        <v>Dunkleman</v>
      </c>
      <c r="B85" s="27" t="str">
        <v>NY</v>
      </c>
      <c r="C85" s="25" t="str">
        <f>Sites[[#This Row],[SOL'#]]</f>
        <v>SOL-11008</v>
      </c>
      <c r="D85" s="9"/>
      <c r="E85" s="14"/>
      <c r="F85" s="14" t="str">
        <f t="shared" si="8"/>
        <v/>
      </c>
      <c r="G85" s="15" t="str">
        <f t="shared" si="9"/>
        <v/>
      </c>
      <c r="H85" s="16"/>
      <c r="I85" s="16" t="str">
        <f t="shared" si="10"/>
        <v/>
      </c>
      <c r="J85" s="15" t="str">
        <f t="shared" si="11"/>
        <v/>
      </c>
      <c r="K85" s="51"/>
      <c r="L85" s="88"/>
    </row>
    <row r="86" spans="1:12" ht="15.75">
      <c r="A86" s="24" t="str">
        <v>Route 19 1</v>
      </c>
      <c r="B86" s="25" t="str">
        <v>NY</v>
      </c>
      <c r="C86" s="25" t="str">
        <f>Sites[[#This Row],[SOL'#]]</f>
        <v>SOL-11001</v>
      </c>
      <c r="D86" s="20"/>
      <c r="E86" s="10"/>
      <c r="F86" s="10" t="str">
        <f t="shared" si="8"/>
        <v/>
      </c>
      <c r="G86" s="11" t="str">
        <f t="shared" si="9"/>
        <v/>
      </c>
      <c r="H86" s="12"/>
      <c r="I86" s="12" t="str">
        <f t="shared" si="10"/>
        <v/>
      </c>
      <c r="J86" s="13" t="str">
        <f t="shared" si="11"/>
        <v/>
      </c>
      <c r="K86" s="53"/>
      <c r="L86" s="47"/>
    </row>
    <row r="87" spans="1:12" ht="15.75">
      <c r="A87" s="26" t="str">
        <v>Route 19 2</v>
      </c>
      <c r="B87" s="27" t="str">
        <v>NY</v>
      </c>
      <c r="C87" s="25" t="str">
        <f>Sites[[#This Row],[SOL'#]]</f>
        <v>SOL-11002</v>
      </c>
      <c r="D87" s="9"/>
      <c r="E87" s="14"/>
      <c r="F87" s="14" t="str">
        <f t="shared" si="8"/>
        <v/>
      </c>
      <c r="G87" s="15" t="str">
        <f t="shared" si="9"/>
        <v/>
      </c>
      <c r="H87" s="16"/>
      <c r="I87" s="16" t="str">
        <f t="shared" si="10"/>
        <v/>
      </c>
      <c r="J87" s="15" t="str">
        <f t="shared" si="11"/>
        <v/>
      </c>
      <c r="K87" s="51"/>
      <c r="L87" s="90"/>
    </row>
    <row r="88" spans="1:12" ht="15.75">
      <c r="A88" s="24" t="str">
        <v>Yellow Mills 1</v>
      </c>
      <c r="B88" s="25" t="str">
        <v>NY</v>
      </c>
      <c r="C88" s="25" t="str">
        <f>Sites[[#This Row],[SOL'#]]</f>
        <v>SOL-11006</v>
      </c>
      <c r="D88" s="20"/>
      <c r="E88" s="10"/>
      <c r="F88" s="10" t="str">
        <f t="shared" si="8"/>
        <v/>
      </c>
      <c r="G88" s="11" t="str">
        <f t="shared" si="9"/>
        <v/>
      </c>
      <c r="H88" s="12"/>
      <c r="I88" s="12" t="str">
        <f t="shared" si="10"/>
        <v/>
      </c>
      <c r="J88" s="13" t="str">
        <f t="shared" si="11"/>
        <v/>
      </c>
      <c r="K88" s="53"/>
      <c r="L88" s="47"/>
    </row>
    <row r="89" spans="1:12" ht="15.75">
      <c r="A89" s="26" t="str">
        <v>Yellow Mills 2</v>
      </c>
      <c r="B89" s="27" t="str">
        <v>NY</v>
      </c>
      <c r="C89" s="25" t="str">
        <f>Sites[[#This Row],[SOL'#]]</f>
        <v>SOL-11005</v>
      </c>
      <c r="D89" s="9"/>
      <c r="E89" s="14"/>
      <c r="F89" s="14" t="str">
        <f t="shared" si="8"/>
        <v/>
      </c>
      <c r="G89" s="15" t="str">
        <f t="shared" si="9"/>
        <v/>
      </c>
      <c r="H89" s="16"/>
      <c r="I89" s="16" t="str">
        <f t="shared" si="10"/>
        <v/>
      </c>
      <c r="J89" s="15" t="str">
        <f t="shared" si="11"/>
        <v/>
      </c>
      <c r="K89" s="51"/>
      <c r="L89" s="139"/>
    </row>
    <row r="90" spans="1:12" ht="15.75">
      <c r="A90" s="24" t="str">
        <v>Yellow Mills 3</v>
      </c>
      <c r="B90" s="25" t="str">
        <v>NY</v>
      </c>
      <c r="C90" s="25" t="str">
        <f>Sites[[#This Row],[SOL'#]]</f>
        <v>SOL-11007</v>
      </c>
      <c r="D90" s="20"/>
      <c r="E90" s="10"/>
      <c r="F90" s="10" t="str">
        <f t="shared" si="8"/>
        <v/>
      </c>
      <c r="G90" s="11" t="str">
        <f t="shared" si="9"/>
        <v/>
      </c>
      <c r="H90" s="12"/>
      <c r="I90" s="12" t="str">
        <f t="shared" si="10"/>
        <v/>
      </c>
      <c r="J90" s="13" t="str">
        <f t="shared" si="11"/>
        <v/>
      </c>
      <c r="K90" s="53"/>
      <c r="L90" s="47"/>
    </row>
    <row r="91" spans="1:12" ht="15.75">
      <c r="A91" s="26" t="str">
        <v>Catskill</v>
      </c>
      <c r="B91" s="27" t="str">
        <v>NY</v>
      </c>
      <c r="C91" s="25" t="str">
        <f>Sites[[#This Row],[SOL'#]]</f>
        <v>SOL-11021</v>
      </c>
      <c r="D91" s="9"/>
      <c r="E91" s="14"/>
      <c r="F91" s="14" t="str">
        <f t="shared" si="8"/>
        <v/>
      </c>
      <c r="G91" s="15" t="str">
        <f t="shared" si="9"/>
        <v/>
      </c>
      <c r="H91" s="16"/>
      <c r="I91" s="16" t="str">
        <f t="shared" si="10"/>
        <v/>
      </c>
      <c r="J91" s="15" t="str">
        <f t="shared" si="11"/>
        <v/>
      </c>
      <c r="K91" s="51"/>
      <c r="L91" s="90"/>
    </row>
    <row r="92" spans="1:12" ht="15.75">
      <c r="A92" s="24" t="str">
        <v>Eddy Ridge</v>
      </c>
      <c r="B92" s="25" t="str">
        <v>NY</v>
      </c>
      <c r="C92" s="25" t="str">
        <f>Sites[[#This Row],[SOL'#]]</f>
        <v>SOL-11054</v>
      </c>
      <c r="D92" s="20"/>
      <c r="E92" s="10"/>
      <c r="F92" s="10" t="str">
        <f t="shared" si="8"/>
        <v/>
      </c>
      <c r="G92" s="11" t="str">
        <f t="shared" si="9"/>
        <v/>
      </c>
      <c r="H92" s="12"/>
      <c r="I92" s="12" t="str">
        <f t="shared" si="10"/>
        <v/>
      </c>
      <c r="J92" s="13" t="str">
        <f t="shared" si="11"/>
        <v/>
      </c>
      <c r="K92" s="53"/>
      <c r="L92" s="47"/>
    </row>
    <row r="93" spans="1:12" ht="93" customHeight="1">
      <c r="A93" s="26" t="str">
        <v>Ridgeway #1</v>
      </c>
      <c r="B93" s="27" t="str">
        <v>NY</v>
      </c>
      <c r="C93" s="25" t="str">
        <f>Sites[[#This Row],[SOL'#]]</f>
        <v>SOL-11018</v>
      </c>
      <c r="D93" s="9"/>
      <c r="E93" s="14"/>
      <c r="F93" s="14" t="str">
        <f t="shared" si="8"/>
        <v/>
      </c>
      <c r="G93" s="15" t="str">
        <f t="shared" si="9"/>
        <v/>
      </c>
      <c r="H93" s="16"/>
      <c r="I93" s="16" t="str">
        <f t="shared" si="10"/>
        <v/>
      </c>
      <c r="J93" s="15" t="str">
        <f t="shared" si="11"/>
        <v/>
      </c>
      <c r="K93" s="51"/>
      <c r="L93" s="139"/>
    </row>
    <row r="94" spans="1:12" ht="15.75">
      <c r="A94" s="24" t="str">
        <v>Rivard 1</v>
      </c>
      <c r="B94" s="25" t="str">
        <v>NY</v>
      </c>
      <c r="C94" s="25" t="str">
        <f>Sites[[#This Row],[SOL'#]]</f>
        <v>SOL-11011</v>
      </c>
      <c r="D94" s="20"/>
      <c r="E94" s="10"/>
      <c r="F94" s="10" t="str">
        <f t="shared" si="8"/>
        <v/>
      </c>
      <c r="G94" s="11" t="str">
        <f t="shared" si="9"/>
        <v/>
      </c>
      <c r="H94" s="12"/>
      <c r="I94" s="12" t="str">
        <f t="shared" si="10"/>
        <v/>
      </c>
      <c r="J94" s="13" t="str">
        <f t="shared" si="11"/>
        <v/>
      </c>
      <c r="K94" s="73"/>
      <c r="L94" s="47"/>
    </row>
    <row r="95" spans="1:12" ht="15.75">
      <c r="A95" s="26" t="str">
        <v>Rivard 2</v>
      </c>
      <c r="B95" s="27" t="str">
        <v>NY</v>
      </c>
      <c r="C95" s="25" t="str">
        <f>Sites[[#This Row],[SOL'#]]</f>
        <v>SOL-11012</v>
      </c>
      <c r="D95" s="9"/>
      <c r="E95" s="14"/>
      <c r="F95" s="14" t="str">
        <f t="shared" si="8"/>
        <v/>
      </c>
      <c r="G95" s="15" t="str">
        <f t="shared" si="9"/>
        <v/>
      </c>
      <c r="H95" s="16"/>
      <c r="I95" s="16" t="str">
        <f t="shared" si="10"/>
        <v/>
      </c>
      <c r="J95" s="15" t="str">
        <f t="shared" si="11"/>
        <v/>
      </c>
      <c r="K95" s="51"/>
      <c r="L95" s="90"/>
    </row>
    <row r="96" spans="1:12" ht="15.75">
      <c r="A96" s="24" t="str">
        <v>Ridgeway #2</v>
      </c>
      <c r="B96" s="25" t="str">
        <v>NY</v>
      </c>
      <c r="C96" s="25" t="str">
        <f>Sites[[#This Row],[SOL'#]]</f>
        <v>SOL-11027</v>
      </c>
      <c r="D96" s="20"/>
      <c r="E96" s="10"/>
      <c r="F96" s="10" t="str">
        <f t="shared" si="8"/>
        <v/>
      </c>
      <c r="G96" s="11" t="str">
        <f t="shared" si="9"/>
        <v/>
      </c>
      <c r="H96" s="12"/>
      <c r="I96" s="12" t="str">
        <f t="shared" si="10"/>
        <v/>
      </c>
      <c r="J96" s="13" t="str">
        <f t="shared" si="11"/>
        <v/>
      </c>
      <c r="K96" s="53"/>
      <c r="L96" s="47"/>
    </row>
    <row r="97" spans="1:12" ht="15.75">
      <c r="A97" s="26" t="str">
        <v>Spencer</v>
      </c>
      <c r="B97" s="27" t="str">
        <v>NY</v>
      </c>
      <c r="C97" s="25" t="str">
        <f>Sites[[#This Row],[SOL'#]]</f>
        <v>SOL-11017</v>
      </c>
      <c r="D97" s="9"/>
      <c r="E97" s="14"/>
      <c r="F97" s="14" t="str">
        <f t="shared" si="8"/>
        <v/>
      </c>
      <c r="G97" s="15" t="str">
        <f t="shared" si="9"/>
        <v/>
      </c>
      <c r="H97" s="16"/>
      <c r="I97" s="16" t="str">
        <f t="shared" si="10"/>
        <v/>
      </c>
      <c r="J97" s="15" t="str">
        <f t="shared" si="11"/>
        <v/>
      </c>
      <c r="K97" s="51"/>
      <c r="L97" s="90"/>
    </row>
    <row r="98" spans="1:12" ht="15.75">
      <c r="A98" s="24" t="str">
        <v>Reisender</v>
      </c>
      <c r="B98" s="25" t="str">
        <v>NY</v>
      </c>
      <c r="C98" s="25" t="str">
        <f>Sites[[#This Row],[SOL'#]]</f>
        <v>SOL-10886</v>
      </c>
      <c r="D98" s="20"/>
      <c r="E98" s="10"/>
      <c r="F98" s="10" t="str">
        <f t="shared" si="8"/>
        <v/>
      </c>
      <c r="G98" s="11" t="str">
        <f t="shared" si="9"/>
        <v/>
      </c>
      <c r="H98" s="12"/>
      <c r="I98" s="12" t="str">
        <f t="shared" si="10"/>
        <v/>
      </c>
      <c r="J98" s="13" t="str">
        <f t="shared" si="11"/>
        <v/>
      </c>
      <c r="K98" s="53"/>
      <c r="L98" s="47"/>
    </row>
    <row r="99" spans="1:12" ht="15.75">
      <c r="A99" s="26" t="str">
        <v>Finney</v>
      </c>
      <c r="B99" s="27" t="str">
        <v>NY</v>
      </c>
      <c r="C99" s="25" t="str">
        <f>Sites[[#This Row],[SOL'#]]</f>
        <v>SOL-10999</v>
      </c>
      <c r="D99" s="9"/>
      <c r="E99" s="14"/>
      <c r="F99" s="14" t="str">
        <f t="shared" si="8"/>
        <v/>
      </c>
      <c r="G99" s="15" t="str">
        <f t="shared" si="9"/>
        <v/>
      </c>
      <c r="H99" s="16"/>
      <c r="I99" s="16" t="str">
        <f t="shared" si="10"/>
        <v/>
      </c>
      <c r="J99" s="15" t="str">
        <f t="shared" si="11"/>
        <v/>
      </c>
      <c r="K99" s="51"/>
      <c r="L99" s="88"/>
    </row>
    <row r="100" spans="1:12" ht="15.75">
      <c r="A100" s="24" t="str">
        <v>Davis Solar</v>
      </c>
      <c r="B100" s="25" t="str">
        <v>NY</v>
      </c>
      <c r="C100" s="25" t="str">
        <f>Sites[[#This Row],[SOL'#]]</f>
        <v>SOL-10958</v>
      </c>
      <c r="D100" s="20"/>
      <c r="E100" s="10"/>
      <c r="F100" s="10" t="str">
        <f t="shared" si="8"/>
        <v/>
      </c>
      <c r="G100" s="11" t="str">
        <f t="shared" si="9"/>
        <v/>
      </c>
      <c r="H100" s="12"/>
      <c r="I100" s="12" t="str">
        <f t="shared" si="10"/>
        <v/>
      </c>
      <c r="J100" s="13" t="str">
        <f t="shared" si="11"/>
        <v/>
      </c>
      <c r="K100" s="53"/>
      <c r="L100" s="47"/>
    </row>
    <row r="101" spans="1:12" ht="15.75">
      <c r="A101" s="26" t="str">
        <v>Genesee</v>
      </c>
      <c r="B101" s="27" t="str">
        <v>NY</v>
      </c>
      <c r="C101" s="25" t="str">
        <f>Sites[[#This Row],[SOL'#]]</f>
        <v>SOL-10951</v>
      </c>
      <c r="D101" s="9"/>
      <c r="E101" s="14"/>
      <c r="F101" s="14" t="str">
        <f t="shared" si="8"/>
        <v/>
      </c>
      <c r="G101" s="15" t="str">
        <f t="shared" si="9"/>
        <v/>
      </c>
      <c r="H101" s="16"/>
      <c r="I101" s="16" t="str">
        <f t="shared" si="10"/>
        <v/>
      </c>
      <c r="J101" s="15" t="str">
        <f t="shared" si="11"/>
        <v/>
      </c>
      <c r="K101" s="51"/>
      <c r="L101" s="139"/>
    </row>
    <row r="102" spans="1:12" ht="15.75">
      <c r="A102" s="24" t="str">
        <v>Landau I</v>
      </c>
      <c r="B102" s="25" t="str">
        <v>NY</v>
      </c>
      <c r="C102" s="25" t="str">
        <f>Sites[[#This Row],[SOL'#]]</f>
        <v>SOL-10891</v>
      </c>
      <c r="D102" s="20"/>
      <c r="E102" s="10"/>
      <c r="F102" s="10" t="str">
        <f t="shared" si="8"/>
        <v/>
      </c>
      <c r="G102" s="11" t="str">
        <f t="shared" si="9"/>
        <v/>
      </c>
      <c r="H102" s="12"/>
      <c r="I102" s="12" t="str">
        <f t="shared" si="10"/>
        <v/>
      </c>
      <c r="J102" s="13" t="str">
        <f t="shared" si="11"/>
        <v/>
      </c>
      <c r="K102" s="53"/>
      <c r="L102" s="47"/>
    </row>
    <row r="103" spans="1:12" ht="15.75">
      <c r="A103" s="26" t="str">
        <v>Landau II</v>
      </c>
      <c r="B103" s="27" t="str">
        <v>NY</v>
      </c>
      <c r="C103" s="25" t="str">
        <f>Sites[[#This Row],[SOL'#]]</f>
        <v>SOL-10895</v>
      </c>
      <c r="D103" s="9"/>
      <c r="E103" s="14"/>
      <c r="F103" s="14" t="str">
        <f t="shared" si="8"/>
        <v/>
      </c>
      <c r="G103" s="15" t="str">
        <f t="shared" si="9"/>
        <v/>
      </c>
      <c r="H103" s="16"/>
      <c r="I103" s="16" t="str">
        <f t="shared" si="10"/>
        <v/>
      </c>
      <c r="J103" s="15" t="str">
        <f t="shared" si="11"/>
        <v/>
      </c>
      <c r="K103" s="51"/>
      <c r="L103" s="88"/>
    </row>
    <row r="104" spans="1:12" ht="105" customHeight="1">
      <c r="A104" s="24" t="str">
        <v>New Beginnings</v>
      </c>
      <c r="B104" s="25" t="str">
        <v>NY</v>
      </c>
      <c r="C104" s="25" t="str">
        <f>Sites[[#This Row],[SOL'#]]</f>
        <v>SOL-10890</v>
      </c>
      <c r="D104" s="20"/>
      <c r="E104" s="10"/>
      <c r="F104" s="10" t="str">
        <f t="shared" si="8"/>
        <v/>
      </c>
      <c r="G104" s="11" t="str">
        <f t="shared" si="9"/>
        <v/>
      </c>
      <c r="H104" s="12"/>
      <c r="I104" s="12" t="str">
        <f t="shared" si="10"/>
        <v/>
      </c>
      <c r="J104" s="13" t="str">
        <f t="shared" si="11"/>
        <v/>
      </c>
      <c r="K104" s="53"/>
      <c r="L104" s="47"/>
    </row>
    <row r="105" spans="1:12" ht="15.75">
      <c r="A105" s="26" t="str">
        <v>Bullitt Farm Solar, LLC</v>
      </c>
      <c r="B105" s="27" t="str">
        <v>NY</v>
      </c>
      <c r="C105" s="25" t="str">
        <f>Sites[[#This Row],[SOL'#]]</f>
        <v>SOL-10998</v>
      </c>
      <c r="D105" s="9"/>
      <c r="E105" s="14"/>
      <c r="F105" s="14" t="str">
        <f t="shared" si="8"/>
        <v/>
      </c>
      <c r="G105" s="15" t="str">
        <f t="shared" si="9"/>
        <v/>
      </c>
      <c r="H105" s="16"/>
      <c r="I105" s="16" t="str">
        <f t="shared" si="10"/>
        <v/>
      </c>
      <c r="J105" s="15" t="str">
        <f t="shared" si="11"/>
        <v/>
      </c>
      <c r="K105" s="51"/>
      <c r="L105" s="139"/>
    </row>
    <row r="106" spans="1:12" ht="15.75">
      <c r="A106" s="24" t="str">
        <v>Brodhead Solar, LLC</v>
      </c>
      <c r="B106" s="25" t="str">
        <v>NY</v>
      </c>
      <c r="C106" s="25" t="str">
        <f>Sites[[#This Row],[SOL'#]]</f>
        <v>SOL-10899</v>
      </c>
      <c r="D106" s="20"/>
      <c r="E106" s="10"/>
      <c r="F106" s="10" t="str">
        <f t="shared" si="8"/>
        <v/>
      </c>
      <c r="G106" s="11" t="str">
        <f t="shared" si="9"/>
        <v/>
      </c>
      <c r="H106" s="12"/>
      <c r="I106" s="12" t="str">
        <f t="shared" si="10"/>
        <v/>
      </c>
      <c r="J106" s="13" t="str">
        <f t="shared" si="11"/>
        <v/>
      </c>
      <c r="K106" s="53"/>
      <c r="L106" s="47"/>
    </row>
    <row r="107" spans="1:12" ht="15.75">
      <c r="A107" s="26" t="str">
        <v>Svenski</v>
      </c>
      <c r="B107" s="27" t="str">
        <v>NY</v>
      </c>
      <c r="C107" s="25" t="str">
        <f>Sites[[#This Row],[SOL'#]]</f>
        <v>SOL-10894</v>
      </c>
      <c r="D107" s="9"/>
      <c r="E107" s="14"/>
      <c r="F107" s="14" t="str">
        <f t="shared" si="8"/>
        <v/>
      </c>
      <c r="G107" s="15" t="str">
        <f t="shared" si="9"/>
        <v/>
      </c>
      <c r="H107" s="16"/>
      <c r="I107" s="16" t="str">
        <f t="shared" si="10"/>
        <v/>
      </c>
      <c r="J107" s="15" t="str">
        <f t="shared" si="11"/>
        <v/>
      </c>
      <c r="K107" s="51"/>
      <c r="L107" s="88"/>
    </row>
    <row r="108" spans="1:12" ht="108.75" customHeight="1">
      <c r="A108" s="24" t="str">
        <v>Bantam</v>
      </c>
      <c r="B108" s="25" t="str">
        <v>NY</v>
      </c>
      <c r="C108" s="25" t="str">
        <f>Sites[[#This Row],[SOL'#]]</f>
        <v>SOL-10986</v>
      </c>
      <c r="D108" s="20"/>
      <c r="E108" s="10"/>
      <c r="F108" s="10" t="str">
        <f t="shared" si="8"/>
        <v/>
      </c>
      <c r="G108" s="11" t="str">
        <f t="shared" si="9"/>
        <v/>
      </c>
      <c r="H108" s="12"/>
      <c r="I108" s="12" t="str">
        <f t="shared" si="10"/>
        <v/>
      </c>
      <c r="J108" s="13" t="str">
        <f t="shared" si="11"/>
        <v/>
      </c>
      <c r="K108" s="53"/>
      <c r="L108" s="47"/>
    </row>
    <row r="109" spans="1:12" ht="15.75">
      <c r="A109" s="26" t="str">
        <v>Bogart</v>
      </c>
      <c r="B109" s="27" t="str">
        <v>NY</v>
      </c>
      <c r="C109" s="25" t="str">
        <f>Sites[[#This Row],[SOL'#]]</f>
        <v>SOL-10887</v>
      </c>
      <c r="D109" s="9"/>
      <c r="E109" s="14"/>
      <c r="F109" s="14" t="str">
        <f t="shared" si="8"/>
        <v/>
      </c>
      <c r="G109" s="15" t="str">
        <f t="shared" si="9"/>
        <v/>
      </c>
      <c r="H109" s="16"/>
      <c r="I109" s="16" t="str">
        <f t="shared" si="10"/>
        <v/>
      </c>
      <c r="J109" s="15" t="str">
        <f t="shared" si="11"/>
        <v/>
      </c>
      <c r="K109" s="51"/>
      <c r="L109" s="90"/>
    </row>
    <row r="110" spans="1:12" ht="15.75">
      <c r="A110" s="24" t="str">
        <v>Dubois</v>
      </c>
      <c r="B110" s="25" t="str">
        <v>NY</v>
      </c>
      <c r="C110" s="25" t="str">
        <f>Sites[[#This Row],[SOL'#]]</f>
        <v>SOL-10892</v>
      </c>
      <c r="D110" s="20"/>
      <c r="E110" s="10"/>
      <c r="F110" s="10" t="str">
        <f t="shared" si="8"/>
        <v/>
      </c>
      <c r="G110" s="11" t="str">
        <f t="shared" si="9"/>
        <v/>
      </c>
      <c r="H110" s="12"/>
      <c r="I110" s="12" t="str">
        <f t="shared" si="10"/>
        <v/>
      </c>
      <c r="J110" s="13" t="str">
        <f t="shared" si="11"/>
        <v/>
      </c>
      <c r="K110" s="53"/>
      <c r="L110" s="47"/>
    </row>
    <row r="111" spans="1:12" ht="63.75" customHeight="1">
      <c r="A111" s="26" t="str">
        <v>Salt Point</v>
      </c>
      <c r="B111" s="27" t="str">
        <v>NY</v>
      </c>
      <c r="C111" s="25" t="str">
        <f>Sites[[#This Row],[SOL'#]]</f>
        <v>SOL-10888</v>
      </c>
      <c r="D111" s="9"/>
      <c r="E111" s="14"/>
      <c r="F111" s="14" t="str">
        <f t="shared" si="8"/>
        <v/>
      </c>
      <c r="G111" s="15" t="str">
        <f t="shared" si="9"/>
        <v/>
      </c>
      <c r="H111" s="16"/>
      <c r="I111" s="16" t="str">
        <f t="shared" si="10"/>
        <v/>
      </c>
      <c r="J111" s="15" t="str">
        <f t="shared" si="11"/>
        <v/>
      </c>
      <c r="K111" s="51"/>
      <c r="L111" s="139"/>
    </row>
    <row r="112" spans="1:12" ht="84.75" customHeight="1">
      <c r="A112" s="24" t="str">
        <v>Wheatland 2A</v>
      </c>
      <c r="B112" s="25" t="str">
        <v>NY</v>
      </c>
      <c r="C112" s="25" t="str">
        <f>Sites[[#This Row],[SOL'#]]</f>
        <v>SOL-10971</v>
      </c>
      <c r="D112" s="20"/>
      <c r="E112" s="10"/>
      <c r="F112" s="10" t="str">
        <f t="shared" si="8"/>
        <v/>
      </c>
      <c r="G112" s="11" t="str">
        <f t="shared" si="9"/>
        <v/>
      </c>
      <c r="H112" s="12"/>
      <c r="I112" s="12" t="str">
        <f t="shared" si="10"/>
        <v/>
      </c>
      <c r="J112" s="13" t="str">
        <f t="shared" si="11"/>
        <v/>
      </c>
      <c r="K112" s="53"/>
      <c r="L112" s="47"/>
    </row>
    <row r="113" spans="1:12" ht="15.75">
      <c r="A113" s="26" t="str">
        <v>Wheatland 2B</v>
      </c>
      <c r="B113" s="27" t="str">
        <v>NY</v>
      </c>
      <c r="C113" s="25" t="str">
        <f>Sites[[#This Row],[SOL'#]]</f>
        <v>SOL-10961</v>
      </c>
      <c r="D113" s="9"/>
      <c r="E113" s="14"/>
      <c r="F113" s="14" t="str">
        <f t="shared" si="8"/>
        <v/>
      </c>
      <c r="G113" s="15" t="str">
        <f t="shared" si="9"/>
        <v/>
      </c>
      <c r="H113" s="16"/>
      <c r="I113" s="16" t="str">
        <f t="shared" si="10"/>
        <v/>
      </c>
      <c r="J113" s="15" t="str">
        <f t="shared" si="11"/>
        <v/>
      </c>
      <c r="K113" s="51"/>
      <c r="L113" s="139"/>
    </row>
    <row r="114" spans="1:12" ht="15.75">
      <c r="A114" s="24" t="str">
        <v>Brickchurch</v>
      </c>
      <c r="B114" s="25" t="str">
        <v>NY</v>
      </c>
      <c r="C114" s="25" t="str">
        <f>Sites[[#This Row],[SOL'#]]</f>
        <v>SOL-10889</v>
      </c>
      <c r="D114" s="20"/>
      <c r="E114" s="10"/>
      <c r="F114" s="10" t="str">
        <f t="shared" si="8"/>
        <v/>
      </c>
      <c r="G114" s="11" t="str">
        <f t="shared" si="9"/>
        <v/>
      </c>
      <c r="H114" s="12"/>
      <c r="I114" s="12" t="str">
        <f t="shared" si="10"/>
        <v/>
      </c>
      <c r="J114" s="13" t="str">
        <f t="shared" si="11"/>
        <v/>
      </c>
      <c r="K114" s="53"/>
      <c r="L114" s="47"/>
    </row>
    <row r="115" spans="1:12" ht="15.75">
      <c r="A115" s="26" t="str">
        <v>McCarthy Solar</v>
      </c>
      <c r="B115" s="27" t="str">
        <v>NY</v>
      </c>
      <c r="C115" s="25" t="str">
        <f>Sites[[#This Row],[SOL'#]]</f>
        <v>SOL-10992</v>
      </c>
      <c r="D115" s="9"/>
      <c r="E115" s="14"/>
      <c r="F115" s="14" t="str">
        <f t="shared" si="8"/>
        <v/>
      </c>
      <c r="G115" s="15" t="str">
        <f t="shared" si="9"/>
        <v/>
      </c>
      <c r="H115" s="16"/>
      <c r="I115" s="16" t="str">
        <f t="shared" si="10"/>
        <v/>
      </c>
      <c r="J115" s="15" t="str">
        <f t="shared" si="11"/>
        <v/>
      </c>
      <c r="K115" s="51"/>
      <c r="L115" s="88"/>
    </row>
    <row r="116" spans="1:12" ht="15.75">
      <c r="A116" s="24" t="str">
        <v>Costanza</v>
      </c>
      <c r="B116" s="25" t="str">
        <v>NY</v>
      </c>
      <c r="C116" s="25" t="str">
        <f>Sites[[#This Row],[SOL'#]]</f>
        <v>SOL-10907</v>
      </c>
      <c r="D116" s="20"/>
      <c r="E116" s="10"/>
      <c r="F116" s="10" t="str">
        <f t="shared" si="8"/>
        <v/>
      </c>
      <c r="G116" s="11" t="str">
        <f t="shared" si="9"/>
        <v/>
      </c>
      <c r="H116" s="12"/>
      <c r="I116" s="12" t="str">
        <f t="shared" si="10"/>
        <v/>
      </c>
      <c r="J116" s="13" t="str">
        <f t="shared" si="11"/>
        <v/>
      </c>
      <c r="K116" s="53"/>
      <c r="L116" s="47"/>
    </row>
    <row r="117" spans="1:12" ht="15.75">
      <c r="A117" s="26" t="str">
        <v>Lockenhurst Pond</v>
      </c>
      <c r="B117" s="27" t="str">
        <v>NY</v>
      </c>
      <c r="C117" s="25" t="str">
        <f>Sites[[#This Row],[SOL'#]]</f>
        <v>SOL-11000</v>
      </c>
      <c r="D117" s="9"/>
      <c r="E117" s="14"/>
      <c r="F117" s="14" t="str">
        <f t="shared" si="8"/>
        <v/>
      </c>
      <c r="G117" s="15" t="str">
        <f t="shared" si="9"/>
        <v/>
      </c>
      <c r="H117" s="16"/>
      <c r="I117" s="16" t="str">
        <f t="shared" si="10"/>
        <v/>
      </c>
      <c r="J117" s="15" t="str">
        <f t="shared" si="11"/>
        <v/>
      </c>
      <c r="K117" s="51"/>
      <c r="L117" s="88"/>
    </row>
    <row r="118" spans="1:12" ht="15.75">
      <c r="A118" s="24" t="str">
        <v>Drinkwater</v>
      </c>
      <c r="B118" s="25" t="str">
        <v>NY</v>
      </c>
      <c r="C118" s="25" t="str">
        <f>Sites[[#This Row],[SOL'#]]</f>
        <v>SOL-10896</v>
      </c>
      <c r="D118" s="20"/>
      <c r="E118" s="10"/>
      <c r="F118" s="10" t="str">
        <f t="shared" si="8"/>
        <v/>
      </c>
      <c r="G118" s="11" t="str">
        <f t="shared" si="9"/>
        <v/>
      </c>
      <c r="H118" s="12"/>
      <c r="I118" s="12" t="str">
        <f t="shared" si="10"/>
        <v/>
      </c>
      <c r="J118" s="13" t="str">
        <f t="shared" si="11"/>
        <v/>
      </c>
      <c r="K118" s="53"/>
      <c r="L118" s="47"/>
    </row>
    <row r="119" spans="1:12" ht="15.75">
      <c r="A119" s="26" t="str">
        <v>Altamont</v>
      </c>
      <c r="B119" s="27" t="str">
        <v>NY</v>
      </c>
      <c r="C119" s="25" t="str">
        <f>Sites[[#This Row],[SOL'#]]</f>
        <v>SOL-11085</v>
      </c>
      <c r="D119" s="9"/>
      <c r="E119" s="14"/>
      <c r="F119" s="14" t="str">
        <f t="shared" si="8"/>
        <v/>
      </c>
      <c r="G119" s="15" t="str">
        <f t="shared" si="9"/>
        <v/>
      </c>
      <c r="H119" s="16"/>
      <c r="I119" s="16" t="str">
        <f t="shared" si="10"/>
        <v/>
      </c>
      <c r="J119" s="15" t="str">
        <f t="shared" si="11"/>
        <v/>
      </c>
      <c r="K119" s="51"/>
      <c r="L119" s="139"/>
    </row>
    <row r="120" spans="1:12" ht="15.75">
      <c r="A120" s="24" t="str">
        <v>Krumkill North</v>
      </c>
      <c r="B120" s="25" t="str">
        <v>NY</v>
      </c>
      <c r="C120" s="25" t="str">
        <f>Sites[[#This Row],[SOL'#]]</f>
        <v>SOL-11086</v>
      </c>
      <c r="D120" s="20"/>
      <c r="E120" s="10"/>
      <c r="F120" s="10" t="str">
        <f t="shared" si="8"/>
        <v/>
      </c>
      <c r="G120" s="11" t="str">
        <f t="shared" si="9"/>
        <v/>
      </c>
      <c r="H120" s="12"/>
      <c r="I120" s="12" t="str">
        <f t="shared" si="10"/>
        <v/>
      </c>
      <c r="J120" s="13" t="str">
        <f t="shared" si="11"/>
        <v/>
      </c>
      <c r="K120" s="53"/>
      <c r="L120" s="47"/>
    </row>
    <row r="121" spans="1:12" ht="15.75">
      <c r="A121" s="26" t="str">
        <v>Krumkill South</v>
      </c>
      <c r="B121" s="27" t="str">
        <v>NY</v>
      </c>
      <c r="C121" s="25" t="str">
        <f>Sites[[#This Row],[SOL'#]]</f>
        <v>SOL-11087</v>
      </c>
      <c r="D121" s="9"/>
      <c r="E121" s="14"/>
      <c r="F121" s="14" t="str">
        <f t="shared" si="8"/>
        <v/>
      </c>
      <c r="G121" s="15" t="str">
        <f t="shared" si="9"/>
        <v/>
      </c>
      <c r="H121" s="16"/>
      <c r="I121" s="16" t="str">
        <f t="shared" si="10"/>
        <v/>
      </c>
      <c r="J121" s="15" t="str">
        <f t="shared" si="11"/>
        <v/>
      </c>
      <c r="K121" s="51"/>
      <c r="L121" s="139"/>
    </row>
    <row r="122" spans="1:12" ht="15.75">
      <c r="A122" s="24" t="str">
        <v>X092</v>
      </c>
      <c r="B122" s="25" t="str">
        <v>NY</v>
      </c>
      <c r="C122" s="25" t="str">
        <f>Sites[[#This Row],[SOL'#]]</f>
        <v>SOL-11189</v>
      </c>
      <c r="D122" s="20"/>
      <c r="E122" s="10"/>
      <c r="F122" s="10" t="str">
        <f t="shared" si="8"/>
        <v/>
      </c>
      <c r="G122" s="11" t="str">
        <f t="shared" si="9"/>
        <v/>
      </c>
      <c r="H122" s="12"/>
      <c r="I122" s="12" t="str">
        <f t="shared" si="10"/>
        <v/>
      </c>
      <c r="J122" s="13" t="str">
        <f t="shared" si="11"/>
        <v/>
      </c>
      <c r="K122" s="53"/>
      <c r="L122" s="47"/>
    </row>
    <row r="123" spans="1:12" ht="15.75">
      <c r="A123" s="26" t="str">
        <v>X093</v>
      </c>
      <c r="B123" s="27" t="str">
        <v>NY</v>
      </c>
      <c r="C123" s="25" t="str">
        <f>Sites[[#This Row],[SOL'#]]</f>
        <v>SOL-10932</v>
      </c>
      <c r="D123" s="9"/>
      <c r="E123" s="14"/>
      <c r="F123" s="14" t="str">
        <f t="shared" si="8"/>
        <v/>
      </c>
      <c r="G123" s="15" t="str">
        <f t="shared" si="9"/>
        <v/>
      </c>
      <c r="H123" s="16"/>
      <c r="I123" s="16" t="str">
        <f t="shared" si="10"/>
        <v/>
      </c>
      <c r="J123" s="15" t="str">
        <f t="shared" si="11"/>
        <v/>
      </c>
      <c r="K123" s="51"/>
      <c r="L123" s="88"/>
    </row>
    <row r="124" spans="1:12" ht="15.75">
      <c r="A124" s="24" t="str">
        <v>X095</v>
      </c>
      <c r="B124" s="25" t="str">
        <v>NY</v>
      </c>
      <c r="C124" s="25" t="str">
        <f>Sites[[#This Row],[SOL'#]]</f>
        <v>SOL-10929</v>
      </c>
      <c r="D124" s="20"/>
      <c r="E124" s="10"/>
      <c r="F124" s="10" t="str">
        <f t="shared" si="8"/>
        <v/>
      </c>
      <c r="G124" s="11" t="str">
        <f t="shared" si="9"/>
        <v/>
      </c>
      <c r="H124" s="12"/>
      <c r="I124" s="12" t="str">
        <f t="shared" si="10"/>
        <v/>
      </c>
      <c r="J124" s="13" t="str">
        <f t="shared" si="11"/>
        <v/>
      </c>
      <c r="K124" s="53"/>
      <c r="L124" s="47"/>
    </row>
    <row r="125" spans="1:12" ht="15.75">
      <c r="A125" s="26" t="str">
        <v>X181</v>
      </c>
      <c r="B125" s="27" t="str">
        <v>NY</v>
      </c>
      <c r="C125" s="25" t="str">
        <f>Sites[[#This Row],[SOL'#]]</f>
        <v>SOL-10428</v>
      </c>
      <c r="D125" s="9"/>
      <c r="E125" s="14"/>
      <c r="F125" s="14" t="str">
        <f t="shared" si="8"/>
        <v/>
      </c>
      <c r="G125" s="15" t="str">
        <f t="shared" si="9"/>
        <v/>
      </c>
      <c r="H125" s="16"/>
      <c r="I125" s="16" t="str">
        <f t="shared" si="10"/>
        <v/>
      </c>
      <c r="J125" s="15" t="str">
        <f t="shared" si="11"/>
        <v/>
      </c>
      <c r="K125" s="51"/>
      <c r="L125" s="139"/>
    </row>
    <row r="126" spans="1:12" ht="61.5" customHeight="1">
      <c r="A126" s="24" t="str">
        <v>X415</v>
      </c>
      <c r="B126" s="25" t="str">
        <v>NY</v>
      </c>
      <c r="C126" s="25" t="str">
        <f>Sites[[#This Row],[SOL'#]]</f>
        <v>SOL-10429</v>
      </c>
      <c r="D126" s="20"/>
      <c r="E126" s="10"/>
      <c r="F126" s="10" t="str">
        <f t="shared" si="8"/>
        <v/>
      </c>
      <c r="G126" s="11" t="str">
        <f t="shared" si="9"/>
        <v/>
      </c>
      <c r="H126" s="12"/>
      <c r="I126" s="12" t="str">
        <f t="shared" si="10"/>
        <v/>
      </c>
      <c r="J126" s="13" t="str">
        <f t="shared" si="11"/>
        <v/>
      </c>
      <c r="K126" s="53"/>
      <c r="L126" s="47"/>
    </row>
    <row r="127" spans="1:12" ht="249.75" customHeight="1">
      <c r="A127" s="26" t="str">
        <v>K198</v>
      </c>
      <c r="B127" s="27" t="str">
        <v>NY</v>
      </c>
      <c r="C127" s="25" t="str">
        <f>Sites[[#This Row],[SOL'#]]</f>
        <v>SOL-10930</v>
      </c>
      <c r="D127" s="9"/>
      <c r="E127" s="14"/>
      <c r="F127" s="14" t="str">
        <f t="shared" si="8"/>
        <v/>
      </c>
      <c r="G127" s="15" t="str">
        <f t="shared" si="9"/>
        <v/>
      </c>
      <c r="H127" s="16"/>
      <c r="I127" s="16" t="str">
        <f t="shared" si="10"/>
        <v/>
      </c>
      <c r="J127" s="15" t="str">
        <f t="shared" si="11"/>
        <v/>
      </c>
      <c r="K127" s="51"/>
      <c r="L127" s="139"/>
    </row>
    <row r="128" spans="1:12" ht="15.75">
      <c r="A128" s="24" t="str">
        <v>K203</v>
      </c>
      <c r="B128" s="25" t="str">
        <v>NY</v>
      </c>
      <c r="C128" s="25" t="str">
        <f>Sites[[#This Row],[SOL'#]]</f>
        <v>SOL-11190</v>
      </c>
      <c r="D128" s="20"/>
      <c r="E128" s="10"/>
      <c r="F128" s="10" t="str">
        <f t="shared" si="8"/>
        <v/>
      </c>
      <c r="G128" s="11" t="str">
        <f t="shared" si="9"/>
        <v/>
      </c>
      <c r="H128" s="12"/>
      <c r="I128" s="12" t="str">
        <f t="shared" si="10"/>
        <v/>
      </c>
      <c r="J128" s="13" t="str">
        <f t="shared" si="11"/>
        <v/>
      </c>
      <c r="K128" s="53"/>
      <c r="L128" s="47"/>
    </row>
    <row r="129" spans="1:12" ht="15.75">
      <c r="A129" s="26" t="str">
        <v>K213</v>
      </c>
      <c r="B129" s="27" t="str">
        <v>NY</v>
      </c>
      <c r="C129" s="25" t="str">
        <f>Sites[[#This Row],[SOL'#]]</f>
        <v>SOL-11191</v>
      </c>
      <c r="D129" s="9"/>
      <c r="E129" s="14"/>
      <c r="F129" s="14" t="str">
        <f t="shared" si="8"/>
        <v/>
      </c>
      <c r="G129" s="15" t="str">
        <f t="shared" si="9"/>
        <v/>
      </c>
      <c r="H129" s="16"/>
      <c r="I129" s="16" t="str">
        <f t="shared" si="10"/>
        <v/>
      </c>
      <c r="J129" s="15" t="str">
        <f t="shared" si="11"/>
        <v/>
      </c>
      <c r="K129" s="51"/>
      <c r="L129" s="88"/>
    </row>
    <row r="130" spans="1:12" ht="15.75">
      <c r="A130" s="24" t="str">
        <v>K217</v>
      </c>
      <c r="B130" s="25" t="str">
        <v>NY</v>
      </c>
      <c r="C130" s="25" t="str">
        <f>Sites[[#This Row],[SOL'#]]</f>
        <v>SOL-10933</v>
      </c>
      <c r="D130" s="20"/>
      <c r="E130" s="10"/>
      <c r="F130" s="10" t="str">
        <f t="shared" si="8"/>
        <v/>
      </c>
      <c r="G130" s="11" t="str">
        <f t="shared" si="9"/>
        <v/>
      </c>
      <c r="H130" s="12"/>
      <c r="I130" s="12" t="str">
        <f t="shared" si="10"/>
        <v/>
      </c>
      <c r="J130" s="13" t="str">
        <f t="shared" si="11"/>
        <v/>
      </c>
      <c r="K130" s="53"/>
      <c r="L130" s="47"/>
    </row>
    <row r="131" spans="1:12" ht="15.75">
      <c r="A131" s="26" t="str">
        <v>K307</v>
      </c>
      <c r="B131" s="27" t="str">
        <v>NY</v>
      </c>
      <c r="C131" s="25" t="str">
        <f>Sites[[#This Row],[SOL'#]]</f>
        <v>SOL-10876</v>
      </c>
      <c r="D131" s="9"/>
      <c r="E131" s="14"/>
      <c r="F131" s="14" t="str">
        <f t="shared" si="8"/>
        <v/>
      </c>
      <c r="G131" s="15" t="str">
        <f t="shared" si="9"/>
        <v/>
      </c>
      <c r="H131" s="16"/>
      <c r="I131" s="16" t="str">
        <f t="shared" si="10"/>
        <v/>
      </c>
      <c r="J131" s="15" t="str">
        <f t="shared" si="11"/>
        <v/>
      </c>
      <c r="K131" s="51"/>
      <c r="L131" s="90"/>
    </row>
    <row r="132" spans="1:12" ht="15.75">
      <c r="A132" s="24" t="str">
        <v>K610</v>
      </c>
      <c r="B132" s="25" t="str">
        <v>NY</v>
      </c>
      <c r="C132" s="25" t="str">
        <f>Sites[[#This Row],[SOL'#]]</f>
        <v>SOL-11158</v>
      </c>
      <c r="D132" s="20"/>
      <c r="E132" s="10"/>
      <c r="F132" s="10" t="str">
        <f t="shared" si="8"/>
        <v/>
      </c>
      <c r="G132" s="11" t="str">
        <f t="shared" si="9"/>
        <v/>
      </c>
      <c r="H132" s="12"/>
      <c r="I132" s="12" t="str">
        <f t="shared" si="10"/>
        <v/>
      </c>
      <c r="J132" s="13" t="str">
        <f t="shared" si="11"/>
        <v/>
      </c>
      <c r="K132" s="53"/>
      <c r="L132" s="47"/>
    </row>
    <row r="133" spans="1:12" ht="15.75">
      <c r="A133" s="26" t="str">
        <v>M025</v>
      </c>
      <c r="B133" s="27" t="str">
        <v>NY</v>
      </c>
      <c r="C133" s="25" t="str">
        <f>Sites[[#This Row],[SOL'#]]</f>
        <v>SOL-10392</v>
      </c>
      <c r="D133" s="9"/>
      <c r="E133" s="14"/>
      <c r="F133" s="14" t="str">
        <f t="shared" si="8"/>
        <v/>
      </c>
      <c r="G133" s="15" t="str">
        <f t="shared" si="9"/>
        <v/>
      </c>
      <c r="H133" s="16"/>
      <c r="I133" s="16" t="str">
        <f t="shared" si="10"/>
        <v/>
      </c>
      <c r="J133" s="15" t="str">
        <f t="shared" si="11"/>
        <v/>
      </c>
      <c r="K133" s="51"/>
      <c r="L133" s="88"/>
    </row>
    <row r="134" spans="1:12" ht="15.75">
      <c r="A134" s="24" t="str">
        <v>M028</v>
      </c>
      <c r="B134" s="25" t="str">
        <v>NY</v>
      </c>
      <c r="C134" s="25" t="str">
        <f>Sites[[#This Row],[SOL'#]]</f>
        <v>SOL-10381</v>
      </c>
      <c r="D134" s="20"/>
      <c r="E134" s="10"/>
      <c r="F134" s="10" t="str">
        <f t="shared" si="8"/>
        <v/>
      </c>
      <c r="G134" s="11" t="str">
        <f t="shared" si="9"/>
        <v/>
      </c>
      <c r="H134" s="12"/>
      <c r="I134" s="12" t="str">
        <f t="shared" si="10"/>
        <v/>
      </c>
      <c r="J134" s="13" t="str">
        <f t="shared" si="11"/>
        <v/>
      </c>
      <c r="K134" s="53"/>
      <c r="L134" s="47"/>
    </row>
    <row r="135" spans="1:12" ht="15.75">
      <c r="A135" s="26" t="str">
        <v>Q030</v>
      </c>
      <c r="B135" s="27" t="str">
        <v>NY</v>
      </c>
      <c r="C135" s="25" t="str">
        <f>Sites[[#This Row],[SOL'#]]</f>
        <v>SOL-10878</v>
      </c>
      <c r="D135" s="9"/>
      <c r="E135" s="14"/>
      <c r="F135" s="14" t="str">
        <f t="shared" si="8"/>
        <v/>
      </c>
      <c r="G135" s="15" t="str">
        <f t="shared" si="9"/>
        <v/>
      </c>
      <c r="H135" s="16"/>
      <c r="I135" s="16" t="str">
        <f t="shared" si="10"/>
        <v/>
      </c>
      <c r="J135" s="15" t="str">
        <f t="shared" si="11"/>
        <v/>
      </c>
      <c r="K135" s="51"/>
      <c r="L135" s="88"/>
    </row>
    <row r="136" spans="1:12" ht="15.75">
      <c r="A136" s="24" t="str">
        <v>Q130</v>
      </c>
      <c r="B136" s="25" t="str">
        <v>NY</v>
      </c>
      <c r="C136" s="25" t="str">
        <f>Sites[[#This Row],[SOL'#]]</f>
        <v>SOL-10877</v>
      </c>
      <c r="D136" s="20"/>
      <c r="E136" s="10"/>
      <c r="F136" s="10" t="str">
        <f t="shared" si="8"/>
        <v/>
      </c>
      <c r="G136" s="11" t="str">
        <f t="shared" si="9"/>
        <v/>
      </c>
      <c r="H136" s="12"/>
      <c r="I136" s="12" t="str">
        <f t="shared" si="10"/>
        <v/>
      </c>
      <c r="J136" s="13" t="str">
        <f t="shared" si="11"/>
        <v/>
      </c>
      <c r="K136" s="53"/>
      <c r="L136" s="47"/>
    </row>
    <row r="137" spans="1:12" ht="15.75">
      <c r="A137" s="26" t="str">
        <v>Q196</v>
      </c>
      <c r="B137" s="27" t="str">
        <v>NY</v>
      </c>
      <c r="C137" s="25" t="str">
        <f>Sites[[#This Row],[SOL'#]]</f>
        <v>SOL-10879</v>
      </c>
      <c r="D137" s="9"/>
      <c r="E137" s="14"/>
      <c r="F137" s="14" t="str">
        <f t="shared" si="8"/>
        <v/>
      </c>
      <c r="G137" s="15" t="str">
        <f t="shared" si="9"/>
        <v/>
      </c>
      <c r="H137" s="16"/>
      <c r="I137" s="16" t="str">
        <f t="shared" si="10"/>
        <v/>
      </c>
      <c r="J137" s="15" t="str">
        <f t="shared" si="11"/>
        <v/>
      </c>
      <c r="K137" s="51"/>
      <c r="L137" s="88"/>
    </row>
    <row r="138" spans="1:12" ht="15.75">
      <c r="A138" s="24" t="str">
        <v>Q220</v>
      </c>
      <c r="B138" s="25" t="str">
        <v>NY</v>
      </c>
      <c r="C138" s="25" t="str">
        <f>Sites[[#This Row],[SOL'#]]</f>
        <v>SOL-10873</v>
      </c>
      <c r="D138" s="20"/>
      <c r="E138" s="10"/>
      <c r="F138" s="10" t="str">
        <f t="shared" si="8"/>
        <v/>
      </c>
      <c r="G138" s="11" t="str">
        <f t="shared" si="9"/>
        <v/>
      </c>
      <c r="H138" s="12"/>
      <c r="I138" s="12" t="str">
        <f t="shared" si="10"/>
        <v/>
      </c>
      <c r="J138" s="13" t="str">
        <f t="shared" si="11"/>
        <v/>
      </c>
      <c r="K138" s="53"/>
      <c r="L138" s="111"/>
    </row>
    <row r="139" spans="1:12" ht="15.75">
      <c r="A139" s="26" t="str">
        <v>Q205</v>
      </c>
      <c r="B139" s="27" t="str">
        <v>NY</v>
      </c>
      <c r="C139" s="25" t="str">
        <f>Sites[[#This Row],[SOL'#]]</f>
        <v>SOL-10922</v>
      </c>
      <c r="D139" s="9"/>
      <c r="E139" s="14"/>
      <c r="F139" s="14" t="str">
        <f t="shared" si="8"/>
        <v/>
      </c>
      <c r="G139" s="15" t="str">
        <f t="shared" si="9"/>
        <v/>
      </c>
      <c r="H139" s="16"/>
      <c r="I139" s="16" t="str">
        <f t="shared" si="10"/>
        <v/>
      </c>
      <c r="J139" s="15" t="str">
        <f t="shared" si="11"/>
        <v/>
      </c>
      <c r="K139" s="51"/>
      <c r="L139" s="88"/>
    </row>
    <row r="140" spans="1:12" ht="15.75">
      <c r="A140" s="28" t="str">
        <v>Q400</v>
      </c>
      <c r="B140" s="25" t="str">
        <v>NY</v>
      </c>
      <c r="C140" s="25" t="str">
        <f>Sites[[#This Row],[SOL'#]]</f>
        <v>SOL-10871</v>
      </c>
      <c r="D140" s="54"/>
      <c r="E140" s="10"/>
      <c r="F140" s="10" t="str">
        <f t="shared" si="8"/>
        <v/>
      </c>
      <c r="G140" s="55" t="str">
        <f t="shared" si="9"/>
        <v/>
      </c>
      <c r="H140" s="67"/>
      <c r="I140" s="67" t="str">
        <f t="shared" si="10"/>
        <v/>
      </c>
      <c r="J140" s="64" t="str">
        <f t="shared" si="11"/>
        <v/>
      </c>
      <c r="K140" s="73"/>
      <c r="L140" s="47"/>
    </row>
    <row r="141" spans="1:12" ht="15.75">
      <c r="A141" s="26" t="str">
        <v>R003</v>
      </c>
      <c r="B141" s="27" t="str">
        <v>NY</v>
      </c>
      <c r="C141" s="25" t="str">
        <f>Sites[[#This Row],[SOL'#]]</f>
        <v>SOL-10416</v>
      </c>
      <c r="D141" s="66"/>
      <c r="E141" s="14"/>
      <c r="F141" s="14" t="str">
        <f t="shared" si="8"/>
        <v/>
      </c>
      <c r="G141" s="68" t="str">
        <f t="shared" si="9"/>
        <v/>
      </c>
      <c r="H141" s="69"/>
      <c r="I141" s="69" t="str">
        <f t="shared" si="10"/>
        <v/>
      </c>
      <c r="J141" s="68" t="str">
        <f t="shared" si="11"/>
        <v/>
      </c>
      <c r="K141" s="51"/>
      <c r="L141" s="91"/>
    </row>
    <row r="142" spans="1:12" ht="51.75" customHeight="1">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73"/>
      <c r="L142" s="47"/>
    </row>
    <row r="143" spans="1:12" ht="15.75">
      <c r="A143" s="26" t="str">
        <v>BK16</v>
      </c>
      <c r="B143" s="27" t="str">
        <v>NY</v>
      </c>
      <c r="C143" s="25" t="str">
        <f>Sites[[#This Row],[SOL'#]]</f>
        <v>SOL-11093</v>
      </c>
      <c r="D143" s="66"/>
      <c r="E143" s="14"/>
      <c r="F143" s="14" t="str">
        <f t="shared" si="8"/>
        <v/>
      </c>
      <c r="G143" s="68" t="str">
        <f t="shared" si="9"/>
        <v/>
      </c>
      <c r="H143" s="69"/>
      <c r="I143" s="69" t="str">
        <f t="shared" si="10"/>
        <v/>
      </c>
      <c r="J143" s="68" t="str">
        <f t="shared" si="11"/>
        <v/>
      </c>
      <c r="K143" s="51"/>
      <c r="L143" s="92"/>
    </row>
    <row r="144" spans="1:12" ht="15.75">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73"/>
      <c r="L144" s="47"/>
    </row>
    <row r="145" spans="1:12" ht="84.75" customHeight="1">
      <c r="A145" s="26" t="str">
        <v>Trenton - Trenton West</v>
      </c>
      <c r="B145" s="27" t="str">
        <v>IL</v>
      </c>
      <c r="C145" s="25" t="str">
        <f>Sites[[#This Row],[SOL'#]]</f>
        <v>SOL-11061</v>
      </c>
      <c r="D145" s="66"/>
      <c r="E145" s="14"/>
      <c r="F145" s="14" t="str">
        <f t="shared" si="8"/>
        <v/>
      </c>
      <c r="G145" s="68" t="str">
        <f t="shared" si="9"/>
        <v/>
      </c>
      <c r="H145" s="69"/>
      <c r="I145" s="69" t="str">
        <f t="shared" si="10"/>
        <v/>
      </c>
      <c r="J145" s="68" t="str">
        <f t="shared" si="11"/>
        <v/>
      </c>
      <c r="K145" s="51"/>
      <c r="L145" s="92"/>
    </row>
    <row r="146" spans="1:12" ht="15.75">
      <c r="A146" s="24" t="str">
        <v>Dakota - Dakota Solar 1</v>
      </c>
      <c r="B146" s="25" t="str">
        <v>IL</v>
      </c>
      <c r="C146" s="25" t="str">
        <f>Sites[[#This Row],[SOL'#]]</f>
        <v>SOL-11113</v>
      </c>
      <c r="D146" s="54"/>
      <c r="E146" s="10"/>
      <c r="F146" s="10" t="str">
        <f t="shared" ref="F146:F158" si="12">IF(AND(ISNUMBER(D146),ISNUMBER(E146)), D146-E146, "")</f>
        <v/>
      </c>
      <c r="G146" s="55" t="str">
        <f t="shared" ref="G146:G158" si="13">IFERROR(F146/E146, "")</f>
        <v/>
      </c>
      <c r="H146" s="67"/>
      <c r="I146" s="67" t="str">
        <f t="shared" ref="I146:I158" si="14">IF(AND(ISNUMBER(D146),ISNUMBER(H146)), D146-H146, "")</f>
        <v/>
      </c>
      <c r="J146" s="64" t="str">
        <f t="shared" ref="J146:J158" si="15">IFERROR(I146/H146, "")</f>
        <v/>
      </c>
      <c r="K146" s="73"/>
      <c r="L146" s="47"/>
    </row>
    <row r="147" spans="1:12" ht="15.75">
      <c r="A147" s="26" t="str">
        <v>X018</v>
      </c>
      <c r="B147" s="27" t="str">
        <v>NY</v>
      </c>
      <c r="C147" s="25" t="str">
        <f>Sites[[#This Row],[SOL'#]]</f>
        <v>SOL-10418</v>
      </c>
      <c r="D147" s="66"/>
      <c r="E147" s="14"/>
      <c r="F147" s="14" t="str">
        <f t="shared" si="12"/>
        <v/>
      </c>
      <c r="G147" s="68" t="str">
        <f t="shared" si="13"/>
        <v/>
      </c>
      <c r="H147" s="69"/>
      <c r="I147" s="69" t="str">
        <f t="shared" si="14"/>
        <v/>
      </c>
      <c r="J147" s="68" t="str">
        <f t="shared" si="15"/>
        <v/>
      </c>
      <c r="K147" s="51"/>
      <c r="L147" s="91"/>
    </row>
    <row r="148" spans="1:12" ht="15.75">
      <c r="A148" s="24" t="str">
        <v>Janiak Solar</v>
      </c>
      <c r="B148" s="25" t="str">
        <v>NY</v>
      </c>
      <c r="C148" s="25" t="str">
        <f>Sites[[#This Row],[SOL'#]]</f>
        <v>SOL-10898</v>
      </c>
      <c r="D148" s="54"/>
      <c r="E148" s="10"/>
      <c r="F148" s="10" t="str">
        <f t="shared" si="12"/>
        <v/>
      </c>
      <c r="G148" s="55" t="str">
        <f t="shared" si="13"/>
        <v/>
      </c>
      <c r="H148" s="67"/>
      <c r="I148" s="67" t="str">
        <f t="shared" si="14"/>
        <v/>
      </c>
      <c r="J148" s="64" t="str">
        <f t="shared" si="15"/>
        <v/>
      </c>
      <c r="K148" s="73"/>
      <c r="L148" s="47"/>
    </row>
    <row r="149" spans="1:12" ht="15.75">
      <c r="A149" s="26" t="str">
        <v>County Route 11B</v>
      </c>
      <c r="B149" s="27" t="str">
        <v>NY</v>
      </c>
      <c r="C149" s="25" t="str">
        <f>Sites[[#This Row],[SOL'#]]</f>
        <v>SOL-10983</v>
      </c>
      <c r="D149" s="66"/>
      <c r="E149" s="14"/>
      <c r="F149" s="14" t="str">
        <f t="shared" si="12"/>
        <v/>
      </c>
      <c r="G149" s="68" t="str">
        <f t="shared" si="13"/>
        <v/>
      </c>
      <c r="H149" s="69"/>
      <c r="I149" s="69" t="str">
        <f t="shared" si="14"/>
        <v/>
      </c>
      <c r="J149" s="68" t="str">
        <f t="shared" si="15"/>
        <v/>
      </c>
      <c r="K149" s="51"/>
      <c r="L149" s="92"/>
    </row>
    <row r="150" spans="1:12" ht="15.75">
      <c r="A150" s="24" t="str">
        <v>Barone</v>
      </c>
      <c r="B150" s="25" t="str">
        <v>NY</v>
      </c>
      <c r="C150" s="25" t="str">
        <f>Sites[[#This Row],[SOL'#]]</f>
        <v>SOL-11034</v>
      </c>
      <c r="D150" s="54"/>
      <c r="E150" s="10"/>
      <c r="F150" s="10" t="str">
        <f t="shared" si="12"/>
        <v/>
      </c>
      <c r="G150" s="55" t="str">
        <f t="shared" si="13"/>
        <v/>
      </c>
      <c r="H150" s="67"/>
      <c r="I150" s="67" t="str">
        <f t="shared" si="14"/>
        <v/>
      </c>
      <c r="J150" s="64" t="str">
        <f t="shared" si="15"/>
        <v/>
      </c>
      <c r="K150" s="73"/>
      <c r="L150" s="47"/>
    </row>
    <row r="151" spans="1:12" ht="15.75">
      <c r="A151" s="26" t="str">
        <v>Cedarville</v>
      </c>
      <c r="B151" s="27" t="str">
        <v>IL</v>
      </c>
      <c r="C151" s="25" t="str">
        <f>Sites[[#This Row],[SOL'#]]</f>
        <v>SOL-11069</v>
      </c>
      <c r="D151" s="66"/>
      <c r="E151" s="14"/>
      <c r="F151" s="14" t="str">
        <f t="shared" si="12"/>
        <v/>
      </c>
      <c r="G151" s="68" t="str">
        <f t="shared" si="13"/>
        <v/>
      </c>
      <c r="H151" s="69"/>
      <c r="I151" s="69" t="str">
        <f t="shared" si="14"/>
        <v/>
      </c>
      <c r="J151" s="68" t="str">
        <f t="shared" si="15"/>
        <v/>
      </c>
      <c r="K151" s="51"/>
      <c r="L151" s="93"/>
    </row>
    <row r="152" spans="1:12" ht="15.75">
      <c r="A152" s="24" t="str">
        <v xml:space="preserve"> O'Brien Hill #1</v>
      </c>
      <c r="B152" s="25" t="str">
        <v>NY</v>
      </c>
      <c r="C152" s="25" t="str">
        <f>Sites[[#This Row],[SOL'#]]</f>
        <v>SOL-11098</v>
      </c>
      <c r="D152" s="54"/>
      <c r="E152" s="10"/>
      <c r="F152" s="10" t="str">
        <f t="shared" si="12"/>
        <v/>
      </c>
      <c r="G152" s="55" t="str">
        <f t="shared" si="13"/>
        <v/>
      </c>
      <c r="H152" s="67"/>
      <c r="I152" s="67" t="str">
        <f t="shared" si="14"/>
        <v/>
      </c>
      <c r="J152" s="64" t="str">
        <f t="shared" si="15"/>
        <v/>
      </c>
      <c r="K152" s="73"/>
      <c r="L152" s="47"/>
    </row>
    <row r="153" spans="1:12" ht="15.75">
      <c r="A153" s="26" t="str">
        <v xml:space="preserve"> O'Brien Hill #2</v>
      </c>
      <c r="B153" s="27" t="str">
        <v>NY</v>
      </c>
      <c r="C153" s="25" t="str">
        <f>Sites[[#This Row],[SOL'#]]</f>
        <v>SOL-11099</v>
      </c>
      <c r="D153" s="66"/>
      <c r="E153" s="14"/>
      <c r="F153" s="14" t="str">
        <f t="shared" si="12"/>
        <v/>
      </c>
      <c r="G153" s="68" t="str">
        <f t="shared" si="13"/>
        <v/>
      </c>
      <c r="H153" s="69"/>
      <c r="I153" s="69" t="str">
        <f t="shared" si="14"/>
        <v/>
      </c>
      <c r="J153" s="68" t="str">
        <f t="shared" si="15"/>
        <v/>
      </c>
      <c r="K153" s="139"/>
      <c r="L153" s="91"/>
    </row>
    <row r="154" spans="1:12" ht="15.75">
      <c r="A154" s="24" t="str">
        <v>Trinity - Freeport</v>
      </c>
      <c r="B154" s="25" t="str">
        <v>IL</v>
      </c>
      <c r="C154" s="25" t="str">
        <f>Sites[[#This Row],[SOL'#]]</f>
        <v>SOL-11057</v>
      </c>
      <c r="D154" s="54"/>
      <c r="E154" s="10"/>
      <c r="F154" s="10" t="str">
        <f t="shared" si="12"/>
        <v/>
      </c>
      <c r="G154" s="55" t="str">
        <f t="shared" si="13"/>
        <v/>
      </c>
      <c r="H154" s="67"/>
      <c r="I154" s="67" t="str">
        <f t="shared" si="14"/>
        <v/>
      </c>
      <c r="J154" s="64" t="str">
        <f t="shared" si="15"/>
        <v/>
      </c>
      <c r="K154" s="73"/>
      <c r="L154" s="47"/>
    </row>
    <row r="155" spans="1:12" ht="15.75">
      <c r="A155" s="26" t="str">
        <v>Ransom</v>
      </c>
      <c r="B155" s="27" t="str">
        <v>NY</v>
      </c>
      <c r="C155" s="25" t="str">
        <f>Sites[[#This Row],[SOL'#]]</f>
        <v>SOL-11157</v>
      </c>
      <c r="D155" s="66"/>
      <c r="E155" s="14"/>
      <c r="F155" s="14" t="str">
        <f t="shared" si="12"/>
        <v/>
      </c>
      <c r="G155" s="68" t="str">
        <f t="shared" si="13"/>
        <v/>
      </c>
      <c r="H155" s="69"/>
      <c r="I155" s="69" t="str">
        <f t="shared" si="14"/>
        <v/>
      </c>
      <c r="J155" s="68" t="str">
        <f t="shared" si="15"/>
        <v/>
      </c>
      <c r="K155" s="51"/>
      <c r="L155" s="91"/>
    </row>
    <row r="156" spans="1:12" ht="15.75">
      <c r="A156" s="24" t="str">
        <v>Horseheads - Wedge</v>
      </c>
      <c r="B156" s="25" t="str">
        <v>NY</v>
      </c>
      <c r="C156" s="25" t="str">
        <f>Sites[[#This Row],[SOL'#]]</f>
        <v>SOL-11160</v>
      </c>
      <c r="D156" s="54"/>
      <c r="E156" s="10"/>
      <c r="F156" s="10" t="str">
        <f t="shared" si="12"/>
        <v/>
      </c>
      <c r="G156" s="55" t="str">
        <f t="shared" si="13"/>
        <v/>
      </c>
      <c r="H156" s="67"/>
      <c r="I156" s="67" t="str">
        <f t="shared" si="14"/>
        <v/>
      </c>
      <c r="J156" s="64" t="str">
        <f t="shared" si="15"/>
        <v/>
      </c>
      <c r="K156" s="73"/>
      <c r="L156" s="47"/>
    </row>
    <row r="157" spans="1:12" ht="15.75">
      <c r="A157" s="26" t="str">
        <v>Otisville - Shoddy Hollow</v>
      </c>
      <c r="B157" s="27" t="str">
        <v>NY</v>
      </c>
      <c r="C157" s="25" t="str">
        <f>Sites[[#This Row],[SOL'#]]</f>
        <v>SOL-11185</v>
      </c>
      <c r="D157" s="66"/>
      <c r="E157" s="14"/>
      <c r="F157" s="14" t="str">
        <f t="shared" si="12"/>
        <v/>
      </c>
      <c r="G157" s="68" t="str">
        <f t="shared" si="13"/>
        <v/>
      </c>
      <c r="H157" s="69"/>
      <c r="I157" s="69" t="str">
        <f t="shared" si="14"/>
        <v/>
      </c>
      <c r="J157" s="68" t="str">
        <f t="shared" si="15"/>
        <v/>
      </c>
      <c r="K157" s="51"/>
      <c r="L157" s="91"/>
    </row>
    <row r="158" spans="1:12" ht="15.75">
      <c r="A158" s="24" t="str">
        <v>Wellsville - Chenunda Creek</v>
      </c>
      <c r="B158" s="25" t="str">
        <v>NY</v>
      </c>
      <c r="C158" s="25" t="str">
        <f>Sites[[#This Row],[SOL'#]]</f>
        <v>SOL-11187</v>
      </c>
      <c r="D158" s="54"/>
      <c r="E158" s="10"/>
      <c r="F158" s="10" t="str">
        <f t="shared" si="12"/>
        <v/>
      </c>
      <c r="G158" s="55" t="str">
        <f t="shared" si="13"/>
        <v/>
      </c>
      <c r="H158" s="67"/>
      <c r="I158" s="67" t="str">
        <f t="shared" si="14"/>
        <v/>
      </c>
      <c r="J158" s="64" t="str">
        <f t="shared" si="15"/>
        <v/>
      </c>
      <c r="K158" s="73"/>
      <c r="L158" s="47"/>
    </row>
    <row r="159" spans="1:12" ht="14.25">
      <c r="A159" s="17"/>
      <c r="B159" s="29"/>
      <c r="C159" s="29"/>
      <c r="D159" s="17"/>
      <c r="E159" s="17"/>
      <c r="F159" s="17"/>
      <c r="G159" s="18"/>
      <c r="H159" s="17"/>
      <c r="I159" s="17"/>
      <c r="J159" s="18"/>
      <c r="K159" s="17"/>
      <c r="L159" s="17"/>
    </row>
    <row r="160" spans="1:12" ht="14.25">
      <c r="A160" s="17"/>
      <c r="B160" s="29"/>
      <c r="C160" s="29"/>
      <c r="D160" s="17"/>
      <c r="E160" s="17"/>
      <c r="F160" s="17"/>
      <c r="G160" s="18"/>
      <c r="H160" s="17"/>
      <c r="I160" s="17"/>
      <c r="J160" s="18"/>
      <c r="K160" s="17"/>
      <c r="L160" s="17"/>
    </row>
    <row r="161" spans="1:12" ht="14.25">
      <c r="A161" s="17"/>
      <c r="B161" s="29"/>
      <c r="C161" s="29"/>
      <c r="D161" s="17"/>
      <c r="E161" s="17"/>
      <c r="F161" s="17"/>
      <c r="G161" s="18"/>
      <c r="H161" s="17"/>
      <c r="I161" s="17"/>
      <c r="J161" s="18"/>
      <c r="K161" s="17"/>
      <c r="L161" s="17"/>
    </row>
    <row r="162" spans="1:12" ht="14.25">
      <c r="A162" s="17"/>
      <c r="B162" s="29"/>
      <c r="C162" s="29"/>
      <c r="D162" s="17"/>
      <c r="E162" s="17"/>
      <c r="F162" s="17"/>
      <c r="G162" s="18"/>
      <c r="H162" s="17"/>
      <c r="I162" s="17"/>
      <c r="J162" s="18"/>
      <c r="K162" s="17"/>
      <c r="L162" s="17"/>
    </row>
    <row r="163" spans="1:12" ht="14.25">
      <c r="A163" s="17"/>
      <c r="B163" s="29"/>
      <c r="C163" s="29"/>
      <c r="D163" s="17"/>
      <c r="E163" s="17"/>
      <c r="F163" s="17"/>
      <c r="G163" s="18"/>
      <c r="H163" s="17"/>
      <c r="I163" s="17"/>
      <c r="J163" s="18"/>
      <c r="K163" s="17"/>
      <c r="L163" s="17"/>
    </row>
    <row r="164" spans="1:12" ht="14.25">
      <c r="A164" s="17"/>
      <c r="B164" s="29"/>
      <c r="C164" s="29"/>
      <c r="D164" s="17"/>
      <c r="E164" s="17"/>
      <c r="F164" s="17"/>
      <c r="G164" s="18"/>
      <c r="H164" s="17"/>
      <c r="I164" s="17"/>
      <c r="J164" s="18"/>
      <c r="K164" s="17"/>
      <c r="L164" s="17"/>
    </row>
    <row r="165" spans="1:12" ht="14.25">
      <c r="A165" s="17"/>
      <c r="B165" s="29"/>
      <c r="C165" s="29"/>
      <c r="D165" s="17"/>
      <c r="E165" s="17"/>
      <c r="F165" s="17"/>
      <c r="G165" s="18"/>
      <c r="H165" s="17"/>
      <c r="I165" s="17"/>
      <c r="J165" s="18"/>
      <c r="K165" s="17"/>
      <c r="L165" s="17"/>
    </row>
    <row r="166" spans="1:12" ht="14.25">
      <c r="A166" s="17"/>
      <c r="B166" s="29"/>
      <c r="C166" s="29"/>
      <c r="D166" s="17"/>
      <c r="E166" s="17"/>
      <c r="F166" s="17"/>
      <c r="G166" s="18"/>
      <c r="H166" s="17"/>
      <c r="I166" s="17"/>
      <c r="J166" s="18"/>
      <c r="K166" s="17"/>
      <c r="L166" s="17"/>
    </row>
    <row r="167" spans="1:12" ht="14.25">
      <c r="A167" s="17"/>
      <c r="B167" s="29"/>
      <c r="C167" s="29"/>
      <c r="D167" s="17"/>
      <c r="E167" s="17"/>
      <c r="F167" s="17"/>
      <c r="G167" s="18"/>
      <c r="H167" s="17"/>
      <c r="I167" s="17"/>
      <c r="J167" s="18"/>
      <c r="K167" s="17"/>
      <c r="L167" s="17"/>
    </row>
    <row r="168" spans="1:12" ht="14.25">
      <c r="A168" s="17"/>
      <c r="B168" s="29"/>
      <c r="C168" s="29"/>
      <c r="D168" s="17"/>
      <c r="E168" s="17"/>
      <c r="F168" s="17"/>
      <c r="G168" s="18"/>
      <c r="H168" s="17"/>
      <c r="I168" s="17"/>
      <c r="J168" s="18"/>
      <c r="K168" s="17"/>
      <c r="L168" s="17"/>
    </row>
    <row r="169" spans="1:12" ht="14.25">
      <c r="A169" s="17"/>
      <c r="B169" s="29"/>
      <c r="C169" s="29"/>
      <c r="D169" s="17"/>
      <c r="E169" s="17"/>
      <c r="F169" s="17"/>
      <c r="G169" s="18"/>
      <c r="H169" s="17"/>
      <c r="I169" s="17"/>
      <c r="J169" s="18"/>
      <c r="K169" s="17"/>
      <c r="L169" s="17"/>
    </row>
    <row r="170" spans="1:12" ht="14.25">
      <c r="A170" s="17"/>
      <c r="B170" s="29"/>
      <c r="C170" s="29"/>
      <c r="D170" s="17"/>
      <c r="E170" s="17"/>
      <c r="F170" s="17"/>
      <c r="G170" s="18"/>
      <c r="H170" s="17"/>
      <c r="I170" s="17"/>
      <c r="J170" s="18"/>
      <c r="K170" s="17"/>
      <c r="L170" s="17"/>
    </row>
    <row r="171" spans="1:12" ht="14.25">
      <c r="A171" s="17"/>
      <c r="B171" s="29"/>
      <c r="C171" s="29"/>
      <c r="D171" s="17"/>
      <c r="E171" s="17"/>
      <c r="F171" s="17"/>
      <c r="G171" s="18"/>
      <c r="H171" s="17"/>
      <c r="I171" s="17"/>
      <c r="J171" s="18"/>
      <c r="K171" s="17"/>
      <c r="L171" s="17"/>
    </row>
    <row r="172" spans="1:12" ht="14.2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58 J4:J158">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C148" activePane="bottomRight" state="frozen"/>
      <selection pane="bottomRight" activeCell="A159" sqref="A159:XFD186"/>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51" t="str" cm="1">
        <f t="array" ref="A1">portfolio</f>
        <v>Generate Capital</v>
      </c>
      <c r="B1" s="151"/>
      <c r="C1" s="151"/>
      <c r="D1" s="151"/>
      <c r="E1" s="152" t="s">
        <v>1648</v>
      </c>
      <c r="F1" s="152"/>
      <c r="G1" s="152"/>
      <c r="H1" s="150" t="s">
        <v>1649</v>
      </c>
      <c r="I1" s="150"/>
      <c r="J1" s="150"/>
      <c r="K1" s="4"/>
      <c r="L1" s="4"/>
    </row>
    <row r="2" spans="1:12" ht="19.5" customHeight="1">
      <c r="A2" s="153" t="s">
        <v>2</v>
      </c>
      <c r="B2" s="153"/>
      <c r="C2" s="57"/>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75">
      <c r="A4" s="28" t="str" cm="1">
        <f t="array" ref="A4:A158">Sites[Site]</f>
        <v>K026</v>
      </c>
      <c r="B4" s="25" t="str" cm="1">
        <f t="array" ref="B4:B158">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49"/>
    </row>
    <row r="5" spans="1:12" ht="15.75">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41"/>
      <c r="L5" s="141"/>
    </row>
    <row r="6" spans="1:12" ht="15.75">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row>
    <row r="7" spans="1:12" ht="24.75" customHeight="1">
      <c r="A7" s="26" t="str">
        <v>K058</v>
      </c>
      <c r="B7" s="27" t="str">
        <v>NY</v>
      </c>
      <c r="C7" s="25" t="str">
        <f>Sites[[#This Row],[SOL'#]]</f>
        <v>SOL-10360</v>
      </c>
      <c r="D7" s="9"/>
      <c r="E7" s="14"/>
      <c r="F7" s="14" t="str">
        <f t="shared" si="0"/>
        <v/>
      </c>
      <c r="G7" s="15" t="str">
        <f t="shared" si="3"/>
        <v/>
      </c>
      <c r="H7" s="16"/>
      <c r="I7" s="16" t="str">
        <f t="shared" si="1"/>
        <v/>
      </c>
      <c r="J7" s="15" t="str">
        <f t="shared" si="2"/>
        <v/>
      </c>
      <c r="K7" s="141"/>
      <c r="L7" s="95"/>
    </row>
    <row r="8" spans="1:12" ht="15.75">
      <c r="A8" s="24" t="str">
        <v>K115</v>
      </c>
      <c r="B8" s="25" t="str">
        <v>NY</v>
      </c>
      <c r="C8" s="25" t="str">
        <f>Sites[[#This Row],[SOL'#]]</f>
        <v>SOL-10361</v>
      </c>
      <c r="D8" s="20"/>
      <c r="E8" s="10"/>
      <c r="F8" s="10" t="str">
        <f t="shared" si="0"/>
        <v/>
      </c>
      <c r="G8" s="11" t="str">
        <f t="shared" si="3"/>
        <v/>
      </c>
      <c r="H8" s="12"/>
      <c r="I8" s="12" t="str">
        <f t="shared" si="1"/>
        <v/>
      </c>
      <c r="J8" s="13" t="str">
        <f t="shared" si="2"/>
        <v/>
      </c>
      <c r="K8" s="49"/>
      <c r="L8" s="49"/>
    </row>
    <row r="9" spans="1:12" ht="15.75">
      <c r="A9" s="26" t="str">
        <v>K152</v>
      </c>
      <c r="B9" s="27" t="str">
        <v>NY</v>
      </c>
      <c r="C9" s="25" t="str">
        <f>Sites[[#This Row],[SOL'#]]</f>
        <v>SOL-10362</v>
      </c>
      <c r="D9" s="9"/>
      <c r="E9" s="14"/>
      <c r="F9" s="14" t="str">
        <f t="shared" si="0"/>
        <v/>
      </c>
      <c r="G9" s="15" t="str">
        <f t="shared" si="3"/>
        <v/>
      </c>
      <c r="H9" s="16"/>
      <c r="I9" s="16" t="str">
        <f t="shared" si="1"/>
        <v/>
      </c>
      <c r="J9" s="15" t="str">
        <f t="shared" si="2"/>
        <v/>
      </c>
      <c r="K9" s="141"/>
      <c r="L9" s="96"/>
    </row>
    <row r="10" spans="1:12"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49"/>
    </row>
    <row r="11" spans="1:12" ht="15.75">
      <c r="A11" s="26" t="str">
        <v>K206</v>
      </c>
      <c r="B11" s="27" t="str">
        <v>NY</v>
      </c>
      <c r="C11" s="25" t="str">
        <f>Sites[[#This Row],[SOL'#]]</f>
        <v>SOL-10927</v>
      </c>
      <c r="D11" s="9"/>
      <c r="E11" s="14"/>
      <c r="F11" s="14" t="str">
        <f t="shared" si="0"/>
        <v/>
      </c>
      <c r="G11" s="15" t="str">
        <f t="shared" si="3"/>
        <v/>
      </c>
      <c r="H11" s="16"/>
      <c r="I11" s="16" t="str">
        <f t="shared" si="1"/>
        <v/>
      </c>
      <c r="J11" s="15" t="str">
        <f t="shared" si="2"/>
        <v/>
      </c>
      <c r="K11" s="141"/>
      <c r="L11" s="95"/>
    </row>
    <row r="12" spans="1:12" ht="15.75">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49"/>
    </row>
    <row r="13" spans="1:12" ht="39" customHeight="1">
      <c r="A13" s="26" t="str">
        <v>K269</v>
      </c>
      <c r="B13" s="27" t="str">
        <v>NY</v>
      </c>
      <c r="C13" s="25" t="str">
        <f>Sites[[#This Row],[SOL'#]]</f>
        <v>SOL-10366</v>
      </c>
      <c r="D13" s="9"/>
      <c r="E13" s="14"/>
      <c r="F13" s="14" t="str">
        <f t="shared" si="0"/>
        <v/>
      </c>
      <c r="G13" s="15" t="str">
        <f t="shared" si="3"/>
        <v/>
      </c>
      <c r="H13" s="16"/>
      <c r="I13" s="16" t="str">
        <f t="shared" si="1"/>
        <v/>
      </c>
      <c r="J13" s="15" t="str">
        <f t="shared" si="2"/>
        <v/>
      </c>
      <c r="K13" s="141"/>
      <c r="L13" s="95"/>
    </row>
    <row r="14" spans="1:12" ht="19.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12"/>
    </row>
    <row r="15" spans="1:12" ht="15.75">
      <c r="A15" s="26" t="str">
        <v>K287</v>
      </c>
      <c r="B15" s="27" t="str">
        <v>NY</v>
      </c>
      <c r="C15" s="25" t="str">
        <f>Sites[[#This Row],[SOL'#]]</f>
        <v>SOL-10919</v>
      </c>
      <c r="D15" s="9"/>
      <c r="E15" s="14"/>
      <c r="F15" s="14" t="str">
        <f t="shared" si="0"/>
        <v/>
      </c>
      <c r="G15" s="15" t="str">
        <f t="shared" si="3"/>
        <v/>
      </c>
      <c r="H15" s="16"/>
      <c r="I15" s="16" t="str">
        <f t="shared" si="1"/>
        <v/>
      </c>
      <c r="J15" s="15" t="str">
        <f t="shared" si="2"/>
        <v/>
      </c>
      <c r="K15" s="141"/>
      <c r="L15" s="95"/>
    </row>
    <row r="16" spans="1:12"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row>
    <row r="17" spans="1:12" ht="15.75">
      <c r="A17" s="26" t="str">
        <v>K335</v>
      </c>
      <c r="B17" s="27" t="str">
        <v>NY</v>
      </c>
      <c r="C17" s="25" t="str">
        <f>Sites[[#This Row],[SOL'#]]</f>
        <v>SOL-10370</v>
      </c>
      <c r="D17" s="9"/>
      <c r="E17" s="14"/>
      <c r="F17" s="14" t="str">
        <f t="shared" si="0"/>
        <v/>
      </c>
      <c r="G17" s="15" t="str">
        <f t="shared" ref="G17:G48" si="4">IFERROR(F17/E17, "")</f>
        <v/>
      </c>
      <c r="H17" s="16"/>
      <c r="I17" s="16" t="str">
        <f t="shared" si="1"/>
        <v/>
      </c>
      <c r="J17" s="15" t="str">
        <f t="shared" si="2"/>
        <v/>
      </c>
      <c r="K17" s="141"/>
      <c r="L17" s="95"/>
    </row>
    <row r="18" spans="1:12" ht="18"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49"/>
    </row>
    <row r="19" spans="1:12" ht="15.75">
      <c r="A19" s="26" t="str">
        <v>K445</v>
      </c>
      <c r="B19" s="27" t="str">
        <v>NY</v>
      </c>
      <c r="C19" s="25" t="str">
        <f>Sites[[#This Row],[SOL'#]]</f>
        <v>SOL-10373</v>
      </c>
      <c r="D19" s="9"/>
      <c r="E19" s="14"/>
      <c r="F19" s="14" t="str">
        <f t="shared" si="5"/>
        <v/>
      </c>
      <c r="G19" s="15" t="str">
        <f t="shared" si="4"/>
        <v/>
      </c>
      <c r="H19" s="16"/>
      <c r="I19" s="16" t="str">
        <f t="shared" si="6"/>
        <v/>
      </c>
      <c r="J19" s="15" t="str">
        <f t="shared" si="7"/>
        <v/>
      </c>
      <c r="K19" s="141"/>
      <c r="L19" s="95"/>
    </row>
    <row r="20" spans="1:12" ht="24.75"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49"/>
    </row>
    <row r="21" spans="1:12" ht="15.75">
      <c r="A21" s="26" t="str">
        <v>M020</v>
      </c>
      <c r="B21" s="27" t="str">
        <v>NY</v>
      </c>
      <c r="C21" s="25" t="str">
        <f>Sites[[#This Row],[SOL'#]]</f>
        <v>SOL-10380</v>
      </c>
      <c r="D21" s="9"/>
      <c r="E21" s="14"/>
      <c r="F21" s="14" t="str">
        <f t="shared" si="5"/>
        <v/>
      </c>
      <c r="G21" s="15" t="str">
        <f t="shared" si="4"/>
        <v/>
      </c>
      <c r="H21" s="16"/>
      <c r="I21" s="16" t="str">
        <f t="shared" si="6"/>
        <v/>
      </c>
      <c r="J21" s="15" t="str">
        <f t="shared" si="7"/>
        <v/>
      </c>
      <c r="K21" s="141"/>
      <c r="L21" s="96"/>
    </row>
    <row r="22" spans="1:12" ht="15.75">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2" ht="27" customHeight="1">
      <c r="A23" s="26" t="str">
        <v>M143</v>
      </c>
      <c r="B23" s="27" t="str">
        <v>NY</v>
      </c>
      <c r="C23" s="25" t="str">
        <f>Sites[[#This Row],[SOL'#]]</f>
        <v>SOL-10384</v>
      </c>
      <c r="D23" s="9"/>
      <c r="E23" s="14"/>
      <c r="F23" s="14" t="str">
        <f t="shared" si="5"/>
        <v/>
      </c>
      <c r="G23" s="15" t="str">
        <f t="shared" si="4"/>
        <v/>
      </c>
      <c r="H23" s="16"/>
      <c r="I23" s="16" t="str">
        <f t="shared" si="6"/>
        <v/>
      </c>
      <c r="J23" s="15" t="str">
        <f t="shared" si="7"/>
        <v/>
      </c>
      <c r="K23" s="141"/>
      <c r="L23" s="96"/>
    </row>
    <row r="24" spans="1:12" ht="15.75">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2" ht="15.75">
      <c r="A25" s="26" t="str">
        <v>M167</v>
      </c>
      <c r="B25" s="27" t="str">
        <v>NY</v>
      </c>
      <c r="C25" s="25" t="str">
        <f>Sites[[#This Row],[SOL'#]]</f>
        <v>SOL-10386</v>
      </c>
      <c r="D25" s="9"/>
      <c r="E25" s="14"/>
      <c r="F25" s="14" t="str">
        <f t="shared" si="5"/>
        <v/>
      </c>
      <c r="G25" s="15" t="str">
        <f t="shared" si="4"/>
        <v/>
      </c>
      <c r="H25" s="16"/>
      <c r="I25" s="16" t="str">
        <f t="shared" si="6"/>
        <v/>
      </c>
      <c r="J25" s="15" t="str">
        <f t="shared" si="7"/>
        <v/>
      </c>
      <c r="K25" s="141"/>
      <c r="L25" s="97"/>
    </row>
    <row r="26" spans="1:12" ht="15.75">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2" ht="15.75">
      <c r="A27" s="26" t="str">
        <v>EMHC</v>
      </c>
      <c r="B27" s="27" t="str">
        <v>NY</v>
      </c>
      <c r="C27" s="25" t="str">
        <f>Sites[[#This Row],[SOL'#]]</f>
        <v>SOL-10351</v>
      </c>
      <c r="D27" s="9"/>
      <c r="E27" s="14"/>
      <c r="F27" s="14" t="str">
        <f t="shared" si="5"/>
        <v/>
      </c>
      <c r="G27" s="15" t="str">
        <f t="shared" si="4"/>
        <v/>
      </c>
      <c r="H27" s="16"/>
      <c r="I27" s="16" t="str">
        <f t="shared" si="6"/>
        <v/>
      </c>
      <c r="J27" s="15" t="str">
        <f t="shared" si="7"/>
        <v/>
      </c>
      <c r="K27" s="141"/>
      <c r="L27" s="96"/>
    </row>
    <row r="28" spans="1:12" ht="15.75">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2" ht="15.75">
      <c r="A29" s="26" t="str">
        <v>Q018</v>
      </c>
      <c r="B29" s="27" t="str">
        <v>NY</v>
      </c>
      <c r="C29" s="25" t="str">
        <f>Sites[[#This Row],[SOL'#]]</f>
        <v>SOL-10398</v>
      </c>
      <c r="D29" s="9"/>
      <c r="E29" s="14"/>
      <c r="F29" s="14" t="str">
        <f t="shared" si="5"/>
        <v/>
      </c>
      <c r="G29" s="15" t="str">
        <f t="shared" si="4"/>
        <v/>
      </c>
      <c r="H29" s="16"/>
      <c r="I29" s="16" t="str">
        <f t="shared" si="6"/>
        <v/>
      </c>
      <c r="J29" s="15" t="str">
        <f t="shared" si="7"/>
        <v/>
      </c>
      <c r="K29" s="141"/>
      <c r="L29" s="141"/>
    </row>
    <row r="30" spans="1:12" ht="15.75">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2" ht="15.75">
      <c r="A31" s="26" t="str">
        <v>Q025</v>
      </c>
      <c r="B31" s="27" t="str">
        <v>NY</v>
      </c>
      <c r="C31" s="25" t="str">
        <f>Sites[[#This Row],[SOL'#]]</f>
        <v>SOL-10400</v>
      </c>
      <c r="D31" s="9"/>
      <c r="E31" s="14"/>
      <c r="F31" s="14" t="str">
        <f t="shared" si="5"/>
        <v/>
      </c>
      <c r="G31" s="15" t="str">
        <f t="shared" si="4"/>
        <v/>
      </c>
      <c r="H31" s="16"/>
      <c r="I31" s="16" t="str">
        <f t="shared" si="6"/>
        <v/>
      </c>
      <c r="J31" s="15" t="str">
        <f t="shared" si="7"/>
        <v/>
      </c>
      <c r="K31" s="141"/>
      <c r="L31" s="141"/>
    </row>
    <row r="32" spans="1:12" ht="15.75">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49"/>
    </row>
    <row r="33" spans="1:12" ht="15.75">
      <c r="A33" s="26" t="str">
        <v>Q115</v>
      </c>
      <c r="B33" s="27" t="str">
        <v>NY</v>
      </c>
      <c r="C33" s="25" t="str">
        <f>Sites[[#This Row],[SOL'#]]</f>
        <v>SOL-10872</v>
      </c>
      <c r="D33" s="9"/>
      <c r="E33" s="14"/>
      <c r="F33" s="14" t="str">
        <f t="shared" si="5"/>
        <v/>
      </c>
      <c r="G33" s="15" t="str">
        <f t="shared" si="4"/>
        <v/>
      </c>
      <c r="H33" s="16"/>
      <c r="I33" s="16" t="str">
        <f t="shared" si="6"/>
        <v/>
      </c>
      <c r="J33" s="15" t="str">
        <f t="shared" si="7"/>
        <v/>
      </c>
      <c r="K33" s="141"/>
      <c r="L33" s="141"/>
    </row>
    <row r="34" spans="1:12" ht="15.75">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49"/>
    </row>
    <row r="35" spans="1:12" ht="15.75">
      <c r="A35" s="26" t="str">
        <v>Q157</v>
      </c>
      <c r="B35" s="27" t="str">
        <v>NY</v>
      </c>
      <c r="C35" s="25" t="str">
        <f>Sites[[#This Row],[SOL'#]]</f>
        <v>SOL-10404</v>
      </c>
      <c r="D35" s="9"/>
      <c r="E35" s="14"/>
      <c r="F35" s="14" t="str">
        <f t="shared" si="5"/>
        <v/>
      </c>
      <c r="G35" s="15" t="str">
        <f t="shared" si="4"/>
        <v/>
      </c>
      <c r="H35" s="16"/>
      <c r="I35" s="16" t="str">
        <f t="shared" si="6"/>
        <v/>
      </c>
      <c r="J35" s="15" t="str">
        <f t="shared" si="7"/>
        <v/>
      </c>
      <c r="K35" s="141"/>
      <c r="L35" s="96"/>
    </row>
    <row r="36" spans="1:12" ht="15.75">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49"/>
    </row>
    <row r="37" spans="1:12" ht="15.75">
      <c r="A37" s="26" t="str">
        <v>Q210</v>
      </c>
      <c r="B37" s="27" t="str">
        <v>NY</v>
      </c>
      <c r="C37" s="25" t="str">
        <f>Sites[[#This Row],[SOL'#]]</f>
        <v>SOL-10407</v>
      </c>
      <c r="D37" s="9"/>
      <c r="E37" s="14"/>
      <c r="F37" s="14" t="str">
        <f t="shared" si="5"/>
        <v/>
      </c>
      <c r="G37" s="15" t="str">
        <f t="shared" si="4"/>
        <v/>
      </c>
      <c r="H37" s="16"/>
      <c r="I37" s="16" t="str">
        <f t="shared" si="6"/>
        <v/>
      </c>
      <c r="J37" s="15" t="str">
        <f t="shared" si="7"/>
        <v/>
      </c>
      <c r="K37" s="141"/>
      <c r="L37" s="96"/>
    </row>
    <row r="38" spans="1:12" ht="15.75">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49"/>
    </row>
    <row r="39" spans="1:12" ht="15.75">
      <c r="A39" s="26" t="str">
        <v>Q231</v>
      </c>
      <c r="B39" s="27" t="str">
        <v>NY</v>
      </c>
      <c r="C39" s="25" t="str">
        <f>Sites[[#This Row],[SOL'#]]</f>
        <v>SOL-10870</v>
      </c>
      <c r="D39" s="9"/>
      <c r="E39" s="14"/>
      <c r="F39" s="14" t="str">
        <f t="shared" si="5"/>
        <v/>
      </c>
      <c r="G39" s="15" t="str">
        <f t="shared" si="4"/>
        <v/>
      </c>
      <c r="H39" s="16"/>
      <c r="I39" s="16" t="str">
        <f t="shared" si="6"/>
        <v/>
      </c>
      <c r="J39" s="15" t="str">
        <f t="shared" si="7"/>
        <v/>
      </c>
      <c r="K39" s="141"/>
      <c r="L39" s="96"/>
    </row>
    <row r="40" spans="1:12" ht="15.75">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49"/>
    </row>
    <row r="41" spans="1:12" ht="15.75">
      <c r="A41" s="26" t="str">
        <v>Q435</v>
      </c>
      <c r="B41" s="27" t="str">
        <v>NY</v>
      </c>
      <c r="C41" s="25" t="str">
        <f>Sites[[#This Row],[SOL'#]]</f>
        <v>SOL-10923</v>
      </c>
      <c r="D41" s="9"/>
      <c r="E41" s="14"/>
      <c r="F41" s="14" t="str">
        <f t="shared" si="5"/>
        <v/>
      </c>
      <c r="G41" s="15" t="str">
        <f t="shared" si="4"/>
        <v/>
      </c>
      <c r="H41" s="16"/>
      <c r="I41" s="16" t="str">
        <f t="shared" si="6"/>
        <v/>
      </c>
      <c r="J41" s="15" t="str">
        <f t="shared" si="7"/>
        <v/>
      </c>
      <c r="K41" s="141"/>
      <c r="L41" s="141"/>
    </row>
    <row r="42" spans="1:12" ht="15.75">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49"/>
    </row>
    <row r="43" spans="1:12" ht="15.75">
      <c r="A43" s="26" t="str">
        <v>Q490</v>
      </c>
      <c r="B43" s="27" t="str">
        <v>NY</v>
      </c>
      <c r="C43" s="25" t="str">
        <f>Sites[[#This Row],[SOL'#]]</f>
        <v>SOL-10411</v>
      </c>
      <c r="D43" s="9"/>
      <c r="E43" s="14"/>
      <c r="F43" s="14" t="str">
        <f t="shared" si="5"/>
        <v/>
      </c>
      <c r="G43" s="15" t="str">
        <f t="shared" si="4"/>
        <v/>
      </c>
      <c r="H43" s="16"/>
      <c r="I43" s="16" t="str">
        <f t="shared" si="6"/>
        <v/>
      </c>
      <c r="J43" s="15" t="str">
        <f t="shared" si="7"/>
        <v/>
      </c>
      <c r="K43" s="141"/>
      <c r="L43" s="97"/>
    </row>
    <row r="44" spans="1:12" ht="15.75">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49"/>
    </row>
    <row r="45" spans="1:12" ht="15.75">
      <c r="A45" s="26" t="str">
        <v>QMOA</v>
      </c>
      <c r="B45" s="27" t="str">
        <v>NY</v>
      </c>
      <c r="C45" s="25" t="str">
        <f>Sites[[#This Row],[SOL'#]]</f>
        <v>SOL-10415</v>
      </c>
      <c r="D45" s="9"/>
      <c r="E45" s="14"/>
      <c r="F45" s="14" t="str">
        <f t="shared" si="5"/>
        <v/>
      </c>
      <c r="G45" s="15" t="str">
        <f t="shared" si="4"/>
        <v/>
      </c>
      <c r="H45" s="16"/>
      <c r="I45" s="16" t="str">
        <f t="shared" si="6"/>
        <v/>
      </c>
      <c r="J45" s="15" t="str">
        <f t="shared" si="7"/>
        <v/>
      </c>
      <c r="K45" s="141"/>
      <c r="L45" s="96"/>
    </row>
    <row r="46" spans="1:12" ht="15.75">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2" ht="15.75">
      <c r="A47" s="26" t="str">
        <v>X026</v>
      </c>
      <c r="B47" s="27" t="str">
        <v>NY</v>
      </c>
      <c r="C47" s="25" t="str">
        <f>Sites[[#This Row],[SOL'#]]</f>
        <v>SOL-10420</v>
      </c>
      <c r="D47" s="9"/>
      <c r="E47" s="14"/>
      <c r="F47" s="14" t="str">
        <f t="shared" si="5"/>
        <v/>
      </c>
      <c r="G47" s="15" t="str">
        <f t="shared" si="4"/>
        <v/>
      </c>
      <c r="H47" s="16"/>
      <c r="I47" s="16" t="str">
        <f t="shared" si="6"/>
        <v/>
      </c>
      <c r="J47" s="15" t="str">
        <f t="shared" si="7"/>
        <v/>
      </c>
      <c r="K47" s="141"/>
      <c r="L47" s="95"/>
    </row>
    <row r="48" spans="1:12"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49"/>
    </row>
    <row r="49" spans="1:12" ht="15.75">
      <c r="A49" s="26" t="str">
        <v>X117</v>
      </c>
      <c r="B49" s="27" t="str">
        <v>NY</v>
      </c>
      <c r="C49" s="25" t="str">
        <f>Sites[[#This Row],[SOL'#]]</f>
        <v>SOL-10422</v>
      </c>
      <c r="D49" s="9"/>
      <c r="E49" s="14"/>
      <c r="F49" s="14" t="str">
        <f t="shared" si="5"/>
        <v/>
      </c>
      <c r="G49" s="15" t="str">
        <f t="shared" ref="G49:G80" si="8">IFERROR(F49/E49, "")</f>
        <v/>
      </c>
      <c r="H49" s="16"/>
      <c r="I49" s="16" t="str">
        <f t="shared" si="6"/>
        <v/>
      </c>
      <c r="J49" s="15" t="str">
        <f t="shared" si="7"/>
        <v/>
      </c>
      <c r="K49" s="141"/>
      <c r="L49" s="95"/>
    </row>
    <row r="50" spans="1:12" ht="15.75">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2" ht="39.75" customHeight="1">
      <c r="A51" s="26" t="str">
        <v>X134</v>
      </c>
      <c r="B51" s="27" t="str">
        <v>NY</v>
      </c>
      <c r="C51" s="25" t="str">
        <f>Sites[[#This Row],[SOL'#]]</f>
        <v>SOL-10424</v>
      </c>
      <c r="D51" s="9"/>
      <c r="E51" s="14"/>
      <c r="F51" s="14" t="str">
        <f t="shared" si="9"/>
        <v/>
      </c>
      <c r="G51" s="15" t="str">
        <f t="shared" si="8"/>
        <v/>
      </c>
      <c r="H51" s="16"/>
      <c r="I51" s="16" t="str">
        <f t="shared" si="10"/>
        <v/>
      </c>
      <c r="J51" s="15" t="str">
        <f t="shared" si="11"/>
        <v/>
      </c>
      <c r="K51" s="141"/>
      <c r="L51" s="95"/>
    </row>
    <row r="52" spans="1:12" ht="15.75">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2" ht="15.75">
      <c r="A53" s="26" t="str">
        <v>X139 JHS 222</v>
      </c>
      <c r="B53" s="27" t="str">
        <v>NY</v>
      </c>
      <c r="C53" s="25" t="str">
        <f>Sites[[#This Row],[SOL'#]]</f>
        <v>SOL-10426</v>
      </c>
      <c r="D53" s="9"/>
      <c r="E53" s="14"/>
      <c r="F53" s="14" t="str">
        <f t="shared" si="9"/>
        <v/>
      </c>
      <c r="G53" s="15" t="str">
        <f t="shared" si="8"/>
        <v/>
      </c>
      <c r="H53" s="16"/>
      <c r="I53" s="16" t="str">
        <f t="shared" si="10"/>
        <v/>
      </c>
      <c r="J53" s="15" t="str">
        <f t="shared" si="11"/>
        <v/>
      </c>
      <c r="K53" s="141"/>
      <c r="L53" s="141"/>
    </row>
    <row r="54" spans="1:12" ht="15.75">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2" ht="15.75">
      <c r="A55" s="26" t="str">
        <v>X166</v>
      </c>
      <c r="B55" s="27" t="str">
        <v>NY</v>
      </c>
      <c r="C55" s="25" t="str">
        <f>Sites[[#This Row],[SOL'#]]</f>
        <v>SOL-10427</v>
      </c>
      <c r="D55" s="9"/>
      <c r="E55" s="14"/>
      <c r="F55" s="14" t="str">
        <f t="shared" si="9"/>
        <v/>
      </c>
      <c r="G55" s="15" t="str">
        <f t="shared" si="8"/>
        <v/>
      </c>
      <c r="H55" s="16"/>
      <c r="I55" s="16" t="str">
        <f t="shared" si="10"/>
        <v/>
      </c>
      <c r="J55" s="15" t="str">
        <f t="shared" si="11"/>
        <v/>
      </c>
      <c r="K55" s="141"/>
      <c r="L55" s="95"/>
    </row>
    <row r="56" spans="1:12" ht="15.75">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49"/>
    </row>
    <row r="57" spans="1:12" ht="15.75">
      <c r="A57" s="26" t="str">
        <v>Terning</v>
      </c>
      <c r="B57" s="27" t="str">
        <v>MN</v>
      </c>
      <c r="C57" s="25" t="str">
        <f>Sites[[#This Row],[SOL'#]]</f>
        <v>SOL-10093</v>
      </c>
      <c r="D57" s="9"/>
      <c r="E57" s="14"/>
      <c r="F57" s="14" t="str">
        <f t="shared" si="9"/>
        <v/>
      </c>
      <c r="G57" s="15" t="str">
        <f t="shared" si="8"/>
        <v/>
      </c>
      <c r="H57" s="16"/>
      <c r="I57" s="16" t="str">
        <f t="shared" si="10"/>
        <v/>
      </c>
      <c r="J57" s="15" t="str">
        <f t="shared" si="11"/>
        <v/>
      </c>
      <c r="K57" s="98"/>
      <c r="L57" s="95"/>
    </row>
    <row r="58" spans="1:12" ht="15.75">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13"/>
      <c r="L58" s="49"/>
    </row>
    <row r="59" spans="1:12" ht="15.75">
      <c r="A59" s="26" t="str">
        <v>Kelly Bridge Farm</v>
      </c>
      <c r="B59" s="27" t="str">
        <v>NY</v>
      </c>
      <c r="C59" s="25" t="str">
        <f>Sites[[#This Row],[SOL'#]]</f>
        <v>SOL-10911</v>
      </c>
      <c r="D59" s="9"/>
      <c r="E59" s="14"/>
      <c r="F59" s="14" t="str">
        <f t="shared" si="9"/>
        <v/>
      </c>
      <c r="G59" s="15" t="str">
        <f t="shared" si="8"/>
        <v/>
      </c>
      <c r="H59" s="16"/>
      <c r="I59" s="16" t="str">
        <f t="shared" si="10"/>
        <v/>
      </c>
      <c r="J59" s="15" t="str">
        <f t="shared" si="11"/>
        <v/>
      </c>
      <c r="K59" s="141"/>
      <c r="L59" s="97"/>
    </row>
    <row r="60" spans="1:12" ht="15.75">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2" ht="15.75">
      <c r="A61" s="26" t="str">
        <v>Sackett Lake</v>
      </c>
      <c r="B61" s="27" t="str">
        <v>NY</v>
      </c>
      <c r="C61" s="25" t="str">
        <f>Sites[[#This Row],[SOL'#]]</f>
        <v>SOL-10910</v>
      </c>
      <c r="D61" s="9"/>
      <c r="E61" s="14"/>
      <c r="F61" s="14" t="str">
        <f t="shared" si="9"/>
        <v/>
      </c>
      <c r="G61" s="15" t="str">
        <f t="shared" si="8"/>
        <v/>
      </c>
      <c r="H61" s="16"/>
      <c r="I61" s="16" t="str">
        <f t="shared" si="10"/>
        <v/>
      </c>
      <c r="J61" s="15" t="str">
        <f t="shared" si="11"/>
        <v/>
      </c>
      <c r="K61" s="141"/>
      <c r="L61" s="96"/>
    </row>
    <row r="62" spans="1:12" ht="15.75">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2" ht="15.75">
      <c r="A63" s="26" t="str">
        <v>Villa Roma 1</v>
      </c>
      <c r="B63" s="27" t="str">
        <v>NY</v>
      </c>
      <c r="C63" s="25" t="str">
        <f>Sites[[#This Row],[SOL'#]]</f>
        <v>SOL-10914</v>
      </c>
      <c r="D63" s="9"/>
      <c r="E63" s="14"/>
      <c r="F63" s="14" t="str">
        <f t="shared" si="9"/>
        <v/>
      </c>
      <c r="G63" s="15" t="str">
        <f t="shared" si="8"/>
        <v/>
      </c>
      <c r="H63" s="16"/>
      <c r="I63" s="16" t="str">
        <f t="shared" si="10"/>
        <v/>
      </c>
      <c r="J63" s="15" t="str">
        <f t="shared" si="11"/>
        <v/>
      </c>
      <c r="K63" s="141"/>
      <c r="L63" s="95"/>
    </row>
    <row r="64" spans="1:12" ht="15.75">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2" ht="15.75">
      <c r="A65" s="26" t="str">
        <v>Washington 1</v>
      </c>
      <c r="B65" s="27" t="str">
        <v>NY</v>
      </c>
      <c r="C65" s="25" t="str">
        <f>Sites[[#This Row],[SOL'#]]</f>
        <v>SOL-10912</v>
      </c>
      <c r="D65" s="9"/>
      <c r="E65" s="14"/>
      <c r="F65" s="14" t="str">
        <f t="shared" si="9"/>
        <v/>
      </c>
      <c r="G65" s="15" t="str">
        <f t="shared" si="8"/>
        <v/>
      </c>
      <c r="H65" s="16"/>
      <c r="I65" s="16" t="str">
        <f t="shared" si="10"/>
        <v/>
      </c>
      <c r="J65" s="15" t="str">
        <f t="shared" si="11"/>
        <v/>
      </c>
      <c r="K65" s="141"/>
      <c r="L65" s="141"/>
    </row>
    <row r="66" spans="1:12" ht="15.75">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49"/>
    </row>
    <row r="67" spans="1:12" ht="42" customHeight="1">
      <c r="A67" s="26" t="str">
        <v>Washington 4</v>
      </c>
      <c r="B67" s="27" t="str">
        <v>NY</v>
      </c>
      <c r="C67" s="25" t="str">
        <f>Sites[[#This Row],[SOL'#]]</f>
        <v>SOL-10829</v>
      </c>
      <c r="D67" s="9"/>
      <c r="E67" s="14"/>
      <c r="F67" s="14" t="str">
        <f t="shared" si="9"/>
        <v/>
      </c>
      <c r="G67" s="15" t="str">
        <f t="shared" si="8"/>
        <v/>
      </c>
      <c r="H67" s="16"/>
      <c r="I67" s="16" t="str">
        <f t="shared" si="10"/>
        <v/>
      </c>
      <c r="J67" s="15" t="str">
        <f t="shared" si="11"/>
        <v/>
      </c>
      <c r="K67" s="141"/>
      <c r="L67" s="141"/>
    </row>
    <row r="68" spans="1:12" ht="15.75">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49"/>
    </row>
    <row r="69" spans="1:12" ht="15.75">
      <c r="A69" s="26" t="str">
        <v>Canoga</v>
      </c>
      <c r="B69" s="27" t="str">
        <v>NY</v>
      </c>
      <c r="C69" s="25" t="str">
        <f>Sites[[#This Row],[SOL'#]]</f>
        <v>SOL-10965</v>
      </c>
      <c r="D69" s="9"/>
      <c r="E69" s="14"/>
      <c r="F69" s="14" t="str">
        <f t="shared" si="9"/>
        <v/>
      </c>
      <c r="G69" s="15" t="str">
        <f t="shared" si="8"/>
        <v/>
      </c>
      <c r="H69" s="16"/>
      <c r="I69" s="16" t="str">
        <f t="shared" si="10"/>
        <v/>
      </c>
      <c r="J69" s="15" t="str">
        <f t="shared" si="11"/>
        <v/>
      </c>
      <c r="K69" s="141"/>
      <c r="L69" s="96"/>
    </row>
    <row r="70" spans="1:12" ht="42"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3"/>
    </row>
    <row r="71" spans="1:12" ht="15.75">
      <c r="A71" s="26" t="str">
        <v>Donati</v>
      </c>
      <c r="B71" s="27" t="str">
        <v>NY</v>
      </c>
      <c r="C71" s="25" t="str">
        <f>Sites[[#This Row],[SOL'#]]</f>
        <v>SOL-10968</v>
      </c>
      <c r="D71" s="9"/>
      <c r="E71" s="14"/>
      <c r="F71" s="14" t="str">
        <f t="shared" si="9"/>
        <v/>
      </c>
      <c r="G71" s="15" t="str">
        <f t="shared" si="8"/>
        <v/>
      </c>
      <c r="H71" s="16"/>
      <c r="I71" s="16" t="str">
        <f t="shared" si="10"/>
        <v/>
      </c>
      <c r="J71" s="15" t="str">
        <f t="shared" si="11"/>
        <v/>
      </c>
      <c r="K71" s="141"/>
      <c r="L71" s="96"/>
    </row>
    <row r="72" spans="1:12" ht="15.75">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49"/>
    </row>
    <row r="73" spans="1:12" ht="15.75">
      <c r="A73" s="26" t="str">
        <v>NY 70</v>
      </c>
      <c r="B73" s="27" t="str">
        <v>NY</v>
      </c>
      <c r="C73" s="25" t="str">
        <f>Sites[[#This Row],[SOL'#]]</f>
        <v>SOL-10970</v>
      </c>
      <c r="D73" s="9"/>
      <c r="E73" s="14"/>
      <c r="F73" s="14" t="str">
        <f t="shared" si="9"/>
        <v/>
      </c>
      <c r="G73" s="15" t="str">
        <f t="shared" si="8"/>
        <v/>
      </c>
      <c r="H73" s="16"/>
      <c r="I73" s="16" t="str">
        <f t="shared" si="10"/>
        <v/>
      </c>
      <c r="J73" s="15" t="str">
        <f t="shared" si="11"/>
        <v/>
      </c>
      <c r="K73" s="141"/>
      <c r="L73" s="95"/>
    </row>
    <row r="74" spans="1:12" ht="15.75">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49"/>
    </row>
    <row r="75" spans="1:12" ht="66.75" customHeight="1">
      <c r="A75" s="26" t="str">
        <v>Sangolqui</v>
      </c>
      <c r="B75" s="27" t="str">
        <v>NY</v>
      </c>
      <c r="C75" s="25" t="str">
        <f>Sites[[#This Row],[SOL'#]]</f>
        <v>SOL-10975</v>
      </c>
      <c r="D75" s="9"/>
      <c r="E75" s="14"/>
      <c r="F75" s="14" t="str">
        <f t="shared" si="9"/>
        <v/>
      </c>
      <c r="G75" s="15" t="str">
        <f t="shared" si="8"/>
        <v/>
      </c>
      <c r="H75" s="16"/>
      <c r="I75" s="16" t="str">
        <f t="shared" si="10"/>
        <v/>
      </c>
      <c r="J75" s="15" t="str">
        <f t="shared" si="11"/>
        <v/>
      </c>
      <c r="K75" s="141"/>
      <c r="L75" s="95"/>
    </row>
    <row r="76" spans="1:12"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2" ht="15.75">
      <c r="A77" s="26" t="str">
        <v>State Route 14A</v>
      </c>
      <c r="B77" s="27" t="str">
        <v>NY</v>
      </c>
      <c r="C77" s="25" t="str">
        <f>Sites[[#This Row],[SOL'#]]</f>
        <v>SOL-10997</v>
      </c>
      <c r="D77" s="9"/>
      <c r="E77" s="14"/>
      <c r="F77" s="14" t="str">
        <f t="shared" si="9"/>
        <v/>
      </c>
      <c r="G77" s="15" t="str">
        <f t="shared" si="8"/>
        <v/>
      </c>
      <c r="H77" s="16"/>
      <c r="I77" s="16" t="str">
        <f t="shared" si="10"/>
        <v/>
      </c>
      <c r="J77" s="15" t="str">
        <f t="shared" si="11"/>
        <v/>
      </c>
      <c r="K77" s="141"/>
      <c r="L77" s="141"/>
    </row>
    <row r="78" spans="1:12" ht="15.75">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2" ht="15.75">
      <c r="A79" s="26" t="str">
        <v>Wildflower</v>
      </c>
      <c r="B79" s="27" t="str">
        <v>NY</v>
      </c>
      <c r="C79" s="25" t="str">
        <f>Sites[[#This Row],[SOL'#]]</f>
        <v>SOL-10982</v>
      </c>
      <c r="D79" s="9"/>
      <c r="E79" s="14"/>
      <c r="F79" s="14" t="str">
        <f t="shared" si="9"/>
        <v/>
      </c>
      <c r="G79" s="15" t="str">
        <f t="shared" si="8"/>
        <v/>
      </c>
      <c r="H79" s="16"/>
      <c r="I79" s="16" t="str">
        <f t="shared" si="10"/>
        <v/>
      </c>
      <c r="J79" s="15" t="str">
        <f t="shared" si="11"/>
        <v/>
      </c>
      <c r="K79" s="141"/>
      <c r="L79" s="96"/>
    </row>
    <row r="80" spans="1:12"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49"/>
    </row>
    <row r="81" spans="1:12" ht="71.25" customHeight="1">
      <c r="A81" s="26" t="str">
        <v>Glen Mary 2</v>
      </c>
      <c r="B81" s="27" t="str">
        <v>NY</v>
      </c>
      <c r="C81" s="25" t="str">
        <f>Sites[[#This Row],[SOL'#]]</f>
        <v>SOL-10994</v>
      </c>
      <c r="D81" s="9"/>
      <c r="E81" s="14"/>
      <c r="F81" s="14" t="str">
        <f t="shared" si="9"/>
        <v/>
      </c>
      <c r="G81" s="15" t="str">
        <f t="shared" ref="G81:G83" si="12">IFERROR(F81/E81, "")</f>
        <v/>
      </c>
      <c r="H81" s="16"/>
      <c r="I81" s="16" t="str">
        <f t="shared" si="10"/>
        <v/>
      </c>
      <c r="J81" s="15" t="str">
        <f t="shared" si="11"/>
        <v/>
      </c>
      <c r="K81" s="141"/>
      <c r="L81" s="95"/>
    </row>
    <row r="82" spans="1:12" ht="15.75">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49"/>
    </row>
    <row r="83" spans="1:12" ht="59.25" customHeight="1">
      <c r="A83" s="26" t="str">
        <v>Telegraph 2</v>
      </c>
      <c r="B83" s="27" t="str">
        <v>NY</v>
      </c>
      <c r="C83" s="25" t="str">
        <f>Sites[[#This Row],[SOL'#]]</f>
        <v>SOL-11004</v>
      </c>
      <c r="D83" s="9"/>
      <c r="E83" s="14"/>
      <c r="F83" s="14" t="str">
        <f t="shared" si="13"/>
        <v/>
      </c>
      <c r="G83" s="15" t="str">
        <f t="shared" si="12"/>
        <v/>
      </c>
      <c r="H83" s="16"/>
      <c r="I83" s="16" t="str">
        <f t="shared" si="14"/>
        <v/>
      </c>
      <c r="J83" s="15" t="str">
        <f t="shared" si="15"/>
        <v/>
      </c>
      <c r="K83" s="141"/>
      <c r="L83" s="95"/>
    </row>
    <row r="84" spans="1:12" ht="71.2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49"/>
    </row>
    <row r="85" spans="1:12" ht="15.75">
      <c r="A85" s="26" t="str">
        <v>Dunkleman</v>
      </c>
      <c r="B85" s="27" t="str">
        <v>NY</v>
      </c>
      <c r="C85" s="25" t="str">
        <f>Sites[[#This Row],[SOL'#]]</f>
        <v>SOL-11008</v>
      </c>
      <c r="D85" s="9"/>
      <c r="E85" s="14"/>
      <c r="F85" s="14" t="str">
        <f t="shared" si="13"/>
        <v/>
      </c>
      <c r="G85" s="15" t="str">
        <f t="shared" si="16"/>
        <v/>
      </c>
      <c r="H85" s="16"/>
      <c r="I85" s="16" t="str">
        <f t="shared" si="14"/>
        <v/>
      </c>
      <c r="J85" s="15" t="str">
        <f t="shared" si="15"/>
        <v/>
      </c>
      <c r="K85" s="141"/>
      <c r="L85" s="96"/>
    </row>
    <row r="86" spans="1:12" ht="80.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49"/>
    </row>
    <row r="87" spans="1:12" ht="15.75">
      <c r="A87" s="26" t="str">
        <v>Route 19 2</v>
      </c>
      <c r="B87" s="27" t="str">
        <v>NY</v>
      </c>
      <c r="C87" s="25" t="str">
        <f>Sites[[#This Row],[SOL'#]]</f>
        <v>SOL-11002</v>
      </c>
      <c r="D87" s="9"/>
      <c r="E87" s="14"/>
      <c r="F87" s="14" t="str">
        <f t="shared" si="13"/>
        <v/>
      </c>
      <c r="G87" s="15" t="str">
        <f t="shared" si="16"/>
        <v/>
      </c>
      <c r="H87" s="16"/>
      <c r="I87" s="16" t="str">
        <f t="shared" si="14"/>
        <v/>
      </c>
      <c r="J87" s="15" t="str">
        <f t="shared" si="15"/>
        <v/>
      </c>
      <c r="K87" s="141"/>
      <c r="L87" s="96"/>
    </row>
    <row r="88" spans="1:12" ht="15.75">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2" ht="15.75">
      <c r="A89" s="26" t="str">
        <v>Yellow Mills 2</v>
      </c>
      <c r="B89" s="27" t="str">
        <v>NY</v>
      </c>
      <c r="C89" s="25" t="str">
        <f>Sites[[#This Row],[SOL'#]]</f>
        <v>SOL-11005</v>
      </c>
      <c r="D89" s="9"/>
      <c r="E89" s="14"/>
      <c r="F89" s="14" t="str">
        <f t="shared" si="13"/>
        <v/>
      </c>
      <c r="G89" s="15" t="str">
        <f t="shared" si="16"/>
        <v/>
      </c>
      <c r="H89" s="16"/>
      <c r="I89" s="16" t="str">
        <f t="shared" si="14"/>
        <v/>
      </c>
      <c r="J89" s="15" t="str">
        <f t="shared" si="15"/>
        <v/>
      </c>
      <c r="K89" s="141"/>
      <c r="L89" s="141"/>
    </row>
    <row r="90" spans="1:12" ht="15.75">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2" ht="15.75">
      <c r="A91" s="26" t="str">
        <v>Catskill</v>
      </c>
      <c r="B91" s="27" t="str">
        <v>NY</v>
      </c>
      <c r="C91" s="25" t="str">
        <f>Sites[[#This Row],[SOL'#]]</f>
        <v>SOL-11021</v>
      </c>
      <c r="D91" s="9"/>
      <c r="E91" s="14"/>
      <c r="F91" s="14" t="str">
        <f t="shared" si="13"/>
        <v/>
      </c>
      <c r="G91" s="15" t="str">
        <f t="shared" ref="G91:G122" si="17">IFERROR(F91/E91, "")</f>
        <v/>
      </c>
      <c r="H91" s="16"/>
      <c r="I91" s="16" t="str">
        <f t="shared" si="14"/>
        <v/>
      </c>
      <c r="J91" s="15" t="str">
        <f t="shared" si="15"/>
        <v/>
      </c>
      <c r="K91" s="141"/>
      <c r="L91" s="96"/>
    </row>
    <row r="92" spans="1:12" ht="15.75">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49"/>
    </row>
    <row r="93" spans="1:12" ht="15.75">
      <c r="A93" s="26" t="str">
        <v>Ridgeway #1</v>
      </c>
      <c r="B93" s="27" t="str">
        <v>NY</v>
      </c>
      <c r="C93" s="25" t="str">
        <f>Sites[[#This Row],[SOL'#]]</f>
        <v>SOL-11018</v>
      </c>
      <c r="D93" s="9"/>
      <c r="E93" s="14"/>
      <c r="F93" s="14" t="str">
        <f t="shared" si="13"/>
        <v/>
      </c>
      <c r="G93" s="15" t="str">
        <f t="shared" si="17"/>
        <v/>
      </c>
      <c r="H93" s="16"/>
      <c r="I93" s="16" t="str">
        <f t="shared" si="14"/>
        <v/>
      </c>
      <c r="J93" s="15" t="str">
        <f t="shared" si="15"/>
        <v/>
      </c>
      <c r="K93" s="141"/>
      <c r="L93" s="141"/>
    </row>
    <row r="94" spans="1:12" ht="39.7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2" ht="15.75">
      <c r="A95" s="26" t="str">
        <v>Rivard 2</v>
      </c>
      <c r="B95" s="27" t="str">
        <v>NY</v>
      </c>
      <c r="C95" s="25" t="str">
        <f>Sites[[#This Row],[SOL'#]]</f>
        <v>SOL-11012</v>
      </c>
      <c r="D95" s="9"/>
      <c r="E95" s="14"/>
      <c r="F95" s="14" t="str">
        <f t="shared" si="13"/>
        <v/>
      </c>
      <c r="G95" s="15" t="str">
        <f t="shared" si="17"/>
        <v/>
      </c>
      <c r="H95" s="16"/>
      <c r="I95" s="16" t="str">
        <f t="shared" si="14"/>
        <v/>
      </c>
      <c r="J95" s="15" t="str">
        <f t="shared" si="15"/>
        <v/>
      </c>
      <c r="K95" s="141"/>
      <c r="L95" s="96"/>
    </row>
    <row r="96" spans="1:12" ht="15.75">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49"/>
    </row>
    <row r="97" spans="1:12" ht="15.75">
      <c r="A97" s="26" t="str">
        <v>Spencer</v>
      </c>
      <c r="B97" s="27" t="str">
        <v>NY</v>
      </c>
      <c r="C97" s="25" t="str">
        <f>Sites[[#This Row],[SOL'#]]</f>
        <v>SOL-11017</v>
      </c>
      <c r="D97" s="9"/>
      <c r="E97" s="14"/>
      <c r="F97" s="14" t="str">
        <f t="shared" si="13"/>
        <v/>
      </c>
      <c r="G97" s="15" t="str">
        <f t="shared" si="17"/>
        <v/>
      </c>
      <c r="H97" s="16"/>
      <c r="I97" s="16" t="str">
        <f t="shared" si="14"/>
        <v/>
      </c>
      <c r="J97" s="15" t="str">
        <f t="shared" si="15"/>
        <v/>
      </c>
      <c r="K97" s="141"/>
      <c r="L97" s="96"/>
    </row>
    <row r="98" spans="1:12" ht="15.75">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49"/>
    </row>
    <row r="99" spans="1:12" ht="15.75">
      <c r="A99" s="26" t="str">
        <v>Finney</v>
      </c>
      <c r="B99" s="27" t="str">
        <v>NY</v>
      </c>
      <c r="C99" s="25" t="str">
        <f>Sites[[#This Row],[SOL'#]]</f>
        <v>SOL-10999</v>
      </c>
      <c r="D99" s="9"/>
      <c r="E99" s="14"/>
      <c r="F99" s="14" t="str">
        <f t="shared" si="13"/>
        <v/>
      </c>
      <c r="G99" s="15" t="str">
        <f t="shared" si="17"/>
        <v/>
      </c>
      <c r="H99" s="16"/>
      <c r="I99" s="16" t="str">
        <f t="shared" si="14"/>
        <v/>
      </c>
      <c r="J99" s="15" t="str">
        <f t="shared" si="15"/>
        <v/>
      </c>
      <c r="K99" s="141"/>
      <c r="L99" s="96"/>
    </row>
    <row r="100" spans="1:12" ht="15.75">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49"/>
    </row>
    <row r="101" spans="1:12" ht="15.75">
      <c r="A101" s="26" t="str">
        <v>Genesee</v>
      </c>
      <c r="B101" s="27" t="str">
        <v>NY</v>
      </c>
      <c r="C101" s="25" t="str">
        <f>Sites[[#This Row],[SOL'#]]</f>
        <v>SOL-10951</v>
      </c>
      <c r="D101" s="9"/>
      <c r="E101" s="14"/>
      <c r="F101" s="14" t="str">
        <f t="shared" si="13"/>
        <v/>
      </c>
      <c r="G101" s="15" t="str">
        <f t="shared" si="17"/>
        <v/>
      </c>
      <c r="H101" s="16"/>
      <c r="I101" s="16" t="str">
        <f t="shared" si="14"/>
        <v/>
      </c>
      <c r="J101" s="15" t="str">
        <f t="shared" si="15"/>
        <v/>
      </c>
      <c r="K101" s="141"/>
      <c r="L101" s="141"/>
    </row>
    <row r="102" spans="1:12" ht="15.75">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2" ht="15.75">
      <c r="A103" s="26" t="str">
        <v>Landau II</v>
      </c>
      <c r="B103" s="27" t="str">
        <v>NY</v>
      </c>
      <c r="C103" s="25" t="str">
        <f>Sites[[#This Row],[SOL'#]]</f>
        <v>SOL-10895</v>
      </c>
      <c r="D103" s="9"/>
      <c r="E103" s="14"/>
      <c r="F103" s="14" t="str">
        <f t="shared" si="13"/>
        <v/>
      </c>
      <c r="G103" s="15" t="str">
        <f t="shared" si="17"/>
        <v/>
      </c>
      <c r="H103" s="16"/>
      <c r="I103" s="16" t="str">
        <f t="shared" si="14"/>
        <v/>
      </c>
      <c r="J103" s="15" t="str">
        <f t="shared" si="15"/>
        <v/>
      </c>
      <c r="K103" s="141"/>
      <c r="L103" s="96"/>
    </row>
    <row r="104" spans="1:12" ht="104.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49"/>
    </row>
    <row r="105" spans="1:12" ht="15.75">
      <c r="A105" s="26" t="str">
        <v>Bullitt Farm Solar, LLC</v>
      </c>
      <c r="B105" s="27" t="str">
        <v>NY</v>
      </c>
      <c r="C105" s="25" t="str">
        <f>Sites[[#This Row],[SOL'#]]</f>
        <v>SOL-10998</v>
      </c>
      <c r="D105" s="9"/>
      <c r="E105" s="14"/>
      <c r="F105" s="14" t="str">
        <f t="shared" si="13"/>
        <v/>
      </c>
      <c r="G105" s="15" t="str">
        <f t="shared" si="17"/>
        <v/>
      </c>
      <c r="H105" s="16"/>
      <c r="I105" s="16" t="str">
        <f t="shared" si="14"/>
        <v/>
      </c>
      <c r="J105" s="15" t="str">
        <f t="shared" si="15"/>
        <v/>
      </c>
      <c r="K105" s="141"/>
      <c r="L105" s="96"/>
    </row>
    <row r="106" spans="1:12" ht="15.75">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49"/>
      <c r="L106" s="49"/>
    </row>
    <row r="107" spans="1:12" ht="15.75">
      <c r="A107" s="26" t="str">
        <v>Svenski</v>
      </c>
      <c r="B107" s="27" t="str">
        <v>NY</v>
      </c>
      <c r="C107" s="25" t="str">
        <f>Sites[[#This Row],[SOL'#]]</f>
        <v>SOL-10894</v>
      </c>
      <c r="D107" s="9"/>
      <c r="E107" s="14"/>
      <c r="F107" s="14" t="str">
        <f t="shared" si="13"/>
        <v/>
      </c>
      <c r="G107" s="15" t="str">
        <f t="shared" si="17"/>
        <v/>
      </c>
      <c r="H107" s="16"/>
      <c r="I107" s="16" t="str">
        <f t="shared" si="14"/>
        <v/>
      </c>
      <c r="J107" s="15" t="str">
        <f t="shared" si="15"/>
        <v/>
      </c>
      <c r="K107" s="141"/>
      <c r="L107" s="96"/>
    </row>
    <row r="108" spans="1:12" ht="15.75">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49"/>
      <c r="L108" s="49"/>
    </row>
    <row r="109" spans="1:12" ht="15.75">
      <c r="A109" s="26" t="str">
        <v>Bogart</v>
      </c>
      <c r="B109" s="27" t="str">
        <v>NY</v>
      </c>
      <c r="C109" s="25" t="str">
        <f>Sites[[#This Row],[SOL'#]]</f>
        <v>SOL-10887</v>
      </c>
      <c r="D109" s="9"/>
      <c r="E109" s="14"/>
      <c r="F109" s="14" t="str">
        <f t="shared" si="13"/>
        <v/>
      </c>
      <c r="G109" s="15" t="str">
        <f t="shared" si="17"/>
        <v/>
      </c>
      <c r="H109" s="16"/>
      <c r="I109" s="16" t="str">
        <f t="shared" si="14"/>
        <v/>
      </c>
      <c r="J109" s="15" t="str">
        <f t="shared" si="15"/>
        <v/>
      </c>
      <c r="K109" s="141"/>
      <c r="L109" s="96"/>
    </row>
    <row r="110" spans="1:12" ht="15.75">
      <c r="A110" s="24" t="str">
        <v>Dubois</v>
      </c>
      <c r="B110" s="25" t="str">
        <v>NY</v>
      </c>
      <c r="C110" s="25" t="str">
        <f>Sites[[#This Row],[SOL'#]]</f>
        <v>SOL-10892</v>
      </c>
      <c r="D110" s="20"/>
      <c r="E110" s="10"/>
      <c r="F110" s="10" t="str">
        <f t="shared" si="13"/>
        <v/>
      </c>
      <c r="G110" s="11" t="str">
        <f t="shared" si="17"/>
        <v/>
      </c>
      <c r="H110" s="12"/>
      <c r="I110" s="12" t="str">
        <f t="shared" si="14"/>
        <v/>
      </c>
      <c r="J110" s="13" t="str">
        <f t="shared" si="15"/>
        <v/>
      </c>
      <c r="K110" s="49"/>
      <c r="L110" s="49"/>
    </row>
    <row r="111" spans="1:12" ht="15.75">
      <c r="A111" s="26" t="str">
        <v>Salt Point</v>
      </c>
      <c r="B111" s="27" t="str">
        <v>NY</v>
      </c>
      <c r="C111" s="25" t="str">
        <f>Sites[[#This Row],[SOL'#]]</f>
        <v>SOL-10888</v>
      </c>
      <c r="D111" s="9"/>
      <c r="E111" s="14"/>
      <c r="F111" s="14" t="str">
        <f t="shared" si="13"/>
        <v/>
      </c>
      <c r="G111" s="15" t="str">
        <f t="shared" si="17"/>
        <v/>
      </c>
      <c r="H111" s="16"/>
      <c r="I111" s="16" t="str">
        <f t="shared" si="14"/>
        <v/>
      </c>
      <c r="J111" s="15" t="str">
        <f t="shared" si="15"/>
        <v/>
      </c>
      <c r="K111" s="141"/>
      <c r="L111" s="97"/>
    </row>
    <row r="112" spans="1:12" ht="15.75">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49"/>
    </row>
    <row r="113" spans="1:12" ht="15.75">
      <c r="A113" s="26" t="str">
        <v>Wheatland 2B</v>
      </c>
      <c r="B113" s="27" t="str">
        <v>NY</v>
      </c>
      <c r="C113" s="25" t="str">
        <f>Sites[[#This Row],[SOL'#]]</f>
        <v>SOL-10961</v>
      </c>
      <c r="D113" s="9"/>
      <c r="E113" s="14"/>
      <c r="F113" s="14" t="str">
        <f t="shared" si="13"/>
        <v/>
      </c>
      <c r="G113" s="15" t="str">
        <f t="shared" si="17"/>
        <v/>
      </c>
      <c r="H113" s="16"/>
      <c r="I113" s="16" t="str">
        <f t="shared" si="14"/>
        <v/>
      </c>
      <c r="J113" s="15" t="str">
        <f t="shared" si="15"/>
        <v/>
      </c>
      <c r="K113" s="141"/>
      <c r="L113" s="141"/>
    </row>
    <row r="114" spans="1:12" ht="15.75">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49"/>
    </row>
    <row r="115" spans="1:12" ht="15.75">
      <c r="A115" s="26" t="str">
        <v>McCarthy Solar</v>
      </c>
      <c r="B115" s="27" t="str">
        <v>NY</v>
      </c>
      <c r="C115" s="25" t="str">
        <f>Sites[[#This Row],[SOL'#]]</f>
        <v>SOL-10992</v>
      </c>
      <c r="D115" s="9"/>
      <c r="E115" s="14"/>
      <c r="F115" s="14" t="str">
        <f t="shared" si="18"/>
        <v/>
      </c>
      <c r="G115" s="15" t="str">
        <f t="shared" si="17"/>
        <v/>
      </c>
      <c r="H115" s="16"/>
      <c r="I115" s="16" t="str">
        <f t="shared" si="19"/>
        <v/>
      </c>
      <c r="J115" s="15" t="str">
        <f t="shared" si="20"/>
        <v/>
      </c>
      <c r="K115" s="141"/>
      <c r="L115" s="96"/>
    </row>
    <row r="116" spans="1:12" ht="15.75">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49"/>
    </row>
    <row r="117" spans="1:12" ht="15.75">
      <c r="A117" s="26" t="str">
        <v>Lockenhurst Pond</v>
      </c>
      <c r="B117" s="27" t="str">
        <v>NY</v>
      </c>
      <c r="C117" s="25" t="str">
        <f>Sites[[#This Row],[SOL'#]]</f>
        <v>SOL-11000</v>
      </c>
      <c r="D117" s="9"/>
      <c r="E117" s="14"/>
      <c r="F117" s="14" t="str">
        <f t="shared" si="18"/>
        <v/>
      </c>
      <c r="G117" s="15" t="str">
        <f t="shared" si="17"/>
        <v/>
      </c>
      <c r="H117" s="16"/>
      <c r="I117" s="16" t="str">
        <f t="shared" si="19"/>
        <v/>
      </c>
      <c r="J117" s="15" t="str">
        <f t="shared" si="20"/>
        <v/>
      </c>
      <c r="K117" s="141"/>
      <c r="L117" s="96"/>
    </row>
    <row r="118" spans="1:12" ht="15.75">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2" ht="15.75">
      <c r="A119" s="26" t="str">
        <v>Altamont</v>
      </c>
      <c r="B119" s="27" t="str">
        <v>NY</v>
      </c>
      <c r="C119" s="25" t="str">
        <f>Sites[[#This Row],[SOL'#]]</f>
        <v>SOL-11085</v>
      </c>
      <c r="D119" s="9"/>
      <c r="E119" s="14"/>
      <c r="F119" s="14" t="str">
        <f t="shared" si="18"/>
        <v/>
      </c>
      <c r="G119" s="15" t="str">
        <f t="shared" si="17"/>
        <v/>
      </c>
      <c r="H119" s="94"/>
      <c r="I119" s="16" t="str">
        <f t="shared" si="19"/>
        <v/>
      </c>
      <c r="J119" s="15" t="str">
        <f t="shared" si="20"/>
        <v/>
      </c>
      <c r="K119" s="141"/>
      <c r="L119" s="96"/>
    </row>
    <row r="120" spans="1:12" ht="15.75">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2" ht="61.5" customHeight="1">
      <c r="A121" s="26" t="str">
        <v>Krumkill South</v>
      </c>
      <c r="B121" s="27" t="str">
        <v>NY</v>
      </c>
      <c r="C121" s="25" t="str">
        <f>Sites[[#This Row],[SOL'#]]</f>
        <v>SOL-11087</v>
      </c>
      <c r="D121" s="9"/>
      <c r="E121" s="14"/>
      <c r="F121" s="14" t="str">
        <f t="shared" si="18"/>
        <v/>
      </c>
      <c r="G121" s="15" t="str">
        <f t="shared" si="17"/>
        <v/>
      </c>
      <c r="H121" s="16"/>
      <c r="I121" s="16" t="str">
        <f t="shared" si="19"/>
        <v/>
      </c>
      <c r="J121" s="15" t="str">
        <f t="shared" si="20"/>
        <v/>
      </c>
      <c r="K121" s="141"/>
      <c r="L121" s="96"/>
    </row>
    <row r="122" spans="1:12" ht="15.75">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2" ht="15.75">
      <c r="A123" s="26" t="str">
        <v>X093</v>
      </c>
      <c r="B123" s="27" t="str">
        <v>NY</v>
      </c>
      <c r="C123" s="25" t="str">
        <f>Sites[[#This Row],[SOL'#]]</f>
        <v>SOL-10932</v>
      </c>
      <c r="D123" s="9"/>
      <c r="E123" s="14"/>
      <c r="F123" s="14" t="str">
        <f t="shared" si="18"/>
        <v/>
      </c>
      <c r="G123" s="15" t="str">
        <f t="shared" ref="G123:G154" si="21">IFERROR(F123/E123, "")</f>
        <v/>
      </c>
      <c r="H123" s="16"/>
      <c r="I123" s="16" t="str">
        <f t="shared" si="19"/>
        <v/>
      </c>
      <c r="J123" s="15" t="str">
        <f t="shared" si="20"/>
        <v/>
      </c>
      <c r="K123" s="141"/>
      <c r="L123" s="96"/>
    </row>
    <row r="124" spans="1:12" ht="15.75">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2" ht="89.25" customHeight="1">
      <c r="A125" s="26" t="str">
        <v>X181</v>
      </c>
      <c r="B125" s="27" t="str">
        <v>NY</v>
      </c>
      <c r="C125" s="25" t="str">
        <f>Sites[[#This Row],[SOL'#]]</f>
        <v>SOL-10428</v>
      </c>
      <c r="D125" s="9"/>
      <c r="E125" s="14"/>
      <c r="F125" s="14" t="str">
        <f t="shared" si="18"/>
        <v/>
      </c>
      <c r="G125" s="15" t="str">
        <f t="shared" si="21"/>
        <v/>
      </c>
      <c r="H125" s="16"/>
      <c r="I125" s="16" t="str">
        <f t="shared" si="19"/>
        <v/>
      </c>
      <c r="J125" s="15" t="str">
        <f t="shared" si="20"/>
        <v/>
      </c>
      <c r="K125" s="141"/>
      <c r="L125" s="141"/>
    </row>
    <row r="126" spans="1:12" ht="15.75">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2" ht="15.75">
      <c r="A127" s="26" t="str">
        <v>K198</v>
      </c>
      <c r="B127" s="27" t="str">
        <v>NY</v>
      </c>
      <c r="C127" s="25" t="str">
        <f>Sites[[#This Row],[SOL'#]]</f>
        <v>SOL-10930</v>
      </c>
      <c r="D127" s="9"/>
      <c r="E127" s="14"/>
      <c r="F127" s="14" t="str">
        <f t="shared" si="18"/>
        <v/>
      </c>
      <c r="G127" s="15" t="str">
        <f t="shared" si="21"/>
        <v/>
      </c>
      <c r="H127" s="16"/>
      <c r="I127" s="16" t="str">
        <f t="shared" si="19"/>
        <v/>
      </c>
      <c r="J127" s="15" t="str">
        <f t="shared" si="20"/>
        <v/>
      </c>
      <c r="K127" s="141"/>
      <c r="L127" s="96"/>
    </row>
    <row r="128" spans="1:12" ht="15.75">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2" ht="15.75">
      <c r="A129" s="26" t="str">
        <v>K213</v>
      </c>
      <c r="B129" s="27" t="str">
        <v>NY</v>
      </c>
      <c r="C129" s="25" t="str">
        <f>Sites[[#This Row],[SOL'#]]</f>
        <v>SOL-11191</v>
      </c>
      <c r="D129" s="9"/>
      <c r="E129" s="14"/>
      <c r="F129" s="14" t="str">
        <f t="shared" si="18"/>
        <v/>
      </c>
      <c r="G129" s="15" t="str">
        <f t="shared" si="21"/>
        <v/>
      </c>
      <c r="H129" s="16"/>
      <c r="I129" s="16" t="str">
        <f t="shared" si="19"/>
        <v/>
      </c>
      <c r="J129" s="15" t="str">
        <f t="shared" si="20"/>
        <v/>
      </c>
      <c r="K129" s="141"/>
      <c r="L129" s="96"/>
    </row>
    <row r="130" spans="1:12" ht="15.75">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49"/>
      <c r="L130" s="49"/>
    </row>
    <row r="131" spans="1:12" ht="15.75">
      <c r="A131" s="26" t="str">
        <v>K307</v>
      </c>
      <c r="B131" s="27" t="str">
        <v>NY</v>
      </c>
      <c r="C131" s="25" t="str">
        <f>Sites[[#This Row],[SOL'#]]</f>
        <v>SOL-10876</v>
      </c>
      <c r="D131" s="9"/>
      <c r="E131" s="14"/>
      <c r="F131" s="14" t="str">
        <f t="shared" si="18"/>
        <v/>
      </c>
      <c r="G131" s="15" t="str">
        <f t="shared" si="21"/>
        <v/>
      </c>
      <c r="H131" s="16"/>
      <c r="I131" s="16" t="str">
        <f t="shared" si="19"/>
        <v/>
      </c>
      <c r="J131" s="15" t="str">
        <f t="shared" si="20"/>
        <v/>
      </c>
      <c r="K131" s="141"/>
      <c r="L131" s="96"/>
    </row>
    <row r="132" spans="1:12" ht="15.75">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2" ht="15.75">
      <c r="A133" s="26" t="str">
        <v>M025</v>
      </c>
      <c r="B133" s="27" t="str">
        <v>NY</v>
      </c>
      <c r="C133" s="25" t="str">
        <f>Sites[[#This Row],[SOL'#]]</f>
        <v>SOL-10392</v>
      </c>
      <c r="D133" s="9"/>
      <c r="E133" s="14"/>
      <c r="F133" s="14" t="str">
        <f t="shared" si="18"/>
        <v/>
      </c>
      <c r="G133" s="15" t="str">
        <f t="shared" si="21"/>
        <v/>
      </c>
      <c r="H133" s="16"/>
      <c r="I133" s="16" t="str">
        <f t="shared" si="19"/>
        <v/>
      </c>
      <c r="J133" s="15" t="str">
        <f t="shared" si="20"/>
        <v/>
      </c>
      <c r="K133" s="141"/>
      <c r="L133" s="96"/>
    </row>
    <row r="134" spans="1:12" ht="15.75">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2" ht="15.75">
      <c r="A135" s="26" t="str">
        <v>Q030</v>
      </c>
      <c r="B135" s="27" t="str">
        <v>NY</v>
      </c>
      <c r="C135" s="25" t="str">
        <f>Sites[[#This Row],[SOL'#]]</f>
        <v>SOL-10878</v>
      </c>
      <c r="D135" s="9"/>
      <c r="E135" s="14"/>
      <c r="F135" s="14" t="str">
        <f t="shared" si="18"/>
        <v/>
      </c>
      <c r="G135" s="15" t="str">
        <f t="shared" si="21"/>
        <v/>
      </c>
      <c r="H135" s="16"/>
      <c r="I135" s="16" t="str">
        <f t="shared" si="19"/>
        <v/>
      </c>
      <c r="J135" s="15" t="str">
        <f t="shared" si="20"/>
        <v/>
      </c>
      <c r="K135" s="141"/>
      <c r="L135" s="96"/>
    </row>
    <row r="136" spans="1:12" ht="15.75">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2" ht="15.75">
      <c r="A137" s="26" t="str">
        <v>Q196</v>
      </c>
      <c r="B137" s="27" t="str">
        <v>NY</v>
      </c>
      <c r="C137" s="25" t="str">
        <f>Sites[[#This Row],[SOL'#]]</f>
        <v>SOL-10879</v>
      </c>
      <c r="D137" s="9"/>
      <c r="E137" s="14"/>
      <c r="F137" s="14" t="str">
        <f t="shared" si="18"/>
        <v/>
      </c>
      <c r="G137" s="15" t="str">
        <f t="shared" si="21"/>
        <v/>
      </c>
      <c r="H137" s="16"/>
      <c r="I137" s="16" t="str">
        <f t="shared" si="19"/>
        <v/>
      </c>
      <c r="J137" s="15" t="str">
        <f t="shared" si="20"/>
        <v/>
      </c>
      <c r="K137" s="141"/>
      <c r="L137" s="96"/>
    </row>
    <row r="138" spans="1:12" ht="15.75">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2" ht="15.75">
      <c r="A139" s="26" t="str">
        <v>Q205</v>
      </c>
      <c r="B139" s="27" t="str">
        <v>NY</v>
      </c>
      <c r="C139" s="25" t="str">
        <f>Sites[[#This Row],[SOL'#]]</f>
        <v>SOL-10922</v>
      </c>
      <c r="D139" s="9"/>
      <c r="E139" s="14"/>
      <c r="F139" s="14" t="str">
        <f t="shared" si="18"/>
        <v/>
      </c>
      <c r="G139" s="15" t="str">
        <f t="shared" si="21"/>
        <v/>
      </c>
      <c r="H139" s="16"/>
      <c r="I139" s="16" t="str">
        <f t="shared" si="19"/>
        <v/>
      </c>
      <c r="J139" s="15" t="str">
        <f t="shared" si="20"/>
        <v/>
      </c>
      <c r="K139" s="141"/>
      <c r="L139" s="96"/>
    </row>
    <row r="140" spans="1:12" ht="15.75">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13"/>
      <c r="L140" s="49"/>
    </row>
    <row r="141" spans="1:12" ht="15.75">
      <c r="A141" s="26" t="str">
        <v>R003</v>
      </c>
      <c r="B141" s="27" t="str">
        <v>NY</v>
      </c>
      <c r="C141" s="25" t="str">
        <f>Sites[[#This Row],[SOL'#]]</f>
        <v>SOL-10416</v>
      </c>
      <c r="D141" s="66"/>
      <c r="E141" s="14"/>
      <c r="F141" s="14" t="str">
        <f t="shared" si="18"/>
        <v/>
      </c>
      <c r="G141" s="68" t="str">
        <f t="shared" si="21"/>
        <v/>
      </c>
      <c r="H141" s="69"/>
      <c r="I141" s="69" t="str">
        <f t="shared" si="19"/>
        <v/>
      </c>
      <c r="J141" s="68" t="str">
        <f t="shared" si="20"/>
        <v/>
      </c>
      <c r="K141" s="141"/>
      <c r="L141" s="98"/>
    </row>
    <row r="142" spans="1:12" ht="15.75">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13"/>
      <c r="L142" s="49"/>
    </row>
    <row r="143" spans="1:12" ht="15.75">
      <c r="A143" s="26" t="str">
        <v>BK16</v>
      </c>
      <c r="B143" s="27" t="str">
        <v>NY</v>
      </c>
      <c r="C143" s="25" t="str">
        <f>Sites[[#This Row],[SOL'#]]</f>
        <v>SOL-11093</v>
      </c>
      <c r="D143" s="66"/>
      <c r="E143" s="14"/>
      <c r="F143" s="14" t="str">
        <f t="shared" si="18"/>
        <v/>
      </c>
      <c r="G143" s="68" t="str">
        <f t="shared" si="21"/>
        <v/>
      </c>
      <c r="H143" s="69"/>
      <c r="I143" s="69" t="str">
        <f t="shared" si="19"/>
        <v/>
      </c>
      <c r="J143" s="68" t="str">
        <f t="shared" si="20"/>
        <v/>
      </c>
      <c r="K143" s="141"/>
      <c r="L143" s="98"/>
    </row>
    <row r="144" spans="1:12" ht="15.75">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13"/>
      <c r="L144" s="49"/>
    </row>
    <row r="145" spans="1:12" ht="48" customHeight="1">
      <c r="A145" s="26" t="str">
        <v>Trenton - Trenton West</v>
      </c>
      <c r="B145" s="27" t="str">
        <v>IL</v>
      </c>
      <c r="C145" s="25" t="str">
        <f>Sites[[#This Row],[SOL'#]]</f>
        <v>SOL-11061</v>
      </c>
      <c r="D145" s="66"/>
      <c r="E145" s="14"/>
      <c r="F145" s="14" t="str">
        <f t="shared" si="18"/>
        <v/>
      </c>
      <c r="G145" s="68" t="str">
        <f t="shared" si="21"/>
        <v/>
      </c>
      <c r="H145" s="69"/>
      <c r="I145" s="69" t="str">
        <f t="shared" si="19"/>
        <v/>
      </c>
      <c r="J145" s="68" t="str">
        <f t="shared" si="20"/>
        <v/>
      </c>
      <c r="K145" s="141"/>
      <c r="L145" s="114"/>
    </row>
    <row r="146" spans="1:12" ht="15.75">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13"/>
      <c r="L146" s="49"/>
    </row>
    <row r="147" spans="1:12" ht="15.75">
      <c r="A147" s="26" t="str">
        <v>X018</v>
      </c>
      <c r="B147" s="27" t="str">
        <v>NY</v>
      </c>
      <c r="C147" s="25" t="str">
        <f>Sites[[#This Row],[SOL'#]]</f>
        <v>SOL-10418</v>
      </c>
      <c r="D147" s="66"/>
      <c r="E147" s="14"/>
      <c r="F147" s="14" t="str">
        <f t="shared" si="22"/>
        <v/>
      </c>
      <c r="G147" s="68" t="str">
        <f t="shared" si="21"/>
        <v/>
      </c>
      <c r="H147" s="69"/>
      <c r="I147" s="69" t="str">
        <f t="shared" si="23"/>
        <v/>
      </c>
      <c r="J147" s="68" t="str">
        <f t="shared" si="24"/>
        <v/>
      </c>
      <c r="K147" s="141"/>
      <c r="L147" s="98"/>
    </row>
    <row r="148" spans="1:12" ht="15.75">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13"/>
      <c r="L148" s="49"/>
    </row>
    <row r="149" spans="1:12" ht="15.75">
      <c r="A149" s="26" t="str">
        <v>County Route 11B</v>
      </c>
      <c r="B149" s="27" t="str">
        <v>NY</v>
      </c>
      <c r="C149" s="25" t="str">
        <f>Sites[[#This Row],[SOL'#]]</f>
        <v>SOL-10983</v>
      </c>
      <c r="D149" s="66"/>
      <c r="E149" s="14"/>
      <c r="F149" s="14" t="str">
        <f t="shared" si="22"/>
        <v/>
      </c>
      <c r="G149" s="68" t="str">
        <f t="shared" si="21"/>
        <v/>
      </c>
      <c r="H149" s="69"/>
      <c r="I149" s="69" t="str">
        <f t="shared" si="23"/>
        <v/>
      </c>
      <c r="J149" s="68" t="str">
        <f t="shared" si="24"/>
        <v/>
      </c>
      <c r="K149" s="141"/>
      <c r="L149" s="99"/>
    </row>
    <row r="150" spans="1:12" ht="15.75">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13"/>
      <c r="L150" s="49"/>
    </row>
    <row r="151" spans="1:12" ht="15.75">
      <c r="A151" s="26" t="str">
        <v>Cedarville</v>
      </c>
      <c r="B151" s="27" t="str">
        <v>IL</v>
      </c>
      <c r="C151" s="25" t="str">
        <f>Sites[[#This Row],[SOL'#]]</f>
        <v>SOL-11069</v>
      </c>
      <c r="D151" s="66"/>
      <c r="E151" s="14"/>
      <c r="F151" s="14" t="str">
        <f t="shared" si="22"/>
        <v/>
      </c>
      <c r="G151" s="68" t="str">
        <f t="shared" si="21"/>
        <v/>
      </c>
      <c r="H151" s="69"/>
      <c r="I151" s="69" t="str">
        <f t="shared" si="23"/>
        <v/>
      </c>
      <c r="J151" s="68" t="str">
        <f t="shared" si="24"/>
        <v/>
      </c>
      <c r="K151" s="141"/>
      <c r="L151" s="98"/>
    </row>
    <row r="152" spans="1:12" ht="15.75">
      <c r="A152" s="24" t="str">
        <v xml:space="preserve"> O'Brien Hill #1</v>
      </c>
      <c r="B152" s="25" t="str">
        <v>NY</v>
      </c>
      <c r="C152" s="25" t="str">
        <f>Sites[[#This Row],[SOL'#]]</f>
        <v>SOL-11098</v>
      </c>
      <c r="D152" s="54"/>
      <c r="E152" s="10"/>
      <c r="F152" s="10" t="str">
        <f t="shared" si="22"/>
        <v/>
      </c>
      <c r="G152" s="55" t="str">
        <f t="shared" si="21"/>
        <v/>
      </c>
      <c r="H152" s="67"/>
      <c r="I152" s="67" t="str">
        <f t="shared" si="23"/>
        <v/>
      </c>
      <c r="J152" s="64" t="str">
        <f t="shared" si="24"/>
        <v/>
      </c>
      <c r="K152" s="113"/>
      <c r="L152" s="49"/>
    </row>
    <row r="153" spans="1:12" ht="15.75">
      <c r="A153" s="26" t="str">
        <v xml:space="preserve"> O'Brien Hill #2</v>
      </c>
      <c r="B153" s="27" t="str">
        <v>NY</v>
      </c>
      <c r="C153" s="25" t="str">
        <f>Sites[[#This Row],[SOL'#]]</f>
        <v>SOL-11099</v>
      </c>
      <c r="D153" s="66"/>
      <c r="E153" s="14"/>
      <c r="F153" s="14" t="str">
        <f t="shared" si="22"/>
        <v/>
      </c>
      <c r="G153" s="68" t="str">
        <f t="shared" si="21"/>
        <v/>
      </c>
      <c r="H153" s="69"/>
      <c r="I153" s="69" t="str">
        <f t="shared" si="23"/>
        <v/>
      </c>
      <c r="J153" s="68" t="str">
        <f t="shared" si="24"/>
        <v/>
      </c>
      <c r="K153" s="141"/>
      <c r="L153" s="114"/>
    </row>
    <row r="154" spans="1:12" ht="15.75">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13"/>
      <c r="L154" s="49"/>
    </row>
    <row r="155" spans="1:12" ht="15.75">
      <c r="A155" s="26" t="str">
        <v>Ransom</v>
      </c>
      <c r="B155" s="27" t="str">
        <v>NY</v>
      </c>
      <c r="C155" s="25" t="str">
        <f>Sites[[#This Row],[SOL'#]]</f>
        <v>SOL-11157</v>
      </c>
      <c r="D155" s="66"/>
      <c r="E155" s="14"/>
      <c r="F155" s="14">
        <v>0</v>
      </c>
      <c r="G155" s="68" t="str">
        <f t="shared" ref="G155:G158" si="25">IFERROR(F155/E155, "")</f>
        <v/>
      </c>
      <c r="H155" s="69"/>
      <c r="I155" s="69" t="str">
        <f t="shared" si="23"/>
        <v/>
      </c>
      <c r="J155" s="68" t="str">
        <f t="shared" si="24"/>
        <v/>
      </c>
      <c r="K155" s="141"/>
      <c r="L155" s="114"/>
    </row>
    <row r="156" spans="1:12" ht="15.75">
      <c r="A156" s="24" t="str">
        <v>Horseheads - Wedge</v>
      </c>
      <c r="B156" s="25" t="str">
        <v>NY</v>
      </c>
      <c r="C156" s="25" t="str">
        <f>Sites[[#This Row],[SOL'#]]</f>
        <v>SOL-11160</v>
      </c>
      <c r="D156" s="54"/>
      <c r="E156" s="10"/>
      <c r="F156" s="10" t="str">
        <f t="shared" ref="F156:F158" si="26">IF(AND(ISNUMBER(D156),ISNUMBER(E156)), D156-E156, "")</f>
        <v/>
      </c>
      <c r="G156" s="55" t="str">
        <f t="shared" si="25"/>
        <v/>
      </c>
      <c r="H156" s="67"/>
      <c r="I156" s="67" t="str">
        <f t="shared" si="23"/>
        <v/>
      </c>
      <c r="J156" s="64" t="str">
        <f t="shared" si="24"/>
        <v/>
      </c>
      <c r="K156" s="113"/>
      <c r="L156" s="49"/>
    </row>
    <row r="157" spans="1:12" ht="15.75">
      <c r="A157" s="26" t="str">
        <v>Otisville - Shoddy Hollow</v>
      </c>
      <c r="B157" s="27" t="str">
        <v>NY</v>
      </c>
      <c r="C157" s="25" t="str">
        <f>Sites[[#This Row],[SOL'#]]</f>
        <v>SOL-11185</v>
      </c>
      <c r="D157" s="66"/>
      <c r="E157" s="14"/>
      <c r="F157" s="14" t="str">
        <f t="shared" si="26"/>
        <v/>
      </c>
      <c r="G157" s="68" t="str">
        <f t="shared" si="25"/>
        <v/>
      </c>
      <c r="H157" s="69"/>
      <c r="I157" s="69" t="str">
        <f t="shared" si="23"/>
        <v/>
      </c>
      <c r="J157" s="68" t="str">
        <f t="shared" si="24"/>
        <v/>
      </c>
      <c r="K157" s="141"/>
      <c r="L157" s="98"/>
    </row>
    <row r="158" spans="1:12" ht="15.75">
      <c r="A158" s="24" t="str">
        <v>Wellsville - Chenunda Creek</v>
      </c>
      <c r="B158" s="25" t="str">
        <v>NY</v>
      </c>
      <c r="C158" s="25" t="str">
        <f>Sites[[#This Row],[SOL'#]]</f>
        <v>SOL-11187</v>
      </c>
      <c r="D158" s="54"/>
      <c r="E158" s="10"/>
      <c r="F158" s="10" t="str">
        <f t="shared" si="26"/>
        <v/>
      </c>
      <c r="G158" s="55" t="str">
        <f t="shared" si="25"/>
        <v/>
      </c>
      <c r="H158" s="67"/>
      <c r="I158" s="67" t="str">
        <f t="shared" si="23"/>
        <v/>
      </c>
      <c r="J158" s="64" t="str">
        <f t="shared" si="24"/>
        <v/>
      </c>
      <c r="K158" s="113"/>
      <c r="L158" s="113"/>
    </row>
    <row r="159" spans="1:12" ht="14.25">
      <c r="A159" s="17"/>
      <c r="B159" s="29"/>
      <c r="C159" s="29"/>
      <c r="D159" s="17"/>
      <c r="E159" s="17"/>
      <c r="F159" s="17"/>
      <c r="G159" s="18"/>
      <c r="H159" s="17"/>
      <c r="I159" s="17"/>
      <c r="J159" s="18"/>
      <c r="K159" s="17"/>
      <c r="L159" s="17"/>
    </row>
    <row r="160" spans="1:12" ht="14.25">
      <c r="A160" s="17"/>
      <c r="B160" s="29"/>
      <c r="C160" s="29"/>
      <c r="D160" s="17"/>
      <c r="E160" s="17"/>
      <c r="F160" s="17"/>
      <c r="G160" s="18"/>
      <c r="H160" s="17"/>
      <c r="I160" s="17"/>
      <c r="J160" s="18"/>
      <c r="K160" s="17"/>
      <c r="L160" s="17"/>
    </row>
    <row r="161" spans="1:12" ht="14.25">
      <c r="A161" s="17"/>
      <c r="B161" s="29"/>
      <c r="C161" s="29"/>
      <c r="D161" s="17"/>
      <c r="E161" s="17"/>
      <c r="F161" s="17"/>
      <c r="G161" s="18"/>
      <c r="H161" s="17"/>
      <c r="I161" s="17"/>
      <c r="J161" s="18"/>
      <c r="K161" s="17"/>
      <c r="L161" s="17"/>
    </row>
    <row r="162" spans="1:12" ht="14.25">
      <c r="A162" s="17"/>
      <c r="B162" s="29"/>
      <c r="C162" s="29"/>
      <c r="D162" s="17"/>
      <c r="E162" s="17"/>
      <c r="F162" s="17"/>
      <c r="G162" s="18"/>
      <c r="H162" s="17"/>
      <c r="I162" s="17"/>
      <c r="J162" s="18"/>
      <c r="K162" s="17"/>
      <c r="L162" s="17"/>
    </row>
    <row r="163" spans="1:12" ht="14.25">
      <c r="A163" s="17"/>
      <c r="B163" s="29"/>
      <c r="C163" s="29"/>
      <c r="D163" s="17"/>
      <c r="E163" s="17"/>
      <c r="F163" s="17"/>
      <c r="G163" s="18"/>
      <c r="H163" s="17"/>
      <c r="I163" s="17"/>
      <c r="J163" s="18"/>
      <c r="K163" s="17"/>
      <c r="L163" s="17"/>
    </row>
    <row r="164" spans="1:12" ht="14.25">
      <c r="A164" s="17"/>
      <c r="B164" s="29"/>
      <c r="C164" s="29"/>
      <c r="D164" s="17"/>
      <c r="E164" s="17"/>
      <c r="F164" s="17"/>
      <c r="G164" s="18"/>
      <c r="H164" s="17"/>
      <c r="I164" s="17"/>
      <c r="J164" s="18"/>
      <c r="K164" s="17"/>
      <c r="L164" s="17"/>
    </row>
    <row r="165" spans="1:12" ht="14.25">
      <c r="A165" s="17"/>
      <c r="B165" s="29"/>
      <c r="C165" s="29"/>
      <c r="D165" s="17"/>
      <c r="E165" s="17"/>
      <c r="F165" s="17"/>
      <c r="G165" s="18"/>
      <c r="H165" s="17"/>
      <c r="I165" s="17"/>
      <c r="J165" s="18"/>
      <c r="K165" s="17"/>
      <c r="L165" s="17"/>
    </row>
    <row r="166" spans="1:12" ht="14.25">
      <c r="A166" s="17"/>
      <c r="B166" s="29"/>
      <c r="C166" s="29"/>
      <c r="D166" s="17"/>
      <c r="E166" s="17"/>
      <c r="F166" s="17"/>
      <c r="G166" s="18"/>
      <c r="H166" s="17"/>
      <c r="I166" s="17"/>
      <c r="J166" s="18"/>
      <c r="K166" s="17"/>
      <c r="L166" s="17"/>
    </row>
    <row r="167" spans="1:12" ht="14.25">
      <c r="A167" s="17"/>
      <c r="B167" s="29"/>
      <c r="C167" s="29"/>
      <c r="D167" s="17"/>
      <c r="E167" s="17"/>
      <c r="F167" s="17"/>
      <c r="G167" s="18"/>
      <c r="H167" s="17"/>
      <c r="I167" s="17"/>
      <c r="J167" s="18"/>
      <c r="K167" s="17"/>
      <c r="L167" s="17"/>
    </row>
    <row r="168" spans="1:12" ht="14.25">
      <c r="A168" s="17"/>
      <c r="B168" s="29"/>
      <c r="C168" s="29"/>
      <c r="D168" s="17"/>
      <c r="E168" s="17"/>
      <c r="F168" s="17"/>
      <c r="G168" s="18"/>
      <c r="H168" s="17"/>
      <c r="I168" s="17"/>
      <c r="J168" s="18"/>
      <c r="K168" s="17"/>
      <c r="L168" s="17"/>
    </row>
    <row r="169" spans="1:12" ht="14.25">
      <c r="A169" s="17"/>
      <c r="B169" s="29"/>
      <c r="C169" s="29"/>
      <c r="D169" s="17"/>
      <c r="E169" s="17"/>
      <c r="F169" s="17"/>
      <c r="G169" s="18"/>
      <c r="H169" s="17"/>
      <c r="I169" s="17"/>
      <c r="J169" s="18"/>
      <c r="K169" s="17"/>
      <c r="L169" s="17"/>
    </row>
    <row r="170" spans="1:12" ht="14.25">
      <c r="A170" s="17"/>
      <c r="B170" s="29"/>
      <c r="C170" s="29"/>
      <c r="D170" s="17"/>
      <c r="E170" s="17"/>
      <c r="F170" s="17"/>
      <c r="G170" s="18"/>
      <c r="H170" s="17"/>
      <c r="I170" s="17"/>
      <c r="J170" s="18"/>
      <c r="K170" s="17"/>
      <c r="L170" s="17"/>
    </row>
    <row r="171" spans="1:12" ht="14.25">
      <c r="A171" s="17"/>
      <c r="B171" s="29"/>
      <c r="C171" s="29"/>
      <c r="D171" s="17"/>
      <c r="E171" s="17"/>
      <c r="F171" s="17"/>
      <c r="G171" s="18"/>
      <c r="H171" s="17"/>
      <c r="I171" s="17"/>
      <c r="J171" s="18"/>
      <c r="K171" s="17"/>
      <c r="L171" s="17"/>
    </row>
    <row r="172" spans="1:12" ht="14.2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5"/>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1" t="str" cm="1">
        <f t="array" ref="A1">portfolio</f>
        <v>Generate Capital</v>
      </c>
      <c r="B1" s="151"/>
      <c r="C1" s="151"/>
      <c r="D1" s="151"/>
      <c r="E1" s="152" t="s">
        <v>1650</v>
      </c>
      <c r="F1" s="152"/>
      <c r="G1" s="152"/>
      <c r="H1" s="150" t="s">
        <v>1651</v>
      </c>
      <c r="I1" s="150"/>
      <c r="J1" s="150"/>
      <c r="K1" s="4"/>
      <c r="L1" s="4"/>
    </row>
    <row r="2" spans="1:12" ht="19.5" customHeight="1">
      <c r="A2" s="153" t="s">
        <v>2</v>
      </c>
      <c r="B2" s="153"/>
      <c r="C2" s="57"/>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75">
      <c r="A4" s="28" t="str" cm="1">
        <f t="array" ref="A4:A158">Sites[Site]</f>
        <v>K026</v>
      </c>
      <c r="B4" s="25" t="str" cm="1">
        <f t="array" ref="B4:B158">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75">
      <c r="A5" s="26" t="str">
        <v>K041</v>
      </c>
      <c r="B5" s="27" t="str">
        <v>NY</v>
      </c>
      <c r="C5" s="25"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75">
      <c r="A6" s="24" t="str">
        <v>K043</v>
      </c>
      <c r="B6" s="25" t="str">
        <v>NY</v>
      </c>
      <c r="C6" s="25" t="str">
        <f>Sites[[#This Row],[SOL'#]]</f>
        <v>SOL-10358</v>
      </c>
      <c r="D6" s="20"/>
      <c r="E6" s="10"/>
      <c r="F6" s="10" t="str">
        <f t="shared" si="0"/>
        <v/>
      </c>
      <c r="G6" s="11" t="str">
        <f t="shared" ref="G6:G69" si="3">IFERROR(F6/E6, "")</f>
        <v/>
      </c>
      <c r="H6" s="12"/>
      <c r="I6" s="12" t="str">
        <f t="shared" si="1"/>
        <v/>
      </c>
      <c r="J6" s="13" t="str">
        <f t="shared" si="2"/>
        <v/>
      </c>
      <c r="K6" s="37"/>
      <c r="L6" s="37"/>
    </row>
    <row r="7" spans="1:12" ht="15.75">
      <c r="A7" s="26" t="str">
        <v>K058</v>
      </c>
      <c r="B7" s="27" t="str">
        <v>NY</v>
      </c>
      <c r="C7" s="25" t="str">
        <f>Sites[[#This Row],[SOL'#]]</f>
        <v>SOL-10360</v>
      </c>
      <c r="D7" s="9"/>
      <c r="E7" s="14"/>
      <c r="F7" s="14" t="str">
        <f t="shared" si="0"/>
        <v/>
      </c>
      <c r="G7" s="15" t="str">
        <f t="shared" si="3"/>
        <v/>
      </c>
      <c r="H7" s="16"/>
      <c r="I7" s="16" t="str">
        <f t="shared" si="1"/>
        <v/>
      </c>
      <c r="J7" s="15" t="str">
        <f t="shared" si="2"/>
        <v/>
      </c>
      <c r="K7" s="38"/>
      <c r="L7" s="38"/>
    </row>
    <row r="8" spans="1:12" ht="15.75">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75">
      <c r="A9" s="26" t="str">
        <v>K152</v>
      </c>
      <c r="B9" s="27" t="str">
        <v>NY</v>
      </c>
      <c r="C9" s="25" t="str">
        <f>Sites[[#This Row],[SOL'#]]</f>
        <v>SOL-10362</v>
      </c>
      <c r="D9" s="9"/>
      <c r="E9" s="14"/>
      <c r="F9" s="14" t="str">
        <f t="shared" si="0"/>
        <v/>
      </c>
      <c r="G9" s="15" t="str">
        <f t="shared" si="3"/>
        <v/>
      </c>
      <c r="H9" s="16"/>
      <c r="I9" s="16" t="str">
        <f t="shared" si="1"/>
        <v/>
      </c>
      <c r="J9" s="15" t="str">
        <f t="shared" si="2"/>
        <v/>
      </c>
      <c r="K9" s="38"/>
      <c r="L9" s="38"/>
    </row>
    <row r="10" spans="1:12" ht="15.75">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75">
      <c r="A11" s="26" t="str">
        <v>K206</v>
      </c>
      <c r="B11" s="27" t="str">
        <v>NY</v>
      </c>
      <c r="C11" s="25" t="str">
        <f>Sites[[#This Row],[SOL'#]]</f>
        <v>SOL-10927</v>
      </c>
      <c r="D11" s="9"/>
      <c r="E11" s="14"/>
      <c r="F11" s="14" t="str">
        <f t="shared" si="0"/>
        <v/>
      </c>
      <c r="G11" s="15" t="str">
        <f t="shared" si="3"/>
        <v/>
      </c>
      <c r="H11" s="16"/>
      <c r="I11" s="16" t="str">
        <f t="shared" si="1"/>
        <v/>
      </c>
      <c r="J11" s="15" t="str">
        <f t="shared" si="2"/>
        <v/>
      </c>
      <c r="K11" s="38"/>
      <c r="L11" s="85"/>
    </row>
    <row r="12" spans="1:12" ht="15.75">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75">
      <c r="A13" s="26" t="str">
        <v>K269</v>
      </c>
      <c r="B13" s="27" t="str">
        <v>NY</v>
      </c>
      <c r="C13" s="25" t="str">
        <f>Sites[[#This Row],[SOL'#]]</f>
        <v>SOL-10366</v>
      </c>
      <c r="D13" s="9"/>
      <c r="E13" s="14"/>
      <c r="F13" s="14" t="str">
        <f t="shared" si="0"/>
        <v/>
      </c>
      <c r="G13" s="15" t="str">
        <f t="shared" si="3"/>
        <v/>
      </c>
      <c r="H13" s="16"/>
      <c r="I13" s="16" t="str">
        <f t="shared" si="1"/>
        <v/>
      </c>
      <c r="J13" s="15" t="str">
        <f t="shared" si="2"/>
        <v/>
      </c>
      <c r="K13" s="38"/>
      <c r="L13" s="85"/>
    </row>
    <row r="14" spans="1:12" ht="22.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75">
      <c r="A15" s="26" t="str">
        <v>K287</v>
      </c>
      <c r="B15" s="27" t="str">
        <v>NY</v>
      </c>
      <c r="C15" s="25" t="str">
        <f>Sites[[#This Row],[SOL'#]]</f>
        <v>SOL-10919</v>
      </c>
      <c r="D15" s="9"/>
      <c r="E15" s="14"/>
      <c r="F15" s="14" t="str">
        <f t="shared" si="0"/>
        <v/>
      </c>
      <c r="G15" s="15" t="str">
        <f t="shared" si="3"/>
        <v/>
      </c>
      <c r="H15" s="16"/>
      <c r="I15" s="16" t="str">
        <f t="shared" si="1"/>
        <v/>
      </c>
      <c r="J15" s="15" t="str">
        <f t="shared" si="2"/>
        <v/>
      </c>
      <c r="K15" s="38"/>
      <c r="L15" s="38"/>
    </row>
    <row r="16" spans="1:12" ht="15.75">
      <c r="A16" s="24" t="str">
        <v>K298</v>
      </c>
      <c r="B16" s="25" t="str">
        <v>NY</v>
      </c>
      <c r="C16" s="25" t="str">
        <f>Sites[[#This Row],[SOL'#]]</f>
        <v>SOL-10368</v>
      </c>
      <c r="D16" s="20"/>
      <c r="E16" s="10"/>
      <c r="F16" s="10" t="str">
        <f t="shared" si="0"/>
        <v/>
      </c>
      <c r="G16" s="11" t="str">
        <f t="shared" si="3"/>
        <v/>
      </c>
      <c r="H16" s="12"/>
      <c r="I16" s="12" t="str">
        <f>IF(AND(ISNUMBER(D16),ISNUMBER(H16)), D16-H16, "")</f>
        <v/>
      </c>
      <c r="J16" s="13" t="str">
        <f t="shared" si="2"/>
        <v/>
      </c>
      <c r="K16" s="37"/>
      <c r="L16" s="37"/>
    </row>
    <row r="17" spans="1:12" ht="15.75">
      <c r="A17" s="26" t="str">
        <v>K335</v>
      </c>
      <c r="B17" s="27" t="str">
        <v>NY</v>
      </c>
      <c r="C17" s="25" t="str">
        <f>Sites[[#This Row],[SOL'#]]</f>
        <v>SOL-10370</v>
      </c>
      <c r="D17" s="9"/>
      <c r="E17" s="14"/>
      <c r="F17" s="14" t="str">
        <f t="shared" si="0"/>
        <v/>
      </c>
      <c r="G17" s="15" t="str">
        <f t="shared" si="3"/>
        <v/>
      </c>
      <c r="H17" s="16"/>
      <c r="I17" s="16" t="str">
        <f t="shared" si="1"/>
        <v/>
      </c>
      <c r="J17" s="15" t="str">
        <f t="shared" si="2"/>
        <v/>
      </c>
      <c r="K17" s="38"/>
      <c r="L17" s="38"/>
    </row>
    <row r="18" spans="1:12" ht="46.5" customHeight="1">
      <c r="A18" s="24" t="str">
        <v>K345</v>
      </c>
      <c r="B18" s="25" t="str">
        <v>NY</v>
      </c>
      <c r="C18" s="25" t="str">
        <f>Sites[[#This Row],[SOL'#]]</f>
        <v>SOL-10920</v>
      </c>
      <c r="D18" s="20"/>
      <c r="E18" s="10"/>
      <c r="F18" s="10" t="str">
        <f t="shared" si="0"/>
        <v/>
      </c>
      <c r="G18" s="11" t="str">
        <f t="shared" si="3"/>
        <v/>
      </c>
      <c r="H18" s="12"/>
      <c r="I18" s="12" t="str">
        <f t="shared" si="1"/>
        <v/>
      </c>
      <c r="J18" s="13" t="str">
        <f t="shared" si="2"/>
        <v/>
      </c>
      <c r="K18" s="37"/>
      <c r="L18" s="37"/>
    </row>
    <row r="19" spans="1:12" ht="15.75">
      <c r="A19" s="26" t="str">
        <v>K445</v>
      </c>
      <c r="B19" s="27" t="str">
        <v>NY</v>
      </c>
      <c r="C19" s="25" t="str">
        <f>Sites[[#This Row],[SOL'#]]</f>
        <v>SOL-10373</v>
      </c>
      <c r="D19" s="9"/>
      <c r="E19" s="14"/>
      <c r="F19" s="14" t="str">
        <f t="shared" si="0"/>
        <v/>
      </c>
      <c r="G19" s="15" t="str">
        <f t="shared" si="3"/>
        <v/>
      </c>
      <c r="H19" s="16"/>
      <c r="I19" s="16" t="str">
        <f t="shared" si="1"/>
        <v/>
      </c>
      <c r="J19" s="15" t="str">
        <f t="shared" si="2"/>
        <v/>
      </c>
      <c r="K19" s="38"/>
      <c r="L19" s="86"/>
    </row>
    <row r="20" spans="1:12" ht="20.25" customHeight="1">
      <c r="A20" s="24" t="str">
        <v>K495</v>
      </c>
      <c r="B20" s="25" t="str">
        <v>NY</v>
      </c>
      <c r="C20" s="25" t="str">
        <f>Sites[[#This Row],[SOL'#]]</f>
        <v>SOL-10374</v>
      </c>
      <c r="D20" s="20"/>
      <c r="E20" s="10"/>
      <c r="F20" s="10" t="str">
        <f t="shared" si="0"/>
        <v/>
      </c>
      <c r="G20" s="11" t="str">
        <f t="shared" si="3"/>
        <v/>
      </c>
      <c r="H20" s="12"/>
      <c r="I20" s="12" t="str">
        <f t="shared" si="1"/>
        <v/>
      </c>
      <c r="J20" s="13" t="str">
        <f t="shared" si="2"/>
        <v/>
      </c>
      <c r="K20" s="37"/>
      <c r="L20" s="37"/>
    </row>
    <row r="21" spans="1:12" ht="15.75">
      <c r="A21" s="26" t="str">
        <v>M020</v>
      </c>
      <c r="B21" s="27" t="str">
        <v>NY</v>
      </c>
      <c r="C21" s="25" t="str">
        <f>Sites[[#This Row],[SOL'#]]</f>
        <v>SOL-10380</v>
      </c>
      <c r="D21" s="9"/>
      <c r="E21" s="14"/>
      <c r="F21" s="14" t="str">
        <f t="shared" si="0"/>
        <v/>
      </c>
      <c r="G21" s="15" t="str">
        <f t="shared" si="3"/>
        <v/>
      </c>
      <c r="H21" s="16"/>
      <c r="I21" s="16" t="str">
        <f t="shared" si="1"/>
        <v/>
      </c>
      <c r="J21" s="15" t="str">
        <f t="shared" si="2"/>
        <v/>
      </c>
      <c r="K21" s="38"/>
      <c r="L21" s="38"/>
    </row>
    <row r="22" spans="1:12" ht="15.75">
      <c r="A22" s="24" t="str">
        <v>M092</v>
      </c>
      <c r="B22" s="25" t="str">
        <v>NY</v>
      </c>
      <c r="C22" s="25" t="str">
        <f>Sites[[#This Row],[SOL'#]]</f>
        <v>SOL-10383</v>
      </c>
      <c r="D22" s="20"/>
      <c r="E22" s="10"/>
      <c r="F22" s="10" t="str">
        <f t="shared" si="0"/>
        <v/>
      </c>
      <c r="G22" s="11" t="str">
        <f t="shared" si="3"/>
        <v/>
      </c>
      <c r="H22" s="12"/>
      <c r="I22" s="12" t="str">
        <f t="shared" si="1"/>
        <v/>
      </c>
      <c r="J22" s="13" t="str">
        <f t="shared" si="2"/>
        <v/>
      </c>
      <c r="K22" s="37"/>
      <c r="L22" s="37"/>
    </row>
    <row r="23" spans="1:12" ht="25.5" customHeight="1">
      <c r="A23" s="26" t="str">
        <v>M143</v>
      </c>
      <c r="B23" s="27" t="str">
        <v>NY</v>
      </c>
      <c r="C23" s="25" t="str">
        <f>Sites[[#This Row],[SOL'#]]</f>
        <v>SOL-10384</v>
      </c>
      <c r="D23" s="9"/>
      <c r="E23" s="14"/>
      <c r="F23" s="14" t="str">
        <f t="shared" si="0"/>
        <v/>
      </c>
      <c r="G23" s="15" t="str">
        <f t="shared" si="3"/>
        <v/>
      </c>
      <c r="H23" s="16"/>
      <c r="I23" s="16" t="str">
        <f t="shared" si="1"/>
        <v/>
      </c>
      <c r="J23" s="15" t="str">
        <f t="shared" si="2"/>
        <v/>
      </c>
      <c r="K23" s="50"/>
      <c r="L23" s="38"/>
    </row>
    <row r="24" spans="1:12" ht="15.75">
      <c r="A24" s="24" t="str">
        <v>M144</v>
      </c>
      <c r="B24" s="25" t="str">
        <v>NY</v>
      </c>
      <c r="C24" s="25" t="str">
        <f>Sites[[#This Row],[SOL'#]]</f>
        <v>SOL-10385</v>
      </c>
      <c r="D24" s="20"/>
      <c r="E24" s="10"/>
      <c r="F24" s="10" t="str">
        <f t="shared" si="0"/>
        <v/>
      </c>
      <c r="G24" s="11" t="str">
        <f t="shared" si="3"/>
        <v/>
      </c>
      <c r="H24" s="12"/>
      <c r="I24" s="12" t="str">
        <f t="shared" si="1"/>
        <v/>
      </c>
      <c r="J24" s="13" t="str">
        <f t="shared" si="2"/>
        <v/>
      </c>
      <c r="K24" s="37"/>
      <c r="L24" s="37"/>
    </row>
    <row r="25" spans="1:12" ht="15.75">
      <c r="A25" s="26" t="str">
        <v>M167</v>
      </c>
      <c r="B25" s="27" t="str">
        <v>NY</v>
      </c>
      <c r="C25" s="25" t="str">
        <f>Sites[[#This Row],[SOL'#]]</f>
        <v>SOL-10386</v>
      </c>
      <c r="D25" s="9"/>
      <c r="E25" s="14"/>
      <c r="F25" s="14" t="str">
        <f t="shared" si="0"/>
        <v/>
      </c>
      <c r="G25" s="15" t="str">
        <f t="shared" si="3"/>
        <v/>
      </c>
      <c r="H25" s="16"/>
      <c r="I25" s="16" t="str">
        <f t="shared" si="1"/>
        <v/>
      </c>
      <c r="J25" s="15" t="str">
        <f t="shared" si="2"/>
        <v/>
      </c>
      <c r="K25" s="38"/>
      <c r="L25" s="38"/>
    </row>
    <row r="26" spans="1:12" ht="15.75">
      <c r="A26" s="24" t="str">
        <v>M188</v>
      </c>
      <c r="B26" s="25" t="str">
        <v>NY</v>
      </c>
      <c r="C26" s="25" t="str">
        <f>Sites[[#This Row],[SOL'#]]</f>
        <v>SOL-10387</v>
      </c>
      <c r="D26" s="20"/>
      <c r="E26" s="10"/>
      <c r="F26" s="10" t="str">
        <f t="shared" si="0"/>
        <v/>
      </c>
      <c r="G26" s="11" t="str">
        <f t="shared" si="3"/>
        <v/>
      </c>
      <c r="H26" s="12"/>
      <c r="I26" s="12" t="str">
        <f t="shared" si="1"/>
        <v/>
      </c>
      <c r="J26" s="13" t="str">
        <f t="shared" si="2"/>
        <v/>
      </c>
      <c r="K26" s="37"/>
      <c r="L26" s="37"/>
    </row>
    <row r="27" spans="1:12" ht="15.75">
      <c r="A27" s="26" t="str">
        <v>EMHC</v>
      </c>
      <c r="B27" s="27" t="str">
        <v>NY</v>
      </c>
      <c r="C27" s="25" t="str">
        <f>Sites[[#This Row],[SOL'#]]</f>
        <v>SOL-10351</v>
      </c>
      <c r="D27" s="9"/>
      <c r="E27" s="14"/>
      <c r="F27" s="14" t="str">
        <f t="shared" si="0"/>
        <v/>
      </c>
      <c r="G27" s="15" t="str">
        <f t="shared" si="3"/>
        <v/>
      </c>
      <c r="H27" s="16"/>
      <c r="I27" s="16" t="str">
        <f t="shared" si="1"/>
        <v/>
      </c>
      <c r="J27" s="15" t="str">
        <f t="shared" si="2"/>
        <v/>
      </c>
      <c r="K27" s="38"/>
      <c r="L27" s="38"/>
    </row>
    <row r="28" spans="1:12" ht="15.75">
      <c r="A28" s="24" t="str">
        <v>Q008</v>
      </c>
      <c r="B28" s="25" t="str">
        <v>NY</v>
      </c>
      <c r="C28" s="25" t="str">
        <f>Sites[[#This Row],[SOL'#]]</f>
        <v>SOL-10397</v>
      </c>
      <c r="D28" s="20"/>
      <c r="E28" s="10"/>
      <c r="F28" s="10" t="str">
        <f t="shared" si="0"/>
        <v/>
      </c>
      <c r="G28" s="11" t="str">
        <f t="shared" si="3"/>
        <v/>
      </c>
      <c r="H28" s="12"/>
      <c r="I28" s="12" t="str">
        <f t="shared" si="1"/>
        <v/>
      </c>
      <c r="J28" s="13" t="str">
        <f t="shared" si="2"/>
        <v/>
      </c>
      <c r="K28" s="37"/>
      <c r="L28" s="37"/>
    </row>
    <row r="29" spans="1:12" ht="27" customHeight="1">
      <c r="A29" s="26" t="str">
        <v>Q018</v>
      </c>
      <c r="B29" s="27" t="str">
        <v>NY</v>
      </c>
      <c r="C29" s="25" t="str">
        <f>Sites[[#This Row],[SOL'#]]</f>
        <v>SOL-10398</v>
      </c>
      <c r="D29" s="9"/>
      <c r="E29" s="14"/>
      <c r="F29" s="14" t="str">
        <f t="shared" si="0"/>
        <v/>
      </c>
      <c r="G29" s="15" t="str">
        <f t="shared" si="3"/>
        <v/>
      </c>
      <c r="H29" s="16"/>
      <c r="I29" s="16" t="str">
        <f t="shared" si="1"/>
        <v/>
      </c>
      <c r="J29" s="15" t="str">
        <f t="shared" si="2"/>
        <v/>
      </c>
      <c r="K29" s="38"/>
      <c r="L29" s="51"/>
    </row>
    <row r="30" spans="1:12" ht="15.75">
      <c r="A30" s="24" t="str">
        <v>Q021</v>
      </c>
      <c r="B30" s="25" t="str">
        <v>NY</v>
      </c>
      <c r="C30" s="25" t="str">
        <f>Sites[[#This Row],[SOL'#]]</f>
        <v>SOL-10399</v>
      </c>
      <c r="D30" s="20"/>
      <c r="E30" s="10"/>
      <c r="F30" s="10" t="str">
        <f t="shared" si="0"/>
        <v/>
      </c>
      <c r="G30" s="11" t="str">
        <f t="shared" si="3"/>
        <v/>
      </c>
      <c r="H30" s="12"/>
      <c r="I30" s="12" t="str">
        <f t="shared" si="1"/>
        <v/>
      </c>
      <c r="J30" s="13" t="str">
        <f t="shared" si="2"/>
        <v/>
      </c>
      <c r="K30" s="37"/>
      <c r="L30" s="37"/>
    </row>
    <row r="31" spans="1:12" ht="15.75">
      <c r="A31" s="26" t="str">
        <v>Q025</v>
      </c>
      <c r="B31" s="27" t="str">
        <v>NY</v>
      </c>
      <c r="C31" s="25" t="str">
        <f>Sites[[#This Row],[SOL'#]]</f>
        <v>SOL-10400</v>
      </c>
      <c r="D31" s="9"/>
      <c r="E31" s="14"/>
      <c r="F31" s="14" t="str">
        <f t="shared" si="0"/>
        <v/>
      </c>
      <c r="G31" s="15" t="str">
        <f t="shared" si="3"/>
        <v/>
      </c>
      <c r="H31" s="16"/>
      <c r="I31" s="16" t="str">
        <f t="shared" si="1"/>
        <v/>
      </c>
      <c r="J31" s="15" t="str">
        <f t="shared" si="2"/>
        <v/>
      </c>
      <c r="K31" s="141"/>
      <c r="L31" s="141"/>
    </row>
    <row r="32" spans="1:12" ht="15.75">
      <c r="A32" s="24" t="str">
        <v>Q074</v>
      </c>
      <c r="B32" s="25" t="str">
        <v>NY</v>
      </c>
      <c r="C32" s="25" t="str">
        <f>Sites[[#This Row],[SOL'#]]</f>
        <v>SOL-10402</v>
      </c>
      <c r="D32" s="20"/>
      <c r="E32" s="10"/>
      <c r="F32" s="10" t="str">
        <f t="shared" si="0"/>
        <v/>
      </c>
      <c r="G32" s="11" t="str">
        <f t="shared" si="3"/>
        <v/>
      </c>
      <c r="H32" s="12"/>
      <c r="I32" s="12" t="str">
        <f t="shared" si="1"/>
        <v/>
      </c>
      <c r="J32" s="13" t="str">
        <f t="shared" si="2"/>
        <v/>
      </c>
      <c r="K32" s="37"/>
      <c r="L32" s="37"/>
    </row>
    <row r="33" spans="1:12" ht="15.75">
      <c r="A33" s="26" t="str">
        <v>Q115</v>
      </c>
      <c r="B33" s="27" t="str">
        <v>NY</v>
      </c>
      <c r="C33" s="25" t="str">
        <f>Sites[[#This Row],[SOL'#]]</f>
        <v>SOL-10872</v>
      </c>
      <c r="D33" s="9"/>
      <c r="E33" s="14"/>
      <c r="F33" s="14" t="str">
        <f t="shared" si="0"/>
        <v/>
      </c>
      <c r="G33" s="15" t="str">
        <f t="shared" si="3"/>
        <v/>
      </c>
      <c r="H33" s="16"/>
      <c r="I33" s="16" t="str">
        <f t="shared" si="1"/>
        <v/>
      </c>
      <c r="J33" s="15" t="str">
        <f t="shared" si="2"/>
        <v/>
      </c>
      <c r="K33" s="38"/>
      <c r="L33" s="38"/>
    </row>
    <row r="34" spans="1:12" ht="15.75">
      <c r="A34" s="24" t="str">
        <v>Q139</v>
      </c>
      <c r="B34" s="25" t="str">
        <v>NY</v>
      </c>
      <c r="C34" s="25" t="str">
        <f>Sites[[#This Row],[SOL'#]]</f>
        <v>SOL-10403</v>
      </c>
      <c r="D34" s="20"/>
      <c r="E34" s="10"/>
      <c r="F34" s="10" t="str">
        <f t="shared" si="0"/>
        <v/>
      </c>
      <c r="G34" s="11" t="str">
        <f t="shared" si="3"/>
        <v/>
      </c>
      <c r="H34" s="12"/>
      <c r="I34" s="12" t="str">
        <f t="shared" si="1"/>
        <v/>
      </c>
      <c r="J34" s="13" t="str">
        <f t="shared" si="2"/>
        <v/>
      </c>
      <c r="K34" s="37"/>
      <c r="L34" s="37"/>
    </row>
    <row r="35" spans="1:12" ht="15.75">
      <c r="A35" s="26" t="str">
        <v>Q157</v>
      </c>
      <c r="B35" s="27" t="str">
        <v>NY</v>
      </c>
      <c r="C35" s="25" t="str">
        <f>Sites[[#This Row],[SOL'#]]</f>
        <v>SOL-10404</v>
      </c>
      <c r="D35" s="9"/>
      <c r="E35" s="14"/>
      <c r="F35" s="14" t="str">
        <f t="shared" si="0"/>
        <v/>
      </c>
      <c r="G35" s="15" t="str">
        <f t="shared" si="3"/>
        <v/>
      </c>
      <c r="H35" s="16"/>
      <c r="I35" s="16" t="str">
        <f t="shared" si="1"/>
        <v/>
      </c>
      <c r="J35" s="15" t="str">
        <f t="shared" si="2"/>
        <v/>
      </c>
      <c r="K35" s="38"/>
      <c r="L35" s="38"/>
    </row>
    <row r="36" spans="1:12" ht="15.75">
      <c r="A36" s="24" t="str">
        <v>Q192</v>
      </c>
      <c r="B36" s="25" t="str">
        <v>NY</v>
      </c>
      <c r="C36" s="25" t="str">
        <f>Sites[[#This Row],[SOL'#]]</f>
        <v>SOL-10406</v>
      </c>
      <c r="D36" s="20"/>
      <c r="E36" s="10"/>
      <c r="F36" s="10" t="str">
        <f t="shared" si="0"/>
        <v/>
      </c>
      <c r="G36" s="11" t="str">
        <f t="shared" si="3"/>
        <v/>
      </c>
      <c r="H36" s="12"/>
      <c r="I36" s="12" t="str">
        <f t="shared" si="1"/>
        <v/>
      </c>
      <c r="J36" s="13" t="str">
        <f t="shared" si="2"/>
        <v/>
      </c>
      <c r="K36" s="37"/>
      <c r="L36" s="37"/>
    </row>
    <row r="37" spans="1:12" ht="15.75">
      <c r="A37" s="26" t="str">
        <v>Q210</v>
      </c>
      <c r="B37" s="27" t="str">
        <v>NY</v>
      </c>
      <c r="C37" s="25" t="str">
        <f>Sites[[#This Row],[SOL'#]]</f>
        <v>SOL-10407</v>
      </c>
      <c r="D37" s="9"/>
      <c r="E37" s="14"/>
      <c r="F37" s="14" t="str">
        <f t="shared" si="0"/>
        <v/>
      </c>
      <c r="G37" s="15" t="str">
        <f t="shared" si="3"/>
        <v/>
      </c>
      <c r="H37" s="16"/>
      <c r="I37" s="16" t="str">
        <f t="shared" si="1"/>
        <v/>
      </c>
      <c r="J37" s="15" t="str">
        <f t="shared" si="2"/>
        <v/>
      </c>
      <c r="K37" s="38"/>
      <c r="L37" s="38"/>
    </row>
    <row r="38" spans="1:12" ht="15.75">
      <c r="A38" s="24" t="str">
        <v>Q229</v>
      </c>
      <c r="B38" s="25" t="str">
        <v>NY</v>
      </c>
      <c r="C38" s="25" t="str">
        <f>Sites[[#This Row],[SOL'#]]</f>
        <v>SOL-10408</v>
      </c>
      <c r="D38" s="20"/>
      <c r="E38" s="10"/>
      <c r="F38" s="10" t="str">
        <f t="shared" si="0"/>
        <v/>
      </c>
      <c r="G38" s="11" t="str">
        <f t="shared" si="3"/>
        <v/>
      </c>
      <c r="H38" s="12"/>
      <c r="I38" s="12" t="str">
        <f t="shared" si="1"/>
        <v/>
      </c>
      <c r="J38" s="13" t="str">
        <f t="shared" si="2"/>
        <v/>
      </c>
      <c r="K38" s="37"/>
      <c r="L38" s="37"/>
    </row>
    <row r="39" spans="1:12" ht="15.75">
      <c r="A39" s="26" t="str">
        <v>Q231</v>
      </c>
      <c r="B39" s="27" t="str">
        <v>NY</v>
      </c>
      <c r="C39" s="25" t="str">
        <f>Sites[[#This Row],[SOL'#]]</f>
        <v>SOL-10870</v>
      </c>
      <c r="D39" s="9"/>
      <c r="E39" s="14"/>
      <c r="F39" s="14" t="str">
        <f t="shared" si="0"/>
        <v/>
      </c>
      <c r="G39" s="15" t="str">
        <f t="shared" si="3"/>
        <v/>
      </c>
      <c r="H39" s="16"/>
      <c r="I39" s="16" t="str">
        <f t="shared" si="1"/>
        <v/>
      </c>
      <c r="J39" s="15" t="str">
        <f t="shared" si="2"/>
        <v/>
      </c>
      <c r="K39" s="38"/>
      <c r="L39" s="38"/>
    </row>
    <row r="40" spans="1:12" ht="15.75">
      <c r="A40" s="24" t="str">
        <v>Q405</v>
      </c>
      <c r="B40" s="25" t="str">
        <v>NY</v>
      </c>
      <c r="C40" s="25" t="str">
        <f>Sites[[#This Row],[SOL'#]]</f>
        <v>SOL-10409</v>
      </c>
      <c r="D40" s="20"/>
      <c r="E40" s="10"/>
      <c r="F40" s="10" t="str">
        <f t="shared" si="0"/>
        <v/>
      </c>
      <c r="G40" s="11" t="str">
        <f t="shared" si="3"/>
        <v/>
      </c>
      <c r="H40" s="12"/>
      <c r="I40" s="12" t="str">
        <f t="shared" si="1"/>
        <v/>
      </c>
      <c r="J40" s="13" t="str">
        <f t="shared" si="2"/>
        <v/>
      </c>
      <c r="K40" s="37"/>
      <c r="L40" s="37"/>
    </row>
    <row r="41" spans="1:12" ht="15.75">
      <c r="A41" s="26" t="str">
        <v>Q435</v>
      </c>
      <c r="B41" s="27" t="str">
        <v>NY</v>
      </c>
      <c r="C41" s="25" t="str">
        <f>Sites[[#This Row],[SOL'#]]</f>
        <v>SOL-10923</v>
      </c>
      <c r="D41" s="9"/>
      <c r="E41" s="14"/>
      <c r="F41" s="14" t="str">
        <f t="shared" si="0"/>
        <v/>
      </c>
      <c r="G41" s="15" t="str">
        <f t="shared" si="3"/>
        <v/>
      </c>
      <c r="H41" s="16"/>
      <c r="I41" s="16" t="str">
        <f t="shared" si="1"/>
        <v/>
      </c>
      <c r="J41" s="15" t="str">
        <f t="shared" si="2"/>
        <v/>
      </c>
      <c r="K41" s="38"/>
      <c r="L41" s="38"/>
    </row>
    <row r="42" spans="1:12" ht="15.75">
      <c r="A42" s="24" t="str">
        <v>Q485</v>
      </c>
      <c r="B42" s="25" t="str">
        <v>NY</v>
      </c>
      <c r="C42" s="25" t="str">
        <f>Sites[[#This Row],[SOL'#]]</f>
        <v>SOL-10869</v>
      </c>
      <c r="D42" s="20"/>
      <c r="E42" s="10"/>
      <c r="F42" s="10" t="str">
        <f t="shared" si="0"/>
        <v/>
      </c>
      <c r="G42" s="11" t="str">
        <f t="shared" si="3"/>
        <v/>
      </c>
      <c r="H42" s="12"/>
      <c r="I42" s="12" t="str">
        <f t="shared" si="1"/>
        <v/>
      </c>
      <c r="J42" s="13" t="str">
        <f t="shared" si="2"/>
        <v/>
      </c>
      <c r="K42" s="37"/>
      <c r="L42" s="37"/>
    </row>
    <row r="43" spans="1:12" ht="15.75">
      <c r="A43" s="26" t="str">
        <v>Q490</v>
      </c>
      <c r="B43" s="27" t="str">
        <v>NY</v>
      </c>
      <c r="C43" s="25" t="str">
        <f>Sites[[#This Row],[SOL'#]]</f>
        <v>SOL-10411</v>
      </c>
      <c r="D43" s="9"/>
      <c r="E43" s="14"/>
      <c r="F43" s="14" t="str">
        <f t="shared" si="0"/>
        <v/>
      </c>
      <c r="G43" s="15" t="str">
        <f t="shared" si="3"/>
        <v/>
      </c>
      <c r="H43" s="16"/>
      <c r="I43" s="16" t="str">
        <f t="shared" si="1"/>
        <v/>
      </c>
      <c r="J43" s="15" t="str">
        <f t="shared" si="2"/>
        <v/>
      </c>
      <c r="K43" s="38"/>
      <c r="L43" s="50"/>
    </row>
    <row r="44" spans="1:12" ht="15.75">
      <c r="A44" s="24" t="str">
        <v>Q620</v>
      </c>
      <c r="B44" s="25" t="str">
        <v>NY</v>
      </c>
      <c r="C44" s="25" t="str">
        <f>Sites[[#This Row],[SOL'#]]</f>
        <v>SOL-10867</v>
      </c>
      <c r="D44" s="20"/>
      <c r="E44" s="10"/>
      <c r="F44" s="10" t="str">
        <f t="shared" si="0"/>
        <v/>
      </c>
      <c r="G44" s="11" t="str">
        <f t="shared" si="3"/>
        <v/>
      </c>
      <c r="H44" s="12"/>
      <c r="I44" s="12" t="str">
        <f t="shared" si="1"/>
        <v/>
      </c>
      <c r="J44" s="13" t="str">
        <f t="shared" si="2"/>
        <v/>
      </c>
      <c r="K44" s="37"/>
      <c r="L44" s="37"/>
    </row>
    <row r="45" spans="1:12" ht="15.75">
      <c r="A45" s="26" t="str">
        <v>QMOA</v>
      </c>
      <c r="B45" s="27" t="str">
        <v>NY</v>
      </c>
      <c r="C45" s="25" t="str">
        <f>Sites[[#This Row],[SOL'#]]</f>
        <v>SOL-10415</v>
      </c>
      <c r="D45" s="9"/>
      <c r="E45" s="14"/>
      <c r="F45" s="14" t="str">
        <f t="shared" si="0"/>
        <v/>
      </c>
      <c r="G45" s="15" t="str">
        <f t="shared" si="3"/>
        <v/>
      </c>
      <c r="H45" s="16"/>
      <c r="I45" s="16" t="str">
        <f t="shared" si="1"/>
        <v/>
      </c>
      <c r="J45" s="15" t="str">
        <f t="shared" si="2"/>
        <v/>
      </c>
      <c r="K45" s="38"/>
      <c r="L45" s="38"/>
    </row>
    <row r="46" spans="1:12" ht="15.75">
      <c r="A46" s="24" t="str">
        <v>X024</v>
      </c>
      <c r="B46" s="25" t="str">
        <v>NY</v>
      </c>
      <c r="C46" s="25" t="str">
        <f>Sites[[#This Row],[SOL'#]]</f>
        <v>SOL-10419</v>
      </c>
      <c r="D46" s="20"/>
      <c r="E46" s="10"/>
      <c r="F46" s="10" t="str">
        <f t="shared" si="0"/>
        <v/>
      </c>
      <c r="G46" s="11" t="str">
        <f t="shared" si="3"/>
        <v/>
      </c>
      <c r="H46" s="12"/>
      <c r="I46" s="12" t="str">
        <f t="shared" si="1"/>
        <v/>
      </c>
      <c r="J46" s="13" t="str">
        <f t="shared" si="2"/>
        <v/>
      </c>
      <c r="K46" s="37"/>
      <c r="L46" s="37"/>
    </row>
    <row r="47" spans="1:12" ht="15.75">
      <c r="A47" s="26" t="str">
        <v>X026</v>
      </c>
      <c r="B47" s="27" t="str">
        <v>NY</v>
      </c>
      <c r="C47" s="25" t="str">
        <f>Sites[[#This Row],[SOL'#]]</f>
        <v>SOL-10420</v>
      </c>
      <c r="D47" s="9"/>
      <c r="E47" s="14"/>
      <c r="F47" s="14" t="str">
        <f t="shared" si="0"/>
        <v/>
      </c>
      <c r="G47" s="15" t="str">
        <f t="shared" si="3"/>
        <v/>
      </c>
      <c r="H47" s="16"/>
      <c r="I47" s="16" t="str">
        <f t="shared" si="1"/>
        <v/>
      </c>
      <c r="J47" s="15" t="str">
        <f t="shared" si="2"/>
        <v/>
      </c>
      <c r="K47" s="38"/>
      <c r="L47" s="38"/>
    </row>
    <row r="48" spans="1:12" ht="21" customHeight="1">
      <c r="A48" s="24" t="str">
        <v>X090</v>
      </c>
      <c r="B48" s="25" t="str">
        <v>NY</v>
      </c>
      <c r="C48" s="25" t="str">
        <f>Sites[[#This Row],[SOL'#]]</f>
        <v>SOL-10925</v>
      </c>
      <c r="D48" s="20"/>
      <c r="E48" s="10"/>
      <c r="F48" s="10" t="str">
        <f t="shared" si="0"/>
        <v/>
      </c>
      <c r="G48" s="11" t="str">
        <f t="shared" si="3"/>
        <v/>
      </c>
      <c r="H48" s="12"/>
      <c r="I48" s="12" t="str">
        <f t="shared" si="1"/>
        <v/>
      </c>
      <c r="J48" s="13" t="str">
        <f t="shared" si="2"/>
        <v/>
      </c>
      <c r="K48" s="37"/>
      <c r="L48" s="37"/>
    </row>
    <row r="49" spans="1:12" ht="15.75">
      <c r="A49" s="26" t="str">
        <v>X117</v>
      </c>
      <c r="B49" s="27" t="str">
        <v>NY</v>
      </c>
      <c r="C49" s="25" t="str">
        <f>Sites[[#This Row],[SOL'#]]</f>
        <v>SOL-10422</v>
      </c>
      <c r="D49" s="9"/>
      <c r="E49" s="14"/>
      <c r="F49" s="14" t="str">
        <f t="shared" si="0"/>
        <v/>
      </c>
      <c r="G49" s="15" t="str">
        <f t="shared" si="3"/>
        <v/>
      </c>
      <c r="H49" s="16"/>
      <c r="I49" s="16" t="str">
        <f t="shared" si="1"/>
        <v/>
      </c>
      <c r="J49" s="15" t="str">
        <f t="shared" si="2"/>
        <v/>
      </c>
      <c r="K49" s="38"/>
      <c r="L49" s="50"/>
    </row>
    <row r="50" spans="1:12" ht="15.75">
      <c r="A50" s="24" t="str">
        <v>X125</v>
      </c>
      <c r="B50" s="25" t="str">
        <v>NY</v>
      </c>
      <c r="C50" s="25" t="str">
        <f>Sites[[#This Row],[SOL'#]]</f>
        <v>SOL-10423</v>
      </c>
      <c r="D50" s="20"/>
      <c r="E50" s="10"/>
      <c r="F50" s="10" t="str">
        <f t="shared" si="0"/>
        <v/>
      </c>
      <c r="G50" s="11" t="str">
        <f t="shared" si="3"/>
        <v/>
      </c>
      <c r="H50" s="12"/>
      <c r="I50" s="12" t="str">
        <f t="shared" si="1"/>
        <v/>
      </c>
      <c r="J50" s="13" t="str">
        <f t="shared" si="2"/>
        <v/>
      </c>
      <c r="K50" s="37"/>
      <c r="L50" s="37"/>
    </row>
    <row r="51" spans="1:12" ht="15.75">
      <c r="A51" s="26" t="str">
        <v>X134</v>
      </c>
      <c r="B51" s="27" t="str">
        <v>NY</v>
      </c>
      <c r="C51" s="25" t="str">
        <f>Sites[[#This Row],[SOL'#]]</f>
        <v>SOL-10424</v>
      </c>
      <c r="D51" s="9"/>
      <c r="E51" s="14"/>
      <c r="F51" s="14" t="str">
        <f t="shared" si="0"/>
        <v/>
      </c>
      <c r="G51" s="15" t="str">
        <f t="shared" si="3"/>
        <v/>
      </c>
      <c r="H51" s="16"/>
      <c r="I51" s="16" t="str">
        <f t="shared" si="1"/>
        <v/>
      </c>
      <c r="J51" s="15" t="str">
        <f t="shared" si="2"/>
        <v/>
      </c>
      <c r="K51" s="38"/>
      <c r="L51" s="38"/>
    </row>
    <row r="52" spans="1:12" ht="15.75">
      <c r="A52" s="24" t="str">
        <v>X135</v>
      </c>
      <c r="B52" s="25" t="str">
        <v>NY</v>
      </c>
      <c r="C52" s="25" t="str">
        <f>Sites[[#This Row],[SOL'#]]</f>
        <v>SOL-10425</v>
      </c>
      <c r="D52" s="20"/>
      <c r="E52" s="10"/>
      <c r="F52" s="10" t="str">
        <f t="shared" si="0"/>
        <v/>
      </c>
      <c r="G52" s="11" t="str">
        <f t="shared" si="3"/>
        <v/>
      </c>
      <c r="H52" s="12"/>
      <c r="I52" s="12" t="str">
        <f t="shared" si="1"/>
        <v/>
      </c>
      <c r="J52" s="13" t="str">
        <f t="shared" si="2"/>
        <v/>
      </c>
      <c r="K52" s="37"/>
      <c r="L52" s="37"/>
    </row>
    <row r="53" spans="1:12" ht="15.75">
      <c r="A53" s="26" t="str">
        <v>X139 JHS 222</v>
      </c>
      <c r="B53" s="27" t="str">
        <v>NY</v>
      </c>
      <c r="C53" s="25" t="str">
        <f>Sites[[#This Row],[SOL'#]]</f>
        <v>SOL-10426</v>
      </c>
      <c r="D53" s="9"/>
      <c r="E53" s="14"/>
      <c r="F53" s="14" t="str">
        <f t="shared" si="0"/>
        <v/>
      </c>
      <c r="G53" s="15" t="str">
        <f t="shared" si="3"/>
        <v/>
      </c>
      <c r="H53" s="16"/>
      <c r="I53" s="16" t="str">
        <f t="shared" si="1"/>
        <v/>
      </c>
      <c r="J53" s="15" t="str">
        <f t="shared" si="2"/>
        <v/>
      </c>
      <c r="K53" s="38"/>
      <c r="L53" s="38"/>
    </row>
    <row r="54" spans="1:12" ht="15.75">
      <c r="A54" s="24" t="str">
        <v>X140</v>
      </c>
      <c r="B54" s="25" t="str">
        <v>NY</v>
      </c>
      <c r="C54" s="25" t="str">
        <f>Sites[[#This Row],[SOL'#]]</f>
        <v>SOL-10926</v>
      </c>
      <c r="D54" s="20"/>
      <c r="E54" s="10"/>
      <c r="F54" s="10" t="str">
        <f t="shared" si="0"/>
        <v/>
      </c>
      <c r="G54" s="11" t="str">
        <f t="shared" si="3"/>
        <v/>
      </c>
      <c r="H54" s="12"/>
      <c r="I54" s="12" t="str">
        <f t="shared" si="1"/>
        <v/>
      </c>
      <c r="J54" s="13" t="str">
        <f t="shared" si="2"/>
        <v/>
      </c>
      <c r="K54" s="37"/>
      <c r="L54" s="37"/>
    </row>
    <row r="55" spans="1:12" ht="15.75">
      <c r="A55" s="26" t="str">
        <v>X166</v>
      </c>
      <c r="B55" s="27" t="str">
        <v>NY</v>
      </c>
      <c r="C55" s="25" t="str">
        <f>Sites[[#This Row],[SOL'#]]</f>
        <v>SOL-10427</v>
      </c>
      <c r="D55" s="9"/>
      <c r="E55" s="14"/>
      <c r="F55" s="14" t="str">
        <f t="shared" si="0"/>
        <v/>
      </c>
      <c r="G55" s="15" t="str">
        <f t="shared" si="3"/>
        <v/>
      </c>
      <c r="H55" s="16"/>
      <c r="I55" s="16" t="str">
        <f t="shared" si="1"/>
        <v/>
      </c>
      <c r="J55" s="15" t="str">
        <f t="shared" si="2"/>
        <v/>
      </c>
      <c r="K55" s="38"/>
      <c r="L55" s="38"/>
    </row>
    <row r="56" spans="1:12" ht="15.75">
      <c r="A56" s="24" t="str">
        <v>Murphy</v>
      </c>
      <c r="B56" s="25" t="str">
        <v>MN</v>
      </c>
      <c r="C56" s="25" t="str">
        <f>Sites[[#This Row],[SOL'#]]</f>
        <v>SOL-10094</v>
      </c>
      <c r="D56" s="20"/>
      <c r="E56" s="10"/>
      <c r="F56" s="10" t="str">
        <f t="shared" si="0"/>
        <v/>
      </c>
      <c r="G56" s="11" t="str">
        <f t="shared" si="3"/>
        <v/>
      </c>
      <c r="H56" s="12"/>
      <c r="I56" s="12" t="str">
        <f t="shared" si="1"/>
        <v/>
      </c>
      <c r="J56" s="13" t="str">
        <f t="shared" si="2"/>
        <v/>
      </c>
      <c r="K56" s="37"/>
      <c r="L56" s="37"/>
    </row>
    <row r="57" spans="1:12" ht="15.75">
      <c r="A57" s="26" t="str">
        <v>Terning</v>
      </c>
      <c r="B57" s="27" t="str">
        <v>MN</v>
      </c>
      <c r="C57" s="25" t="str">
        <f>Sites[[#This Row],[SOL'#]]</f>
        <v>SOL-10093</v>
      </c>
      <c r="D57" s="9"/>
      <c r="E57" s="14"/>
      <c r="F57" s="14" t="str">
        <f t="shared" si="0"/>
        <v/>
      </c>
      <c r="G57" s="15" t="str">
        <f t="shared" si="3"/>
        <v/>
      </c>
      <c r="H57" s="16"/>
      <c r="I57" s="16" t="str">
        <f t="shared" si="1"/>
        <v/>
      </c>
      <c r="J57" s="15" t="str">
        <f t="shared" si="2"/>
        <v/>
      </c>
      <c r="K57" s="38"/>
      <c r="L57" s="38"/>
    </row>
    <row r="58" spans="1:12" ht="15.75">
      <c r="A58" s="24" t="str">
        <v>Boas Road 04</v>
      </c>
      <c r="B58" s="25" t="str">
        <v>NY</v>
      </c>
      <c r="C58" s="25" t="str">
        <f>Sites[[#This Row],[SOL'#]]</f>
        <v>SOL-10908</v>
      </c>
      <c r="D58" s="20"/>
      <c r="E58" s="10"/>
      <c r="F58" s="10" t="str">
        <f t="shared" si="0"/>
        <v/>
      </c>
      <c r="G58" s="11" t="str">
        <f t="shared" si="3"/>
        <v/>
      </c>
      <c r="H58" s="12"/>
      <c r="I58" s="12" t="str">
        <f t="shared" si="1"/>
        <v/>
      </c>
      <c r="J58" s="13" t="str">
        <f t="shared" si="2"/>
        <v/>
      </c>
      <c r="K58" s="37"/>
      <c r="L58" s="37"/>
    </row>
    <row r="59" spans="1:12" ht="25.5" customHeight="1">
      <c r="A59" s="26" t="str">
        <v>Kelly Bridge Farm</v>
      </c>
      <c r="B59" s="27" t="str">
        <v>NY</v>
      </c>
      <c r="C59" s="25" t="str">
        <f>Sites[[#This Row],[SOL'#]]</f>
        <v>SOL-10911</v>
      </c>
      <c r="D59" s="9"/>
      <c r="E59" s="14"/>
      <c r="F59" s="14" t="str">
        <f t="shared" si="0"/>
        <v/>
      </c>
      <c r="G59" s="15" t="str">
        <f t="shared" si="3"/>
        <v/>
      </c>
      <c r="H59" s="16"/>
      <c r="I59" s="16" t="str">
        <f t="shared" si="1"/>
        <v/>
      </c>
      <c r="J59" s="15" t="str">
        <f t="shared" si="2"/>
        <v/>
      </c>
      <c r="K59" s="51"/>
      <c r="L59" s="50"/>
    </row>
    <row r="60" spans="1:12" ht="15.75">
      <c r="A60" s="24" t="str">
        <v>Pool Brook Road</v>
      </c>
      <c r="B60" s="25" t="str">
        <v>NY</v>
      </c>
      <c r="C60" s="25" t="str">
        <f>Sites[[#This Row],[SOL'#]]</f>
        <v>SOL-10909</v>
      </c>
      <c r="D60" s="20"/>
      <c r="E60" s="10"/>
      <c r="F60" s="10" t="str">
        <f t="shared" si="0"/>
        <v/>
      </c>
      <c r="G60" s="11" t="str">
        <f t="shared" si="3"/>
        <v/>
      </c>
      <c r="H60" s="12"/>
      <c r="I60" s="12" t="str">
        <f t="shared" si="1"/>
        <v/>
      </c>
      <c r="J60" s="13" t="str">
        <f t="shared" si="2"/>
        <v/>
      </c>
      <c r="K60" s="37"/>
      <c r="L60" s="37"/>
    </row>
    <row r="61" spans="1:12" ht="15.75">
      <c r="A61" s="26" t="str">
        <v>Sackett Lake</v>
      </c>
      <c r="B61" s="27" t="str">
        <v>NY</v>
      </c>
      <c r="C61" s="25" t="str">
        <f>Sites[[#This Row],[SOL'#]]</f>
        <v>SOL-10910</v>
      </c>
      <c r="D61" s="9"/>
      <c r="E61" s="14"/>
      <c r="F61" s="14" t="str">
        <f t="shared" si="0"/>
        <v/>
      </c>
      <c r="G61" s="15" t="str">
        <f t="shared" si="3"/>
        <v/>
      </c>
      <c r="H61" s="16"/>
      <c r="I61" s="16" t="str">
        <f t="shared" si="1"/>
        <v/>
      </c>
      <c r="J61" s="15" t="str">
        <f t="shared" si="2"/>
        <v/>
      </c>
      <c r="K61" s="38"/>
      <c r="L61" s="38"/>
    </row>
    <row r="62" spans="1:12" ht="15.75">
      <c r="A62" s="24" t="str">
        <v>Burritt Road</v>
      </c>
      <c r="B62" s="25" t="str">
        <v>NY</v>
      </c>
      <c r="C62" s="25" t="str">
        <f>Sites[[#This Row],[SOL'#]]</f>
        <v>SOL-10913</v>
      </c>
      <c r="D62" s="20"/>
      <c r="E62" s="10"/>
      <c r="F62" s="10" t="str">
        <f t="shared" si="0"/>
        <v/>
      </c>
      <c r="G62" s="11" t="str">
        <f t="shared" si="3"/>
        <v/>
      </c>
      <c r="H62" s="12"/>
      <c r="I62" s="12" t="str">
        <f t="shared" si="1"/>
        <v/>
      </c>
      <c r="J62" s="13" t="str">
        <f t="shared" si="2"/>
        <v/>
      </c>
      <c r="K62" s="37"/>
      <c r="L62" s="37"/>
    </row>
    <row r="63" spans="1:12" ht="15.75">
      <c r="A63" s="26" t="str">
        <v>Villa Roma 1</v>
      </c>
      <c r="B63" s="27" t="str">
        <v>NY</v>
      </c>
      <c r="C63" s="25" t="str">
        <f>Sites[[#This Row],[SOL'#]]</f>
        <v>SOL-10914</v>
      </c>
      <c r="D63" s="9"/>
      <c r="E63" s="14"/>
      <c r="F63" s="14" t="str">
        <f t="shared" si="0"/>
        <v/>
      </c>
      <c r="G63" s="15" t="str">
        <f t="shared" si="3"/>
        <v/>
      </c>
      <c r="H63" s="16"/>
      <c r="I63" s="16" t="str">
        <f t="shared" si="1"/>
        <v/>
      </c>
      <c r="J63" s="15" t="str">
        <f t="shared" si="2"/>
        <v/>
      </c>
      <c r="K63" s="38"/>
      <c r="L63" s="50"/>
    </row>
    <row r="64" spans="1:12" ht="15.75">
      <c r="A64" s="24" t="str">
        <v>Villa Roma 2</v>
      </c>
      <c r="B64" s="25" t="str">
        <v>NY</v>
      </c>
      <c r="C64" s="25" t="str">
        <f>Sites[[#This Row],[SOL'#]]</f>
        <v>SOL-10915</v>
      </c>
      <c r="D64" s="20"/>
      <c r="E64" s="10"/>
      <c r="F64" s="10" t="str">
        <f t="shared" si="0"/>
        <v/>
      </c>
      <c r="G64" s="11" t="str">
        <f t="shared" si="3"/>
        <v/>
      </c>
      <c r="H64" s="12"/>
      <c r="I64" s="12" t="str">
        <f t="shared" si="1"/>
        <v/>
      </c>
      <c r="J64" s="13" t="str">
        <f t="shared" si="2"/>
        <v/>
      </c>
      <c r="K64" s="37"/>
      <c r="L64" s="37"/>
    </row>
    <row r="65" spans="1:12" ht="15.75">
      <c r="A65" s="26" t="str">
        <v>Washington 1</v>
      </c>
      <c r="B65" s="27" t="str">
        <v>NY</v>
      </c>
      <c r="C65" s="25" t="str">
        <f>Sites[[#This Row],[SOL'#]]</f>
        <v>SOL-10912</v>
      </c>
      <c r="D65" s="9"/>
      <c r="E65" s="14"/>
      <c r="F65" s="14" t="str">
        <f t="shared" si="0"/>
        <v/>
      </c>
      <c r="G65" s="15" t="str">
        <f t="shared" si="3"/>
        <v/>
      </c>
      <c r="H65" s="16"/>
      <c r="I65" s="16" t="str">
        <f t="shared" si="1"/>
        <v/>
      </c>
      <c r="J65" s="15" t="str">
        <f t="shared" si="2"/>
        <v/>
      </c>
      <c r="K65" s="38"/>
      <c r="L65" s="38"/>
    </row>
    <row r="66" spans="1:12" ht="15.75">
      <c r="A66" s="24" t="str">
        <v>Washington 3</v>
      </c>
      <c r="B66" s="25" t="str">
        <v>NY</v>
      </c>
      <c r="C66" s="25" t="str">
        <f>Sites[[#This Row],[SOL'#]]</f>
        <v>SOL-10828</v>
      </c>
      <c r="D66" s="20"/>
      <c r="E66" s="10"/>
      <c r="F66" s="10" t="str">
        <f t="shared" si="0"/>
        <v/>
      </c>
      <c r="G66" s="11" t="str">
        <f t="shared" si="3"/>
        <v/>
      </c>
      <c r="H66" s="12"/>
      <c r="I66" s="12" t="str">
        <f t="shared" si="1"/>
        <v/>
      </c>
      <c r="J66" s="13" t="str">
        <f t="shared" si="2"/>
        <v/>
      </c>
      <c r="K66" s="37"/>
      <c r="L66" s="37"/>
    </row>
    <row r="67" spans="1:12" ht="15.75">
      <c r="A67" s="26" t="str">
        <v>Washington 4</v>
      </c>
      <c r="B67" s="27" t="str">
        <v>NY</v>
      </c>
      <c r="C67" s="25" t="str">
        <f>Sites[[#This Row],[SOL'#]]</f>
        <v>SOL-10829</v>
      </c>
      <c r="D67" s="9"/>
      <c r="E67" s="14"/>
      <c r="F67" s="14" t="str">
        <f t="shared" si="0"/>
        <v/>
      </c>
      <c r="G67" s="15" t="str">
        <f t="shared" si="3"/>
        <v/>
      </c>
      <c r="H67" s="16"/>
      <c r="I67" s="16" t="str">
        <f t="shared" si="1"/>
        <v/>
      </c>
      <c r="J67" s="15" t="str">
        <f t="shared" si="2"/>
        <v/>
      </c>
      <c r="K67" s="50"/>
      <c r="L67" s="38"/>
    </row>
    <row r="68" spans="1:12" ht="15.75">
      <c r="A68" s="24" t="str">
        <v>Big Tree</v>
      </c>
      <c r="B68" s="25" t="str">
        <v>NY</v>
      </c>
      <c r="C68" s="25" t="str">
        <f>Sites[[#This Row],[SOL'#]]</f>
        <v>SOL-10966</v>
      </c>
      <c r="D68" s="20"/>
      <c r="E68" s="10"/>
      <c r="F68" s="10" t="str">
        <f t="shared" si="0"/>
        <v/>
      </c>
      <c r="G68" s="11" t="str">
        <f t="shared" si="3"/>
        <v/>
      </c>
      <c r="H68" s="12"/>
      <c r="I68" s="12" t="str">
        <f t="shared" si="1"/>
        <v/>
      </c>
      <c r="J68" s="13" t="str">
        <f t="shared" si="2"/>
        <v/>
      </c>
      <c r="K68" s="37"/>
      <c r="L68" s="37"/>
    </row>
    <row r="69" spans="1:12" ht="15.75">
      <c r="A69" s="26" t="str">
        <v>Canoga</v>
      </c>
      <c r="B69" s="27" t="str">
        <v>NY</v>
      </c>
      <c r="C69" s="25"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75">
      <c r="A70" s="24" t="str">
        <v>County Route 84</v>
      </c>
      <c r="B70" s="25" t="str">
        <v>NY</v>
      </c>
      <c r="C70" s="25" t="str">
        <f>Sites[[#This Row],[SOL'#]]</f>
        <v>SOL-10967</v>
      </c>
      <c r="D70" s="20"/>
      <c r="E70" s="10"/>
      <c r="F70" s="10" t="str">
        <f t="shared" si="4"/>
        <v/>
      </c>
      <c r="G70" s="11" t="str">
        <f t="shared" ref="G70:G133" si="7">IFERROR(F70/E70, "")</f>
        <v/>
      </c>
      <c r="H70" s="12"/>
      <c r="I70" s="12" t="str">
        <f t="shared" si="5"/>
        <v/>
      </c>
      <c r="J70" s="13" t="str">
        <f t="shared" si="6"/>
        <v/>
      </c>
      <c r="K70" s="37"/>
      <c r="L70" s="37"/>
    </row>
    <row r="71" spans="1:12" ht="15.75">
      <c r="A71" s="26" t="str">
        <v>Donati</v>
      </c>
      <c r="B71" s="27" t="str">
        <v>NY</v>
      </c>
      <c r="C71" s="25" t="str">
        <f>Sites[[#This Row],[SOL'#]]</f>
        <v>SOL-10968</v>
      </c>
      <c r="D71" s="9"/>
      <c r="E71" s="14"/>
      <c r="F71" s="14" t="str">
        <f t="shared" si="4"/>
        <v/>
      </c>
      <c r="G71" s="15" t="str">
        <f t="shared" si="7"/>
        <v/>
      </c>
      <c r="H71" s="16"/>
      <c r="I71" s="16" t="str">
        <f t="shared" si="5"/>
        <v/>
      </c>
      <c r="J71" s="15" t="str">
        <f t="shared" si="6"/>
        <v/>
      </c>
      <c r="K71" s="38"/>
      <c r="L71" s="38"/>
    </row>
    <row r="72" spans="1:12" ht="15.75">
      <c r="A72" s="24" t="str">
        <v>Henrietta</v>
      </c>
      <c r="B72" s="25" t="str">
        <v>NY</v>
      </c>
      <c r="C72" s="25" t="str">
        <f>Sites[[#This Row],[SOL'#]]</f>
        <v>SOL-10972</v>
      </c>
      <c r="D72" s="20"/>
      <c r="E72" s="10"/>
      <c r="F72" s="10" t="str">
        <f t="shared" si="4"/>
        <v/>
      </c>
      <c r="G72" s="11" t="str">
        <f t="shared" si="7"/>
        <v/>
      </c>
      <c r="H72" s="12"/>
      <c r="I72" s="12" t="str">
        <f t="shared" si="5"/>
        <v/>
      </c>
      <c r="J72" s="13" t="str">
        <f t="shared" si="6"/>
        <v/>
      </c>
      <c r="K72" s="37"/>
      <c r="L72" s="37"/>
    </row>
    <row r="73" spans="1:12" ht="15.75">
      <c r="A73" s="26" t="str">
        <v>NY 70</v>
      </c>
      <c r="B73" s="27" t="str">
        <v>NY</v>
      </c>
      <c r="C73" s="25" t="str">
        <f>Sites[[#This Row],[SOL'#]]</f>
        <v>SOL-10970</v>
      </c>
      <c r="D73" s="9"/>
      <c r="E73" s="14"/>
      <c r="F73" s="14" t="str">
        <f t="shared" si="4"/>
        <v/>
      </c>
      <c r="G73" s="15" t="str">
        <f t="shared" si="7"/>
        <v/>
      </c>
      <c r="H73" s="16"/>
      <c r="I73" s="16" t="str">
        <f t="shared" si="5"/>
        <v/>
      </c>
      <c r="J73" s="15" t="str">
        <f t="shared" si="6"/>
        <v/>
      </c>
      <c r="K73" s="38"/>
      <c r="L73" s="38"/>
    </row>
    <row r="74" spans="1:12" ht="15.75">
      <c r="A74" s="24" t="str">
        <v>Reid</v>
      </c>
      <c r="B74" s="25" t="str">
        <v>NY</v>
      </c>
      <c r="C74" s="25" t="str">
        <f>Sites[[#This Row],[SOL'#]]</f>
        <v>SOL-10991</v>
      </c>
      <c r="D74" s="20"/>
      <c r="E74" s="10"/>
      <c r="F74" s="10" t="str">
        <f t="shared" si="4"/>
        <v/>
      </c>
      <c r="G74" s="11" t="str">
        <f t="shared" si="7"/>
        <v/>
      </c>
      <c r="H74" s="12"/>
      <c r="I74" s="12" t="str">
        <f t="shared" si="5"/>
        <v/>
      </c>
      <c r="J74" s="13" t="str">
        <f t="shared" si="6"/>
        <v/>
      </c>
      <c r="K74" s="37"/>
      <c r="L74" s="37"/>
    </row>
    <row r="75" spans="1:12" ht="45" customHeight="1">
      <c r="A75" s="26" t="str">
        <v>Sangolqui</v>
      </c>
      <c r="B75" s="27" t="str">
        <v>NY</v>
      </c>
      <c r="C75" s="25" t="str">
        <f>Sites[[#This Row],[SOL'#]]</f>
        <v>SOL-10975</v>
      </c>
      <c r="D75" s="9"/>
      <c r="E75" s="14"/>
      <c r="F75" s="14" t="str">
        <f t="shared" si="4"/>
        <v/>
      </c>
      <c r="G75" s="15" t="str">
        <f t="shared" si="7"/>
        <v/>
      </c>
      <c r="H75" s="16"/>
      <c r="I75" s="16" t="str">
        <f t="shared" si="5"/>
        <v/>
      </c>
      <c r="J75" s="15" t="str">
        <f t="shared" si="6"/>
        <v/>
      </c>
      <c r="K75" s="50"/>
      <c r="L75" s="50"/>
    </row>
    <row r="76" spans="1:12" ht="15.75">
      <c r="A76" s="24" t="str">
        <v>State Highway 17B</v>
      </c>
      <c r="B76" s="25" t="str">
        <v>NY</v>
      </c>
      <c r="C76" s="25" t="str">
        <f>Sites[[#This Row],[SOL'#]]</f>
        <v>SOL-10988</v>
      </c>
      <c r="D76" s="54"/>
      <c r="E76" s="10"/>
      <c r="F76" s="10" t="str">
        <f t="shared" si="4"/>
        <v/>
      </c>
      <c r="G76" s="11" t="str">
        <f t="shared" si="7"/>
        <v/>
      </c>
      <c r="H76" s="12"/>
      <c r="I76" s="12" t="str">
        <f t="shared" si="5"/>
        <v/>
      </c>
      <c r="J76" s="13" t="str">
        <f t="shared" si="6"/>
        <v/>
      </c>
      <c r="K76" s="37"/>
      <c r="L76" s="37"/>
    </row>
    <row r="77" spans="1:12" ht="21.75" customHeight="1">
      <c r="A77" s="26" t="str">
        <v>State Route 14A</v>
      </c>
      <c r="B77" s="27" t="str">
        <v>NY</v>
      </c>
      <c r="C77" s="25" t="str">
        <f>Sites[[#This Row],[SOL'#]]</f>
        <v>SOL-10997</v>
      </c>
      <c r="D77" s="9"/>
      <c r="E77" s="14"/>
      <c r="F77" s="14" t="str">
        <f t="shared" si="4"/>
        <v/>
      </c>
      <c r="G77" s="15" t="str">
        <f t="shared" si="7"/>
        <v/>
      </c>
      <c r="H77" s="16"/>
      <c r="I77" s="16" t="str">
        <f t="shared" si="5"/>
        <v/>
      </c>
      <c r="J77" s="15" t="str">
        <f t="shared" si="6"/>
        <v/>
      </c>
      <c r="K77" s="38"/>
      <c r="L77" s="38"/>
    </row>
    <row r="78" spans="1:12" ht="15.75">
      <c r="A78" s="24" t="str">
        <v>West Creek</v>
      </c>
      <c r="B78" s="25" t="str">
        <v>NY</v>
      </c>
      <c r="C78" s="25" t="str">
        <f>Sites[[#This Row],[SOL'#]]</f>
        <v>SOL-10995</v>
      </c>
      <c r="D78" s="20"/>
      <c r="E78" s="10"/>
      <c r="F78" s="10" t="str">
        <f t="shared" si="4"/>
        <v/>
      </c>
      <c r="G78" s="11" t="str">
        <f t="shared" si="7"/>
        <v/>
      </c>
      <c r="H78" s="12"/>
      <c r="I78" s="12" t="str">
        <f t="shared" si="5"/>
        <v/>
      </c>
      <c r="J78" s="13" t="str">
        <f t="shared" si="6"/>
        <v/>
      </c>
      <c r="K78" s="37"/>
      <c r="L78" s="37"/>
    </row>
    <row r="79" spans="1:12" ht="15.75">
      <c r="A79" s="26" t="str">
        <v>Wildflower</v>
      </c>
      <c r="B79" s="27" t="str">
        <v>NY</v>
      </c>
      <c r="C79" s="25" t="str">
        <f>Sites[[#This Row],[SOL'#]]</f>
        <v>SOL-10982</v>
      </c>
      <c r="D79" s="9"/>
      <c r="E79" s="14"/>
      <c r="F79" s="14" t="str">
        <f t="shared" si="4"/>
        <v/>
      </c>
      <c r="G79" s="15" t="str">
        <f t="shared" si="7"/>
        <v/>
      </c>
      <c r="H79" s="16"/>
      <c r="I79" s="16" t="str">
        <f t="shared" si="5"/>
        <v/>
      </c>
      <c r="J79" s="15" t="str">
        <f t="shared" si="6"/>
        <v/>
      </c>
      <c r="K79" s="38"/>
      <c r="L79" s="86"/>
    </row>
    <row r="80" spans="1:12" ht="15.75">
      <c r="A80" s="24" t="str">
        <v>Glen Mary 1</v>
      </c>
      <c r="B80" s="25" t="str">
        <v>NY</v>
      </c>
      <c r="C80" s="25" t="str">
        <f>Sites[[#This Row],[SOL'#]]</f>
        <v>SOL-10993</v>
      </c>
      <c r="D80" s="20"/>
      <c r="E80" s="10"/>
      <c r="F80" s="10" t="str">
        <f t="shared" si="4"/>
        <v/>
      </c>
      <c r="G80" s="11" t="str">
        <f t="shared" si="7"/>
        <v/>
      </c>
      <c r="H80" s="12"/>
      <c r="I80" s="12" t="str">
        <f t="shared" si="5"/>
        <v/>
      </c>
      <c r="J80" s="13" t="str">
        <f t="shared" si="6"/>
        <v/>
      </c>
      <c r="K80" s="37"/>
      <c r="L80" s="37"/>
    </row>
    <row r="81" spans="1:12" ht="15.75">
      <c r="A81" s="26" t="str">
        <v>Glen Mary 2</v>
      </c>
      <c r="B81" s="27" t="str">
        <v>NY</v>
      </c>
      <c r="C81" s="25" t="str">
        <f>Sites[[#This Row],[SOL'#]]</f>
        <v>SOL-10994</v>
      </c>
      <c r="D81" s="9"/>
      <c r="E81" s="14"/>
      <c r="F81" s="14" t="str">
        <f t="shared" si="4"/>
        <v/>
      </c>
      <c r="G81" s="15" t="str">
        <f t="shared" si="7"/>
        <v/>
      </c>
      <c r="H81" s="16"/>
      <c r="I81" s="16" t="str">
        <f t="shared" si="5"/>
        <v/>
      </c>
      <c r="J81" s="15" t="str">
        <f t="shared" si="6"/>
        <v/>
      </c>
      <c r="K81" s="38"/>
      <c r="L81" s="85"/>
    </row>
    <row r="82" spans="1:12" ht="19.5" customHeight="1">
      <c r="A82" s="24" t="str">
        <v>Telegraph 1</v>
      </c>
      <c r="B82" s="25" t="str">
        <v>NY</v>
      </c>
      <c r="C82" s="25" t="str">
        <f>Sites[[#This Row],[SOL'#]]</f>
        <v>SOL-11003</v>
      </c>
      <c r="D82" s="20"/>
      <c r="E82" s="10"/>
      <c r="F82" s="10" t="str">
        <f t="shared" si="4"/>
        <v/>
      </c>
      <c r="G82" s="11" t="str">
        <f t="shared" si="7"/>
        <v/>
      </c>
      <c r="H82" s="12"/>
      <c r="I82" s="12" t="str">
        <f t="shared" si="5"/>
        <v/>
      </c>
      <c r="J82" s="13" t="str">
        <f t="shared" si="6"/>
        <v/>
      </c>
      <c r="K82" s="37"/>
      <c r="L82" s="37"/>
    </row>
    <row r="83" spans="1:12" ht="15.75">
      <c r="A83" s="26" t="str">
        <v>Telegraph 2</v>
      </c>
      <c r="B83" s="27" t="str">
        <v>NY</v>
      </c>
      <c r="C83" s="25" t="str">
        <f>Sites[[#This Row],[SOL'#]]</f>
        <v>SOL-11004</v>
      </c>
      <c r="D83" s="9"/>
      <c r="E83" s="14"/>
      <c r="F83" s="14" t="str">
        <f t="shared" si="4"/>
        <v/>
      </c>
      <c r="G83" s="15" t="str">
        <f t="shared" si="7"/>
        <v/>
      </c>
      <c r="H83" s="16"/>
      <c r="I83" s="16" t="str">
        <f t="shared" si="5"/>
        <v/>
      </c>
      <c r="J83" s="15" t="str">
        <f t="shared" si="6"/>
        <v/>
      </c>
      <c r="K83" s="38"/>
      <c r="L83" s="100"/>
    </row>
    <row r="84" spans="1:12" ht="15.75">
      <c r="A84" s="24" t="str">
        <v>Cafferty Hill</v>
      </c>
      <c r="B84" s="25" t="str">
        <v>NY</v>
      </c>
      <c r="C84" s="25" t="str">
        <f>Sites[[#This Row],[SOL'#]]</f>
        <v>SOL-10996</v>
      </c>
      <c r="D84" s="20"/>
      <c r="E84" s="10"/>
      <c r="F84" s="10" t="str">
        <f t="shared" si="4"/>
        <v/>
      </c>
      <c r="G84" s="11" t="str">
        <f t="shared" si="7"/>
        <v/>
      </c>
      <c r="H84" s="12"/>
      <c r="I84" s="12" t="str">
        <f t="shared" si="5"/>
        <v/>
      </c>
      <c r="J84" s="13" t="str">
        <f t="shared" si="6"/>
        <v/>
      </c>
      <c r="K84" s="37"/>
      <c r="L84" s="37"/>
    </row>
    <row r="85" spans="1:12" ht="15.75">
      <c r="A85" s="26" t="str">
        <v>Dunkleman</v>
      </c>
      <c r="B85" s="27" t="str">
        <v>NY</v>
      </c>
      <c r="C85" s="25" t="str">
        <f>Sites[[#This Row],[SOL'#]]</f>
        <v>SOL-11008</v>
      </c>
      <c r="D85" s="9"/>
      <c r="E85" s="14"/>
      <c r="F85" s="14" t="str">
        <f t="shared" si="4"/>
        <v/>
      </c>
      <c r="G85" s="15" t="str">
        <f t="shared" si="7"/>
        <v/>
      </c>
      <c r="H85" s="16"/>
      <c r="I85" s="16" t="str">
        <f t="shared" si="5"/>
        <v/>
      </c>
      <c r="J85" s="15" t="str">
        <f t="shared" si="6"/>
        <v/>
      </c>
      <c r="K85" s="38"/>
      <c r="L85" s="85"/>
    </row>
    <row r="86" spans="1:12" ht="47.25" customHeight="1">
      <c r="A86" s="24" t="str">
        <v>Route 19 1</v>
      </c>
      <c r="B86" s="25" t="str">
        <v>NY</v>
      </c>
      <c r="C86" s="25" t="str">
        <f>Sites[[#This Row],[SOL'#]]</f>
        <v>SOL-11001</v>
      </c>
      <c r="D86" s="20"/>
      <c r="E86" s="10"/>
      <c r="F86" s="10" t="str">
        <f t="shared" si="4"/>
        <v/>
      </c>
      <c r="G86" s="11" t="str">
        <f t="shared" si="7"/>
        <v/>
      </c>
      <c r="H86" s="12"/>
      <c r="I86" s="12" t="str">
        <f t="shared" si="5"/>
        <v/>
      </c>
      <c r="J86" s="13" t="str">
        <f t="shared" si="6"/>
        <v/>
      </c>
      <c r="K86" s="37"/>
      <c r="L86" s="37"/>
    </row>
    <row r="87" spans="1:12" ht="15.75">
      <c r="A87" s="26" t="str">
        <v>Route 19 2</v>
      </c>
      <c r="B87" s="27" t="str">
        <v>NY</v>
      </c>
      <c r="C87" s="25" t="str">
        <f>Sites[[#This Row],[SOL'#]]</f>
        <v>SOL-11002</v>
      </c>
      <c r="D87" s="9"/>
      <c r="E87" s="14"/>
      <c r="F87" s="14" t="str">
        <f t="shared" si="4"/>
        <v/>
      </c>
      <c r="G87" s="15" t="str">
        <f t="shared" si="7"/>
        <v/>
      </c>
      <c r="H87" s="16"/>
      <c r="I87" s="16" t="str">
        <f t="shared" si="5"/>
        <v/>
      </c>
      <c r="J87" s="15" t="str">
        <f t="shared" si="6"/>
        <v/>
      </c>
      <c r="K87" s="38"/>
      <c r="L87" s="100"/>
    </row>
    <row r="88" spans="1:12" ht="15.75">
      <c r="A88" s="24" t="str">
        <v>Yellow Mills 1</v>
      </c>
      <c r="B88" s="25" t="str">
        <v>NY</v>
      </c>
      <c r="C88" s="25" t="str">
        <f>Sites[[#This Row],[SOL'#]]</f>
        <v>SOL-11006</v>
      </c>
      <c r="D88" s="20"/>
      <c r="E88" s="10"/>
      <c r="F88" s="10" t="str">
        <f t="shared" si="4"/>
        <v/>
      </c>
      <c r="G88" s="11" t="str">
        <f t="shared" si="7"/>
        <v/>
      </c>
      <c r="H88" s="12"/>
      <c r="I88" s="12" t="str">
        <f t="shared" si="5"/>
        <v/>
      </c>
      <c r="J88" s="13" t="str">
        <f t="shared" si="6"/>
        <v/>
      </c>
      <c r="K88" s="37"/>
      <c r="L88" s="37"/>
    </row>
    <row r="89" spans="1:12" ht="15.75">
      <c r="A89" s="26" t="str">
        <v>Yellow Mills 2</v>
      </c>
      <c r="B89" s="27" t="str">
        <v>NY</v>
      </c>
      <c r="C89" s="25" t="str">
        <f>Sites[[#This Row],[SOL'#]]</f>
        <v>SOL-11005</v>
      </c>
      <c r="D89" s="9"/>
      <c r="E89" s="14"/>
      <c r="F89" s="14" t="str">
        <f t="shared" si="4"/>
        <v/>
      </c>
      <c r="G89" s="15" t="str">
        <f t="shared" si="7"/>
        <v/>
      </c>
      <c r="H89" s="16"/>
      <c r="I89" s="16" t="str">
        <f t="shared" si="5"/>
        <v/>
      </c>
      <c r="J89" s="15" t="str">
        <f t="shared" si="6"/>
        <v/>
      </c>
      <c r="K89" s="38"/>
      <c r="L89" s="38"/>
    </row>
    <row r="90" spans="1:12" ht="15.75">
      <c r="A90" s="24" t="str">
        <v>Yellow Mills 3</v>
      </c>
      <c r="B90" s="25" t="str">
        <v>NY</v>
      </c>
      <c r="C90" s="25" t="str">
        <f>Sites[[#This Row],[SOL'#]]</f>
        <v>SOL-11007</v>
      </c>
      <c r="D90" s="20"/>
      <c r="E90" s="10"/>
      <c r="F90" s="10" t="str">
        <f t="shared" si="4"/>
        <v/>
      </c>
      <c r="G90" s="11" t="str">
        <f t="shared" si="7"/>
        <v/>
      </c>
      <c r="H90" s="12"/>
      <c r="I90" s="12" t="str">
        <f t="shared" si="5"/>
        <v/>
      </c>
      <c r="J90" s="13" t="str">
        <f t="shared" si="6"/>
        <v/>
      </c>
      <c r="K90" s="37"/>
      <c r="L90" s="37"/>
    </row>
    <row r="91" spans="1:12" ht="15.75">
      <c r="A91" s="26" t="str">
        <v>Catskill</v>
      </c>
      <c r="B91" s="27" t="str">
        <v>NY</v>
      </c>
      <c r="C91" s="25" t="str">
        <f>Sites[[#This Row],[SOL'#]]</f>
        <v>SOL-11021</v>
      </c>
      <c r="D91" s="9"/>
      <c r="E91" s="14"/>
      <c r="F91" s="14" t="str">
        <f t="shared" si="4"/>
        <v/>
      </c>
      <c r="G91" s="15" t="str">
        <f t="shared" si="7"/>
        <v/>
      </c>
      <c r="H91" s="16"/>
      <c r="I91" s="16" t="str">
        <f t="shared" si="5"/>
        <v/>
      </c>
      <c r="J91" s="15" t="str">
        <f t="shared" si="6"/>
        <v/>
      </c>
      <c r="K91" s="38"/>
      <c r="L91" s="38"/>
    </row>
    <row r="92" spans="1:12" ht="15.75">
      <c r="A92" s="24" t="str">
        <v>Eddy Ridge</v>
      </c>
      <c r="B92" s="25" t="str">
        <v>NY</v>
      </c>
      <c r="C92" s="25" t="str">
        <f>Sites[[#This Row],[SOL'#]]</f>
        <v>SOL-11054</v>
      </c>
      <c r="D92" s="20"/>
      <c r="E92" s="10"/>
      <c r="F92" s="10" t="str">
        <f t="shared" si="4"/>
        <v/>
      </c>
      <c r="G92" s="11" t="str">
        <f t="shared" si="7"/>
        <v/>
      </c>
      <c r="H92" s="12"/>
      <c r="I92" s="12" t="str">
        <f t="shared" si="5"/>
        <v/>
      </c>
      <c r="J92" s="13" t="str">
        <f t="shared" si="6"/>
        <v/>
      </c>
      <c r="K92" s="37"/>
      <c r="L92" s="37"/>
    </row>
    <row r="93" spans="1:12" ht="15.75">
      <c r="A93" s="26" t="str">
        <v>Ridgeway #1</v>
      </c>
      <c r="B93" s="27" t="str">
        <v>NY</v>
      </c>
      <c r="C93" s="25" t="str">
        <f>Sites[[#This Row],[SOL'#]]</f>
        <v>SOL-11018</v>
      </c>
      <c r="D93" s="9"/>
      <c r="E93" s="14"/>
      <c r="F93" s="14" t="str">
        <f t="shared" si="4"/>
        <v/>
      </c>
      <c r="G93" s="15" t="str">
        <f t="shared" si="7"/>
        <v/>
      </c>
      <c r="H93" s="16"/>
      <c r="I93" s="16" t="str">
        <f t="shared" si="5"/>
        <v/>
      </c>
      <c r="J93" s="15" t="str">
        <f t="shared" si="6"/>
        <v/>
      </c>
      <c r="K93" s="38"/>
      <c r="L93" s="51"/>
    </row>
    <row r="94" spans="1:12" ht="15.75">
      <c r="A94" s="24" t="str">
        <v>Rivard 1</v>
      </c>
      <c r="B94" s="25" t="str">
        <v>NY</v>
      </c>
      <c r="C94" s="25" t="str">
        <f>Sites[[#This Row],[SOL'#]]</f>
        <v>SOL-11011</v>
      </c>
      <c r="D94" s="20"/>
      <c r="E94" s="10"/>
      <c r="F94" s="10" t="str">
        <f t="shared" si="4"/>
        <v/>
      </c>
      <c r="G94" s="11" t="str">
        <f t="shared" si="7"/>
        <v/>
      </c>
      <c r="H94" s="12"/>
      <c r="I94" s="12" t="str">
        <f t="shared" si="5"/>
        <v/>
      </c>
      <c r="J94" s="13" t="str">
        <f t="shared" si="6"/>
        <v/>
      </c>
      <c r="K94" s="37"/>
      <c r="L94" s="37"/>
    </row>
    <row r="95" spans="1:12" ht="15.75">
      <c r="A95" s="26" t="str">
        <v>Rivard 2</v>
      </c>
      <c r="B95" s="27" t="str">
        <v>NY</v>
      </c>
      <c r="C95" s="25" t="str">
        <f>Sites[[#This Row],[SOL'#]]</f>
        <v>SOL-11012</v>
      </c>
      <c r="D95" s="9"/>
      <c r="E95" s="14"/>
      <c r="F95" s="14" t="str">
        <f t="shared" si="4"/>
        <v/>
      </c>
      <c r="G95" s="15" t="str">
        <f t="shared" si="7"/>
        <v/>
      </c>
      <c r="H95" s="16"/>
      <c r="I95" s="16" t="str">
        <f t="shared" si="5"/>
        <v/>
      </c>
      <c r="J95" s="15" t="str">
        <f t="shared" si="6"/>
        <v/>
      </c>
      <c r="K95" s="38"/>
      <c r="L95" s="38"/>
    </row>
    <row r="96" spans="1:12" ht="15.75">
      <c r="A96" s="24" t="str">
        <v>Ridgeway #2</v>
      </c>
      <c r="B96" s="25" t="str">
        <v>NY</v>
      </c>
      <c r="C96" s="25" t="str">
        <f>Sites[[#This Row],[SOL'#]]</f>
        <v>SOL-11027</v>
      </c>
      <c r="D96" s="20"/>
      <c r="E96" s="10"/>
      <c r="F96" s="10" t="str">
        <f t="shared" si="4"/>
        <v/>
      </c>
      <c r="G96" s="11" t="str">
        <f t="shared" si="7"/>
        <v/>
      </c>
      <c r="H96" s="12"/>
      <c r="I96" s="12" t="str">
        <f t="shared" si="5"/>
        <v/>
      </c>
      <c r="J96" s="13" t="str">
        <f t="shared" si="6"/>
        <v/>
      </c>
      <c r="K96" s="37"/>
      <c r="L96" s="37"/>
    </row>
    <row r="97" spans="1:12" ht="15.75">
      <c r="A97" s="26" t="str">
        <v>Spencer</v>
      </c>
      <c r="B97" s="27" t="str">
        <v>NY</v>
      </c>
      <c r="C97" s="25" t="str">
        <f>Sites[[#This Row],[SOL'#]]</f>
        <v>SOL-11017</v>
      </c>
      <c r="D97" s="9"/>
      <c r="E97" s="14"/>
      <c r="F97" s="14" t="str">
        <f t="shared" si="4"/>
        <v/>
      </c>
      <c r="G97" s="15" t="str">
        <f t="shared" si="7"/>
        <v/>
      </c>
      <c r="H97" s="16"/>
      <c r="I97" s="16" t="str">
        <f t="shared" si="5"/>
        <v/>
      </c>
      <c r="J97" s="15" t="str">
        <f t="shared" si="6"/>
        <v/>
      </c>
      <c r="K97" s="38"/>
      <c r="L97" s="38"/>
    </row>
    <row r="98" spans="1:12" ht="15.75">
      <c r="A98" s="24" t="str">
        <v>Reisender</v>
      </c>
      <c r="B98" s="25" t="str">
        <v>NY</v>
      </c>
      <c r="C98" s="25" t="str">
        <f>Sites[[#This Row],[SOL'#]]</f>
        <v>SOL-10886</v>
      </c>
      <c r="D98" s="20"/>
      <c r="E98" s="10"/>
      <c r="F98" s="10" t="str">
        <f t="shared" si="4"/>
        <v/>
      </c>
      <c r="G98" s="11" t="str">
        <f t="shared" si="7"/>
        <v/>
      </c>
      <c r="H98" s="12"/>
      <c r="I98" s="12" t="str">
        <f t="shared" si="5"/>
        <v/>
      </c>
      <c r="J98" s="13" t="str">
        <f t="shared" si="6"/>
        <v/>
      </c>
      <c r="K98" s="37"/>
      <c r="L98" s="37"/>
    </row>
    <row r="99" spans="1:12" ht="15.75">
      <c r="A99" s="26" t="str">
        <v>Finney</v>
      </c>
      <c r="B99" s="27" t="str">
        <v>NY</v>
      </c>
      <c r="C99" s="25" t="str">
        <f>Sites[[#This Row],[SOL'#]]</f>
        <v>SOL-10999</v>
      </c>
      <c r="D99" s="9"/>
      <c r="E99" s="14"/>
      <c r="F99" s="14" t="str">
        <f t="shared" si="4"/>
        <v/>
      </c>
      <c r="G99" s="15" t="str">
        <f t="shared" si="7"/>
        <v/>
      </c>
      <c r="H99" s="16"/>
      <c r="I99" s="16" t="str">
        <f t="shared" si="5"/>
        <v/>
      </c>
      <c r="J99" s="15" t="str">
        <f t="shared" si="6"/>
        <v/>
      </c>
      <c r="K99" s="51"/>
      <c r="L99" s="51"/>
    </row>
    <row r="100" spans="1:12" ht="15.75">
      <c r="A100" s="24" t="str">
        <v>Davis Solar</v>
      </c>
      <c r="B100" s="25" t="str">
        <v>NY</v>
      </c>
      <c r="C100" s="25" t="str">
        <f>Sites[[#This Row],[SOL'#]]</f>
        <v>SOL-10958</v>
      </c>
      <c r="D100" s="20"/>
      <c r="E100" s="10"/>
      <c r="F100" s="10" t="str">
        <f t="shared" si="4"/>
        <v/>
      </c>
      <c r="G100" s="11" t="str">
        <f t="shared" si="7"/>
        <v/>
      </c>
      <c r="H100" s="12"/>
      <c r="I100" s="12" t="str">
        <f t="shared" si="5"/>
        <v/>
      </c>
      <c r="J100" s="13" t="str">
        <f t="shared" si="6"/>
        <v/>
      </c>
      <c r="K100" s="37"/>
      <c r="L100" s="37"/>
    </row>
    <row r="101" spans="1:12" ht="15.75">
      <c r="A101" s="26" t="str">
        <v>Genesee</v>
      </c>
      <c r="B101" s="27" t="str">
        <v>NY</v>
      </c>
      <c r="C101" s="25" t="str">
        <f>Sites[[#This Row],[SOL'#]]</f>
        <v>SOL-10951</v>
      </c>
      <c r="D101" s="9"/>
      <c r="E101" s="14"/>
      <c r="F101" s="14" t="str">
        <f t="shared" si="4"/>
        <v/>
      </c>
      <c r="G101" s="15" t="str">
        <f t="shared" si="7"/>
        <v/>
      </c>
      <c r="H101" s="16"/>
      <c r="I101" s="16" t="str">
        <f t="shared" si="5"/>
        <v/>
      </c>
      <c r="J101" s="15" t="str">
        <f t="shared" si="6"/>
        <v/>
      </c>
      <c r="K101" s="38"/>
      <c r="L101" s="51"/>
    </row>
    <row r="102" spans="1:12" ht="15.75">
      <c r="A102" s="24" t="str">
        <v>Landau I</v>
      </c>
      <c r="B102" s="25" t="str">
        <v>NY</v>
      </c>
      <c r="C102" s="25" t="str">
        <f>Sites[[#This Row],[SOL'#]]</f>
        <v>SOL-10891</v>
      </c>
      <c r="D102" s="20"/>
      <c r="E102" s="10"/>
      <c r="F102" s="10" t="str">
        <f t="shared" si="4"/>
        <v/>
      </c>
      <c r="G102" s="11" t="str">
        <f t="shared" si="7"/>
        <v/>
      </c>
      <c r="H102" s="12"/>
      <c r="I102" s="12" t="str">
        <f t="shared" si="5"/>
        <v/>
      </c>
      <c r="J102" s="13" t="str">
        <f t="shared" si="6"/>
        <v/>
      </c>
      <c r="K102" s="37"/>
      <c r="L102" s="37"/>
    </row>
    <row r="103" spans="1:12" ht="15.75">
      <c r="A103" s="26" t="str">
        <v>Landau II</v>
      </c>
      <c r="B103" s="27" t="str">
        <v>NY</v>
      </c>
      <c r="C103" s="25" t="str">
        <f>Sites[[#This Row],[SOL'#]]</f>
        <v>SOL-10895</v>
      </c>
      <c r="D103" s="9"/>
      <c r="E103" s="14"/>
      <c r="F103" s="14" t="str">
        <f t="shared" si="4"/>
        <v/>
      </c>
      <c r="G103" s="15" t="str">
        <f t="shared" si="7"/>
        <v/>
      </c>
      <c r="H103" s="16"/>
      <c r="I103" s="16" t="str">
        <f t="shared" si="5"/>
        <v/>
      </c>
      <c r="J103" s="15" t="str">
        <f t="shared" si="6"/>
        <v/>
      </c>
      <c r="K103" s="38"/>
      <c r="L103" s="51"/>
    </row>
    <row r="104" spans="1:12" ht="15.75">
      <c r="A104" s="24" t="str">
        <v>New Beginnings</v>
      </c>
      <c r="B104" s="25" t="str">
        <v>NY</v>
      </c>
      <c r="C104" s="25" t="str">
        <f>Sites[[#This Row],[SOL'#]]</f>
        <v>SOL-10890</v>
      </c>
      <c r="D104" s="20"/>
      <c r="E104" s="10"/>
      <c r="F104" s="10" t="str">
        <f t="shared" si="4"/>
        <v/>
      </c>
      <c r="G104" s="11" t="str">
        <f t="shared" si="7"/>
        <v/>
      </c>
      <c r="H104" s="12"/>
      <c r="I104" s="12" t="str">
        <f t="shared" si="5"/>
        <v/>
      </c>
      <c r="J104" s="13" t="str">
        <f t="shared" si="6"/>
        <v/>
      </c>
      <c r="K104" s="37"/>
      <c r="L104" s="37"/>
    </row>
    <row r="105" spans="1:12" ht="15.75">
      <c r="A105" s="26" t="str">
        <v>Bullitt Farm Solar, LLC</v>
      </c>
      <c r="B105" s="27" t="str">
        <v>NY</v>
      </c>
      <c r="C105" s="25" t="str">
        <f>Sites[[#This Row],[SOL'#]]</f>
        <v>SOL-10998</v>
      </c>
      <c r="D105" s="9"/>
      <c r="E105" s="14"/>
      <c r="F105" s="14" t="str">
        <f t="shared" si="4"/>
        <v/>
      </c>
      <c r="G105" s="15" t="str">
        <f t="shared" si="7"/>
        <v/>
      </c>
      <c r="H105" s="16"/>
      <c r="I105" s="16" t="str">
        <f t="shared" si="5"/>
        <v/>
      </c>
      <c r="J105" s="15" t="str">
        <f t="shared" si="6"/>
        <v/>
      </c>
      <c r="K105" s="38"/>
      <c r="L105" s="38"/>
    </row>
    <row r="106" spans="1:12" ht="15.75">
      <c r="A106" s="24" t="str">
        <v>Brodhead Solar, LLC</v>
      </c>
      <c r="B106" s="25" t="str">
        <v>NY</v>
      </c>
      <c r="C106" s="25" t="str">
        <f>Sites[[#This Row],[SOL'#]]</f>
        <v>SOL-10899</v>
      </c>
      <c r="D106" s="20"/>
      <c r="E106" s="10"/>
      <c r="F106" s="10" t="str">
        <f t="shared" si="4"/>
        <v/>
      </c>
      <c r="G106" s="11" t="str">
        <f t="shared" si="7"/>
        <v/>
      </c>
      <c r="H106" s="12"/>
      <c r="I106" s="12" t="str">
        <f t="shared" si="5"/>
        <v/>
      </c>
      <c r="J106" s="13" t="str">
        <f t="shared" si="6"/>
        <v/>
      </c>
      <c r="K106" s="37"/>
      <c r="L106" s="37"/>
    </row>
    <row r="107" spans="1:12" ht="15.75">
      <c r="A107" s="26" t="str">
        <v>Svenski</v>
      </c>
      <c r="B107" s="27" t="str">
        <v>NY</v>
      </c>
      <c r="C107" s="25" t="str">
        <f>Sites[[#This Row],[SOL'#]]</f>
        <v>SOL-10894</v>
      </c>
      <c r="D107" s="9"/>
      <c r="E107" s="14"/>
      <c r="F107" s="14" t="str">
        <f t="shared" si="4"/>
        <v/>
      </c>
      <c r="G107" s="15" t="str">
        <f t="shared" si="7"/>
        <v/>
      </c>
      <c r="H107" s="16"/>
      <c r="I107" s="16" t="str">
        <f t="shared" si="5"/>
        <v/>
      </c>
      <c r="J107" s="15" t="str">
        <f t="shared" si="6"/>
        <v/>
      </c>
      <c r="K107" s="38"/>
      <c r="L107" s="51"/>
    </row>
    <row r="108" spans="1:12" ht="15.75">
      <c r="A108" s="24" t="str">
        <v>Bantam</v>
      </c>
      <c r="B108" s="25" t="str">
        <v>NY</v>
      </c>
      <c r="C108" s="25" t="str">
        <f>Sites[[#This Row],[SOL'#]]</f>
        <v>SOL-10986</v>
      </c>
      <c r="D108" s="20"/>
      <c r="E108" s="10"/>
      <c r="F108" s="10" t="str">
        <f t="shared" si="4"/>
        <v/>
      </c>
      <c r="G108" s="11" t="str">
        <f t="shared" si="7"/>
        <v/>
      </c>
      <c r="H108" s="12"/>
      <c r="I108" s="12" t="str">
        <f t="shared" si="5"/>
        <v/>
      </c>
      <c r="J108" s="13" t="str">
        <f t="shared" si="6"/>
        <v/>
      </c>
      <c r="K108" s="37"/>
      <c r="L108" s="37"/>
    </row>
    <row r="109" spans="1:12" ht="15.75">
      <c r="A109" s="26" t="str">
        <v>Bogart</v>
      </c>
      <c r="B109" s="27" t="str">
        <v>NY</v>
      </c>
      <c r="C109" s="25" t="str">
        <f>Sites[[#This Row],[SOL'#]]</f>
        <v>SOL-10887</v>
      </c>
      <c r="D109" s="9"/>
      <c r="E109" s="14"/>
      <c r="F109" s="14" t="str">
        <f t="shared" si="4"/>
        <v/>
      </c>
      <c r="G109" s="15" t="str">
        <f t="shared" si="7"/>
        <v/>
      </c>
      <c r="H109" s="16"/>
      <c r="I109" s="16" t="str">
        <f t="shared" si="5"/>
        <v/>
      </c>
      <c r="J109" s="15" t="str">
        <f t="shared" si="6"/>
        <v/>
      </c>
      <c r="K109" s="38"/>
      <c r="L109" s="51"/>
    </row>
    <row r="110" spans="1:12" ht="15.75">
      <c r="A110" s="24" t="str">
        <v>Dubois</v>
      </c>
      <c r="B110" s="25" t="str">
        <v>NY</v>
      </c>
      <c r="C110" s="25" t="str">
        <f>Sites[[#This Row],[SOL'#]]</f>
        <v>SOL-10892</v>
      </c>
      <c r="D110" s="20"/>
      <c r="E110" s="10"/>
      <c r="F110" s="10" t="str">
        <f t="shared" si="4"/>
        <v/>
      </c>
      <c r="G110" s="11" t="str">
        <f t="shared" si="7"/>
        <v/>
      </c>
      <c r="H110" s="12"/>
      <c r="I110" s="12" t="str">
        <f t="shared" si="5"/>
        <v/>
      </c>
      <c r="J110" s="13" t="str">
        <f t="shared" si="6"/>
        <v/>
      </c>
      <c r="K110" s="37"/>
      <c r="L110" s="37"/>
    </row>
    <row r="111" spans="1:12" ht="15.75">
      <c r="A111" s="26" t="str">
        <v>Salt Point</v>
      </c>
      <c r="B111" s="27" t="str">
        <v>NY</v>
      </c>
      <c r="C111" s="25" t="str">
        <f>Sites[[#This Row],[SOL'#]]</f>
        <v>SOL-10888</v>
      </c>
      <c r="D111" s="9"/>
      <c r="E111" s="14"/>
      <c r="F111" s="14" t="str">
        <f t="shared" si="4"/>
        <v/>
      </c>
      <c r="G111" s="15" t="str">
        <f t="shared" si="7"/>
        <v/>
      </c>
      <c r="H111" s="16"/>
      <c r="I111" s="16" t="str">
        <f t="shared" si="5"/>
        <v/>
      </c>
      <c r="J111" s="15" t="str">
        <f t="shared" si="6"/>
        <v/>
      </c>
      <c r="K111" s="38"/>
      <c r="L111" s="38"/>
    </row>
    <row r="112" spans="1:12" ht="15.75">
      <c r="A112" s="24" t="str">
        <v>Wheatland 2A</v>
      </c>
      <c r="B112" s="25" t="str">
        <v>NY</v>
      </c>
      <c r="C112" s="25" t="str">
        <f>Sites[[#This Row],[SOL'#]]</f>
        <v>SOL-10971</v>
      </c>
      <c r="D112" s="20"/>
      <c r="E112" s="10"/>
      <c r="F112" s="10" t="str">
        <f t="shared" si="4"/>
        <v/>
      </c>
      <c r="G112" s="11" t="str">
        <f t="shared" si="7"/>
        <v/>
      </c>
      <c r="H112" s="12"/>
      <c r="I112" s="12" t="str">
        <f t="shared" si="5"/>
        <v/>
      </c>
      <c r="J112" s="13" t="str">
        <f t="shared" si="6"/>
        <v/>
      </c>
      <c r="K112" s="37"/>
      <c r="L112" s="37"/>
    </row>
    <row r="113" spans="1:12" ht="15.75">
      <c r="A113" s="26" t="str">
        <v>Wheatland 2B</v>
      </c>
      <c r="B113" s="27" t="str">
        <v>NY</v>
      </c>
      <c r="C113" s="25" t="str">
        <f>Sites[[#This Row],[SOL'#]]</f>
        <v>SOL-10961</v>
      </c>
      <c r="D113" s="9"/>
      <c r="E113" s="14"/>
      <c r="F113" s="14" t="str">
        <f t="shared" si="4"/>
        <v/>
      </c>
      <c r="G113" s="15" t="str">
        <f t="shared" si="7"/>
        <v/>
      </c>
      <c r="H113" s="16"/>
      <c r="I113" s="16" t="str">
        <f t="shared" si="5"/>
        <v/>
      </c>
      <c r="J113" s="15" t="str">
        <f t="shared" si="6"/>
        <v/>
      </c>
      <c r="K113" s="38"/>
      <c r="L113" s="38"/>
    </row>
    <row r="114" spans="1:12" ht="15.75">
      <c r="A114" s="24" t="str">
        <v>Brickchurch</v>
      </c>
      <c r="B114" s="25" t="str">
        <v>NY</v>
      </c>
      <c r="C114" s="25" t="str">
        <f>Sites[[#This Row],[SOL'#]]</f>
        <v>SOL-10889</v>
      </c>
      <c r="D114" s="20"/>
      <c r="E114" s="10"/>
      <c r="F114" s="10" t="str">
        <f t="shared" si="4"/>
        <v/>
      </c>
      <c r="G114" s="11" t="str">
        <f t="shared" si="7"/>
        <v/>
      </c>
      <c r="H114" s="12"/>
      <c r="I114" s="12" t="str">
        <f t="shared" si="5"/>
        <v/>
      </c>
      <c r="J114" s="13" t="str">
        <f t="shared" si="6"/>
        <v/>
      </c>
      <c r="K114" s="37"/>
      <c r="L114" s="37"/>
    </row>
    <row r="115" spans="1:12" ht="15.75">
      <c r="A115" s="26" t="str">
        <v>McCarthy Solar</v>
      </c>
      <c r="B115" s="27" t="str">
        <v>NY</v>
      </c>
      <c r="C115" s="25" t="str">
        <f>Sites[[#This Row],[SOL'#]]</f>
        <v>SOL-10992</v>
      </c>
      <c r="D115" s="9"/>
      <c r="E115" s="14"/>
      <c r="F115" s="14" t="str">
        <f t="shared" si="4"/>
        <v/>
      </c>
      <c r="G115" s="15" t="str">
        <f t="shared" si="7"/>
        <v/>
      </c>
      <c r="H115" s="16"/>
      <c r="I115" s="16" t="str">
        <f t="shared" si="5"/>
        <v/>
      </c>
      <c r="J115" s="15" t="str">
        <f t="shared" si="6"/>
        <v/>
      </c>
      <c r="K115" s="38"/>
      <c r="L115" s="38"/>
    </row>
    <row r="116" spans="1:12" ht="15.75">
      <c r="A116" s="24" t="str">
        <v>Costanza</v>
      </c>
      <c r="B116" s="25" t="str">
        <v>NY</v>
      </c>
      <c r="C116" s="25" t="str">
        <f>Sites[[#This Row],[SOL'#]]</f>
        <v>SOL-10907</v>
      </c>
      <c r="D116" s="20"/>
      <c r="E116" s="10"/>
      <c r="F116" s="10" t="str">
        <f t="shared" si="4"/>
        <v/>
      </c>
      <c r="G116" s="11" t="str">
        <f t="shared" si="7"/>
        <v/>
      </c>
      <c r="H116" s="12"/>
      <c r="I116" s="12" t="str">
        <f t="shared" si="5"/>
        <v/>
      </c>
      <c r="J116" s="13" t="str">
        <f t="shared" si="6"/>
        <v/>
      </c>
      <c r="K116" s="37"/>
      <c r="L116" s="37"/>
    </row>
    <row r="117" spans="1:12" ht="15.75">
      <c r="A117" s="26" t="str">
        <v>Lockenhurst Pond</v>
      </c>
      <c r="B117" s="27" t="str">
        <v>NY</v>
      </c>
      <c r="C117" s="25" t="str">
        <f>Sites[[#This Row],[SOL'#]]</f>
        <v>SOL-11000</v>
      </c>
      <c r="D117" s="9"/>
      <c r="E117" s="14"/>
      <c r="F117" s="14" t="str">
        <f t="shared" si="4"/>
        <v/>
      </c>
      <c r="G117" s="15" t="str">
        <f t="shared" si="7"/>
        <v/>
      </c>
      <c r="H117" s="16"/>
      <c r="I117" s="16" t="str">
        <f t="shared" si="5"/>
        <v/>
      </c>
      <c r="J117" s="15" t="str">
        <f t="shared" si="6"/>
        <v/>
      </c>
      <c r="K117" s="38"/>
      <c r="L117" s="38"/>
    </row>
    <row r="118" spans="1:12" ht="15.75">
      <c r="A118" s="24" t="str">
        <v>Drinkwater</v>
      </c>
      <c r="B118" s="25" t="str">
        <v>NY</v>
      </c>
      <c r="C118" s="25" t="str">
        <f>Sites[[#This Row],[SOL'#]]</f>
        <v>SOL-10896</v>
      </c>
      <c r="D118" s="20"/>
      <c r="E118" s="10"/>
      <c r="F118" s="10" t="str">
        <f t="shared" si="4"/>
        <v/>
      </c>
      <c r="G118" s="11" t="str">
        <f t="shared" si="7"/>
        <v/>
      </c>
      <c r="H118" s="12"/>
      <c r="I118" s="12" t="str">
        <f t="shared" si="5"/>
        <v/>
      </c>
      <c r="J118" s="13" t="str">
        <f t="shared" si="6"/>
        <v/>
      </c>
      <c r="K118" s="37"/>
      <c r="L118" s="37"/>
    </row>
    <row r="119" spans="1:12" ht="15.75">
      <c r="A119" s="26" t="str">
        <v>Altamont</v>
      </c>
      <c r="B119" s="27" t="str">
        <v>NY</v>
      </c>
      <c r="C119" s="25" t="str">
        <f>Sites[[#This Row],[SOL'#]]</f>
        <v>SOL-11085</v>
      </c>
      <c r="D119" s="9"/>
      <c r="E119" s="14"/>
      <c r="F119" s="14" t="str">
        <f t="shared" si="4"/>
        <v/>
      </c>
      <c r="G119" s="15" t="str">
        <f t="shared" si="7"/>
        <v/>
      </c>
      <c r="H119" s="16"/>
      <c r="I119" s="16" t="str">
        <f t="shared" si="5"/>
        <v/>
      </c>
      <c r="J119" s="15" t="str">
        <f t="shared" si="6"/>
        <v/>
      </c>
      <c r="K119" s="38"/>
      <c r="L119" s="85"/>
    </row>
    <row r="120" spans="1:12" ht="15.75">
      <c r="A120" s="24" t="str">
        <v>Krumkill North</v>
      </c>
      <c r="B120" s="25" t="str">
        <v>NY</v>
      </c>
      <c r="C120" s="25" t="str">
        <f>Sites[[#This Row],[SOL'#]]</f>
        <v>SOL-11086</v>
      </c>
      <c r="D120" s="20"/>
      <c r="E120" s="10"/>
      <c r="F120" s="10" t="str">
        <f t="shared" si="4"/>
        <v/>
      </c>
      <c r="G120" s="11" t="str">
        <f t="shared" si="7"/>
        <v/>
      </c>
      <c r="H120" s="12"/>
      <c r="I120" s="12" t="str">
        <f t="shared" si="5"/>
        <v/>
      </c>
      <c r="J120" s="13" t="str">
        <f t="shared" si="6"/>
        <v/>
      </c>
      <c r="K120" s="37"/>
      <c r="L120" s="37"/>
    </row>
    <row r="121" spans="1:12" ht="15.75">
      <c r="A121" s="26" t="str">
        <v>Krumkill South</v>
      </c>
      <c r="B121" s="27" t="str">
        <v>NY</v>
      </c>
      <c r="C121" s="25" t="str">
        <f>Sites[[#This Row],[SOL'#]]</f>
        <v>SOL-11087</v>
      </c>
      <c r="D121" s="9"/>
      <c r="E121" s="14"/>
      <c r="F121" s="14" t="str">
        <f t="shared" si="4"/>
        <v/>
      </c>
      <c r="G121" s="15" t="str">
        <f t="shared" si="7"/>
        <v/>
      </c>
      <c r="H121" s="16"/>
      <c r="I121" s="16" t="str">
        <f t="shared" si="5"/>
        <v/>
      </c>
      <c r="J121" s="15" t="str">
        <f t="shared" si="6"/>
        <v/>
      </c>
      <c r="K121" s="50"/>
      <c r="L121" s="38"/>
    </row>
    <row r="122" spans="1:12" ht="15.75">
      <c r="A122" s="24" t="str">
        <v>X092</v>
      </c>
      <c r="B122" s="25" t="str">
        <v>NY</v>
      </c>
      <c r="C122" s="25" t="str">
        <f>Sites[[#This Row],[SOL'#]]</f>
        <v>SOL-11189</v>
      </c>
      <c r="D122" s="20"/>
      <c r="E122" s="10"/>
      <c r="F122" s="10" t="str">
        <f t="shared" si="4"/>
        <v/>
      </c>
      <c r="G122" s="11" t="str">
        <f t="shared" si="7"/>
        <v/>
      </c>
      <c r="H122" s="12"/>
      <c r="I122" s="12" t="str">
        <f t="shared" si="5"/>
        <v/>
      </c>
      <c r="J122" s="13" t="str">
        <f t="shared" si="6"/>
        <v/>
      </c>
      <c r="K122" s="37"/>
      <c r="L122" s="37"/>
    </row>
    <row r="123" spans="1:12" ht="15.75">
      <c r="A123" s="26" t="str">
        <v>X093</v>
      </c>
      <c r="B123" s="27" t="str">
        <v>NY</v>
      </c>
      <c r="C123" s="25" t="str">
        <f>Sites[[#This Row],[SOL'#]]</f>
        <v>SOL-10932</v>
      </c>
      <c r="D123" s="9"/>
      <c r="E123" s="14"/>
      <c r="F123" s="14" t="str">
        <f t="shared" si="4"/>
        <v/>
      </c>
      <c r="G123" s="15" t="str">
        <f t="shared" si="7"/>
        <v/>
      </c>
      <c r="H123" s="16"/>
      <c r="I123" s="16" t="str">
        <f t="shared" si="5"/>
        <v/>
      </c>
      <c r="J123" s="15" t="str">
        <f t="shared" si="6"/>
        <v/>
      </c>
      <c r="K123" s="38"/>
      <c r="L123" s="38"/>
    </row>
    <row r="124" spans="1:12" ht="15.75">
      <c r="A124" s="24" t="str">
        <v>X095</v>
      </c>
      <c r="B124" s="25" t="str">
        <v>NY</v>
      </c>
      <c r="C124" s="25" t="str">
        <f>Sites[[#This Row],[SOL'#]]</f>
        <v>SOL-10929</v>
      </c>
      <c r="D124" s="20"/>
      <c r="E124" s="10"/>
      <c r="F124" s="10" t="str">
        <f t="shared" si="4"/>
        <v/>
      </c>
      <c r="G124" s="11" t="str">
        <f t="shared" si="7"/>
        <v/>
      </c>
      <c r="H124" s="12"/>
      <c r="I124" s="12" t="str">
        <f t="shared" si="5"/>
        <v/>
      </c>
      <c r="J124" s="13" t="str">
        <f t="shared" si="6"/>
        <v/>
      </c>
      <c r="K124" s="37"/>
      <c r="L124" s="37"/>
    </row>
    <row r="125" spans="1:12" ht="15.75">
      <c r="A125" s="26" t="str">
        <v>X181</v>
      </c>
      <c r="B125" s="27" t="str">
        <v>NY</v>
      </c>
      <c r="C125" s="25" t="str">
        <f>Sites[[#This Row],[SOL'#]]</f>
        <v>SOL-10428</v>
      </c>
      <c r="D125" s="9"/>
      <c r="E125" s="14"/>
      <c r="F125" s="14" t="str">
        <f t="shared" si="4"/>
        <v/>
      </c>
      <c r="G125" s="15" t="str">
        <f t="shared" si="7"/>
        <v/>
      </c>
      <c r="H125" s="16"/>
      <c r="I125" s="16" t="str">
        <f t="shared" si="5"/>
        <v/>
      </c>
      <c r="J125" s="15" t="str">
        <f t="shared" si="6"/>
        <v/>
      </c>
      <c r="K125" s="38"/>
      <c r="L125" s="50"/>
    </row>
    <row r="126" spans="1:12" ht="15.75">
      <c r="A126" s="24" t="str">
        <v>X415</v>
      </c>
      <c r="B126" s="25" t="str">
        <v>NY</v>
      </c>
      <c r="C126" s="25" t="str">
        <f>Sites[[#This Row],[SOL'#]]</f>
        <v>SOL-10429</v>
      </c>
      <c r="D126" s="20"/>
      <c r="E126" s="10"/>
      <c r="F126" s="10" t="str">
        <f t="shared" si="4"/>
        <v/>
      </c>
      <c r="G126" s="11" t="str">
        <f t="shared" si="7"/>
        <v/>
      </c>
      <c r="H126" s="12"/>
      <c r="I126" s="12" t="str">
        <f t="shared" si="5"/>
        <v/>
      </c>
      <c r="J126" s="13" t="str">
        <f t="shared" si="6"/>
        <v/>
      </c>
      <c r="K126" s="37"/>
      <c r="L126" s="37"/>
    </row>
    <row r="127" spans="1:12" ht="15.75">
      <c r="A127" s="26" t="str">
        <v>K198</v>
      </c>
      <c r="B127" s="27" t="str">
        <v>NY</v>
      </c>
      <c r="C127" s="25" t="str">
        <f>Sites[[#This Row],[SOL'#]]</f>
        <v>SOL-10930</v>
      </c>
      <c r="D127" s="9"/>
      <c r="E127" s="14"/>
      <c r="F127" s="14" t="str">
        <f t="shared" si="4"/>
        <v/>
      </c>
      <c r="G127" s="15" t="str">
        <f t="shared" si="7"/>
        <v/>
      </c>
      <c r="H127" s="16"/>
      <c r="I127" s="16" t="str">
        <f t="shared" si="5"/>
        <v/>
      </c>
      <c r="J127" s="15" t="str">
        <f t="shared" si="6"/>
        <v/>
      </c>
      <c r="K127" s="38"/>
      <c r="L127" s="86"/>
    </row>
    <row r="128" spans="1:12" ht="15.75">
      <c r="A128" s="24" t="str">
        <v>K203</v>
      </c>
      <c r="B128" s="25" t="str">
        <v>NY</v>
      </c>
      <c r="C128" s="25" t="str">
        <f>Sites[[#This Row],[SOL'#]]</f>
        <v>SOL-11190</v>
      </c>
      <c r="D128" s="20"/>
      <c r="E128" s="10"/>
      <c r="F128" s="10" t="str">
        <f t="shared" si="4"/>
        <v/>
      </c>
      <c r="G128" s="11" t="str">
        <f t="shared" si="7"/>
        <v/>
      </c>
      <c r="H128" s="12"/>
      <c r="I128" s="12" t="str">
        <f t="shared" si="5"/>
        <v/>
      </c>
      <c r="J128" s="13" t="str">
        <f t="shared" si="6"/>
        <v/>
      </c>
      <c r="K128" s="37"/>
      <c r="L128" s="37"/>
    </row>
    <row r="129" spans="1:12" ht="15.75">
      <c r="A129" s="26" t="str">
        <v>K213</v>
      </c>
      <c r="B129" s="27" t="str">
        <v>NY</v>
      </c>
      <c r="C129" s="25" t="str">
        <f>Sites[[#This Row],[SOL'#]]</f>
        <v>SOL-11191</v>
      </c>
      <c r="D129" s="9"/>
      <c r="E129" s="14"/>
      <c r="F129" s="14" t="str">
        <f t="shared" si="4"/>
        <v/>
      </c>
      <c r="G129" s="15" t="str">
        <f t="shared" si="7"/>
        <v/>
      </c>
      <c r="H129" s="16"/>
      <c r="I129" s="16" t="str">
        <f t="shared" si="5"/>
        <v/>
      </c>
      <c r="J129" s="15" t="str">
        <f t="shared" si="6"/>
        <v/>
      </c>
      <c r="K129" s="38"/>
      <c r="L129" s="38"/>
    </row>
    <row r="130" spans="1:12" ht="15.75">
      <c r="A130" s="24" t="str">
        <v>K217</v>
      </c>
      <c r="B130" s="25" t="str">
        <v>NY</v>
      </c>
      <c r="C130" s="25" t="str">
        <f>Sites[[#This Row],[SOL'#]]</f>
        <v>SOL-10933</v>
      </c>
      <c r="D130" s="20"/>
      <c r="E130" s="10"/>
      <c r="F130" s="10" t="str">
        <f t="shared" si="4"/>
        <v/>
      </c>
      <c r="G130" s="11" t="str">
        <f t="shared" si="7"/>
        <v/>
      </c>
      <c r="H130" s="12"/>
      <c r="I130" s="12" t="str">
        <f t="shared" si="5"/>
        <v/>
      </c>
      <c r="J130" s="13" t="str">
        <f t="shared" si="6"/>
        <v/>
      </c>
      <c r="K130" s="37"/>
      <c r="L130" s="37"/>
    </row>
    <row r="131" spans="1:12" ht="15.75">
      <c r="A131" s="26" t="str">
        <v>K307</v>
      </c>
      <c r="B131" s="27" t="str">
        <v>NY</v>
      </c>
      <c r="C131" s="25" t="str">
        <f>Sites[[#This Row],[SOL'#]]</f>
        <v>SOL-10876</v>
      </c>
      <c r="D131" s="9"/>
      <c r="E131" s="14"/>
      <c r="F131" s="14" t="str">
        <f t="shared" si="4"/>
        <v/>
      </c>
      <c r="G131" s="15" t="str">
        <f t="shared" si="7"/>
        <v/>
      </c>
      <c r="H131" s="16"/>
      <c r="I131" s="16" t="str">
        <f t="shared" si="5"/>
        <v/>
      </c>
      <c r="J131" s="15" t="str">
        <f t="shared" si="6"/>
        <v/>
      </c>
      <c r="K131" s="38"/>
      <c r="L131" s="38"/>
    </row>
    <row r="132" spans="1:12" ht="15.75">
      <c r="A132" s="24" t="str">
        <v>K610</v>
      </c>
      <c r="B132" s="25" t="str">
        <v>NY</v>
      </c>
      <c r="C132" s="25" t="str">
        <f>Sites[[#This Row],[SOL'#]]</f>
        <v>SOL-11158</v>
      </c>
      <c r="D132" s="20"/>
      <c r="E132" s="10"/>
      <c r="F132" s="10" t="str">
        <f t="shared" si="4"/>
        <v/>
      </c>
      <c r="G132" s="11" t="str">
        <f t="shared" si="7"/>
        <v/>
      </c>
      <c r="H132" s="12"/>
      <c r="I132" s="12" t="str">
        <f t="shared" si="5"/>
        <v/>
      </c>
      <c r="J132" s="13" t="str">
        <f t="shared" si="6"/>
        <v/>
      </c>
      <c r="K132" s="37"/>
      <c r="L132" s="37"/>
    </row>
    <row r="133" spans="1:12" ht="15.75">
      <c r="A133" s="26" t="str">
        <v>M025</v>
      </c>
      <c r="B133" s="27" t="str">
        <v>NY</v>
      </c>
      <c r="C133" s="25" t="str">
        <f>Sites[[#This Row],[SOL'#]]</f>
        <v>SOL-10392</v>
      </c>
      <c r="D133" s="9"/>
      <c r="E133" s="14"/>
      <c r="F133" s="14" t="str">
        <f t="shared" si="4"/>
        <v/>
      </c>
      <c r="G133" s="15" t="str">
        <f t="shared" si="7"/>
        <v/>
      </c>
      <c r="H133" s="16"/>
      <c r="I133" s="16" t="str">
        <f t="shared" ref="I133:I158" si="8">IF(AND(ISNUMBER(D133),ISNUMBER(H133)), D133-H133, "")</f>
        <v/>
      </c>
      <c r="J133" s="15" t="str">
        <f t="shared" ref="J133:J158" si="9">IFERROR(I133/H133, "")</f>
        <v/>
      </c>
      <c r="K133" s="38"/>
      <c r="L133" s="38"/>
    </row>
    <row r="134" spans="1:12" ht="15.75">
      <c r="A134" s="24" t="str">
        <v>M028</v>
      </c>
      <c r="B134" s="25" t="str">
        <v>NY</v>
      </c>
      <c r="C134" s="25" t="str">
        <f>Sites[[#This Row],[SOL'#]]</f>
        <v>SOL-10381</v>
      </c>
      <c r="D134" s="20"/>
      <c r="E134" s="10"/>
      <c r="F134" s="10" t="str">
        <f t="shared" ref="F134:F158" si="10">IF(AND(ISNUMBER(D134),ISNUMBER(E134)), D134-E134, "")</f>
        <v/>
      </c>
      <c r="G134" s="11" t="str">
        <f t="shared" ref="G134:G158" si="11">IFERROR(F134/E134, "")</f>
        <v/>
      </c>
      <c r="H134" s="12"/>
      <c r="I134" s="12" t="str">
        <f t="shared" si="8"/>
        <v/>
      </c>
      <c r="J134" s="13" t="str">
        <f t="shared" si="9"/>
        <v/>
      </c>
      <c r="K134" s="37"/>
      <c r="L134" s="37"/>
    </row>
    <row r="135" spans="1:12" ht="15.75">
      <c r="A135" s="26" t="str">
        <v>Q030</v>
      </c>
      <c r="B135" s="27" t="str">
        <v>NY</v>
      </c>
      <c r="C135" s="25" t="str">
        <f>Sites[[#This Row],[SOL'#]]</f>
        <v>SOL-10878</v>
      </c>
      <c r="D135" s="9"/>
      <c r="E135" s="14"/>
      <c r="F135" s="14" t="str">
        <f t="shared" si="10"/>
        <v/>
      </c>
      <c r="G135" s="15" t="str">
        <f t="shared" si="11"/>
        <v/>
      </c>
      <c r="H135" s="16"/>
      <c r="I135" s="16" t="str">
        <f t="shared" si="8"/>
        <v/>
      </c>
      <c r="J135" s="15" t="str">
        <f t="shared" si="9"/>
        <v/>
      </c>
      <c r="K135" s="38"/>
      <c r="L135" s="38"/>
    </row>
    <row r="136" spans="1:12" ht="15.75">
      <c r="A136" s="24" t="str">
        <v>Q130</v>
      </c>
      <c r="B136" s="25" t="str">
        <v>NY</v>
      </c>
      <c r="C136" s="25" t="str">
        <f>Sites[[#This Row],[SOL'#]]</f>
        <v>SOL-10877</v>
      </c>
      <c r="D136" s="20"/>
      <c r="E136" s="10"/>
      <c r="F136" s="10" t="str">
        <f t="shared" si="10"/>
        <v/>
      </c>
      <c r="G136" s="11" t="str">
        <f t="shared" si="11"/>
        <v/>
      </c>
      <c r="H136" s="12"/>
      <c r="I136" s="12" t="str">
        <f t="shared" si="8"/>
        <v/>
      </c>
      <c r="J136" s="13" t="str">
        <f t="shared" si="9"/>
        <v/>
      </c>
      <c r="K136" s="37"/>
      <c r="L136" s="37"/>
    </row>
    <row r="137" spans="1:12" ht="15.75">
      <c r="A137" s="26" t="str">
        <v>Q196</v>
      </c>
      <c r="B137" s="27" t="str">
        <v>NY</v>
      </c>
      <c r="C137" s="25" t="str">
        <f>Sites[[#This Row],[SOL'#]]</f>
        <v>SOL-10879</v>
      </c>
      <c r="D137" s="9"/>
      <c r="E137" s="14"/>
      <c r="F137" s="14" t="str">
        <f t="shared" si="10"/>
        <v/>
      </c>
      <c r="G137" s="15" t="str">
        <f t="shared" si="11"/>
        <v/>
      </c>
      <c r="H137" s="16"/>
      <c r="I137" s="16" t="str">
        <f t="shared" si="8"/>
        <v/>
      </c>
      <c r="J137" s="15" t="str">
        <f t="shared" si="9"/>
        <v/>
      </c>
      <c r="K137" s="38"/>
      <c r="L137" s="38"/>
    </row>
    <row r="138" spans="1:12" ht="15.75">
      <c r="A138" s="24" t="str">
        <v>Q220</v>
      </c>
      <c r="B138" s="25" t="str">
        <v>NY</v>
      </c>
      <c r="C138" s="25" t="str">
        <f>Sites[[#This Row],[SOL'#]]</f>
        <v>SOL-10873</v>
      </c>
      <c r="D138" s="20"/>
      <c r="E138" s="10"/>
      <c r="F138" s="10" t="str">
        <f t="shared" si="10"/>
        <v/>
      </c>
      <c r="G138" s="11" t="str">
        <f t="shared" si="11"/>
        <v/>
      </c>
      <c r="H138" s="12"/>
      <c r="I138" s="12" t="str">
        <f t="shared" si="8"/>
        <v/>
      </c>
      <c r="J138" s="13" t="str">
        <f t="shared" si="9"/>
        <v/>
      </c>
      <c r="K138" s="37"/>
      <c r="L138" s="37"/>
    </row>
    <row r="139" spans="1:12" ht="15.75">
      <c r="A139" s="26" t="str">
        <v>Q205</v>
      </c>
      <c r="B139" s="27" t="str">
        <v>NY</v>
      </c>
      <c r="C139" s="25" t="str">
        <f>Sites[[#This Row],[SOL'#]]</f>
        <v>SOL-10922</v>
      </c>
      <c r="D139" s="9"/>
      <c r="E139" s="14"/>
      <c r="F139" s="14" t="str">
        <f t="shared" si="10"/>
        <v/>
      </c>
      <c r="G139" s="15" t="str">
        <f t="shared" si="11"/>
        <v/>
      </c>
      <c r="H139" s="16"/>
      <c r="I139" s="16" t="str">
        <f t="shared" si="8"/>
        <v/>
      </c>
      <c r="J139" s="15" t="str">
        <f t="shared" si="9"/>
        <v/>
      </c>
      <c r="K139" s="38"/>
      <c r="L139" s="100"/>
    </row>
    <row r="140" spans="1:12" ht="15.75">
      <c r="A140" s="28" t="str">
        <v>Q400</v>
      </c>
      <c r="B140" s="25" t="str">
        <v>NY</v>
      </c>
      <c r="C140" s="25" t="str">
        <f>Sites[[#This Row],[SOL'#]]</f>
        <v>SOL-10871</v>
      </c>
      <c r="D140" s="54"/>
      <c r="E140" s="10"/>
      <c r="F140" s="10" t="str">
        <f t="shared" si="10"/>
        <v/>
      </c>
      <c r="G140" s="11" t="str">
        <f t="shared" si="11"/>
        <v/>
      </c>
      <c r="H140" s="67"/>
      <c r="I140" s="12" t="str">
        <f t="shared" si="8"/>
        <v/>
      </c>
      <c r="J140" s="13" t="str">
        <f t="shared" si="9"/>
        <v/>
      </c>
      <c r="K140" s="56"/>
      <c r="L140" s="37"/>
    </row>
    <row r="141" spans="1:12" ht="15.75">
      <c r="A141" s="26" t="str">
        <v>R003</v>
      </c>
      <c r="B141" s="27" t="str">
        <v>NY</v>
      </c>
      <c r="C141" s="25" t="str">
        <f>Sites[[#This Row],[SOL'#]]</f>
        <v>SOL-10416</v>
      </c>
      <c r="D141" s="66"/>
      <c r="E141" s="14"/>
      <c r="F141" s="14" t="str">
        <f t="shared" si="10"/>
        <v/>
      </c>
      <c r="G141" s="15" t="str">
        <f t="shared" si="11"/>
        <v/>
      </c>
      <c r="H141" s="69"/>
      <c r="I141" s="16" t="str">
        <f t="shared" si="8"/>
        <v/>
      </c>
      <c r="J141" s="15" t="str">
        <f t="shared" si="9"/>
        <v/>
      </c>
      <c r="K141" s="38"/>
      <c r="L141" s="29"/>
    </row>
    <row r="142" spans="1:12" ht="15.75">
      <c r="A142" s="24" t="str">
        <v>R007</v>
      </c>
      <c r="B142" s="25" t="str">
        <v>NY</v>
      </c>
      <c r="C142" s="25" t="str">
        <f>Sites[[#This Row],[SOL'#]]</f>
        <v>SOL-10417</v>
      </c>
      <c r="D142" s="54"/>
      <c r="E142" s="10"/>
      <c r="F142" s="10" t="str">
        <f t="shared" si="10"/>
        <v/>
      </c>
      <c r="G142" s="11" t="str">
        <f t="shared" si="11"/>
        <v/>
      </c>
      <c r="H142" s="67"/>
      <c r="I142" s="12" t="str">
        <f t="shared" si="8"/>
        <v/>
      </c>
      <c r="J142" s="13" t="str">
        <f t="shared" si="9"/>
        <v/>
      </c>
      <c r="K142" s="56"/>
      <c r="L142" s="37"/>
    </row>
    <row r="143" spans="1:12" ht="15.75">
      <c r="A143" s="26" t="str">
        <v>BK16</v>
      </c>
      <c r="B143" s="27" t="str">
        <v>NY</v>
      </c>
      <c r="C143" s="25" t="str">
        <f>Sites[[#This Row],[SOL'#]]</f>
        <v>SOL-11093</v>
      </c>
      <c r="D143" s="66"/>
      <c r="E143" s="14"/>
      <c r="F143" s="14" t="str">
        <f t="shared" si="10"/>
        <v/>
      </c>
      <c r="G143" s="15" t="str">
        <f t="shared" si="11"/>
        <v/>
      </c>
      <c r="H143" s="69"/>
      <c r="I143" s="16" t="str">
        <f t="shared" si="8"/>
        <v/>
      </c>
      <c r="J143" s="15" t="str">
        <f t="shared" si="9"/>
        <v/>
      </c>
      <c r="K143" s="38"/>
      <c r="L143" s="29"/>
    </row>
    <row r="144" spans="1:12" ht="15.75">
      <c r="A144" s="24" t="str">
        <v>Trenton - Trenton East</v>
      </c>
      <c r="B144" s="25" t="str">
        <v>IL</v>
      </c>
      <c r="C144" s="25" t="str">
        <f>Sites[[#This Row],[SOL'#]]</f>
        <v>SOL-11060</v>
      </c>
      <c r="D144" s="54"/>
      <c r="E144" s="10"/>
      <c r="F144" s="10" t="str">
        <f t="shared" si="10"/>
        <v/>
      </c>
      <c r="G144" s="11" t="str">
        <f t="shared" si="11"/>
        <v/>
      </c>
      <c r="H144" s="67"/>
      <c r="I144" s="12" t="str">
        <f t="shared" si="8"/>
        <v/>
      </c>
      <c r="J144" s="13" t="str">
        <f t="shared" si="9"/>
        <v/>
      </c>
      <c r="K144" s="56"/>
      <c r="L144" s="37"/>
    </row>
    <row r="145" spans="1:12" ht="15.75">
      <c r="A145" s="26" t="str">
        <v>Trenton - Trenton West</v>
      </c>
      <c r="B145" s="27" t="str">
        <v>IL</v>
      </c>
      <c r="C145" s="25" t="str">
        <f>Sites[[#This Row],[SOL'#]]</f>
        <v>SOL-11061</v>
      </c>
      <c r="D145" s="66"/>
      <c r="E145" s="14"/>
      <c r="F145" s="14" t="str">
        <f t="shared" si="10"/>
        <v/>
      </c>
      <c r="G145" s="15" t="str">
        <f t="shared" si="11"/>
        <v/>
      </c>
      <c r="H145" s="69"/>
      <c r="I145" s="16" t="str">
        <f t="shared" si="8"/>
        <v/>
      </c>
      <c r="J145" s="15" t="str">
        <f t="shared" si="9"/>
        <v/>
      </c>
      <c r="K145" s="51"/>
      <c r="L145" s="83"/>
    </row>
    <row r="146" spans="1:12" ht="15.75">
      <c r="A146" s="24" t="str">
        <v>Dakota - Dakota Solar 1</v>
      </c>
      <c r="B146" s="25" t="str">
        <v>IL</v>
      </c>
      <c r="C146" s="25" t="str">
        <f>Sites[[#This Row],[SOL'#]]</f>
        <v>SOL-11113</v>
      </c>
      <c r="D146" s="54"/>
      <c r="E146" s="10"/>
      <c r="F146" s="10" t="str">
        <f t="shared" si="10"/>
        <v/>
      </c>
      <c r="G146" s="11" t="str">
        <f t="shared" si="11"/>
        <v/>
      </c>
      <c r="H146" s="67"/>
      <c r="I146" s="12" t="str">
        <f t="shared" si="8"/>
        <v/>
      </c>
      <c r="J146" s="13" t="str">
        <f t="shared" si="9"/>
        <v/>
      </c>
      <c r="K146" s="56"/>
      <c r="L146" s="37"/>
    </row>
    <row r="147" spans="1:12" ht="15.75">
      <c r="A147" s="26" t="str">
        <v>X018</v>
      </c>
      <c r="B147" s="27" t="str">
        <v>NY</v>
      </c>
      <c r="C147" s="25" t="str">
        <f>Sites[[#This Row],[SOL'#]]</f>
        <v>SOL-10418</v>
      </c>
      <c r="D147" s="66"/>
      <c r="E147" s="14"/>
      <c r="F147" s="14" t="str">
        <f t="shared" si="10"/>
        <v/>
      </c>
      <c r="G147" s="15" t="str">
        <f t="shared" si="11"/>
        <v/>
      </c>
      <c r="H147" s="69"/>
      <c r="I147" s="16" t="str">
        <f t="shared" si="8"/>
        <v/>
      </c>
      <c r="J147" s="15" t="str">
        <f t="shared" si="9"/>
        <v/>
      </c>
      <c r="K147" s="38"/>
      <c r="L147" s="29"/>
    </row>
    <row r="148" spans="1:12" ht="15.75">
      <c r="A148" s="24" t="str">
        <v>Janiak Solar</v>
      </c>
      <c r="B148" s="25" t="str">
        <v>NY</v>
      </c>
      <c r="C148" s="25" t="str">
        <f>Sites[[#This Row],[SOL'#]]</f>
        <v>SOL-10898</v>
      </c>
      <c r="D148" s="54"/>
      <c r="E148" s="10"/>
      <c r="F148" s="10" t="str">
        <f t="shared" si="10"/>
        <v/>
      </c>
      <c r="G148" s="11" t="str">
        <f t="shared" si="11"/>
        <v/>
      </c>
      <c r="H148" s="67"/>
      <c r="I148" s="12" t="str">
        <f t="shared" si="8"/>
        <v/>
      </c>
      <c r="J148" s="13" t="str">
        <f t="shared" si="9"/>
        <v/>
      </c>
      <c r="K148" s="56"/>
      <c r="L148" s="37"/>
    </row>
    <row r="149" spans="1:12" ht="15.75">
      <c r="A149" s="26" t="str">
        <v>County Route 11B</v>
      </c>
      <c r="B149" s="27" t="str">
        <v>NY</v>
      </c>
      <c r="C149" s="25" t="str">
        <f>Sites[[#This Row],[SOL'#]]</f>
        <v>SOL-10983</v>
      </c>
      <c r="D149" s="66"/>
      <c r="E149" s="14"/>
      <c r="F149" s="14" t="str">
        <f t="shared" si="10"/>
        <v/>
      </c>
      <c r="G149" s="15" t="str">
        <f t="shared" si="11"/>
        <v/>
      </c>
      <c r="H149" s="69"/>
      <c r="I149" s="16" t="str">
        <f t="shared" si="8"/>
        <v/>
      </c>
      <c r="J149" s="15" t="str">
        <f t="shared" si="9"/>
        <v/>
      </c>
      <c r="K149" s="38"/>
      <c r="L149" s="75"/>
    </row>
    <row r="150" spans="1:12" ht="15.75">
      <c r="A150" s="24" t="str">
        <v>Barone</v>
      </c>
      <c r="B150" s="25" t="str">
        <v>NY</v>
      </c>
      <c r="C150" s="25" t="str">
        <f>Sites[[#This Row],[SOL'#]]</f>
        <v>SOL-11034</v>
      </c>
      <c r="D150" s="54"/>
      <c r="E150" s="10"/>
      <c r="F150" s="10" t="str">
        <f t="shared" si="10"/>
        <v/>
      </c>
      <c r="G150" s="11" t="str">
        <f t="shared" si="11"/>
        <v/>
      </c>
      <c r="H150" s="67"/>
      <c r="I150" s="12" t="str">
        <f t="shared" si="8"/>
        <v/>
      </c>
      <c r="J150" s="13" t="str">
        <f t="shared" si="9"/>
        <v/>
      </c>
      <c r="K150" s="56"/>
      <c r="L150" s="37"/>
    </row>
    <row r="151" spans="1:12" ht="15.75">
      <c r="A151" s="26" t="str">
        <v>Cedarville</v>
      </c>
      <c r="B151" s="27" t="str">
        <v>IL</v>
      </c>
      <c r="C151" s="25" t="str">
        <f>Sites[[#This Row],[SOL'#]]</f>
        <v>SOL-11069</v>
      </c>
      <c r="D151" s="66"/>
      <c r="E151" s="14"/>
      <c r="F151" s="14" t="str">
        <f t="shared" si="10"/>
        <v/>
      </c>
      <c r="G151" s="15" t="str">
        <f t="shared" si="11"/>
        <v/>
      </c>
      <c r="H151" s="69"/>
      <c r="I151" s="16" t="str">
        <f t="shared" si="8"/>
        <v/>
      </c>
      <c r="J151" s="15" t="str">
        <f t="shared" si="9"/>
        <v/>
      </c>
      <c r="K151" s="38"/>
      <c r="L151" s="29"/>
    </row>
    <row r="152" spans="1:12" ht="78" customHeight="1">
      <c r="A152" s="24" t="str">
        <v xml:space="preserve"> O'Brien Hill #1</v>
      </c>
      <c r="B152" s="25" t="str">
        <v>NY</v>
      </c>
      <c r="C152" s="25" t="str">
        <f>Sites[[#This Row],[SOL'#]]</f>
        <v>SOL-11098</v>
      </c>
      <c r="D152" s="54"/>
      <c r="E152" s="10"/>
      <c r="F152" s="10" t="str">
        <f t="shared" si="10"/>
        <v/>
      </c>
      <c r="G152" s="11" t="str">
        <f t="shared" si="11"/>
        <v/>
      </c>
      <c r="H152" s="67"/>
      <c r="I152" s="12" t="str">
        <f t="shared" si="8"/>
        <v/>
      </c>
      <c r="J152" s="13" t="str">
        <f t="shared" si="9"/>
        <v/>
      </c>
      <c r="K152" s="56"/>
      <c r="L152" s="37"/>
    </row>
    <row r="153" spans="1:12" ht="15.75">
      <c r="A153" s="26" t="str">
        <v xml:space="preserve"> O'Brien Hill #2</v>
      </c>
      <c r="B153" s="27" t="str">
        <v>NY</v>
      </c>
      <c r="C153" s="25" t="str">
        <f>Sites[[#This Row],[SOL'#]]</f>
        <v>SOL-11099</v>
      </c>
      <c r="D153" s="66"/>
      <c r="E153" s="14"/>
      <c r="F153" s="14" t="str">
        <f t="shared" si="10"/>
        <v/>
      </c>
      <c r="G153" s="15" t="str">
        <f t="shared" si="11"/>
        <v/>
      </c>
      <c r="H153" s="69"/>
      <c r="I153" s="16" t="str">
        <f t="shared" si="8"/>
        <v/>
      </c>
      <c r="J153" s="15" t="str">
        <f t="shared" si="9"/>
        <v/>
      </c>
      <c r="K153" s="139"/>
      <c r="L153" s="29"/>
    </row>
    <row r="154" spans="1:12" ht="15.75">
      <c r="A154" s="24" t="str">
        <v>Trinity - Freeport</v>
      </c>
      <c r="B154" s="25" t="str">
        <v>IL</v>
      </c>
      <c r="C154" s="25" t="str">
        <f>Sites[[#This Row],[SOL'#]]</f>
        <v>SOL-11057</v>
      </c>
      <c r="D154" s="54"/>
      <c r="E154" s="10"/>
      <c r="F154" s="10" t="str">
        <f t="shared" si="10"/>
        <v/>
      </c>
      <c r="G154" s="11" t="str">
        <f t="shared" si="11"/>
        <v/>
      </c>
      <c r="H154" s="67"/>
      <c r="I154" s="12" t="str">
        <f t="shared" si="8"/>
        <v/>
      </c>
      <c r="J154" s="13" t="str">
        <f t="shared" si="9"/>
        <v/>
      </c>
      <c r="K154" s="56"/>
      <c r="L154" s="37"/>
    </row>
    <row r="155" spans="1:12" ht="15.75">
      <c r="A155" s="26" t="str">
        <v>Ransom</v>
      </c>
      <c r="B155" s="27" t="str">
        <v>NY</v>
      </c>
      <c r="C155" s="25" t="str">
        <f>Sites[[#This Row],[SOL'#]]</f>
        <v>SOL-11157</v>
      </c>
      <c r="D155" s="66"/>
      <c r="E155" s="14"/>
      <c r="F155" s="14" t="str">
        <f t="shared" si="10"/>
        <v/>
      </c>
      <c r="G155" s="15" t="str">
        <f t="shared" si="11"/>
        <v/>
      </c>
      <c r="H155" s="69"/>
      <c r="I155" s="16" t="str">
        <f t="shared" si="8"/>
        <v/>
      </c>
      <c r="J155" s="15" t="str">
        <f t="shared" si="9"/>
        <v/>
      </c>
      <c r="K155" s="38"/>
      <c r="L155" s="38"/>
    </row>
    <row r="156" spans="1:12" ht="15.75">
      <c r="A156" s="24" t="str">
        <v>Horseheads - Wedge</v>
      </c>
      <c r="B156" s="25" t="str">
        <v>NY</v>
      </c>
      <c r="C156" s="25" t="str">
        <f>Sites[[#This Row],[SOL'#]]</f>
        <v>SOL-11160</v>
      </c>
      <c r="D156" s="54"/>
      <c r="E156" s="10"/>
      <c r="F156" s="10" t="str">
        <f t="shared" si="10"/>
        <v/>
      </c>
      <c r="G156" s="11" t="str">
        <f t="shared" si="11"/>
        <v/>
      </c>
      <c r="H156" s="67"/>
      <c r="I156" s="12" t="str">
        <f t="shared" si="8"/>
        <v/>
      </c>
      <c r="J156" s="13" t="str">
        <f t="shared" si="9"/>
        <v/>
      </c>
      <c r="K156" s="56"/>
      <c r="L156" s="37"/>
    </row>
    <row r="157" spans="1:12" ht="15.75">
      <c r="A157" s="26" t="str">
        <v>Otisville - Shoddy Hollow</v>
      </c>
      <c r="B157" s="27" t="str">
        <v>NY</v>
      </c>
      <c r="C157" s="25" t="str">
        <f>Sites[[#This Row],[SOL'#]]</f>
        <v>SOL-11185</v>
      </c>
      <c r="D157" s="66"/>
      <c r="E157" s="14"/>
      <c r="F157" s="14" t="str">
        <f t="shared" si="10"/>
        <v/>
      </c>
      <c r="G157" s="15" t="str">
        <f t="shared" si="11"/>
        <v/>
      </c>
      <c r="H157" s="69"/>
      <c r="I157" s="16" t="str">
        <f t="shared" si="8"/>
        <v/>
      </c>
      <c r="J157" s="15" t="str">
        <f t="shared" si="9"/>
        <v/>
      </c>
      <c r="K157" s="38"/>
      <c r="L157" s="29"/>
    </row>
    <row r="158" spans="1:12" ht="15.75">
      <c r="A158" s="24" t="str">
        <v>Wellsville - Chenunda Creek</v>
      </c>
      <c r="B158" s="25" t="str">
        <v>NY</v>
      </c>
      <c r="C158" s="25" t="str">
        <f>Sites[[#This Row],[SOL'#]]</f>
        <v>SOL-11187</v>
      </c>
      <c r="D158" s="54"/>
      <c r="E158" s="10"/>
      <c r="F158" s="10" t="str">
        <f t="shared" si="10"/>
        <v/>
      </c>
      <c r="G158" s="11" t="str">
        <f t="shared" si="11"/>
        <v/>
      </c>
      <c r="H158" s="67"/>
      <c r="I158" s="12" t="str">
        <f t="shared" si="8"/>
        <v/>
      </c>
      <c r="J158" s="13" t="str">
        <f t="shared" si="9"/>
        <v/>
      </c>
      <c r="K158" s="56"/>
      <c r="L158" s="37"/>
    </row>
    <row r="159" spans="1:12" ht="14.25">
      <c r="A159" s="17"/>
      <c r="B159" s="125"/>
      <c r="C159" s="29"/>
      <c r="D159" s="17"/>
      <c r="E159" s="17"/>
      <c r="F159" s="17"/>
      <c r="G159" s="18"/>
      <c r="H159" s="17"/>
      <c r="I159" s="17"/>
      <c r="J159" s="18"/>
      <c r="K159" s="17"/>
      <c r="L159" s="17"/>
    </row>
    <row r="160" spans="1:12" ht="14.25">
      <c r="A160" s="17"/>
      <c r="B160" s="125"/>
      <c r="C160" s="29"/>
      <c r="D160" s="17"/>
      <c r="E160" s="17"/>
      <c r="F160" s="17"/>
      <c r="G160" s="18"/>
      <c r="H160" s="17"/>
      <c r="I160" s="17"/>
      <c r="J160" s="18"/>
      <c r="K160" s="17"/>
      <c r="L160" s="17"/>
    </row>
    <row r="161" spans="1:12" ht="14.25">
      <c r="A161" s="17"/>
      <c r="B161" s="125"/>
      <c r="C161" s="29"/>
      <c r="D161" s="17"/>
      <c r="E161" s="17"/>
      <c r="F161" s="17"/>
      <c r="G161" s="18"/>
      <c r="H161" s="17"/>
      <c r="I161" s="17"/>
      <c r="J161" s="18"/>
      <c r="K161" s="17"/>
      <c r="L161" s="17"/>
    </row>
    <row r="162" spans="1:12" ht="14.25">
      <c r="A162" s="17"/>
      <c r="B162" s="125"/>
      <c r="C162" s="29"/>
      <c r="D162" s="17"/>
      <c r="E162" s="17"/>
      <c r="F162" s="17"/>
      <c r="G162" s="18"/>
      <c r="H162" s="17"/>
      <c r="I162" s="17"/>
      <c r="J162" s="18"/>
      <c r="K162" s="17"/>
      <c r="L162" s="17"/>
    </row>
    <row r="163" spans="1:12" ht="14.25">
      <c r="A163" s="17"/>
      <c r="B163" s="125"/>
      <c r="C163" s="29"/>
      <c r="D163" s="17"/>
      <c r="E163" s="17"/>
      <c r="F163" s="17"/>
      <c r="G163" s="18"/>
      <c r="H163" s="17"/>
      <c r="I163" s="17"/>
      <c r="J163" s="18"/>
      <c r="K163" s="17"/>
      <c r="L163" s="17"/>
    </row>
    <row r="164" spans="1:12" ht="14.25">
      <c r="A164" s="17"/>
      <c r="B164" s="29"/>
      <c r="C164" s="29"/>
      <c r="D164" s="17"/>
      <c r="E164" s="17"/>
      <c r="F164" s="17"/>
      <c r="G164" s="18"/>
      <c r="H164" s="17"/>
      <c r="I164" s="17"/>
      <c r="J164" s="18"/>
      <c r="K164" s="17"/>
      <c r="L164" s="17"/>
    </row>
    <row r="165" spans="1:12" ht="14.25">
      <c r="A165" s="17"/>
      <c r="B165" s="29"/>
      <c r="C165" s="29"/>
      <c r="D165" s="17"/>
      <c r="E165" s="17"/>
      <c r="F165" s="17"/>
      <c r="G165" s="18"/>
      <c r="H165" s="17"/>
      <c r="I165" s="17"/>
      <c r="J165" s="18"/>
      <c r="K165" s="17"/>
      <c r="L165" s="17"/>
    </row>
    <row r="166" spans="1:12" ht="14.25">
      <c r="A166" s="17"/>
      <c r="B166" s="29"/>
      <c r="C166" s="29"/>
      <c r="D166" s="17"/>
      <c r="E166" s="17"/>
      <c r="F166" s="17"/>
      <c r="G166" s="18"/>
      <c r="H166" s="17"/>
      <c r="I166" s="17"/>
      <c r="J166" s="18"/>
      <c r="K166" s="17"/>
      <c r="L166" s="17"/>
    </row>
    <row r="167" spans="1:12" ht="14.25">
      <c r="A167" s="17"/>
      <c r="B167" s="29"/>
      <c r="C167" s="29"/>
      <c r="D167" s="17"/>
      <c r="E167" s="17"/>
      <c r="F167" s="17"/>
      <c r="G167" s="18"/>
      <c r="H167" s="17"/>
      <c r="I167" s="17"/>
      <c r="J167" s="18"/>
      <c r="K167" s="17"/>
      <c r="L167" s="17"/>
    </row>
    <row r="168" spans="1:12" ht="14.25">
      <c r="A168" s="17"/>
      <c r="B168" s="29"/>
      <c r="C168" s="29"/>
      <c r="D168" s="17"/>
      <c r="E168" s="17"/>
      <c r="F168" s="17"/>
      <c r="G168" s="18"/>
      <c r="H168" s="17"/>
      <c r="I168" s="17"/>
      <c r="J168" s="18"/>
      <c r="K168" s="17"/>
      <c r="L168"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58"/>
  <sheetViews>
    <sheetView zoomScale="90" zoomScaleNormal="90" workbookViewId="0">
      <pane ySplit="3" topLeftCell="A142" activePane="bottomLeft" state="frozen"/>
      <selection pane="bottomLeft" activeCell="A158" sqref="A158"/>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1652</v>
      </c>
      <c r="B1" t="s">
        <v>1653</v>
      </c>
    </row>
    <row r="3" spans="1:6">
      <c r="A3" t="s">
        <v>1654</v>
      </c>
      <c r="B3" t="s">
        <v>3</v>
      </c>
      <c r="C3" t="s">
        <v>4</v>
      </c>
      <c r="D3" t="s">
        <v>1655</v>
      </c>
      <c r="E3" s="2" t="s">
        <v>1656</v>
      </c>
      <c r="F3" t="s">
        <v>5</v>
      </c>
    </row>
    <row r="4" spans="1:6" ht="12.75" customHeight="1">
      <c r="A4" s="40" t="s">
        <v>1657</v>
      </c>
      <c r="B4" s="3" t="s">
        <v>1657</v>
      </c>
      <c r="C4" s="3" t="s">
        <v>1658</v>
      </c>
      <c r="E4" t="s">
        <v>1659</v>
      </c>
      <c r="F4" t="s">
        <v>1660</v>
      </c>
    </row>
    <row r="5" spans="1:6" ht="12.75" customHeight="1">
      <c r="A5" s="40" t="s">
        <v>1661</v>
      </c>
      <c r="B5" s="3" t="s">
        <v>1661</v>
      </c>
      <c r="C5" s="3" t="s">
        <v>1658</v>
      </c>
      <c r="E5" t="s">
        <v>1659</v>
      </c>
      <c r="F5" t="s">
        <v>1662</v>
      </c>
    </row>
    <row r="6" spans="1:6" ht="12.75" customHeight="1">
      <c r="A6" s="41" t="s">
        <v>1663</v>
      </c>
      <c r="B6" t="s">
        <v>1664</v>
      </c>
      <c r="C6" s="3" t="s">
        <v>1658</v>
      </c>
      <c r="E6" t="s">
        <v>1659</v>
      </c>
      <c r="F6" t="s">
        <v>1665</v>
      </c>
    </row>
    <row r="7" spans="1:6" ht="12.75" customHeight="1">
      <c r="A7" s="40" t="s">
        <v>1666</v>
      </c>
      <c r="B7" s="3" t="s">
        <v>1666</v>
      </c>
      <c r="C7" s="3" t="s">
        <v>1658</v>
      </c>
      <c r="E7" t="s">
        <v>1659</v>
      </c>
      <c r="F7" t="s">
        <v>1667</v>
      </c>
    </row>
    <row r="8" spans="1:6" ht="12.75" customHeight="1">
      <c r="A8" s="41" t="s">
        <v>1668</v>
      </c>
      <c r="B8" t="s">
        <v>1668</v>
      </c>
      <c r="C8" s="3" t="s">
        <v>1658</v>
      </c>
      <c r="E8" t="s">
        <v>1659</v>
      </c>
      <c r="F8" t="s">
        <v>1669</v>
      </c>
    </row>
    <row r="9" spans="1:6" ht="12.75" customHeight="1">
      <c r="A9" s="40" t="s">
        <v>1670</v>
      </c>
      <c r="B9" s="3" t="s">
        <v>1670</v>
      </c>
      <c r="C9" s="3" t="s">
        <v>1658</v>
      </c>
      <c r="E9" t="s">
        <v>1659</v>
      </c>
      <c r="F9" t="s">
        <v>1671</v>
      </c>
    </row>
    <row r="10" spans="1:6" ht="12.75" customHeight="1">
      <c r="A10" s="40" t="s">
        <v>1672</v>
      </c>
      <c r="B10" s="3" t="s">
        <v>1672</v>
      </c>
      <c r="C10" s="3" t="s">
        <v>1658</v>
      </c>
      <c r="E10" t="s">
        <v>1659</v>
      </c>
      <c r="F10" t="s">
        <v>1673</v>
      </c>
    </row>
    <row r="11" spans="1:6" ht="12.75" customHeight="1">
      <c r="A11" s="40" t="s">
        <v>1674</v>
      </c>
      <c r="B11" s="3" t="s">
        <v>1674</v>
      </c>
      <c r="C11" s="3" t="s">
        <v>1658</v>
      </c>
      <c r="E11" t="s">
        <v>1659</v>
      </c>
      <c r="F11" t="s">
        <v>1675</v>
      </c>
    </row>
    <row r="12" spans="1:6" ht="12.75" customHeight="1">
      <c r="A12" s="40" t="s">
        <v>1676</v>
      </c>
      <c r="B12" s="3" t="s">
        <v>1676</v>
      </c>
      <c r="C12" s="3" t="s">
        <v>1658</v>
      </c>
      <c r="E12" t="s">
        <v>1659</v>
      </c>
      <c r="F12" t="s">
        <v>1677</v>
      </c>
    </row>
    <row r="13" spans="1:6" ht="12.75" customHeight="1">
      <c r="A13" s="40" t="s">
        <v>1678</v>
      </c>
      <c r="B13" s="3" t="s">
        <v>1678</v>
      </c>
      <c r="C13" s="3" t="s">
        <v>1658</v>
      </c>
      <c r="E13" t="s">
        <v>1659</v>
      </c>
      <c r="F13" t="s">
        <v>1679</v>
      </c>
    </row>
    <row r="14" spans="1:6" ht="12.75" customHeight="1">
      <c r="A14" s="40" t="s">
        <v>1680</v>
      </c>
      <c r="B14" s="3" t="s">
        <v>1680</v>
      </c>
      <c r="C14" s="3" t="s">
        <v>1658</v>
      </c>
      <c r="E14" t="s">
        <v>1659</v>
      </c>
      <c r="F14" t="s">
        <v>1681</v>
      </c>
    </row>
    <row r="15" spans="1:6" ht="12.75" customHeight="1">
      <c r="A15" s="41" t="s">
        <v>1682</v>
      </c>
      <c r="B15" t="s">
        <v>1682</v>
      </c>
      <c r="C15" s="3" t="s">
        <v>1658</v>
      </c>
      <c r="E15" t="s">
        <v>1659</v>
      </c>
      <c r="F15" t="s">
        <v>1683</v>
      </c>
    </row>
    <row r="16" spans="1:6" ht="12.75" customHeight="1">
      <c r="A16" s="41" t="s">
        <v>1684</v>
      </c>
      <c r="B16" t="s">
        <v>1684</v>
      </c>
      <c r="C16" s="3" t="s">
        <v>1658</v>
      </c>
      <c r="E16" t="s">
        <v>1659</v>
      </c>
      <c r="F16" t="s">
        <v>1685</v>
      </c>
    </row>
    <row r="17" spans="1:6" ht="12.75" customHeight="1">
      <c r="A17" s="40" t="s">
        <v>1686</v>
      </c>
      <c r="B17" s="3" t="s">
        <v>1686</v>
      </c>
      <c r="C17" s="3" t="s">
        <v>1658</v>
      </c>
      <c r="E17" t="s">
        <v>1659</v>
      </c>
      <c r="F17" t="s">
        <v>1687</v>
      </c>
    </row>
    <row r="18" spans="1:6" ht="12.75" customHeight="1">
      <c r="A18" s="40" t="s">
        <v>1688</v>
      </c>
      <c r="B18" s="3" t="s">
        <v>1688</v>
      </c>
      <c r="C18" s="3" t="s">
        <v>1658</v>
      </c>
      <c r="E18" t="s">
        <v>1659</v>
      </c>
      <c r="F18" t="s">
        <v>1689</v>
      </c>
    </row>
    <row r="19" spans="1:6" ht="12.75" customHeight="1">
      <c r="A19" s="40" t="s">
        <v>1690</v>
      </c>
      <c r="B19" s="3" t="s">
        <v>1690</v>
      </c>
      <c r="C19" s="3" t="s">
        <v>1658</v>
      </c>
      <c r="E19" t="s">
        <v>1659</v>
      </c>
      <c r="F19" t="s">
        <v>1691</v>
      </c>
    </row>
    <row r="20" spans="1:6" ht="12.75" customHeight="1">
      <c r="A20" s="41" t="s">
        <v>1692</v>
      </c>
      <c r="B20" t="s">
        <v>1692</v>
      </c>
      <c r="C20" s="3" t="s">
        <v>1658</v>
      </c>
      <c r="E20" t="s">
        <v>1659</v>
      </c>
      <c r="F20" t="s">
        <v>1693</v>
      </c>
    </row>
    <row r="21" spans="1:6" ht="12.75" customHeight="1">
      <c r="A21" s="40" t="s">
        <v>1694</v>
      </c>
      <c r="B21" s="3" t="s">
        <v>1694</v>
      </c>
      <c r="C21" s="3" t="s">
        <v>1658</v>
      </c>
      <c r="E21" t="s">
        <v>1659</v>
      </c>
      <c r="F21" t="s">
        <v>1695</v>
      </c>
    </row>
    <row r="22" spans="1:6" ht="12.75" customHeight="1">
      <c r="A22" s="40" t="s">
        <v>1696</v>
      </c>
      <c r="B22" s="3" t="s">
        <v>1696</v>
      </c>
      <c r="C22" s="3" t="s">
        <v>1658</v>
      </c>
      <c r="E22" t="s">
        <v>1659</v>
      </c>
      <c r="F22" t="s">
        <v>1697</v>
      </c>
    </row>
    <row r="23" spans="1:6" ht="12.75" customHeight="1">
      <c r="A23" s="40" t="s">
        <v>1698</v>
      </c>
      <c r="B23" s="3" t="s">
        <v>1698</v>
      </c>
      <c r="C23" s="3" t="s">
        <v>1658</v>
      </c>
      <c r="E23" t="s">
        <v>1659</v>
      </c>
      <c r="F23" t="s">
        <v>1699</v>
      </c>
    </row>
    <row r="24" spans="1:6" ht="12.75" customHeight="1">
      <c r="A24" s="41" t="s">
        <v>1700</v>
      </c>
      <c r="B24" t="s">
        <v>1700</v>
      </c>
      <c r="C24" s="3" t="s">
        <v>1658</v>
      </c>
      <c r="E24" t="s">
        <v>1659</v>
      </c>
      <c r="F24" t="s">
        <v>1701</v>
      </c>
    </row>
    <row r="25" spans="1:6" ht="12.75" customHeight="1">
      <c r="A25" s="41" t="s">
        <v>1702</v>
      </c>
      <c r="B25" t="s">
        <v>1702</v>
      </c>
      <c r="C25" s="3" t="s">
        <v>1658</v>
      </c>
      <c r="E25" t="s">
        <v>1659</v>
      </c>
      <c r="F25" t="s">
        <v>1703</v>
      </c>
    </row>
    <row r="26" spans="1:6" ht="12.75" customHeight="1">
      <c r="A26" s="40" t="s">
        <v>1704</v>
      </c>
      <c r="B26" s="3" t="s">
        <v>1704</v>
      </c>
      <c r="C26" s="3" t="s">
        <v>1658</v>
      </c>
      <c r="E26" t="s">
        <v>1659</v>
      </c>
      <c r="F26" t="s">
        <v>1705</v>
      </c>
    </row>
    <row r="27" spans="1:6" ht="12.75" customHeight="1">
      <c r="A27" s="40" t="s">
        <v>1706</v>
      </c>
      <c r="B27" s="3" t="s">
        <v>1707</v>
      </c>
      <c r="C27" s="3" t="s">
        <v>1658</v>
      </c>
      <c r="E27" t="s">
        <v>1659</v>
      </c>
      <c r="F27" t="s">
        <v>1708</v>
      </c>
    </row>
    <row r="28" spans="1:6" ht="12.75" customHeight="1">
      <c r="A28" s="41" t="s">
        <v>1709</v>
      </c>
      <c r="B28" t="s">
        <v>1709</v>
      </c>
      <c r="C28" s="3" t="s">
        <v>1658</v>
      </c>
      <c r="E28" t="s">
        <v>1659</v>
      </c>
      <c r="F28" t="s">
        <v>1710</v>
      </c>
    </row>
    <row r="29" spans="1:6" ht="12.75" customHeight="1">
      <c r="A29" s="40" t="s">
        <v>1711</v>
      </c>
      <c r="B29" s="3" t="s">
        <v>1711</v>
      </c>
      <c r="C29" s="3" t="s">
        <v>1658</v>
      </c>
      <c r="E29" t="s">
        <v>1659</v>
      </c>
      <c r="F29" t="s">
        <v>1712</v>
      </c>
    </row>
    <row r="30" spans="1:6" ht="12.75" customHeight="1">
      <c r="A30" s="40" t="s">
        <v>1713</v>
      </c>
      <c r="B30" s="3" t="s">
        <v>1713</v>
      </c>
      <c r="C30" s="3" t="s">
        <v>1658</v>
      </c>
      <c r="E30" t="s">
        <v>1659</v>
      </c>
      <c r="F30" t="s">
        <v>1714</v>
      </c>
    </row>
    <row r="31" spans="1:6" ht="12.75" customHeight="1">
      <c r="A31" s="40" t="s">
        <v>1715</v>
      </c>
      <c r="B31" s="3" t="s">
        <v>1715</v>
      </c>
      <c r="C31" s="3" t="s">
        <v>1658</v>
      </c>
      <c r="E31" t="s">
        <v>1659</v>
      </c>
      <c r="F31" t="s">
        <v>1716</v>
      </c>
    </row>
    <row r="32" spans="1:6" ht="12.75" customHeight="1">
      <c r="A32" s="40" t="s">
        <v>1717</v>
      </c>
      <c r="B32" s="3" t="s">
        <v>1717</v>
      </c>
      <c r="C32" s="3" t="s">
        <v>1658</v>
      </c>
      <c r="E32" t="s">
        <v>1659</v>
      </c>
      <c r="F32" t="s">
        <v>1718</v>
      </c>
    </row>
    <row r="33" spans="1:6" ht="12.75" customHeight="1">
      <c r="A33" s="40" t="s">
        <v>1719</v>
      </c>
      <c r="B33" s="3" t="s">
        <v>1719</v>
      </c>
      <c r="C33" s="3" t="s">
        <v>1658</v>
      </c>
      <c r="E33" t="s">
        <v>1659</v>
      </c>
      <c r="F33" t="s">
        <v>1720</v>
      </c>
    </row>
    <row r="34" spans="1:6" ht="12.75" customHeight="1">
      <c r="A34" s="40" t="s">
        <v>1721</v>
      </c>
      <c r="B34" s="3" t="s">
        <v>1721</v>
      </c>
      <c r="C34" s="3" t="s">
        <v>1658</v>
      </c>
      <c r="E34" t="s">
        <v>1659</v>
      </c>
      <c r="F34" t="s">
        <v>1722</v>
      </c>
    </row>
    <row r="35" spans="1:6" ht="12.75" customHeight="1">
      <c r="A35" s="40" t="s">
        <v>1723</v>
      </c>
      <c r="B35" s="3" t="s">
        <v>1723</v>
      </c>
      <c r="C35" s="3" t="s">
        <v>1658</v>
      </c>
      <c r="E35" t="s">
        <v>1659</v>
      </c>
      <c r="F35" t="s">
        <v>1724</v>
      </c>
    </row>
    <row r="36" spans="1:6" ht="12.75" customHeight="1">
      <c r="A36" s="40" t="s">
        <v>1725</v>
      </c>
      <c r="B36" s="3" t="s">
        <v>1725</v>
      </c>
      <c r="C36" s="3" t="s">
        <v>1658</v>
      </c>
      <c r="E36" t="s">
        <v>1659</v>
      </c>
      <c r="F36" t="s">
        <v>1726</v>
      </c>
    </row>
    <row r="37" spans="1:6" ht="12.75" customHeight="1">
      <c r="A37" s="40" t="s">
        <v>1727</v>
      </c>
      <c r="B37" s="3" t="s">
        <v>1727</v>
      </c>
      <c r="C37" s="3" t="s">
        <v>1658</v>
      </c>
      <c r="E37" t="s">
        <v>1659</v>
      </c>
      <c r="F37" t="s">
        <v>1728</v>
      </c>
    </row>
    <row r="38" spans="1:6" ht="12.75" customHeight="1">
      <c r="A38" s="40" t="s">
        <v>1729</v>
      </c>
      <c r="B38" s="3" t="s">
        <v>1729</v>
      </c>
      <c r="C38" s="3" t="s">
        <v>1658</v>
      </c>
      <c r="E38" t="s">
        <v>1659</v>
      </c>
      <c r="F38" t="s">
        <v>1730</v>
      </c>
    </row>
    <row r="39" spans="1:6" ht="12.75" customHeight="1">
      <c r="A39" s="40" t="s">
        <v>1731</v>
      </c>
      <c r="B39" s="3" t="s">
        <v>1731</v>
      </c>
      <c r="C39" s="3" t="s">
        <v>1658</v>
      </c>
      <c r="E39" t="s">
        <v>1659</v>
      </c>
      <c r="F39" t="s">
        <v>1732</v>
      </c>
    </row>
    <row r="40" spans="1:6" ht="12.75" customHeight="1">
      <c r="A40" s="40" t="s">
        <v>1733</v>
      </c>
      <c r="B40" s="3" t="s">
        <v>1733</v>
      </c>
      <c r="C40" s="3" t="s">
        <v>1658</v>
      </c>
      <c r="E40" t="s">
        <v>1659</v>
      </c>
      <c r="F40" t="s">
        <v>1734</v>
      </c>
    </row>
    <row r="41" spans="1:6" ht="12.75" customHeight="1">
      <c r="A41" s="41" t="s">
        <v>1735</v>
      </c>
      <c r="B41" t="s">
        <v>1735</v>
      </c>
      <c r="C41" s="3" t="s">
        <v>1658</v>
      </c>
      <c r="E41" t="s">
        <v>1659</v>
      </c>
      <c r="F41" t="s">
        <v>1736</v>
      </c>
    </row>
    <row r="42" spans="1:6" ht="12.75" customHeight="1">
      <c r="A42" s="41" t="s">
        <v>1737</v>
      </c>
      <c r="B42" t="s">
        <v>1737</v>
      </c>
      <c r="C42" s="3" t="s">
        <v>1658</v>
      </c>
      <c r="E42" t="s">
        <v>1659</v>
      </c>
      <c r="F42" t="s">
        <v>1738</v>
      </c>
    </row>
    <row r="43" spans="1:6" ht="12.75" customHeight="1">
      <c r="A43" s="40" t="s">
        <v>1739</v>
      </c>
      <c r="B43" s="3" t="s">
        <v>1739</v>
      </c>
      <c r="C43" s="3" t="s">
        <v>1658</v>
      </c>
      <c r="E43" t="s">
        <v>1659</v>
      </c>
      <c r="F43" t="s">
        <v>1740</v>
      </c>
    </row>
    <row r="44" spans="1:6" ht="12.75" customHeight="1">
      <c r="A44" s="40" t="s">
        <v>1741</v>
      </c>
      <c r="B44" s="3" t="s">
        <v>1741</v>
      </c>
      <c r="C44" s="3" t="s">
        <v>1658</v>
      </c>
      <c r="E44" t="s">
        <v>1659</v>
      </c>
      <c r="F44" t="s">
        <v>1742</v>
      </c>
    </row>
    <row r="45" spans="1:6" ht="12.75" customHeight="1">
      <c r="A45" s="41" t="s">
        <v>1743</v>
      </c>
      <c r="B45" t="s">
        <v>1744</v>
      </c>
      <c r="C45" s="3" t="s">
        <v>1658</v>
      </c>
      <c r="E45" t="s">
        <v>1659</v>
      </c>
      <c r="F45" t="s">
        <v>1745</v>
      </c>
    </row>
    <row r="46" spans="1:6" ht="12.75" customHeight="1">
      <c r="A46" s="41" t="s">
        <v>1746</v>
      </c>
      <c r="B46" t="s">
        <v>1746</v>
      </c>
      <c r="C46" s="3" t="s">
        <v>1658</v>
      </c>
      <c r="E46" t="s">
        <v>1659</v>
      </c>
      <c r="F46" t="s">
        <v>1747</v>
      </c>
    </row>
    <row r="47" spans="1:6" ht="12.75" customHeight="1">
      <c r="A47" s="40">
        <v>38</v>
      </c>
      <c r="B47" s="3" t="s">
        <v>1748</v>
      </c>
      <c r="C47" s="3" t="s">
        <v>1658</v>
      </c>
      <c r="E47" t="s">
        <v>1659</v>
      </c>
      <c r="F47" t="s">
        <v>1749</v>
      </c>
    </row>
    <row r="48" spans="1:6" ht="12.75" customHeight="1">
      <c r="A48" s="41">
        <v>144</v>
      </c>
      <c r="B48" t="s">
        <v>1750</v>
      </c>
      <c r="C48" s="3" t="s">
        <v>1658</v>
      </c>
      <c r="E48" t="s">
        <v>1659</v>
      </c>
      <c r="F48" t="s">
        <v>1751</v>
      </c>
    </row>
    <row r="49" spans="1:6" ht="12.75" customHeight="1">
      <c r="A49" s="40">
        <v>279</v>
      </c>
      <c r="B49" s="3" t="s">
        <v>1752</v>
      </c>
      <c r="C49" s="3" t="s">
        <v>1658</v>
      </c>
      <c r="E49" t="s">
        <v>1659</v>
      </c>
      <c r="F49" t="s">
        <v>1753</v>
      </c>
    </row>
    <row r="50" spans="1:6" ht="12.75" customHeight="1">
      <c r="A50" s="40">
        <v>293</v>
      </c>
      <c r="B50" s="3" t="s">
        <v>1754</v>
      </c>
      <c r="C50" s="3" t="s">
        <v>1658</v>
      </c>
      <c r="E50" t="s">
        <v>1659</v>
      </c>
      <c r="F50" t="s">
        <v>1755</v>
      </c>
    </row>
    <row r="51" spans="1:6" ht="12.75" customHeight="1">
      <c r="A51" s="41">
        <v>308</v>
      </c>
      <c r="B51" t="s">
        <v>1756</v>
      </c>
      <c r="C51" s="3" t="s">
        <v>1658</v>
      </c>
      <c r="E51" t="s">
        <v>1659</v>
      </c>
      <c r="F51" t="s">
        <v>1757</v>
      </c>
    </row>
    <row r="52" spans="1:6" ht="12.75" customHeight="1">
      <c r="A52" s="41">
        <v>309</v>
      </c>
      <c r="B52" t="s">
        <v>1758</v>
      </c>
      <c r="C52" s="3" t="s">
        <v>1658</v>
      </c>
      <c r="E52" t="s">
        <v>1659</v>
      </c>
      <c r="F52" t="s">
        <v>1759</v>
      </c>
    </row>
    <row r="53" spans="1:6" ht="12.75" customHeight="1">
      <c r="A53" s="41" t="s">
        <v>1760</v>
      </c>
      <c r="B53" t="s">
        <v>1761</v>
      </c>
      <c r="C53" s="3" t="s">
        <v>1658</v>
      </c>
      <c r="E53" t="s">
        <v>1659</v>
      </c>
      <c r="F53" t="s">
        <v>1762</v>
      </c>
    </row>
    <row r="54" spans="1:6" ht="12.75" customHeight="1">
      <c r="A54" s="40" t="s">
        <v>1763</v>
      </c>
      <c r="B54" s="3" t="s">
        <v>1763</v>
      </c>
      <c r="C54" s="3" t="s">
        <v>1658</v>
      </c>
      <c r="E54" t="s">
        <v>1659</v>
      </c>
      <c r="F54" t="s">
        <v>1764</v>
      </c>
    </row>
    <row r="55" spans="1:6" ht="12.75" customHeight="1">
      <c r="A55" s="40">
        <v>358</v>
      </c>
      <c r="B55" s="3" t="s">
        <v>1765</v>
      </c>
      <c r="C55" s="3" t="s">
        <v>1658</v>
      </c>
      <c r="E55" t="s">
        <v>1659</v>
      </c>
      <c r="F55" t="s">
        <v>1766</v>
      </c>
    </row>
    <row r="56" spans="1:6" ht="12.75" customHeight="1">
      <c r="A56" s="40" t="s">
        <v>1767</v>
      </c>
      <c r="B56" s="3" t="s">
        <v>1768</v>
      </c>
      <c r="C56" s="3" t="s">
        <v>1769</v>
      </c>
      <c r="E56" t="s">
        <v>1659</v>
      </c>
      <c r="F56" t="s">
        <v>1770</v>
      </c>
    </row>
    <row r="57" spans="1:6" ht="12.75" customHeight="1">
      <c r="A57" s="40" t="s">
        <v>1771</v>
      </c>
      <c r="B57" s="3" t="s">
        <v>1772</v>
      </c>
      <c r="C57" s="3" t="s">
        <v>1769</v>
      </c>
      <c r="E57" t="s">
        <v>1659</v>
      </c>
      <c r="F57" t="s">
        <v>1773</v>
      </c>
    </row>
    <row r="58" spans="1:6" ht="12.75" customHeight="1">
      <c r="A58" s="40" t="s">
        <v>1774</v>
      </c>
      <c r="B58" s="40" t="s">
        <v>1774</v>
      </c>
      <c r="C58" s="3" t="s">
        <v>1658</v>
      </c>
      <c r="D58" t="s">
        <v>1775</v>
      </c>
      <c r="E58" t="s">
        <v>1776</v>
      </c>
      <c r="F58" t="s">
        <v>1777</v>
      </c>
    </row>
    <row r="59" spans="1:6" ht="12.75" customHeight="1">
      <c r="A59" s="40" t="s">
        <v>1778</v>
      </c>
      <c r="B59" s="3" t="s">
        <v>1778</v>
      </c>
      <c r="C59" s="3" t="s">
        <v>1658</v>
      </c>
      <c r="D59" t="s">
        <v>1775</v>
      </c>
      <c r="E59" s="42" t="s">
        <v>1776</v>
      </c>
      <c r="F59" t="s">
        <v>1779</v>
      </c>
    </row>
    <row r="60" spans="1:6" ht="12.75" customHeight="1">
      <c r="A60" s="40" t="s">
        <v>1780</v>
      </c>
      <c r="B60" s="3" t="s">
        <v>1781</v>
      </c>
      <c r="C60" s="3" t="s">
        <v>1658</v>
      </c>
      <c r="D60" t="s">
        <v>1775</v>
      </c>
      <c r="E60" s="42" t="s">
        <v>1776</v>
      </c>
      <c r="F60" t="s">
        <v>1782</v>
      </c>
    </row>
    <row r="61" spans="1:6" ht="12.75" customHeight="1">
      <c r="A61" s="40" t="s">
        <v>1783</v>
      </c>
      <c r="B61" s="3" t="s">
        <v>1784</v>
      </c>
      <c r="C61" s="3" t="s">
        <v>1658</v>
      </c>
      <c r="D61" t="s">
        <v>1775</v>
      </c>
      <c r="E61" s="42" t="s">
        <v>1776</v>
      </c>
      <c r="F61" t="s">
        <v>1785</v>
      </c>
    </row>
    <row r="62" spans="1:6" ht="12.75" customHeight="1">
      <c r="A62" s="40" t="s">
        <v>1786</v>
      </c>
      <c r="B62" s="3" t="s">
        <v>1786</v>
      </c>
      <c r="C62" s="3" t="s">
        <v>1658</v>
      </c>
      <c r="D62" t="s">
        <v>1775</v>
      </c>
      <c r="E62" t="s">
        <v>1776</v>
      </c>
      <c r="F62" t="s">
        <v>1787</v>
      </c>
    </row>
    <row r="63" spans="1:6" ht="12.75" customHeight="1">
      <c r="A63" s="40" t="s">
        <v>1788</v>
      </c>
      <c r="B63" s="40" t="s">
        <v>1788</v>
      </c>
      <c r="C63" s="3" t="s">
        <v>1658</v>
      </c>
      <c r="D63" t="s">
        <v>1775</v>
      </c>
      <c r="E63" t="s">
        <v>1776</v>
      </c>
      <c r="F63" t="s">
        <v>1789</v>
      </c>
    </row>
    <row r="64" spans="1:6" ht="12.75" customHeight="1">
      <c r="A64" s="40" t="s">
        <v>1790</v>
      </c>
      <c r="B64" s="40" t="s">
        <v>1790</v>
      </c>
      <c r="C64" s="3" t="s">
        <v>1658</v>
      </c>
      <c r="D64" t="s">
        <v>1775</v>
      </c>
      <c r="E64" t="s">
        <v>1776</v>
      </c>
      <c r="F64" t="s">
        <v>1791</v>
      </c>
    </row>
    <row r="65" spans="1:6" ht="12.75" customHeight="1">
      <c r="A65" s="40" t="s">
        <v>1792</v>
      </c>
      <c r="B65" s="40" t="s">
        <v>1792</v>
      </c>
      <c r="C65" s="3" t="s">
        <v>1658</v>
      </c>
      <c r="D65" t="s">
        <v>1775</v>
      </c>
      <c r="E65" t="s">
        <v>1776</v>
      </c>
      <c r="F65" t="s">
        <v>1793</v>
      </c>
    </row>
    <row r="66" spans="1:6" ht="12.75" customHeight="1">
      <c r="A66" s="40" t="s">
        <v>1794</v>
      </c>
      <c r="B66" s="40" t="s">
        <v>1794</v>
      </c>
      <c r="C66" s="3" t="s">
        <v>1658</v>
      </c>
      <c r="D66" t="s">
        <v>1775</v>
      </c>
      <c r="E66" t="s">
        <v>1776</v>
      </c>
      <c r="F66" t="s">
        <v>1795</v>
      </c>
    </row>
    <row r="67" spans="1:6" ht="12.75" customHeight="1">
      <c r="A67" s="40" t="s">
        <v>1796</v>
      </c>
      <c r="B67" s="40" t="s">
        <v>1796</v>
      </c>
      <c r="C67" s="3" t="s">
        <v>1658</v>
      </c>
      <c r="D67" t="s">
        <v>1775</v>
      </c>
      <c r="E67" t="s">
        <v>1776</v>
      </c>
      <c r="F67" t="s">
        <v>1797</v>
      </c>
    </row>
    <row r="68" spans="1:6" ht="12.75" customHeight="1">
      <c r="A68" s="40" t="s">
        <v>1798</v>
      </c>
      <c r="B68" s="40" t="s">
        <v>1798</v>
      </c>
      <c r="C68" s="3" t="s">
        <v>1658</v>
      </c>
      <c r="D68" t="s">
        <v>1799</v>
      </c>
      <c r="E68" t="s">
        <v>1776</v>
      </c>
      <c r="F68" t="s">
        <v>1800</v>
      </c>
    </row>
    <row r="69" spans="1:6" ht="12.75" customHeight="1">
      <c r="A69" s="40" t="s">
        <v>1801</v>
      </c>
      <c r="B69" s="3" t="s">
        <v>1801</v>
      </c>
      <c r="C69" s="3" t="s">
        <v>1658</v>
      </c>
      <c r="D69" t="s">
        <v>1802</v>
      </c>
      <c r="E69" t="s">
        <v>1776</v>
      </c>
      <c r="F69" t="s">
        <v>1803</v>
      </c>
    </row>
    <row r="70" spans="1:6" ht="12.75" customHeight="1">
      <c r="A70" s="40" t="s">
        <v>1804</v>
      </c>
      <c r="B70" s="3" t="s">
        <v>1804</v>
      </c>
      <c r="C70" s="3" t="s">
        <v>1658</v>
      </c>
      <c r="D70" t="s">
        <v>1799</v>
      </c>
      <c r="E70" t="s">
        <v>1776</v>
      </c>
      <c r="F70" t="s">
        <v>1805</v>
      </c>
    </row>
    <row r="71" spans="1:6" ht="12.75" customHeight="1">
      <c r="A71" s="40" t="s">
        <v>1806</v>
      </c>
      <c r="B71" s="3" t="s">
        <v>1806</v>
      </c>
      <c r="C71" s="3" t="s">
        <v>1658</v>
      </c>
      <c r="D71" t="s">
        <v>1799</v>
      </c>
      <c r="E71" t="s">
        <v>1776</v>
      </c>
      <c r="F71" t="s">
        <v>1807</v>
      </c>
    </row>
    <row r="72" spans="1:6" ht="12.75" customHeight="1">
      <c r="A72" s="40" t="s">
        <v>1808</v>
      </c>
      <c r="B72" s="3" t="s">
        <v>1808</v>
      </c>
      <c r="C72" s="3" t="s">
        <v>1658</v>
      </c>
      <c r="D72" t="s">
        <v>1799</v>
      </c>
      <c r="E72" t="s">
        <v>1776</v>
      </c>
      <c r="F72" t="s">
        <v>1809</v>
      </c>
    </row>
    <row r="73" spans="1:6" ht="12.75" customHeight="1">
      <c r="A73" s="40" t="s">
        <v>1810</v>
      </c>
      <c r="B73" s="3" t="s">
        <v>1810</v>
      </c>
      <c r="C73" s="3" t="s">
        <v>1658</v>
      </c>
      <c r="D73" t="s">
        <v>1799</v>
      </c>
      <c r="E73" t="s">
        <v>1776</v>
      </c>
      <c r="F73" t="s">
        <v>1811</v>
      </c>
    </row>
    <row r="74" spans="1:6" ht="12.75" customHeight="1">
      <c r="A74" s="40" t="s">
        <v>1812</v>
      </c>
      <c r="B74" s="3" t="s">
        <v>1813</v>
      </c>
      <c r="C74" s="3" t="s">
        <v>1658</v>
      </c>
      <c r="E74" t="s">
        <v>1659</v>
      </c>
      <c r="F74" t="s">
        <v>1814</v>
      </c>
    </row>
    <row r="75" spans="1:6" ht="12.75" customHeight="1">
      <c r="A75" s="40" t="s">
        <v>1815</v>
      </c>
      <c r="B75" s="3" t="s">
        <v>1815</v>
      </c>
      <c r="C75" s="3" t="s">
        <v>1658</v>
      </c>
      <c r="D75" t="s">
        <v>1799</v>
      </c>
      <c r="E75" t="s">
        <v>1776</v>
      </c>
      <c r="F75" t="s">
        <v>1816</v>
      </c>
    </row>
    <row r="76" spans="1:6" ht="12.75" customHeight="1">
      <c r="A76" s="40" t="s">
        <v>1817</v>
      </c>
      <c r="B76" s="3" t="s">
        <v>1817</v>
      </c>
      <c r="C76" s="3" t="s">
        <v>1658</v>
      </c>
      <c r="D76" t="s">
        <v>1802</v>
      </c>
      <c r="E76" t="s">
        <v>1776</v>
      </c>
      <c r="F76" t="s">
        <v>1818</v>
      </c>
    </row>
    <row r="77" spans="1:6" ht="12.75" customHeight="1">
      <c r="A77" s="40" t="s">
        <v>1819</v>
      </c>
      <c r="B77" s="3" t="s">
        <v>1819</v>
      </c>
      <c r="C77" s="3" t="s">
        <v>1658</v>
      </c>
      <c r="D77" t="s">
        <v>1799</v>
      </c>
      <c r="E77" t="s">
        <v>1776</v>
      </c>
      <c r="F77" t="s">
        <v>1820</v>
      </c>
    </row>
    <row r="78" spans="1:6" ht="12.75" customHeight="1">
      <c r="A78" s="40" t="s">
        <v>1821</v>
      </c>
      <c r="B78" s="3" t="s">
        <v>1821</v>
      </c>
      <c r="C78" s="3" t="s">
        <v>1658</v>
      </c>
      <c r="D78" t="s">
        <v>1799</v>
      </c>
      <c r="E78" t="s">
        <v>1776</v>
      </c>
      <c r="F78" t="s">
        <v>1822</v>
      </c>
    </row>
    <row r="79" spans="1:6" ht="12.75" customHeight="1">
      <c r="A79" s="3" t="s">
        <v>1823</v>
      </c>
      <c r="B79" s="3" t="s">
        <v>1823</v>
      </c>
      <c r="C79" s="3" t="s">
        <v>1658</v>
      </c>
      <c r="E79" t="s">
        <v>1776</v>
      </c>
      <c r="F79" t="s">
        <v>1824</v>
      </c>
    </row>
    <row r="80" spans="1:6" ht="12.75" customHeight="1">
      <c r="A80" s="3" t="s">
        <v>1825</v>
      </c>
      <c r="B80" s="3" t="s">
        <v>1825</v>
      </c>
      <c r="C80" s="3" t="s">
        <v>1658</v>
      </c>
      <c r="D80" t="s">
        <v>1799</v>
      </c>
      <c r="E80" t="s">
        <v>1776</v>
      </c>
      <c r="F80" t="s">
        <v>1826</v>
      </c>
    </row>
    <row r="81" spans="1:6" ht="12.75" customHeight="1">
      <c r="A81" s="3" t="s">
        <v>1827</v>
      </c>
      <c r="B81" s="3" t="s">
        <v>1827</v>
      </c>
      <c r="C81" s="3" t="s">
        <v>1658</v>
      </c>
      <c r="D81" t="s">
        <v>1799</v>
      </c>
      <c r="E81" t="s">
        <v>1776</v>
      </c>
      <c r="F81" t="s">
        <v>1828</v>
      </c>
    </row>
    <row r="82" spans="1:6" ht="12.75" customHeight="1">
      <c r="A82" s="3" t="s">
        <v>1829</v>
      </c>
      <c r="B82" s="3" t="s">
        <v>1829</v>
      </c>
      <c r="C82" s="3" t="s">
        <v>1658</v>
      </c>
      <c r="D82" t="s">
        <v>1799</v>
      </c>
      <c r="E82" t="s">
        <v>1776</v>
      </c>
      <c r="F82" t="s">
        <v>1830</v>
      </c>
    </row>
    <row r="83" spans="1:6" ht="12.75" customHeight="1">
      <c r="A83" s="3" t="s">
        <v>1831</v>
      </c>
      <c r="B83" s="3" t="s">
        <v>1831</v>
      </c>
      <c r="C83" s="3" t="s">
        <v>1658</v>
      </c>
      <c r="D83" t="s">
        <v>1799</v>
      </c>
      <c r="E83" t="s">
        <v>1776</v>
      </c>
      <c r="F83" t="s">
        <v>1832</v>
      </c>
    </row>
    <row r="84" spans="1:6" ht="12.75" customHeight="1">
      <c r="A84" s="3" t="s">
        <v>1833</v>
      </c>
      <c r="B84" s="3" t="s">
        <v>1833</v>
      </c>
      <c r="C84" s="3" t="s">
        <v>1658</v>
      </c>
      <c r="D84" t="s">
        <v>1799</v>
      </c>
      <c r="E84" t="s">
        <v>1776</v>
      </c>
      <c r="F84" t="s">
        <v>1834</v>
      </c>
    </row>
    <row r="85" spans="1:6" ht="12.75" customHeight="1">
      <c r="A85" s="3" t="s">
        <v>1835</v>
      </c>
      <c r="B85" s="3" t="s">
        <v>1835</v>
      </c>
      <c r="C85" s="3" t="s">
        <v>1658</v>
      </c>
      <c r="D85" t="s">
        <v>1799</v>
      </c>
      <c r="E85" t="s">
        <v>1776</v>
      </c>
      <c r="F85" t="s">
        <v>1836</v>
      </c>
    </row>
    <row r="86" spans="1:6" ht="12.75" customHeight="1">
      <c r="A86" s="3" t="s">
        <v>1837</v>
      </c>
      <c r="B86" s="3" t="s">
        <v>1838</v>
      </c>
      <c r="C86" s="3" t="s">
        <v>1658</v>
      </c>
      <c r="D86" t="s">
        <v>1799</v>
      </c>
      <c r="E86" t="s">
        <v>1776</v>
      </c>
      <c r="F86" t="s">
        <v>1839</v>
      </c>
    </row>
    <row r="87" spans="1:6" ht="12.75" customHeight="1">
      <c r="A87" s="3" t="s">
        <v>1840</v>
      </c>
      <c r="B87" s="3" t="s">
        <v>1841</v>
      </c>
      <c r="C87" s="3" t="s">
        <v>1658</v>
      </c>
      <c r="D87" t="s">
        <v>1799</v>
      </c>
      <c r="E87" t="s">
        <v>1776</v>
      </c>
      <c r="F87" t="s">
        <v>1842</v>
      </c>
    </row>
    <row r="88" spans="1:6" ht="12.75" customHeight="1">
      <c r="A88" s="3" t="s">
        <v>1843</v>
      </c>
      <c r="B88" s="3" t="s">
        <v>1843</v>
      </c>
      <c r="C88" s="3" t="s">
        <v>1658</v>
      </c>
      <c r="D88" t="s">
        <v>1799</v>
      </c>
      <c r="E88" t="s">
        <v>1776</v>
      </c>
      <c r="F88" t="s">
        <v>1844</v>
      </c>
    </row>
    <row r="89" spans="1:6" ht="12.75" customHeight="1">
      <c r="A89" s="3" t="s">
        <v>1845</v>
      </c>
      <c r="B89" s="3" t="s">
        <v>1845</v>
      </c>
      <c r="C89" s="3" t="s">
        <v>1658</v>
      </c>
      <c r="D89" t="s">
        <v>1799</v>
      </c>
      <c r="E89" t="s">
        <v>1776</v>
      </c>
      <c r="F89" t="s">
        <v>1846</v>
      </c>
    </row>
    <row r="90" spans="1:6" ht="12.75" customHeight="1">
      <c r="A90" s="3" t="s">
        <v>1847</v>
      </c>
      <c r="B90" s="3" t="s">
        <v>1847</v>
      </c>
      <c r="C90" s="3" t="s">
        <v>1658</v>
      </c>
      <c r="D90" t="s">
        <v>1799</v>
      </c>
      <c r="E90" t="s">
        <v>1776</v>
      </c>
      <c r="F90" t="s">
        <v>1848</v>
      </c>
    </row>
    <row r="91" spans="1:6" ht="12.75" customHeight="1">
      <c r="A91" s="40" t="s">
        <v>1849</v>
      </c>
      <c r="B91" s="3" t="s">
        <v>1849</v>
      </c>
      <c r="C91" s="3" t="s">
        <v>1658</v>
      </c>
      <c r="D91" t="s">
        <v>1799</v>
      </c>
      <c r="E91" t="s">
        <v>1776</v>
      </c>
      <c r="F91" t="s">
        <v>1850</v>
      </c>
    </row>
    <row r="92" spans="1:6" ht="12.75" customHeight="1">
      <c r="A92" s="40" t="s">
        <v>1851</v>
      </c>
      <c r="B92" s="3" t="s">
        <v>1851</v>
      </c>
      <c r="C92" s="3" t="s">
        <v>1658</v>
      </c>
      <c r="D92" t="s">
        <v>1799</v>
      </c>
      <c r="E92" t="s">
        <v>1776</v>
      </c>
      <c r="F92" t="s">
        <v>1852</v>
      </c>
    </row>
    <row r="93" spans="1:6" ht="12.75" customHeight="1">
      <c r="A93" s="40" t="s">
        <v>1853</v>
      </c>
      <c r="B93" s="3" t="s">
        <v>1853</v>
      </c>
      <c r="C93" s="3" t="s">
        <v>1658</v>
      </c>
      <c r="E93" t="s">
        <v>1776</v>
      </c>
      <c r="F93" t="s">
        <v>1854</v>
      </c>
    </row>
    <row r="94" spans="1:6" ht="12.75" customHeight="1">
      <c r="A94" s="40" t="s">
        <v>1855</v>
      </c>
      <c r="B94" s="3" t="s">
        <v>1855</v>
      </c>
      <c r="C94" s="3" t="s">
        <v>1658</v>
      </c>
      <c r="E94" t="s">
        <v>1659</v>
      </c>
      <c r="F94" t="s">
        <v>1856</v>
      </c>
    </row>
    <row r="95" spans="1:6" ht="12.75" customHeight="1">
      <c r="A95" s="40" t="s">
        <v>1857</v>
      </c>
      <c r="B95" s="3" t="s">
        <v>1857</v>
      </c>
      <c r="C95" s="3" t="s">
        <v>1658</v>
      </c>
      <c r="E95" t="s">
        <v>1659</v>
      </c>
      <c r="F95" t="s">
        <v>1858</v>
      </c>
    </row>
    <row r="96" spans="1:6" ht="12.75" customHeight="1">
      <c r="A96" s="3" t="s">
        <v>1853</v>
      </c>
      <c r="B96" s="3" t="s">
        <v>1859</v>
      </c>
      <c r="C96" s="3" t="s">
        <v>1658</v>
      </c>
      <c r="E96" t="s">
        <v>1776</v>
      </c>
      <c r="F96" t="s">
        <v>1860</v>
      </c>
    </row>
    <row r="97" spans="1:6" ht="12.75" customHeight="1">
      <c r="A97" s="3" t="s">
        <v>1861</v>
      </c>
      <c r="B97" s="3" t="s">
        <v>1861</v>
      </c>
      <c r="C97" s="3" t="s">
        <v>1658</v>
      </c>
      <c r="D97" t="s">
        <v>1799</v>
      </c>
      <c r="E97" t="s">
        <v>1776</v>
      </c>
      <c r="F97" t="s">
        <v>1862</v>
      </c>
    </row>
    <row r="98" spans="1:6" ht="12.75" customHeight="1">
      <c r="A98" s="40" t="s">
        <v>1863</v>
      </c>
      <c r="B98" s="40" t="s">
        <v>1863</v>
      </c>
      <c r="C98" s="3" t="s">
        <v>1658</v>
      </c>
      <c r="D98" t="s">
        <v>1775</v>
      </c>
      <c r="E98" s="65" t="s">
        <v>1864</v>
      </c>
      <c r="F98" s="65" t="s">
        <v>1865</v>
      </c>
    </row>
    <row r="99" spans="1:6" ht="12.75" customHeight="1">
      <c r="A99" s="40" t="s">
        <v>1866</v>
      </c>
      <c r="B99" s="40" t="s">
        <v>1866</v>
      </c>
      <c r="C99" s="3" t="s">
        <v>1658</v>
      </c>
      <c r="D99" t="s">
        <v>1799</v>
      </c>
      <c r="E99" s="65" t="s">
        <v>1867</v>
      </c>
      <c r="F99" s="65" t="s">
        <v>1868</v>
      </c>
    </row>
    <row r="100" spans="1:6" ht="12.75" customHeight="1">
      <c r="A100" s="40" t="s">
        <v>1869</v>
      </c>
      <c r="B100" s="40" t="s">
        <v>1869</v>
      </c>
      <c r="C100" s="3" t="s">
        <v>1658</v>
      </c>
      <c r="E100" s="65" t="s">
        <v>1870</v>
      </c>
      <c r="F100" s="65" t="s">
        <v>1871</v>
      </c>
    </row>
    <row r="101" spans="1:6" ht="12.75" customHeight="1">
      <c r="A101" s="40" t="s">
        <v>1872</v>
      </c>
      <c r="B101" s="40" t="s">
        <v>1872</v>
      </c>
      <c r="C101" s="3" t="s">
        <v>1658</v>
      </c>
      <c r="D101" t="s">
        <v>1799</v>
      </c>
      <c r="E101" s="65" t="s">
        <v>1867</v>
      </c>
      <c r="F101" s="65" t="s">
        <v>1873</v>
      </c>
    </row>
    <row r="102" spans="1:6" ht="12.75" customHeight="1">
      <c r="A102" s="40" t="s">
        <v>1874</v>
      </c>
      <c r="B102" s="40" t="s">
        <v>1874</v>
      </c>
      <c r="C102" s="3" t="s">
        <v>1658</v>
      </c>
      <c r="D102" t="s">
        <v>1799</v>
      </c>
      <c r="E102" s="65" t="s">
        <v>1776</v>
      </c>
      <c r="F102" s="65" t="s">
        <v>1875</v>
      </c>
    </row>
    <row r="103" spans="1:6" ht="12.75" customHeight="1">
      <c r="A103" s="40" t="s">
        <v>1876</v>
      </c>
      <c r="B103" s="40" t="s">
        <v>1876</v>
      </c>
      <c r="C103" s="3" t="s">
        <v>1658</v>
      </c>
      <c r="E103" s="65" t="s">
        <v>1867</v>
      </c>
      <c r="F103" s="65" t="s">
        <v>1877</v>
      </c>
    </row>
    <row r="104" spans="1:6" ht="12.75" customHeight="1">
      <c r="A104" s="40" t="s">
        <v>1878</v>
      </c>
      <c r="B104" s="40" t="s">
        <v>1878</v>
      </c>
      <c r="C104" s="3" t="s">
        <v>1658</v>
      </c>
      <c r="D104" t="s">
        <v>1775</v>
      </c>
      <c r="E104" s="65" t="s">
        <v>1867</v>
      </c>
      <c r="F104" s="65" t="s">
        <v>1879</v>
      </c>
    </row>
    <row r="105" spans="1:6" ht="12.75" customHeight="1">
      <c r="A105" s="40" t="s">
        <v>1880</v>
      </c>
      <c r="B105" s="40" t="s">
        <v>1881</v>
      </c>
      <c r="C105" s="3" t="s">
        <v>1658</v>
      </c>
      <c r="E105" s="65" t="s">
        <v>1659</v>
      </c>
      <c r="F105" s="65" t="s">
        <v>1882</v>
      </c>
    </row>
    <row r="106" spans="1:6" ht="12.75" customHeight="1">
      <c r="A106" s="40" t="s">
        <v>1883</v>
      </c>
      <c r="B106" s="40" t="s">
        <v>1884</v>
      </c>
      <c r="C106" s="3" t="s">
        <v>1658</v>
      </c>
      <c r="E106" s="65" t="s">
        <v>1659</v>
      </c>
      <c r="F106" s="65" t="s">
        <v>1885</v>
      </c>
    </row>
    <row r="107" spans="1:6" ht="12.75" customHeight="1">
      <c r="A107" s="40" t="s">
        <v>1886</v>
      </c>
      <c r="B107" s="40" t="s">
        <v>1886</v>
      </c>
      <c r="C107" s="3" t="s">
        <v>1658</v>
      </c>
      <c r="D107" t="s">
        <v>1799</v>
      </c>
      <c r="E107" s="65" t="s">
        <v>1867</v>
      </c>
      <c r="F107" s="65" t="s">
        <v>1887</v>
      </c>
    </row>
    <row r="108" spans="1:6" ht="12.75" customHeight="1">
      <c r="A108" s="40" t="s">
        <v>1888</v>
      </c>
      <c r="B108" s="40" t="s">
        <v>1888</v>
      </c>
      <c r="C108" s="3" t="s">
        <v>1658</v>
      </c>
      <c r="D108" t="s">
        <v>1799</v>
      </c>
      <c r="E108" s="65" t="s">
        <v>1776</v>
      </c>
      <c r="F108" s="65" t="s">
        <v>1889</v>
      </c>
    </row>
    <row r="109" spans="1:6" ht="12.75" customHeight="1">
      <c r="A109" s="40" t="s">
        <v>1890</v>
      </c>
      <c r="B109" s="40" t="s">
        <v>1890</v>
      </c>
      <c r="C109" s="3" t="s">
        <v>1658</v>
      </c>
      <c r="D109" t="s">
        <v>1775</v>
      </c>
      <c r="E109" s="65" t="s">
        <v>1776</v>
      </c>
      <c r="F109" s="65" t="s">
        <v>1891</v>
      </c>
    </row>
    <row r="110" spans="1:6" ht="12.75" customHeight="1">
      <c r="A110" s="40" t="s">
        <v>1892</v>
      </c>
      <c r="B110" s="40" t="s">
        <v>1892</v>
      </c>
      <c r="C110" s="3" t="s">
        <v>1658</v>
      </c>
      <c r="D110" t="s">
        <v>1893</v>
      </c>
      <c r="E110" s="65" t="s">
        <v>1776</v>
      </c>
      <c r="F110" s="65" t="s">
        <v>1894</v>
      </c>
    </row>
    <row r="111" spans="1:6" ht="12.75" customHeight="1">
      <c r="A111" s="40" t="s">
        <v>1895</v>
      </c>
      <c r="B111" s="40" t="s">
        <v>1895</v>
      </c>
      <c r="C111" s="3" t="s">
        <v>1658</v>
      </c>
      <c r="D111" t="s">
        <v>1799</v>
      </c>
      <c r="E111" s="65" t="s">
        <v>1776</v>
      </c>
      <c r="F111" s="65" t="s">
        <v>1896</v>
      </c>
    </row>
    <row r="112" spans="1:6" ht="12.75" customHeight="1">
      <c r="A112" s="40" t="s">
        <v>1897</v>
      </c>
      <c r="B112" s="40" t="s">
        <v>1897</v>
      </c>
      <c r="C112" s="3" t="s">
        <v>1658</v>
      </c>
      <c r="D112" t="s">
        <v>1799</v>
      </c>
      <c r="E112" s="65" t="s">
        <v>1867</v>
      </c>
      <c r="F112" s="65" t="s">
        <v>1898</v>
      </c>
    </row>
    <row r="113" spans="1:6" ht="12.75" customHeight="1">
      <c r="A113" s="40" t="s">
        <v>1899</v>
      </c>
      <c r="B113" s="40" t="s">
        <v>1899</v>
      </c>
      <c r="C113" s="3" t="s">
        <v>1658</v>
      </c>
      <c r="D113" t="s">
        <v>1799</v>
      </c>
      <c r="E113" s="65" t="s">
        <v>1867</v>
      </c>
      <c r="F113" s="65" t="s">
        <v>1900</v>
      </c>
    </row>
    <row r="114" spans="1:6" ht="12.75" customHeight="1">
      <c r="A114" s="40" t="s">
        <v>1901</v>
      </c>
      <c r="B114" s="40" t="s">
        <v>1901</v>
      </c>
      <c r="C114" s="3" t="s">
        <v>1658</v>
      </c>
      <c r="D114" t="s">
        <v>1775</v>
      </c>
      <c r="E114" s="65" t="s">
        <v>1867</v>
      </c>
      <c r="F114" s="65" t="s">
        <v>1902</v>
      </c>
    </row>
    <row r="115" spans="1:6" ht="12.75" customHeight="1">
      <c r="A115" s="40" t="s">
        <v>1903</v>
      </c>
      <c r="B115" s="40" t="s">
        <v>1903</v>
      </c>
      <c r="C115" s="3" t="s">
        <v>1658</v>
      </c>
      <c r="E115" s="65" t="s">
        <v>1867</v>
      </c>
      <c r="F115" s="65" t="s">
        <v>1904</v>
      </c>
    </row>
    <row r="116" spans="1:6" ht="12.75" customHeight="1">
      <c r="A116" s="40" t="s">
        <v>1905</v>
      </c>
      <c r="B116" s="40" t="s">
        <v>1905</v>
      </c>
      <c r="C116" s="3" t="s">
        <v>1658</v>
      </c>
      <c r="D116" t="s">
        <v>1799</v>
      </c>
      <c r="E116" s="65" t="s">
        <v>1867</v>
      </c>
      <c r="F116" s="65" t="s">
        <v>1906</v>
      </c>
    </row>
    <row r="117" spans="1:6" ht="12.75" customHeight="1">
      <c r="A117" s="40" t="s">
        <v>1907</v>
      </c>
      <c r="B117" s="40" t="s">
        <v>1907</v>
      </c>
      <c r="C117" s="3" t="s">
        <v>1658</v>
      </c>
      <c r="E117" s="65" t="s">
        <v>1659</v>
      </c>
      <c r="F117" s="65" t="s">
        <v>1908</v>
      </c>
    </row>
    <row r="118" spans="1:6" ht="12.75" customHeight="1">
      <c r="A118" s="40" t="s">
        <v>1909</v>
      </c>
      <c r="B118" s="40" t="s">
        <v>1909</v>
      </c>
      <c r="C118" s="3" t="s">
        <v>1658</v>
      </c>
      <c r="D118" t="s">
        <v>1799</v>
      </c>
      <c r="E118" s="65" t="s">
        <v>1776</v>
      </c>
      <c r="F118" s="65" t="s">
        <v>1910</v>
      </c>
    </row>
    <row r="119" spans="1:6" ht="12.75" customHeight="1">
      <c r="A119" s="40" t="s">
        <v>1911</v>
      </c>
      <c r="B119" s="3" t="s">
        <v>1911</v>
      </c>
      <c r="C119" s="3" t="s">
        <v>1658</v>
      </c>
      <c r="E119" s="65" t="s">
        <v>1659</v>
      </c>
      <c r="F119" t="s">
        <v>176</v>
      </c>
    </row>
    <row r="120" spans="1:6" ht="12.75" customHeight="1">
      <c r="A120" s="40" t="s">
        <v>1912</v>
      </c>
      <c r="B120" s="40" t="s">
        <v>1912</v>
      </c>
      <c r="C120" s="3" t="s">
        <v>1658</v>
      </c>
      <c r="E120" s="65" t="s">
        <v>1659</v>
      </c>
      <c r="F120" t="s">
        <v>1913</v>
      </c>
    </row>
    <row r="121" spans="1:6" ht="12.75" customHeight="1">
      <c r="A121" s="40" t="s">
        <v>1914</v>
      </c>
      <c r="B121" s="40" t="s">
        <v>1914</v>
      </c>
      <c r="C121" s="3" t="s">
        <v>1658</v>
      </c>
      <c r="E121" s="65" t="s">
        <v>1659</v>
      </c>
      <c r="F121" t="s">
        <v>1915</v>
      </c>
    </row>
    <row r="122" spans="1:6" ht="12.75" customHeight="1">
      <c r="A122" s="40" t="s">
        <v>1916</v>
      </c>
      <c r="B122" s="3" t="s">
        <v>1916</v>
      </c>
      <c r="C122" s="3" t="s">
        <v>1658</v>
      </c>
      <c r="E122" t="s">
        <v>1659</v>
      </c>
      <c r="F122" t="s">
        <v>1917</v>
      </c>
    </row>
    <row r="123" spans="1:6" ht="12.75" customHeight="1">
      <c r="A123" s="40" t="s">
        <v>1918</v>
      </c>
      <c r="B123" s="3" t="s">
        <v>1918</v>
      </c>
      <c r="C123" s="3" t="s">
        <v>1658</v>
      </c>
      <c r="E123" t="s">
        <v>1659</v>
      </c>
      <c r="F123" t="s">
        <v>1919</v>
      </c>
    </row>
    <row r="124" spans="1:6" ht="12.75" customHeight="1">
      <c r="A124" s="40" t="s">
        <v>1920</v>
      </c>
      <c r="B124" s="3" t="s">
        <v>1920</v>
      </c>
      <c r="C124" s="3" t="s">
        <v>1658</v>
      </c>
      <c r="E124" t="s">
        <v>1659</v>
      </c>
      <c r="F124" t="s">
        <v>1921</v>
      </c>
    </row>
    <row r="125" spans="1:6" ht="12.75" customHeight="1">
      <c r="A125" s="40" t="s">
        <v>1922</v>
      </c>
      <c r="B125" s="3" t="s">
        <v>1922</v>
      </c>
      <c r="C125" s="3" t="s">
        <v>1658</v>
      </c>
      <c r="E125" t="s">
        <v>1659</v>
      </c>
      <c r="F125" t="s">
        <v>1923</v>
      </c>
    </row>
    <row r="126" spans="1:6" ht="12.75" customHeight="1">
      <c r="A126" s="40" t="s">
        <v>1924</v>
      </c>
      <c r="B126" s="3" t="s">
        <v>1924</v>
      </c>
      <c r="C126" s="3" t="s">
        <v>1658</v>
      </c>
      <c r="E126" t="s">
        <v>1659</v>
      </c>
      <c r="F126" t="s">
        <v>1925</v>
      </c>
    </row>
    <row r="127" spans="1:6" ht="12.75" customHeight="1">
      <c r="A127" s="40" t="s">
        <v>1926</v>
      </c>
      <c r="B127" s="3" t="s">
        <v>1926</v>
      </c>
      <c r="C127" s="3" t="s">
        <v>1658</v>
      </c>
      <c r="E127" t="s">
        <v>1659</v>
      </c>
      <c r="F127" t="s">
        <v>1927</v>
      </c>
    </row>
    <row r="128" spans="1:6" ht="12.75" customHeight="1">
      <c r="A128" s="40" t="s">
        <v>1928</v>
      </c>
      <c r="B128" s="3" t="s">
        <v>1928</v>
      </c>
      <c r="C128" s="3" t="s">
        <v>1658</v>
      </c>
      <c r="E128" t="s">
        <v>1659</v>
      </c>
      <c r="F128" t="s">
        <v>1929</v>
      </c>
    </row>
    <row r="129" spans="1:6" ht="12.75" customHeight="1">
      <c r="A129" s="40" t="s">
        <v>1930</v>
      </c>
      <c r="B129" s="3" t="s">
        <v>1930</v>
      </c>
      <c r="C129" s="3" t="s">
        <v>1658</v>
      </c>
      <c r="E129" t="s">
        <v>1659</v>
      </c>
      <c r="F129" t="s">
        <v>1931</v>
      </c>
    </row>
    <row r="130" spans="1:6" ht="12.75" customHeight="1">
      <c r="A130" s="40" t="s">
        <v>1932</v>
      </c>
      <c r="B130" s="3" t="s">
        <v>1932</v>
      </c>
      <c r="C130" s="3" t="s">
        <v>1658</v>
      </c>
      <c r="E130" t="s">
        <v>1659</v>
      </c>
      <c r="F130" t="s">
        <v>1933</v>
      </c>
    </row>
    <row r="131" spans="1:6" ht="12.75" customHeight="1">
      <c r="A131" s="40" t="s">
        <v>1934</v>
      </c>
      <c r="B131" s="3" t="s">
        <v>1934</v>
      </c>
      <c r="C131" s="3" t="s">
        <v>1658</v>
      </c>
      <c r="E131" t="s">
        <v>1659</v>
      </c>
      <c r="F131" t="s">
        <v>1935</v>
      </c>
    </row>
    <row r="132" spans="1:6" ht="12.75" customHeight="1">
      <c r="A132" s="40" t="s">
        <v>1936</v>
      </c>
      <c r="B132" s="3" t="s">
        <v>1936</v>
      </c>
      <c r="C132" s="3" t="s">
        <v>1658</v>
      </c>
      <c r="E132" t="s">
        <v>1659</v>
      </c>
      <c r="F132" t="s">
        <v>1937</v>
      </c>
    </row>
    <row r="133" spans="1:6" ht="12.75" customHeight="1">
      <c r="A133" s="40" t="s">
        <v>1938</v>
      </c>
      <c r="B133" s="3" t="s">
        <v>1938</v>
      </c>
      <c r="C133" s="3" t="s">
        <v>1658</v>
      </c>
      <c r="E133" t="s">
        <v>1659</v>
      </c>
      <c r="F133" t="s">
        <v>1939</v>
      </c>
    </row>
    <row r="134" spans="1:6" ht="12.75" customHeight="1">
      <c r="A134" s="40" t="s">
        <v>1940</v>
      </c>
      <c r="B134" s="3" t="s">
        <v>1940</v>
      </c>
      <c r="C134" s="3" t="s">
        <v>1658</v>
      </c>
      <c r="E134" t="s">
        <v>1659</v>
      </c>
      <c r="F134" t="s">
        <v>1941</v>
      </c>
    </row>
    <row r="135" spans="1:6" ht="12.75" customHeight="1">
      <c r="A135" s="40" t="s">
        <v>1942</v>
      </c>
      <c r="B135" s="3" t="s">
        <v>1942</v>
      </c>
      <c r="C135" s="3" t="s">
        <v>1658</v>
      </c>
      <c r="E135" t="s">
        <v>1659</v>
      </c>
      <c r="F135" t="s">
        <v>1943</v>
      </c>
    </row>
    <row r="136" spans="1:6" ht="12.75" customHeight="1">
      <c r="A136" s="40" t="s">
        <v>1944</v>
      </c>
      <c r="B136" s="3" t="s">
        <v>1944</v>
      </c>
      <c r="C136" s="3" t="s">
        <v>1658</v>
      </c>
      <c r="E136" t="s">
        <v>1659</v>
      </c>
      <c r="F136" t="s">
        <v>1945</v>
      </c>
    </row>
    <row r="137" spans="1:6" ht="12.75" customHeight="1">
      <c r="A137" s="40" t="s">
        <v>1946</v>
      </c>
      <c r="B137" s="3" t="s">
        <v>1946</v>
      </c>
      <c r="C137" s="3" t="s">
        <v>1658</v>
      </c>
      <c r="E137" t="s">
        <v>1659</v>
      </c>
      <c r="F137" t="s">
        <v>1947</v>
      </c>
    </row>
    <row r="138" spans="1:6" ht="12.75" customHeight="1">
      <c r="A138" s="40" t="s">
        <v>1948</v>
      </c>
      <c r="B138" s="3" t="s">
        <v>1948</v>
      </c>
      <c r="C138" s="3" t="s">
        <v>1658</v>
      </c>
      <c r="E138" t="s">
        <v>1659</v>
      </c>
      <c r="F138" t="s">
        <v>1949</v>
      </c>
    </row>
    <row r="139" spans="1:6" ht="12.75" customHeight="1">
      <c r="A139" s="40" t="s">
        <v>1950</v>
      </c>
      <c r="B139" s="3" t="s">
        <v>1950</v>
      </c>
      <c r="C139" s="3" t="s">
        <v>1658</v>
      </c>
      <c r="E139" t="s">
        <v>1659</v>
      </c>
      <c r="F139" t="s">
        <v>1951</v>
      </c>
    </row>
    <row r="140" spans="1:6" ht="12.75" customHeight="1">
      <c r="A140" s="40" t="s">
        <v>1952</v>
      </c>
      <c r="B140" s="3" t="s">
        <v>1952</v>
      </c>
      <c r="C140" s="3" t="s">
        <v>1658</v>
      </c>
      <c r="E140" t="s">
        <v>1659</v>
      </c>
      <c r="F140" t="s">
        <v>1953</v>
      </c>
    </row>
    <row r="141" spans="1:6" ht="12.75" customHeight="1">
      <c r="A141" s="40" t="s">
        <v>1954</v>
      </c>
      <c r="B141" s="3" t="s">
        <v>1954</v>
      </c>
      <c r="C141" s="3" t="s">
        <v>1658</v>
      </c>
      <c r="E141" t="s">
        <v>1659</v>
      </c>
      <c r="F141" t="s">
        <v>1955</v>
      </c>
    </row>
    <row r="142" spans="1:6" ht="12.75" customHeight="1">
      <c r="A142" s="40" t="s">
        <v>1956</v>
      </c>
      <c r="B142" s="3" t="s">
        <v>1956</v>
      </c>
      <c r="C142" s="3" t="s">
        <v>1658</v>
      </c>
      <c r="E142" t="s">
        <v>1659</v>
      </c>
      <c r="F142" t="s">
        <v>1957</v>
      </c>
    </row>
    <row r="143" spans="1:6" ht="12.75" customHeight="1">
      <c r="A143" s="40" t="s">
        <v>1958</v>
      </c>
      <c r="B143" s="3" t="s">
        <v>1958</v>
      </c>
      <c r="C143" s="3" t="s">
        <v>1658</v>
      </c>
      <c r="E143" t="s">
        <v>1659</v>
      </c>
      <c r="F143" t="s">
        <v>1959</v>
      </c>
    </row>
    <row r="144" spans="1:6" ht="12.75" customHeight="1">
      <c r="A144" s="40" t="s">
        <v>1960</v>
      </c>
      <c r="B144" s="3" t="s">
        <v>1961</v>
      </c>
      <c r="C144" s="3" t="s">
        <v>1962</v>
      </c>
      <c r="E144" t="s">
        <v>1659</v>
      </c>
      <c r="F144" t="s">
        <v>1963</v>
      </c>
    </row>
    <row r="145" spans="1:6" ht="12.75" customHeight="1">
      <c r="A145" s="40" t="s">
        <v>1964</v>
      </c>
      <c r="B145" s="3" t="s">
        <v>1965</v>
      </c>
      <c r="C145" s="3" t="s">
        <v>1962</v>
      </c>
      <c r="E145" t="s">
        <v>1659</v>
      </c>
      <c r="F145" t="s">
        <v>1966</v>
      </c>
    </row>
    <row r="146" spans="1:6" ht="12.75" customHeight="1">
      <c r="A146" s="40" t="s">
        <v>1967</v>
      </c>
      <c r="B146" s="3" t="s">
        <v>1968</v>
      </c>
      <c r="C146" s="3" t="s">
        <v>1962</v>
      </c>
      <c r="E146" t="s">
        <v>1659</v>
      </c>
      <c r="F146" t="s">
        <v>1969</v>
      </c>
    </row>
    <row r="147" spans="1:6" ht="12.75" customHeight="1">
      <c r="A147" s="40" t="s">
        <v>1970</v>
      </c>
      <c r="B147" s="3" t="s">
        <v>1970</v>
      </c>
      <c r="C147" s="3" t="s">
        <v>1658</v>
      </c>
      <c r="E147" t="s">
        <v>1659</v>
      </c>
      <c r="F147" t="s">
        <v>1971</v>
      </c>
    </row>
    <row r="148" spans="1:6" ht="12.75" customHeight="1">
      <c r="A148" s="40" t="s">
        <v>1972</v>
      </c>
      <c r="B148" s="3" t="s">
        <v>1972</v>
      </c>
      <c r="C148" s="3" t="s">
        <v>1658</v>
      </c>
      <c r="E148" t="s">
        <v>1659</v>
      </c>
      <c r="F148" t="s">
        <v>1973</v>
      </c>
    </row>
    <row r="149" spans="1:6" ht="12.75" customHeight="1">
      <c r="A149" s="40" t="s">
        <v>1974</v>
      </c>
      <c r="B149" s="3" t="s">
        <v>1974</v>
      </c>
      <c r="C149" s="3" t="s">
        <v>1658</v>
      </c>
      <c r="E149" t="s">
        <v>1776</v>
      </c>
      <c r="F149" t="s">
        <v>1975</v>
      </c>
    </row>
    <row r="150" spans="1:6" ht="12.75" customHeight="1">
      <c r="A150" s="40" t="s">
        <v>1976</v>
      </c>
      <c r="B150" s="3" t="s">
        <v>1976</v>
      </c>
      <c r="C150" s="3" t="s">
        <v>1658</v>
      </c>
      <c r="E150" t="s">
        <v>1776</v>
      </c>
      <c r="F150" t="s">
        <v>1977</v>
      </c>
    </row>
    <row r="151" spans="1:6" ht="12.75" customHeight="1">
      <c r="A151" s="40" t="s">
        <v>1978</v>
      </c>
      <c r="B151" s="3" t="s">
        <v>1978</v>
      </c>
      <c r="C151" s="3" t="s">
        <v>1962</v>
      </c>
      <c r="E151" t="s">
        <v>1659</v>
      </c>
      <c r="F151" t="s">
        <v>1979</v>
      </c>
    </row>
    <row r="152" spans="1:6" ht="12.75" customHeight="1">
      <c r="A152" s="40" t="s">
        <v>1980</v>
      </c>
      <c r="B152" s="3" t="s">
        <v>1980</v>
      </c>
      <c r="C152" s="3" t="s">
        <v>1658</v>
      </c>
      <c r="E152" t="s">
        <v>1776</v>
      </c>
      <c r="F152" t="s">
        <v>1981</v>
      </c>
    </row>
    <row r="153" spans="1:6" ht="12.75" customHeight="1">
      <c r="A153" s="40" t="s">
        <v>1982</v>
      </c>
      <c r="B153" s="3" t="s">
        <v>1982</v>
      </c>
      <c r="C153" s="3" t="s">
        <v>1658</v>
      </c>
      <c r="E153" t="s">
        <v>1867</v>
      </c>
      <c r="F153" t="s">
        <v>1983</v>
      </c>
    </row>
    <row r="154" spans="1:6" ht="12.75" customHeight="1">
      <c r="A154" s="40" t="s">
        <v>1984</v>
      </c>
      <c r="B154" s="3" t="s">
        <v>1985</v>
      </c>
      <c r="C154" s="3" t="s">
        <v>1962</v>
      </c>
      <c r="E154" t="s">
        <v>1659</v>
      </c>
      <c r="F154" t="s">
        <v>1986</v>
      </c>
    </row>
    <row r="155" spans="1:6" ht="12.75" customHeight="1">
      <c r="A155" s="40" t="s">
        <v>1987</v>
      </c>
      <c r="B155" s="3" t="s">
        <v>1988</v>
      </c>
      <c r="C155" s="3" t="s">
        <v>1658</v>
      </c>
      <c r="E155" t="s">
        <v>1867</v>
      </c>
      <c r="F155" t="s">
        <v>1989</v>
      </c>
    </row>
    <row r="156" spans="1:6" ht="12.75" customHeight="1">
      <c r="A156" s="40" t="s">
        <v>1990</v>
      </c>
      <c r="B156" s="3" t="s">
        <v>1991</v>
      </c>
      <c r="C156" s="3" t="s">
        <v>1658</v>
      </c>
      <c r="E156" t="s">
        <v>1867</v>
      </c>
      <c r="F156" t="s">
        <v>1992</v>
      </c>
    </row>
    <row r="157" spans="1:6" ht="12.75" customHeight="1">
      <c r="A157" s="40" t="s">
        <v>1993</v>
      </c>
      <c r="B157" s="3" t="s">
        <v>1994</v>
      </c>
      <c r="C157" s="3" t="s">
        <v>1658</v>
      </c>
      <c r="E157" t="s">
        <v>1867</v>
      </c>
      <c r="F157" t="s">
        <v>1995</v>
      </c>
    </row>
    <row r="158" spans="1:6" ht="12.75" customHeight="1">
      <c r="A158" s="40" t="s">
        <v>1996</v>
      </c>
      <c r="B158" s="3" t="s">
        <v>1997</v>
      </c>
      <c r="C158" s="3" t="s">
        <v>1658</v>
      </c>
      <c r="E158" t="s">
        <v>1867</v>
      </c>
      <c r="F158" t="s">
        <v>1998</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425CE9BE-88F6-476A-BD8D-40E7BAC5D29B}"/>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7946C510-7D04-49D8-9B25-EEC04582A1CA}"/>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2025-08-06T12:02:07Z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