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5"/>
  <workbookPr codeName="ThisWorkbook" defaultThemeVersion="166925"/>
  <mc:AlternateContent xmlns:mc="http://schemas.openxmlformats.org/markup-compatibility/2006">
    <mc:Choice Requires="x15">
      <x15ac:absPath xmlns:x15ac="http://schemas.microsoft.com/office/spreadsheetml/2010/11/ac" url="https://libsysit-my.sharepoint.com/personal/kusumapotlada_amgsol_com/Documents/Microsoft Teams Chat Files/"/>
    </mc:Choice>
  </mc:AlternateContent>
  <xr:revisionPtr revIDLastSave="62" documentId="13_ncr:1_{617D2017-6601-43B2-BFDC-F40B962E74E0}" xr6:coauthVersionLast="47" xr6:coauthVersionMax="47" xr10:uidLastSave="{7762F197-6B0E-4D6B-9F15-AF8A1CDE2FEE}"/>
  <bookViews>
    <workbookView xWindow="-98" yWindow="-98" windowWidth="21795" windowHeight="12975" tabRatio="86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Jan!$A$3:$L$3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26" l="1"/>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4" i="26"/>
  <c r="F35" i="26"/>
  <c r="F36" i="26"/>
  <c r="F37" i="26"/>
  <c r="F38" i="26"/>
  <c r="F39" i="26"/>
  <c r="F40" i="26"/>
  <c r="F41" i="26"/>
  <c r="F42" i="26"/>
  <c r="F43" i="26"/>
  <c r="F44" i="26"/>
  <c r="F45" i="26"/>
  <c r="F5" i="26"/>
  <c r="F4" i="26"/>
  <c r="F4" i="27"/>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4" i="26"/>
  <c r="I35" i="26"/>
  <c r="I36" i="26"/>
  <c r="I37" i="26"/>
  <c r="I38" i="26"/>
  <c r="I39" i="26"/>
  <c r="I40" i="26"/>
  <c r="I41" i="26"/>
  <c r="I42" i="26"/>
  <c r="I43" i="26"/>
  <c r="I44" i="26"/>
  <c r="I45" i="26"/>
  <c r="I5" i="26"/>
  <c r="I4" i="26"/>
  <c r="I4" i="27"/>
  <c r="H6" i="26"/>
  <c r="H7" i="26"/>
  <c r="H8" i="26"/>
  <c r="H9" i="26"/>
  <c r="H10" i="26"/>
  <c r="H11" i="26"/>
  <c r="H12" i="26"/>
  <c r="H13" i="26"/>
  <c r="H13" i="29" s="1"/>
  <c r="I13" i="29" s="1"/>
  <c r="H14" i="26"/>
  <c r="H15" i="26"/>
  <c r="H16" i="26"/>
  <c r="H17" i="26"/>
  <c r="H18" i="26"/>
  <c r="H19" i="26"/>
  <c r="H19" i="29" s="1"/>
  <c r="H20" i="26"/>
  <c r="H21" i="26"/>
  <c r="H21" i="29" s="1"/>
  <c r="I21" i="29" s="1"/>
  <c r="H22" i="26"/>
  <c r="H23" i="26"/>
  <c r="H24" i="26"/>
  <c r="H25" i="26"/>
  <c r="H26" i="26"/>
  <c r="H26" i="29" s="1"/>
  <c r="H26" i="34" s="1"/>
  <c r="H27" i="26"/>
  <c r="H27" i="29" s="1"/>
  <c r="I27" i="29" s="1"/>
  <c r="H28" i="26"/>
  <c r="H29" i="26"/>
  <c r="H29" i="29" s="1"/>
  <c r="I29" i="29" s="1"/>
  <c r="H30" i="26"/>
  <c r="H31" i="26"/>
  <c r="H32" i="26"/>
  <c r="H33" i="26"/>
  <c r="H33" i="29" s="1"/>
  <c r="I33" i="29" s="1"/>
  <c r="H34" i="26"/>
  <c r="H34" i="29" s="1"/>
  <c r="H34" i="34" s="1"/>
  <c r="H35" i="26"/>
  <c r="H35" i="29" s="1"/>
  <c r="H36" i="26"/>
  <c r="H37" i="26"/>
  <c r="H37" i="29" s="1"/>
  <c r="I37" i="29" s="1"/>
  <c r="H38" i="26"/>
  <c r="H39" i="26"/>
  <c r="H40" i="26"/>
  <c r="H41" i="26"/>
  <c r="H42" i="26"/>
  <c r="H43" i="26"/>
  <c r="H43" i="29" s="1"/>
  <c r="I43" i="29" s="1"/>
  <c r="H44" i="26"/>
  <c r="H45" i="26"/>
  <c r="H5" i="26"/>
  <c r="H5" i="27"/>
  <c r="H4" i="26"/>
  <c r="H4" i="27"/>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F33" i="26" s="1"/>
  <c r="E34" i="26"/>
  <c r="E35" i="26"/>
  <c r="E36" i="26"/>
  <c r="E37" i="26"/>
  <c r="E38" i="26"/>
  <c r="E39" i="26"/>
  <c r="E40" i="26"/>
  <c r="E41" i="26"/>
  <c r="E42" i="26"/>
  <c r="E43" i="26"/>
  <c r="E44" i="26"/>
  <c r="E45" i="26"/>
  <c r="E5" i="26"/>
  <c r="E5" i="27"/>
  <c r="E4" i="26"/>
  <c r="C11" i="30"/>
  <c r="E11" i="30" s="1"/>
  <c r="F11" i="30" s="1"/>
  <c r="D11" i="30"/>
  <c r="G11" i="30"/>
  <c r="H11" i="30"/>
  <c r="I11" i="30" s="1"/>
  <c r="C12" i="30"/>
  <c r="E12" i="30" s="1"/>
  <c r="F12" i="30" s="1"/>
  <c r="D12" i="30"/>
  <c r="G12" i="30"/>
  <c r="H12" i="30"/>
  <c r="I12" i="30"/>
  <c r="C13" i="30"/>
  <c r="E13" i="30" s="1"/>
  <c r="F13" i="30" s="1"/>
  <c r="D13" i="30"/>
  <c r="G13" i="30"/>
  <c r="H13" i="30"/>
  <c r="I13" i="30" s="1"/>
  <c r="C14" i="30"/>
  <c r="D14" i="30"/>
  <c r="E14" i="30"/>
  <c r="F14" i="30" s="1"/>
  <c r="G14" i="30"/>
  <c r="I14" i="30" s="1"/>
  <c r="H14" i="30"/>
  <c r="C15" i="30"/>
  <c r="D15" i="30"/>
  <c r="E15" i="30" s="1"/>
  <c r="F15" i="30" s="1"/>
  <c r="G15" i="30"/>
  <c r="H15" i="30"/>
  <c r="I15" i="30" s="1"/>
  <c r="C16" i="30"/>
  <c r="D16" i="30"/>
  <c r="E16" i="30"/>
  <c r="F16" i="30" s="1"/>
  <c r="G16" i="30"/>
  <c r="I16" i="30" s="1"/>
  <c r="H16" i="30"/>
  <c r="C17" i="30"/>
  <c r="D17" i="30"/>
  <c r="E17" i="30" s="1"/>
  <c r="F17" i="30" s="1"/>
  <c r="G17" i="30"/>
  <c r="H17" i="30"/>
  <c r="I17" i="30" s="1"/>
  <c r="C18" i="30"/>
  <c r="E18" i="30" s="1"/>
  <c r="F18" i="30" s="1"/>
  <c r="D18" i="30"/>
  <c r="G18" i="30"/>
  <c r="H18" i="30"/>
  <c r="I18" i="30"/>
  <c r="C19" i="30"/>
  <c r="E19" i="30" s="1"/>
  <c r="F19" i="30" s="1"/>
  <c r="D19" i="30"/>
  <c r="D19" i="34" s="1"/>
  <c r="G19" i="30"/>
  <c r="H19" i="30"/>
  <c r="I19" i="30" s="1"/>
  <c r="C20" i="30"/>
  <c r="E20" i="30" s="1"/>
  <c r="F20" i="30" s="1"/>
  <c r="D20" i="30"/>
  <c r="G20" i="30"/>
  <c r="H20" i="30"/>
  <c r="I20" i="30"/>
  <c r="C21" i="30"/>
  <c r="E21" i="30" s="1"/>
  <c r="F21" i="30" s="1"/>
  <c r="D21" i="30"/>
  <c r="G21" i="30"/>
  <c r="H21" i="30"/>
  <c r="I21" i="30" s="1"/>
  <c r="C22" i="30"/>
  <c r="D22" i="30"/>
  <c r="E22" i="30"/>
  <c r="F22" i="30" s="1"/>
  <c r="G22" i="30"/>
  <c r="I22" i="30" s="1"/>
  <c r="H22" i="30"/>
  <c r="C23" i="30"/>
  <c r="D23" i="30"/>
  <c r="E23" i="30" s="1"/>
  <c r="F23" i="30" s="1"/>
  <c r="G23" i="30"/>
  <c r="H23" i="30"/>
  <c r="I23" i="30" s="1"/>
  <c r="C24" i="30"/>
  <c r="D24" i="30"/>
  <c r="E24" i="30"/>
  <c r="F24" i="30" s="1"/>
  <c r="G24" i="30"/>
  <c r="H24" i="30"/>
  <c r="C25" i="30"/>
  <c r="D25" i="30"/>
  <c r="E25" i="30" s="1"/>
  <c r="F25" i="30" s="1"/>
  <c r="G25" i="30"/>
  <c r="H25" i="30"/>
  <c r="I25" i="30" s="1"/>
  <c r="C26" i="30"/>
  <c r="E26" i="30" s="1"/>
  <c r="F26" i="30" s="1"/>
  <c r="D26" i="30"/>
  <c r="G26" i="30"/>
  <c r="H26" i="30"/>
  <c r="I26" i="30"/>
  <c r="C27" i="30"/>
  <c r="E27" i="30" s="1"/>
  <c r="F27" i="30" s="1"/>
  <c r="D27" i="30"/>
  <c r="G27" i="30"/>
  <c r="H27" i="30"/>
  <c r="I27" i="30" s="1"/>
  <c r="C28" i="30"/>
  <c r="E28" i="30" s="1"/>
  <c r="F28" i="30" s="1"/>
  <c r="D28" i="30"/>
  <c r="G28" i="30"/>
  <c r="H28" i="30"/>
  <c r="I28" i="30"/>
  <c r="C29" i="30"/>
  <c r="E29" i="30" s="1"/>
  <c r="F29" i="30" s="1"/>
  <c r="D29" i="30"/>
  <c r="G29" i="30"/>
  <c r="H29" i="30"/>
  <c r="I29" i="30" s="1"/>
  <c r="C30" i="30"/>
  <c r="D30" i="30"/>
  <c r="E30" i="30"/>
  <c r="F30" i="30" s="1"/>
  <c r="G30" i="30"/>
  <c r="I30" i="30" s="1"/>
  <c r="H30" i="30"/>
  <c r="C31" i="30"/>
  <c r="D31" i="30"/>
  <c r="E31" i="30" s="1"/>
  <c r="F31" i="30" s="1"/>
  <c r="G31" i="30"/>
  <c r="H31" i="30"/>
  <c r="I31" i="30" s="1"/>
  <c r="C32" i="30"/>
  <c r="D32" i="30"/>
  <c r="E32" i="30"/>
  <c r="F32" i="30" s="1"/>
  <c r="G32" i="30"/>
  <c r="I32" i="30" s="1"/>
  <c r="H32" i="30"/>
  <c r="C33" i="30"/>
  <c r="D33" i="30"/>
  <c r="E33" i="30" s="1"/>
  <c r="F33" i="30" s="1"/>
  <c r="G33" i="30"/>
  <c r="H33" i="30"/>
  <c r="I33" i="30" s="1"/>
  <c r="C34" i="30"/>
  <c r="E34" i="30" s="1"/>
  <c r="F34" i="30" s="1"/>
  <c r="D34" i="30"/>
  <c r="G34" i="30"/>
  <c r="H34" i="30"/>
  <c r="I34" i="30"/>
  <c r="C35" i="30"/>
  <c r="E35" i="30" s="1"/>
  <c r="F35" i="30" s="1"/>
  <c r="D35" i="30"/>
  <c r="G35" i="30"/>
  <c r="H35" i="30"/>
  <c r="I35" i="30" s="1"/>
  <c r="C36" i="30"/>
  <c r="E36" i="30" s="1"/>
  <c r="F36" i="30" s="1"/>
  <c r="D36" i="30"/>
  <c r="G36" i="30"/>
  <c r="H36" i="30"/>
  <c r="I36" i="30"/>
  <c r="C37" i="30"/>
  <c r="E37" i="30" s="1"/>
  <c r="F37" i="30" s="1"/>
  <c r="D37" i="30"/>
  <c r="G37" i="30"/>
  <c r="H37" i="30"/>
  <c r="I37" i="30" s="1"/>
  <c r="C38" i="30"/>
  <c r="D38" i="30"/>
  <c r="E38" i="30"/>
  <c r="F38" i="30" s="1"/>
  <c r="G38" i="30"/>
  <c r="I38" i="30" s="1"/>
  <c r="H38" i="30"/>
  <c r="C39" i="30"/>
  <c r="D39" i="30"/>
  <c r="E39" i="30" s="1"/>
  <c r="F39" i="30" s="1"/>
  <c r="G39" i="30"/>
  <c r="H39" i="30"/>
  <c r="I39" i="30" s="1"/>
  <c r="C40" i="30"/>
  <c r="D40" i="30"/>
  <c r="E40" i="30"/>
  <c r="F40" i="30" s="1"/>
  <c r="G40" i="30"/>
  <c r="I40" i="30" s="1"/>
  <c r="H40" i="30"/>
  <c r="C41" i="30"/>
  <c r="E41" i="30" s="1"/>
  <c r="F41" i="30" s="1"/>
  <c r="D41" i="30"/>
  <c r="G41" i="30"/>
  <c r="H41" i="30"/>
  <c r="I41" i="30" s="1"/>
  <c r="C42" i="30"/>
  <c r="E42" i="30" s="1"/>
  <c r="F42" i="30" s="1"/>
  <c r="D42" i="30"/>
  <c r="G42" i="30"/>
  <c r="H42" i="30"/>
  <c r="I42" i="30"/>
  <c r="C43" i="30"/>
  <c r="D43" i="30"/>
  <c r="E43" i="30" s="1"/>
  <c r="F43" i="30" s="1"/>
  <c r="G43" i="30"/>
  <c r="H43" i="30"/>
  <c r="I43" i="30" s="1"/>
  <c r="C44" i="30"/>
  <c r="E44" i="30" s="1"/>
  <c r="F44" i="30" s="1"/>
  <c r="D44" i="30"/>
  <c r="G44" i="30"/>
  <c r="H44" i="30"/>
  <c r="I44" i="30"/>
  <c r="C45" i="30"/>
  <c r="E45" i="30" s="1"/>
  <c r="F45" i="30" s="1"/>
  <c r="D45" i="30"/>
  <c r="G45" i="30"/>
  <c r="H45" i="30"/>
  <c r="I45" i="30" s="1"/>
  <c r="E10" i="29"/>
  <c r="E11" i="29"/>
  <c r="E12" i="29"/>
  <c r="E13" i="29"/>
  <c r="E14" i="29"/>
  <c r="E15" i="29"/>
  <c r="F15" i="29" s="1"/>
  <c r="E16" i="29"/>
  <c r="E17" i="29"/>
  <c r="E18" i="29"/>
  <c r="E19" i="29"/>
  <c r="E20" i="29"/>
  <c r="E21" i="29"/>
  <c r="E22" i="29"/>
  <c r="E23" i="29"/>
  <c r="C11" i="29"/>
  <c r="F11" i="29" s="1"/>
  <c r="D11" i="29"/>
  <c r="G11" i="29"/>
  <c r="G11" i="34" s="1"/>
  <c r="I11" i="34" s="1"/>
  <c r="H11" i="29"/>
  <c r="I11" i="29" s="1"/>
  <c r="C12" i="29"/>
  <c r="F12" i="29" s="1"/>
  <c r="D12" i="29"/>
  <c r="G12" i="29"/>
  <c r="G12" i="34" s="1"/>
  <c r="H12" i="29"/>
  <c r="C13" i="29"/>
  <c r="D13" i="29"/>
  <c r="F13" i="29" s="1"/>
  <c r="G13" i="29"/>
  <c r="C14" i="29"/>
  <c r="C14" i="34" s="1"/>
  <c r="D14" i="29"/>
  <c r="D14" i="34" s="1"/>
  <c r="F14" i="29"/>
  <c r="G14" i="29"/>
  <c r="H14" i="29"/>
  <c r="H14" i="34" s="1"/>
  <c r="C15" i="29"/>
  <c r="D15" i="29"/>
  <c r="G15" i="29"/>
  <c r="G15" i="34" s="1"/>
  <c r="H15" i="29"/>
  <c r="I15" i="29" s="1"/>
  <c r="C16" i="29"/>
  <c r="D16" i="29"/>
  <c r="F16" i="29"/>
  <c r="G16" i="29"/>
  <c r="H16" i="29"/>
  <c r="H16" i="34" s="1"/>
  <c r="C17" i="29"/>
  <c r="F17" i="29" s="1"/>
  <c r="D17" i="29"/>
  <c r="D17" i="34" s="1"/>
  <c r="G17" i="29"/>
  <c r="H17" i="29"/>
  <c r="I17" i="29" s="1"/>
  <c r="C18" i="29"/>
  <c r="F18" i="29" s="1"/>
  <c r="D18" i="29"/>
  <c r="D18" i="34" s="1"/>
  <c r="G18" i="29"/>
  <c r="H18" i="29"/>
  <c r="H18" i="34" s="1"/>
  <c r="C19" i="29"/>
  <c r="D19" i="29"/>
  <c r="F19" i="29"/>
  <c r="G19" i="29"/>
  <c r="C20" i="29"/>
  <c r="F20" i="29" s="1"/>
  <c r="D20" i="29"/>
  <c r="G20" i="29"/>
  <c r="G20" i="34" s="1"/>
  <c r="H20" i="29"/>
  <c r="C21" i="29"/>
  <c r="D21" i="29"/>
  <c r="F21" i="29"/>
  <c r="G21" i="29"/>
  <c r="C22" i="29"/>
  <c r="F22" i="29" s="1"/>
  <c r="D22" i="29"/>
  <c r="G22" i="29"/>
  <c r="H22" i="29"/>
  <c r="C23" i="29"/>
  <c r="D23" i="29"/>
  <c r="G23" i="29"/>
  <c r="H23" i="29"/>
  <c r="I23" i="29"/>
  <c r="C24" i="29"/>
  <c r="E24" i="29" s="1"/>
  <c r="D24" i="29"/>
  <c r="D24" i="34" s="1"/>
  <c r="G24" i="29"/>
  <c r="H24" i="29"/>
  <c r="H24" i="34" s="1"/>
  <c r="C25" i="29"/>
  <c r="E25" i="29" s="1"/>
  <c r="D25" i="29"/>
  <c r="D25" i="34" s="1"/>
  <c r="G25" i="29"/>
  <c r="G25" i="34" s="1"/>
  <c r="H25" i="29"/>
  <c r="I25" i="29" s="1"/>
  <c r="C26" i="29"/>
  <c r="D26" i="29"/>
  <c r="D26" i="34" s="1"/>
  <c r="G26" i="29"/>
  <c r="G26" i="34" s="1"/>
  <c r="C27" i="29"/>
  <c r="C27" i="34" s="1"/>
  <c r="D27" i="29"/>
  <c r="G27" i="29"/>
  <c r="G27" i="34" s="1"/>
  <c r="I27" i="34" s="1"/>
  <c r="C28" i="29"/>
  <c r="E28" i="29" s="1"/>
  <c r="D28" i="29"/>
  <c r="G28" i="29"/>
  <c r="H28" i="29"/>
  <c r="H28" i="34" s="1"/>
  <c r="C29" i="29"/>
  <c r="E29" i="29" s="1"/>
  <c r="D29" i="29"/>
  <c r="G29" i="29"/>
  <c r="C30" i="29"/>
  <c r="C30" i="34" s="1"/>
  <c r="D30" i="29"/>
  <c r="D30" i="34" s="1"/>
  <c r="G30" i="29"/>
  <c r="H30" i="29"/>
  <c r="H30" i="34" s="1"/>
  <c r="C31" i="29"/>
  <c r="E31" i="29" s="1"/>
  <c r="F31" i="29" s="1"/>
  <c r="D31" i="29"/>
  <c r="G31" i="29"/>
  <c r="G31" i="34" s="1"/>
  <c r="H31" i="29"/>
  <c r="I31" i="29" s="1"/>
  <c r="C32" i="29"/>
  <c r="E32" i="29" s="1"/>
  <c r="F32" i="29" s="1"/>
  <c r="D32" i="29"/>
  <c r="G32" i="29"/>
  <c r="H32" i="29"/>
  <c r="H32" i="34" s="1"/>
  <c r="C33" i="29"/>
  <c r="C33" i="34" s="1"/>
  <c r="D33" i="29"/>
  <c r="D33" i="34" s="1"/>
  <c r="G33" i="29"/>
  <c r="G33" i="34" s="1"/>
  <c r="C34" i="29"/>
  <c r="D34" i="29"/>
  <c r="D34" i="34" s="1"/>
  <c r="G34" i="29"/>
  <c r="G34" i="34" s="1"/>
  <c r="C35" i="29"/>
  <c r="C35" i="34" s="1"/>
  <c r="D35" i="29"/>
  <c r="G35" i="29"/>
  <c r="C36" i="29"/>
  <c r="E36" i="29" s="1"/>
  <c r="D36" i="29"/>
  <c r="G36" i="29"/>
  <c r="G36" i="34" s="1"/>
  <c r="H36" i="29"/>
  <c r="H36" i="34" s="1"/>
  <c r="C37" i="29"/>
  <c r="C37" i="34" s="1"/>
  <c r="D37" i="29"/>
  <c r="G37" i="29"/>
  <c r="C38" i="29"/>
  <c r="E38" i="29" s="1"/>
  <c r="D38" i="29"/>
  <c r="G38" i="29"/>
  <c r="H38" i="29"/>
  <c r="C39" i="29"/>
  <c r="E39" i="29" s="1"/>
  <c r="D39" i="29"/>
  <c r="G39" i="29"/>
  <c r="G39" i="34" s="1"/>
  <c r="I39" i="34" s="1"/>
  <c r="H39" i="29"/>
  <c r="I39" i="29" s="1"/>
  <c r="C40" i="29"/>
  <c r="C40" i="34" s="1"/>
  <c r="D40" i="29"/>
  <c r="D40" i="34" s="1"/>
  <c r="G40" i="29"/>
  <c r="H40" i="29"/>
  <c r="H40" i="34" s="1"/>
  <c r="C41" i="29"/>
  <c r="E41" i="29" s="1"/>
  <c r="D41" i="29"/>
  <c r="G41" i="29"/>
  <c r="H41" i="29"/>
  <c r="I41" i="29" s="1"/>
  <c r="C42" i="29"/>
  <c r="E42" i="29" s="1"/>
  <c r="F42" i="29" s="1"/>
  <c r="D42" i="29"/>
  <c r="D42" i="34" s="1"/>
  <c r="G42" i="29"/>
  <c r="H42" i="29"/>
  <c r="H42" i="34" s="1"/>
  <c r="C43" i="29"/>
  <c r="E43" i="29" s="1"/>
  <c r="D43" i="29"/>
  <c r="G43" i="29"/>
  <c r="C44" i="29"/>
  <c r="D44" i="29"/>
  <c r="D44" i="34" s="1"/>
  <c r="G44" i="29"/>
  <c r="H44" i="29"/>
  <c r="C45" i="29"/>
  <c r="E45" i="29" s="1"/>
  <c r="D45" i="29"/>
  <c r="G45" i="29"/>
  <c r="H45" i="29"/>
  <c r="I45" i="29"/>
  <c r="C11" i="18"/>
  <c r="E11" i="18" s="1"/>
  <c r="F11" i="18" s="1"/>
  <c r="D11" i="18"/>
  <c r="G11" i="18"/>
  <c r="H11" i="18"/>
  <c r="I11" i="18" s="1"/>
  <c r="C12" i="18"/>
  <c r="E12" i="18" s="1"/>
  <c r="F12" i="18" s="1"/>
  <c r="D12" i="18"/>
  <c r="G12" i="18"/>
  <c r="H12" i="18"/>
  <c r="I12" i="18" s="1"/>
  <c r="C13" i="18"/>
  <c r="D13" i="18"/>
  <c r="E13" i="18" s="1"/>
  <c r="F13" i="18" s="1"/>
  <c r="G13" i="18"/>
  <c r="H13" i="18"/>
  <c r="I13" i="18" s="1"/>
  <c r="C14" i="18"/>
  <c r="D14" i="18"/>
  <c r="E14" i="18"/>
  <c r="F14" i="18" s="1"/>
  <c r="G14" i="18"/>
  <c r="H14" i="18"/>
  <c r="I14" i="18"/>
  <c r="C15" i="18"/>
  <c r="E15" i="18" s="1"/>
  <c r="F15" i="18" s="1"/>
  <c r="D15" i="18"/>
  <c r="G15" i="18"/>
  <c r="H15" i="18"/>
  <c r="I15" i="18" s="1"/>
  <c r="C16" i="18"/>
  <c r="E16" i="18" s="1"/>
  <c r="F16" i="18" s="1"/>
  <c r="D16" i="18"/>
  <c r="G16" i="18"/>
  <c r="I16" i="18" s="1"/>
  <c r="H16" i="18"/>
  <c r="C17" i="18"/>
  <c r="E17" i="18" s="1"/>
  <c r="F17" i="18" s="1"/>
  <c r="D17" i="18"/>
  <c r="G17" i="18"/>
  <c r="H17" i="18"/>
  <c r="I17" i="18" s="1"/>
  <c r="C18" i="18"/>
  <c r="D18" i="18"/>
  <c r="E18" i="18"/>
  <c r="F18" i="18" s="1"/>
  <c r="G18" i="18"/>
  <c r="H18" i="18"/>
  <c r="I18" i="18"/>
  <c r="C19" i="18"/>
  <c r="E19" i="18" s="1"/>
  <c r="F19" i="18" s="1"/>
  <c r="D19" i="18"/>
  <c r="G19" i="18"/>
  <c r="H19" i="18"/>
  <c r="I19" i="18" s="1"/>
  <c r="C20" i="18"/>
  <c r="E20" i="18" s="1"/>
  <c r="F20" i="18" s="1"/>
  <c r="D20" i="18"/>
  <c r="G20" i="18"/>
  <c r="I20" i="18" s="1"/>
  <c r="H20" i="18"/>
  <c r="C21" i="18"/>
  <c r="D21" i="18"/>
  <c r="E21" i="18" s="1"/>
  <c r="F21" i="18" s="1"/>
  <c r="G21" i="18"/>
  <c r="H21" i="18"/>
  <c r="I21" i="18" s="1"/>
  <c r="C22" i="18"/>
  <c r="D22" i="18"/>
  <c r="E22" i="18"/>
  <c r="F22" i="18" s="1"/>
  <c r="G22" i="18"/>
  <c r="H22" i="18"/>
  <c r="I22" i="18"/>
  <c r="C23" i="18"/>
  <c r="E23" i="18" s="1"/>
  <c r="F23" i="18" s="1"/>
  <c r="D23" i="18"/>
  <c r="G23" i="18"/>
  <c r="H23" i="18"/>
  <c r="I23" i="18" s="1"/>
  <c r="C24" i="18"/>
  <c r="E24" i="18" s="1"/>
  <c r="F24" i="18" s="1"/>
  <c r="D24" i="18"/>
  <c r="G24" i="18"/>
  <c r="I24" i="18" s="1"/>
  <c r="H24" i="18"/>
  <c r="C25" i="18"/>
  <c r="E25" i="18" s="1"/>
  <c r="F25" i="18" s="1"/>
  <c r="D25" i="18"/>
  <c r="G25" i="18"/>
  <c r="H25" i="18"/>
  <c r="I25" i="18" s="1"/>
  <c r="C26" i="18"/>
  <c r="D26" i="18"/>
  <c r="E26" i="18"/>
  <c r="F26" i="18" s="1"/>
  <c r="G26" i="18"/>
  <c r="H26" i="18"/>
  <c r="I26" i="18"/>
  <c r="C27" i="18"/>
  <c r="E27" i="18" s="1"/>
  <c r="F27" i="18" s="1"/>
  <c r="D27" i="18"/>
  <c r="G27" i="18"/>
  <c r="H27" i="18"/>
  <c r="I27" i="18" s="1"/>
  <c r="C28" i="18"/>
  <c r="E28" i="18" s="1"/>
  <c r="F28" i="18" s="1"/>
  <c r="D28" i="18"/>
  <c r="G28" i="18"/>
  <c r="I28" i="18" s="1"/>
  <c r="H28" i="18"/>
  <c r="C29" i="18"/>
  <c r="D29" i="18"/>
  <c r="E29" i="18" s="1"/>
  <c r="F29" i="18" s="1"/>
  <c r="G29" i="18"/>
  <c r="H29" i="18"/>
  <c r="I29" i="18" s="1"/>
  <c r="C30" i="18"/>
  <c r="D30" i="18"/>
  <c r="E30" i="18"/>
  <c r="F30" i="18" s="1"/>
  <c r="G30" i="18"/>
  <c r="H30" i="18"/>
  <c r="I30" i="18"/>
  <c r="C31" i="18"/>
  <c r="E31" i="18" s="1"/>
  <c r="F31" i="18" s="1"/>
  <c r="D31" i="18"/>
  <c r="G31" i="18"/>
  <c r="H31" i="18"/>
  <c r="I31" i="18" s="1"/>
  <c r="C32" i="18"/>
  <c r="E32" i="18" s="1"/>
  <c r="F32" i="18" s="1"/>
  <c r="D32" i="18"/>
  <c r="G32" i="18"/>
  <c r="I32" i="18" s="1"/>
  <c r="H32" i="18"/>
  <c r="C33" i="18"/>
  <c r="E33" i="18" s="1"/>
  <c r="F33" i="18" s="1"/>
  <c r="D33" i="18"/>
  <c r="G33" i="18"/>
  <c r="H33" i="18"/>
  <c r="I33" i="18" s="1"/>
  <c r="C34" i="18"/>
  <c r="D34" i="18"/>
  <c r="E34" i="18"/>
  <c r="F34" i="18" s="1"/>
  <c r="G34" i="18"/>
  <c r="H34" i="18"/>
  <c r="I34" i="18"/>
  <c r="C35" i="18"/>
  <c r="E35" i="18" s="1"/>
  <c r="F35" i="18" s="1"/>
  <c r="D35" i="18"/>
  <c r="G35" i="18"/>
  <c r="H35" i="18"/>
  <c r="I35" i="18" s="1"/>
  <c r="C36" i="18"/>
  <c r="E36" i="18" s="1"/>
  <c r="F36" i="18" s="1"/>
  <c r="D36" i="18"/>
  <c r="G36" i="18"/>
  <c r="I36" i="18" s="1"/>
  <c r="H36" i="18"/>
  <c r="C37" i="18"/>
  <c r="D37" i="18"/>
  <c r="E37" i="18" s="1"/>
  <c r="F37" i="18" s="1"/>
  <c r="G37" i="18"/>
  <c r="H37" i="18"/>
  <c r="I37" i="18" s="1"/>
  <c r="C38" i="18"/>
  <c r="D38" i="18"/>
  <c r="E38" i="18"/>
  <c r="F38" i="18" s="1"/>
  <c r="G38" i="18"/>
  <c r="H38" i="18"/>
  <c r="I38" i="18"/>
  <c r="C39" i="18"/>
  <c r="E39" i="18" s="1"/>
  <c r="F39" i="18" s="1"/>
  <c r="D39" i="18"/>
  <c r="G39" i="18"/>
  <c r="H39" i="18"/>
  <c r="I39" i="18" s="1"/>
  <c r="C40" i="18"/>
  <c r="E40" i="18" s="1"/>
  <c r="F40" i="18" s="1"/>
  <c r="D40" i="18"/>
  <c r="G40" i="18"/>
  <c r="I40" i="18" s="1"/>
  <c r="H40" i="18"/>
  <c r="C41" i="18"/>
  <c r="E41" i="18" s="1"/>
  <c r="F41" i="18" s="1"/>
  <c r="D41" i="18"/>
  <c r="G41" i="18"/>
  <c r="H41" i="18"/>
  <c r="I41" i="18" s="1"/>
  <c r="C42" i="18"/>
  <c r="D42" i="18"/>
  <c r="E42" i="18"/>
  <c r="F42" i="18" s="1"/>
  <c r="G42" i="18"/>
  <c r="H42" i="18"/>
  <c r="I42" i="18"/>
  <c r="C43" i="18"/>
  <c r="D43" i="18"/>
  <c r="E43" i="18" s="1"/>
  <c r="F43" i="18" s="1"/>
  <c r="G43" i="18"/>
  <c r="H43" i="18"/>
  <c r="I43" i="18" s="1"/>
  <c r="C44" i="18"/>
  <c r="E44" i="18" s="1"/>
  <c r="F44" i="18" s="1"/>
  <c r="D44" i="18"/>
  <c r="G44" i="18"/>
  <c r="I44" i="18" s="1"/>
  <c r="H44" i="18"/>
  <c r="C45" i="18"/>
  <c r="D45" i="18"/>
  <c r="E45" i="18" s="1"/>
  <c r="F45" i="18" s="1"/>
  <c r="G45" i="18"/>
  <c r="H45" i="18"/>
  <c r="I45" i="18" s="1"/>
  <c r="C11" i="1"/>
  <c r="E11" i="1" s="1"/>
  <c r="F11" i="1" s="1"/>
  <c r="D11" i="1"/>
  <c r="G11" i="1"/>
  <c r="H11" i="1"/>
  <c r="I11" i="1" s="1"/>
  <c r="C12" i="1"/>
  <c r="E12" i="1" s="1"/>
  <c r="F12" i="1" s="1"/>
  <c r="D12" i="1"/>
  <c r="G12" i="1"/>
  <c r="H12" i="1"/>
  <c r="I12" i="1" s="1"/>
  <c r="C13" i="1"/>
  <c r="E13" i="1" s="1"/>
  <c r="F13" i="1" s="1"/>
  <c r="D13" i="1"/>
  <c r="G13" i="1"/>
  <c r="H13" i="1"/>
  <c r="I13" i="1"/>
  <c r="C14" i="1"/>
  <c r="D14" i="1"/>
  <c r="E14" i="1"/>
  <c r="F14" i="1" s="1"/>
  <c r="G14" i="1"/>
  <c r="H14" i="1"/>
  <c r="I14" i="1" s="1"/>
  <c r="C15" i="1"/>
  <c r="E15" i="1" s="1"/>
  <c r="F15" i="1" s="1"/>
  <c r="D15" i="1"/>
  <c r="G15" i="1"/>
  <c r="H15" i="1"/>
  <c r="I15" i="1" s="1"/>
  <c r="C16" i="1"/>
  <c r="D16" i="1"/>
  <c r="E16" i="1" s="1"/>
  <c r="F16" i="1" s="1"/>
  <c r="G16" i="1"/>
  <c r="H16" i="1"/>
  <c r="I16" i="1" s="1"/>
  <c r="C17" i="1"/>
  <c r="D17" i="1"/>
  <c r="E17" i="1"/>
  <c r="F17" i="1" s="1"/>
  <c r="G17" i="1"/>
  <c r="H17" i="1"/>
  <c r="I17" i="1" s="1"/>
  <c r="C18" i="1"/>
  <c r="E18" i="1" s="1"/>
  <c r="F18" i="1" s="1"/>
  <c r="D18" i="1"/>
  <c r="G18" i="1"/>
  <c r="H18" i="1"/>
  <c r="I18" i="1"/>
  <c r="C19" i="1"/>
  <c r="E19" i="1" s="1"/>
  <c r="F19" i="1" s="1"/>
  <c r="D19" i="1"/>
  <c r="G19" i="1"/>
  <c r="G19" i="34" s="1"/>
  <c r="I19" i="34" s="1"/>
  <c r="H19" i="1"/>
  <c r="I19" i="1" s="1"/>
  <c r="C20" i="1"/>
  <c r="E20" i="1" s="1"/>
  <c r="F20" i="1" s="1"/>
  <c r="D20" i="1"/>
  <c r="G20" i="1"/>
  <c r="H20" i="1"/>
  <c r="H20" i="34" s="1"/>
  <c r="C21" i="1"/>
  <c r="E21" i="1" s="1"/>
  <c r="F21" i="1" s="1"/>
  <c r="D21" i="1"/>
  <c r="G21" i="1"/>
  <c r="H21" i="1"/>
  <c r="I21" i="1"/>
  <c r="C22" i="1"/>
  <c r="D22" i="1"/>
  <c r="E22" i="1"/>
  <c r="F22" i="1" s="1"/>
  <c r="G22" i="1"/>
  <c r="H22" i="1"/>
  <c r="I22" i="1" s="1"/>
  <c r="C23" i="1"/>
  <c r="E23" i="1" s="1"/>
  <c r="F23" i="1" s="1"/>
  <c r="D23" i="1"/>
  <c r="G23" i="1"/>
  <c r="H23" i="1"/>
  <c r="I23" i="1" s="1"/>
  <c r="C24" i="1"/>
  <c r="D24" i="1"/>
  <c r="E24" i="1" s="1"/>
  <c r="F24" i="1" s="1"/>
  <c r="G24" i="1"/>
  <c r="H24" i="1"/>
  <c r="I24" i="1" s="1"/>
  <c r="C25" i="1"/>
  <c r="D25" i="1"/>
  <c r="E25" i="1"/>
  <c r="F25" i="1" s="1"/>
  <c r="G25" i="1"/>
  <c r="H25" i="1"/>
  <c r="I25" i="1" s="1"/>
  <c r="C26" i="1"/>
  <c r="D26" i="1"/>
  <c r="E26" i="1" s="1"/>
  <c r="F26" i="1" s="1"/>
  <c r="G26" i="1"/>
  <c r="H26" i="1"/>
  <c r="I26" i="1"/>
  <c r="C27" i="1"/>
  <c r="E27" i="1" s="1"/>
  <c r="F27" i="1" s="1"/>
  <c r="D27" i="1"/>
  <c r="G27" i="1"/>
  <c r="H27" i="1"/>
  <c r="I27" i="1" s="1"/>
  <c r="C28" i="1"/>
  <c r="E28" i="1" s="1"/>
  <c r="F28" i="1" s="1"/>
  <c r="D28" i="1"/>
  <c r="G28" i="1"/>
  <c r="H28" i="1"/>
  <c r="I28" i="1" s="1"/>
  <c r="C29" i="1"/>
  <c r="E29" i="1" s="1"/>
  <c r="F29" i="1" s="1"/>
  <c r="D29" i="1"/>
  <c r="G29" i="1"/>
  <c r="H29" i="1"/>
  <c r="I29" i="1"/>
  <c r="C30" i="1"/>
  <c r="D30" i="1"/>
  <c r="E30" i="1"/>
  <c r="F30" i="1" s="1"/>
  <c r="G30" i="1"/>
  <c r="H30" i="1"/>
  <c r="I30" i="1"/>
  <c r="C31" i="1"/>
  <c r="E31" i="1" s="1"/>
  <c r="F31" i="1" s="1"/>
  <c r="D31" i="1"/>
  <c r="G31" i="1"/>
  <c r="H31" i="1"/>
  <c r="I31" i="1" s="1"/>
  <c r="C32" i="1"/>
  <c r="D32" i="1"/>
  <c r="E32" i="1" s="1"/>
  <c r="F32" i="1" s="1"/>
  <c r="G32" i="1"/>
  <c r="H32" i="1"/>
  <c r="I32" i="1" s="1"/>
  <c r="C33" i="1"/>
  <c r="D33" i="1"/>
  <c r="E33" i="1"/>
  <c r="F33" i="1" s="1"/>
  <c r="G33" i="1"/>
  <c r="H33" i="1"/>
  <c r="I33" i="1" s="1"/>
  <c r="C34" i="1"/>
  <c r="D34" i="1"/>
  <c r="E34" i="1"/>
  <c r="F34" i="1"/>
  <c r="G34" i="1"/>
  <c r="H34" i="1"/>
  <c r="I34" i="1"/>
  <c r="C35" i="1"/>
  <c r="D35" i="1"/>
  <c r="E35" i="1"/>
  <c r="F35" i="1"/>
  <c r="G35" i="1"/>
  <c r="H35" i="1"/>
  <c r="I35" i="1" s="1"/>
  <c r="C36" i="1"/>
  <c r="D36" i="1"/>
  <c r="G36" i="1"/>
  <c r="H36" i="1"/>
  <c r="I36" i="1" s="1"/>
  <c r="C37" i="1"/>
  <c r="E37" i="1" s="1"/>
  <c r="F37" i="1" s="1"/>
  <c r="D37" i="1"/>
  <c r="G37" i="1"/>
  <c r="H37" i="1"/>
  <c r="I37" i="1"/>
  <c r="C38" i="1"/>
  <c r="D38" i="1"/>
  <c r="E38" i="1"/>
  <c r="F38" i="1" s="1"/>
  <c r="G38" i="1"/>
  <c r="H38" i="1"/>
  <c r="I38" i="1"/>
  <c r="C39" i="1"/>
  <c r="E39" i="1" s="1"/>
  <c r="F39" i="1" s="1"/>
  <c r="D39" i="1"/>
  <c r="G39" i="1"/>
  <c r="H39" i="1"/>
  <c r="I39" i="1"/>
  <c r="C40" i="1"/>
  <c r="E40" i="1" s="1"/>
  <c r="F40" i="1" s="1"/>
  <c r="D40" i="1"/>
  <c r="G40" i="1"/>
  <c r="I40" i="1" s="1"/>
  <c r="H40" i="1"/>
  <c r="C41" i="1"/>
  <c r="D41" i="1"/>
  <c r="E41" i="1"/>
  <c r="F41" i="1" s="1"/>
  <c r="G41" i="1"/>
  <c r="H41" i="1"/>
  <c r="I41" i="1" s="1"/>
  <c r="C42" i="1"/>
  <c r="D42" i="1"/>
  <c r="E42" i="1"/>
  <c r="F42" i="1"/>
  <c r="G42" i="1"/>
  <c r="H42" i="1"/>
  <c r="I42" i="1"/>
  <c r="C43" i="1"/>
  <c r="D43" i="1"/>
  <c r="E43" i="1"/>
  <c r="F43" i="1"/>
  <c r="G43" i="1"/>
  <c r="H43" i="1"/>
  <c r="I43" i="1" s="1"/>
  <c r="C44" i="1"/>
  <c r="E44" i="1" s="1"/>
  <c r="F44" i="1" s="1"/>
  <c r="D44" i="1"/>
  <c r="G44" i="1"/>
  <c r="H44" i="1"/>
  <c r="I44" i="1" s="1"/>
  <c r="C45" i="1"/>
  <c r="E45" i="1" s="1"/>
  <c r="F45" i="1" s="1"/>
  <c r="D45" i="1"/>
  <c r="G45" i="1"/>
  <c r="H45" i="1"/>
  <c r="I45" i="1"/>
  <c r="C11" i="34"/>
  <c r="D11" i="34"/>
  <c r="H11" i="34"/>
  <c r="D12" i="34"/>
  <c r="C13" i="34"/>
  <c r="G13" i="34"/>
  <c r="H13" i="34"/>
  <c r="G14" i="34"/>
  <c r="C15" i="34"/>
  <c r="D15" i="34"/>
  <c r="H15" i="34"/>
  <c r="C16" i="34"/>
  <c r="D16" i="34"/>
  <c r="G17" i="34"/>
  <c r="H17" i="34"/>
  <c r="G18" i="34"/>
  <c r="C19" i="34"/>
  <c r="H19" i="34"/>
  <c r="D20" i="34"/>
  <c r="C21" i="34"/>
  <c r="G21" i="34"/>
  <c r="H21" i="34"/>
  <c r="C22" i="34"/>
  <c r="D22" i="34"/>
  <c r="H22" i="34"/>
  <c r="G23" i="34"/>
  <c r="H23" i="34"/>
  <c r="C24" i="34"/>
  <c r="C25" i="34"/>
  <c r="H25" i="34"/>
  <c r="H27" i="34"/>
  <c r="C28" i="34"/>
  <c r="D28" i="34"/>
  <c r="G28" i="34"/>
  <c r="C29" i="34"/>
  <c r="G29" i="34"/>
  <c r="H29" i="34"/>
  <c r="C31" i="34"/>
  <c r="H31" i="34"/>
  <c r="C32" i="34"/>
  <c r="D32" i="34"/>
  <c r="H33" i="34"/>
  <c r="H35" i="34"/>
  <c r="D36" i="34"/>
  <c r="G37" i="34"/>
  <c r="H37" i="34"/>
  <c r="D38" i="34"/>
  <c r="H38" i="34"/>
  <c r="C39" i="34"/>
  <c r="D39" i="34"/>
  <c r="H39" i="34"/>
  <c r="D41" i="34"/>
  <c r="G41" i="34"/>
  <c r="H41" i="34"/>
  <c r="C42" i="34"/>
  <c r="G43" i="34"/>
  <c r="I43" i="34" s="1"/>
  <c r="H43" i="34"/>
  <c r="G44" i="34"/>
  <c r="H44" i="34"/>
  <c r="C45" i="34"/>
  <c r="G45" i="34"/>
  <c r="H45" i="34"/>
  <c r="E10" i="33"/>
  <c r="F10" i="33" s="1"/>
  <c r="H10" i="33"/>
  <c r="I10" i="33" s="1"/>
  <c r="E11" i="33"/>
  <c r="F11" i="33" s="1"/>
  <c r="H11" i="33"/>
  <c r="I11" i="33"/>
  <c r="E12" i="33"/>
  <c r="F12" i="33" s="1"/>
  <c r="H12" i="33"/>
  <c r="I12" i="33" s="1"/>
  <c r="E13" i="33"/>
  <c r="F13" i="33" s="1"/>
  <c r="H13" i="33"/>
  <c r="I13" i="33"/>
  <c r="E14" i="33"/>
  <c r="F14" i="33" s="1"/>
  <c r="H14" i="33"/>
  <c r="I14" i="33" s="1"/>
  <c r="E15" i="33"/>
  <c r="F15" i="33" s="1"/>
  <c r="H15" i="33"/>
  <c r="I15" i="33"/>
  <c r="E16" i="33"/>
  <c r="F16" i="33" s="1"/>
  <c r="H16" i="33"/>
  <c r="I16" i="33" s="1"/>
  <c r="E17" i="33"/>
  <c r="F17" i="33" s="1"/>
  <c r="H17" i="33"/>
  <c r="I17" i="33"/>
  <c r="E18" i="33"/>
  <c r="F18" i="33" s="1"/>
  <c r="H18" i="33"/>
  <c r="I18" i="33" s="1"/>
  <c r="E19" i="33"/>
  <c r="F19" i="33" s="1"/>
  <c r="H19" i="33"/>
  <c r="I19" i="33"/>
  <c r="E20" i="33"/>
  <c r="F20" i="33" s="1"/>
  <c r="H20" i="33"/>
  <c r="I20" i="33" s="1"/>
  <c r="E21" i="33"/>
  <c r="F21" i="33" s="1"/>
  <c r="H21" i="33"/>
  <c r="I21" i="33"/>
  <c r="E22" i="33"/>
  <c r="F22" i="33" s="1"/>
  <c r="H22" i="33"/>
  <c r="I22" i="33" s="1"/>
  <c r="E23" i="33"/>
  <c r="F23" i="33" s="1"/>
  <c r="H23" i="33"/>
  <c r="I23" i="33"/>
  <c r="E24" i="33"/>
  <c r="F24" i="33" s="1"/>
  <c r="H24" i="33"/>
  <c r="I24" i="33" s="1"/>
  <c r="E25" i="33"/>
  <c r="F25" i="33" s="1"/>
  <c r="H25" i="33"/>
  <c r="I25" i="33"/>
  <c r="E26" i="33"/>
  <c r="F26" i="33" s="1"/>
  <c r="H26" i="33"/>
  <c r="I26" i="33" s="1"/>
  <c r="E27" i="33"/>
  <c r="F27" i="33" s="1"/>
  <c r="H27" i="33"/>
  <c r="I27" i="33"/>
  <c r="E28" i="33"/>
  <c r="F28" i="33" s="1"/>
  <c r="H28" i="33"/>
  <c r="I28" i="33" s="1"/>
  <c r="E29" i="33"/>
  <c r="F29" i="33" s="1"/>
  <c r="H29" i="33"/>
  <c r="I29" i="33"/>
  <c r="E30" i="33"/>
  <c r="F30" i="33" s="1"/>
  <c r="H30" i="33"/>
  <c r="I30" i="33" s="1"/>
  <c r="E31" i="33"/>
  <c r="F31" i="33" s="1"/>
  <c r="H31" i="33"/>
  <c r="I31" i="33"/>
  <c r="E32" i="33"/>
  <c r="F32" i="33" s="1"/>
  <c r="H32" i="33"/>
  <c r="I32" i="33" s="1"/>
  <c r="E33" i="33"/>
  <c r="F33" i="33" s="1"/>
  <c r="H33" i="33"/>
  <c r="I33" i="33"/>
  <c r="E34" i="33"/>
  <c r="F34" i="33" s="1"/>
  <c r="H34" i="33"/>
  <c r="I34" i="33" s="1"/>
  <c r="E35" i="33"/>
  <c r="F35" i="33" s="1"/>
  <c r="H35" i="33"/>
  <c r="I35" i="33"/>
  <c r="E36" i="33"/>
  <c r="F36" i="33" s="1"/>
  <c r="H36" i="33"/>
  <c r="I36" i="33" s="1"/>
  <c r="E37" i="33"/>
  <c r="F37" i="33" s="1"/>
  <c r="H37" i="33"/>
  <c r="I37" i="33"/>
  <c r="E38" i="33"/>
  <c r="F38" i="33" s="1"/>
  <c r="H38" i="33"/>
  <c r="I38" i="33" s="1"/>
  <c r="E39" i="33"/>
  <c r="F39" i="33" s="1"/>
  <c r="H39" i="33"/>
  <c r="I39" i="33"/>
  <c r="E40" i="33"/>
  <c r="F40" i="33" s="1"/>
  <c r="H40" i="33"/>
  <c r="I40" i="33" s="1"/>
  <c r="E41" i="33"/>
  <c r="F41" i="33" s="1"/>
  <c r="H41" i="33"/>
  <c r="I41" i="33"/>
  <c r="E42" i="33"/>
  <c r="F42" i="33" s="1"/>
  <c r="H42" i="33"/>
  <c r="I42" i="33" s="1"/>
  <c r="E43" i="33"/>
  <c r="F43" i="33" s="1"/>
  <c r="H43" i="33"/>
  <c r="I43" i="33"/>
  <c r="E44" i="33"/>
  <c r="F44" i="33" s="1"/>
  <c r="H44" i="33"/>
  <c r="I44" i="33" s="1"/>
  <c r="E45" i="33"/>
  <c r="F45" i="33" s="1"/>
  <c r="H45" i="33"/>
  <c r="I45" i="33"/>
  <c r="E10" i="32"/>
  <c r="F10" i="32" s="1"/>
  <c r="H10" i="32"/>
  <c r="I10" i="32" s="1"/>
  <c r="E11" i="32"/>
  <c r="F11" i="32" s="1"/>
  <c r="H11" i="32"/>
  <c r="I11" i="32" s="1"/>
  <c r="E12" i="32"/>
  <c r="F12" i="32" s="1"/>
  <c r="H12" i="32"/>
  <c r="I12" i="32" s="1"/>
  <c r="E13" i="32"/>
  <c r="F13" i="32" s="1"/>
  <c r="H13" i="32"/>
  <c r="I13" i="32" s="1"/>
  <c r="E14" i="32"/>
  <c r="F14" i="32" s="1"/>
  <c r="H14" i="32"/>
  <c r="I14" i="32" s="1"/>
  <c r="E15" i="32"/>
  <c r="F15" i="32" s="1"/>
  <c r="H15" i="32"/>
  <c r="I15" i="32" s="1"/>
  <c r="E16" i="32"/>
  <c r="F16" i="32" s="1"/>
  <c r="H16" i="32"/>
  <c r="I16" i="32" s="1"/>
  <c r="E17" i="32"/>
  <c r="F17" i="32" s="1"/>
  <c r="H17" i="32"/>
  <c r="I17" i="32" s="1"/>
  <c r="E18" i="32"/>
  <c r="F18" i="32" s="1"/>
  <c r="H18" i="32"/>
  <c r="I18" i="32" s="1"/>
  <c r="E19" i="32"/>
  <c r="F19" i="32" s="1"/>
  <c r="H19" i="32"/>
  <c r="I19" i="32" s="1"/>
  <c r="E20" i="32"/>
  <c r="F20" i="32" s="1"/>
  <c r="H20" i="32"/>
  <c r="I20" i="32" s="1"/>
  <c r="E21" i="32"/>
  <c r="F21" i="32" s="1"/>
  <c r="H21" i="32"/>
  <c r="I21" i="32" s="1"/>
  <c r="E22" i="32"/>
  <c r="F22" i="32" s="1"/>
  <c r="H22" i="32"/>
  <c r="I22" i="32" s="1"/>
  <c r="E23" i="32"/>
  <c r="F23" i="32" s="1"/>
  <c r="H23" i="32"/>
  <c r="I23" i="32" s="1"/>
  <c r="E24" i="32"/>
  <c r="F24" i="32" s="1"/>
  <c r="H24" i="32"/>
  <c r="I24" i="32" s="1"/>
  <c r="E25" i="32"/>
  <c r="F25" i="32" s="1"/>
  <c r="H25" i="32"/>
  <c r="I25" i="32" s="1"/>
  <c r="E26" i="32"/>
  <c r="F26" i="32" s="1"/>
  <c r="H26" i="32"/>
  <c r="I26" i="32" s="1"/>
  <c r="E27" i="32"/>
  <c r="F27" i="32" s="1"/>
  <c r="H27" i="32"/>
  <c r="I27" i="32" s="1"/>
  <c r="E28" i="32"/>
  <c r="F28" i="32" s="1"/>
  <c r="H28" i="32"/>
  <c r="I28" i="32" s="1"/>
  <c r="E29" i="32"/>
  <c r="F29" i="32" s="1"/>
  <c r="H29" i="32"/>
  <c r="I29" i="32" s="1"/>
  <c r="E30" i="32"/>
  <c r="F30" i="32" s="1"/>
  <c r="H30" i="32"/>
  <c r="I30" i="32" s="1"/>
  <c r="E31" i="32"/>
  <c r="F31" i="32" s="1"/>
  <c r="H31" i="32"/>
  <c r="I31" i="32" s="1"/>
  <c r="E32" i="32"/>
  <c r="F32" i="32" s="1"/>
  <c r="H32" i="32"/>
  <c r="I32" i="32" s="1"/>
  <c r="E33" i="32"/>
  <c r="F33" i="32" s="1"/>
  <c r="H33" i="32"/>
  <c r="I33" i="32" s="1"/>
  <c r="E34" i="32"/>
  <c r="F34" i="32" s="1"/>
  <c r="H34" i="32"/>
  <c r="I34" i="32" s="1"/>
  <c r="E35" i="32"/>
  <c r="F35" i="32" s="1"/>
  <c r="H35" i="32"/>
  <c r="I35" i="32" s="1"/>
  <c r="E36" i="32"/>
  <c r="F36" i="32" s="1"/>
  <c r="H36" i="32"/>
  <c r="I36" i="32" s="1"/>
  <c r="E37" i="32"/>
  <c r="F37" i="32" s="1"/>
  <c r="H37" i="32"/>
  <c r="I37" i="32" s="1"/>
  <c r="E38" i="32"/>
  <c r="F38" i="32" s="1"/>
  <c r="H38" i="32"/>
  <c r="I38" i="32" s="1"/>
  <c r="E39" i="32"/>
  <c r="F39" i="32" s="1"/>
  <c r="H39" i="32"/>
  <c r="I39" i="32" s="1"/>
  <c r="E40" i="32"/>
  <c r="F40" i="32" s="1"/>
  <c r="H40" i="32"/>
  <c r="I40" i="32" s="1"/>
  <c r="E41" i="32"/>
  <c r="F41" i="32" s="1"/>
  <c r="H41" i="32"/>
  <c r="I41" i="32" s="1"/>
  <c r="E42" i="32"/>
  <c r="F42" i="32" s="1"/>
  <c r="H42" i="32"/>
  <c r="I42" i="32" s="1"/>
  <c r="E43" i="32"/>
  <c r="F43" i="32" s="1"/>
  <c r="H43" i="32"/>
  <c r="I43" i="32" s="1"/>
  <c r="E44" i="32"/>
  <c r="F44" i="32" s="1"/>
  <c r="H44" i="32"/>
  <c r="I44" i="32" s="1"/>
  <c r="E45" i="32"/>
  <c r="F45" i="32" s="1"/>
  <c r="H45" i="32"/>
  <c r="I45" i="32" s="1"/>
  <c r="E10" i="31"/>
  <c r="F10" i="31" s="1"/>
  <c r="I10" i="31"/>
  <c r="E11" i="31"/>
  <c r="F11" i="31" s="1"/>
  <c r="H11" i="31"/>
  <c r="I11" i="31"/>
  <c r="E12" i="31"/>
  <c r="F12" i="31" s="1"/>
  <c r="I12" i="31"/>
  <c r="E13" i="31"/>
  <c r="F13" i="31" s="1"/>
  <c r="H13" i="31"/>
  <c r="I13" i="31"/>
  <c r="E14" i="31"/>
  <c r="F14" i="31" s="1"/>
  <c r="I14" i="31"/>
  <c r="E15" i="31"/>
  <c r="F15" i="31" s="1"/>
  <c r="H15" i="31"/>
  <c r="I15" i="31" s="1"/>
  <c r="E16" i="31"/>
  <c r="F16" i="31"/>
  <c r="I16" i="31"/>
  <c r="E17" i="31"/>
  <c r="F17" i="31" s="1"/>
  <c r="H17" i="31"/>
  <c r="I17" i="31" s="1"/>
  <c r="E18" i="31"/>
  <c r="F18" i="31"/>
  <c r="I18" i="31"/>
  <c r="E19" i="31"/>
  <c r="F19" i="31" s="1"/>
  <c r="H19" i="31"/>
  <c r="I19" i="31" s="1"/>
  <c r="E20" i="31"/>
  <c r="F20" i="31"/>
  <c r="I20" i="31"/>
  <c r="E21" i="31"/>
  <c r="F21" i="31" s="1"/>
  <c r="H21" i="31"/>
  <c r="I21" i="31" s="1"/>
  <c r="E22" i="31"/>
  <c r="F22" i="31" s="1"/>
  <c r="I22" i="31"/>
  <c r="E23" i="31"/>
  <c r="F23" i="31"/>
  <c r="H23" i="31"/>
  <c r="I23" i="31" s="1"/>
  <c r="E24" i="31"/>
  <c r="F24" i="31" s="1"/>
  <c r="I24" i="31"/>
  <c r="E25" i="31"/>
  <c r="F25" i="31"/>
  <c r="H25" i="31"/>
  <c r="I25" i="31" s="1"/>
  <c r="E26" i="31"/>
  <c r="F26" i="31" s="1"/>
  <c r="I26" i="31"/>
  <c r="E27" i="31"/>
  <c r="F27" i="31"/>
  <c r="H27" i="31"/>
  <c r="I27" i="31"/>
  <c r="E28" i="31"/>
  <c r="F28" i="31" s="1"/>
  <c r="I28" i="31"/>
  <c r="E29" i="31"/>
  <c r="F29" i="31" s="1"/>
  <c r="H29" i="31"/>
  <c r="I29" i="31"/>
  <c r="E30" i="31"/>
  <c r="F30" i="31" s="1"/>
  <c r="I30" i="31"/>
  <c r="E31" i="31"/>
  <c r="F31" i="31" s="1"/>
  <c r="H31" i="31"/>
  <c r="I31" i="31"/>
  <c r="E32" i="31"/>
  <c r="F32" i="31"/>
  <c r="I32" i="31"/>
  <c r="E33" i="31"/>
  <c r="F33" i="31" s="1"/>
  <c r="H33" i="31"/>
  <c r="I33" i="31" s="1"/>
  <c r="E34" i="31"/>
  <c r="F34" i="31"/>
  <c r="I34" i="31"/>
  <c r="E35" i="31"/>
  <c r="F35" i="31" s="1"/>
  <c r="H35" i="31"/>
  <c r="I35" i="31" s="1"/>
  <c r="E36" i="31"/>
  <c r="F36" i="31"/>
  <c r="I36" i="31"/>
  <c r="E37" i="31"/>
  <c r="F37" i="31" s="1"/>
  <c r="H37" i="31"/>
  <c r="I37" i="31" s="1"/>
  <c r="E38" i="31"/>
  <c r="F38" i="31" s="1"/>
  <c r="I38" i="31"/>
  <c r="E39" i="31"/>
  <c r="F39" i="31"/>
  <c r="H39" i="31"/>
  <c r="I39" i="31" s="1"/>
  <c r="E40" i="31"/>
  <c r="F40" i="31" s="1"/>
  <c r="I40" i="31"/>
  <c r="E41" i="31"/>
  <c r="F41" i="31"/>
  <c r="H41" i="31"/>
  <c r="I41" i="31" s="1"/>
  <c r="E42" i="31"/>
  <c r="F42" i="31" s="1"/>
  <c r="I42" i="31"/>
  <c r="E43" i="31"/>
  <c r="F43" i="31"/>
  <c r="H43" i="31"/>
  <c r="I43" i="31"/>
  <c r="E44" i="31"/>
  <c r="F44" i="31"/>
  <c r="I44" i="31"/>
  <c r="E45" i="31"/>
  <c r="F45" i="31" s="1"/>
  <c r="H45" i="31"/>
  <c r="I45" i="31"/>
  <c r="E10" i="28"/>
  <c r="F10" i="28"/>
  <c r="H10" i="28"/>
  <c r="I10" i="28"/>
  <c r="E11" i="28"/>
  <c r="F11" i="28"/>
  <c r="H11" i="28"/>
  <c r="I11" i="28"/>
  <c r="E12" i="28"/>
  <c r="F12" i="28"/>
  <c r="H12" i="28"/>
  <c r="I12" i="28"/>
  <c r="E13" i="28"/>
  <c r="F13" i="28"/>
  <c r="H13" i="28"/>
  <c r="I13" i="28"/>
  <c r="E14" i="28"/>
  <c r="F14" i="28"/>
  <c r="H14" i="28"/>
  <c r="I14" i="28"/>
  <c r="E15" i="28"/>
  <c r="F15" i="28"/>
  <c r="H15" i="28"/>
  <c r="I15" i="28"/>
  <c r="E16" i="28"/>
  <c r="F16" i="28"/>
  <c r="H16" i="28"/>
  <c r="I16" i="28"/>
  <c r="E17" i="28"/>
  <c r="F17" i="28"/>
  <c r="H17" i="28"/>
  <c r="I17" i="28"/>
  <c r="E18" i="28"/>
  <c r="F18" i="28"/>
  <c r="H18" i="28"/>
  <c r="I18" i="28"/>
  <c r="E19" i="28"/>
  <c r="F19" i="28"/>
  <c r="H19" i="28"/>
  <c r="I19" i="28"/>
  <c r="E20" i="28"/>
  <c r="F20" i="28"/>
  <c r="H20" i="28"/>
  <c r="I20" i="28"/>
  <c r="E21" i="28"/>
  <c r="F21" i="28"/>
  <c r="H21" i="28"/>
  <c r="I21" i="28"/>
  <c r="E22" i="28"/>
  <c r="F22" i="28"/>
  <c r="H22" i="28"/>
  <c r="I22" i="28"/>
  <c r="E23" i="28"/>
  <c r="F23" i="28"/>
  <c r="H23" i="28"/>
  <c r="I23" i="28"/>
  <c r="E24" i="28"/>
  <c r="F24" i="28"/>
  <c r="H24" i="28"/>
  <c r="I24" i="28"/>
  <c r="E25" i="28"/>
  <c r="F25" i="28"/>
  <c r="H25" i="28"/>
  <c r="I25" i="28"/>
  <c r="E26" i="28"/>
  <c r="F26" i="28"/>
  <c r="H26" i="28"/>
  <c r="I26" i="28"/>
  <c r="E27" i="28"/>
  <c r="F27" i="28"/>
  <c r="H27" i="28"/>
  <c r="I27" i="28"/>
  <c r="E28" i="28"/>
  <c r="F28" i="28"/>
  <c r="H28" i="28"/>
  <c r="I28" i="28"/>
  <c r="E29" i="28"/>
  <c r="F29" i="28"/>
  <c r="H29" i="28"/>
  <c r="I29" i="28"/>
  <c r="E30" i="28"/>
  <c r="F30" i="28"/>
  <c r="H30" i="28"/>
  <c r="I30" i="28"/>
  <c r="E31" i="28"/>
  <c r="F31" i="28"/>
  <c r="H31" i="28"/>
  <c r="I31" i="28"/>
  <c r="E32" i="28"/>
  <c r="F32" i="28"/>
  <c r="H32" i="28"/>
  <c r="I32" i="28"/>
  <c r="E33" i="28"/>
  <c r="F33" i="28"/>
  <c r="H33" i="28"/>
  <c r="I33" i="28"/>
  <c r="E34" i="28"/>
  <c r="F34" i="28"/>
  <c r="H34" i="28"/>
  <c r="I34" i="28"/>
  <c r="E35" i="28"/>
  <c r="F35" i="28"/>
  <c r="H35" i="28"/>
  <c r="I35" i="28"/>
  <c r="E36" i="28"/>
  <c r="F36" i="28"/>
  <c r="H36" i="28"/>
  <c r="I36" i="28"/>
  <c r="E37" i="28"/>
  <c r="F37" i="28"/>
  <c r="H37" i="28"/>
  <c r="I37" i="28"/>
  <c r="E38" i="28"/>
  <c r="F38" i="28"/>
  <c r="H38" i="28"/>
  <c r="I38" i="28"/>
  <c r="E39" i="28"/>
  <c r="F39" i="28"/>
  <c r="H39" i="28"/>
  <c r="I39" i="28"/>
  <c r="E40" i="28"/>
  <c r="F40" i="28"/>
  <c r="H40" i="28"/>
  <c r="I40" i="28"/>
  <c r="E41" i="28"/>
  <c r="F41" i="28"/>
  <c r="H41" i="28"/>
  <c r="I41" i="28"/>
  <c r="E42" i="28"/>
  <c r="F42" i="28"/>
  <c r="H42" i="28"/>
  <c r="I42" i="28"/>
  <c r="E43" i="28"/>
  <c r="F43" i="28"/>
  <c r="H43" i="28"/>
  <c r="I43" i="28"/>
  <c r="E44" i="28"/>
  <c r="F44" i="28"/>
  <c r="H44" i="28"/>
  <c r="I44" i="28"/>
  <c r="E45" i="28"/>
  <c r="F45" i="28"/>
  <c r="H45" i="28"/>
  <c r="I45" i="28"/>
  <c r="E11" i="19"/>
  <c r="F11" i="19" s="1"/>
  <c r="H11" i="19"/>
  <c r="I11" i="19" s="1"/>
  <c r="E12" i="19"/>
  <c r="F12" i="19"/>
  <c r="H12" i="19"/>
  <c r="I12" i="19"/>
  <c r="E13" i="19"/>
  <c r="F13" i="19" s="1"/>
  <c r="H13" i="19"/>
  <c r="I13" i="19" s="1"/>
  <c r="E14" i="19"/>
  <c r="F14" i="19"/>
  <c r="H14" i="19"/>
  <c r="I14" i="19"/>
  <c r="E15" i="19"/>
  <c r="F15" i="19" s="1"/>
  <c r="H15" i="19"/>
  <c r="I15" i="19" s="1"/>
  <c r="E16" i="19"/>
  <c r="F16" i="19"/>
  <c r="H16" i="19"/>
  <c r="I16" i="19"/>
  <c r="E17" i="19"/>
  <c r="F17" i="19" s="1"/>
  <c r="H17" i="19"/>
  <c r="I17" i="19" s="1"/>
  <c r="E18" i="19"/>
  <c r="F18" i="19"/>
  <c r="H18" i="19"/>
  <c r="I18" i="19"/>
  <c r="E19" i="19"/>
  <c r="F19" i="19" s="1"/>
  <c r="H19" i="19"/>
  <c r="I19" i="19" s="1"/>
  <c r="E20" i="19"/>
  <c r="F20" i="19"/>
  <c r="H20" i="19"/>
  <c r="I20" i="19"/>
  <c r="E21" i="19"/>
  <c r="F21" i="19" s="1"/>
  <c r="H21" i="19"/>
  <c r="I21" i="19" s="1"/>
  <c r="E22" i="19"/>
  <c r="F22" i="19"/>
  <c r="H22" i="19"/>
  <c r="I22" i="19"/>
  <c r="E23" i="19"/>
  <c r="F23" i="19" s="1"/>
  <c r="H23" i="19"/>
  <c r="I23" i="19" s="1"/>
  <c r="E24" i="19"/>
  <c r="F24" i="19"/>
  <c r="H24" i="19"/>
  <c r="I24" i="19"/>
  <c r="E25" i="19"/>
  <c r="F25" i="19" s="1"/>
  <c r="H25" i="19"/>
  <c r="I25" i="19" s="1"/>
  <c r="E26" i="19"/>
  <c r="F26" i="19"/>
  <c r="H26" i="19"/>
  <c r="I26" i="19"/>
  <c r="E27" i="19"/>
  <c r="F27" i="19" s="1"/>
  <c r="H27" i="19"/>
  <c r="I27" i="19" s="1"/>
  <c r="E28" i="19"/>
  <c r="F28" i="19"/>
  <c r="H28" i="19"/>
  <c r="I28" i="19"/>
  <c r="E29" i="19"/>
  <c r="F29" i="19" s="1"/>
  <c r="H29" i="19"/>
  <c r="I29" i="19" s="1"/>
  <c r="E30" i="19"/>
  <c r="F30" i="19"/>
  <c r="H30" i="19"/>
  <c r="I30" i="19"/>
  <c r="E31" i="19"/>
  <c r="F31" i="19" s="1"/>
  <c r="H31" i="19"/>
  <c r="I31" i="19" s="1"/>
  <c r="E32" i="19"/>
  <c r="F32" i="19"/>
  <c r="H32" i="19"/>
  <c r="I32" i="19"/>
  <c r="E33" i="19"/>
  <c r="F33" i="19" s="1"/>
  <c r="H33" i="19"/>
  <c r="I33" i="19" s="1"/>
  <c r="E34" i="19"/>
  <c r="F34" i="19"/>
  <c r="H34" i="19"/>
  <c r="I34" i="19"/>
  <c r="E35" i="19"/>
  <c r="F35" i="19" s="1"/>
  <c r="H35" i="19"/>
  <c r="I35" i="19" s="1"/>
  <c r="E36" i="19"/>
  <c r="F36" i="19"/>
  <c r="H36" i="19"/>
  <c r="I36" i="19"/>
  <c r="E37" i="19"/>
  <c r="F37" i="19" s="1"/>
  <c r="H37" i="19"/>
  <c r="I37" i="19" s="1"/>
  <c r="E38" i="19"/>
  <c r="F38" i="19"/>
  <c r="H38" i="19"/>
  <c r="I38" i="19"/>
  <c r="E39" i="19"/>
  <c r="F39" i="19" s="1"/>
  <c r="H39" i="19"/>
  <c r="I39" i="19" s="1"/>
  <c r="E40" i="19"/>
  <c r="F40" i="19"/>
  <c r="H40" i="19"/>
  <c r="I40" i="19"/>
  <c r="E41" i="19"/>
  <c r="F41" i="19" s="1"/>
  <c r="H41" i="19"/>
  <c r="I41" i="19" s="1"/>
  <c r="E42" i="19"/>
  <c r="F42" i="19"/>
  <c r="H42" i="19"/>
  <c r="I42" i="19"/>
  <c r="E43" i="19"/>
  <c r="F43" i="19" s="1"/>
  <c r="H43" i="19"/>
  <c r="I43" i="19" s="1"/>
  <c r="E44" i="19"/>
  <c r="F44" i="19"/>
  <c r="H44" i="19"/>
  <c r="I44" i="19"/>
  <c r="E45" i="19"/>
  <c r="F45" i="19" s="1"/>
  <c r="H45" i="19"/>
  <c r="I45" i="19" s="1"/>
  <c r="E11" i="20"/>
  <c r="F11" i="20" s="1"/>
  <c r="H11" i="20"/>
  <c r="I11" i="20" s="1"/>
  <c r="E12" i="20"/>
  <c r="F12" i="20"/>
  <c r="H12" i="20"/>
  <c r="I12" i="20" s="1"/>
  <c r="E13" i="20"/>
  <c r="F13" i="20" s="1"/>
  <c r="H13" i="20"/>
  <c r="I13" i="20" s="1"/>
  <c r="E14" i="20"/>
  <c r="F14" i="20"/>
  <c r="H14" i="20"/>
  <c r="I14" i="20" s="1"/>
  <c r="E15" i="20"/>
  <c r="F15" i="20" s="1"/>
  <c r="H15" i="20"/>
  <c r="I15" i="20" s="1"/>
  <c r="E16" i="20"/>
  <c r="F16" i="20"/>
  <c r="H16" i="20"/>
  <c r="I16" i="20" s="1"/>
  <c r="E17" i="20"/>
  <c r="F17" i="20" s="1"/>
  <c r="H17" i="20"/>
  <c r="I17" i="20" s="1"/>
  <c r="E18" i="20"/>
  <c r="F18" i="20"/>
  <c r="H18" i="20"/>
  <c r="I18" i="20" s="1"/>
  <c r="E19" i="20"/>
  <c r="F19" i="20" s="1"/>
  <c r="H19" i="20"/>
  <c r="I19" i="20" s="1"/>
  <c r="E20" i="20"/>
  <c r="F20" i="20"/>
  <c r="H20" i="20"/>
  <c r="I20" i="20" s="1"/>
  <c r="E21" i="20"/>
  <c r="F21" i="20" s="1"/>
  <c r="H21" i="20"/>
  <c r="I21" i="20" s="1"/>
  <c r="E22" i="20"/>
  <c r="F22" i="20"/>
  <c r="H22" i="20"/>
  <c r="I22" i="20" s="1"/>
  <c r="E23" i="20"/>
  <c r="F23" i="20" s="1"/>
  <c r="H23" i="20"/>
  <c r="I23" i="20" s="1"/>
  <c r="E24" i="20"/>
  <c r="F24" i="20"/>
  <c r="H24" i="20"/>
  <c r="I24" i="20" s="1"/>
  <c r="E25" i="20"/>
  <c r="F25" i="20" s="1"/>
  <c r="H25" i="20"/>
  <c r="I25" i="20" s="1"/>
  <c r="E26" i="20"/>
  <c r="F26" i="20"/>
  <c r="H26" i="20"/>
  <c r="I26" i="20" s="1"/>
  <c r="E27" i="20"/>
  <c r="F27" i="20" s="1"/>
  <c r="H27" i="20"/>
  <c r="I27" i="20" s="1"/>
  <c r="E28" i="20"/>
  <c r="F28" i="20"/>
  <c r="H28" i="20"/>
  <c r="I28" i="20" s="1"/>
  <c r="E29" i="20"/>
  <c r="F29" i="20" s="1"/>
  <c r="H29" i="20"/>
  <c r="I29" i="20" s="1"/>
  <c r="E30" i="20"/>
  <c r="F30" i="20"/>
  <c r="H30" i="20"/>
  <c r="I30" i="20" s="1"/>
  <c r="E31" i="20"/>
  <c r="F31" i="20" s="1"/>
  <c r="H31" i="20"/>
  <c r="I31" i="20" s="1"/>
  <c r="E32" i="20"/>
  <c r="F32" i="20"/>
  <c r="H32" i="20"/>
  <c r="I32" i="20" s="1"/>
  <c r="E33" i="20"/>
  <c r="F33" i="20" s="1"/>
  <c r="H33" i="20"/>
  <c r="I33" i="20" s="1"/>
  <c r="E34" i="20"/>
  <c r="F34" i="20"/>
  <c r="H34" i="20"/>
  <c r="I34" i="20" s="1"/>
  <c r="E35" i="20"/>
  <c r="F35" i="20" s="1"/>
  <c r="H35" i="20"/>
  <c r="I35" i="20" s="1"/>
  <c r="E36" i="20"/>
  <c r="F36" i="20"/>
  <c r="H36" i="20"/>
  <c r="I36" i="20" s="1"/>
  <c r="E37" i="20"/>
  <c r="F37" i="20" s="1"/>
  <c r="H37" i="20"/>
  <c r="I37" i="20" s="1"/>
  <c r="E38" i="20"/>
  <c r="F38" i="20"/>
  <c r="H38" i="20"/>
  <c r="I38" i="20" s="1"/>
  <c r="E39" i="20"/>
  <c r="F39" i="20" s="1"/>
  <c r="H39" i="20"/>
  <c r="I39" i="20" s="1"/>
  <c r="E40" i="20"/>
  <c r="F40" i="20"/>
  <c r="H40" i="20"/>
  <c r="I40" i="20" s="1"/>
  <c r="E41" i="20"/>
  <c r="F41" i="20" s="1"/>
  <c r="H41" i="20"/>
  <c r="I41" i="20" s="1"/>
  <c r="E42" i="20"/>
  <c r="F42" i="20"/>
  <c r="H42" i="20"/>
  <c r="I42" i="20" s="1"/>
  <c r="E43" i="20"/>
  <c r="F43" i="20" s="1"/>
  <c r="H43" i="20"/>
  <c r="I43" i="20" s="1"/>
  <c r="E44" i="20"/>
  <c r="F44" i="20"/>
  <c r="H44" i="20"/>
  <c r="I44" i="20" s="1"/>
  <c r="E45" i="20"/>
  <c r="F45" i="20" s="1"/>
  <c r="H45" i="20"/>
  <c r="I45" i="20" s="1"/>
  <c r="E34" i="27"/>
  <c r="F34" i="27" s="1"/>
  <c r="H34" i="27"/>
  <c r="I34" i="27" s="1"/>
  <c r="E36" i="27"/>
  <c r="F36" i="27" s="1"/>
  <c r="H36" i="27"/>
  <c r="I36" i="27"/>
  <c r="E38" i="27"/>
  <c r="F38" i="27" s="1"/>
  <c r="H38" i="27"/>
  <c r="I38" i="27" s="1"/>
  <c r="E40" i="27"/>
  <c r="F40" i="27" s="1"/>
  <c r="H40" i="27"/>
  <c r="I40" i="27"/>
  <c r="E42" i="27"/>
  <c r="F42" i="27" s="1"/>
  <c r="H42" i="27"/>
  <c r="I42" i="27" s="1"/>
  <c r="E44" i="27"/>
  <c r="F44" i="27" s="1"/>
  <c r="H44" i="27"/>
  <c r="I44" i="27"/>
  <c r="E32" i="27"/>
  <c r="F32" i="27" s="1"/>
  <c r="H32" i="27"/>
  <c r="I32" i="27" s="1"/>
  <c r="H30" i="27"/>
  <c r="I30" i="27" s="1"/>
  <c r="E30" i="27"/>
  <c r="F30" i="27"/>
  <c r="H28" i="27"/>
  <c r="I28" i="27" s="1"/>
  <c r="E28" i="27"/>
  <c r="F28" i="27" s="1"/>
  <c r="H26" i="27"/>
  <c r="I26" i="27" s="1"/>
  <c r="E26" i="27"/>
  <c r="F26" i="27"/>
  <c r="H24" i="27"/>
  <c r="I24" i="27" s="1"/>
  <c r="E24" i="27"/>
  <c r="F24" i="27" s="1"/>
  <c r="H22" i="27"/>
  <c r="I22" i="27" s="1"/>
  <c r="E22" i="27"/>
  <c r="F22" i="27"/>
  <c r="H20" i="27"/>
  <c r="I20" i="27" s="1"/>
  <c r="E20" i="27"/>
  <c r="F20" i="27" s="1"/>
  <c r="H18" i="27"/>
  <c r="I18" i="27" s="1"/>
  <c r="E18" i="27"/>
  <c r="F18" i="27"/>
  <c r="H16" i="27"/>
  <c r="I16" i="27" s="1"/>
  <c r="E16" i="27"/>
  <c r="F16" i="27" s="1"/>
  <c r="H14" i="27"/>
  <c r="I14" i="27" s="1"/>
  <c r="E14" i="27"/>
  <c r="F14" i="27"/>
  <c r="H12" i="27"/>
  <c r="I12" i="27" s="1"/>
  <c r="E12" i="27"/>
  <c r="F12" i="27" s="1"/>
  <c r="H10" i="27"/>
  <c r="I10" i="27" s="1"/>
  <c r="E10" i="27"/>
  <c r="F10" i="27"/>
  <c r="E11" i="21"/>
  <c r="F11" i="21" s="1"/>
  <c r="H11" i="21"/>
  <c r="I11" i="21"/>
  <c r="E12" i="21"/>
  <c r="F12" i="21"/>
  <c r="H12" i="21"/>
  <c r="I12" i="21"/>
  <c r="E13" i="21"/>
  <c r="F13" i="21" s="1"/>
  <c r="H13" i="21"/>
  <c r="I13" i="21"/>
  <c r="E14" i="21"/>
  <c r="F14" i="21"/>
  <c r="H14" i="21"/>
  <c r="I14" i="21"/>
  <c r="E15" i="21"/>
  <c r="F15" i="21" s="1"/>
  <c r="H15" i="21"/>
  <c r="I15" i="21"/>
  <c r="E16" i="21"/>
  <c r="F16" i="21"/>
  <c r="H16" i="21"/>
  <c r="I16" i="21"/>
  <c r="E17" i="21"/>
  <c r="F17" i="21" s="1"/>
  <c r="H17" i="21"/>
  <c r="I17" i="21"/>
  <c r="E18" i="21"/>
  <c r="F18" i="21"/>
  <c r="H18" i="21"/>
  <c r="I18" i="21"/>
  <c r="E19" i="21"/>
  <c r="F19" i="21" s="1"/>
  <c r="H19" i="21"/>
  <c r="I19" i="21"/>
  <c r="E20" i="21"/>
  <c r="F20" i="21"/>
  <c r="H20" i="21"/>
  <c r="I20" i="21"/>
  <c r="E21" i="21"/>
  <c r="F21" i="21" s="1"/>
  <c r="H21" i="21"/>
  <c r="I21" i="21"/>
  <c r="E22" i="21"/>
  <c r="F22" i="21"/>
  <c r="H22" i="21"/>
  <c r="I22" i="21"/>
  <c r="E23" i="21"/>
  <c r="F23" i="21" s="1"/>
  <c r="H23" i="21"/>
  <c r="I23" i="21"/>
  <c r="E24" i="21"/>
  <c r="F24" i="21"/>
  <c r="H24" i="21"/>
  <c r="I24" i="21"/>
  <c r="E25" i="21"/>
  <c r="F25" i="21" s="1"/>
  <c r="H25" i="21"/>
  <c r="I25" i="21"/>
  <c r="E26" i="21"/>
  <c r="F26" i="21"/>
  <c r="H26" i="21"/>
  <c r="I26" i="21"/>
  <c r="E27" i="21"/>
  <c r="F27" i="21" s="1"/>
  <c r="H27" i="21"/>
  <c r="I27" i="21"/>
  <c r="E28" i="21"/>
  <c r="F28" i="21"/>
  <c r="H28" i="21"/>
  <c r="I28" i="21"/>
  <c r="E29" i="21"/>
  <c r="F29" i="21" s="1"/>
  <c r="H29" i="21"/>
  <c r="I29" i="21"/>
  <c r="E30" i="21"/>
  <c r="F30" i="21"/>
  <c r="H30" i="21"/>
  <c r="I30" i="21"/>
  <c r="E31" i="21"/>
  <c r="F31" i="21" s="1"/>
  <c r="H31" i="21"/>
  <c r="I31" i="21"/>
  <c r="E32" i="21"/>
  <c r="F32" i="21"/>
  <c r="H32" i="21"/>
  <c r="I32" i="21"/>
  <c r="E33" i="21"/>
  <c r="F33" i="21" s="1"/>
  <c r="H33" i="21"/>
  <c r="I33" i="21"/>
  <c r="E34" i="21"/>
  <c r="F34" i="21"/>
  <c r="H34" i="21"/>
  <c r="I34" i="21"/>
  <c r="E35" i="21"/>
  <c r="F35" i="21" s="1"/>
  <c r="H35" i="21"/>
  <c r="I35" i="21"/>
  <c r="E36" i="21"/>
  <c r="F36" i="21"/>
  <c r="H36" i="21"/>
  <c r="I36" i="21"/>
  <c r="E37" i="21"/>
  <c r="F37" i="21" s="1"/>
  <c r="H37" i="21"/>
  <c r="I37" i="21"/>
  <c r="E38" i="21"/>
  <c r="F38" i="21"/>
  <c r="H38" i="21"/>
  <c r="I38" i="21"/>
  <c r="E39" i="21"/>
  <c r="F39" i="21" s="1"/>
  <c r="H39" i="21"/>
  <c r="I39" i="21"/>
  <c r="E40" i="21"/>
  <c r="F40" i="21"/>
  <c r="H40" i="21"/>
  <c r="I40" i="21"/>
  <c r="E41" i="21"/>
  <c r="F41" i="21" s="1"/>
  <c r="H41" i="21"/>
  <c r="I41" i="21"/>
  <c r="E42" i="21"/>
  <c r="F42" i="21"/>
  <c r="H42" i="21"/>
  <c r="I42" i="21"/>
  <c r="E43" i="21"/>
  <c r="F43" i="21" s="1"/>
  <c r="H43" i="21"/>
  <c r="I43" i="21"/>
  <c r="E44" i="21"/>
  <c r="F44" i="21"/>
  <c r="H44" i="21"/>
  <c r="I44" i="21"/>
  <c r="E45" i="21"/>
  <c r="F45" i="21" s="1"/>
  <c r="H45" i="21"/>
  <c r="I45" i="21"/>
  <c r="I33" i="26" l="1"/>
  <c r="I35" i="29"/>
  <c r="I19" i="29"/>
  <c r="E35" i="29"/>
  <c r="F35" i="29" s="1"/>
  <c r="F45" i="29"/>
  <c r="E44" i="29"/>
  <c r="F44" i="29" s="1"/>
  <c r="F43" i="29"/>
  <c r="F41" i="29"/>
  <c r="E40" i="29"/>
  <c r="F38" i="29"/>
  <c r="E37" i="29"/>
  <c r="F37" i="29" s="1"/>
  <c r="F36" i="29"/>
  <c r="E34" i="29"/>
  <c r="F34" i="29" s="1"/>
  <c r="E33" i="29"/>
  <c r="F33" i="29" s="1"/>
  <c r="E30" i="29"/>
  <c r="F30" i="29" s="1"/>
  <c r="F29" i="29"/>
  <c r="F28" i="29"/>
  <c r="E27" i="29"/>
  <c r="D27" i="34"/>
  <c r="E26" i="29"/>
  <c r="F26" i="29" s="1"/>
  <c r="G24" i="34"/>
  <c r="E25" i="34"/>
  <c r="F25" i="34" s="1"/>
  <c r="F25" i="29"/>
  <c r="G38" i="34"/>
  <c r="I38" i="34" s="1"/>
  <c r="G30" i="34"/>
  <c r="C26" i="34"/>
  <c r="E26" i="34" s="1"/>
  <c r="F26" i="34" s="1"/>
  <c r="G42" i="34"/>
  <c r="I42" i="34" s="1"/>
  <c r="D35" i="34"/>
  <c r="E35" i="34" s="1"/>
  <c r="F35" i="34" s="1"/>
  <c r="D31" i="34"/>
  <c r="E31" i="34" s="1"/>
  <c r="F31" i="34" s="1"/>
  <c r="G22" i="34"/>
  <c r="I22" i="34" s="1"/>
  <c r="D43" i="34"/>
  <c r="I24" i="30"/>
  <c r="I21" i="34"/>
  <c r="I14" i="34"/>
  <c r="E11" i="34"/>
  <c r="F11" i="34" s="1"/>
  <c r="D23" i="34"/>
  <c r="E23" i="34" s="1"/>
  <c r="F23" i="34" s="1"/>
  <c r="F39" i="29"/>
  <c r="F23" i="29"/>
  <c r="F40" i="29"/>
  <c r="F24" i="29"/>
  <c r="C43" i="34"/>
  <c r="C41" i="34"/>
  <c r="E15" i="34"/>
  <c r="F15" i="34" s="1"/>
  <c r="C34" i="34"/>
  <c r="E34" i="34" s="1"/>
  <c r="F34" i="34" s="1"/>
  <c r="I31" i="34"/>
  <c r="C17" i="34"/>
  <c r="E17" i="34" s="1"/>
  <c r="F17" i="34" s="1"/>
  <c r="I33" i="34"/>
  <c r="C38" i="34"/>
  <c r="E38" i="34" s="1"/>
  <c r="F38" i="34" s="1"/>
  <c r="G35" i="34"/>
  <c r="I35" i="34" s="1"/>
  <c r="F27" i="29"/>
  <c r="I41" i="34"/>
  <c r="I30" i="34"/>
  <c r="C23" i="34"/>
  <c r="C18" i="34"/>
  <c r="E18" i="34" s="1"/>
  <c r="F18" i="34" s="1"/>
  <c r="D45" i="34"/>
  <c r="E45" i="34" s="1"/>
  <c r="F45" i="34" s="1"/>
  <c r="I29" i="34"/>
  <c r="D37" i="34"/>
  <c r="E37" i="34" s="1"/>
  <c r="F37" i="34" s="1"/>
  <c r="C20" i="34"/>
  <c r="E20" i="34" s="1"/>
  <c r="F20" i="34" s="1"/>
  <c r="G16" i="34"/>
  <c r="I16" i="34" s="1"/>
  <c r="E39" i="34"/>
  <c r="F39" i="34" s="1"/>
  <c r="D29" i="34"/>
  <c r="E29" i="34" s="1"/>
  <c r="F29" i="34" s="1"/>
  <c r="D13" i="34"/>
  <c r="G40" i="34"/>
  <c r="I40" i="34" s="1"/>
  <c r="G32" i="34"/>
  <c r="I32" i="34" s="1"/>
  <c r="E27" i="34"/>
  <c r="F27" i="34" s="1"/>
  <c r="C36" i="34"/>
  <c r="E36" i="34" s="1"/>
  <c r="F36" i="34" s="1"/>
  <c r="C44" i="34"/>
  <c r="E44" i="34" s="1"/>
  <c r="F44" i="34" s="1"/>
  <c r="D21" i="34"/>
  <c r="E21" i="34" s="1"/>
  <c r="F21" i="34" s="1"/>
  <c r="E42" i="34"/>
  <c r="F42" i="34" s="1"/>
  <c r="E40" i="34"/>
  <c r="F40" i="34" s="1"/>
  <c r="E30" i="34"/>
  <c r="F30" i="34" s="1"/>
  <c r="I24" i="34"/>
  <c r="E41" i="34"/>
  <c r="F41" i="34" s="1"/>
  <c r="I37" i="34"/>
  <c r="I25" i="34"/>
  <c r="I23" i="34"/>
  <c r="E22" i="34"/>
  <c r="F22" i="34" s="1"/>
  <c r="I45" i="34"/>
  <c r="E13" i="34"/>
  <c r="F13" i="34" s="1"/>
  <c r="H12" i="34"/>
  <c r="I12" i="34" s="1"/>
  <c r="I20" i="1"/>
  <c r="E32" i="34"/>
  <c r="F32" i="34" s="1"/>
  <c r="I28" i="34"/>
  <c r="I26" i="34"/>
  <c r="E16" i="34"/>
  <c r="F16" i="34" s="1"/>
  <c r="I17" i="34"/>
  <c r="I15" i="34"/>
  <c r="E14" i="34"/>
  <c r="F14" i="34" s="1"/>
  <c r="I36" i="34"/>
  <c r="E28" i="34"/>
  <c r="F28" i="34" s="1"/>
  <c r="C12" i="34"/>
  <c r="E12" i="34" s="1"/>
  <c r="F12" i="34" s="1"/>
  <c r="I44" i="34"/>
  <c r="E19" i="34"/>
  <c r="F19" i="34" s="1"/>
  <c r="I13" i="34"/>
  <c r="E36" i="1"/>
  <c r="F36" i="1" s="1"/>
  <c r="I34" i="34"/>
  <c r="E33" i="34"/>
  <c r="F33" i="34" s="1"/>
  <c r="E24" i="34"/>
  <c r="F24" i="34" s="1"/>
  <c r="I20" i="34"/>
  <c r="I18" i="34"/>
  <c r="E43" i="34" l="1"/>
  <c r="F43" i="34" s="1"/>
  <c r="E17" i="4" l="1"/>
  <c r="F17" i="4" s="1"/>
  <c r="H17" i="4"/>
  <c r="I17" i="4"/>
  <c r="E18" i="4"/>
  <c r="F18" i="4"/>
  <c r="H18" i="4"/>
  <c r="I18" i="4"/>
  <c r="E19" i="4"/>
  <c r="F19" i="4" s="1"/>
  <c r="H19" i="4"/>
  <c r="I19" i="4"/>
  <c r="E20" i="4"/>
  <c r="F20" i="4"/>
  <c r="H20" i="4"/>
  <c r="I20" i="4"/>
  <c r="E21" i="4"/>
  <c r="F21" i="4" s="1"/>
  <c r="H21" i="4"/>
  <c r="I21" i="4"/>
  <c r="E22" i="4"/>
  <c r="F22" i="4"/>
  <c r="H22" i="4"/>
  <c r="I22" i="4"/>
  <c r="E23" i="4"/>
  <c r="F23" i="4" s="1"/>
  <c r="H23" i="4"/>
  <c r="I23" i="4"/>
  <c r="E24" i="4"/>
  <c r="F24" i="4"/>
  <c r="H24" i="4"/>
  <c r="I24" i="4"/>
  <c r="E25" i="4"/>
  <c r="F25" i="4" s="1"/>
  <c r="H25" i="4"/>
  <c r="I25" i="4"/>
  <c r="E26" i="4"/>
  <c r="F26" i="4"/>
  <c r="H26" i="4"/>
  <c r="I26" i="4"/>
  <c r="E27" i="4"/>
  <c r="F27" i="4" s="1"/>
  <c r="H27" i="4"/>
  <c r="I27" i="4"/>
  <c r="E28" i="4"/>
  <c r="F28" i="4"/>
  <c r="H28" i="4"/>
  <c r="I28" i="4"/>
  <c r="E29" i="4"/>
  <c r="F29" i="4" s="1"/>
  <c r="H29" i="4"/>
  <c r="I29" i="4"/>
  <c r="E30" i="4"/>
  <c r="F30" i="4"/>
  <c r="H30" i="4"/>
  <c r="I30" i="4"/>
  <c r="E31" i="4"/>
  <c r="F31" i="4" s="1"/>
  <c r="H31" i="4"/>
  <c r="I31" i="4"/>
  <c r="E32" i="4"/>
  <c r="F32" i="4"/>
  <c r="H32" i="4"/>
  <c r="I32" i="4"/>
  <c r="E33" i="4"/>
  <c r="F33" i="4" s="1"/>
  <c r="H33" i="4"/>
  <c r="I33" i="4"/>
  <c r="E34" i="4"/>
  <c r="F34" i="4"/>
  <c r="H34" i="4"/>
  <c r="I34" i="4"/>
  <c r="E35" i="4"/>
  <c r="F35" i="4" s="1"/>
  <c r="H35" i="4"/>
  <c r="I35" i="4"/>
  <c r="E36" i="4"/>
  <c r="F36" i="4"/>
  <c r="H36" i="4"/>
  <c r="I36" i="4"/>
  <c r="E37" i="4"/>
  <c r="F37" i="4" s="1"/>
  <c r="H37" i="4"/>
  <c r="I37" i="4"/>
  <c r="E38" i="4"/>
  <c r="F38" i="4"/>
  <c r="H38" i="4"/>
  <c r="I38" i="4"/>
  <c r="E39" i="4"/>
  <c r="F39" i="4" s="1"/>
  <c r="H39" i="4"/>
  <c r="I39" i="4"/>
  <c r="E40" i="4"/>
  <c r="F40" i="4"/>
  <c r="H40" i="4"/>
  <c r="I40" i="4"/>
  <c r="E41" i="4"/>
  <c r="F41" i="4" s="1"/>
  <c r="H41" i="4"/>
  <c r="I41" i="4"/>
  <c r="E42" i="4"/>
  <c r="F42" i="4"/>
  <c r="H42" i="4"/>
  <c r="I42" i="4"/>
  <c r="E43" i="4"/>
  <c r="F43" i="4" s="1"/>
  <c r="H43" i="4"/>
  <c r="I43" i="4"/>
  <c r="E44" i="4"/>
  <c r="F44" i="4"/>
  <c r="H44" i="4"/>
  <c r="I44" i="4"/>
  <c r="E45" i="4"/>
  <c r="F45" i="4" s="1"/>
  <c r="H45" i="4"/>
  <c r="I45" i="4"/>
  <c r="E9" i="4"/>
  <c r="F9" i="4"/>
  <c r="H9" i="4"/>
  <c r="I9" i="4"/>
  <c r="E10" i="4"/>
  <c r="F10" i="4"/>
  <c r="H10" i="4"/>
  <c r="I10" i="4"/>
  <c r="E11" i="4"/>
  <c r="F11" i="4"/>
  <c r="H11" i="4"/>
  <c r="I11" i="4"/>
  <c r="E12" i="4"/>
  <c r="F12" i="4"/>
  <c r="H12" i="4"/>
  <c r="I12" i="4"/>
  <c r="E13" i="4"/>
  <c r="F13" i="4"/>
  <c r="H13" i="4"/>
  <c r="I13" i="4"/>
  <c r="E14" i="4"/>
  <c r="F14" i="4"/>
  <c r="H14" i="4"/>
  <c r="I14" i="4"/>
  <c r="E15" i="4"/>
  <c r="F15" i="4"/>
  <c r="H15" i="4"/>
  <c r="I15" i="4"/>
  <c r="E16" i="4"/>
  <c r="F16" i="4"/>
  <c r="H16" i="4"/>
  <c r="I16" i="4"/>
  <c r="E11" i="3"/>
  <c r="F11" i="3" s="1"/>
  <c r="H11" i="3"/>
  <c r="I11" i="3" s="1"/>
  <c r="E12" i="3"/>
  <c r="F12" i="3"/>
  <c r="H12" i="3"/>
  <c r="I12" i="3"/>
  <c r="E13" i="3"/>
  <c r="F13" i="3" s="1"/>
  <c r="H13" i="3"/>
  <c r="I13" i="3" s="1"/>
  <c r="E14" i="3"/>
  <c r="F14" i="3"/>
  <c r="H14" i="3"/>
  <c r="I14" i="3"/>
  <c r="E15" i="3"/>
  <c r="F15" i="3" s="1"/>
  <c r="H15" i="3"/>
  <c r="I15" i="3" s="1"/>
  <c r="E16" i="3"/>
  <c r="F16" i="3"/>
  <c r="H16" i="3"/>
  <c r="I16" i="3"/>
  <c r="E17" i="3"/>
  <c r="F17" i="3" s="1"/>
  <c r="H17" i="3"/>
  <c r="I17" i="3" s="1"/>
  <c r="E18" i="3"/>
  <c r="F18" i="3"/>
  <c r="H18" i="3"/>
  <c r="I18" i="3"/>
  <c r="E19" i="3"/>
  <c r="F19" i="3" s="1"/>
  <c r="H19" i="3"/>
  <c r="I19" i="3" s="1"/>
  <c r="E20" i="3"/>
  <c r="F20" i="3"/>
  <c r="H20" i="3"/>
  <c r="I20" i="3"/>
  <c r="E21" i="3"/>
  <c r="F21" i="3" s="1"/>
  <c r="H21" i="3"/>
  <c r="I21" i="3" s="1"/>
  <c r="E22" i="3"/>
  <c r="F22" i="3"/>
  <c r="H22" i="3"/>
  <c r="I22" i="3"/>
  <c r="E23" i="3"/>
  <c r="F23" i="3" s="1"/>
  <c r="H23" i="3"/>
  <c r="I23" i="3" s="1"/>
  <c r="E24" i="3"/>
  <c r="F24" i="3"/>
  <c r="H24" i="3"/>
  <c r="I24" i="3"/>
  <c r="E25" i="3"/>
  <c r="F25" i="3" s="1"/>
  <c r="H25" i="3"/>
  <c r="I25" i="3" s="1"/>
  <c r="E26" i="3"/>
  <c r="F26" i="3"/>
  <c r="H26" i="3"/>
  <c r="I26" i="3"/>
  <c r="E27" i="3"/>
  <c r="F27" i="3" s="1"/>
  <c r="H27" i="3"/>
  <c r="I27" i="3" s="1"/>
  <c r="E28" i="3"/>
  <c r="F28" i="3"/>
  <c r="H28" i="3"/>
  <c r="I28" i="3"/>
  <c r="E29" i="3"/>
  <c r="F29" i="3" s="1"/>
  <c r="H29" i="3"/>
  <c r="I29" i="3" s="1"/>
  <c r="E30" i="3"/>
  <c r="F30" i="3"/>
  <c r="H30" i="3"/>
  <c r="I30" i="3"/>
  <c r="E31" i="3"/>
  <c r="F31" i="3" s="1"/>
  <c r="H31" i="3"/>
  <c r="I31" i="3" s="1"/>
  <c r="E32" i="3"/>
  <c r="F32" i="3"/>
  <c r="H32" i="3"/>
  <c r="I32" i="3"/>
  <c r="E33" i="3"/>
  <c r="F33" i="3" s="1"/>
  <c r="H33" i="3"/>
  <c r="I33" i="3" s="1"/>
  <c r="E34" i="3"/>
  <c r="F34" i="3"/>
  <c r="H34" i="3"/>
  <c r="I34" i="3"/>
  <c r="E35" i="3"/>
  <c r="F35" i="3" s="1"/>
  <c r="H35" i="3"/>
  <c r="I35" i="3" s="1"/>
  <c r="E36" i="3"/>
  <c r="F36" i="3"/>
  <c r="H36" i="3"/>
  <c r="I36" i="3"/>
  <c r="E37" i="3"/>
  <c r="F37" i="3" s="1"/>
  <c r="H37" i="3"/>
  <c r="I37" i="3" s="1"/>
  <c r="E38" i="3"/>
  <c r="F38" i="3"/>
  <c r="H38" i="3"/>
  <c r="I38" i="3"/>
  <c r="E39" i="3"/>
  <c r="F39" i="3" s="1"/>
  <c r="H39" i="3"/>
  <c r="I39" i="3" s="1"/>
  <c r="E40" i="3"/>
  <c r="F40" i="3"/>
  <c r="H40" i="3"/>
  <c r="I40" i="3"/>
  <c r="E41" i="3"/>
  <c r="F41" i="3" s="1"/>
  <c r="H41" i="3"/>
  <c r="I41" i="3" s="1"/>
  <c r="E42" i="3"/>
  <c r="F42" i="3"/>
  <c r="H42" i="3"/>
  <c r="I42" i="3"/>
  <c r="E43" i="3"/>
  <c r="F43" i="3" s="1"/>
  <c r="H43" i="3"/>
  <c r="I43" i="3" s="1"/>
  <c r="E44" i="3"/>
  <c r="F44" i="3"/>
  <c r="H44" i="3"/>
  <c r="I44" i="3"/>
  <c r="E45" i="3"/>
  <c r="F45" i="3" s="1"/>
  <c r="H45" i="3"/>
  <c r="I45" i="3" s="1"/>
  <c r="J8" i="72"/>
  <c r="J9" i="72"/>
  <c r="J10" i="72"/>
  <c r="J11" i="72"/>
  <c r="J12" i="72"/>
  <c r="J13" i="72"/>
  <c r="J14" i="72"/>
  <c r="J15" i="72"/>
  <c r="J16" i="72"/>
  <c r="J17" i="72"/>
  <c r="J18" i="72"/>
  <c r="J19" i="72"/>
  <c r="J20" i="72"/>
  <c r="J21" i="72"/>
  <c r="J22" i="72"/>
  <c r="J23" i="72"/>
  <c r="J24" i="72"/>
  <c r="J25" i="72"/>
  <c r="J26" i="72"/>
  <c r="J27" i="72"/>
  <c r="J28" i="72"/>
  <c r="J29" i="72"/>
  <c r="J30" i="72"/>
  <c r="J31" i="72"/>
  <c r="J32" i="72"/>
  <c r="J33" i="72"/>
  <c r="J34" i="72"/>
  <c r="J35" i="72"/>
  <c r="J36" i="72"/>
  <c r="J37" i="72"/>
  <c r="J38" i="72"/>
  <c r="J39" i="72"/>
  <c r="J40" i="72"/>
  <c r="J41" i="72"/>
  <c r="J42" i="72"/>
  <c r="J43" i="72"/>
  <c r="J44" i="72"/>
  <c r="J45" i="72"/>
  <c r="F11" i="72"/>
  <c r="G11" i="72"/>
  <c r="I11" i="72"/>
  <c r="F12" i="72"/>
  <c r="G12" i="72"/>
  <c r="I12" i="72"/>
  <c r="F13" i="72"/>
  <c r="G13" i="72"/>
  <c r="I13" i="72"/>
  <c r="F14" i="72"/>
  <c r="G14" i="72"/>
  <c r="I14" i="72"/>
  <c r="F15" i="72"/>
  <c r="G15" i="72"/>
  <c r="I15" i="72"/>
  <c r="F16" i="72"/>
  <c r="G16" i="72"/>
  <c r="I16" i="72"/>
  <c r="F17" i="72"/>
  <c r="G17" i="72"/>
  <c r="I17" i="72"/>
  <c r="F18" i="72"/>
  <c r="G18" i="72"/>
  <c r="I18" i="72"/>
  <c r="F19" i="72"/>
  <c r="G19" i="72"/>
  <c r="I19" i="72"/>
  <c r="F20" i="72"/>
  <c r="G20" i="72"/>
  <c r="I20" i="72"/>
  <c r="F21" i="72"/>
  <c r="G21" i="72"/>
  <c r="I21" i="72"/>
  <c r="F22" i="72"/>
  <c r="G22" i="72"/>
  <c r="I22" i="72"/>
  <c r="F23" i="72"/>
  <c r="G23" i="72"/>
  <c r="I23" i="72"/>
  <c r="F24" i="72"/>
  <c r="G24" i="72"/>
  <c r="I24" i="72"/>
  <c r="F25" i="72"/>
  <c r="G25" i="72"/>
  <c r="I25" i="72"/>
  <c r="F26" i="72"/>
  <c r="G26" i="72"/>
  <c r="I26" i="72"/>
  <c r="F27" i="72"/>
  <c r="G27" i="72"/>
  <c r="I27" i="72"/>
  <c r="F28" i="72"/>
  <c r="G28" i="72"/>
  <c r="I28" i="72"/>
  <c r="F29" i="72"/>
  <c r="G29" i="72"/>
  <c r="I29" i="72"/>
  <c r="F30" i="72"/>
  <c r="G30" i="72"/>
  <c r="I30" i="72"/>
  <c r="F31" i="72"/>
  <c r="G31" i="72"/>
  <c r="I31" i="72"/>
  <c r="F32" i="72"/>
  <c r="G32" i="72"/>
  <c r="I32" i="72"/>
  <c r="F33" i="72"/>
  <c r="G33" i="72"/>
  <c r="I33" i="72"/>
  <c r="F34" i="72"/>
  <c r="G34" i="72"/>
  <c r="I34" i="72"/>
  <c r="F35" i="72"/>
  <c r="G35" i="72"/>
  <c r="I35" i="72"/>
  <c r="F36" i="72"/>
  <c r="G36" i="72"/>
  <c r="I36" i="72"/>
  <c r="F37" i="72"/>
  <c r="G37" i="72"/>
  <c r="I37" i="72"/>
  <c r="F38" i="72"/>
  <c r="G38" i="72"/>
  <c r="I38" i="72"/>
  <c r="F39" i="72"/>
  <c r="G39" i="72"/>
  <c r="I39" i="72"/>
  <c r="F40" i="72"/>
  <c r="G40" i="72"/>
  <c r="I40" i="72"/>
  <c r="F41" i="72"/>
  <c r="G41" i="72"/>
  <c r="I41" i="72"/>
  <c r="F42" i="72"/>
  <c r="G42" i="72"/>
  <c r="I42" i="72"/>
  <c r="F43" i="72"/>
  <c r="G43" i="72"/>
  <c r="I43" i="72"/>
  <c r="F44" i="72"/>
  <c r="G44" i="72"/>
  <c r="I44" i="72"/>
  <c r="F45" i="72"/>
  <c r="G45" i="72"/>
  <c r="I45" i="72"/>
  <c r="H10" i="29"/>
  <c r="E9" i="19"/>
  <c r="F9" i="19" s="1"/>
  <c r="E10" i="19"/>
  <c r="F10" i="19" s="1"/>
  <c r="H9" i="19"/>
  <c r="I9" i="19" s="1"/>
  <c r="H10" i="19"/>
  <c r="I10" i="19" s="1"/>
  <c r="G5" i="18"/>
  <c r="H7" i="20"/>
  <c r="I7" i="20" s="1"/>
  <c r="H8" i="20"/>
  <c r="I8" i="20" s="1"/>
  <c r="H9" i="20"/>
  <c r="H9" i="18" s="1"/>
  <c r="H10" i="20"/>
  <c r="I10" i="20" s="1"/>
  <c r="F9" i="20"/>
  <c r="E7" i="20"/>
  <c r="F7" i="20" s="1"/>
  <c r="E8" i="20"/>
  <c r="F8" i="20" s="1"/>
  <c r="E9" i="20"/>
  <c r="E10" i="20"/>
  <c r="F10" i="20" s="1"/>
  <c r="G8" i="18"/>
  <c r="G9" i="18"/>
  <c r="G10" i="18"/>
  <c r="G7" i="18"/>
  <c r="G6" i="18"/>
  <c r="I9" i="21"/>
  <c r="I10" i="21"/>
  <c r="H7" i="21"/>
  <c r="I7" i="21" s="1"/>
  <c r="H8" i="21"/>
  <c r="H9" i="21"/>
  <c r="H10" i="21"/>
  <c r="E7" i="21"/>
  <c r="F7" i="21" s="1"/>
  <c r="E8" i="21"/>
  <c r="F8" i="21" s="1"/>
  <c r="E9" i="21"/>
  <c r="F9" i="21" s="1"/>
  <c r="E10" i="21"/>
  <c r="F10" i="21" s="1"/>
  <c r="E6" i="4"/>
  <c r="F6" i="4" s="1"/>
  <c r="E7" i="4"/>
  <c r="F7" i="4" s="1"/>
  <c r="E8" i="4"/>
  <c r="F8" i="4"/>
  <c r="E7" i="3"/>
  <c r="E8" i="3"/>
  <c r="E9" i="3"/>
  <c r="E10" i="3"/>
  <c r="F7" i="3"/>
  <c r="F8" i="3"/>
  <c r="F9" i="3"/>
  <c r="F10" i="3"/>
  <c r="H9" i="3"/>
  <c r="H10" i="3"/>
  <c r="I10" i="3" s="1"/>
  <c r="D10" i="18"/>
  <c r="C10" i="18"/>
  <c r="E10" i="18" s="1"/>
  <c r="F10" i="18" s="1"/>
  <c r="G9" i="29"/>
  <c r="G10" i="29"/>
  <c r="D10" i="29"/>
  <c r="C10" i="29"/>
  <c r="F10" i="29" s="1"/>
  <c r="G10" i="1"/>
  <c r="D10" i="1"/>
  <c r="C10" i="1"/>
  <c r="H10" i="30"/>
  <c r="G10" i="30"/>
  <c r="I10" i="30" s="1"/>
  <c r="D10" i="30"/>
  <c r="C10" i="30"/>
  <c r="E10" i="30" s="1"/>
  <c r="F10" i="30" s="1"/>
  <c r="I10" i="72"/>
  <c r="F10" i="72"/>
  <c r="G10" i="72" s="1"/>
  <c r="I9" i="72"/>
  <c r="F9" i="72"/>
  <c r="G9" i="72" s="1"/>
  <c r="A4" i="72" a="1"/>
  <c r="A4" i="72" s="1"/>
  <c r="B4" i="72" a="1"/>
  <c r="B4" i="72" s="1"/>
  <c r="F4" i="72"/>
  <c r="G4" i="72"/>
  <c r="I4" i="72"/>
  <c r="J4" i="72"/>
  <c r="D9" i="18"/>
  <c r="C9" i="18"/>
  <c r="G8" i="1"/>
  <c r="G9" i="1"/>
  <c r="D8" i="1"/>
  <c r="D9" i="1"/>
  <c r="C9" i="1"/>
  <c r="D9" i="30"/>
  <c r="C9" i="30"/>
  <c r="E9" i="30" s="1"/>
  <c r="F9" i="30" s="1"/>
  <c r="G6" i="30"/>
  <c r="G7" i="30"/>
  <c r="G8" i="30"/>
  <c r="G9" i="30"/>
  <c r="G5" i="30"/>
  <c r="G4" i="30"/>
  <c r="H9" i="33"/>
  <c r="I9" i="33"/>
  <c r="E9" i="33"/>
  <c r="F9" i="33" s="1"/>
  <c r="I6" i="31"/>
  <c r="I8" i="31"/>
  <c r="H9" i="31"/>
  <c r="H9" i="30" s="1"/>
  <c r="E9" i="31"/>
  <c r="F9" i="31" s="1"/>
  <c r="H9" i="32"/>
  <c r="I9" i="32" s="1"/>
  <c r="E9" i="32"/>
  <c r="F9" i="32" s="1"/>
  <c r="E8" i="32"/>
  <c r="F8" i="32" s="1"/>
  <c r="E6" i="31"/>
  <c r="H5" i="31"/>
  <c r="D9" i="29"/>
  <c r="C9" i="29"/>
  <c r="G6" i="29"/>
  <c r="G7" i="29"/>
  <c r="G8" i="29"/>
  <c r="G4" i="29"/>
  <c r="H9" i="28"/>
  <c r="I9" i="28" s="1"/>
  <c r="E9" i="28"/>
  <c r="F9" i="28" s="1"/>
  <c r="G4" i="18"/>
  <c r="E4" i="4"/>
  <c r="F5" i="72"/>
  <c r="G5" i="72" s="1"/>
  <c r="F6" i="72"/>
  <c r="G6" i="72" s="1"/>
  <c r="F7" i="72"/>
  <c r="G7" i="72" s="1"/>
  <c r="F8" i="72"/>
  <c r="G8" i="72" s="1"/>
  <c r="H10" i="18" l="1"/>
  <c r="I10" i="18" s="1"/>
  <c r="I9" i="20"/>
  <c r="H9" i="29"/>
  <c r="I9" i="31"/>
  <c r="E9" i="29"/>
  <c r="F9" i="29" s="1"/>
  <c r="I9" i="18"/>
  <c r="D10" i="34"/>
  <c r="I8" i="21"/>
  <c r="G10" i="34"/>
  <c r="E9" i="18"/>
  <c r="F9" i="18" s="1"/>
  <c r="H9" i="34"/>
  <c r="I9" i="3"/>
  <c r="H9" i="1"/>
  <c r="H10" i="1"/>
  <c r="H10" i="34" s="1"/>
  <c r="I9" i="1"/>
  <c r="G8" i="34"/>
  <c r="E10" i="1"/>
  <c r="F10" i="1" s="1"/>
  <c r="C10" i="34"/>
  <c r="E9" i="1"/>
  <c r="F9" i="1" s="1"/>
  <c r="I9" i="30"/>
  <c r="C9" i="34"/>
  <c r="G9" i="34"/>
  <c r="D9" i="34"/>
  <c r="I9" i="29"/>
  <c r="C2" i="3"/>
  <c r="I9" i="34" l="1"/>
  <c r="I10" i="1"/>
  <c r="E10" i="34"/>
  <c r="F10" i="34" s="1"/>
  <c r="I10" i="34"/>
  <c r="E9" i="34"/>
  <c r="F9" i="34"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30" a="1"/>
  <c r="A4" i="30" s="1"/>
  <c r="E4" i="3"/>
  <c r="F4" i="3" s="1"/>
  <c r="H4" i="3"/>
  <c r="I4" i="3" s="1"/>
  <c r="E5" i="3"/>
  <c r="F5" i="3" s="1"/>
  <c r="H5" i="3"/>
  <c r="I5" i="3" s="1"/>
  <c r="E6" i="3"/>
  <c r="F6" i="3" s="1"/>
  <c r="H6" i="3"/>
  <c r="I6" i="3" s="1"/>
  <c r="H7" i="3"/>
  <c r="I7" i="3" s="1"/>
  <c r="H8" i="3"/>
  <c r="I8" i="3" s="1"/>
  <c r="G6" i="1"/>
  <c r="G6" i="34" s="1"/>
  <c r="G7" i="1"/>
  <c r="G7" i="34" s="1"/>
  <c r="G5" i="1"/>
  <c r="G4" i="1"/>
  <c r="G4" i="34" s="1"/>
  <c r="B4" i="34" a="1"/>
  <c r="B4" i="34" s="1"/>
  <c r="A4" i="34" a="1"/>
  <c r="A4" i="34" s="1"/>
  <c r="A1" i="34" a="1"/>
  <c r="A1" i="34" s="1"/>
  <c r="D8" i="30"/>
  <c r="C8" i="30"/>
  <c r="E8" i="30" s="1"/>
  <c r="F8" i="30" s="1"/>
  <c r="D7" i="30"/>
  <c r="C7" i="30"/>
  <c r="D6" i="30"/>
  <c r="C6" i="30"/>
  <c r="D5" i="30"/>
  <c r="C5" i="30"/>
  <c r="D4" i="30"/>
  <c r="C4" i="30"/>
  <c r="D8" i="29"/>
  <c r="C8" i="29"/>
  <c r="D7" i="29"/>
  <c r="C7" i="29"/>
  <c r="D6" i="29"/>
  <c r="C6" i="29"/>
  <c r="D5" i="29"/>
  <c r="C5" i="29"/>
  <c r="D4" i="29"/>
  <c r="C4" i="29"/>
  <c r="D8" i="18"/>
  <c r="C8" i="18"/>
  <c r="D7" i="18"/>
  <c r="C7" i="18"/>
  <c r="D6" i="18"/>
  <c r="C6" i="18"/>
  <c r="D5" i="18"/>
  <c r="C5" i="18"/>
  <c r="D4" i="18"/>
  <c r="C4" i="18"/>
  <c r="B4" i="30" a="1"/>
  <c r="B4" i="30" s="1"/>
  <c r="G2" i="30"/>
  <c r="A1" i="30" a="1"/>
  <c r="A1" i="30" s="1"/>
  <c r="B4" i="29" a="1"/>
  <c r="B4" i="29" s="1"/>
  <c r="A4" i="29" a="1"/>
  <c r="A4" i="29" s="1"/>
  <c r="A1" i="29" a="1"/>
  <c r="A1" i="29" s="1"/>
  <c r="B4" i="18" a="1"/>
  <c r="B4" i="18" s="1"/>
  <c r="A4" i="18" a="1"/>
  <c r="A4" i="18" s="1"/>
  <c r="G2" i="18"/>
  <c r="A1" i="18" a="1"/>
  <c r="A1" i="18" s="1"/>
  <c r="C8" i="1"/>
  <c r="C7" i="1"/>
  <c r="C6" i="1"/>
  <c r="C5" i="1"/>
  <c r="C4" i="1"/>
  <c r="D6" i="1"/>
  <c r="D7" i="1"/>
  <c r="D5" i="1"/>
  <c r="D4" i="1"/>
  <c r="B4" i="1" a="1"/>
  <c r="B4" i="1" s="1"/>
  <c r="A4" i="1" a="1"/>
  <c r="A4" i="1" s="1"/>
  <c r="A1" i="1" a="1"/>
  <c r="A1" i="1"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8" i="32"/>
  <c r="H7" i="32"/>
  <c r="I7" i="32" s="1"/>
  <c r="E7" i="32"/>
  <c r="F7" i="32" s="1"/>
  <c r="H6" i="32"/>
  <c r="I6" i="32" s="1"/>
  <c r="E6" i="32"/>
  <c r="F6" i="32" s="1"/>
  <c r="H5" i="32"/>
  <c r="I5" i="32" s="1"/>
  <c r="E5" i="32"/>
  <c r="F5" i="32" s="1"/>
  <c r="H4" i="32"/>
  <c r="I4" i="32" s="1"/>
  <c r="E4" i="32"/>
  <c r="F4" i="32" s="1"/>
  <c r="G2" i="32"/>
  <c r="D2" i="32"/>
  <c r="C2" i="32"/>
  <c r="A1" i="32" a="1"/>
  <c r="A1" i="32" s="1"/>
  <c r="E8" i="31"/>
  <c r="F8" i="31" s="1"/>
  <c r="H7" i="31"/>
  <c r="I7" i="31" s="1"/>
  <c r="E7" i="31"/>
  <c r="F7" i="31" s="1"/>
  <c r="F6" i="31"/>
  <c r="I5" i="31"/>
  <c r="E5" i="31"/>
  <c r="F5" i="31" s="1"/>
  <c r="I4" i="31"/>
  <c r="E4" i="31"/>
  <c r="F4" i="31" s="1"/>
  <c r="G2" i="31"/>
  <c r="D2" i="31"/>
  <c r="C2" i="31"/>
  <c r="A1" i="31" a="1"/>
  <c r="A1" i="31"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8" i="27"/>
  <c r="I8" i="27" s="1"/>
  <c r="E8" i="27"/>
  <c r="F8" i="27" s="1"/>
  <c r="H7" i="27"/>
  <c r="I7" i="27" s="1"/>
  <c r="E7" i="27"/>
  <c r="F7" i="27" s="1"/>
  <c r="H6" i="27"/>
  <c r="I6" i="27" s="1"/>
  <c r="E6" i="27"/>
  <c r="F6" i="27" s="1"/>
  <c r="I5" i="27"/>
  <c r="F5" i="27"/>
  <c r="E4" i="27"/>
  <c r="G2" i="27"/>
  <c r="D2" i="27"/>
  <c r="C2" i="27"/>
  <c r="A1" i="27" a="1"/>
  <c r="A1" i="27" s="1"/>
  <c r="D2" i="26"/>
  <c r="C2" i="26"/>
  <c r="A1" i="26" a="1"/>
  <c r="A1" i="26" s="1"/>
  <c r="H8" i="19"/>
  <c r="E8" i="19"/>
  <c r="F8" i="19" s="1"/>
  <c r="H7" i="19"/>
  <c r="E7" i="19"/>
  <c r="F7" i="19" s="1"/>
  <c r="H6" i="19"/>
  <c r="I6" i="19" s="1"/>
  <c r="E6" i="19"/>
  <c r="F6" i="19" s="1"/>
  <c r="H5" i="19"/>
  <c r="I5" i="19" s="1"/>
  <c r="E5" i="19"/>
  <c r="F5" i="19" s="1"/>
  <c r="H4" i="19"/>
  <c r="I4" i="19" s="1"/>
  <c r="E4" i="19"/>
  <c r="F4" i="19" s="1"/>
  <c r="G2" i="19"/>
  <c r="D2" i="19"/>
  <c r="C2" i="19"/>
  <c r="A1" i="19" a="1"/>
  <c r="A1" i="19" s="1"/>
  <c r="H6" i="20"/>
  <c r="E6" i="20"/>
  <c r="F6" i="20" s="1"/>
  <c r="H5" i="20"/>
  <c r="I5" i="20" s="1"/>
  <c r="E5" i="20"/>
  <c r="F5" i="20" s="1"/>
  <c r="H4" i="20"/>
  <c r="I4" i="20" s="1"/>
  <c r="E4" i="20"/>
  <c r="F4" i="20" s="1"/>
  <c r="G2" i="20"/>
  <c r="D2" i="20"/>
  <c r="C2" i="20"/>
  <c r="A1" i="20" a="1"/>
  <c r="A1" i="20" s="1"/>
  <c r="H6" i="21"/>
  <c r="I6" i="21" s="1"/>
  <c r="E6" i="21"/>
  <c r="F6" i="21" s="1"/>
  <c r="H5" i="21"/>
  <c r="I5" i="21" s="1"/>
  <c r="E5" i="21"/>
  <c r="F5" i="21" s="1"/>
  <c r="H4" i="21"/>
  <c r="I4" i="21" s="1"/>
  <c r="E4" i="21"/>
  <c r="F4" i="21" s="1"/>
  <c r="G2" i="21"/>
  <c r="D2" i="21"/>
  <c r="C2" i="21"/>
  <c r="A1" i="21" a="1"/>
  <c r="A1" i="21" s="1"/>
  <c r="H8" i="4"/>
  <c r="I8" i="4" s="1"/>
  <c r="H7" i="4"/>
  <c r="I7" i="4" s="1"/>
  <c r="H6" i="4"/>
  <c r="I6" i="4" s="1"/>
  <c r="H5" i="4"/>
  <c r="I5" i="4" s="1"/>
  <c r="E5" i="4"/>
  <c r="F5" i="4" s="1"/>
  <c r="H4" i="4"/>
  <c r="I4" i="4" s="1"/>
  <c r="F4" i="4"/>
  <c r="G2" i="4"/>
  <c r="D2" i="4"/>
  <c r="C2" i="4"/>
  <c r="A1" i="4" a="1"/>
  <c r="A1" i="4" s="1"/>
  <c r="G2" i="3"/>
  <c r="H2" i="3" s="1"/>
  <c r="D2" i="3"/>
  <c r="J2" i="3"/>
  <c r="A1" i="3" a="1"/>
  <c r="A1" i="3" s="1"/>
  <c r="I6" i="72"/>
  <c r="J6" i="72" s="1"/>
  <c r="I7" i="72"/>
  <c r="J7" i="72" s="1"/>
  <c r="I8" i="72"/>
  <c r="I5" i="72"/>
  <c r="J5" i="72" s="1"/>
  <c r="H2" i="72"/>
  <c r="E2" i="72"/>
  <c r="D2" i="72"/>
  <c r="K2" i="72" s="1"/>
  <c r="A1" i="72" a="1"/>
  <c r="A1" i="72" s="1"/>
  <c r="E6" i="29" l="1"/>
  <c r="F6" i="29" s="1"/>
  <c r="I8" i="32"/>
  <c r="H8" i="30"/>
  <c r="H6" i="29"/>
  <c r="H7" i="29"/>
  <c r="I7" i="29" s="1"/>
  <c r="C7" i="34"/>
  <c r="I7" i="19"/>
  <c r="H7" i="18"/>
  <c r="I7" i="18" s="1"/>
  <c r="I8" i="19"/>
  <c r="H8" i="18"/>
  <c r="I8" i="18" s="1"/>
  <c r="I6" i="20"/>
  <c r="H6" i="18"/>
  <c r="I6" i="18" s="1"/>
  <c r="H8" i="1"/>
  <c r="H7" i="34"/>
  <c r="I7" i="34" s="1"/>
  <c r="C6" i="34"/>
  <c r="E8" i="1"/>
  <c r="F8" i="1" s="1"/>
  <c r="C8" i="34"/>
  <c r="H8" i="29"/>
  <c r="I8" i="29" s="1"/>
  <c r="D5" i="34"/>
  <c r="H4" i="29"/>
  <c r="I4" i="29" s="1"/>
  <c r="D6" i="34"/>
  <c r="D7" i="34"/>
  <c r="H5" i="29"/>
  <c r="C5" i="34"/>
  <c r="D8" i="34"/>
  <c r="E5" i="30"/>
  <c r="F5" i="30" s="1"/>
  <c r="E8" i="29"/>
  <c r="F8" i="29" s="1"/>
  <c r="E7" i="18"/>
  <c r="F7" i="18" s="1"/>
  <c r="E5" i="18"/>
  <c r="F5" i="18" s="1"/>
  <c r="D2" i="18"/>
  <c r="I6" i="29"/>
  <c r="E4" i="18"/>
  <c r="F4" i="18" s="1"/>
  <c r="E8" i="18"/>
  <c r="F8" i="18" s="1"/>
  <c r="E6" i="30"/>
  <c r="F6" i="30" s="1"/>
  <c r="D4" i="34"/>
  <c r="H6" i="30"/>
  <c r="I6" i="30" s="1"/>
  <c r="D2" i="29"/>
  <c r="E6" i="18"/>
  <c r="F6" i="18" s="1"/>
  <c r="E5" i="29"/>
  <c r="F5" i="29" s="1"/>
  <c r="E4" i="30"/>
  <c r="F4" i="30" s="1"/>
  <c r="D2" i="30"/>
  <c r="H2" i="33"/>
  <c r="I2" i="33" s="1"/>
  <c r="J2" i="33"/>
  <c r="H2" i="32"/>
  <c r="I2" i="32" s="1"/>
  <c r="J2" i="32"/>
  <c r="H2" i="31"/>
  <c r="I2" i="31" s="1"/>
  <c r="J2" i="31"/>
  <c r="H2" i="28"/>
  <c r="I2" i="28" s="1"/>
  <c r="J2" i="28"/>
  <c r="E2" i="28"/>
  <c r="F2" i="28" s="1"/>
  <c r="H2" i="27"/>
  <c r="I2" i="27" s="1"/>
  <c r="J2" i="27"/>
  <c r="J2" i="26"/>
  <c r="H2" i="19"/>
  <c r="I2" i="19" s="1"/>
  <c r="J2" i="19"/>
  <c r="E2" i="20"/>
  <c r="F2" i="20" s="1"/>
  <c r="J2" i="20"/>
  <c r="H2" i="20"/>
  <c r="I2" i="20" s="1"/>
  <c r="H2" i="21"/>
  <c r="I2" i="21" s="1"/>
  <c r="J2" i="21"/>
  <c r="H2" i="4"/>
  <c r="I2" i="4" s="1"/>
  <c r="J2" i="4"/>
  <c r="I2" i="3"/>
  <c r="E7" i="1"/>
  <c r="F7" i="1" s="1"/>
  <c r="G2" i="1"/>
  <c r="E5" i="1"/>
  <c r="F5" i="1" s="1"/>
  <c r="E6" i="1"/>
  <c r="F6" i="1" s="1"/>
  <c r="H4" i="30"/>
  <c r="I4" i="30" s="1"/>
  <c r="E7" i="30"/>
  <c r="F7" i="30" s="1"/>
  <c r="H7" i="30"/>
  <c r="I7" i="30" s="1"/>
  <c r="H5" i="30"/>
  <c r="I5" i="30" s="1"/>
  <c r="I8" i="30"/>
  <c r="E7" i="29"/>
  <c r="F7" i="29" s="1"/>
  <c r="H4" i="18"/>
  <c r="I4" i="18" s="1"/>
  <c r="C4" i="34"/>
  <c r="H5" i="18"/>
  <c r="I5" i="18" s="1"/>
  <c r="H5" i="34"/>
  <c r="C2" i="29"/>
  <c r="C2" i="30"/>
  <c r="E4" i="29"/>
  <c r="F4" i="29" s="1"/>
  <c r="C2" i="18"/>
  <c r="H7" i="1"/>
  <c r="I7" i="1" s="1"/>
  <c r="H4" i="1"/>
  <c r="H5" i="1"/>
  <c r="I5" i="1" s="1"/>
  <c r="H6" i="1"/>
  <c r="C2" i="1"/>
  <c r="E2" i="3"/>
  <c r="F2" i="3" s="1"/>
  <c r="E4" i="1"/>
  <c r="F4" i="1" s="1"/>
  <c r="D2" i="1"/>
  <c r="E2" i="33"/>
  <c r="F2" i="33" s="1"/>
  <c r="E2" i="32"/>
  <c r="F2" i="32" s="1"/>
  <c r="E2" i="31"/>
  <c r="F2" i="31" s="1"/>
  <c r="E2" i="27"/>
  <c r="F2" i="27" s="1"/>
  <c r="E2" i="26"/>
  <c r="F2" i="26" s="1"/>
  <c r="E2" i="19"/>
  <c r="F2" i="19" s="1"/>
  <c r="E2" i="21"/>
  <c r="F2" i="21" s="1"/>
  <c r="E2" i="4"/>
  <c r="F2" i="4" s="1"/>
  <c r="I2" i="72"/>
  <c r="E7" i="34" l="1"/>
  <c r="F7" i="34" s="1"/>
  <c r="E6" i="34"/>
  <c r="F6" i="34" s="1"/>
  <c r="E8" i="34"/>
  <c r="F8" i="34" s="1"/>
  <c r="E5" i="34"/>
  <c r="F5" i="34" s="1"/>
  <c r="D2" i="34"/>
  <c r="I6" i="1"/>
  <c r="H6" i="34"/>
  <c r="I6" i="34" s="1"/>
  <c r="I8" i="1"/>
  <c r="H8" i="34"/>
  <c r="I8" i="34" s="1"/>
  <c r="E4" i="34"/>
  <c r="F4" i="34" s="1"/>
  <c r="E2" i="29"/>
  <c r="F2" i="29" s="1"/>
  <c r="H2" i="1"/>
  <c r="I2" i="1" s="1"/>
  <c r="C2" i="34"/>
  <c r="I4" i="1"/>
  <c r="H4" i="34"/>
  <c r="I4" i="34" s="1"/>
  <c r="H2" i="30"/>
  <c r="I2" i="30" s="1"/>
  <c r="E2" i="30"/>
  <c r="F2" i="30" s="1"/>
  <c r="H2" i="18"/>
  <c r="I2" i="18" s="1"/>
  <c r="E2" i="18"/>
  <c r="F2" i="18" s="1"/>
  <c r="E2" i="1"/>
  <c r="F2" i="1" s="1"/>
  <c r="J2" i="72"/>
  <c r="F2" i="72"/>
  <c r="G2" i="72" s="1"/>
  <c r="E2" i="34" l="1"/>
  <c r="F2" i="34" s="1"/>
  <c r="G2" i="26" l="1"/>
  <c r="H2" i="26" s="1"/>
  <c r="I2" i="26" s="1"/>
  <c r="G5" i="29"/>
  <c r="G2" i="29" s="1"/>
  <c r="H2" i="29" s="1"/>
  <c r="I2" i="29" s="1"/>
  <c r="G5" i="34" l="1"/>
  <c r="I5" i="29"/>
  <c r="I5" i="34" l="1"/>
  <c r="G2" i="34"/>
  <c r="H2" i="34" s="1"/>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<sst xmlns="http://schemas.openxmlformats.org/spreadsheetml/2006/main" count="537" uniqueCount="268">
  <si>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</si>
  <si>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</si>
  <si>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</si>
  <si>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</si>
  <si>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</si>
  <si>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</si>
  <si>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</si>
  <si>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</si>
  <si>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</si>
  <si>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</si>
  <si>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</si>
  <si>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</si>
  <si>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</si>
  <si>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</si>
  <si>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</si>
  <si>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</si>
  <si>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</si>
  <si>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</si>
  <si>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</si>
  <si>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</si>
  <si>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SOL#</t>
  </si>
  <si>
    <t>Notes</t>
  </si>
  <si>
    <t>Service Requests</t>
  </si>
  <si>
    <t>February Actual v. Expected</t>
  </si>
  <si>
    <t>February Actual v. Forecasted</t>
  </si>
  <si>
    <t>March Actual v. Expected</t>
  </si>
  <si>
    <t>March Actual v. Forecasted</t>
  </si>
  <si>
    <t>April Actual v. Expected</t>
  </si>
  <si>
    <t>April Actual v. Forecasted</t>
  </si>
  <si>
    <t>May Actual v. Expected</t>
  </si>
  <si>
    <t>May Actual v. Forecasted</t>
  </si>
  <si>
    <t>June Actual v. Expected</t>
  </si>
  <si>
    <t>June Actual v. Forecasted</t>
  </si>
  <si>
    <t>July Actual v. Expected</t>
  </si>
  <si>
    <t>July Actual v. Forecasted</t>
  </si>
  <si>
    <t>1. The weather station has been reporting erroneous values during evening hours, showing readings around 600–800 W/m², while nearby sites are reporting approximately 300 W/m².</t>
  </si>
  <si>
    <t>1. SR101016</t>
  </si>
  <si>
    <t>N/A</t>
  </si>
  <si>
    <t>1. Meter 1 did not communicate from 07/02 and production of inverter 1 cannot be confirmed. Upon arrival technician found dead squirrels on meter enclosure and also a blown fuse on phase B at utility disconnect later it came back online at 11:00AM on 07/31</t>
  </si>
  <si>
    <t>1.	SR103955</t>
  </si>
  <si>
    <t>1. Low production/generation due to  low irradiance on 07/20</t>
  </si>
  <si>
    <t>1. Inverter 2 underperforming by 10 kW (2 strings) for whole month</t>
  </si>
  <si>
    <t>1. SR104268</t>
  </si>
  <si>
    <t>1.Site has been repeatedly tripping offline since it was reenergized on 7/22, and was online with occasional spikes in production</t>
  </si>
  <si>
    <t>1.	SR105035 ,SR104591</t>
  </si>
  <si>
    <t>SR104591</t>
  </si>
  <si>
    <t>1.Meter production dropping to zero on Multiple days throughout the month, but not consistently.Replacement is still inprogress for meter and 12 broken modules replacement.
2. Site trips offline in the afternoon. Some inverter(s) trip offline mid morning as well. (site does not have inverter communications in PowerTrack).</t>
  </si>
  <si>
    <t>1.SR099666
2.	SR105159</t>
  </si>
  <si>
    <t>SR105159</t>
  </si>
  <si>
    <t>1.Inverters 1 &amp; 2 are operational but not communicating. Further troubleshooting is needed to resolve both the underperformance and communication issues of Inverter 1&amp;2.</t>
  </si>
  <si>
    <t>1.	SR101037</t>
  </si>
  <si>
    <t>1. Expected values are too low observed during monthly reports. The weather station at site is virtual weather station.</t>
  </si>
  <si>
    <t>1.SR093028</t>
  </si>
  <si>
    <t xml:space="preserve"> 1.Meter build 5 &amp; 6 is dropping by 20 kW on most days, possibly two inverters tripping offline
2.Meter Build 8 &amp; 9 contiously tripping and self-resolving through out the month</t>
  </si>
  <si>
    <t>1.SR103804
2.SR105439</t>
  </si>
  <si>
    <t>SR105439</t>
  </si>
  <si>
    <t>1.Inverter 2 has been sporadically derating during high irradiance days.</t>
  </si>
  <si>
    <t>1.SR091894</t>
  </si>
  <si>
    <t>1.POA was not communicating and quote send to Also energy. Generate hold off dispatch and will investigate in future.</t>
  </si>
  <si>
    <t>1.SR091181</t>
  </si>
  <si>
    <t xml:space="preserve">1.Inverter was offline since 06/17.Technician checked in and found that line 3 AC bus bar in inverter is corroded with thermal marks and 5A ground fault fuse was blown.He mentioned that the inverter will be de-energized until the parts are replaced. </t>
  </si>
  <si>
    <t>1.	SR103078</t>
  </si>
  <si>
    <t xml:space="preserve">1.Inverter 2 has been offline since 03/28, reporting a fault current.
2.The meter power dropped to zero and also lost communication multiple times throughout the month.
</t>
  </si>
  <si>
    <t>1.	SR100622
2.SR100771</t>
  </si>
  <si>
    <t>SR100771</t>
  </si>
  <si>
    <t>1. Inverter 4 is derating at 20kW from 06/23and reporting "Fans are defective Sensor defect". On 07/18 technician was Installed the new fan and producing as expected with peer inverters.
2.The site was de-energized on 07/09 at 06:49 for a transformer replacement. After the replacement, the site came back online at 08:15 on 07/16
3. Inverter 1 derated to 20 kW starting at 14:00 on 07/18. A technician found one failed fan, which is currently under RMA. The inverter will continue to derate until the fan is replaced</t>
  </si>
  <si>
    <t>1.SR103354
2.	SR104105
3.	SR104590</t>
  </si>
  <si>
    <t>SR104105</t>
  </si>
  <si>
    <t>SR104590</t>
  </si>
  <si>
    <t>1.Inverter 3 dropped a string from 4/28
2. Inverter A13 is derating from 07/28 at 20.10kW and reporting "fan fault".</t>
  </si>
  <si>
    <t>1.	SR103711
2.	SR105203</t>
  </si>
  <si>
    <t>SR105203</t>
  </si>
  <si>
    <t xml:space="preserve">1.Weather station is barely reporting from 12/06 at 08:30. This issue will be troubleshooting next time onsite </t>
  </si>
  <si>
    <t>1.SR095305</t>
  </si>
  <si>
    <t>1.The weather station stopped communicating on 05/04. The communication issue will persist until further repairs are completed.</t>
  </si>
  <si>
    <t>1.	SR101010</t>
  </si>
  <si>
    <t>1.The site tripped offline at 11:00 on 05/04 due to a fire accident. The fire spread to the solar modules associated with Inverters 5-22, with visible damage observed in that array section. DC strings for Inverters 2.9, 2.10, and 2.11, along with the wire tray next to Inverter 2.9, also appear to have been damaged. Troubleshooting is still in progress</t>
  </si>
  <si>
    <t>1.	SR100985,SR101223</t>
  </si>
  <si>
    <t>SR101223</t>
  </si>
  <si>
    <t>1. Inverters 4&amp;11 are experiencing heavy shading due to surrounding trees throughout the day from 11/07/2024.</t>
  </si>
  <si>
    <t>1.	SR093047</t>
  </si>
  <si>
    <t>1. Inverter 6 is down a string since 07/07</t>
  </si>
  <si>
    <t>1.SR104785</t>
  </si>
  <si>
    <t>1.Site stopped communicating from 01/14 at 2:15AM,  After further troubleshooting technician found a failed Modem portion. We have reached out to AlsoEnergy for assistance.
2.Site is not communicating. After troubleshooting with AlsoEnergy, they recommended replacing the modem. They were not able to gather the requested data from the data logger without a working internet connection, otherwise the data is coded and illegible. For ease of troubleshooting, AE recommended their modem be paired with the site.</t>
  </si>
  <si>
    <t>1.	SR102704
2.SR104999</t>
  </si>
  <si>
    <t>SR104999</t>
  </si>
  <si>
    <t xml:space="preserve"> 1.Site tripped offline at 16:00 on 06/28 and  inverters are reporting at constant value through out the month and site came back online on 07/22
2. Inverter 2 failed to start for production from 07/22 after site re-energization.</t>
  </si>
  <si>
    <t>1.SR103721
2.	SR104748</t>
  </si>
  <si>
    <t>SR104748</t>
  </si>
  <si>
    <t>1. 8 inverters are offline from 09/05/24 according to the SMA Sunny Portal and need to be replaced. Gen Cap will work directly with Rural Solar.</t>
  </si>
  <si>
    <t>1.	SR092556</t>
  </si>
  <si>
    <t>1. Inverter 2 was offline for whole month due to fault current.
2. Inverter 3 was offline for whole month due to Interference device fault</t>
  </si>
  <si>
    <t>1.SR099268
2.SR093354</t>
  </si>
  <si>
    <t>SR093354</t>
  </si>
  <si>
    <t>1. Inverter 11 was offline for whole month.
2. Inverter 14 was offline for whole month.
3. Inverter 15 was offline for whole month.
4. Inverter 16 was offline for whole month.
5. Inverter 25 was offline for whole month.
6. Inverter 26 was offline for whole month.
7.Inverter 17 offline from 07/10</t>
  </si>
  <si>
    <t>1. SR101102
2. SR101744
3. SR100464
4. SR098883
5. SR092332
6. SR095649
7.	SR101102</t>
  </si>
  <si>
    <t>SR101744</t>
  </si>
  <si>
    <t>SR100464</t>
  </si>
  <si>
    <t>SR098883</t>
  </si>
  <si>
    <t>SR092332</t>
  </si>
  <si>
    <t>SR095649</t>
  </si>
  <si>
    <t>SR101102</t>
  </si>
  <si>
    <t>1. Inverter 1 was offline for whole month
2. Inverter 4 was offline for whole month
3. Inverter 7 was offline for whole month
4. Inverter 10 was offline for whole month
5. Inverter 16 was offline for whole month
6. Inverter 17 was offline for whole month
7. Inverter 15 was offline for most of the days in month
8. Inverter 2 was offline from 06/04 through out the month.
9. Inverter 5 was offline from 06/12 through out the month.
10.Site tripped offline at 10:30 from 07/09 and it came back online on 07/11
11.Inverter 6 offline from 07/10</t>
  </si>
  <si>
    <t>1. SR102198
2. SR101942, SR088869
3. SR092209
4. SR101998
5. SR092255
6. SR092751
7. SR092095
8. SR101997
9. SR103021
10.	SR104199
11.	SR104453</t>
  </si>
  <si>
    <t>SR101942</t>
  </si>
  <si>
    <t>SR088869</t>
  </si>
  <si>
    <t>SR092209</t>
  </si>
  <si>
    <t>SR101998</t>
  </si>
  <si>
    <t>SR092255</t>
  </si>
  <si>
    <t>SR092751</t>
  </si>
  <si>
    <t>SR092095</t>
  </si>
  <si>
    <t>SR101997</t>
  </si>
  <si>
    <t>SR103021</t>
  </si>
  <si>
    <t>SR104199</t>
  </si>
  <si>
    <t>SR104453</t>
  </si>
  <si>
    <t>1.Low production/generation due to low irradiance 07/10 , 07/31</t>
  </si>
  <si>
    <t>1.Inverter 9 offline from 07/09</t>
  </si>
  <si>
    <t>1.	SR104194</t>
  </si>
  <si>
    <t>1.Low production/generation due to low irradiance on 07/10</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</si>
  <si>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</si>
  <si>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</si>
  <si>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</si>
  <si>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</si>
  <si>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</si>
  <si>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</si>
  <si>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</si>
  <si>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</si>
  <si>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</si>
  <si>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</si>
  <si>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</si>
  <si>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GoodFinch</t>
  </si>
  <si>
    <t>Site DAS Name</t>
  </si>
  <si>
    <t>Update</t>
  </si>
  <si>
    <t>DAS</t>
  </si>
  <si>
    <t>ASU - Farmer</t>
  </si>
  <si>
    <t>AZ: Tempe - ASU - Farmer</t>
  </si>
  <si>
    <t>AZ</t>
  </si>
  <si>
    <t>PowerTrack</t>
  </si>
  <si>
    <t>SOL-10748</t>
  </si>
  <si>
    <t>ASU - Fulton</t>
  </si>
  <si>
    <t>AZ: Tempe - ASU - Fulton</t>
  </si>
  <si>
    <t>SOL-10749</t>
  </si>
  <si>
    <t>JFK Elementary</t>
  </si>
  <si>
    <t>AZ: Superior - JFK Elementary</t>
  </si>
  <si>
    <t>SOL-10758</t>
  </si>
  <si>
    <t>ASU - Noble</t>
  </si>
  <si>
    <t>AZ: Tempe - ASU - Noble</t>
  </si>
  <si>
    <t>SOL-10750</t>
  </si>
  <si>
    <t>ASU - Parking #3</t>
  </si>
  <si>
    <t>AZ: Tempe - ASU - Parking #3</t>
  </si>
  <si>
    <t>SOL-10751</t>
  </si>
  <si>
    <t>ASU - PE East</t>
  </si>
  <si>
    <t>AZ: Tempe - ASU - PE East</t>
  </si>
  <si>
    <t>SOL-10752</t>
  </si>
  <si>
    <t>ASU - Schwada</t>
  </si>
  <si>
    <t>AZ: Tempe - ASU - Schwada</t>
  </si>
  <si>
    <t>SOL-10753</t>
  </si>
  <si>
    <t>Starshine</t>
  </si>
  <si>
    <t>AZ: Phoenix - Starshine Academy</t>
  </si>
  <si>
    <t>SOL-10757</t>
  </si>
  <si>
    <t>Yuma Airport</t>
  </si>
  <si>
    <t>AZ: Yuma Airport</t>
  </si>
  <si>
    <t>SOL-10754</t>
  </si>
  <si>
    <t>GCC Globe Solar PV</t>
  </si>
  <si>
    <t>AZ: Globe - Gila CC</t>
  </si>
  <si>
    <t>GCC Payson Solar PV</t>
  </si>
  <si>
    <t>AZ: Payson - Gila CC</t>
  </si>
  <si>
    <t>Sequoia Charter School</t>
  </si>
  <si>
    <t>AZ: Mesa - Sequoia Charter School</t>
  </si>
  <si>
    <t>SOL-10759</t>
  </si>
  <si>
    <t>Southwest College Naturopathic Medicine</t>
  </si>
  <si>
    <t>AZ: Tempe - SCNM</t>
  </si>
  <si>
    <t>SOL-10760</t>
  </si>
  <si>
    <t>Clayton Hall</t>
  </si>
  <si>
    <t>DE: Newark - Clayton Hall</t>
  </si>
  <si>
    <t>DE</t>
  </si>
  <si>
    <t>SOL-10820</t>
  </si>
  <si>
    <t>Field House</t>
  </si>
  <si>
    <t>DE: Newark - UOD Field House</t>
  </si>
  <si>
    <t>SOL-10821</t>
  </si>
  <si>
    <t>Wyoming Road</t>
  </si>
  <si>
    <t>DE: Newark - UOD 461 Wyoming</t>
  </si>
  <si>
    <t>SOL-10819</t>
  </si>
  <si>
    <t>Leoku</t>
  </si>
  <si>
    <t>HI: Waipahu - 94-246 Leoku St - E.F.G.</t>
  </si>
  <si>
    <t>HI</t>
  </si>
  <si>
    <t>SOL-10071</t>
  </si>
  <si>
    <t>Waipahu</t>
  </si>
  <si>
    <t>HI: Waipahu - 94-099 Waipahu St - PV</t>
  </si>
  <si>
    <t>SOL-10068</t>
  </si>
  <si>
    <t>Bird in Hand</t>
  </si>
  <si>
    <t>MD: Presston - Bird-in-Hand</t>
  </si>
  <si>
    <t>MD</t>
  </si>
  <si>
    <t>SOL-10092</t>
  </si>
  <si>
    <t>Shortal</t>
  </si>
  <si>
    <t>MD: Easton - Shortall</t>
  </si>
  <si>
    <t>SOL-10091</t>
  </si>
  <si>
    <t>Seaport</t>
  </si>
  <si>
    <t>MA: Boston - Seaport Solar</t>
  </si>
  <si>
    <t>MA</t>
  </si>
  <si>
    <t>SOL-10772</t>
  </si>
  <si>
    <t>Sprague St</t>
  </si>
  <si>
    <t>MA: Dedham - Sprague Street</t>
  </si>
  <si>
    <t>SOL-10773</t>
  </si>
  <si>
    <t>Summer St</t>
  </si>
  <si>
    <t>MA: Boston - Summer Street</t>
  </si>
  <si>
    <t>SOL-10764</t>
  </si>
  <si>
    <t>Claremont Flock</t>
  </si>
  <si>
    <t>MA: Leominster - Spectro Coatings</t>
  </si>
  <si>
    <t>SOL-10074</t>
  </si>
  <si>
    <t>RCAB - Pastoral Center</t>
  </si>
  <si>
    <t>MA: Braintree - RCAB</t>
  </si>
  <si>
    <t>SOL-10838</t>
  </si>
  <si>
    <t>Portland St</t>
  </si>
  <si>
    <t>NH: Rochester - Portland Street</t>
  </si>
  <si>
    <t>NH</t>
  </si>
  <si>
    <t>SOL-10771</t>
  </si>
  <si>
    <t>Portsmouth HS</t>
  </si>
  <si>
    <t>NH: Portsmouth - Portsmouth HS</t>
  </si>
  <si>
    <t>SOL-10769</t>
  </si>
  <si>
    <t>Portsmouth WTP</t>
  </si>
  <si>
    <t>NH: Portsmouth - Portsmouth WTP</t>
  </si>
  <si>
    <t>SOL-10770</t>
  </si>
  <si>
    <t>Rochester Middle School (Brock Street)</t>
  </si>
  <si>
    <t>NH: Rochester - Rochester MS</t>
  </si>
  <si>
    <t>SOL-10765</t>
  </si>
  <si>
    <t>Spaulding HS</t>
  </si>
  <si>
    <t>NH Rochester - Spaulding HS</t>
  </si>
  <si>
    <t>SOL-10767</t>
  </si>
  <si>
    <t>McClelland ES</t>
  </si>
  <si>
    <t>NH: Rochester - McClelland ES</t>
  </si>
  <si>
    <t>SOL-10766</t>
  </si>
  <si>
    <t>Rochester Technical School (Wakefield Street)</t>
  </si>
  <si>
    <t>NH: Rochester - Brock St Vocational</t>
  </si>
  <si>
    <t>SOL-10768</t>
  </si>
  <si>
    <t>CV Kinsman</t>
  </si>
  <si>
    <t>OH: Cleveland - CV Kinsman</t>
  </si>
  <si>
    <t>OH</t>
  </si>
  <si>
    <t>SOL-10762</t>
  </si>
  <si>
    <t>CV Wooster</t>
  </si>
  <si>
    <t>OH: Cleveland - CV Wooster</t>
  </si>
  <si>
    <t>SOL-10763</t>
  </si>
  <si>
    <t>Aguadilla</t>
  </si>
  <si>
    <t>PR: Aguadilla - Coca Cola</t>
  </si>
  <si>
    <t>PR</t>
  </si>
  <si>
    <t>SOL-10072</t>
  </si>
  <si>
    <t>Bayamon</t>
  </si>
  <si>
    <t>PR: Bayamon - Coca Cola</t>
  </si>
  <si>
    <t>SOL-10073</t>
  </si>
  <si>
    <t>St Francis</t>
  </si>
  <si>
    <t>PR: Carolina - St. Francis</t>
  </si>
  <si>
    <t>SOL-10034</t>
  </si>
  <si>
    <t>The Essex - DC</t>
  </si>
  <si>
    <t>DC: Washington - Essex Condominium</t>
  </si>
  <si>
    <t>DC</t>
  </si>
  <si>
    <t>SOL-10036</t>
  </si>
  <si>
    <t>Temple Sinai</t>
  </si>
  <si>
    <t>DC: Chevy Chase -Sinai</t>
  </si>
  <si>
    <t>SOL-10028</t>
  </si>
  <si>
    <t>Weinberg 1</t>
  </si>
  <si>
    <t>DC: Washington - Weinberg 1</t>
  </si>
  <si>
    <t>SOL-10039</t>
  </si>
  <si>
    <t>Weinberg 2</t>
  </si>
  <si>
    <t>DC: Washington - Weinberg 2</t>
  </si>
  <si>
    <t>SOL-10045</t>
  </si>
  <si>
    <t>Weinberg 3</t>
  </si>
  <si>
    <t>DC: Washington - Weinberg 3</t>
  </si>
  <si>
    <t>SOL-10042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</si>
</sst>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1">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0"/>
      <color theme="0"/>
      <name val="Arial"/>
      <family val="2"/>
    </font>
    <font>
      <u/>
      <sz val="10"/>
      <color theme="10"/>
      <name val="Arial"/>
    </font>
    <font>
      <b/>
      <sz val="10"/>
      <color rgb="FFFFFFFF"/>
      <name val="Arial"/>
    </font>
    <font>
      <sz val="10"/>
      <color rgb="FF000000"/>
      <name val="Arial"/>
    </font>
    <font>
      <sz val="10"/>
      <color theme="1"/>
      <name val="Arial"/>
    </font>
    <font>
      <sz val="10"/>
      <color rgb="FF000000"/>
      <name val="Arial"/>
      <family val="2"/>
    </font>
  </fonts>
  <fills count="48">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4472C4"/>
        <bgColor rgb="FF4472C4"/>
      </patternFill>
    </fill>
    <fill>
      <patternFill patternType="solid">
        <fgColor rgb="FFD9E1F2"/>
        <bgColor rgb="FFD9E1F2"/>
      </patternFill>
    </fill>
  </fills>
  <borders count="19">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style="thin">
        <color rgb="FF8EA9DB"/>
      </right>
      <top style="thin">
        <color rgb="FF8EA9DB"/>
      </top>
      <bottom style="thin">
        <color rgb="FF8EA9DB"/>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8EA9DB"/>
      </left>
      <right/>
      <top style="thin">
        <color rgb="FF8EA9DB"/>
      </top>
      <bottom style="thin">
        <color rgb="FF8EA9DB"/>
      </bottom>
      <diagonal/>
    </border>
    <border>
      <left/>
      <right/>
      <top style="thin">
        <color rgb="FF8EA9DB"/>
      </top>
      <bottom style="thin">
        <color rgb="FF8EA9DB"/>
      </bottom>
      <diagonal/>
    </border>
    <border>
      <left/>
      <right/>
      <top style="thin">
        <color rgb="FF8EA9DB"/>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114">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0" fillId="0" borderId="0" xfId="0" applyAlignment="1">
      <alignment horizontal="center" wrapText="1"/>
    </xf>
    <xf numFmtId="9" fontId="30" fillId="3" borderId="0" xfId="2" applyFont="1" applyFill="1" applyAlignment="1">
      <alignment horizontal="right"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49" fontId="27" fillId="0" borderId="0" xfId="0" applyNumberFormat="1" applyFont="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27" fillId="0" borderId="0" xfId="0" applyFont="1" applyAlignment="1">
      <alignment horizontal="left" vertical="center"/>
    </xf>
    <xf numFmtId="0" fontId="27" fillId="40" borderId="0" xfId="0" applyFont="1" applyFill="1" applyAlignment="1">
      <alignment horizontal="left" vertical="center"/>
    </xf>
    <xf numFmtId="49" fontId="28" fillId="0" borderId="0" xfId="0" applyNumberFormat="1" applyFont="1" applyAlignment="1">
      <alignment horizontal="left" vertical="top" wrapText="1"/>
    </xf>
    <xf numFmtId="0" fontId="35" fillId="43" borderId="1" xfId="0" applyFont="1" applyFill="1" applyBorder="1" applyAlignment="1">
      <alignment horizontal="center" vertical="center" wrapText="1"/>
    </xf>
    <xf numFmtId="0" fontId="22" fillId="0" borderId="0" xfId="43" applyFont="1" applyAlignment="1">
      <alignment horizontal="left" wrapText="1"/>
    </xf>
    <xf numFmtId="0" fontId="22" fillId="0" borderId="0" xfId="43" applyFont="1"/>
    <xf numFmtId="49" fontId="28" fillId="0" borderId="0" xfId="0" applyNumberFormat="1" applyFont="1" applyAlignment="1">
      <alignment vertical="top" wrapText="1"/>
    </xf>
    <xf numFmtId="0" fontId="34" fillId="40" borderId="0" xfId="0" applyFont="1" applyFill="1" applyAlignment="1">
      <alignment vertical="top"/>
    </xf>
    <xf numFmtId="49" fontId="23" fillId="38" borderId="0" xfId="2" applyNumberFormat="1" applyFont="1" applyFill="1" applyBorder="1" applyAlignment="1">
      <alignment vertical="top" wrapText="1"/>
    </xf>
    <xf numFmtId="49" fontId="36" fillId="38" borderId="0" xfId="45" applyNumberFormat="1" applyFill="1" applyBorder="1" applyAlignment="1">
      <alignment vertical="top" wrapText="1"/>
    </xf>
    <xf numFmtId="49" fontId="36" fillId="0" borderId="0" xfId="45" applyNumberFormat="1" applyAlignment="1">
      <alignment horizontal="left" vertical="top" wrapText="1"/>
    </xf>
    <xf numFmtId="49" fontId="36" fillId="0" borderId="0" xfId="45" applyNumberFormat="1" applyAlignment="1">
      <alignment vertical="top" wrapText="1"/>
    </xf>
    <xf numFmtId="0" fontId="36" fillId="0" borderId="0" xfId="45" applyAlignment="1">
      <alignment horizontal="left" vertical="top"/>
    </xf>
    <xf numFmtId="0" fontId="36" fillId="0" borderId="0" xfId="45" applyAlignment="1">
      <alignment vertical="top"/>
    </xf>
    <xf numFmtId="10" fontId="30" fillId="0" borderId="0" xfId="0" applyNumberFormat="1" applyFont="1" applyAlignment="1">
      <alignment horizontal="center" vertical="center"/>
    </xf>
    <xf numFmtId="0" fontId="34" fillId="40" borderId="0" xfId="0" applyFont="1" applyFill="1" applyAlignment="1">
      <alignment horizontal="center" vertical="center"/>
    </xf>
    <xf numFmtId="0" fontId="36" fillId="0" borderId="0" xfId="45"/>
    <xf numFmtId="3" fontId="30" fillId="0" borderId="0" xfId="1" applyNumberFormat="1" applyFont="1" applyFill="1" applyBorder="1" applyAlignment="1">
      <alignment horizontal="right" vertical="center"/>
    </xf>
    <xf numFmtId="3" fontId="30" fillId="4" borderId="0" xfId="1" applyNumberFormat="1" applyFont="1" applyFill="1" applyBorder="1" applyAlignment="1">
      <alignment horizontal="right" vertical="center"/>
    </xf>
    <xf numFmtId="0" fontId="0" fillId="0" borderId="0" xfId="0" applyAlignment="1">
      <alignment horizontal="left" vertical="top"/>
    </xf>
    <xf numFmtId="49" fontId="28" fillId="0" borderId="0" xfId="0" applyNumberFormat="1" applyFont="1" applyAlignment="1">
      <alignment horizontal="left" vertical="center" wrapText="1"/>
    </xf>
    <xf numFmtId="49" fontId="30" fillId="38" borderId="0" xfId="2" applyNumberFormat="1" applyFont="1" applyFill="1" applyBorder="1" applyAlignment="1">
      <alignment horizontal="left" vertical="top" wrapText="1"/>
    </xf>
    <xf numFmtId="49" fontId="36" fillId="38" borderId="0" xfId="45" applyNumberFormat="1" applyFill="1" applyBorder="1" applyAlignment="1">
      <alignment horizontal="left" vertical="top" wrapText="1"/>
    </xf>
    <xf numFmtId="164" fontId="28" fillId="44" borderId="0" xfId="1" applyNumberFormat="1" applyFont="1" applyFill="1" applyAlignment="1">
      <alignment horizontal="center" vertical="center"/>
    </xf>
    <xf numFmtId="9" fontId="30" fillId="3" borderId="0" xfId="2" applyFont="1" applyFill="1" applyAlignment="1">
      <alignment horizontal="center" vertical="center"/>
    </xf>
    <xf numFmtId="3" fontId="30" fillId="4" borderId="0" xfId="1" applyNumberFormat="1" applyFont="1" applyFill="1" applyAlignment="1">
      <alignment vertical="center"/>
    </xf>
    <xf numFmtId="9" fontId="30" fillId="37" borderId="0" xfId="2" applyFont="1" applyFill="1" applyAlignment="1">
      <alignment horizontal="center" vertical="center"/>
    </xf>
    <xf numFmtId="49" fontId="30" fillId="38" borderId="0" xfId="2" applyNumberFormat="1" applyFont="1" applyFill="1" applyAlignment="1">
      <alignment vertical="top" wrapText="1"/>
    </xf>
    <xf numFmtId="3" fontId="30" fillId="0" borderId="0" xfId="1" applyNumberFormat="1" applyFont="1" applyFill="1" applyBorder="1" applyAlignment="1">
      <alignment horizontal="right"/>
    </xf>
    <xf numFmtId="3" fontId="30" fillId="4" borderId="0" xfId="1" applyNumberFormat="1" applyFont="1" applyFill="1" applyBorder="1" applyAlignment="1">
      <alignment horizontal="right"/>
    </xf>
    <xf numFmtId="3" fontId="30" fillId="0" borderId="0" xfId="1" applyNumberFormat="1" applyFont="1" applyAlignment="1">
      <alignment vertical="center"/>
    </xf>
    <xf numFmtId="49" fontId="36" fillId="38" borderId="0" xfId="45" applyNumberFormat="1" applyFill="1" applyAlignment="1">
      <alignment vertical="top" wrapText="1"/>
    </xf>
    <xf numFmtId="0" fontId="24" fillId="39" borderId="1" xfId="0" applyFont="1" applyFill="1" applyBorder="1" applyAlignment="1">
      <alignment horizontal="center" vertical="center"/>
    </xf>
    <xf numFmtId="0" fontId="37" fillId="46" borderId="12" xfId="0" applyFont="1" applyFill="1" applyBorder="1"/>
    <xf numFmtId="0" fontId="38" fillId="47" borderId="12" xfId="0" applyFont="1" applyFill="1" applyBorder="1"/>
    <xf numFmtId="0" fontId="38" fillId="0" borderId="12" xfId="0" applyFont="1" applyBorder="1"/>
    <xf numFmtId="0" fontId="28" fillId="40" borderId="0" xfId="0" applyFont="1" applyFill="1" applyAlignment="1">
      <alignment horizontal="center"/>
    </xf>
    <xf numFmtId="0" fontId="28" fillId="0" borderId="0" xfId="0" applyFont="1" applyAlignment="1">
      <alignment horizontal="center"/>
    </xf>
    <xf numFmtId="0" fontId="39" fillId="0" borderId="14" xfId="0" applyFont="1" applyBorder="1"/>
    <xf numFmtId="0" fontId="39" fillId="0" borderId="15" xfId="0" applyFont="1" applyBorder="1"/>
    <xf numFmtId="0" fontId="40" fillId="0" borderId="16" xfId="0" applyFont="1" applyBorder="1"/>
    <xf numFmtId="0" fontId="38" fillId="0" borderId="17" xfId="0" applyFont="1" applyBorder="1"/>
    <xf numFmtId="0" fontId="40" fillId="47" borderId="16" xfId="0" applyFont="1" applyFill="1" applyBorder="1"/>
    <xf numFmtId="0" fontId="38" fillId="47" borderId="17" xfId="0" applyFont="1" applyFill="1" applyBorder="1"/>
    <xf numFmtId="0" fontId="40" fillId="0" borderId="17" xfId="0" applyFont="1" applyBorder="1" applyAlignment="1">
      <alignment horizontal="center"/>
    </xf>
    <xf numFmtId="0" fontId="40" fillId="47" borderId="17" xfId="0" applyFont="1" applyFill="1" applyBorder="1" applyAlignment="1">
      <alignment horizontal="center"/>
    </xf>
    <xf numFmtId="0" fontId="22" fillId="0" borderId="13" xfId="43" applyFont="1" applyBorder="1" applyAlignment="1">
      <alignment horizontal="left" wrapText="1"/>
    </xf>
    <xf numFmtId="0" fontId="38" fillId="0" borderId="18" xfId="0" applyFont="1" applyBorder="1"/>
    <xf numFmtId="0" fontId="39" fillId="0" borderId="0" xfId="0" applyFont="1"/>
    <xf numFmtId="9" fontId="30" fillId="0" borderId="0" xfId="2" applyFont="1" applyAlignment="1">
      <alignment horizontal="center" vertical="center"/>
    </xf>
    <xf numFmtId="164" fontId="28" fillId="0" borderId="0" xfId="1" applyNumberFormat="1" applyFont="1" applyAlignment="1">
      <alignment horizontal="center" vertical="center"/>
    </xf>
    <xf numFmtId="3" fontId="30" fillId="0" borderId="0" xfId="1" applyNumberFormat="1" applyFont="1" applyAlignment="1">
      <alignment horizontal="right" vertical="center"/>
    </xf>
    <xf numFmtId="3" fontId="30" fillId="4" borderId="0" xfId="1" applyNumberFormat="1" applyFont="1" applyFill="1" applyAlignment="1">
      <alignment horizontal="right" vertical="center"/>
    </xf>
    <xf numFmtId="49" fontId="30" fillId="38" borderId="0" xfId="2" applyNumberFormat="1" applyFont="1" applyFill="1" applyAlignment="1">
      <alignment horizontal="left" vertical="top" wrapText="1"/>
    </xf>
    <xf numFmtId="49" fontId="36" fillId="38" borderId="0" xfId="45" applyNumberFormat="1" applyFill="1" applyAlignment="1">
      <alignment horizontal="left" vertical="top" wrapText="1"/>
    </xf>
    <xf numFmtId="0" fontId="0" fillId="0" borderId="0" xfId="0" applyAlignment="1">
      <alignment vertical="top"/>
    </xf>
    <xf numFmtId="0" fontId="5" fillId="0" borderId="0" xfId="0" applyFont="1" applyAlignment="1">
      <alignment horizontal="left" vertical="top"/>
    </xf>
    <xf numFmtId="0" fontId="5" fillId="45" borderId="1" xfId="0" applyFont="1" applyFill="1" applyBorder="1" applyAlignment="1">
      <alignment horizontal="left" vertical="top"/>
    </xf>
    <xf numFmtId="49" fontId="27" fillId="0" borderId="0" xfId="0" applyNumberFormat="1" applyFont="1" applyAlignment="1">
      <alignment horizontal="left" vertical="top" wrapText="1"/>
    </xf>
    <xf numFmtId="0" fontId="32" fillId="0" borderId="0" xfId="0" applyFont="1" applyAlignment="1">
      <alignment horizontal="lef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8">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F45" totalsRowShown="0">
  <autoFilter ref="A3:F45" xr:uid="{C9C95D9E-67ED-41E0-9F41-9C3DA4ACF4CD}"/>
  <sortState xmlns:xlrd2="http://schemas.microsoft.com/office/spreadsheetml/2017/richdata2" ref="A4:D6">
    <sortCondition ref="C3:C6"/>
  </sortState>
  <tableColumns count="6">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 id="6" xr3:uid="{376D1FC9-A305-4DC3-87BC-23868FCB4CBE}" name="SO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3" Type="http://schemas.openxmlformats.org/officeDocument/2006/relationships/hyperlink" Target="https://us3.assetplanner.com/service_request?ID=091181" TargetMode="External"/><Relationship Id="rId18" Type="http://schemas.openxmlformats.org/officeDocument/2006/relationships/hyperlink" Target="https://us3.assetplanner.com/service_request?ID=104105" TargetMode="External"/><Relationship Id="rId26" Type="http://schemas.openxmlformats.org/officeDocument/2006/relationships/hyperlink" Target="https://us3.assetplanner.com/service_request?ID=093047" TargetMode="External"/><Relationship Id="rId39" Type="http://schemas.openxmlformats.org/officeDocument/2006/relationships/hyperlink" Target="https://us3.assetplanner.com/service_request?ID=092332" TargetMode="External"/><Relationship Id="rId21" Type="http://schemas.openxmlformats.org/officeDocument/2006/relationships/hyperlink" Target="https://us3.assetplanner.com/service_request?ID=105203" TargetMode="External"/><Relationship Id="rId34" Type="http://schemas.openxmlformats.org/officeDocument/2006/relationships/hyperlink" Target="https://us3.assetplanner.com/service_request?ID=093354" TargetMode="External"/><Relationship Id="rId42" Type="http://schemas.openxmlformats.org/officeDocument/2006/relationships/hyperlink" Target="https://us3.assetplanner.com/service_request?ID=102198" TargetMode="External"/><Relationship Id="rId47" Type="http://schemas.openxmlformats.org/officeDocument/2006/relationships/hyperlink" Target="https://us3.assetplanner.com/service_request?ID=092255" TargetMode="External"/><Relationship Id="rId50" Type="http://schemas.openxmlformats.org/officeDocument/2006/relationships/hyperlink" Target="https://us3.assetplanner.com/service_request?ID=101997" TargetMode="External"/><Relationship Id="rId7" Type="http://schemas.openxmlformats.org/officeDocument/2006/relationships/hyperlink" Target="https://us3.assetplanner.com/service_request?ID=105159" TargetMode="External"/><Relationship Id="rId2" Type="http://schemas.openxmlformats.org/officeDocument/2006/relationships/hyperlink" Target="https://us3.assetplanner.com/service_request?ID=103955" TargetMode="External"/><Relationship Id="rId16" Type="http://schemas.openxmlformats.org/officeDocument/2006/relationships/hyperlink" Target="https://us3.assetplanner.com/service_request?ID=100771" TargetMode="External"/><Relationship Id="rId29" Type="http://schemas.openxmlformats.org/officeDocument/2006/relationships/hyperlink" Target="https://us3.assetplanner.com/service_request?ID=104999" TargetMode="External"/><Relationship Id="rId11" Type="http://schemas.openxmlformats.org/officeDocument/2006/relationships/hyperlink" Target="https://us3.assetplanner.com/service_request?ID=105439" TargetMode="External"/><Relationship Id="rId24" Type="http://schemas.openxmlformats.org/officeDocument/2006/relationships/hyperlink" Target="https://us3.assetplanner.com/service_request?ID=100985" TargetMode="External"/><Relationship Id="rId32" Type="http://schemas.openxmlformats.org/officeDocument/2006/relationships/hyperlink" Target="https://us3.assetplanner.com/service_request?ID=092556" TargetMode="External"/><Relationship Id="rId37" Type="http://schemas.openxmlformats.org/officeDocument/2006/relationships/hyperlink" Target="https://us3.assetplanner.com/service_request?ID=100464" TargetMode="External"/><Relationship Id="rId40" Type="http://schemas.openxmlformats.org/officeDocument/2006/relationships/hyperlink" Target="https://us3.assetplanner.com/service_request?ID=095649" TargetMode="External"/><Relationship Id="rId45" Type="http://schemas.openxmlformats.org/officeDocument/2006/relationships/hyperlink" Target="https://us3.assetplanner.com/service_request?ID=092209" TargetMode="External"/><Relationship Id="rId53" Type="http://schemas.openxmlformats.org/officeDocument/2006/relationships/hyperlink" Target="https://us3.assetplanner.com/service_request?ID=104453" TargetMode="External"/><Relationship Id="rId5" Type="http://schemas.openxmlformats.org/officeDocument/2006/relationships/hyperlink" Target="https://us3.assetplanner.com/service_request?ID=104591" TargetMode="External"/><Relationship Id="rId10" Type="http://schemas.openxmlformats.org/officeDocument/2006/relationships/hyperlink" Target="https://us3.assetplanner.com/service_request?ID=103804" TargetMode="External"/><Relationship Id="rId19" Type="http://schemas.openxmlformats.org/officeDocument/2006/relationships/hyperlink" Target="https://us3.assetplanner.com/service_request?ID=104590" TargetMode="External"/><Relationship Id="rId31" Type="http://schemas.openxmlformats.org/officeDocument/2006/relationships/hyperlink" Target="https://us3.assetplanner.com/service_request?ID=104748" TargetMode="External"/><Relationship Id="rId44" Type="http://schemas.openxmlformats.org/officeDocument/2006/relationships/hyperlink" Target="https://us3.assetplanner.com/service_request?ID=088869" TargetMode="External"/><Relationship Id="rId52" Type="http://schemas.openxmlformats.org/officeDocument/2006/relationships/hyperlink" Target="https://us3.assetplanner.com/service_request?ID=104199" TargetMode="External"/><Relationship Id="rId4" Type="http://schemas.openxmlformats.org/officeDocument/2006/relationships/hyperlink" Target="https://us3.assetplanner.com/service_request?ID=105035" TargetMode="External"/><Relationship Id="rId9" Type="http://schemas.openxmlformats.org/officeDocument/2006/relationships/hyperlink" Target="https://us3.assetplanner.com/service_request?ID=093028" TargetMode="External"/><Relationship Id="rId14" Type="http://schemas.openxmlformats.org/officeDocument/2006/relationships/hyperlink" Target="https://us3.assetplanner.com/service_request?ID=103078" TargetMode="External"/><Relationship Id="rId22" Type="http://schemas.openxmlformats.org/officeDocument/2006/relationships/hyperlink" Target="https://us3.assetplanner.com/service_request?ID=095305" TargetMode="External"/><Relationship Id="rId27" Type="http://schemas.openxmlformats.org/officeDocument/2006/relationships/hyperlink" Target="https://us3.assetplanner.com/service_request?ID=104785" TargetMode="External"/><Relationship Id="rId30" Type="http://schemas.openxmlformats.org/officeDocument/2006/relationships/hyperlink" Target="https://us3.assetplanner.com/service_request?ID=103721" TargetMode="External"/><Relationship Id="rId35" Type="http://schemas.openxmlformats.org/officeDocument/2006/relationships/hyperlink" Target="https://us3.assetplanner.com/service_request?ID=101102" TargetMode="External"/><Relationship Id="rId43" Type="http://schemas.openxmlformats.org/officeDocument/2006/relationships/hyperlink" Target="https://us3.assetplanner.com/service_request?ID=101942" TargetMode="External"/><Relationship Id="rId48" Type="http://schemas.openxmlformats.org/officeDocument/2006/relationships/hyperlink" Target="https://us3.assetplanner.com/service_request?ID=092751" TargetMode="External"/><Relationship Id="rId8" Type="http://schemas.openxmlformats.org/officeDocument/2006/relationships/hyperlink" Target="https://us3.assetplanner.com/service_request?ID=101037" TargetMode="External"/><Relationship Id="rId51" Type="http://schemas.openxmlformats.org/officeDocument/2006/relationships/hyperlink" Target="https://us3.assetplanner.com/service_request?ID=103021" TargetMode="External"/><Relationship Id="rId3" Type="http://schemas.openxmlformats.org/officeDocument/2006/relationships/hyperlink" Target="https://us3.assetplanner.com/service_request?ID=104268" TargetMode="External"/><Relationship Id="rId12" Type="http://schemas.openxmlformats.org/officeDocument/2006/relationships/hyperlink" Target="https://us3.assetplanner.com/service_request?ID=091894" TargetMode="External"/><Relationship Id="rId17" Type="http://schemas.openxmlformats.org/officeDocument/2006/relationships/hyperlink" Target="https://us3.assetplanner.com/service_request?ID=103354" TargetMode="External"/><Relationship Id="rId25" Type="http://schemas.openxmlformats.org/officeDocument/2006/relationships/hyperlink" Target="https://us3.assetplanner.com/service_request?ID=101223" TargetMode="External"/><Relationship Id="rId33" Type="http://schemas.openxmlformats.org/officeDocument/2006/relationships/hyperlink" Target="https://us3.assetplanner.com/service_request?ID=099268" TargetMode="External"/><Relationship Id="rId38" Type="http://schemas.openxmlformats.org/officeDocument/2006/relationships/hyperlink" Target="https://us3.assetplanner.com/service_request?ID=098883" TargetMode="External"/><Relationship Id="rId46" Type="http://schemas.openxmlformats.org/officeDocument/2006/relationships/hyperlink" Target="https://us3.assetplanner.com/service_request?ID=101998" TargetMode="External"/><Relationship Id="rId20" Type="http://schemas.openxmlformats.org/officeDocument/2006/relationships/hyperlink" Target="https://us3.assetplanner.com/service_request?ID=103711" TargetMode="External"/><Relationship Id="rId41" Type="http://schemas.openxmlformats.org/officeDocument/2006/relationships/hyperlink" Target="https://us3.assetplanner.com/service_request?ID=101102" TargetMode="External"/><Relationship Id="rId54" Type="http://schemas.openxmlformats.org/officeDocument/2006/relationships/hyperlink" Target="https://us3.assetplanner.com/service_request?ID=104194" TargetMode="External"/><Relationship Id="rId1" Type="http://schemas.openxmlformats.org/officeDocument/2006/relationships/hyperlink" Target="https://us3.assetplanner.com/service_request?ID=101016" TargetMode="External"/><Relationship Id="rId6" Type="http://schemas.openxmlformats.org/officeDocument/2006/relationships/hyperlink" Target="https://us3.assetplanner.com/service_request?ID=099666" TargetMode="External"/><Relationship Id="rId15" Type="http://schemas.openxmlformats.org/officeDocument/2006/relationships/hyperlink" Target="https://us3.assetplanner.com/service_request?ID=100622" TargetMode="External"/><Relationship Id="rId23" Type="http://schemas.openxmlformats.org/officeDocument/2006/relationships/hyperlink" Target="https://us3.assetplanner.com/service_request?ID=101010" TargetMode="External"/><Relationship Id="rId28" Type="http://schemas.openxmlformats.org/officeDocument/2006/relationships/hyperlink" Target="https://us3.assetplanner.com/service_request?ID=102704" TargetMode="External"/><Relationship Id="rId36" Type="http://schemas.openxmlformats.org/officeDocument/2006/relationships/hyperlink" Target="https://us3.assetplanner.com/service_request?ID=101744" TargetMode="External"/><Relationship Id="rId49" Type="http://schemas.openxmlformats.org/officeDocument/2006/relationships/hyperlink" Target="https://us3.assetplanner.com/service_request?ID=092095"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tabSelected="1" workbookViewId="0">
      <pane xSplit="2" ySplit="3" topLeftCell="C4" activePane="bottomRight" state="frozen"/>
      <selection pane="bottomRight" activeCell="L16" sqref="L16"/>
      <selection pane="bottomLeft" activeCell="F27" sqref="F27"/>
      <selection pane="topRight" activeCell="F27" sqref="F27"/>
    </sheetView>
  </sheetViews>
  <sheetFormatPr defaultRowHeight="12.75"/>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111" t="str" cm="1">
        <f t="array" ref="A1">portfolio</f>
        <v>GoodFinch</v>
      </c>
      <c r="B1" s="111"/>
      <c r="C1" s="111"/>
      <c r="D1" s="112" t="s">
        <v>0</v>
      </c>
      <c r="E1" s="112"/>
      <c r="F1" s="112"/>
      <c r="G1" s="110" t="s">
        <v>1</v>
      </c>
      <c r="H1" s="110"/>
      <c r="I1" s="110"/>
    </row>
    <row r="2" spans="1:9" ht="19.5" customHeight="1">
      <c r="A2" s="113" t="s">
        <v>2</v>
      </c>
      <c r="B2" s="113"/>
      <c r="C2" s="5">
        <f>SUM(C4:C80)</f>
        <v>1539597.7648551145</v>
      </c>
      <c r="D2" s="5">
        <f>SUM(D4:D80)</f>
        <v>1456547.233</v>
      </c>
      <c r="E2" s="5">
        <f>C2-D2</f>
        <v>83050.531855114503</v>
      </c>
      <c r="F2" s="6">
        <f>IFERROR(E2/D2, 0)</f>
        <v>5.7018770125331394E-2</v>
      </c>
      <c r="G2" s="5">
        <f>SUM(G4:G80)</f>
        <v>2267383.4810000001</v>
      </c>
      <c r="H2" s="7">
        <f>C2-G2</f>
        <v>-727785.71614488564</v>
      </c>
      <c r="I2" s="6">
        <f>IFERROR(H2/G2, 0)</f>
        <v>-0.32098042622410972</v>
      </c>
    </row>
    <row r="3" spans="1:9" ht="14.25" customHeight="1">
      <c r="A3" s="8" t="s">
        <v>3</v>
      </c>
      <c r="B3" s="8" t="s">
        <v>4</v>
      </c>
      <c r="C3" s="21" t="s">
        <v>5</v>
      </c>
      <c r="D3" s="33" t="s">
        <v>6</v>
      </c>
      <c r="E3" s="33" t="s">
        <v>7</v>
      </c>
      <c r="F3" s="34" t="s">
        <v>8</v>
      </c>
      <c r="G3" s="35" t="s">
        <v>9</v>
      </c>
      <c r="H3" s="36" t="s">
        <v>7</v>
      </c>
      <c r="I3" s="37" t="s">
        <v>8</v>
      </c>
    </row>
    <row r="4" spans="1:9" ht="15.75">
      <c r="A4" s="49" t="str" cm="1">
        <f t="array" ref="A4:A45">Sites[Site]</f>
        <v>AZ: Tempe - ASU - Farmer</v>
      </c>
      <c r="B4" s="30" t="str" cm="1">
        <f t="array" ref="B4:B45">Sites[State]</f>
        <v>AZ</v>
      </c>
      <c r="C4" s="22">
        <f>SUM('1st Qtr'!C4, '2nd Qtr'!C4, '3rd Qtr'!C4, '4th Qtr'!C4)</f>
        <v>13735.3356944444</v>
      </c>
      <c r="D4" s="12">
        <f>SUM('1st Qtr'!D4, '2nd Qtr'!D4, '3rd Qtr'!D4, '4th Qtr'!D4)</f>
        <v>8816.8459999999995</v>
      </c>
      <c r="E4" s="12">
        <f>IF(AND(ISNUMBER(C4),ISNUMBER(D4)), C4-D4, "")</f>
        <v>4918.4896944444008</v>
      </c>
      <c r="F4" s="13">
        <f>IFERROR(E4/D4, "")</f>
        <v>0.55785137842312327</v>
      </c>
      <c r="G4" s="14">
        <f>SUM('1st Qtr'!G4, '2nd Qtr'!G4, '3rd Qtr'!G4, '4th Qtr'!G4)</f>
        <v>13564.61</v>
      </c>
      <c r="H4" s="14">
        <f>SUM('1st Qtr'!H4, '2nd Qtr'!H4, '3rd Qtr'!H4, '4th Qtr'!H4)</f>
        <v>170.72569444439978</v>
      </c>
      <c r="I4" s="15">
        <f>IFERROR(H4/G4, "")</f>
        <v>1.2586111539100628E-2</v>
      </c>
    </row>
    <row r="5" spans="1:9" ht="15.75">
      <c r="A5" s="50" t="str">
        <v>AZ: Tempe - ASU - Fulton</v>
      </c>
      <c r="B5" s="28" t="str">
        <v>AZ</v>
      </c>
      <c r="C5" s="16">
        <f>SUM('1st Qtr'!C5, '2nd Qtr'!C5, '3rd Qtr'!C5, '4th Qtr'!C5)</f>
        <v>51105</v>
      </c>
      <c r="D5" s="16">
        <f>SUM('1st Qtr'!D5, '2nd Qtr'!D5, '3rd Qtr'!D5, '4th Qtr'!D5)</f>
        <v>60589.7</v>
      </c>
      <c r="E5" s="16">
        <f t="shared" ref="E5:E10" si="0">IF(AND(ISNUMBER(C5),ISNUMBER(D5)), C5-D5, "")</f>
        <v>-9484.6999999999971</v>
      </c>
      <c r="F5" s="17">
        <f>IFERROR(E5/D5, "")</f>
        <v>-0.15653980792114827</v>
      </c>
      <c r="G5" s="18">
        <f>SUM('1st Qtr'!G5, '2nd Qtr'!G5, '3rd Qtr'!G5, '4th Qtr'!G5)</f>
        <v>68756</v>
      </c>
      <c r="H5" s="18">
        <f>SUM(Jan!I5, Feb!H5, Mar!H5)</f>
        <v>0</v>
      </c>
      <c r="I5" s="17">
        <f>IFERROR(H5/G5, "")</f>
        <v>0</v>
      </c>
    </row>
    <row r="6" spans="1:9" ht="15.75">
      <c r="A6" s="51" t="str">
        <v>AZ: Superior - JFK Elementary</v>
      </c>
      <c r="B6" s="26" t="str">
        <v>AZ</v>
      </c>
      <c r="C6" s="22">
        <f>SUM('1st Qtr'!C6, '2nd Qtr'!C6, '3rd Qtr'!C6, '4th Qtr'!C6)</f>
        <v>12132.179651275899</v>
      </c>
      <c r="D6" s="12">
        <f>SUM('1st Qtr'!D6, '2nd Qtr'!D6, '3rd Qtr'!D6, '4th Qtr'!D6)</f>
        <v>0</v>
      </c>
      <c r="E6" s="12">
        <f t="shared" si="0"/>
        <v>12132.179651275899</v>
      </c>
      <c r="F6" s="13" t="str">
        <f t="shared" ref="F6:F10" si="1">IFERROR(E6/D6, "")</f>
        <v/>
      </c>
      <c r="G6" s="14">
        <f>SUM('1st Qtr'!G6, '2nd Qtr'!G6, '3rd Qtr'!G6, '4th Qtr'!G6)</f>
        <v>18696</v>
      </c>
      <c r="H6" s="14">
        <f>SUM('1st Qtr'!H6, '2nd Qtr'!H6, '3rd Qtr'!H6, '4th Qtr'!H6)</f>
        <v>-6563.8203487241008</v>
      </c>
      <c r="I6" s="15">
        <f t="shared" ref="I6:I10" si="2">IFERROR(H6/G6, "")</f>
        <v>-0.35108153341485349</v>
      </c>
    </row>
    <row r="7" spans="1:9" ht="15.75">
      <c r="A7" s="50" t="str">
        <v>AZ: Tempe - ASU - Noble</v>
      </c>
      <c r="B7" s="28" t="str">
        <v>AZ</v>
      </c>
      <c r="C7" s="16">
        <f>SUM('1st Qtr'!C7, '2nd Qtr'!C7, '3rd Qtr'!C7, '4th Qtr'!C7)</f>
        <v>12583.461537700599</v>
      </c>
      <c r="D7" s="16">
        <f>SUM('1st Qtr'!D7, '2nd Qtr'!D7, '3rd Qtr'!D7, '4th Qtr'!D7)</f>
        <v>15025.43</v>
      </c>
      <c r="E7" s="16">
        <f t="shared" si="0"/>
        <v>-2441.9684622994009</v>
      </c>
      <c r="F7" s="17">
        <f>IFERROR(E7/D7, "")</f>
        <v>-0.16252236789891544</v>
      </c>
      <c r="G7" s="18">
        <f>SUM('1st Qtr'!G7, '2nd Qtr'!G7, '3rd Qtr'!G7, '4th Qtr'!G7)</f>
        <v>15254.26</v>
      </c>
      <c r="H7" s="18">
        <f>SUM(Jan!I7, Feb!H7, Mar!H7)</f>
        <v>0</v>
      </c>
      <c r="I7" s="17">
        <f t="shared" si="2"/>
        <v>0</v>
      </c>
    </row>
    <row r="8" spans="1:9" ht="15.75">
      <c r="A8" s="51" t="str">
        <v>AZ: Tempe - ASU - Parking #3</v>
      </c>
      <c r="B8" s="26" t="str">
        <v>AZ</v>
      </c>
      <c r="C8" s="22">
        <f>SUM('1st Qtr'!C8, '2nd Qtr'!C8, '3rd Qtr'!C8, '4th Qtr'!C8)</f>
        <v>34337.612499999901</v>
      </c>
      <c r="D8" s="12">
        <f>SUM('1st Qtr'!D8, '2nd Qtr'!D8, '3rd Qtr'!D8, '4th Qtr'!D8)</f>
        <v>35477.839999999997</v>
      </c>
      <c r="E8" s="12">
        <f t="shared" si="0"/>
        <v>-1140.2275000000955</v>
      </c>
      <c r="F8" s="13">
        <f t="shared" si="1"/>
        <v>-3.2139146577133661E-2</v>
      </c>
      <c r="G8" s="14">
        <f>SUM('1st Qtr'!G8, '2nd Qtr'!G8, '3rd Qtr'!G8, '4th Qtr'!G8)</f>
        <v>31619.08</v>
      </c>
      <c r="H8" s="14">
        <f>SUM('1st Qtr'!H8, '2nd Qtr'!H8, '3rd Qtr'!H8, '4th Qtr'!H8)</f>
        <v>2718.5324999998993</v>
      </c>
      <c r="I8" s="15">
        <f t="shared" si="2"/>
        <v>8.5977596438602866E-2</v>
      </c>
    </row>
    <row r="9" spans="1:9" ht="15.75">
      <c r="A9" s="50" t="str">
        <v>AZ: Tempe - ASU - PE East</v>
      </c>
      <c r="B9" s="28" t="str">
        <v>AZ</v>
      </c>
      <c r="C9" s="16">
        <f>SUM('1st Qtr'!C9, '2nd Qtr'!C9, '3rd Qtr'!C9, '4th Qtr'!C9)</f>
        <v>30211.9078319769</v>
      </c>
      <c r="D9" s="16">
        <f>SUM('1st Qtr'!D9, '2nd Qtr'!D9, '3rd Qtr'!D9, '4th Qtr'!D9)</f>
        <v>25952.9</v>
      </c>
      <c r="E9" s="16">
        <f t="shared" si="0"/>
        <v>4259.0078319768982</v>
      </c>
      <c r="F9" s="17">
        <f t="shared" si="1"/>
        <v>0.16410527655779886</v>
      </c>
      <c r="G9" s="18">
        <f>SUM('1st Qtr'!G9, '2nd Qtr'!G9, '3rd Qtr'!G9, '4th Qtr'!G9)</f>
        <v>31934.71</v>
      </c>
      <c r="H9" s="18">
        <f>SUM(Jan!I9, Feb!H9, Mar!H9)</f>
        <v>0</v>
      </c>
      <c r="I9" s="17">
        <f t="shared" si="2"/>
        <v>0</v>
      </c>
    </row>
    <row r="10" spans="1:9" ht="15.75">
      <c r="A10" s="51" t="str">
        <v>AZ: Tempe - ASU - Schwada</v>
      </c>
      <c r="B10" s="26" t="str">
        <v>AZ</v>
      </c>
      <c r="C10" s="22">
        <f>SUM('1st Qtr'!C10, '2nd Qtr'!C10, '3rd Qtr'!C10, '4th Qtr'!C10)</f>
        <v>9176.8896546379001</v>
      </c>
      <c r="D10" s="12">
        <f>SUM('1st Qtr'!D10, '2nd Qtr'!D10, '3rd Qtr'!D10, '4th Qtr'!D10)</f>
        <v>10685.01</v>
      </c>
      <c r="E10" s="12">
        <f t="shared" si="0"/>
        <v>-1508.1203453621001</v>
      </c>
      <c r="F10" s="13">
        <f t="shared" si="1"/>
        <v>-0.14114355956261154</v>
      </c>
      <c r="G10" s="14">
        <f>SUM('1st Qtr'!G10, '2nd Qtr'!G10, '3rd Qtr'!G10, '4th Qtr'!G10)</f>
        <v>13894</v>
      </c>
      <c r="H10" s="14">
        <f>SUM('1st Qtr'!H10, '2nd Qtr'!H10, '3rd Qtr'!H10, '4th Qtr'!H10)</f>
        <v>-4717.1103453620999</v>
      </c>
      <c r="I10" s="15">
        <f t="shared" si="2"/>
        <v>-0.33950700628775732</v>
      </c>
    </row>
    <row r="11" spans="1:9" ht="15.75">
      <c r="A11" s="50" t="str">
        <v>AZ: Phoenix - Starshine Academy</v>
      </c>
      <c r="B11" s="28" t="str">
        <v>AZ</v>
      </c>
      <c r="C11" s="16">
        <f>SUM('1st Qtr'!C11, '2nd Qtr'!C11, '3rd Qtr'!C11, '4th Qtr'!C11)</f>
        <v>6047.7999999999902</v>
      </c>
      <c r="D11" s="16">
        <f>SUM('1st Qtr'!D11, '2nd Qtr'!D11, '3rd Qtr'!D11, '4th Qtr'!D11)</f>
        <v>0</v>
      </c>
      <c r="E11" s="16">
        <f t="shared" ref="E11:E45" si="3">IF(AND(ISNUMBER(C11),ISNUMBER(D11)), C11-D11, "")</f>
        <v>6047.7999999999902</v>
      </c>
      <c r="F11" s="99" t="str">
        <f t="shared" ref="F11:F45" si="4">IFERROR(E11/D11, "")</f>
        <v/>
      </c>
      <c r="G11" s="80">
        <f>SUM('1st Qtr'!G11, '2nd Qtr'!G11, '3rd Qtr'!G11, '4th Qtr'!G11)</f>
        <v>11002</v>
      </c>
      <c r="H11" s="80">
        <f>SUM(Jan!I11, Feb!H11, Mar!H11)</f>
        <v>0</v>
      </c>
      <c r="I11" s="99">
        <f t="shared" ref="I11:I45" si="5">IFERROR(H11/G11, "")</f>
        <v>0</v>
      </c>
    </row>
    <row r="12" spans="1:9" ht="15.75">
      <c r="A12" s="51" t="str">
        <v>AZ: Yuma Airport</v>
      </c>
      <c r="B12" s="26" t="str">
        <v>AZ</v>
      </c>
      <c r="C12" s="73">
        <f>SUM('1st Qtr'!C12, '2nd Qtr'!C12, '3rd Qtr'!C12, '4th Qtr'!C12)</f>
        <v>66601</v>
      </c>
      <c r="D12" s="12">
        <f>SUM('1st Qtr'!D12, '2nd Qtr'!D12, '3rd Qtr'!D12, '4th Qtr'!D12)</f>
        <v>94129.73</v>
      </c>
      <c r="E12" s="12">
        <f t="shared" si="3"/>
        <v>-27528.729999999996</v>
      </c>
      <c r="F12" s="74">
        <f t="shared" si="4"/>
        <v>-0.29245521048450895</v>
      </c>
      <c r="G12" s="75">
        <f>SUM('1st Qtr'!G12, '2nd Qtr'!G12, '3rd Qtr'!G12, '4th Qtr'!G12)</f>
        <v>82137</v>
      </c>
      <c r="H12" s="75">
        <f>SUM('1st Qtr'!H12, '2nd Qtr'!H12, '3rd Qtr'!H12, '4th Qtr'!H12)</f>
        <v>-15536</v>
      </c>
      <c r="I12" s="76">
        <f t="shared" si="5"/>
        <v>-0.18914740007548364</v>
      </c>
    </row>
    <row r="13" spans="1:9" ht="15.75">
      <c r="A13" s="50" t="str">
        <v>AZ: Globe - Gila CC</v>
      </c>
      <c r="B13" s="28" t="str">
        <v>AZ</v>
      </c>
      <c r="C13" s="16">
        <f>SUM('1st Qtr'!C13, '2nd Qtr'!C13, '3rd Qtr'!C13, '4th Qtr'!C13)</f>
        <v>20373.3752302871</v>
      </c>
      <c r="D13" s="16">
        <f>SUM('1st Qtr'!D13, '2nd Qtr'!D13, '3rd Qtr'!D13, '4th Qtr'!D13)</f>
        <v>0</v>
      </c>
      <c r="E13" s="16">
        <f t="shared" si="3"/>
        <v>20373.3752302871</v>
      </c>
      <c r="F13" s="99" t="str">
        <f t="shared" si="4"/>
        <v/>
      </c>
      <c r="G13" s="80">
        <f>SUM('1st Qtr'!G13, '2nd Qtr'!G13, '3rd Qtr'!G13, '4th Qtr'!G13)</f>
        <v>18652</v>
      </c>
      <c r="H13" s="80">
        <f>SUM(Jan!I13, Feb!H13, Mar!H13)</f>
        <v>0</v>
      </c>
      <c r="I13" s="99">
        <f t="shared" si="5"/>
        <v>0</v>
      </c>
    </row>
    <row r="14" spans="1:9" ht="15.75">
      <c r="A14" s="51" t="str">
        <v>AZ: Payson - Gila CC</v>
      </c>
      <c r="B14" s="26" t="str">
        <v>AZ</v>
      </c>
      <c r="C14" s="73">
        <f>SUM('1st Qtr'!C14, '2nd Qtr'!C14, '3rd Qtr'!C14, '4th Qtr'!C14)</f>
        <v>15205.8845466159</v>
      </c>
      <c r="D14" s="12">
        <f>SUM('1st Qtr'!D14, '2nd Qtr'!D14, '3rd Qtr'!D14, '4th Qtr'!D14)</f>
        <v>6558.9120000000003</v>
      </c>
      <c r="E14" s="12">
        <f t="shared" si="3"/>
        <v>8646.9725466158998</v>
      </c>
      <c r="F14" s="74">
        <f t="shared" si="4"/>
        <v>1.318354712887732</v>
      </c>
      <c r="G14" s="75">
        <f>SUM('1st Qtr'!G14, '2nd Qtr'!G14, '3rd Qtr'!G14, '4th Qtr'!G14)</f>
        <v>15449</v>
      </c>
      <c r="H14" s="75">
        <f>SUM('1st Qtr'!H14, '2nd Qtr'!H14, '3rd Qtr'!H14, '4th Qtr'!H14)</f>
        <v>-243.11545338409996</v>
      </c>
      <c r="I14" s="76">
        <f t="shared" si="5"/>
        <v>-1.5736646603929056E-2</v>
      </c>
    </row>
    <row r="15" spans="1:9" ht="15.75">
      <c r="A15" s="50" t="str">
        <v>AZ: Mesa - Sequoia Charter School</v>
      </c>
      <c r="B15" s="28" t="str">
        <v>AZ</v>
      </c>
      <c r="C15" s="16">
        <f>SUM('1st Qtr'!C15, '2nd Qtr'!C15, '3rd Qtr'!C15, '4th Qtr'!C15)</f>
        <v>32820.180000000197</v>
      </c>
      <c r="D15" s="16">
        <f>SUM('1st Qtr'!D15, '2nd Qtr'!D15, '3rd Qtr'!D15, '4th Qtr'!D15)</f>
        <v>0</v>
      </c>
      <c r="E15" s="16">
        <f t="shared" si="3"/>
        <v>32820.180000000197</v>
      </c>
      <c r="F15" s="99" t="str">
        <f t="shared" si="4"/>
        <v/>
      </c>
      <c r="G15" s="80">
        <f>SUM('1st Qtr'!G15, '2nd Qtr'!G15, '3rd Qtr'!G15, '4th Qtr'!G15)</f>
        <v>52037</v>
      </c>
      <c r="H15" s="80">
        <f>SUM(Jan!I15, Feb!H15, Mar!H15)</f>
        <v>0</v>
      </c>
      <c r="I15" s="99">
        <f t="shared" si="5"/>
        <v>0</v>
      </c>
    </row>
    <row r="16" spans="1:9" ht="15.75">
      <c r="A16" s="51" t="str">
        <v>AZ: Tempe - SCNM</v>
      </c>
      <c r="B16" s="26" t="str">
        <v>AZ</v>
      </c>
      <c r="C16" s="73">
        <f>SUM('1st Qtr'!C16, '2nd Qtr'!C16, '3rd Qtr'!C16, '4th Qtr'!C16)</f>
        <v>67507.749445675901</v>
      </c>
      <c r="D16" s="12">
        <f>SUM('1st Qtr'!D16, '2nd Qtr'!D16, '3rd Qtr'!D16, '4th Qtr'!D16)</f>
        <v>49080.480000000003</v>
      </c>
      <c r="E16" s="12">
        <f t="shared" si="3"/>
        <v>18427.269445675898</v>
      </c>
      <c r="F16" s="74">
        <f t="shared" si="4"/>
        <v>0.37545006580367385</v>
      </c>
      <c r="G16" s="75">
        <f>SUM('1st Qtr'!G16, '2nd Qtr'!G16, '3rd Qtr'!G16, '4th Qtr'!G16)</f>
        <v>91007</v>
      </c>
      <c r="H16" s="75">
        <f>SUM('1st Qtr'!H16, '2nd Qtr'!H16, '3rd Qtr'!H16, '4th Qtr'!H16)</f>
        <v>-23499.250554324099</v>
      </c>
      <c r="I16" s="76">
        <f t="shared" si="5"/>
        <v>-0.2582136599857604</v>
      </c>
    </row>
    <row r="17" spans="1:9" ht="15.75">
      <c r="A17" s="50" t="str">
        <v>DE: Newark - Clayton Hall</v>
      </c>
      <c r="B17" s="28" t="str">
        <v>DE</v>
      </c>
      <c r="C17" s="16">
        <f>SUM('1st Qtr'!C17, '2nd Qtr'!C17, '3rd Qtr'!C17, '4th Qtr'!C17)</f>
        <v>21726</v>
      </c>
      <c r="D17" s="16">
        <f>SUM('1st Qtr'!D17, '2nd Qtr'!D17, '3rd Qtr'!D17, '4th Qtr'!D17)</f>
        <v>23826.591</v>
      </c>
      <c r="E17" s="16">
        <f t="shared" si="3"/>
        <v>-2100.5910000000003</v>
      </c>
      <c r="F17" s="99">
        <f t="shared" si="4"/>
        <v>-8.8161625807065741E-2</v>
      </c>
      <c r="G17" s="80">
        <f>SUM('1st Qtr'!G17, '2nd Qtr'!G17, '3rd Qtr'!G17, '4th Qtr'!G17)</f>
        <v>20228.258000000002</v>
      </c>
      <c r="H17" s="80">
        <f>SUM(Jan!I17, Feb!H17, Mar!H17)</f>
        <v>0</v>
      </c>
      <c r="I17" s="99">
        <f t="shared" si="5"/>
        <v>0</v>
      </c>
    </row>
    <row r="18" spans="1:9" ht="15.75">
      <c r="A18" s="51" t="str">
        <v>DE: Newark - UOD Field House</v>
      </c>
      <c r="B18" s="26" t="str">
        <v>DE</v>
      </c>
      <c r="C18" s="73">
        <f>SUM('1st Qtr'!C18, '2nd Qtr'!C18, '3rd Qtr'!C18, '4th Qtr'!C18)</f>
        <v>55764</v>
      </c>
      <c r="D18" s="12">
        <f>SUM('1st Qtr'!D18, '2nd Qtr'!D18, '3rd Qtr'!D18, '4th Qtr'!D18)</f>
        <v>0</v>
      </c>
      <c r="E18" s="12">
        <f t="shared" si="3"/>
        <v>55764</v>
      </c>
      <c r="F18" s="74" t="str">
        <f t="shared" si="4"/>
        <v/>
      </c>
      <c r="G18" s="75">
        <f>SUM('1st Qtr'!G18, '2nd Qtr'!G18, '3rd Qtr'!G18, '4th Qtr'!G18)</f>
        <v>49697</v>
      </c>
      <c r="H18" s="75">
        <f>SUM('1st Qtr'!H18, '2nd Qtr'!H18, '3rd Qtr'!H18, '4th Qtr'!H18)</f>
        <v>6067</v>
      </c>
      <c r="I18" s="76">
        <f t="shared" si="5"/>
        <v>0.12207980360987584</v>
      </c>
    </row>
    <row r="19" spans="1:9" ht="15.75">
      <c r="A19" s="50" t="str">
        <v>DE: Newark - UOD 461 Wyoming</v>
      </c>
      <c r="B19" s="28" t="str">
        <v>DE</v>
      </c>
      <c r="C19" s="16">
        <f>SUM('1st Qtr'!C19, '2nd Qtr'!C19, '3rd Qtr'!C19, '4th Qtr'!C19)</f>
        <v>0</v>
      </c>
      <c r="D19" s="16">
        <f>SUM('1st Qtr'!D19, '2nd Qtr'!D19, '3rd Qtr'!D19, '4th Qtr'!D19)</f>
        <v>36216.917000000001</v>
      </c>
      <c r="E19" s="16">
        <f t="shared" si="3"/>
        <v>-36216.917000000001</v>
      </c>
      <c r="F19" s="99">
        <f t="shared" si="4"/>
        <v>-1</v>
      </c>
      <c r="G19" s="80">
        <f>SUM('1st Qtr'!G19, '2nd Qtr'!G19, '3rd Qtr'!G19, '4th Qtr'!G19)</f>
        <v>37582.678</v>
      </c>
      <c r="H19" s="80">
        <f>SUM(Jan!I19, Feb!H19, Mar!H19)</f>
        <v>0</v>
      </c>
      <c r="I19" s="99">
        <f t="shared" si="5"/>
        <v>0</v>
      </c>
    </row>
    <row r="20" spans="1:9" ht="15.75">
      <c r="A20" s="51" t="str">
        <v>HI: Waipahu - 94-246 Leoku St - E.F.G.</v>
      </c>
      <c r="B20" s="26" t="str">
        <v>HI</v>
      </c>
      <c r="C20" s="73">
        <f>SUM('1st Qtr'!C20, '2nd Qtr'!C20, '3rd Qtr'!C20, '4th Qtr'!C20)</f>
        <v>10048</v>
      </c>
      <c r="D20" s="12">
        <f>SUM('1st Qtr'!D20, '2nd Qtr'!D20, '3rd Qtr'!D20, '4th Qtr'!D20)</f>
        <v>13191.17</v>
      </c>
      <c r="E20" s="12">
        <f t="shared" si="3"/>
        <v>-3143.17</v>
      </c>
      <c r="F20" s="74">
        <f t="shared" si="4"/>
        <v>-0.2382783331577108</v>
      </c>
      <c r="G20" s="75">
        <f>SUM('1st Qtr'!G20, '2nd Qtr'!G20, '3rd Qtr'!G20, '4th Qtr'!G20)</f>
        <v>13676.54</v>
      </c>
      <c r="H20" s="75">
        <f>SUM('1st Qtr'!H20, '2nd Qtr'!H20, '3rd Qtr'!H20, '4th Qtr'!H20)</f>
        <v>-3628.5400000000009</v>
      </c>
      <c r="I20" s="76">
        <f t="shared" si="5"/>
        <v>-0.26531125562459518</v>
      </c>
    </row>
    <row r="21" spans="1:9" ht="15.75">
      <c r="A21" s="50" t="str">
        <v>HI: Waipahu - 94-099 Waipahu St - PV</v>
      </c>
      <c r="B21" s="28" t="str">
        <v>HI</v>
      </c>
      <c r="C21" s="16">
        <f>SUM('1st Qtr'!C21, '2nd Qtr'!C21, '3rd Qtr'!C21, '4th Qtr'!C21)</f>
        <v>14836</v>
      </c>
      <c r="D21" s="16">
        <f>SUM('1st Qtr'!D21, '2nd Qtr'!D21, '3rd Qtr'!D21, '4th Qtr'!D21)</f>
        <v>11475.55</v>
      </c>
      <c r="E21" s="16">
        <f t="shared" si="3"/>
        <v>3360.4500000000007</v>
      </c>
      <c r="F21" s="99">
        <f t="shared" si="4"/>
        <v>0.29283563750757052</v>
      </c>
      <c r="G21" s="80">
        <f>SUM('1st Qtr'!G21, '2nd Qtr'!G21, '3rd Qtr'!G21, '4th Qtr'!G21)</f>
        <v>13669.23</v>
      </c>
      <c r="H21" s="80">
        <f>SUM(Jan!I21, Feb!H21, Mar!H21)</f>
        <v>0</v>
      </c>
      <c r="I21" s="99">
        <f t="shared" si="5"/>
        <v>0</v>
      </c>
    </row>
    <row r="22" spans="1:9" ht="15.75">
      <c r="A22" s="51" t="str">
        <v>MD: Presston - Bird-in-Hand</v>
      </c>
      <c r="B22" s="26" t="str">
        <v>MD</v>
      </c>
      <c r="C22" s="73">
        <f>SUM('1st Qtr'!C22, '2nd Qtr'!C22, '3rd Qtr'!C22, '4th Qtr'!C22)</f>
        <v>145779</v>
      </c>
      <c r="D22" s="12">
        <f>SUM('1st Qtr'!D22, '2nd Qtr'!D22, '3rd Qtr'!D22, '4th Qtr'!D22)</f>
        <v>144638.70000000001</v>
      </c>
      <c r="E22" s="12">
        <f t="shared" si="3"/>
        <v>1140.2999999999884</v>
      </c>
      <c r="F22" s="74">
        <f t="shared" si="4"/>
        <v>7.8837821412940535E-3</v>
      </c>
      <c r="G22" s="75">
        <f>SUM('1st Qtr'!G22, '2nd Qtr'!G22, '3rd Qtr'!G22, '4th Qtr'!G22)</f>
        <v>179658.6</v>
      </c>
      <c r="H22" s="75">
        <f>SUM('1st Qtr'!H22, '2nd Qtr'!H22, '3rd Qtr'!H22, '4th Qtr'!H22)</f>
        <v>-33879.600000000006</v>
      </c>
      <c r="I22" s="76">
        <f t="shared" si="5"/>
        <v>-0.18857766897882988</v>
      </c>
    </row>
    <row r="23" spans="1:9" ht="15.75">
      <c r="A23" s="50" t="str">
        <v>MD: Easton - Shortall</v>
      </c>
      <c r="B23" s="28" t="str">
        <v>MD</v>
      </c>
      <c r="C23" s="16">
        <f>SUM('1st Qtr'!C23, '2nd Qtr'!C23, '3rd Qtr'!C23, '4th Qtr'!C23)</f>
        <v>188462</v>
      </c>
      <c r="D23" s="16">
        <f>SUM('1st Qtr'!D23, '2nd Qtr'!D23, '3rd Qtr'!D23, '4th Qtr'!D23)</f>
        <v>193996.5</v>
      </c>
      <c r="E23" s="16">
        <f t="shared" si="3"/>
        <v>-5534.5</v>
      </c>
      <c r="F23" s="99">
        <f t="shared" si="4"/>
        <v>-2.8528865211485774E-2</v>
      </c>
      <c r="G23" s="80">
        <f>SUM('1st Qtr'!G23, '2nd Qtr'!G23, '3rd Qtr'!G23, '4th Qtr'!G23)</f>
        <v>158875.9</v>
      </c>
      <c r="H23" s="80">
        <f>SUM(Jan!I23, Feb!H23, Mar!H23)</f>
        <v>0</v>
      </c>
      <c r="I23" s="99">
        <f t="shared" si="5"/>
        <v>0</v>
      </c>
    </row>
    <row r="24" spans="1:9" ht="15.75">
      <c r="A24" s="51" t="str">
        <v>MA: Boston - Seaport Solar</v>
      </c>
      <c r="B24" s="26" t="str">
        <v>MA</v>
      </c>
      <c r="C24" s="73">
        <f>SUM('1st Qtr'!C24, '2nd Qtr'!C24, '3rd Qtr'!C24, '4th Qtr'!C24)</f>
        <v>85397.5</v>
      </c>
      <c r="D24" s="12">
        <f>SUM('1st Qtr'!D24, '2nd Qtr'!D24, '3rd Qtr'!D24, '4th Qtr'!D24)</f>
        <v>14365.66</v>
      </c>
      <c r="E24" s="12">
        <f t="shared" si="3"/>
        <v>71031.839999999997</v>
      </c>
      <c r="F24" s="74">
        <f t="shared" si="4"/>
        <v>4.94455806416134</v>
      </c>
      <c r="G24" s="75">
        <f>SUM('1st Qtr'!G24, '2nd Qtr'!G24, '3rd Qtr'!G24, '4th Qtr'!G24)</f>
        <v>86009.04</v>
      </c>
      <c r="H24" s="75">
        <f>SUM('1st Qtr'!H24, '2nd Qtr'!H24, '3rd Qtr'!H24, '4th Qtr'!H24)</f>
        <v>-611.5399999999936</v>
      </c>
      <c r="I24" s="76">
        <f t="shared" si="5"/>
        <v>-7.1101828365947774E-3</v>
      </c>
    </row>
    <row r="25" spans="1:9" ht="15.75">
      <c r="A25" s="50" t="str">
        <v>MA: Dedham - Sprague Street</v>
      </c>
      <c r="B25" s="28" t="str">
        <v>MA</v>
      </c>
      <c r="C25" s="16">
        <f>SUM('1st Qtr'!C25, '2nd Qtr'!C25, '3rd Qtr'!C25, '4th Qtr'!C25)</f>
        <v>185825</v>
      </c>
      <c r="D25" s="16">
        <f>SUM('1st Qtr'!D25, '2nd Qtr'!D25, '3rd Qtr'!D25, '4th Qtr'!D25)</f>
        <v>0</v>
      </c>
      <c r="E25" s="16">
        <f t="shared" si="3"/>
        <v>185825</v>
      </c>
      <c r="F25" s="99" t="str">
        <f t="shared" si="4"/>
        <v/>
      </c>
      <c r="G25" s="80">
        <f>SUM('1st Qtr'!G25, '2nd Qtr'!G25, '3rd Qtr'!G25, '4th Qtr'!G25)</f>
        <v>193250.7</v>
      </c>
      <c r="H25" s="80">
        <f>SUM(Jan!I25, Feb!H25, Mar!H25)</f>
        <v>0</v>
      </c>
      <c r="I25" s="99">
        <f t="shared" si="5"/>
        <v>0</v>
      </c>
    </row>
    <row r="26" spans="1:9" ht="15.75">
      <c r="A26" s="51" t="str">
        <v>MA: Boston - Summer Street</v>
      </c>
      <c r="B26" s="26" t="str">
        <v>MA</v>
      </c>
      <c r="C26" s="73">
        <f>SUM('1st Qtr'!C26, '2nd Qtr'!C26, '3rd Qtr'!C26, '4th Qtr'!C26)</f>
        <v>0</v>
      </c>
      <c r="D26" s="12">
        <f>SUM('1st Qtr'!D26, '2nd Qtr'!D26, '3rd Qtr'!D26, '4th Qtr'!D26)</f>
        <v>64247.81</v>
      </c>
      <c r="E26" s="12">
        <f t="shared" si="3"/>
        <v>-64247.81</v>
      </c>
      <c r="F26" s="74">
        <f t="shared" si="4"/>
        <v>-1</v>
      </c>
      <c r="G26" s="75">
        <f>SUM('1st Qtr'!G26, '2nd Qtr'!G26, '3rd Qtr'!G26, '4th Qtr'!G26)</f>
        <v>409224.3</v>
      </c>
      <c r="H26" s="75">
        <f>SUM('1st Qtr'!H26, '2nd Qtr'!H26, '3rd Qtr'!H26, '4th Qtr'!H26)</f>
        <v>-409224.3</v>
      </c>
      <c r="I26" s="76">
        <f t="shared" si="5"/>
        <v>-1</v>
      </c>
    </row>
    <row r="27" spans="1:9" ht="15.75">
      <c r="A27" s="50" t="str">
        <v>MA: Leominster - Spectro Coatings</v>
      </c>
      <c r="B27" s="28" t="str">
        <v>MA</v>
      </c>
      <c r="C27" s="16">
        <f>SUM('1st Qtr'!C27, '2nd Qtr'!C27, '3rd Qtr'!C27, '4th Qtr'!C27)</f>
        <v>38126.625</v>
      </c>
      <c r="D27" s="16">
        <f>SUM('1st Qtr'!D27, '2nd Qtr'!D27, '3rd Qtr'!D27, '4th Qtr'!D27)</f>
        <v>39199.726999999999</v>
      </c>
      <c r="E27" s="16">
        <f t="shared" si="3"/>
        <v>-1073.101999999999</v>
      </c>
      <c r="F27" s="99">
        <f t="shared" si="4"/>
        <v>-2.7375241669412621E-2</v>
      </c>
      <c r="G27" s="80">
        <f>SUM('1st Qtr'!G27, '2nd Qtr'!G27, '3rd Qtr'!G27, '4th Qtr'!G27)</f>
        <v>38210.936999999998</v>
      </c>
      <c r="H27" s="80">
        <f>SUM(Jan!I27, Feb!H27, Mar!H27)</f>
        <v>0</v>
      </c>
      <c r="I27" s="99">
        <f t="shared" si="5"/>
        <v>0</v>
      </c>
    </row>
    <row r="28" spans="1:9" ht="15.75">
      <c r="A28" s="51" t="str">
        <v>MA: Braintree - RCAB</v>
      </c>
      <c r="B28" s="26" t="str">
        <v>MA</v>
      </c>
      <c r="C28" s="73">
        <f>SUM('1st Qtr'!C28, '2nd Qtr'!C28, '3rd Qtr'!C28, '4th Qtr'!C28)</f>
        <v>147058</v>
      </c>
      <c r="D28" s="12">
        <f>SUM('1st Qtr'!D28, '2nd Qtr'!D28, '3rd Qtr'!D28, '4th Qtr'!D28)</f>
        <v>182019.3</v>
      </c>
      <c r="E28" s="12">
        <f t="shared" si="3"/>
        <v>-34961.299999999988</v>
      </c>
      <c r="F28" s="74">
        <f t="shared" si="4"/>
        <v>-0.19207468658543347</v>
      </c>
      <c r="G28" s="75">
        <f>SUM('1st Qtr'!G28, '2nd Qtr'!G28, '3rd Qtr'!G28, '4th Qtr'!G28)</f>
        <v>146482.79999999999</v>
      </c>
      <c r="H28" s="75">
        <f>SUM('1st Qtr'!H28, '2nd Qtr'!H28, '3rd Qtr'!H28, '4th Qtr'!H28)</f>
        <v>575.20000000001164</v>
      </c>
      <c r="I28" s="76">
        <f t="shared" si="5"/>
        <v>3.9267408869847632E-3</v>
      </c>
    </row>
    <row r="29" spans="1:9" ht="15.75">
      <c r="A29" s="50" t="str">
        <v>NH: Rochester - Portland Street</v>
      </c>
      <c r="B29" s="28" t="str">
        <v>NH</v>
      </c>
      <c r="C29" s="16">
        <f>SUM('1st Qtr'!C29, '2nd Qtr'!C29, '3rd Qtr'!C29, '4th Qtr'!C29)</f>
        <v>11535.627</v>
      </c>
      <c r="D29" s="16">
        <f>SUM('1st Qtr'!D29, '2nd Qtr'!D29, '3rd Qtr'!D29, '4th Qtr'!D29)</f>
        <v>8215.9359999999997</v>
      </c>
      <c r="E29" s="16">
        <f t="shared" si="3"/>
        <v>3319.6910000000007</v>
      </c>
      <c r="F29" s="99">
        <f t="shared" si="4"/>
        <v>0.40405511922196091</v>
      </c>
      <c r="G29" s="80">
        <f>SUM('1st Qtr'!G29, '2nd Qtr'!G29, '3rd Qtr'!G29, '4th Qtr'!G29)</f>
        <v>9368.7739999999994</v>
      </c>
      <c r="H29" s="80">
        <f>SUM(Jan!I29, Feb!H29, Mar!H29)</f>
        <v>0</v>
      </c>
      <c r="I29" s="99">
        <f t="shared" si="5"/>
        <v>0</v>
      </c>
    </row>
    <row r="30" spans="1:9" ht="15.75">
      <c r="A30" s="51" t="str">
        <v>NH: Portsmouth - Portsmouth HS</v>
      </c>
      <c r="B30" s="26" t="str">
        <v>NH</v>
      </c>
      <c r="C30" s="73">
        <f>SUM('1st Qtr'!C30, '2nd Qtr'!C30, '3rd Qtr'!C30, '4th Qtr'!C30)</f>
        <v>44411.625</v>
      </c>
      <c r="D30" s="12">
        <f>SUM('1st Qtr'!D30, '2nd Qtr'!D30, '3rd Qtr'!D30, '4th Qtr'!D30)</f>
        <v>0</v>
      </c>
      <c r="E30" s="12">
        <f t="shared" si="3"/>
        <v>44411.625</v>
      </c>
      <c r="F30" s="74" t="str">
        <f t="shared" si="4"/>
        <v/>
      </c>
      <c r="G30" s="75">
        <f>SUM('1st Qtr'!G30, '2nd Qtr'!G30, '3rd Qtr'!G30, '4th Qtr'!G30)</f>
        <v>35518.29</v>
      </c>
      <c r="H30" s="75">
        <f>SUM('1st Qtr'!H30, '2nd Qtr'!H30, '3rd Qtr'!H30, '4th Qtr'!H30)</f>
        <v>8893.3349999999991</v>
      </c>
      <c r="I30" s="76">
        <f t="shared" si="5"/>
        <v>0.25038747642411835</v>
      </c>
    </row>
    <row r="31" spans="1:9" ht="15.75">
      <c r="A31" s="50" t="str">
        <v>NH: Portsmouth - Portsmouth WTP</v>
      </c>
      <c r="B31" s="28" t="str">
        <v>NH</v>
      </c>
      <c r="C31" s="16">
        <f>SUM('1st Qtr'!C31, '2nd Qtr'!C31, '3rd Qtr'!C31, '4th Qtr'!C31)</f>
        <v>0</v>
      </c>
      <c r="D31" s="16">
        <f>SUM('1st Qtr'!D31, '2nd Qtr'!D31, '3rd Qtr'!D31, '4th Qtr'!D31)</f>
        <v>0</v>
      </c>
      <c r="E31" s="16">
        <f t="shared" si="3"/>
        <v>0</v>
      </c>
      <c r="F31" s="99" t="str">
        <f t="shared" si="4"/>
        <v/>
      </c>
      <c r="G31" s="80">
        <f>SUM('1st Qtr'!G31, '2nd Qtr'!G31, '3rd Qtr'!G31, '4th Qtr'!G31)</f>
        <v>0</v>
      </c>
      <c r="H31" s="80">
        <f>SUM(Jan!I31, Feb!H31, Mar!H31)</f>
        <v>0</v>
      </c>
      <c r="I31" s="99" t="str">
        <f t="shared" si="5"/>
        <v/>
      </c>
    </row>
    <row r="32" spans="1:9" ht="15.75">
      <c r="A32" s="51" t="str">
        <v>NH: Rochester - Rochester MS</v>
      </c>
      <c r="B32" s="26" t="str">
        <v>NH</v>
      </c>
      <c r="C32" s="73">
        <f>SUM('1st Qtr'!C32, '2nd Qtr'!C32, '3rd Qtr'!C32, '4th Qtr'!C32)</f>
        <v>38047.617380000003</v>
      </c>
      <c r="D32" s="12">
        <f>SUM('1st Qtr'!D32, '2nd Qtr'!D32, '3rd Qtr'!D32, '4th Qtr'!D32)</f>
        <v>40396.32</v>
      </c>
      <c r="E32" s="12">
        <f t="shared" si="3"/>
        <v>-2348.7026199999964</v>
      </c>
      <c r="F32" s="74">
        <f t="shared" si="4"/>
        <v>-5.8141499522728714E-2</v>
      </c>
      <c r="G32" s="75">
        <f>SUM('1st Qtr'!G32, '2nd Qtr'!G32, '3rd Qtr'!G32, '4th Qtr'!G32)</f>
        <v>30355.119999999999</v>
      </c>
      <c r="H32" s="75">
        <f>SUM('1st Qtr'!H32, '2nd Qtr'!H32, '3rd Qtr'!H32, '4th Qtr'!H32)</f>
        <v>7692.4973800000043</v>
      </c>
      <c r="I32" s="76">
        <f t="shared" si="5"/>
        <v>0.25341680019713331</v>
      </c>
    </row>
    <row r="33" spans="1:9" ht="15.75">
      <c r="A33" s="50" t="str">
        <v>NH Rochester - Spaulding HS</v>
      </c>
      <c r="B33" s="28" t="str">
        <v>NH</v>
      </c>
      <c r="C33" s="16">
        <f>SUM('1st Qtr'!C33, '2nd Qtr'!C33, '3rd Qtr'!C33, '4th Qtr'!C33)</f>
        <v>19594.5</v>
      </c>
      <c r="D33" s="16">
        <f>SUM('1st Qtr'!D33, '2nd Qtr'!D33, '3rd Qtr'!D33, '4th Qtr'!D33)</f>
        <v>16446</v>
      </c>
      <c r="E33" s="16">
        <f t="shared" si="3"/>
        <v>3148.5</v>
      </c>
      <c r="F33" s="99">
        <f t="shared" si="4"/>
        <v>0.19144472820138636</v>
      </c>
      <c r="G33" s="80">
        <f>SUM('1st Qtr'!G33, '2nd Qtr'!G33, '3rd Qtr'!G33, '4th Qtr'!G33)</f>
        <v>15033.3</v>
      </c>
      <c r="H33" s="80">
        <f>SUM(Jan!I33, Feb!H33, Mar!H33)</f>
        <v>0</v>
      </c>
      <c r="I33" s="99">
        <f t="shared" si="5"/>
        <v>0</v>
      </c>
    </row>
    <row r="34" spans="1:9" ht="15.75">
      <c r="A34" s="51" t="str">
        <v>NH: Rochester - McClelland ES</v>
      </c>
      <c r="B34" s="26" t="str">
        <v>NH</v>
      </c>
      <c r="C34" s="73">
        <f>SUM('1st Qtr'!C34, '2nd Qtr'!C34, '3rd Qtr'!C34, '4th Qtr'!C34)</f>
        <v>13246.875</v>
      </c>
      <c r="D34" s="12">
        <f>SUM('1st Qtr'!D34, '2nd Qtr'!D34, '3rd Qtr'!D34, '4th Qtr'!D34)</f>
        <v>13989</v>
      </c>
      <c r="E34" s="12">
        <f t="shared" si="3"/>
        <v>-742.125</v>
      </c>
      <c r="F34" s="74">
        <f t="shared" si="4"/>
        <v>-5.3050611194509975E-2</v>
      </c>
      <c r="G34" s="75">
        <f>SUM('1st Qtr'!G34, '2nd Qtr'!G34, '3rd Qtr'!G34, '4th Qtr'!G34)</f>
        <v>9803.6689999999999</v>
      </c>
      <c r="H34" s="75">
        <f>SUM('1st Qtr'!H34, '2nd Qtr'!H34, '3rd Qtr'!H34, '4th Qtr'!H34)</f>
        <v>3443.2060000000001</v>
      </c>
      <c r="I34" s="76">
        <f t="shared" si="5"/>
        <v>0.35121606002813849</v>
      </c>
    </row>
    <row r="35" spans="1:9" ht="15.75">
      <c r="A35" s="50" t="str">
        <v>NH: Rochester - Brock St Vocational</v>
      </c>
      <c r="B35" s="28" t="str">
        <v>NH</v>
      </c>
      <c r="C35" s="16">
        <f>SUM('1st Qtr'!C35, '2nd Qtr'!C35, '3rd Qtr'!C35, '4th Qtr'!C35)</f>
        <v>17978.129069999999</v>
      </c>
      <c r="D35" s="16">
        <f>SUM('1st Qtr'!D35, '2nd Qtr'!D35, '3rd Qtr'!D35, '4th Qtr'!D35)</f>
        <v>17518.419999999998</v>
      </c>
      <c r="E35" s="16">
        <f t="shared" si="3"/>
        <v>459.70907000000079</v>
      </c>
      <c r="F35" s="99">
        <f t="shared" si="4"/>
        <v>2.6241468694094605E-2</v>
      </c>
      <c r="G35" s="80">
        <f>SUM('1st Qtr'!G35, '2nd Qtr'!G35, '3rd Qtr'!G35, '4th Qtr'!G35)</f>
        <v>13220.3</v>
      </c>
      <c r="H35" s="80">
        <f>SUM(Jan!I35, Feb!H35, Mar!H35)</f>
        <v>0</v>
      </c>
      <c r="I35" s="99">
        <f t="shared" si="5"/>
        <v>0</v>
      </c>
    </row>
    <row r="36" spans="1:9" ht="15.75">
      <c r="A36" s="51" t="str">
        <v>OH: Cleveland - CV Kinsman</v>
      </c>
      <c r="B36" s="26" t="str">
        <v>OH</v>
      </c>
      <c r="C36" s="73">
        <f>SUM('1st Qtr'!C36, '2nd Qtr'!C36, '3rd Qtr'!C36, '4th Qtr'!C36)</f>
        <v>714.0703125</v>
      </c>
      <c r="D36" s="12">
        <f>SUM('1st Qtr'!D36, '2nd Qtr'!D36, '3rd Qtr'!D36, '4th Qtr'!D36)</f>
        <v>138037.1</v>
      </c>
      <c r="E36" s="12">
        <f t="shared" si="3"/>
        <v>-137323.02968750001</v>
      </c>
      <c r="F36" s="74">
        <f t="shared" si="4"/>
        <v>-0.99482696816652916</v>
      </c>
      <c r="G36" s="75">
        <f>SUM('1st Qtr'!G36, '2nd Qtr'!G36, '3rd Qtr'!G36, '4th Qtr'!G36)</f>
        <v>133750</v>
      </c>
      <c r="H36" s="75">
        <f>SUM('1st Qtr'!H36, '2nd Qtr'!H36, '3rd Qtr'!H36, '4th Qtr'!H36)</f>
        <v>-133035.9296875</v>
      </c>
      <c r="I36" s="76">
        <f t="shared" si="5"/>
        <v>-0.99466115654205611</v>
      </c>
    </row>
    <row r="37" spans="1:9" ht="15.75">
      <c r="A37" s="50" t="str">
        <v>OH: Cleveland - CV Wooster</v>
      </c>
      <c r="B37" s="28" t="str">
        <v>OH</v>
      </c>
      <c r="C37" s="16">
        <f>SUM('1st Qtr'!C37, '2nd Qtr'!C37, '3rd Qtr'!C37, '4th Qtr'!C37)</f>
        <v>21528</v>
      </c>
      <c r="D37" s="16">
        <f>SUM('1st Qtr'!D37, '2nd Qtr'!D37, '3rd Qtr'!D37, '4th Qtr'!D37)</f>
        <v>0</v>
      </c>
      <c r="E37" s="16">
        <f t="shared" si="3"/>
        <v>21528</v>
      </c>
      <c r="F37" s="99" t="str">
        <f t="shared" si="4"/>
        <v/>
      </c>
      <c r="G37" s="80">
        <f>SUM('1st Qtr'!G37, '2nd Qtr'!G37, '3rd Qtr'!G37, '4th Qtr'!G37)</f>
        <v>32092</v>
      </c>
      <c r="H37" s="80">
        <f>SUM(Jan!I37, Feb!H37, Mar!H37)</f>
        <v>0</v>
      </c>
      <c r="I37" s="99">
        <f t="shared" si="5"/>
        <v>0</v>
      </c>
    </row>
    <row r="38" spans="1:9" ht="15.75">
      <c r="A38" s="51" t="str">
        <v>PR: Aguadilla - Coca Cola</v>
      </c>
      <c r="B38" s="26" t="str">
        <v>PR</v>
      </c>
      <c r="C38" s="73">
        <f>SUM('1st Qtr'!C38, '2nd Qtr'!C38, '3rd Qtr'!C38, '4th Qtr'!C38)</f>
        <v>15714</v>
      </c>
      <c r="D38" s="12">
        <f>SUM('1st Qtr'!D38, '2nd Qtr'!D38, '3rd Qtr'!D38, '4th Qtr'!D38)</f>
        <v>20085.89</v>
      </c>
      <c r="E38" s="12">
        <f t="shared" si="3"/>
        <v>-4371.8899999999994</v>
      </c>
      <c r="F38" s="74">
        <f t="shared" si="4"/>
        <v>-0.21765976015999289</v>
      </c>
      <c r="G38" s="75">
        <f>SUM('1st Qtr'!G38, '2nd Qtr'!G38, '3rd Qtr'!G38, '4th Qtr'!G38)</f>
        <v>23213</v>
      </c>
      <c r="H38" s="75">
        <f>SUM('1st Qtr'!H38, '2nd Qtr'!H38, '3rd Qtr'!H38, '4th Qtr'!H38)</f>
        <v>-7499</v>
      </c>
      <c r="I38" s="76">
        <f t="shared" si="5"/>
        <v>-0.32305173825011846</v>
      </c>
    </row>
    <row r="39" spans="1:9" ht="15.75">
      <c r="A39" s="50" t="str">
        <v>PR: Bayamon - Coca Cola</v>
      </c>
      <c r="B39" s="28" t="str">
        <v>PR</v>
      </c>
      <c r="C39" s="16">
        <f>SUM('1st Qtr'!C39, '2nd Qtr'!C39, '3rd Qtr'!C39, '4th Qtr'!C39)</f>
        <v>53577</v>
      </c>
      <c r="D39" s="16">
        <f>SUM('1st Qtr'!D39, '2nd Qtr'!D39, '3rd Qtr'!D39, '4th Qtr'!D39)</f>
        <v>82116.61</v>
      </c>
      <c r="E39" s="16">
        <f t="shared" si="3"/>
        <v>-28539.61</v>
      </c>
      <c r="F39" s="99">
        <f t="shared" si="4"/>
        <v>-0.34754978316810692</v>
      </c>
      <c r="G39" s="80">
        <f>SUM('1st Qtr'!G39, '2nd Qtr'!G39, '3rd Qtr'!G39, '4th Qtr'!G39)</f>
        <v>86974</v>
      </c>
      <c r="H39" s="80">
        <f>SUM(Jan!I39, Feb!H39, Mar!H39)</f>
        <v>0</v>
      </c>
      <c r="I39" s="99">
        <f t="shared" si="5"/>
        <v>0</v>
      </c>
    </row>
    <row r="40" spans="1:9" ht="15.75">
      <c r="A40" s="51" t="str">
        <v>PR: Carolina - St. Francis</v>
      </c>
      <c r="B40" s="26" t="str">
        <v>PR</v>
      </c>
      <c r="C40" s="73">
        <f>SUM('1st Qtr'!C40, '2nd Qtr'!C40, '3rd Qtr'!C40, '4th Qtr'!C40)</f>
        <v>18667</v>
      </c>
      <c r="D40" s="12">
        <f>SUM('1st Qtr'!D40, '2nd Qtr'!D40, '3rd Qtr'!D40, '4th Qtr'!D40)</f>
        <v>64278.93</v>
      </c>
      <c r="E40" s="12">
        <f t="shared" si="3"/>
        <v>-45611.93</v>
      </c>
      <c r="F40" s="74">
        <f t="shared" si="4"/>
        <v>-0.70959379690981161</v>
      </c>
      <c r="G40" s="75">
        <f>SUM('1st Qtr'!G40, '2nd Qtr'!G40, '3rd Qtr'!G40, '4th Qtr'!G40)</f>
        <v>44155</v>
      </c>
      <c r="H40" s="75">
        <f>SUM('1st Qtr'!H40, '2nd Qtr'!H40, '3rd Qtr'!H40, '4th Qtr'!H40)</f>
        <v>-25488</v>
      </c>
      <c r="I40" s="76">
        <f t="shared" si="5"/>
        <v>-0.57723927075076431</v>
      </c>
    </row>
    <row r="41" spans="1:9" ht="15.75">
      <c r="A41" s="50" t="str">
        <v>DC: Washington - Essex Condominium</v>
      </c>
      <c r="B41" s="28" t="str">
        <v>DC</v>
      </c>
      <c r="C41" s="16">
        <f>SUM('1st Qtr'!C41, '2nd Qtr'!C41, '3rd Qtr'!C41, '4th Qtr'!C41)</f>
        <v>4372</v>
      </c>
      <c r="D41" s="16">
        <f>SUM('1st Qtr'!D41, '2nd Qtr'!D41, '3rd Qtr'!D41, '4th Qtr'!D41)</f>
        <v>5738.8450000000003</v>
      </c>
      <c r="E41" s="16">
        <f t="shared" si="3"/>
        <v>-1366.8450000000003</v>
      </c>
      <c r="F41" s="99">
        <f t="shared" si="4"/>
        <v>-0.23817423192297407</v>
      </c>
      <c r="G41" s="80">
        <f>SUM('1st Qtr'!G41, '2nd Qtr'!G41, '3rd Qtr'!G41, '4th Qtr'!G41)</f>
        <v>5313.9589999999998</v>
      </c>
      <c r="H41" s="80">
        <f>SUM(Jan!I41, Feb!H41, Mar!H41)</f>
        <v>0</v>
      </c>
      <c r="I41" s="99">
        <f t="shared" si="5"/>
        <v>0</v>
      </c>
    </row>
    <row r="42" spans="1:9" ht="15.75">
      <c r="A42" s="51" t="str">
        <v>DC: Chevy Chase -Sinai</v>
      </c>
      <c r="B42" s="26" t="str">
        <v>DC</v>
      </c>
      <c r="C42" s="73">
        <f>SUM('1st Qtr'!C42, '2nd Qtr'!C42, '3rd Qtr'!C42, '4th Qtr'!C42)</f>
        <v>10028.8199999999</v>
      </c>
      <c r="D42" s="12">
        <f>SUM('1st Qtr'!D42, '2nd Qtr'!D42, '3rd Qtr'!D42, '4th Qtr'!D42)</f>
        <v>14969.03</v>
      </c>
      <c r="E42" s="12">
        <f t="shared" si="3"/>
        <v>-4940.210000000101</v>
      </c>
      <c r="F42" s="74">
        <f t="shared" si="4"/>
        <v>-0.33002873265669858</v>
      </c>
      <c r="G42" s="75">
        <f>SUM('1st Qtr'!G42, '2nd Qtr'!G42, '3rd Qtr'!G42, '4th Qtr'!G42)</f>
        <v>12371.16</v>
      </c>
      <c r="H42" s="75">
        <f>SUM('1st Qtr'!H42, '2nd Qtr'!H42, '3rd Qtr'!H42, '4th Qtr'!H42)</f>
        <v>-2342.3400000001002</v>
      </c>
      <c r="I42" s="76">
        <f t="shared" si="5"/>
        <v>-0.18933875238862807</v>
      </c>
    </row>
    <row r="43" spans="1:9" ht="15.75">
      <c r="A43" s="50" t="str">
        <v>DC: Washington - Weinberg 1</v>
      </c>
      <c r="B43" s="28" t="str">
        <v>DC</v>
      </c>
      <c r="C43" s="16">
        <f>SUM('1st Qtr'!C43, '2nd Qtr'!C43, '3rd Qtr'!C43, '4th Qtr'!C43)</f>
        <v>1770</v>
      </c>
      <c r="D43" s="16">
        <f>SUM('1st Qtr'!D43, '2nd Qtr'!D43, '3rd Qtr'!D43, '4th Qtr'!D43)</f>
        <v>1824.1030000000001</v>
      </c>
      <c r="E43" s="16">
        <f t="shared" si="3"/>
        <v>-54.103000000000065</v>
      </c>
      <c r="F43" s="99">
        <f t="shared" si="4"/>
        <v>-2.9660057573503287E-2</v>
      </c>
      <c r="G43" s="80">
        <f>SUM('1st Qtr'!G43, '2nd Qtr'!G43, '3rd Qtr'!G43, '4th Qtr'!G43)</f>
        <v>1843.51</v>
      </c>
      <c r="H43" s="80">
        <f>SUM(Jan!I43, Feb!H43, Mar!H43)</f>
        <v>0</v>
      </c>
      <c r="I43" s="99">
        <f t="shared" si="5"/>
        <v>0</v>
      </c>
    </row>
    <row r="44" spans="1:9" ht="15.75">
      <c r="A44" s="51" t="str">
        <v>DC: Washington - Weinberg 2</v>
      </c>
      <c r="B44" s="26" t="str">
        <v>DC</v>
      </c>
      <c r="C44" s="73">
        <f>SUM('1st Qtr'!C44, '2nd Qtr'!C44, '3rd Qtr'!C44, '4th Qtr'!C44)</f>
        <v>1604</v>
      </c>
      <c r="D44" s="12">
        <f>SUM('1st Qtr'!D44, '2nd Qtr'!D44, '3rd Qtr'!D44, '4th Qtr'!D44)</f>
        <v>1599.9059999999999</v>
      </c>
      <c r="E44" s="12">
        <f t="shared" si="3"/>
        <v>4.0940000000000509</v>
      </c>
      <c r="F44" s="74">
        <f t="shared" si="4"/>
        <v>2.5589003353947365E-3</v>
      </c>
      <c r="G44" s="75">
        <f>SUM('1st Qtr'!G44, '2nd Qtr'!G44, '3rd Qtr'!G44, '4th Qtr'!G44)</f>
        <v>1860.7560000000001</v>
      </c>
      <c r="H44" s="75">
        <f>SUM('1st Qtr'!H44, '2nd Qtr'!H44, '3rd Qtr'!H44, '4th Qtr'!H44)</f>
        <v>-256.75600000000009</v>
      </c>
      <c r="I44" s="76">
        <f t="shared" si="5"/>
        <v>-0.13798477608025989</v>
      </c>
    </row>
    <row r="45" spans="1:9" ht="15.75">
      <c r="A45" s="50" t="str">
        <v>DC: Washington - Weinberg 3</v>
      </c>
      <c r="B45" s="28" t="str">
        <v>DC</v>
      </c>
      <c r="C45" s="16">
        <f>SUM('1st Qtr'!C45, '2nd Qtr'!C45, '3rd Qtr'!C45, '4th Qtr'!C45)</f>
        <v>1948</v>
      </c>
      <c r="D45" s="16">
        <f>SUM('1st Qtr'!D45, '2nd Qtr'!D45, '3rd Qtr'!D45, '4th Qtr'!D45)</f>
        <v>1836.37</v>
      </c>
      <c r="E45" s="16">
        <f t="shared" si="3"/>
        <v>111.63000000000011</v>
      </c>
      <c r="F45" s="99">
        <f t="shared" si="4"/>
        <v>6.0788403208503795E-2</v>
      </c>
      <c r="G45" s="80">
        <f>SUM('1st Qtr'!G45, '2nd Qtr'!G45, '3rd Qtr'!G45, '4th Qtr'!G45)</f>
        <v>1942</v>
      </c>
      <c r="H45" s="80">
        <f>SUM(Jan!I45, Feb!H45, Mar!H45)</f>
        <v>0</v>
      </c>
      <c r="I45" s="99">
        <f t="shared" si="5"/>
        <v>0</v>
      </c>
    </row>
    <row r="46" spans="1:9" ht="13.15">
      <c r="A46" s="19"/>
      <c r="B46" s="19"/>
      <c r="C46" s="19"/>
      <c r="D46" s="19"/>
      <c r="E46" s="19"/>
      <c r="F46" s="20"/>
      <c r="G46" s="19"/>
      <c r="H46" s="19"/>
      <c r="I46" s="20"/>
    </row>
    <row r="47" spans="1:9" ht="13.15">
      <c r="A47" s="19"/>
      <c r="B47" s="19"/>
      <c r="C47" s="19"/>
      <c r="D47" s="19"/>
      <c r="E47" s="19"/>
      <c r="F47" s="20"/>
      <c r="G47" s="19"/>
      <c r="H47" s="19"/>
      <c r="I47" s="20"/>
    </row>
    <row r="48" spans="1:9" ht="13.15">
      <c r="A48" s="19"/>
      <c r="B48" s="19"/>
      <c r="C48" s="19"/>
      <c r="D48" s="19"/>
      <c r="E48" s="19"/>
      <c r="F48" s="20"/>
      <c r="G48" s="19"/>
      <c r="H48" s="19"/>
      <c r="I48" s="20"/>
    </row>
    <row r="49" spans="1:9" ht="13.15">
      <c r="A49" s="19"/>
      <c r="B49" s="19"/>
      <c r="C49" s="19"/>
      <c r="D49" s="19"/>
      <c r="E49" s="19"/>
      <c r="F49" s="20"/>
      <c r="G49" s="19"/>
      <c r="H49" s="19"/>
      <c r="I49" s="20"/>
    </row>
    <row r="50" spans="1:9" ht="13.15">
      <c r="A50" s="19"/>
      <c r="B50" s="19"/>
      <c r="C50" s="19"/>
      <c r="D50" s="19"/>
      <c r="E50" s="19"/>
      <c r="F50" s="20"/>
      <c r="G50" s="19"/>
      <c r="H50" s="19"/>
      <c r="I50" s="20"/>
    </row>
    <row r="51" spans="1:9" ht="13.15">
      <c r="A51" s="19"/>
      <c r="B51" s="19"/>
      <c r="C51" s="19"/>
      <c r="D51" s="19"/>
      <c r="E51" s="19"/>
      <c r="F51" s="20"/>
      <c r="G51" s="19"/>
      <c r="H51" s="19"/>
      <c r="I51" s="20"/>
    </row>
    <row r="52" spans="1:9" ht="13.15">
      <c r="A52" s="19"/>
      <c r="B52" s="19"/>
      <c r="C52" s="19"/>
      <c r="D52" s="19"/>
      <c r="E52" s="19"/>
      <c r="F52" s="20"/>
      <c r="G52" s="19"/>
      <c r="H52" s="19"/>
      <c r="I52" s="20"/>
    </row>
    <row r="53" spans="1:9" ht="13.15">
      <c r="A53" s="19"/>
      <c r="B53" s="19"/>
      <c r="C53" s="19"/>
      <c r="D53" s="19"/>
      <c r="E53" s="19"/>
      <c r="F53" s="20"/>
      <c r="G53" s="19"/>
      <c r="H53" s="19"/>
      <c r="I53" s="20"/>
    </row>
    <row r="54" spans="1:9" ht="13.15">
      <c r="A54" s="19"/>
      <c r="B54" s="19"/>
      <c r="C54" s="19"/>
      <c r="D54" s="19"/>
      <c r="E54" s="19"/>
      <c r="F54" s="20"/>
      <c r="G54" s="19"/>
      <c r="H54" s="19"/>
      <c r="I54" s="20"/>
    </row>
    <row r="55" spans="1:9" ht="13.15">
      <c r="A55" s="19"/>
      <c r="B55" s="19"/>
      <c r="C55" s="19"/>
      <c r="D55" s="19"/>
      <c r="E55" s="19"/>
      <c r="F55" s="20"/>
      <c r="G55" s="19"/>
      <c r="H55" s="19"/>
      <c r="I55" s="20"/>
    </row>
    <row r="56" spans="1:9" ht="13.15">
      <c r="A56" s="19"/>
      <c r="B56" s="19"/>
      <c r="C56" s="19"/>
      <c r="D56" s="19"/>
      <c r="E56" s="19"/>
      <c r="F56" s="20"/>
      <c r="G56" s="19"/>
      <c r="H56" s="19"/>
      <c r="I56" s="20"/>
    </row>
    <row r="57" spans="1:9" ht="13.15">
      <c r="A57" s="19"/>
      <c r="B57" s="19"/>
      <c r="C57" s="19"/>
      <c r="D57" s="19"/>
      <c r="E57" s="19"/>
      <c r="F57" s="20"/>
      <c r="G57" s="19"/>
      <c r="H57" s="19"/>
      <c r="I57" s="20"/>
    </row>
    <row r="58" spans="1:9" ht="13.15">
      <c r="A58" s="19"/>
      <c r="B58" s="19"/>
      <c r="C58" s="19"/>
      <c r="D58" s="19"/>
      <c r="E58" s="19"/>
      <c r="F58" s="20"/>
      <c r="G58" s="19"/>
      <c r="H58" s="19"/>
      <c r="I58" s="20"/>
    </row>
    <row r="59" spans="1:9" ht="13.15">
      <c r="A59" s="19"/>
      <c r="B59" s="19"/>
      <c r="C59" s="19"/>
      <c r="D59" s="19"/>
      <c r="E59" s="19"/>
      <c r="F59" s="20"/>
      <c r="G59" s="19"/>
      <c r="H59" s="19"/>
      <c r="I59" s="20"/>
    </row>
    <row r="60" spans="1:9" ht="13.15">
      <c r="A60" s="19"/>
      <c r="B60" s="19"/>
      <c r="C60" s="19"/>
      <c r="D60" s="19"/>
      <c r="E60" s="19"/>
      <c r="F60" s="20"/>
      <c r="G60" s="19"/>
      <c r="H60" s="19"/>
      <c r="I60" s="20"/>
    </row>
    <row r="61" spans="1:9" ht="13.15">
      <c r="A61" s="19"/>
      <c r="B61" s="19"/>
      <c r="C61" s="19"/>
      <c r="D61" s="19"/>
      <c r="E61" s="19"/>
      <c r="F61" s="20"/>
      <c r="G61" s="19"/>
      <c r="H61" s="19"/>
      <c r="I61" s="20"/>
    </row>
    <row r="62" spans="1:9" ht="13.15">
      <c r="A62" s="19"/>
      <c r="B62" s="19"/>
      <c r="C62" s="19"/>
      <c r="D62" s="19"/>
      <c r="E62" s="19"/>
      <c r="F62" s="20"/>
      <c r="G62" s="19"/>
      <c r="H62" s="19"/>
      <c r="I62" s="20"/>
    </row>
    <row r="63" spans="1:9" ht="13.15">
      <c r="A63" s="19"/>
      <c r="B63" s="19"/>
      <c r="C63" s="19"/>
      <c r="D63" s="19"/>
      <c r="E63" s="19"/>
      <c r="F63" s="20"/>
      <c r="G63" s="19"/>
      <c r="H63" s="19"/>
      <c r="I63" s="20"/>
    </row>
    <row r="64" spans="1:9" ht="13.15">
      <c r="A64" s="19"/>
      <c r="B64" s="19"/>
      <c r="C64" s="19"/>
      <c r="D64" s="19"/>
      <c r="E64" s="19"/>
      <c r="F64" s="20"/>
      <c r="G64" s="19"/>
      <c r="H64" s="19"/>
      <c r="I64" s="20"/>
    </row>
    <row r="65" spans="1:9" ht="13.15">
      <c r="A65" s="19"/>
      <c r="B65" s="19"/>
      <c r="C65" s="19"/>
      <c r="D65" s="19"/>
      <c r="E65" s="19"/>
      <c r="F65" s="20"/>
      <c r="G65" s="19"/>
      <c r="H65" s="19"/>
      <c r="I65" s="20"/>
    </row>
    <row r="66" spans="1:9" ht="13.15">
      <c r="A66" s="19"/>
      <c r="B66" s="19"/>
      <c r="C66" s="19"/>
      <c r="D66" s="19"/>
      <c r="E66" s="19"/>
      <c r="F66" s="20"/>
      <c r="G66" s="19"/>
      <c r="H66" s="19"/>
      <c r="I66" s="20"/>
    </row>
    <row r="67" spans="1:9" ht="13.15">
      <c r="A67" s="19"/>
      <c r="B67" s="19"/>
      <c r="C67" s="19"/>
      <c r="D67" s="19"/>
      <c r="E67" s="19"/>
      <c r="F67" s="20"/>
      <c r="G67" s="19"/>
      <c r="H67" s="19"/>
      <c r="I67" s="20"/>
    </row>
    <row r="68" spans="1:9" ht="13.15">
      <c r="A68" s="19"/>
      <c r="B68" s="19"/>
      <c r="C68" s="19"/>
      <c r="D68" s="19"/>
      <c r="E68" s="19"/>
      <c r="F68" s="20"/>
      <c r="G68" s="19"/>
      <c r="H68" s="19"/>
      <c r="I68" s="20"/>
    </row>
    <row r="69" spans="1:9" ht="13.15">
      <c r="A69" s="19"/>
      <c r="B69" s="19"/>
      <c r="C69" s="19"/>
      <c r="D69" s="19"/>
      <c r="E69" s="19"/>
      <c r="F69" s="20"/>
      <c r="G69" s="19"/>
      <c r="H69" s="19"/>
      <c r="I69" s="20"/>
    </row>
    <row r="70" spans="1:9" ht="13.15">
      <c r="A70" s="19"/>
      <c r="B70" s="19"/>
      <c r="C70" s="19"/>
      <c r="D70" s="19"/>
      <c r="E70" s="19"/>
      <c r="F70" s="20"/>
      <c r="G70" s="19"/>
      <c r="H70" s="19"/>
      <c r="I70" s="20"/>
    </row>
    <row r="71" spans="1:9" ht="13.15">
      <c r="A71" s="19"/>
      <c r="B71" s="19"/>
      <c r="C71" s="19"/>
      <c r="D71" s="19"/>
      <c r="E71" s="19"/>
      <c r="F71" s="20"/>
      <c r="G71" s="19"/>
      <c r="H71" s="19"/>
      <c r="I71" s="20"/>
    </row>
    <row r="72" spans="1:9" ht="13.15">
      <c r="A72" s="19"/>
      <c r="B72" s="19"/>
      <c r="C72" s="19"/>
      <c r="D72" s="19"/>
      <c r="E72" s="19"/>
      <c r="F72" s="20"/>
      <c r="G72" s="19"/>
      <c r="H72" s="19"/>
      <c r="I72" s="20"/>
    </row>
    <row r="73" spans="1:9" ht="13.15">
      <c r="A73" s="19"/>
      <c r="B73" s="19"/>
      <c r="C73" s="19"/>
      <c r="D73" s="19"/>
      <c r="E73" s="19"/>
      <c r="F73" s="20"/>
      <c r="G73" s="19"/>
      <c r="H73" s="19"/>
      <c r="I73" s="20"/>
    </row>
    <row r="74" spans="1:9" ht="13.15">
      <c r="A74" s="19"/>
      <c r="B74" s="19"/>
      <c r="C74" s="19"/>
      <c r="D74" s="19"/>
      <c r="E74" s="19"/>
      <c r="F74" s="20"/>
      <c r="G74" s="19"/>
      <c r="H74" s="19"/>
      <c r="I74" s="20"/>
    </row>
    <row r="75" spans="1:9" ht="13.15">
      <c r="A75" s="19"/>
      <c r="B75" s="19"/>
      <c r="C75" s="19"/>
      <c r="D75" s="19"/>
      <c r="E75" s="19"/>
      <c r="F75" s="20"/>
      <c r="G75" s="19"/>
      <c r="H75" s="19"/>
      <c r="I75" s="20"/>
    </row>
    <row r="76" spans="1:9" ht="13.15">
      <c r="A76" s="19"/>
      <c r="B76" s="19"/>
      <c r="C76" s="19"/>
      <c r="D76" s="19"/>
      <c r="E76" s="19"/>
      <c r="F76" s="20"/>
      <c r="G76" s="19"/>
      <c r="H76" s="19"/>
      <c r="I76" s="20"/>
    </row>
    <row r="77" spans="1:9" ht="13.15">
      <c r="A77" s="19"/>
      <c r="B77" s="19"/>
      <c r="C77" s="19"/>
      <c r="D77" s="19"/>
      <c r="E77" s="19"/>
      <c r="F77" s="20"/>
      <c r="G77" s="19"/>
      <c r="H77" s="19"/>
      <c r="I77" s="20"/>
    </row>
    <row r="78" spans="1:9" ht="13.15">
      <c r="A78" s="19"/>
      <c r="B78" s="19"/>
      <c r="C78" s="19"/>
      <c r="D78" s="19"/>
      <c r="E78" s="19"/>
      <c r="F78" s="20"/>
      <c r="G78" s="19"/>
      <c r="H78" s="19"/>
      <c r="I78" s="20"/>
    </row>
    <row r="79" spans="1:9" ht="13.15">
      <c r="A79" s="19"/>
      <c r="B79" s="19"/>
      <c r="C79" s="19"/>
      <c r="D79" s="19"/>
      <c r="E79" s="19"/>
      <c r="F79" s="20"/>
      <c r="G79" s="19"/>
      <c r="H79" s="19"/>
      <c r="I79" s="20"/>
    </row>
    <row r="80" spans="1:9" ht="13.15">
      <c r="A80" s="19"/>
      <c r="B80" s="19"/>
      <c r="C80" s="19"/>
      <c r="D80" s="19"/>
      <c r="E80" s="19"/>
      <c r="F80" s="20"/>
      <c r="G80" s="19"/>
      <c r="H80" s="19"/>
      <c r="I80" s="20"/>
    </row>
    <row r="81" spans="1:9" ht="13.15">
      <c r="A81" s="19"/>
      <c r="B81" s="19"/>
      <c r="C81" s="19"/>
      <c r="D81" s="19"/>
      <c r="E81" s="19"/>
      <c r="F81" s="20"/>
      <c r="G81" s="19"/>
      <c r="H81" s="19"/>
      <c r="I81" s="20"/>
    </row>
    <row r="82" spans="1:9" ht="13.15">
      <c r="A82" s="19"/>
      <c r="B82" s="19"/>
      <c r="C82" s="19"/>
      <c r="D82" s="19"/>
      <c r="E82" s="19"/>
      <c r="F82" s="20"/>
      <c r="G82" s="19"/>
      <c r="H82" s="19"/>
      <c r="I82" s="20"/>
    </row>
    <row r="83" spans="1:9" ht="13.15">
      <c r="A83" s="19"/>
      <c r="B83" s="19"/>
      <c r="C83" s="19"/>
      <c r="D83" s="19"/>
      <c r="E83" s="19"/>
      <c r="F83" s="20"/>
      <c r="G83" s="19"/>
      <c r="H83" s="19"/>
      <c r="I83" s="20"/>
    </row>
    <row r="84" spans="1:9" ht="13.15">
      <c r="A84" s="19"/>
      <c r="B84" s="19"/>
      <c r="C84" s="19"/>
      <c r="D84" s="19"/>
      <c r="E84" s="19"/>
      <c r="F84" s="20"/>
      <c r="G84" s="19"/>
      <c r="H84" s="19"/>
      <c r="I84" s="20"/>
    </row>
    <row r="85" spans="1:9" ht="13.15">
      <c r="A85" s="19"/>
      <c r="B85" s="19"/>
      <c r="C85" s="19"/>
      <c r="D85" s="19"/>
      <c r="E85" s="19"/>
      <c r="F85" s="20"/>
      <c r="G85" s="19"/>
      <c r="H85" s="19"/>
      <c r="I85" s="20"/>
    </row>
    <row r="86" spans="1:9" ht="13.15">
      <c r="A86" s="19"/>
      <c r="B86" s="19"/>
      <c r="C86" s="19"/>
      <c r="D86" s="19"/>
      <c r="E86" s="19"/>
      <c r="F86" s="20"/>
      <c r="G86" s="19"/>
      <c r="H86" s="19"/>
      <c r="I86" s="20"/>
    </row>
    <row r="87" spans="1:9" ht="13.15">
      <c r="A87" s="19"/>
      <c r="B87" s="19"/>
      <c r="C87" s="19"/>
      <c r="D87" s="19"/>
      <c r="E87" s="19"/>
      <c r="F87" s="20"/>
      <c r="G87" s="19"/>
      <c r="H87" s="19"/>
      <c r="I87" s="20"/>
    </row>
    <row r="88" spans="1:9" ht="13.15">
      <c r="A88" s="19"/>
      <c r="B88" s="19"/>
      <c r="C88" s="19"/>
      <c r="D88" s="19"/>
      <c r="E88" s="19"/>
      <c r="F88" s="20"/>
      <c r="G88" s="19"/>
      <c r="H88" s="19"/>
      <c r="I88" s="20"/>
    </row>
    <row r="89" spans="1:9" ht="13.15">
      <c r="A89" s="19"/>
      <c r="B89" s="19"/>
      <c r="C89" s="19"/>
      <c r="D89" s="19"/>
      <c r="E89" s="19"/>
      <c r="F89" s="20"/>
      <c r="G89" s="19"/>
      <c r="H89" s="19"/>
      <c r="I89" s="20"/>
    </row>
    <row r="90" spans="1:9" ht="13.15">
      <c r="A90" s="19"/>
      <c r="B90" s="19"/>
      <c r="C90" s="19"/>
      <c r="D90" s="19"/>
      <c r="E90" s="19"/>
      <c r="F90" s="20"/>
      <c r="G90" s="19"/>
      <c r="H90" s="19"/>
      <c r="I90" s="20"/>
    </row>
    <row r="91" spans="1:9" ht="13.15">
      <c r="A91" s="19"/>
      <c r="B91" s="19"/>
      <c r="C91" s="19"/>
      <c r="D91" s="19"/>
      <c r="E91" s="19"/>
      <c r="F91" s="20"/>
      <c r="G91" s="19"/>
      <c r="H91" s="19"/>
      <c r="I91" s="20"/>
    </row>
    <row r="92" spans="1:9" ht="13.15">
      <c r="A92" s="19"/>
      <c r="B92" s="19"/>
      <c r="C92" s="19"/>
      <c r="D92" s="19"/>
      <c r="E92" s="19"/>
      <c r="F92" s="20"/>
      <c r="G92" s="19"/>
      <c r="H92" s="19"/>
      <c r="I92" s="20"/>
    </row>
    <row r="93" spans="1:9" ht="13.15">
      <c r="A93" s="19"/>
      <c r="B93" s="19"/>
      <c r="C93" s="19"/>
      <c r="D93" s="19"/>
      <c r="E93" s="19"/>
      <c r="F93" s="20"/>
      <c r="G93" s="19"/>
      <c r="H93" s="19"/>
      <c r="I93" s="20"/>
    </row>
    <row r="94" spans="1:9" ht="13.15">
      <c r="A94" s="19"/>
      <c r="B94" s="19"/>
      <c r="C94" s="19"/>
      <c r="D94" s="19"/>
      <c r="E94" s="19"/>
      <c r="F94" s="20"/>
      <c r="G94" s="19"/>
      <c r="H94" s="19"/>
      <c r="I94" s="20"/>
    </row>
    <row r="95" spans="1:9" ht="13.15">
      <c r="A95" s="19"/>
      <c r="B95" s="19"/>
      <c r="C95" s="19"/>
      <c r="D95" s="19"/>
      <c r="E95" s="19"/>
      <c r="F95" s="20"/>
      <c r="G95" s="19"/>
      <c r="H95" s="19"/>
      <c r="I95" s="20"/>
    </row>
    <row r="96" spans="1:9" ht="13.15">
      <c r="A96" s="19"/>
      <c r="B96" s="19"/>
      <c r="C96" s="19"/>
      <c r="D96" s="19"/>
      <c r="E96" s="19"/>
      <c r="F96" s="20"/>
      <c r="G96" s="19"/>
      <c r="H96" s="19"/>
      <c r="I96" s="20"/>
    </row>
    <row r="97" spans="1:9" ht="13.15">
      <c r="A97" s="19"/>
      <c r="B97" s="19"/>
      <c r="C97" s="19"/>
      <c r="D97" s="19"/>
      <c r="E97" s="19"/>
      <c r="F97" s="20"/>
      <c r="G97" s="19"/>
      <c r="H97" s="19"/>
      <c r="I97" s="20"/>
    </row>
    <row r="98" spans="1:9" ht="13.15">
      <c r="A98" s="19"/>
      <c r="B98" s="19"/>
      <c r="C98" s="19"/>
      <c r="D98" s="19"/>
      <c r="E98" s="19"/>
      <c r="F98" s="20"/>
      <c r="G98" s="19"/>
      <c r="H98" s="19"/>
      <c r="I98" s="20"/>
    </row>
    <row r="99" spans="1:9" ht="13.15">
      <c r="A99" s="19"/>
      <c r="B99" s="19"/>
      <c r="C99" s="19"/>
      <c r="D99" s="19"/>
      <c r="E99" s="19"/>
      <c r="F99" s="20"/>
      <c r="G99" s="19"/>
      <c r="H99" s="19"/>
      <c r="I99" s="20"/>
    </row>
    <row r="100" spans="1:9" ht="13.15">
      <c r="A100" s="19"/>
      <c r="B100" s="19"/>
      <c r="C100" s="19"/>
      <c r="D100" s="19"/>
      <c r="E100" s="19"/>
      <c r="F100" s="20"/>
      <c r="G100" s="19"/>
      <c r="H100" s="19"/>
      <c r="I100" s="20"/>
    </row>
    <row r="101" spans="1:9" ht="13.15">
      <c r="A101" s="19"/>
      <c r="B101" s="19"/>
      <c r="C101" s="19"/>
      <c r="D101" s="19"/>
      <c r="E101" s="19"/>
      <c r="F101" s="20"/>
      <c r="G101" s="19"/>
      <c r="H101" s="19"/>
      <c r="I101" s="20"/>
    </row>
    <row r="102" spans="1:9" ht="13.15">
      <c r="A102" s="19"/>
      <c r="B102" s="19"/>
      <c r="C102" s="19"/>
      <c r="D102" s="19"/>
      <c r="E102" s="19"/>
      <c r="F102" s="20"/>
      <c r="G102" s="19"/>
      <c r="H102" s="19"/>
      <c r="I102" s="20"/>
    </row>
    <row r="103" spans="1:9" ht="13.15">
      <c r="A103" s="19"/>
      <c r="B103" s="19"/>
      <c r="C103" s="19"/>
      <c r="D103" s="19"/>
      <c r="E103" s="19"/>
      <c r="F103" s="20"/>
      <c r="G103" s="19"/>
      <c r="H103" s="19"/>
      <c r="I103" s="20"/>
    </row>
    <row r="104" spans="1:9" ht="13.15">
      <c r="A104" s="19"/>
      <c r="B104" s="19"/>
      <c r="C104" s="19"/>
      <c r="D104" s="19"/>
      <c r="E104" s="19"/>
      <c r="F104" s="20"/>
      <c r="G104" s="19"/>
      <c r="H104" s="19"/>
      <c r="I104" s="20"/>
    </row>
    <row r="105" spans="1:9" ht="13.15">
      <c r="A105" s="19"/>
      <c r="B105" s="19"/>
      <c r="C105" s="19"/>
      <c r="D105" s="19"/>
      <c r="E105" s="19"/>
      <c r="F105" s="20"/>
      <c r="G105" s="19"/>
      <c r="H105" s="19"/>
      <c r="I105" s="20"/>
    </row>
    <row r="106" spans="1:9" ht="13.15">
      <c r="A106" s="19"/>
      <c r="B106" s="19"/>
      <c r="C106" s="19"/>
      <c r="D106" s="19"/>
      <c r="E106" s="19"/>
      <c r="F106" s="20"/>
      <c r="G106" s="19"/>
      <c r="H106" s="19"/>
      <c r="I106" s="20"/>
    </row>
    <row r="107" spans="1:9" ht="13.15">
      <c r="A107" s="19"/>
      <c r="B107" s="19"/>
      <c r="C107" s="19"/>
      <c r="D107" s="19"/>
      <c r="E107" s="19"/>
      <c r="F107" s="20"/>
      <c r="G107" s="19"/>
      <c r="H107" s="19"/>
      <c r="I107" s="20"/>
    </row>
    <row r="108" spans="1:9" ht="13.15">
      <c r="A108" s="19"/>
      <c r="B108" s="19"/>
      <c r="C108" s="19"/>
      <c r="D108" s="19"/>
      <c r="E108" s="19"/>
      <c r="F108" s="20"/>
      <c r="G108" s="19"/>
      <c r="H108" s="19"/>
      <c r="I108" s="20"/>
    </row>
    <row r="109" spans="1:9" ht="13.15">
      <c r="A109" s="19"/>
      <c r="B109" s="19"/>
      <c r="C109" s="19"/>
      <c r="D109" s="19"/>
      <c r="E109" s="19"/>
      <c r="F109" s="20"/>
      <c r="G109" s="19"/>
      <c r="H109" s="19"/>
      <c r="I109" s="20"/>
    </row>
    <row r="110" spans="1:9" ht="13.15">
      <c r="A110" s="19"/>
      <c r="B110" s="19"/>
      <c r="C110" s="19"/>
      <c r="D110" s="19"/>
      <c r="E110" s="19"/>
      <c r="F110" s="20"/>
      <c r="G110" s="19"/>
      <c r="H110" s="19"/>
      <c r="I110" s="20"/>
    </row>
    <row r="111" spans="1:9" ht="13.15">
      <c r="A111" s="19"/>
      <c r="B111" s="19"/>
      <c r="C111" s="19"/>
      <c r="D111" s="19"/>
      <c r="E111" s="19"/>
      <c r="F111" s="20"/>
      <c r="G111" s="19"/>
      <c r="H111" s="19"/>
      <c r="I111" s="20"/>
    </row>
    <row r="112" spans="1:9" ht="13.15">
      <c r="A112" s="19"/>
      <c r="B112" s="19"/>
      <c r="C112" s="19"/>
      <c r="D112" s="19"/>
      <c r="E112" s="19"/>
      <c r="F112" s="20"/>
      <c r="G112" s="19"/>
      <c r="H112" s="19"/>
      <c r="I112" s="20"/>
    </row>
    <row r="113" spans="1:9" ht="13.15">
      <c r="A113" s="19"/>
      <c r="B113" s="19"/>
      <c r="C113" s="19"/>
      <c r="D113" s="19"/>
      <c r="E113" s="19"/>
      <c r="F113" s="20"/>
      <c r="G113" s="19"/>
      <c r="H113" s="19"/>
      <c r="I113" s="20"/>
    </row>
    <row r="114" spans="1:9" ht="13.15">
      <c r="A114" s="19"/>
      <c r="B114" s="19"/>
      <c r="C114" s="19"/>
      <c r="D114" s="19"/>
      <c r="E114" s="19"/>
      <c r="F114" s="20"/>
      <c r="G114" s="19"/>
      <c r="H114" s="19"/>
      <c r="I114" s="20"/>
    </row>
    <row r="115" spans="1:9" ht="13.15">
      <c r="A115" s="19"/>
      <c r="B115" s="19"/>
      <c r="C115" s="19"/>
      <c r="D115" s="19"/>
      <c r="E115" s="19"/>
      <c r="F115" s="20"/>
      <c r="G115" s="19"/>
      <c r="H115" s="19"/>
      <c r="I115" s="20"/>
    </row>
    <row r="116" spans="1:9" ht="13.15">
      <c r="A116" s="19"/>
      <c r="B116" s="19"/>
      <c r="C116" s="19"/>
      <c r="D116" s="19"/>
      <c r="E116" s="19"/>
      <c r="F116" s="20"/>
      <c r="G116" s="19"/>
      <c r="H116" s="19"/>
      <c r="I116" s="20"/>
    </row>
    <row r="117" spans="1:9" ht="13.15">
      <c r="A117" s="19"/>
      <c r="B117" s="19"/>
      <c r="C117" s="19"/>
      <c r="D117" s="19"/>
      <c r="E117" s="19"/>
      <c r="F117" s="20"/>
      <c r="G117" s="19"/>
      <c r="H117" s="19"/>
      <c r="I117" s="20"/>
    </row>
    <row r="118" spans="1:9" ht="13.15">
      <c r="A118" s="19"/>
      <c r="B118" s="19"/>
      <c r="C118" s="19"/>
      <c r="D118" s="19"/>
      <c r="E118" s="19"/>
      <c r="F118" s="20"/>
      <c r="G118" s="19"/>
      <c r="H118" s="19"/>
      <c r="I118" s="20"/>
    </row>
    <row r="119" spans="1:9" ht="13.15">
      <c r="A119" s="19"/>
      <c r="B119" s="19"/>
      <c r="C119" s="19"/>
      <c r="D119" s="19"/>
      <c r="E119" s="19"/>
      <c r="F119" s="20"/>
      <c r="G119" s="19"/>
      <c r="H119" s="19"/>
      <c r="I119" s="20"/>
    </row>
    <row r="120" spans="1:9" ht="13.15">
      <c r="A120" s="19"/>
      <c r="B120" s="19"/>
      <c r="C120" s="19"/>
      <c r="D120" s="19"/>
      <c r="E120" s="19"/>
      <c r="F120" s="20"/>
      <c r="G120" s="19"/>
      <c r="H120" s="19"/>
      <c r="I120" s="20"/>
    </row>
    <row r="121" spans="1:9" ht="13.15">
      <c r="A121" s="19"/>
      <c r="B121" s="19"/>
      <c r="C121" s="19"/>
      <c r="D121" s="19"/>
      <c r="E121" s="19"/>
      <c r="F121" s="20"/>
      <c r="G121" s="19"/>
      <c r="H121" s="19"/>
      <c r="I121" s="20"/>
    </row>
    <row r="122" spans="1:9" ht="13.15">
      <c r="A122" s="19"/>
      <c r="B122" s="19"/>
      <c r="C122" s="19"/>
      <c r="D122" s="19"/>
      <c r="E122" s="19"/>
      <c r="F122" s="20"/>
      <c r="G122" s="19"/>
      <c r="H122" s="19"/>
      <c r="I122" s="20"/>
    </row>
    <row r="123" spans="1:9" ht="13.15">
      <c r="A123" s="19"/>
      <c r="B123" s="19"/>
      <c r="C123" s="19"/>
      <c r="D123" s="19"/>
      <c r="E123" s="19"/>
      <c r="F123" s="20"/>
      <c r="G123" s="19"/>
      <c r="H123" s="19"/>
      <c r="I123" s="20"/>
    </row>
    <row r="124" spans="1:9" ht="13.15">
      <c r="A124" s="19"/>
      <c r="B124" s="19"/>
      <c r="C124" s="19"/>
      <c r="D124" s="19"/>
      <c r="E124" s="19"/>
      <c r="F124" s="20"/>
      <c r="G124" s="19"/>
      <c r="H124" s="19"/>
      <c r="I124" s="20"/>
    </row>
    <row r="125" spans="1:9" ht="13.15">
      <c r="A125" s="19"/>
      <c r="B125" s="19"/>
      <c r="C125" s="19"/>
      <c r="D125" s="19"/>
      <c r="E125" s="19"/>
      <c r="F125" s="20"/>
      <c r="G125" s="19"/>
      <c r="H125" s="19"/>
      <c r="I125" s="20"/>
    </row>
    <row r="126" spans="1:9" ht="13.15">
      <c r="A126" s="19"/>
      <c r="B126" s="19"/>
      <c r="C126" s="19"/>
      <c r="D126" s="19"/>
      <c r="E126" s="19"/>
      <c r="F126" s="20"/>
      <c r="G126" s="19"/>
      <c r="H126" s="19"/>
      <c r="I126" s="20"/>
    </row>
    <row r="127" spans="1:9" ht="13.15">
      <c r="A127" s="19"/>
      <c r="B127" s="19"/>
      <c r="C127" s="19"/>
      <c r="D127" s="19"/>
      <c r="E127" s="19"/>
      <c r="F127" s="20"/>
      <c r="G127" s="19"/>
      <c r="H127" s="19"/>
      <c r="I127" s="20"/>
    </row>
    <row r="128" spans="1:9" ht="13.15">
      <c r="A128" s="19"/>
      <c r="B128" s="19"/>
      <c r="C128" s="19"/>
      <c r="D128" s="19"/>
      <c r="E128" s="19"/>
      <c r="F128" s="20"/>
      <c r="G128" s="19"/>
      <c r="H128" s="19"/>
      <c r="I128" s="20"/>
    </row>
    <row r="129" spans="1:9" ht="13.15">
      <c r="A129" s="19"/>
      <c r="B129" s="19"/>
      <c r="C129" s="19"/>
      <c r="D129" s="19"/>
      <c r="E129" s="19"/>
      <c r="F129" s="20"/>
      <c r="G129" s="19"/>
      <c r="H129" s="19"/>
      <c r="I129" s="20"/>
    </row>
    <row r="130" spans="1:9" ht="13.15">
      <c r="A130" s="19"/>
      <c r="B130" s="19"/>
      <c r="C130" s="19"/>
      <c r="D130" s="19"/>
      <c r="E130" s="19"/>
      <c r="F130" s="20"/>
      <c r="G130" s="19"/>
      <c r="H130" s="19"/>
      <c r="I130" s="20"/>
    </row>
    <row r="131" spans="1:9" ht="13.15">
      <c r="A131" s="19"/>
      <c r="B131" s="19"/>
      <c r="C131" s="19"/>
      <c r="D131" s="19"/>
      <c r="E131" s="19"/>
      <c r="F131" s="20"/>
      <c r="G131" s="19"/>
      <c r="H131" s="19"/>
      <c r="I131" s="20"/>
    </row>
    <row r="132" spans="1:9" ht="13.15">
      <c r="A132" s="19"/>
      <c r="B132" s="19"/>
      <c r="C132" s="19"/>
      <c r="D132" s="19"/>
      <c r="E132" s="19"/>
      <c r="F132" s="20"/>
      <c r="G132" s="19"/>
      <c r="H132" s="19"/>
      <c r="I132" s="20"/>
    </row>
    <row r="133" spans="1:9" ht="13.15">
      <c r="A133" s="19"/>
      <c r="B133" s="19"/>
      <c r="C133" s="19"/>
      <c r="D133" s="19"/>
      <c r="E133" s="19"/>
      <c r="F133" s="20"/>
      <c r="G133" s="19"/>
      <c r="H133" s="19"/>
      <c r="I133" s="20"/>
    </row>
    <row r="134" spans="1:9" ht="13.15">
      <c r="A134" s="19"/>
      <c r="B134" s="19"/>
      <c r="C134" s="19"/>
      <c r="D134" s="19"/>
      <c r="E134" s="19"/>
      <c r="F134" s="20"/>
      <c r="G134" s="19"/>
      <c r="H134" s="19"/>
      <c r="I134" s="20"/>
    </row>
    <row r="135" spans="1:9" ht="13.15">
      <c r="A135" s="19"/>
      <c r="B135" s="19"/>
      <c r="C135" s="19"/>
      <c r="D135" s="19"/>
      <c r="E135" s="19"/>
      <c r="F135" s="20"/>
      <c r="G135" s="19"/>
      <c r="H135" s="19"/>
      <c r="I135" s="20"/>
    </row>
    <row r="136" spans="1:9" ht="13.15">
      <c r="A136" s="19"/>
      <c r="B136" s="19"/>
      <c r="C136" s="19"/>
      <c r="D136" s="19"/>
      <c r="E136" s="19"/>
      <c r="F136" s="20"/>
      <c r="G136" s="19"/>
      <c r="H136" s="19"/>
      <c r="I136" s="20"/>
    </row>
    <row r="137" spans="1:9" ht="13.15">
      <c r="A137" s="19"/>
      <c r="B137" s="19"/>
      <c r="C137" s="19"/>
      <c r="D137" s="19"/>
      <c r="E137" s="19"/>
      <c r="F137" s="20"/>
      <c r="G137" s="19"/>
      <c r="H137" s="19"/>
      <c r="I137" s="20"/>
    </row>
    <row r="138" spans="1:9" ht="13.15">
      <c r="A138" s="19"/>
      <c r="B138" s="19"/>
      <c r="C138" s="19"/>
      <c r="D138" s="19"/>
      <c r="E138" s="19"/>
      <c r="F138" s="20"/>
      <c r="G138" s="19"/>
      <c r="H138" s="19"/>
      <c r="I138" s="20"/>
    </row>
    <row r="139" spans="1:9" ht="13.15">
      <c r="A139" s="19"/>
      <c r="B139" s="19"/>
      <c r="C139" s="19"/>
      <c r="D139" s="19"/>
      <c r="E139" s="19"/>
      <c r="F139" s="20"/>
      <c r="G139" s="19"/>
      <c r="H139" s="19"/>
      <c r="I139" s="20"/>
    </row>
    <row r="140" spans="1:9" ht="13.15">
      <c r="A140" s="19"/>
      <c r="B140" s="19"/>
      <c r="C140" s="19"/>
      <c r="D140" s="19"/>
      <c r="E140" s="19"/>
      <c r="F140" s="20"/>
      <c r="G140" s="19"/>
      <c r="H140" s="19"/>
      <c r="I140" s="20"/>
    </row>
    <row r="141" spans="1:9" ht="13.15">
      <c r="A141" s="19"/>
      <c r="B141" s="19"/>
      <c r="C141" s="19"/>
      <c r="D141" s="19"/>
      <c r="E141" s="19"/>
      <c r="F141" s="20"/>
      <c r="G141" s="19"/>
      <c r="H141" s="19"/>
      <c r="I141" s="20"/>
    </row>
    <row r="142" spans="1:9" ht="13.15">
      <c r="A142" s="19"/>
      <c r="B142" s="19"/>
      <c r="C142" s="19"/>
      <c r="D142" s="19"/>
      <c r="E142" s="19"/>
      <c r="F142" s="20"/>
      <c r="G142" s="19"/>
      <c r="H142" s="19"/>
      <c r="I142" s="20"/>
    </row>
    <row r="143" spans="1:9" ht="13.15">
      <c r="A143" s="19"/>
      <c r="B143" s="19"/>
      <c r="C143" s="19"/>
      <c r="D143" s="19"/>
      <c r="E143" s="19"/>
      <c r="F143" s="20"/>
      <c r="G143" s="19"/>
      <c r="H143" s="19"/>
      <c r="I143" s="20"/>
    </row>
    <row r="144" spans="1:9" ht="13.15">
      <c r="A144" s="19"/>
      <c r="B144" s="19"/>
      <c r="C144" s="19"/>
      <c r="D144" s="19"/>
      <c r="E144" s="19"/>
      <c r="F144" s="20"/>
      <c r="G144" s="19"/>
      <c r="H144" s="19"/>
      <c r="I144" s="20"/>
    </row>
    <row r="145" spans="1:9" ht="13.15">
      <c r="A145" s="19"/>
      <c r="B145" s="19"/>
      <c r="C145" s="19"/>
      <c r="D145" s="19"/>
      <c r="E145" s="19"/>
      <c r="F145" s="20"/>
      <c r="G145" s="19"/>
      <c r="H145" s="19"/>
      <c r="I145" s="20"/>
    </row>
    <row r="146" spans="1:9" ht="13.15">
      <c r="A146" s="19"/>
      <c r="B146" s="19"/>
      <c r="C146" s="19"/>
      <c r="D146" s="19"/>
      <c r="E146" s="19"/>
      <c r="F146" s="20"/>
      <c r="G146" s="19"/>
      <c r="H146" s="19"/>
      <c r="I146" s="20"/>
    </row>
    <row r="147" spans="1:9" ht="13.15">
      <c r="A147" s="19"/>
      <c r="B147" s="19"/>
      <c r="C147" s="19"/>
      <c r="D147" s="19"/>
      <c r="E147" s="19"/>
      <c r="F147" s="20"/>
      <c r="G147" s="19"/>
      <c r="H147" s="19"/>
      <c r="I147" s="20"/>
    </row>
    <row r="148" spans="1:9" ht="13.15">
      <c r="A148" s="19"/>
      <c r="B148" s="19"/>
      <c r="C148" s="19"/>
      <c r="D148" s="19"/>
      <c r="E148" s="19"/>
      <c r="F148" s="20"/>
      <c r="G148" s="19"/>
      <c r="H148" s="19"/>
      <c r="I148" s="20"/>
    </row>
    <row r="149" spans="1:9" ht="13.15">
      <c r="A149" s="19"/>
      <c r="B149" s="19"/>
      <c r="C149" s="19"/>
      <c r="D149" s="19"/>
      <c r="E149" s="19"/>
      <c r="F149" s="20"/>
      <c r="G149" s="19"/>
      <c r="H149" s="19"/>
      <c r="I149" s="20"/>
    </row>
    <row r="150" spans="1:9" ht="13.15">
      <c r="A150" s="19"/>
      <c r="B150" s="19"/>
      <c r="C150" s="19"/>
      <c r="D150" s="19"/>
      <c r="E150" s="19"/>
      <c r="F150" s="20"/>
      <c r="G150" s="19"/>
      <c r="H150" s="19"/>
      <c r="I150" s="20"/>
    </row>
    <row r="151" spans="1:9" ht="13.15">
      <c r="A151" s="19"/>
      <c r="B151" s="19"/>
      <c r="C151" s="19"/>
      <c r="D151" s="19"/>
      <c r="E151" s="19"/>
      <c r="F151" s="20"/>
      <c r="G151" s="19"/>
      <c r="H151" s="19"/>
      <c r="I151" s="20"/>
    </row>
    <row r="152" spans="1:9" ht="13.15">
      <c r="A152" s="19"/>
      <c r="B152" s="19"/>
      <c r="C152" s="19"/>
      <c r="D152" s="19"/>
      <c r="E152" s="19"/>
      <c r="F152" s="20"/>
      <c r="G152" s="19"/>
      <c r="H152" s="19"/>
      <c r="I152" s="20"/>
    </row>
    <row r="153" spans="1:9" ht="13.15">
      <c r="A153" s="19"/>
      <c r="B153" s="19"/>
      <c r="C153" s="19"/>
      <c r="D153" s="19"/>
      <c r="E153" s="19"/>
      <c r="F153" s="20"/>
      <c r="G153" s="19"/>
      <c r="H153" s="19"/>
      <c r="I153" s="20"/>
    </row>
    <row r="154" spans="1:9" ht="13.15">
      <c r="A154" s="19"/>
      <c r="B154" s="19"/>
      <c r="C154" s="19"/>
      <c r="D154" s="19"/>
      <c r="E154" s="19"/>
      <c r="F154" s="20"/>
      <c r="G154" s="19"/>
      <c r="H154" s="19"/>
      <c r="I154" s="20"/>
    </row>
    <row r="155" spans="1:9" ht="13.15">
      <c r="A155" s="19"/>
      <c r="B155" s="19"/>
      <c r="C155" s="19"/>
      <c r="D155" s="19"/>
      <c r="E155" s="19"/>
      <c r="F155" s="20"/>
      <c r="G155" s="19"/>
      <c r="H155" s="19"/>
      <c r="I155" s="20"/>
    </row>
    <row r="156" spans="1:9" ht="13.15">
      <c r="A156" s="19"/>
      <c r="B156" s="19"/>
      <c r="C156" s="19"/>
      <c r="D156" s="19"/>
      <c r="E156" s="19"/>
      <c r="F156" s="20"/>
      <c r="G156" s="19"/>
      <c r="H156" s="19"/>
      <c r="I156" s="20"/>
    </row>
    <row r="157" spans="1:9" ht="13.15">
      <c r="A157" s="19"/>
      <c r="B157" s="19"/>
      <c r="C157" s="19"/>
      <c r="D157" s="19"/>
      <c r="E157" s="19"/>
      <c r="F157" s="20"/>
      <c r="G157" s="19"/>
      <c r="H157" s="19"/>
      <c r="I157" s="20"/>
    </row>
    <row r="158" spans="1:9" ht="13.15">
      <c r="A158" s="19"/>
      <c r="B158" s="19"/>
      <c r="C158" s="19"/>
      <c r="D158" s="19"/>
      <c r="E158" s="19"/>
      <c r="F158" s="20"/>
      <c r="G158" s="19"/>
      <c r="H158" s="19"/>
      <c r="I158" s="20"/>
    </row>
    <row r="159" spans="1:9" ht="13.15">
      <c r="A159" s="19"/>
      <c r="B159" s="19"/>
      <c r="C159" s="19"/>
      <c r="D159" s="19"/>
      <c r="E159" s="19"/>
      <c r="F159" s="20"/>
      <c r="G159" s="19"/>
      <c r="H159" s="19"/>
      <c r="I159" s="20"/>
    </row>
    <row r="160" spans="1:9" ht="13.15">
      <c r="A160" s="19"/>
      <c r="B160" s="19"/>
      <c r="C160" s="19"/>
      <c r="D160" s="19"/>
      <c r="E160" s="19"/>
      <c r="F160" s="20"/>
      <c r="G160" s="19"/>
      <c r="H160" s="19"/>
      <c r="I160" s="20"/>
    </row>
    <row r="161" spans="1:9" ht="13.15">
      <c r="A161" s="19"/>
      <c r="B161" s="19"/>
      <c r="C161" s="19"/>
      <c r="D161" s="19"/>
      <c r="E161" s="19"/>
      <c r="F161" s="20"/>
      <c r="G161" s="19"/>
      <c r="H161" s="19"/>
      <c r="I161" s="20"/>
    </row>
    <row r="162" spans="1:9" ht="13.15">
      <c r="A162" s="19"/>
      <c r="B162" s="19"/>
      <c r="C162" s="19"/>
      <c r="D162" s="19"/>
      <c r="E162" s="19"/>
      <c r="F162" s="20"/>
      <c r="G162" s="19"/>
      <c r="H162" s="19"/>
      <c r="I162" s="20"/>
    </row>
    <row r="163" spans="1:9" ht="13.15">
      <c r="A163" s="19"/>
      <c r="B163" s="19"/>
      <c r="C163" s="19"/>
      <c r="D163" s="19"/>
      <c r="E163" s="19"/>
      <c r="F163" s="20"/>
      <c r="G163" s="19"/>
      <c r="H163" s="19"/>
      <c r="I163" s="20"/>
    </row>
    <row r="164" spans="1:9" ht="13.15">
      <c r="A164" s="19"/>
      <c r="B164" s="19"/>
      <c r="C164" s="19"/>
      <c r="D164" s="19"/>
      <c r="E164" s="19"/>
      <c r="F164" s="20"/>
      <c r="G164" s="19"/>
      <c r="H164" s="19"/>
      <c r="I164" s="20"/>
    </row>
    <row r="165" spans="1:9" ht="13.15">
      <c r="A165" s="19"/>
      <c r="B165" s="19"/>
      <c r="C165" s="19"/>
      <c r="D165" s="19"/>
      <c r="E165" s="19"/>
      <c r="F165" s="20"/>
      <c r="G165" s="19"/>
      <c r="H165" s="19"/>
      <c r="I165" s="20"/>
    </row>
    <row r="166" spans="1:9" ht="13.15">
      <c r="A166" s="19"/>
      <c r="B166" s="19"/>
      <c r="C166" s="19"/>
      <c r="D166" s="19"/>
      <c r="E166" s="19"/>
      <c r="F166" s="20"/>
      <c r="G166" s="19"/>
      <c r="H166" s="19"/>
      <c r="I166" s="20"/>
    </row>
    <row r="167" spans="1:9" ht="13.15">
      <c r="A167" s="19"/>
      <c r="B167" s="19"/>
      <c r="C167" s="19"/>
      <c r="D167" s="19"/>
      <c r="E167" s="19"/>
      <c r="F167" s="20"/>
      <c r="G167" s="19"/>
      <c r="H167" s="19"/>
      <c r="I167" s="20"/>
    </row>
    <row r="168" spans="1:9" ht="13.15">
      <c r="A168" s="19"/>
      <c r="B168" s="19"/>
      <c r="C168" s="19"/>
      <c r="D168" s="19"/>
      <c r="E168" s="19"/>
      <c r="F168" s="20"/>
      <c r="G168" s="19"/>
      <c r="H168" s="19"/>
      <c r="I168" s="20"/>
    </row>
    <row r="169" spans="1:9" ht="13.15">
      <c r="A169" s="19"/>
      <c r="B169" s="19"/>
      <c r="C169" s="19"/>
      <c r="D169" s="19"/>
      <c r="E169" s="19"/>
      <c r="F169" s="20"/>
      <c r="G169" s="19"/>
      <c r="H169" s="19"/>
      <c r="I169" s="20"/>
    </row>
    <row r="170" spans="1:9" ht="13.15">
      <c r="A170" s="19"/>
      <c r="B170" s="19"/>
      <c r="C170" s="19"/>
      <c r="D170" s="19"/>
      <c r="E170" s="19"/>
      <c r="F170" s="20"/>
      <c r="G170" s="19"/>
      <c r="H170" s="19"/>
      <c r="I170" s="20"/>
    </row>
    <row r="171" spans="1:9" ht="13.15">
      <c r="A171" s="19"/>
      <c r="B171" s="19"/>
      <c r="C171" s="19"/>
      <c r="D171" s="19"/>
      <c r="E171" s="19"/>
      <c r="F171" s="20"/>
      <c r="G171" s="19"/>
      <c r="H171" s="19"/>
      <c r="I171" s="20"/>
    </row>
    <row r="172" spans="1:9" ht="13.15">
      <c r="A172" s="19"/>
      <c r="B172" s="19"/>
      <c r="C172" s="19"/>
      <c r="D172" s="19"/>
      <c r="E172" s="19"/>
      <c r="F172" s="20"/>
      <c r="G172" s="19"/>
      <c r="H172" s="19"/>
      <c r="I172" s="20"/>
    </row>
    <row r="173" spans="1:9" ht="13.15">
      <c r="A173" s="19"/>
      <c r="B173" s="19"/>
      <c r="C173" s="19"/>
      <c r="D173" s="19"/>
      <c r="E173" s="19"/>
      <c r="F173" s="20"/>
      <c r="G173" s="19"/>
      <c r="H173" s="19"/>
      <c r="I173" s="20"/>
    </row>
    <row r="174" spans="1:9" ht="13.15">
      <c r="A174" s="19"/>
      <c r="B174" s="19"/>
      <c r="C174" s="19"/>
      <c r="D174" s="19"/>
      <c r="E174" s="19"/>
      <c r="F174" s="20"/>
      <c r="G174" s="19"/>
      <c r="H174" s="19"/>
      <c r="I174" s="20"/>
    </row>
    <row r="175" spans="1:9" ht="13.15">
      <c r="A175" s="19"/>
      <c r="B175" s="19"/>
      <c r="C175" s="19"/>
      <c r="D175" s="19"/>
      <c r="E175" s="19"/>
      <c r="F175" s="20"/>
      <c r="G175" s="19"/>
      <c r="H175" s="19"/>
      <c r="I175" s="20"/>
    </row>
    <row r="176" spans="1:9" ht="13.15">
      <c r="A176" s="19"/>
      <c r="B176" s="19"/>
      <c r="C176" s="19"/>
      <c r="D176" s="19"/>
      <c r="E176" s="19"/>
      <c r="F176" s="20"/>
      <c r="G176" s="19"/>
      <c r="H176" s="19"/>
      <c r="I176" s="20"/>
    </row>
    <row r="177" spans="1:9" ht="13.15">
      <c r="A177" s="19"/>
      <c r="B177" s="19"/>
      <c r="C177" s="19"/>
      <c r="D177" s="19"/>
      <c r="E177" s="19"/>
      <c r="F177" s="20"/>
      <c r="G177" s="19"/>
      <c r="H177" s="19"/>
      <c r="I177" s="20"/>
    </row>
    <row r="178" spans="1:9" ht="13.15">
      <c r="A178" s="19"/>
      <c r="B178" s="19"/>
      <c r="C178" s="19"/>
      <c r="D178" s="19"/>
      <c r="E178" s="19"/>
      <c r="F178" s="20"/>
      <c r="G178" s="19"/>
      <c r="H178" s="19"/>
      <c r="I178" s="20"/>
    </row>
    <row r="179" spans="1:9" ht="13.15">
      <c r="A179" s="19"/>
      <c r="B179" s="19"/>
      <c r="C179" s="19"/>
      <c r="D179" s="19"/>
      <c r="E179" s="19"/>
      <c r="F179" s="20"/>
      <c r="G179" s="19"/>
      <c r="H179" s="19"/>
      <c r="I179" s="20"/>
    </row>
    <row r="180" spans="1:9" ht="13.15">
      <c r="A180" s="19"/>
      <c r="B180" s="19"/>
      <c r="C180" s="19"/>
      <c r="D180" s="19"/>
      <c r="E180" s="19"/>
      <c r="F180" s="20"/>
      <c r="G180" s="19"/>
      <c r="H180" s="19"/>
      <c r="I180" s="20"/>
    </row>
    <row r="181" spans="1:9" ht="13.15">
      <c r="A181" s="19"/>
      <c r="B181" s="19"/>
      <c r="C181" s="19"/>
      <c r="D181" s="19"/>
      <c r="E181" s="19"/>
      <c r="F181" s="20"/>
      <c r="G181" s="19"/>
      <c r="H181" s="19"/>
      <c r="I181" s="20"/>
    </row>
    <row r="182" spans="1:9" ht="13.15">
      <c r="A182" s="19"/>
      <c r="B182" s="19"/>
      <c r="C182" s="19"/>
      <c r="D182" s="19"/>
      <c r="E182" s="19"/>
      <c r="F182" s="20"/>
      <c r="G182" s="19"/>
      <c r="H182" s="19"/>
      <c r="I182" s="20"/>
    </row>
    <row r="183" spans="1:9" ht="13.15">
      <c r="A183" s="19"/>
      <c r="B183" s="19"/>
      <c r="C183" s="19"/>
      <c r="D183" s="19"/>
      <c r="E183" s="19"/>
      <c r="F183" s="20"/>
      <c r="G183" s="19"/>
      <c r="H183" s="19"/>
      <c r="I183" s="20"/>
    </row>
    <row r="184" spans="1:9" ht="13.15">
      <c r="A184" s="19"/>
      <c r="B184" s="19"/>
      <c r="C184" s="19"/>
      <c r="D184" s="19"/>
      <c r="E184" s="19"/>
      <c r="F184" s="20"/>
      <c r="G184" s="19"/>
      <c r="H184" s="19"/>
      <c r="I184" s="20"/>
    </row>
    <row r="185" spans="1:9" ht="13.15">
      <c r="A185" s="19"/>
      <c r="B185" s="19"/>
      <c r="C185" s="19"/>
      <c r="D185" s="19"/>
      <c r="E185" s="19"/>
      <c r="F185" s="20"/>
      <c r="G185" s="19"/>
      <c r="H185" s="19"/>
      <c r="I185" s="20"/>
    </row>
    <row r="186" spans="1:9" ht="13.15">
      <c r="A186" s="19"/>
      <c r="B186" s="19"/>
      <c r="C186" s="19"/>
      <c r="D186" s="19"/>
      <c r="E186" s="19"/>
      <c r="F186" s="20"/>
      <c r="G186" s="19"/>
      <c r="H186" s="19"/>
      <c r="I186" s="20"/>
    </row>
    <row r="187" spans="1:9" ht="13.15">
      <c r="A187" s="19"/>
      <c r="B187" s="19"/>
      <c r="C187" s="19"/>
      <c r="D187" s="19"/>
      <c r="E187" s="19"/>
      <c r="F187" s="20"/>
      <c r="G187" s="19"/>
      <c r="H187" s="19"/>
      <c r="I187" s="20"/>
    </row>
    <row r="188" spans="1:9" ht="13.15">
      <c r="A188" s="19"/>
      <c r="B188" s="19"/>
      <c r="C188" s="19"/>
      <c r="D188" s="19"/>
      <c r="E188" s="19"/>
      <c r="F188" s="20"/>
      <c r="G188" s="19"/>
      <c r="H188" s="19"/>
      <c r="I188" s="20"/>
    </row>
    <row r="189" spans="1:9" ht="13.15">
      <c r="A189" s="19"/>
      <c r="B189" s="19"/>
      <c r="C189" s="19"/>
      <c r="D189" s="19"/>
      <c r="E189" s="19"/>
      <c r="F189" s="20"/>
      <c r="G189" s="19"/>
      <c r="H189" s="19"/>
      <c r="I189" s="20"/>
    </row>
    <row r="190" spans="1:9" ht="13.15">
      <c r="A190" s="19"/>
      <c r="B190" s="19"/>
      <c r="C190" s="19"/>
      <c r="D190" s="19"/>
      <c r="E190" s="19"/>
      <c r="F190" s="20"/>
      <c r="G190" s="19"/>
      <c r="H190" s="19"/>
      <c r="I190" s="20"/>
    </row>
    <row r="191" spans="1:9" ht="13.15">
      <c r="A191" s="19"/>
      <c r="B191" s="19"/>
      <c r="C191" s="19"/>
      <c r="D191" s="19"/>
      <c r="E191" s="19"/>
      <c r="F191" s="20"/>
      <c r="G191" s="19"/>
      <c r="H191" s="19"/>
      <c r="I191" s="20"/>
    </row>
    <row r="192" spans="1:9" ht="13.15">
      <c r="A192" s="19"/>
      <c r="B192" s="19"/>
      <c r="C192" s="19"/>
      <c r="D192" s="19"/>
      <c r="E192" s="19"/>
      <c r="F192" s="20"/>
      <c r="G192" s="19"/>
      <c r="H192" s="19"/>
      <c r="I192" s="20"/>
    </row>
    <row r="193" spans="1:9" ht="13.15">
      <c r="A193" s="19"/>
      <c r="B193" s="19"/>
      <c r="C193" s="19"/>
      <c r="D193" s="19"/>
      <c r="E193" s="19"/>
      <c r="F193" s="20"/>
      <c r="G193" s="19"/>
      <c r="H193" s="19"/>
      <c r="I193" s="20"/>
    </row>
    <row r="194" spans="1:9" ht="13.15">
      <c r="A194" s="19"/>
      <c r="B194" s="19"/>
      <c r="C194" s="19"/>
      <c r="D194" s="19"/>
      <c r="E194" s="19"/>
      <c r="F194" s="20"/>
      <c r="G194" s="19"/>
      <c r="H194" s="19"/>
      <c r="I194" s="20"/>
    </row>
    <row r="195" spans="1:9" ht="13.15">
      <c r="A195" s="19"/>
      <c r="B195" s="19"/>
      <c r="C195" s="19"/>
      <c r="D195" s="19"/>
      <c r="E195" s="19"/>
      <c r="F195" s="20"/>
      <c r="G195" s="19"/>
      <c r="H195" s="19"/>
      <c r="I195" s="20"/>
    </row>
    <row r="196" spans="1:9" ht="13.15">
      <c r="A196" s="19"/>
      <c r="B196" s="19"/>
      <c r="C196" s="19"/>
      <c r="D196" s="19"/>
      <c r="E196" s="19"/>
      <c r="F196" s="20"/>
      <c r="G196" s="19"/>
      <c r="H196" s="19"/>
      <c r="I196" s="20"/>
    </row>
    <row r="197" spans="1:9" ht="13.15">
      <c r="A197" s="19"/>
      <c r="B197" s="19"/>
      <c r="C197" s="19"/>
      <c r="D197" s="19"/>
      <c r="E197" s="19"/>
      <c r="F197" s="20"/>
      <c r="G197" s="19"/>
      <c r="H197" s="19"/>
      <c r="I197" s="20"/>
    </row>
    <row r="198" spans="1:9" ht="13.15">
      <c r="A198" s="19"/>
      <c r="B198" s="19"/>
      <c r="C198" s="19"/>
      <c r="D198" s="19"/>
      <c r="E198" s="19"/>
      <c r="F198" s="20"/>
      <c r="G198" s="19"/>
      <c r="H198" s="19"/>
      <c r="I198" s="20"/>
    </row>
    <row r="199" spans="1:9" ht="13.15">
      <c r="A199" s="19"/>
      <c r="B199" s="19"/>
      <c r="C199" s="19"/>
      <c r="D199" s="19"/>
      <c r="E199" s="19"/>
      <c r="F199" s="20"/>
      <c r="G199" s="19"/>
      <c r="H199" s="19"/>
      <c r="I199" s="20"/>
    </row>
    <row r="200" spans="1:9" ht="13.15">
      <c r="A200" s="19"/>
      <c r="B200" s="19"/>
      <c r="C200" s="19"/>
      <c r="D200" s="19"/>
      <c r="E200" s="19"/>
      <c r="F200" s="20"/>
      <c r="G200" s="19"/>
      <c r="H200" s="19"/>
      <c r="I200" s="20"/>
    </row>
    <row r="201" spans="1:9" ht="13.15">
      <c r="A201" s="19"/>
      <c r="B201" s="19"/>
      <c r="C201" s="19"/>
      <c r="D201" s="19"/>
      <c r="E201" s="19"/>
      <c r="F201" s="20"/>
      <c r="G201" s="19"/>
      <c r="H201" s="19"/>
      <c r="I201" s="20"/>
    </row>
    <row r="202" spans="1:9" ht="13.15">
      <c r="A202" s="19"/>
      <c r="B202" s="19"/>
      <c r="C202" s="19"/>
      <c r="D202" s="19"/>
      <c r="E202" s="19"/>
      <c r="F202" s="20"/>
      <c r="G202" s="19"/>
      <c r="H202" s="19"/>
      <c r="I202" s="20"/>
    </row>
    <row r="203" spans="1:9" ht="13.15">
      <c r="A203" s="19"/>
      <c r="B203" s="19"/>
      <c r="C203" s="19"/>
      <c r="D203" s="19"/>
      <c r="E203" s="19"/>
      <c r="F203" s="20"/>
      <c r="G203" s="19"/>
      <c r="H203" s="19"/>
      <c r="I203" s="20"/>
    </row>
    <row r="204" spans="1:9" ht="13.15">
      <c r="A204" s="19"/>
      <c r="B204" s="19"/>
      <c r="C204" s="19"/>
      <c r="D204" s="19"/>
      <c r="E204" s="19"/>
      <c r="F204" s="20"/>
      <c r="G204" s="19"/>
      <c r="H204" s="19"/>
      <c r="I204" s="20"/>
    </row>
    <row r="205" spans="1:9" ht="13.15">
      <c r="A205" s="19"/>
      <c r="B205" s="19"/>
      <c r="C205" s="19"/>
      <c r="D205" s="19"/>
      <c r="E205" s="19"/>
      <c r="F205" s="20"/>
      <c r="G205" s="19"/>
      <c r="H205" s="19"/>
      <c r="I205" s="20"/>
    </row>
    <row r="206" spans="1:9" ht="13.15">
      <c r="A206" s="19"/>
      <c r="B206" s="19"/>
      <c r="C206" s="19"/>
      <c r="D206" s="19"/>
      <c r="E206" s="19"/>
      <c r="F206" s="20"/>
      <c r="G206" s="19"/>
      <c r="H206" s="19"/>
      <c r="I206" s="20"/>
    </row>
    <row r="207" spans="1:9" ht="13.15">
      <c r="A207" s="19"/>
      <c r="B207" s="19"/>
      <c r="C207" s="19"/>
      <c r="D207" s="19"/>
      <c r="E207" s="19"/>
      <c r="F207" s="20"/>
      <c r="G207" s="19"/>
      <c r="H207" s="19"/>
      <c r="I207" s="20"/>
    </row>
    <row r="208" spans="1:9" ht="13.15">
      <c r="A208" s="19"/>
      <c r="B208" s="19"/>
      <c r="C208" s="19"/>
      <c r="D208" s="19"/>
      <c r="E208" s="19"/>
      <c r="F208" s="20"/>
      <c r="G208" s="19"/>
      <c r="H208" s="19"/>
      <c r="I208" s="20"/>
    </row>
    <row r="209" spans="1:9" ht="13.15">
      <c r="A209" s="19"/>
      <c r="B209" s="19"/>
      <c r="C209" s="19"/>
      <c r="D209" s="19"/>
      <c r="E209" s="19"/>
      <c r="F209" s="20"/>
      <c r="G209" s="19"/>
      <c r="H209" s="19"/>
      <c r="I209" s="20"/>
    </row>
    <row r="210" spans="1:9" ht="13.15">
      <c r="A210" s="19"/>
      <c r="B210" s="19"/>
      <c r="C210" s="19"/>
      <c r="D210" s="19"/>
      <c r="E210" s="19"/>
      <c r="F210" s="20"/>
      <c r="G210" s="19"/>
      <c r="H210" s="19"/>
      <c r="I210" s="20"/>
    </row>
    <row r="211" spans="1:9" ht="13.15">
      <c r="A211" s="19"/>
      <c r="B211" s="19"/>
      <c r="C211" s="19"/>
      <c r="D211" s="19"/>
      <c r="E211" s="19"/>
      <c r="F211" s="20"/>
      <c r="G211" s="19"/>
      <c r="H211" s="19"/>
      <c r="I211" s="20"/>
    </row>
    <row r="212" spans="1:9" ht="13.15">
      <c r="A212" s="19"/>
      <c r="B212" s="19"/>
      <c r="C212" s="19"/>
      <c r="D212" s="19"/>
      <c r="E212" s="19"/>
      <c r="F212" s="20"/>
      <c r="G212" s="19"/>
      <c r="H212" s="19"/>
      <c r="I212" s="20"/>
    </row>
    <row r="213" spans="1:9" ht="13.15">
      <c r="A213" s="19"/>
      <c r="B213" s="19"/>
      <c r="C213" s="19"/>
      <c r="D213" s="19"/>
      <c r="E213" s="19"/>
      <c r="F213" s="20"/>
      <c r="G213" s="19"/>
      <c r="H213" s="19"/>
      <c r="I213" s="20"/>
    </row>
    <row r="214" spans="1:9" ht="13.15">
      <c r="A214" s="19"/>
      <c r="B214" s="19"/>
      <c r="C214" s="19"/>
      <c r="D214" s="19"/>
      <c r="E214" s="19"/>
      <c r="F214" s="20"/>
      <c r="G214" s="19"/>
      <c r="H214" s="19"/>
      <c r="I214" s="20"/>
    </row>
    <row r="215" spans="1:9" ht="13.15">
      <c r="A215" s="19"/>
      <c r="B215" s="19"/>
      <c r="C215" s="19"/>
      <c r="D215" s="19"/>
      <c r="E215" s="19"/>
      <c r="F215" s="20"/>
      <c r="G215" s="19"/>
      <c r="H215" s="19"/>
      <c r="I215" s="20"/>
    </row>
    <row r="216" spans="1:9" ht="13.15">
      <c r="A216" s="19"/>
      <c r="B216" s="19"/>
      <c r="C216" s="19"/>
      <c r="D216" s="19"/>
      <c r="E216" s="19"/>
      <c r="F216" s="20"/>
      <c r="G216" s="19"/>
      <c r="H216" s="19"/>
      <c r="I216" s="20"/>
    </row>
    <row r="217" spans="1:9" ht="13.15">
      <c r="A217" s="19"/>
      <c r="B217" s="19"/>
      <c r="C217" s="19"/>
      <c r="D217" s="19"/>
      <c r="E217" s="19"/>
      <c r="F217" s="20"/>
      <c r="G217" s="19"/>
      <c r="H217" s="19"/>
      <c r="I217" s="20"/>
    </row>
    <row r="218" spans="1:9" ht="13.15">
      <c r="A218" s="19"/>
      <c r="B218" s="19"/>
      <c r="C218" s="19"/>
      <c r="D218" s="19"/>
      <c r="E218" s="19"/>
      <c r="F218" s="20"/>
      <c r="G218" s="19"/>
      <c r="H218" s="19"/>
      <c r="I218" s="20"/>
    </row>
    <row r="219" spans="1:9" ht="13.15">
      <c r="A219" s="19"/>
      <c r="B219" s="19"/>
      <c r="C219" s="19"/>
      <c r="D219" s="19"/>
      <c r="E219" s="19"/>
      <c r="F219" s="20"/>
      <c r="G219" s="19"/>
      <c r="H219" s="19"/>
      <c r="I219" s="20"/>
    </row>
    <row r="220" spans="1:9" ht="13.15">
      <c r="A220" s="19"/>
      <c r="B220" s="19"/>
      <c r="C220" s="19"/>
      <c r="D220" s="19"/>
      <c r="E220" s="19"/>
      <c r="F220" s="20"/>
      <c r="G220" s="19"/>
      <c r="H220" s="19"/>
      <c r="I220" s="20"/>
    </row>
    <row r="221" spans="1:9" ht="13.15">
      <c r="A221" s="19"/>
      <c r="B221" s="19"/>
      <c r="C221" s="19"/>
      <c r="D221" s="19"/>
      <c r="E221" s="19"/>
      <c r="F221" s="20"/>
      <c r="G221" s="19"/>
      <c r="H221" s="19"/>
      <c r="I221" s="20"/>
    </row>
    <row r="222" spans="1:9" ht="13.15">
      <c r="A222" s="19"/>
      <c r="B222" s="19"/>
      <c r="C222" s="19"/>
      <c r="D222" s="19"/>
      <c r="E222" s="19"/>
      <c r="F222" s="20"/>
      <c r="G222" s="19"/>
      <c r="H222" s="19"/>
      <c r="I222" s="20"/>
    </row>
    <row r="223" spans="1:9" ht="13.15">
      <c r="A223" s="19"/>
      <c r="B223" s="19"/>
      <c r="C223" s="19"/>
      <c r="D223" s="19"/>
      <c r="E223" s="19"/>
      <c r="F223" s="20"/>
      <c r="G223" s="19"/>
      <c r="H223" s="19"/>
      <c r="I223" s="20"/>
    </row>
    <row r="224" spans="1:9" ht="13.15">
      <c r="A224" s="19"/>
      <c r="B224" s="19"/>
      <c r="C224" s="19"/>
      <c r="D224" s="19"/>
      <c r="E224" s="19"/>
      <c r="F224" s="20"/>
      <c r="G224" s="19"/>
      <c r="H224" s="19"/>
      <c r="I224" s="20"/>
    </row>
    <row r="225" spans="1:9" ht="13.15">
      <c r="A225" s="19"/>
      <c r="B225" s="19"/>
      <c r="C225" s="19"/>
      <c r="D225" s="19"/>
      <c r="E225" s="19"/>
      <c r="F225" s="20"/>
      <c r="G225" s="19"/>
      <c r="H225" s="19"/>
      <c r="I225" s="20"/>
    </row>
    <row r="226" spans="1:9" ht="13.15">
      <c r="A226" s="19"/>
      <c r="B226" s="19"/>
      <c r="C226" s="19"/>
      <c r="D226" s="19"/>
      <c r="E226" s="19"/>
      <c r="F226" s="20"/>
      <c r="G226" s="19"/>
      <c r="H226" s="19"/>
      <c r="I226" s="20"/>
    </row>
    <row r="227" spans="1:9" ht="13.15">
      <c r="A227" s="19"/>
      <c r="B227" s="19"/>
      <c r="C227" s="19"/>
      <c r="D227" s="19"/>
      <c r="E227" s="19"/>
      <c r="F227" s="20"/>
      <c r="G227" s="19"/>
      <c r="H227" s="19"/>
      <c r="I227" s="20"/>
    </row>
    <row r="228" spans="1:9" ht="13.15">
      <c r="A228" s="19"/>
      <c r="B228" s="19"/>
      <c r="C228" s="19"/>
      <c r="D228" s="19"/>
      <c r="E228" s="19"/>
      <c r="F228" s="20"/>
      <c r="G228" s="19"/>
      <c r="H228" s="19"/>
      <c r="I228" s="20"/>
    </row>
    <row r="229" spans="1:9" ht="13.15">
      <c r="A229" s="19"/>
      <c r="B229" s="19"/>
      <c r="C229" s="19"/>
      <c r="D229" s="19"/>
      <c r="E229" s="19"/>
      <c r="F229" s="20"/>
      <c r="G229" s="19"/>
      <c r="H229" s="19"/>
      <c r="I229" s="20"/>
    </row>
    <row r="230" spans="1:9" ht="13.15">
      <c r="A230" s="19"/>
      <c r="B230" s="19"/>
      <c r="C230" s="19"/>
      <c r="D230" s="19"/>
      <c r="E230" s="19"/>
      <c r="F230" s="20"/>
      <c r="G230" s="19"/>
      <c r="H230" s="19"/>
      <c r="I230" s="20"/>
    </row>
    <row r="231" spans="1:9" ht="13.15">
      <c r="A231" s="19"/>
      <c r="B231" s="19"/>
      <c r="C231" s="19"/>
      <c r="D231" s="19"/>
      <c r="E231" s="19"/>
      <c r="F231" s="20"/>
      <c r="G231" s="19"/>
      <c r="H231" s="19"/>
      <c r="I231" s="20"/>
    </row>
    <row r="232" spans="1:9" ht="13.15">
      <c r="A232" s="19"/>
      <c r="B232" s="19"/>
      <c r="C232" s="19"/>
      <c r="D232" s="19"/>
      <c r="E232" s="19"/>
      <c r="F232" s="20"/>
      <c r="G232" s="19"/>
      <c r="H232" s="19"/>
      <c r="I232" s="20"/>
    </row>
    <row r="233" spans="1:9" ht="13.15">
      <c r="A233" s="19"/>
      <c r="B233" s="19"/>
      <c r="C233" s="19"/>
      <c r="D233" s="19"/>
      <c r="E233" s="19"/>
      <c r="F233" s="20"/>
      <c r="G233" s="19"/>
      <c r="H233" s="19"/>
      <c r="I233" s="20"/>
    </row>
    <row r="234" spans="1:9" ht="13.15">
      <c r="A234" s="19"/>
      <c r="B234" s="19"/>
      <c r="C234" s="19"/>
      <c r="D234" s="19"/>
      <c r="E234" s="19"/>
      <c r="F234" s="20"/>
      <c r="G234" s="19"/>
      <c r="H234" s="19"/>
      <c r="I234" s="20"/>
    </row>
    <row r="235" spans="1:9" ht="13.15">
      <c r="A235" s="19"/>
      <c r="B235" s="19"/>
      <c r="C235" s="19"/>
      <c r="D235" s="19"/>
      <c r="E235" s="19"/>
      <c r="F235" s="20"/>
      <c r="G235" s="19"/>
      <c r="H235" s="19"/>
      <c r="I235" s="20"/>
    </row>
    <row r="236" spans="1:9" ht="13.15">
      <c r="A236" s="19"/>
      <c r="B236" s="19"/>
      <c r="C236" s="19"/>
      <c r="D236" s="19"/>
      <c r="E236" s="19"/>
      <c r="F236" s="20"/>
      <c r="G236" s="19"/>
      <c r="H236" s="19"/>
      <c r="I236" s="20"/>
    </row>
    <row r="237" spans="1:9" ht="13.15">
      <c r="A237" s="19"/>
      <c r="B237" s="19"/>
      <c r="C237" s="19"/>
      <c r="D237" s="19"/>
      <c r="E237" s="19"/>
      <c r="F237" s="20"/>
      <c r="G237" s="19"/>
      <c r="H237" s="19"/>
      <c r="I237" s="20"/>
    </row>
    <row r="238" spans="1:9" ht="13.15">
      <c r="A238" s="19"/>
      <c r="B238" s="19"/>
      <c r="C238" s="19"/>
      <c r="D238" s="19"/>
      <c r="E238" s="19"/>
      <c r="F238" s="20"/>
      <c r="G238" s="19"/>
      <c r="H238" s="19"/>
      <c r="I238" s="20"/>
    </row>
    <row r="239" spans="1:9" ht="13.15">
      <c r="A239" s="19"/>
      <c r="B239" s="19"/>
      <c r="C239" s="19"/>
      <c r="D239" s="19"/>
      <c r="E239" s="19"/>
      <c r="F239" s="20"/>
      <c r="G239" s="19"/>
      <c r="H239" s="19"/>
      <c r="I239" s="20"/>
    </row>
    <row r="240" spans="1:9" ht="13.15">
      <c r="A240" s="19"/>
      <c r="B240" s="19"/>
      <c r="C240" s="19"/>
      <c r="D240" s="19"/>
      <c r="E240" s="19"/>
      <c r="F240" s="20"/>
      <c r="G240" s="19"/>
      <c r="H240" s="19"/>
      <c r="I240" s="20"/>
    </row>
    <row r="241" spans="1:9" ht="13.15">
      <c r="A241" s="19"/>
      <c r="B241" s="19"/>
      <c r="C241" s="19"/>
      <c r="D241" s="19"/>
      <c r="E241" s="19"/>
      <c r="F241" s="20"/>
      <c r="G241" s="19"/>
      <c r="H241" s="19"/>
      <c r="I241" s="20"/>
    </row>
    <row r="242" spans="1:9" ht="13.15">
      <c r="A242" s="19"/>
      <c r="B242" s="19"/>
      <c r="C242" s="19"/>
      <c r="D242" s="19"/>
      <c r="E242" s="19"/>
      <c r="F242" s="20"/>
      <c r="G242" s="19"/>
      <c r="H242" s="19"/>
      <c r="I242" s="20"/>
    </row>
    <row r="243" spans="1:9" ht="13.15">
      <c r="A243" s="19"/>
      <c r="B243" s="19"/>
      <c r="C243" s="19"/>
      <c r="D243" s="19"/>
      <c r="E243" s="19"/>
      <c r="F243" s="20"/>
      <c r="G243" s="19"/>
      <c r="H243" s="19"/>
      <c r="I243" s="20"/>
    </row>
    <row r="244" spans="1:9" ht="13.15">
      <c r="A244" s="19"/>
      <c r="B244" s="19"/>
      <c r="C244" s="19"/>
      <c r="D244" s="19"/>
      <c r="E244" s="19"/>
      <c r="F244" s="20"/>
      <c r="G244" s="19"/>
      <c r="H244" s="19"/>
      <c r="I244" s="20"/>
    </row>
    <row r="245" spans="1:9" ht="13.15">
      <c r="A245" s="19"/>
      <c r="B245" s="19"/>
      <c r="C245" s="19"/>
      <c r="D245" s="19"/>
      <c r="E245" s="19"/>
      <c r="F245" s="20"/>
      <c r="G245" s="19"/>
      <c r="H245" s="19"/>
      <c r="I245" s="20"/>
    </row>
    <row r="246" spans="1:9" ht="13.15">
      <c r="A246" s="19"/>
      <c r="B246" s="19"/>
      <c r="C246" s="19"/>
      <c r="D246" s="19"/>
      <c r="E246" s="19"/>
      <c r="F246" s="20"/>
      <c r="G246" s="19"/>
      <c r="H246" s="19"/>
      <c r="I246" s="20"/>
    </row>
    <row r="247" spans="1:9" ht="13.15">
      <c r="A247" s="19"/>
      <c r="B247" s="19"/>
      <c r="C247" s="19"/>
      <c r="D247" s="19"/>
      <c r="E247" s="19"/>
      <c r="F247" s="20"/>
      <c r="G247" s="19"/>
      <c r="H247" s="19"/>
      <c r="I247" s="20"/>
    </row>
    <row r="248" spans="1:9" ht="13.15">
      <c r="A248" s="19"/>
      <c r="B248" s="19"/>
      <c r="C248" s="19"/>
      <c r="D248" s="19"/>
      <c r="E248" s="19"/>
      <c r="F248" s="20"/>
      <c r="G248" s="19"/>
      <c r="H248" s="19"/>
      <c r="I248" s="20"/>
    </row>
    <row r="249" spans="1:9" ht="13.15">
      <c r="A249" s="19"/>
      <c r="B249" s="19"/>
      <c r="C249" s="19"/>
      <c r="D249" s="19"/>
      <c r="E249" s="19"/>
      <c r="F249" s="20"/>
      <c r="G249" s="19"/>
      <c r="H249" s="19"/>
      <c r="I249" s="20"/>
    </row>
    <row r="250" spans="1:9" ht="13.15">
      <c r="A250" s="19"/>
      <c r="B250" s="19"/>
      <c r="C250" s="19"/>
      <c r="D250" s="19"/>
      <c r="E250" s="19"/>
      <c r="F250" s="20"/>
      <c r="G250" s="19"/>
      <c r="H250" s="19"/>
      <c r="I250" s="20"/>
    </row>
    <row r="251" spans="1:9" ht="13.15">
      <c r="A251" s="19"/>
      <c r="B251" s="19"/>
      <c r="C251" s="19"/>
      <c r="D251" s="19"/>
      <c r="E251" s="19"/>
      <c r="F251" s="20"/>
      <c r="G251" s="19"/>
      <c r="H251" s="19"/>
      <c r="I251" s="20"/>
    </row>
    <row r="252" spans="1:9" ht="13.15">
      <c r="A252" s="19"/>
      <c r="B252" s="19"/>
      <c r="C252" s="19"/>
      <c r="D252" s="19"/>
      <c r="E252" s="19"/>
      <c r="F252" s="20"/>
      <c r="G252" s="19"/>
      <c r="H252" s="19"/>
      <c r="I252" s="20"/>
    </row>
    <row r="253" spans="1:9" ht="13.15">
      <c r="A253" s="19"/>
      <c r="B253" s="19"/>
      <c r="C253" s="19"/>
      <c r="D253" s="19"/>
      <c r="E253" s="19"/>
      <c r="F253" s="20"/>
      <c r="G253" s="19"/>
      <c r="H253" s="19"/>
      <c r="I253" s="20"/>
    </row>
    <row r="254" spans="1:9" ht="13.15">
      <c r="A254" s="19"/>
      <c r="B254" s="19"/>
      <c r="C254" s="19"/>
      <c r="D254" s="19"/>
      <c r="E254" s="19"/>
      <c r="F254" s="20"/>
      <c r="G254" s="19"/>
      <c r="H254" s="19"/>
      <c r="I254" s="20"/>
    </row>
    <row r="255" spans="1:9" ht="13.15">
      <c r="A255" s="19"/>
      <c r="B255" s="19"/>
      <c r="C255" s="19"/>
      <c r="D255" s="19"/>
      <c r="E255" s="19"/>
      <c r="F255" s="20"/>
      <c r="G255" s="19"/>
      <c r="H255" s="19"/>
      <c r="I255" s="20"/>
    </row>
    <row r="256" spans="1:9" ht="13.15">
      <c r="A256" s="19"/>
      <c r="B256" s="19"/>
      <c r="C256" s="19"/>
      <c r="D256" s="19"/>
      <c r="E256" s="19"/>
      <c r="F256" s="20"/>
      <c r="G256" s="19"/>
      <c r="H256" s="19"/>
      <c r="I256" s="20"/>
    </row>
    <row r="257" spans="1:9" ht="13.15">
      <c r="A257" s="19"/>
      <c r="B257" s="19"/>
      <c r="C257" s="19"/>
      <c r="D257" s="19"/>
      <c r="E257" s="19"/>
      <c r="F257" s="20"/>
      <c r="G257" s="19"/>
      <c r="H257" s="19"/>
      <c r="I257" s="20"/>
    </row>
    <row r="258" spans="1:9" ht="13.15">
      <c r="A258" s="19"/>
      <c r="B258" s="19"/>
      <c r="C258" s="19"/>
      <c r="D258" s="19"/>
      <c r="E258" s="19"/>
      <c r="F258" s="20"/>
      <c r="G258" s="19"/>
      <c r="H258" s="19"/>
      <c r="I258" s="20"/>
    </row>
    <row r="259" spans="1:9" ht="13.15">
      <c r="A259" s="19"/>
      <c r="B259" s="19"/>
      <c r="C259" s="19"/>
      <c r="D259" s="19"/>
      <c r="E259" s="19"/>
      <c r="F259" s="20"/>
      <c r="G259" s="19"/>
      <c r="H259" s="19"/>
      <c r="I259" s="20"/>
    </row>
    <row r="260" spans="1:9" ht="13.15">
      <c r="A260" s="19"/>
      <c r="B260" s="19"/>
      <c r="C260" s="19"/>
      <c r="D260" s="19"/>
      <c r="E260" s="19"/>
      <c r="F260" s="20"/>
      <c r="G260" s="19"/>
      <c r="H260" s="19"/>
      <c r="I260" s="20"/>
    </row>
    <row r="261" spans="1:9" ht="13.15">
      <c r="A261" s="19"/>
      <c r="B261" s="19"/>
      <c r="C261" s="19"/>
      <c r="D261" s="19"/>
      <c r="E261" s="19"/>
      <c r="F261" s="20"/>
      <c r="G261" s="19"/>
      <c r="H261" s="19"/>
      <c r="I261" s="20"/>
    </row>
    <row r="262" spans="1:9" ht="13.15">
      <c r="A262" s="19"/>
      <c r="B262" s="19"/>
      <c r="C262" s="19"/>
      <c r="D262" s="19"/>
      <c r="E262" s="19"/>
      <c r="F262" s="20"/>
      <c r="G262" s="19"/>
      <c r="H262" s="19"/>
      <c r="I262" s="20"/>
    </row>
    <row r="263" spans="1:9" ht="13.15">
      <c r="A263" s="19"/>
      <c r="B263" s="19"/>
      <c r="C263" s="19"/>
      <c r="D263" s="19"/>
      <c r="E263" s="19"/>
      <c r="F263" s="20"/>
      <c r="G263" s="19"/>
      <c r="H263" s="19"/>
      <c r="I263" s="20"/>
    </row>
    <row r="264" spans="1:9" ht="13.15">
      <c r="A264" s="19"/>
      <c r="B264" s="19"/>
      <c r="C264" s="19"/>
      <c r="D264" s="19"/>
      <c r="E264" s="19"/>
      <c r="F264" s="20"/>
      <c r="G264" s="19"/>
      <c r="H264" s="19"/>
      <c r="I264" s="20"/>
    </row>
    <row r="265" spans="1:9" ht="13.15">
      <c r="A265" s="19"/>
      <c r="B265" s="19"/>
      <c r="C265" s="19"/>
      <c r="D265" s="19"/>
      <c r="E265" s="19"/>
      <c r="F265" s="20"/>
      <c r="G265" s="19"/>
      <c r="H265" s="19"/>
      <c r="I265" s="20"/>
    </row>
    <row r="266" spans="1:9" ht="13.15">
      <c r="A266" s="19"/>
      <c r="B266" s="19"/>
      <c r="C266" s="19"/>
      <c r="D266" s="19"/>
      <c r="E266" s="19"/>
      <c r="F266" s="20"/>
      <c r="G266" s="19"/>
      <c r="H266" s="19"/>
      <c r="I266" s="20"/>
    </row>
    <row r="267" spans="1:9" ht="13.15">
      <c r="A267" s="19"/>
      <c r="B267" s="19"/>
      <c r="C267" s="19"/>
      <c r="D267" s="19"/>
      <c r="E267" s="19"/>
      <c r="F267" s="20"/>
      <c r="G267" s="19"/>
      <c r="H267" s="19"/>
      <c r="I267" s="20"/>
    </row>
    <row r="268" spans="1:9" ht="13.15">
      <c r="A268" s="19"/>
      <c r="B268" s="19"/>
      <c r="C268" s="19"/>
      <c r="D268" s="19"/>
      <c r="E268" s="19"/>
      <c r="F268" s="20"/>
      <c r="G268" s="19"/>
      <c r="H268" s="19"/>
      <c r="I268" s="20"/>
    </row>
    <row r="269" spans="1:9" ht="13.15">
      <c r="A269" s="19"/>
      <c r="B269" s="19"/>
      <c r="C269" s="19"/>
      <c r="D269" s="19"/>
      <c r="E269" s="19"/>
      <c r="F269" s="20"/>
      <c r="G269" s="19"/>
      <c r="H269" s="19"/>
      <c r="I269" s="20"/>
    </row>
    <row r="270" spans="1:9" ht="13.15">
      <c r="A270" s="19"/>
      <c r="B270" s="19"/>
      <c r="C270" s="19"/>
      <c r="D270" s="19"/>
      <c r="E270" s="19"/>
      <c r="F270" s="20"/>
      <c r="G270" s="19"/>
      <c r="H270" s="19"/>
      <c r="I270" s="20"/>
    </row>
    <row r="271" spans="1:9" ht="13.15">
      <c r="A271" s="19"/>
      <c r="B271" s="19"/>
      <c r="C271" s="19"/>
      <c r="D271" s="19"/>
      <c r="E271" s="19"/>
      <c r="F271" s="20"/>
      <c r="G271" s="19"/>
      <c r="H271" s="19"/>
      <c r="I271" s="20"/>
    </row>
    <row r="272" spans="1:9" ht="13.15">
      <c r="A272" s="19"/>
      <c r="B272" s="19"/>
      <c r="C272" s="19"/>
      <c r="D272" s="19"/>
      <c r="E272" s="19"/>
      <c r="F272" s="20"/>
      <c r="G272" s="19"/>
      <c r="H272" s="19"/>
      <c r="I272" s="20"/>
    </row>
    <row r="273" spans="1:9" ht="13.15">
      <c r="A273" s="19"/>
      <c r="B273" s="19"/>
      <c r="C273" s="19"/>
      <c r="D273" s="19"/>
      <c r="E273" s="19"/>
      <c r="F273" s="20"/>
      <c r="G273" s="19"/>
      <c r="H273" s="19"/>
      <c r="I273" s="20"/>
    </row>
    <row r="274" spans="1:9" ht="13.15">
      <c r="A274" s="19"/>
      <c r="B274" s="19"/>
      <c r="C274" s="19"/>
      <c r="D274" s="19"/>
      <c r="E274" s="19"/>
      <c r="F274" s="20"/>
      <c r="G274" s="19"/>
      <c r="H274" s="19"/>
      <c r="I274" s="20"/>
    </row>
    <row r="275" spans="1:9" ht="13.15">
      <c r="A275" s="19"/>
      <c r="B275" s="19"/>
      <c r="C275" s="19"/>
      <c r="D275" s="19"/>
      <c r="E275" s="19"/>
      <c r="F275" s="20"/>
      <c r="G275" s="19"/>
      <c r="H275" s="19"/>
      <c r="I275" s="20"/>
    </row>
    <row r="276" spans="1:9" ht="13.15">
      <c r="A276" s="19"/>
      <c r="B276" s="19"/>
      <c r="C276" s="19"/>
      <c r="D276" s="19"/>
      <c r="E276" s="19"/>
      <c r="F276" s="20"/>
      <c r="G276" s="19"/>
      <c r="H276" s="19"/>
      <c r="I276" s="20"/>
    </row>
    <row r="277" spans="1:9" ht="13.15">
      <c r="A277" s="19"/>
      <c r="B277" s="19"/>
      <c r="C277" s="19"/>
      <c r="D277" s="19"/>
      <c r="E277" s="19"/>
      <c r="F277" s="20"/>
      <c r="G277" s="19"/>
      <c r="H277" s="19"/>
      <c r="I277" s="20"/>
    </row>
    <row r="278" spans="1:9" ht="13.15">
      <c r="A278" s="19"/>
      <c r="B278" s="19"/>
      <c r="C278" s="19"/>
      <c r="D278" s="19"/>
      <c r="E278" s="19"/>
      <c r="F278" s="20"/>
      <c r="G278" s="19"/>
      <c r="H278" s="19"/>
      <c r="I278" s="20"/>
    </row>
    <row r="279" spans="1:9" ht="13.15">
      <c r="A279" s="19"/>
      <c r="B279" s="19"/>
      <c r="C279" s="19"/>
      <c r="D279" s="19"/>
      <c r="E279" s="19"/>
      <c r="F279" s="20"/>
      <c r="G279" s="19"/>
      <c r="H279" s="19"/>
      <c r="I279" s="20"/>
    </row>
    <row r="280" spans="1:9" ht="13.15">
      <c r="A280" s="19"/>
      <c r="B280" s="19"/>
      <c r="C280" s="19"/>
      <c r="D280" s="19"/>
      <c r="E280" s="19"/>
      <c r="F280" s="20"/>
      <c r="G280" s="19"/>
      <c r="H280" s="19"/>
      <c r="I280" s="20"/>
    </row>
    <row r="281" spans="1:9" ht="13.15">
      <c r="A281" s="19"/>
      <c r="B281" s="19"/>
      <c r="C281" s="19"/>
      <c r="D281" s="19"/>
      <c r="E281" s="19"/>
      <c r="F281" s="20"/>
      <c r="G281" s="19"/>
      <c r="H281" s="19"/>
      <c r="I281" s="20"/>
    </row>
    <row r="282" spans="1:9" ht="13.15">
      <c r="A282" s="19"/>
      <c r="B282" s="19"/>
      <c r="C282" s="19"/>
      <c r="D282" s="19"/>
      <c r="E282" s="19"/>
      <c r="F282" s="20"/>
      <c r="G282" s="19"/>
      <c r="H282" s="19"/>
      <c r="I282" s="20"/>
    </row>
    <row r="283" spans="1:9" ht="13.15">
      <c r="A283" s="19"/>
      <c r="B283" s="19"/>
      <c r="C283" s="19"/>
      <c r="D283" s="19"/>
      <c r="E283" s="19"/>
      <c r="F283" s="20"/>
      <c r="G283" s="19"/>
      <c r="H283" s="19"/>
      <c r="I283" s="20"/>
    </row>
    <row r="284" spans="1:9" ht="13.15">
      <c r="A284" s="19"/>
      <c r="B284" s="19"/>
      <c r="C284" s="19"/>
      <c r="D284" s="19"/>
      <c r="E284" s="19"/>
      <c r="F284" s="20"/>
      <c r="G284" s="19"/>
      <c r="H284" s="19"/>
      <c r="I284" s="20"/>
    </row>
    <row r="285" spans="1:9" ht="13.15">
      <c r="A285" s="19"/>
      <c r="B285" s="19"/>
      <c r="C285" s="19"/>
      <c r="D285" s="19"/>
      <c r="E285" s="19"/>
      <c r="F285" s="20"/>
      <c r="G285" s="19"/>
      <c r="H285" s="19"/>
      <c r="I285" s="20"/>
    </row>
    <row r="286" spans="1:9" ht="13.15">
      <c r="A286" s="19"/>
      <c r="B286" s="19"/>
      <c r="C286" s="19"/>
      <c r="D286" s="19"/>
      <c r="E286" s="19"/>
      <c r="F286" s="20"/>
      <c r="G286" s="19"/>
      <c r="H286" s="19"/>
      <c r="I286" s="20"/>
    </row>
    <row r="287" spans="1:9" ht="13.15">
      <c r="A287" s="19"/>
      <c r="B287" s="19"/>
      <c r="C287" s="19"/>
      <c r="D287" s="19"/>
      <c r="E287" s="19"/>
      <c r="F287" s="20"/>
      <c r="G287" s="19"/>
      <c r="H287" s="19"/>
      <c r="I287" s="20"/>
    </row>
    <row r="288" spans="1:9" ht="13.15">
      <c r="A288" s="19"/>
      <c r="B288" s="19"/>
      <c r="C288" s="19"/>
      <c r="D288" s="19"/>
      <c r="E288" s="19"/>
      <c r="F288" s="20"/>
      <c r="G288" s="19"/>
      <c r="H288" s="19"/>
      <c r="I288" s="20"/>
    </row>
    <row r="289" spans="1:9" ht="13.15">
      <c r="A289" s="19"/>
      <c r="B289" s="19"/>
      <c r="C289" s="19"/>
      <c r="D289" s="19"/>
      <c r="E289" s="19"/>
      <c r="F289" s="20"/>
      <c r="G289" s="19"/>
      <c r="H289" s="19"/>
      <c r="I289" s="20"/>
    </row>
    <row r="290" spans="1:9" ht="13.15">
      <c r="A290" s="19"/>
      <c r="B290" s="19"/>
      <c r="C290" s="19"/>
      <c r="D290" s="19"/>
      <c r="E290" s="19"/>
      <c r="F290" s="20"/>
      <c r="G290" s="19"/>
      <c r="H290" s="19"/>
      <c r="I290" s="20"/>
    </row>
    <row r="291" spans="1:9" ht="13.15">
      <c r="A291" s="19"/>
      <c r="B291" s="19"/>
      <c r="C291" s="19"/>
      <c r="D291" s="19"/>
      <c r="E291" s="19"/>
      <c r="F291" s="20"/>
      <c r="G291" s="19"/>
      <c r="H291" s="19"/>
      <c r="I291" s="20"/>
    </row>
    <row r="292" spans="1:9" ht="13.15">
      <c r="A292" s="19"/>
      <c r="B292" s="19"/>
      <c r="C292" s="19"/>
      <c r="D292" s="19"/>
      <c r="E292" s="19"/>
      <c r="F292" s="20"/>
      <c r="G292" s="19"/>
      <c r="H292" s="19"/>
      <c r="I292" s="20"/>
    </row>
    <row r="293" spans="1:9" ht="13.15">
      <c r="A293" s="19"/>
      <c r="B293" s="19"/>
      <c r="C293" s="19"/>
      <c r="D293" s="19"/>
      <c r="E293" s="19"/>
      <c r="F293" s="20"/>
      <c r="G293" s="19"/>
      <c r="H293" s="19"/>
      <c r="I293" s="20"/>
    </row>
    <row r="294" spans="1:9" ht="13.15">
      <c r="A294" s="19"/>
      <c r="B294" s="19"/>
      <c r="C294" s="19"/>
      <c r="D294" s="19"/>
      <c r="E294" s="19"/>
      <c r="F294" s="20"/>
      <c r="G294" s="19"/>
      <c r="H294" s="19"/>
      <c r="I294" s="20"/>
    </row>
    <row r="295" spans="1:9" ht="13.15">
      <c r="A295" s="19"/>
      <c r="B295" s="19"/>
      <c r="C295" s="19"/>
      <c r="D295" s="19"/>
      <c r="E295" s="19"/>
      <c r="F295" s="20"/>
      <c r="G295" s="19"/>
      <c r="H295" s="19"/>
      <c r="I295" s="20"/>
    </row>
    <row r="296" spans="1:9" ht="13.15">
      <c r="A296" s="19"/>
      <c r="B296" s="19"/>
      <c r="C296" s="19"/>
      <c r="D296" s="19"/>
      <c r="E296" s="19"/>
      <c r="F296" s="20"/>
      <c r="G296" s="19"/>
      <c r="H296" s="19"/>
      <c r="I296" s="20"/>
    </row>
    <row r="297" spans="1:9" ht="13.15">
      <c r="A297" s="19"/>
      <c r="B297" s="19"/>
      <c r="C297" s="19"/>
      <c r="D297" s="19"/>
      <c r="E297" s="19"/>
      <c r="F297" s="20"/>
      <c r="G297" s="19"/>
      <c r="H297" s="19"/>
      <c r="I297" s="20"/>
    </row>
    <row r="298" spans="1:9" ht="13.15">
      <c r="A298" s="19"/>
      <c r="B298" s="19"/>
      <c r="C298" s="19"/>
      <c r="D298" s="19"/>
      <c r="E298" s="19"/>
      <c r="F298" s="20"/>
      <c r="G298" s="19"/>
      <c r="H298" s="19"/>
      <c r="I298" s="20"/>
    </row>
    <row r="299" spans="1:9" ht="13.15">
      <c r="A299" s="19"/>
      <c r="B299" s="19"/>
      <c r="C299" s="19"/>
      <c r="D299" s="19"/>
      <c r="E299" s="19"/>
      <c r="F299" s="20"/>
      <c r="G299" s="19"/>
      <c r="H299" s="19"/>
      <c r="I299" s="20"/>
    </row>
    <row r="300" spans="1:9" ht="13.15">
      <c r="A300" s="19"/>
      <c r="B300" s="19"/>
      <c r="C300" s="19"/>
      <c r="D300" s="19"/>
      <c r="E300" s="19"/>
      <c r="F300" s="20"/>
      <c r="G300" s="19"/>
      <c r="H300" s="19"/>
      <c r="I300" s="20"/>
    </row>
    <row r="301" spans="1:9" ht="13.15">
      <c r="A301" s="19"/>
      <c r="B301" s="19"/>
      <c r="C301" s="19"/>
      <c r="D301" s="19"/>
      <c r="E301" s="19"/>
      <c r="F301" s="20"/>
      <c r="G301" s="19"/>
      <c r="H301" s="19"/>
      <c r="I301" s="20"/>
    </row>
    <row r="302" spans="1:9" ht="13.15">
      <c r="A302" s="19"/>
      <c r="B302" s="19"/>
      <c r="C302" s="19"/>
      <c r="D302" s="19"/>
      <c r="E302" s="19"/>
      <c r="F302" s="20"/>
      <c r="G302" s="19"/>
      <c r="H302" s="19"/>
      <c r="I302" s="20"/>
    </row>
    <row r="303" spans="1:9" ht="13.15">
      <c r="A303" s="19"/>
      <c r="B303" s="19"/>
      <c r="C303" s="19"/>
      <c r="D303" s="19"/>
      <c r="E303" s="19"/>
      <c r="F303" s="20"/>
      <c r="G303" s="19"/>
      <c r="H303" s="19"/>
      <c r="I303" s="20"/>
    </row>
    <row r="304" spans="1:9" ht="13.15">
      <c r="A304" s="19"/>
      <c r="B304" s="19"/>
      <c r="C304" s="19"/>
      <c r="D304" s="19"/>
      <c r="E304" s="19"/>
      <c r="F304" s="20"/>
      <c r="G304" s="19"/>
      <c r="H304" s="19"/>
      <c r="I304" s="20"/>
    </row>
    <row r="305" spans="1:9" ht="13.15">
      <c r="A305" s="19"/>
      <c r="B305" s="19"/>
      <c r="C305" s="19"/>
      <c r="D305" s="19"/>
      <c r="E305" s="19"/>
      <c r="F305" s="20"/>
      <c r="G305" s="19"/>
      <c r="H305" s="19"/>
      <c r="I305" s="20"/>
    </row>
    <row r="306" spans="1:9" ht="13.15">
      <c r="A306" s="19"/>
      <c r="B306" s="19"/>
      <c r="C306" s="19"/>
      <c r="D306" s="19"/>
      <c r="E306" s="19"/>
      <c r="F306" s="20"/>
      <c r="G306" s="19"/>
      <c r="H306" s="19"/>
      <c r="I306" s="20"/>
    </row>
    <row r="307" spans="1:9" ht="13.15">
      <c r="A307" s="19"/>
      <c r="B307" s="19"/>
      <c r="C307" s="19"/>
      <c r="D307" s="19"/>
      <c r="E307" s="19"/>
      <c r="F307" s="20"/>
      <c r="G307" s="19"/>
      <c r="H307" s="19"/>
      <c r="I307" s="20"/>
    </row>
    <row r="308" spans="1:9" ht="13.15">
      <c r="A308" s="19"/>
      <c r="B308" s="19"/>
      <c r="C308" s="19"/>
      <c r="D308" s="19"/>
      <c r="E308" s="19"/>
      <c r="F308" s="20"/>
      <c r="G308" s="19"/>
      <c r="H308" s="19"/>
      <c r="I308" s="20"/>
    </row>
    <row r="309" spans="1:9" ht="13.15">
      <c r="A309" s="19"/>
      <c r="B309" s="19"/>
      <c r="C309" s="19"/>
      <c r="D309" s="19"/>
      <c r="E309" s="19"/>
      <c r="F309" s="20"/>
      <c r="G309" s="19"/>
      <c r="H309" s="19"/>
      <c r="I309" s="20"/>
    </row>
    <row r="310" spans="1:9" ht="13.15">
      <c r="A310" s="19"/>
      <c r="B310" s="19"/>
      <c r="C310" s="19"/>
      <c r="D310" s="19"/>
      <c r="E310" s="19"/>
      <c r="F310" s="20"/>
      <c r="G310" s="19"/>
      <c r="H310" s="19"/>
      <c r="I310" s="20"/>
    </row>
    <row r="311" spans="1:9" ht="13.15">
      <c r="A311" s="19"/>
      <c r="B311" s="19"/>
      <c r="C311" s="19"/>
      <c r="D311" s="19"/>
      <c r="E311" s="19"/>
      <c r="F311" s="20"/>
      <c r="G311" s="19"/>
      <c r="H311" s="19"/>
      <c r="I311" s="20"/>
    </row>
    <row r="312" spans="1:9" ht="13.15">
      <c r="A312" s="19"/>
      <c r="B312" s="19"/>
      <c r="C312" s="19"/>
      <c r="D312" s="19"/>
      <c r="E312" s="19"/>
      <c r="F312" s="20"/>
      <c r="G312" s="19"/>
      <c r="H312" s="19"/>
      <c r="I312" s="20"/>
    </row>
    <row r="313" spans="1:9" ht="13.15">
      <c r="A313" s="19"/>
      <c r="B313" s="19"/>
      <c r="C313" s="19"/>
      <c r="D313" s="19"/>
      <c r="E313" s="19"/>
      <c r="F313" s="20"/>
      <c r="G313" s="19"/>
      <c r="H313" s="19"/>
      <c r="I313" s="20"/>
    </row>
    <row r="314" spans="1:9" ht="13.15">
      <c r="A314" s="19"/>
      <c r="B314" s="19"/>
      <c r="C314" s="19"/>
      <c r="D314" s="19"/>
      <c r="E314" s="19"/>
      <c r="F314" s="20"/>
      <c r="G314" s="19"/>
      <c r="H314" s="19"/>
      <c r="I314" s="20"/>
    </row>
    <row r="315" spans="1:9" ht="13.15">
      <c r="A315" s="19"/>
      <c r="B315" s="19"/>
      <c r="C315" s="19"/>
      <c r="D315" s="19"/>
      <c r="E315" s="19"/>
      <c r="F315" s="20"/>
      <c r="G315" s="19"/>
      <c r="H315" s="19"/>
      <c r="I315" s="20"/>
    </row>
    <row r="316" spans="1:9" ht="13.15">
      <c r="A316" s="19"/>
      <c r="B316" s="19"/>
      <c r="C316" s="19"/>
      <c r="D316" s="19"/>
      <c r="E316" s="19"/>
      <c r="F316" s="20"/>
      <c r="G316" s="19"/>
      <c r="H316" s="19"/>
      <c r="I316" s="20"/>
    </row>
    <row r="317" spans="1:9" ht="13.15">
      <c r="A317" s="19"/>
      <c r="B317" s="19"/>
      <c r="C317" s="19"/>
      <c r="D317" s="19"/>
      <c r="E317" s="19"/>
      <c r="F317" s="20"/>
      <c r="G317" s="19"/>
      <c r="H317" s="19"/>
      <c r="I317" s="20"/>
    </row>
    <row r="318" spans="1:9" ht="13.15">
      <c r="A318" s="19"/>
      <c r="B318" s="19"/>
      <c r="C318" s="19"/>
      <c r="D318" s="19"/>
      <c r="E318" s="19"/>
      <c r="F318" s="20"/>
      <c r="G318" s="19"/>
      <c r="H318" s="19"/>
      <c r="I318" s="20"/>
    </row>
    <row r="319" spans="1:9" ht="13.15">
      <c r="A319" s="19"/>
      <c r="B319" s="19"/>
      <c r="C319" s="19"/>
      <c r="D319" s="19"/>
      <c r="E319" s="19"/>
      <c r="F319" s="20"/>
      <c r="G319" s="19"/>
      <c r="H319" s="19"/>
      <c r="I319" s="20"/>
    </row>
    <row r="320" spans="1:9" ht="13.15">
      <c r="A320" s="19"/>
      <c r="B320" s="19"/>
      <c r="C320" s="19"/>
      <c r="D320" s="19"/>
      <c r="E320" s="19"/>
      <c r="F320" s="20"/>
      <c r="G320" s="19"/>
      <c r="H320" s="19"/>
      <c r="I320" s="20"/>
    </row>
    <row r="321" spans="1:9" ht="13.15">
      <c r="A321" s="19"/>
      <c r="B321" s="19"/>
      <c r="C321" s="19"/>
      <c r="D321" s="19"/>
      <c r="E321" s="19"/>
      <c r="F321" s="20"/>
      <c r="G321" s="19"/>
      <c r="H321" s="19"/>
      <c r="I321" s="20"/>
    </row>
    <row r="322" spans="1:9" ht="13.15">
      <c r="A322" s="19"/>
      <c r="B322" s="19"/>
      <c r="C322" s="19"/>
      <c r="D322" s="19"/>
      <c r="E322" s="19"/>
      <c r="F322" s="20"/>
      <c r="G322" s="19"/>
      <c r="H322" s="19"/>
      <c r="I322" s="20"/>
    </row>
  </sheetData>
  <autoFilter ref="A2:I2" xr:uid="{D5C25034-9971-4A61-864F-C938F31EB1B8}"/>
  <mergeCells count="4">
    <mergeCell ref="G1:I1"/>
    <mergeCell ref="A1:C1"/>
    <mergeCell ref="D1:F1"/>
    <mergeCell ref="A2:B2"/>
  </mergeCells>
  <conditionalFormatting sqref="F2 I2 F4:F80 I4:I80">
    <cfRule type="cellIs" dxfId="57" priority="1" stopIfTrue="1" operator="lessThanOrEqual">
      <formula>-0.1</formula>
    </cfRule>
    <cfRule type="expression" dxfId="56"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8" activePane="bottomRight" state="frozen"/>
      <selection pane="bottomRight" activeCell="G2" sqref="G2"/>
      <selection pane="bottomLeft" activeCell="F27" sqref="F27"/>
      <selection pane="topRight" activeCell="F27" sqref="F27"/>
    </sheetView>
  </sheetViews>
  <sheetFormatPr defaultRowHeight="12.75"/>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111" t="str" cm="1">
        <f t="array" ref="A1">portfolio</f>
        <v>GoodFinch</v>
      </c>
      <c r="B1" s="111"/>
      <c r="C1" s="111"/>
      <c r="D1" s="112" t="s">
        <v>10</v>
      </c>
      <c r="E1" s="112"/>
      <c r="F1" s="112"/>
      <c r="G1" s="110" t="s">
        <v>11</v>
      </c>
      <c r="H1" s="110"/>
      <c r="I1" s="110"/>
    </row>
    <row r="2" spans="1:9" ht="19.5" customHeight="1">
      <c r="A2" s="113" t="s">
        <v>2</v>
      </c>
      <c r="B2" s="113"/>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75">
      <c r="A4" s="46" t="str" cm="1">
        <f t="array" ref="A4:A45">Sites[Site]</f>
        <v>AZ: Tempe - ASU - Farmer</v>
      </c>
      <c r="B4" s="9" t="str" cm="1">
        <f t="array" ref="B4:B45">Sites[State]</f>
        <v>AZ</v>
      </c>
      <c r="C4" s="22">
        <f>SUM(Jan!D4, Feb!C4, Mar!C4)</f>
        <v>0</v>
      </c>
      <c r="D4" s="12">
        <f>SUM(Jan!E4, Feb!D4, Mar!D4)</f>
        <v>0</v>
      </c>
      <c r="E4" s="12">
        <f>IF(AND(ISNUMBER(C4),ISNUMBER(D4)), C4-D4, "")</f>
        <v>0</v>
      </c>
      <c r="F4" s="13" t="str">
        <f>IFERROR(E4/D4, "")</f>
        <v/>
      </c>
      <c r="G4" s="14">
        <f>SUM(Jan!H4, Feb!G4, Mar!G4)</f>
        <v>0</v>
      </c>
      <c r="H4" s="14">
        <f>SUM(Jan!I4, Feb!H4, Mar!H4)</f>
        <v>0</v>
      </c>
      <c r="I4" s="15" t="str">
        <f>IFERROR(H4/G4, "")</f>
        <v/>
      </c>
    </row>
    <row r="5" spans="1:9" ht="15.75">
      <c r="A5" s="47" t="str">
        <v>AZ: Tempe - ASU - Fulton</v>
      </c>
      <c r="B5" s="10" t="str">
        <v>AZ</v>
      </c>
      <c r="C5" s="11">
        <f>SUM(Jan!D5, Feb!C5, Mar!C5)</f>
        <v>0</v>
      </c>
      <c r="D5" s="16">
        <f>SUM(Jan!E5, Feb!D5, Mar!D5)</f>
        <v>0</v>
      </c>
      <c r="E5" s="16">
        <f t="shared" ref="E5:E10" si="0">IF(AND(ISNUMBER(C5),ISNUMBER(D5)), C5-D5, "")</f>
        <v>0</v>
      </c>
      <c r="F5" s="17" t="str">
        <f>IFERROR(E5/D5, "")</f>
        <v/>
      </c>
      <c r="G5" s="18">
        <f>SUM(Jan!H5, Feb!G5, Mar!G5)</f>
        <v>0</v>
      </c>
      <c r="H5" s="18">
        <f>SUM(Jan!I5, Feb!H5, Mar!H5)</f>
        <v>0</v>
      </c>
      <c r="I5" s="17" t="str">
        <f>IFERROR(H5/G5, "")</f>
        <v/>
      </c>
    </row>
    <row r="6" spans="1:9" ht="15.75">
      <c r="A6" s="46" t="str">
        <v>AZ: Superior - JFK Elementary</v>
      </c>
      <c r="B6" s="9" t="str">
        <v>AZ</v>
      </c>
      <c r="C6" s="22">
        <f>SUM(Jan!D6, Feb!C6, Mar!C6)</f>
        <v>0</v>
      </c>
      <c r="D6" s="12">
        <f>SUM(Jan!E6, Feb!D6, Mar!D6)</f>
        <v>0</v>
      </c>
      <c r="E6" s="12">
        <f t="shared" si="0"/>
        <v>0</v>
      </c>
      <c r="F6" s="13" t="str">
        <f t="shared" ref="F6:F10" si="1">IFERROR(E6/D6, "")</f>
        <v/>
      </c>
      <c r="G6" s="14">
        <f>SUM(Jan!H6, Feb!G6, Mar!G6)</f>
        <v>0</v>
      </c>
      <c r="H6" s="14">
        <f>SUM(Jan!I6, Feb!H6, Mar!H6)</f>
        <v>0</v>
      </c>
      <c r="I6" s="15" t="str">
        <f t="shared" ref="I6:I10" si="2">IFERROR(H6/G6, "")</f>
        <v/>
      </c>
    </row>
    <row r="7" spans="1:9" ht="15.75">
      <c r="A7" s="47" t="str">
        <v>AZ: Tempe - ASU - Noble</v>
      </c>
      <c r="B7" s="10" t="str">
        <v>AZ</v>
      </c>
      <c r="C7" s="11">
        <f>SUM(Jan!D7, Feb!C7, Mar!C7)</f>
        <v>0</v>
      </c>
      <c r="D7" s="16">
        <f>SUM(Jan!E7, Feb!D7, Mar!D7)</f>
        <v>0</v>
      </c>
      <c r="E7" s="16">
        <f t="shared" si="0"/>
        <v>0</v>
      </c>
      <c r="F7" s="17" t="str">
        <f t="shared" si="1"/>
        <v/>
      </c>
      <c r="G7" s="18">
        <f>SUM(Jan!H7, Feb!G7, Mar!G7)</f>
        <v>0</v>
      </c>
      <c r="H7" s="18">
        <f>SUM(Jan!I7, Feb!H7, Mar!H7)</f>
        <v>0</v>
      </c>
      <c r="I7" s="17" t="str">
        <f t="shared" si="2"/>
        <v/>
      </c>
    </row>
    <row r="8" spans="1:9" ht="15.75">
      <c r="A8" s="46" t="str">
        <v>AZ: Tempe - ASU - Parking #3</v>
      </c>
      <c r="B8" s="9" t="str">
        <v>AZ</v>
      </c>
      <c r="C8" s="22">
        <f>SUM(Jan!D8, Feb!C8, Mar!C8)</f>
        <v>0</v>
      </c>
      <c r="D8" s="12">
        <f>SUM(Jan!E8, Feb!D8, Mar!D8)</f>
        <v>0</v>
      </c>
      <c r="E8" s="12">
        <f t="shared" si="0"/>
        <v>0</v>
      </c>
      <c r="F8" s="13" t="str">
        <f t="shared" si="1"/>
        <v/>
      </c>
      <c r="G8" s="14">
        <f>SUM(Jan!H8, Feb!G8, Mar!G8)</f>
        <v>0</v>
      </c>
      <c r="H8" s="14">
        <f>SUM(Jan!I8, Feb!H8, Mar!H8)</f>
        <v>0</v>
      </c>
      <c r="I8" s="15" t="str">
        <f t="shared" si="2"/>
        <v/>
      </c>
    </row>
    <row r="9" spans="1:9" ht="15.75">
      <c r="A9" s="47" t="str">
        <v>AZ: Tempe - ASU - PE East</v>
      </c>
      <c r="B9" s="10" t="str">
        <v>AZ</v>
      </c>
      <c r="C9" s="11">
        <f>SUM(Jan!D9, Feb!C9, Mar!C9)</f>
        <v>0</v>
      </c>
      <c r="D9" s="16">
        <f>SUM(Jan!E9, Feb!D9, Mar!D9)</f>
        <v>0</v>
      </c>
      <c r="E9" s="16">
        <f t="shared" si="0"/>
        <v>0</v>
      </c>
      <c r="F9" s="17" t="str">
        <f t="shared" si="1"/>
        <v/>
      </c>
      <c r="G9" s="18">
        <f>SUM(Jan!H9, Feb!G9, Mar!G9)</f>
        <v>0</v>
      </c>
      <c r="H9" s="18">
        <f>SUM(Jan!I9, Feb!H9, Mar!H9)</f>
        <v>0</v>
      </c>
      <c r="I9" s="17" t="str">
        <f t="shared" si="2"/>
        <v/>
      </c>
    </row>
    <row r="10" spans="1:9" ht="15.75">
      <c r="A10" s="46" t="str">
        <v>AZ: Tempe - ASU - Schwada</v>
      </c>
      <c r="B10" s="9" t="str">
        <v>AZ</v>
      </c>
      <c r="C10" s="22">
        <f>SUM(Jan!D10, Feb!C10, Mar!C10)</f>
        <v>0</v>
      </c>
      <c r="D10" s="12">
        <f>SUM(Jan!E10, Feb!D10, Mar!D10)</f>
        <v>0</v>
      </c>
      <c r="E10" s="12">
        <f t="shared" si="0"/>
        <v>0</v>
      </c>
      <c r="F10" s="13" t="str">
        <f t="shared" si="1"/>
        <v/>
      </c>
      <c r="G10" s="14">
        <f>SUM(Jan!H10, Feb!G10, Mar!G10)</f>
        <v>0</v>
      </c>
      <c r="H10" s="14">
        <f>SUM(Jan!I10, Feb!H10, Mar!H10)</f>
        <v>0</v>
      </c>
      <c r="I10" s="15" t="str">
        <f t="shared" si="2"/>
        <v/>
      </c>
    </row>
    <row r="11" spans="1:9" ht="15.75">
      <c r="A11" s="47" t="str">
        <v>AZ: Phoenix - Starshine Academy</v>
      </c>
      <c r="B11" s="10" t="str">
        <v>AZ</v>
      </c>
      <c r="C11" s="100">
        <f>SUM(Jan!D11, Feb!C11, Mar!C11)</f>
        <v>0</v>
      </c>
      <c r="D11" s="16">
        <f>SUM(Jan!E11, Feb!D11, Mar!D11)</f>
        <v>0</v>
      </c>
      <c r="E11" s="16">
        <f t="shared" ref="E11:E45" si="3">IF(AND(ISNUMBER(C11),ISNUMBER(D11)), C11-D11, "")</f>
        <v>0</v>
      </c>
      <c r="F11" s="99" t="str">
        <f t="shared" ref="F11:F45" si="4">IFERROR(E11/D11, "")</f>
        <v/>
      </c>
      <c r="G11" s="80">
        <f>SUM(Jan!H11, Feb!G11, Mar!G11)</f>
        <v>0</v>
      </c>
      <c r="H11" s="80">
        <f>SUM(Jan!I11, Feb!H11, Mar!H11)</f>
        <v>0</v>
      </c>
      <c r="I11" s="99" t="str">
        <f t="shared" ref="I11:I45" si="5">IFERROR(H11/G11, "")</f>
        <v/>
      </c>
    </row>
    <row r="12" spans="1:9" ht="15.75">
      <c r="A12" s="46" t="str">
        <v>AZ: Yuma Airport</v>
      </c>
      <c r="B12" s="9" t="str">
        <v>AZ</v>
      </c>
      <c r="C12" s="73">
        <f>SUM(Jan!D12, Feb!C12, Mar!C12)</f>
        <v>0</v>
      </c>
      <c r="D12" s="12">
        <f>SUM(Jan!E12, Feb!D12, Mar!D12)</f>
        <v>0</v>
      </c>
      <c r="E12" s="12">
        <f t="shared" si="3"/>
        <v>0</v>
      </c>
      <c r="F12" s="74" t="str">
        <f t="shared" si="4"/>
        <v/>
      </c>
      <c r="G12" s="75">
        <f>SUM(Jan!H12, Feb!G12, Mar!G12)</f>
        <v>0</v>
      </c>
      <c r="H12" s="75">
        <f>SUM(Jan!I12, Feb!H12, Mar!H12)</f>
        <v>0</v>
      </c>
      <c r="I12" s="76" t="str">
        <f t="shared" si="5"/>
        <v/>
      </c>
    </row>
    <row r="13" spans="1:9" ht="15.75">
      <c r="A13" s="47" t="str">
        <v>AZ: Globe - Gila CC</v>
      </c>
      <c r="B13" s="10" t="str">
        <v>AZ</v>
      </c>
      <c r="C13" s="100">
        <f>SUM(Jan!D13, Feb!C13, Mar!C13)</f>
        <v>0</v>
      </c>
      <c r="D13" s="16">
        <f>SUM(Jan!E13, Feb!D13, Mar!D13)</f>
        <v>0</v>
      </c>
      <c r="E13" s="16">
        <f t="shared" si="3"/>
        <v>0</v>
      </c>
      <c r="F13" s="99" t="str">
        <f t="shared" si="4"/>
        <v/>
      </c>
      <c r="G13" s="80">
        <f>SUM(Jan!H13, Feb!G13, Mar!G13)</f>
        <v>0</v>
      </c>
      <c r="H13" s="80">
        <f>SUM(Jan!I13, Feb!H13, Mar!H13)</f>
        <v>0</v>
      </c>
      <c r="I13" s="99" t="str">
        <f t="shared" si="5"/>
        <v/>
      </c>
    </row>
    <row r="14" spans="1:9" ht="15.75">
      <c r="A14" s="46" t="str">
        <v>AZ: Payson - Gila CC</v>
      </c>
      <c r="B14" s="9" t="str">
        <v>AZ</v>
      </c>
      <c r="C14" s="73">
        <f>SUM(Jan!D14, Feb!C14, Mar!C14)</f>
        <v>0</v>
      </c>
      <c r="D14" s="12">
        <f>SUM(Jan!E14, Feb!D14, Mar!D14)</f>
        <v>0</v>
      </c>
      <c r="E14" s="12">
        <f t="shared" si="3"/>
        <v>0</v>
      </c>
      <c r="F14" s="74" t="str">
        <f t="shared" si="4"/>
        <v/>
      </c>
      <c r="G14" s="75">
        <f>SUM(Jan!H14, Feb!G14, Mar!G14)</f>
        <v>0</v>
      </c>
      <c r="H14" s="75">
        <f>SUM(Jan!I14, Feb!H14, Mar!H14)</f>
        <v>0</v>
      </c>
      <c r="I14" s="76" t="str">
        <f t="shared" si="5"/>
        <v/>
      </c>
    </row>
    <row r="15" spans="1:9" ht="15.75">
      <c r="A15" s="47" t="str">
        <v>AZ: Mesa - Sequoia Charter School</v>
      </c>
      <c r="B15" s="10" t="str">
        <v>AZ</v>
      </c>
      <c r="C15" s="100">
        <f>SUM(Jan!D15, Feb!C15, Mar!C15)</f>
        <v>0</v>
      </c>
      <c r="D15" s="16">
        <f>SUM(Jan!E15, Feb!D15, Mar!D15)</f>
        <v>0</v>
      </c>
      <c r="E15" s="16">
        <f t="shared" si="3"/>
        <v>0</v>
      </c>
      <c r="F15" s="99" t="str">
        <f t="shared" si="4"/>
        <v/>
      </c>
      <c r="G15" s="80">
        <f>SUM(Jan!H15, Feb!G15, Mar!G15)</f>
        <v>0</v>
      </c>
      <c r="H15" s="80">
        <f>SUM(Jan!I15, Feb!H15, Mar!H15)</f>
        <v>0</v>
      </c>
      <c r="I15" s="99" t="str">
        <f t="shared" si="5"/>
        <v/>
      </c>
    </row>
    <row r="16" spans="1:9" ht="15.75">
      <c r="A16" s="46" t="str">
        <v>AZ: Tempe - SCNM</v>
      </c>
      <c r="B16" s="9" t="str">
        <v>AZ</v>
      </c>
      <c r="C16" s="73">
        <f>SUM(Jan!D16, Feb!C16, Mar!C16)</f>
        <v>0</v>
      </c>
      <c r="D16" s="12">
        <f>SUM(Jan!E16, Feb!D16, Mar!D16)</f>
        <v>0</v>
      </c>
      <c r="E16" s="12">
        <f t="shared" si="3"/>
        <v>0</v>
      </c>
      <c r="F16" s="74" t="str">
        <f t="shared" si="4"/>
        <v/>
      </c>
      <c r="G16" s="75">
        <f>SUM(Jan!H16, Feb!G16, Mar!G16)</f>
        <v>0</v>
      </c>
      <c r="H16" s="75">
        <f>SUM(Jan!I16, Feb!H16, Mar!H16)</f>
        <v>0</v>
      </c>
      <c r="I16" s="76" t="str">
        <f t="shared" si="5"/>
        <v/>
      </c>
    </row>
    <row r="17" spans="1:9" ht="15.75">
      <c r="A17" s="47" t="str">
        <v>DE: Newark - Clayton Hall</v>
      </c>
      <c r="B17" s="10" t="str">
        <v>DE</v>
      </c>
      <c r="C17" s="100">
        <f>SUM(Jan!D17, Feb!C17, Mar!C17)</f>
        <v>0</v>
      </c>
      <c r="D17" s="16">
        <f>SUM(Jan!E17, Feb!D17, Mar!D17)</f>
        <v>0</v>
      </c>
      <c r="E17" s="16">
        <f t="shared" si="3"/>
        <v>0</v>
      </c>
      <c r="F17" s="99" t="str">
        <f t="shared" si="4"/>
        <v/>
      </c>
      <c r="G17" s="80">
        <f>SUM(Jan!H17, Feb!G17, Mar!G17)</f>
        <v>0</v>
      </c>
      <c r="H17" s="80">
        <f>SUM(Jan!I17, Feb!H17, Mar!H17)</f>
        <v>0</v>
      </c>
      <c r="I17" s="99" t="str">
        <f t="shared" si="5"/>
        <v/>
      </c>
    </row>
    <row r="18" spans="1:9" ht="15.75">
      <c r="A18" s="46" t="str">
        <v>DE: Newark - UOD Field House</v>
      </c>
      <c r="B18" s="9" t="str">
        <v>DE</v>
      </c>
      <c r="C18" s="73">
        <f>SUM(Jan!D18, Feb!C18, Mar!C18)</f>
        <v>0</v>
      </c>
      <c r="D18" s="12">
        <f>SUM(Jan!E18, Feb!D18, Mar!D18)</f>
        <v>0</v>
      </c>
      <c r="E18" s="12">
        <f t="shared" si="3"/>
        <v>0</v>
      </c>
      <c r="F18" s="74" t="str">
        <f t="shared" si="4"/>
        <v/>
      </c>
      <c r="G18" s="75">
        <f>SUM(Jan!H18, Feb!G18, Mar!G18)</f>
        <v>0</v>
      </c>
      <c r="H18" s="75">
        <f>SUM(Jan!I18, Feb!H18, Mar!H18)</f>
        <v>0</v>
      </c>
      <c r="I18" s="76" t="str">
        <f t="shared" si="5"/>
        <v/>
      </c>
    </row>
    <row r="19" spans="1:9" ht="15.75">
      <c r="A19" s="47" t="str">
        <v>DE: Newark - UOD 461 Wyoming</v>
      </c>
      <c r="B19" s="10" t="str">
        <v>DE</v>
      </c>
      <c r="C19" s="100">
        <f>SUM(Jan!D19, Feb!C19, Mar!C19)</f>
        <v>0</v>
      </c>
      <c r="D19" s="16">
        <f>SUM(Jan!E19, Feb!D19, Mar!D19)</f>
        <v>0</v>
      </c>
      <c r="E19" s="16">
        <f t="shared" si="3"/>
        <v>0</v>
      </c>
      <c r="F19" s="99" t="str">
        <f t="shared" si="4"/>
        <v/>
      </c>
      <c r="G19" s="80">
        <f>SUM(Jan!H19, Feb!G19, Mar!G19)</f>
        <v>0</v>
      </c>
      <c r="H19" s="80">
        <f>SUM(Jan!I19, Feb!H19, Mar!H19)</f>
        <v>0</v>
      </c>
      <c r="I19" s="99" t="str">
        <f t="shared" si="5"/>
        <v/>
      </c>
    </row>
    <row r="20" spans="1:9" ht="15.75">
      <c r="A20" s="46" t="str">
        <v>HI: Waipahu - 94-246 Leoku St - E.F.G.</v>
      </c>
      <c r="B20" s="9" t="str">
        <v>HI</v>
      </c>
      <c r="C20" s="73">
        <f>SUM(Jan!D20, Feb!C20, Mar!C20)</f>
        <v>0</v>
      </c>
      <c r="D20" s="12">
        <f>SUM(Jan!E20, Feb!D20, Mar!D20)</f>
        <v>0</v>
      </c>
      <c r="E20" s="12">
        <f t="shared" si="3"/>
        <v>0</v>
      </c>
      <c r="F20" s="74" t="str">
        <f t="shared" si="4"/>
        <v/>
      </c>
      <c r="G20" s="75">
        <f>SUM(Jan!H20, Feb!G20, Mar!G20)</f>
        <v>0</v>
      </c>
      <c r="H20" s="75">
        <f>SUM(Jan!I20, Feb!H20, Mar!H20)</f>
        <v>0</v>
      </c>
      <c r="I20" s="76" t="str">
        <f t="shared" si="5"/>
        <v/>
      </c>
    </row>
    <row r="21" spans="1:9" ht="15.75">
      <c r="A21" s="47" t="str">
        <v>HI: Waipahu - 94-099 Waipahu St - PV</v>
      </c>
      <c r="B21" s="10" t="str">
        <v>HI</v>
      </c>
      <c r="C21" s="100">
        <f>SUM(Jan!D21, Feb!C21, Mar!C21)</f>
        <v>0</v>
      </c>
      <c r="D21" s="16">
        <f>SUM(Jan!E21, Feb!D21, Mar!D21)</f>
        <v>0</v>
      </c>
      <c r="E21" s="16">
        <f t="shared" si="3"/>
        <v>0</v>
      </c>
      <c r="F21" s="99" t="str">
        <f t="shared" si="4"/>
        <v/>
      </c>
      <c r="G21" s="80">
        <f>SUM(Jan!H21, Feb!G21, Mar!G21)</f>
        <v>0</v>
      </c>
      <c r="H21" s="80">
        <f>SUM(Jan!I21, Feb!H21, Mar!H21)</f>
        <v>0</v>
      </c>
      <c r="I21" s="99" t="str">
        <f t="shared" si="5"/>
        <v/>
      </c>
    </row>
    <row r="22" spans="1:9" ht="15.75">
      <c r="A22" s="46" t="str">
        <v>MD: Presston - Bird-in-Hand</v>
      </c>
      <c r="B22" s="9" t="str">
        <v>MD</v>
      </c>
      <c r="C22" s="73">
        <f>SUM(Jan!D22, Feb!C22, Mar!C22)</f>
        <v>0</v>
      </c>
      <c r="D22" s="12">
        <f>SUM(Jan!E22, Feb!D22, Mar!D22)</f>
        <v>0</v>
      </c>
      <c r="E22" s="12">
        <f t="shared" si="3"/>
        <v>0</v>
      </c>
      <c r="F22" s="74" t="str">
        <f t="shared" si="4"/>
        <v/>
      </c>
      <c r="G22" s="75">
        <f>SUM(Jan!H22, Feb!G22, Mar!G22)</f>
        <v>0</v>
      </c>
      <c r="H22" s="75">
        <f>SUM(Jan!I22, Feb!H22, Mar!H22)</f>
        <v>0</v>
      </c>
      <c r="I22" s="76" t="str">
        <f t="shared" si="5"/>
        <v/>
      </c>
    </row>
    <row r="23" spans="1:9" ht="15.75">
      <c r="A23" s="47" t="str">
        <v>MD: Easton - Shortall</v>
      </c>
      <c r="B23" s="10" t="str">
        <v>MD</v>
      </c>
      <c r="C23" s="100">
        <f>SUM(Jan!D23, Feb!C23, Mar!C23)</f>
        <v>0</v>
      </c>
      <c r="D23" s="16">
        <f>SUM(Jan!E23, Feb!D23, Mar!D23)</f>
        <v>0</v>
      </c>
      <c r="E23" s="16">
        <f t="shared" si="3"/>
        <v>0</v>
      </c>
      <c r="F23" s="99" t="str">
        <f t="shared" si="4"/>
        <v/>
      </c>
      <c r="G23" s="80">
        <f>SUM(Jan!H23, Feb!G23, Mar!G23)</f>
        <v>0</v>
      </c>
      <c r="H23" s="80">
        <f>SUM(Jan!I23, Feb!H23, Mar!H23)</f>
        <v>0</v>
      </c>
      <c r="I23" s="99" t="str">
        <f t="shared" si="5"/>
        <v/>
      </c>
    </row>
    <row r="24" spans="1:9" ht="15.75">
      <c r="A24" s="46" t="str">
        <v>MA: Boston - Seaport Solar</v>
      </c>
      <c r="B24" s="9" t="str">
        <v>MA</v>
      </c>
      <c r="C24" s="73">
        <f>SUM(Jan!D24, Feb!C24, Mar!C24)</f>
        <v>0</v>
      </c>
      <c r="D24" s="12">
        <f>SUM(Jan!E24, Feb!D24, Mar!D24)</f>
        <v>0</v>
      </c>
      <c r="E24" s="12">
        <f t="shared" si="3"/>
        <v>0</v>
      </c>
      <c r="F24" s="74" t="str">
        <f t="shared" si="4"/>
        <v/>
      </c>
      <c r="G24" s="75">
        <f>SUM(Jan!H24, Feb!G24, Mar!G24)</f>
        <v>0</v>
      </c>
      <c r="H24" s="75">
        <f>SUM(Jan!I24, Feb!H24, Mar!H24)</f>
        <v>0</v>
      </c>
      <c r="I24" s="76" t="str">
        <f t="shared" si="5"/>
        <v/>
      </c>
    </row>
    <row r="25" spans="1:9" ht="15.75">
      <c r="A25" s="47" t="str">
        <v>MA: Dedham - Sprague Street</v>
      </c>
      <c r="B25" s="10" t="str">
        <v>MA</v>
      </c>
      <c r="C25" s="100">
        <f>SUM(Jan!D25, Feb!C25, Mar!C25)</f>
        <v>0</v>
      </c>
      <c r="D25" s="16">
        <f>SUM(Jan!E25, Feb!D25, Mar!D25)</f>
        <v>0</v>
      </c>
      <c r="E25" s="16">
        <f t="shared" si="3"/>
        <v>0</v>
      </c>
      <c r="F25" s="99" t="str">
        <f t="shared" si="4"/>
        <v/>
      </c>
      <c r="G25" s="80">
        <f>SUM(Jan!H25, Feb!G25, Mar!G25)</f>
        <v>0</v>
      </c>
      <c r="H25" s="80">
        <f>SUM(Jan!I25, Feb!H25, Mar!H25)</f>
        <v>0</v>
      </c>
      <c r="I25" s="99" t="str">
        <f t="shared" si="5"/>
        <v/>
      </c>
    </row>
    <row r="26" spans="1:9" ht="15.75">
      <c r="A26" s="46" t="str">
        <v>MA: Boston - Summer Street</v>
      </c>
      <c r="B26" s="9" t="str">
        <v>MA</v>
      </c>
      <c r="C26" s="73">
        <f>SUM(Jan!D26, Feb!C26, Mar!C26)</f>
        <v>0</v>
      </c>
      <c r="D26" s="12">
        <f>SUM(Jan!E26, Feb!D26, Mar!D26)</f>
        <v>0</v>
      </c>
      <c r="E26" s="12">
        <f t="shared" si="3"/>
        <v>0</v>
      </c>
      <c r="F26" s="74" t="str">
        <f t="shared" si="4"/>
        <v/>
      </c>
      <c r="G26" s="75">
        <f>SUM(Jan!H26, Feb!G26, Mar!G26)</f>
        <v>0</v>
      </c>
      <c r="H26" s="75">
        <f>SUM(Jan!I26, Feb!H26, Mar!H26)</f>
        <v>0</v>
      </c>
      <c r="I26" s="76" t="str">
        <f t="shared" si="5"/>
        <v/>
      </c>
    </row>
    <row r="27" spans="1:9" ht="15.75">
      <c r="A27" s="47" t="str">
        <v>MA: Leominster - Spectro Coatings</v>
      </c>
      <c r="B27" s="10" t="str">
        <v>MA</v>
      </c>
      <c r="C27" s="100">
        <f>SUM(Jan!D27, Feb!C27, Mar!C27)</f>
        <v>0</v>
      </c>
      <c r="D27" s="16">
        <f>SUM(Jan!E27, Feb!D27, Mar!D27)</f>
        <v>0</v>
      </c>
      <c r="E27" s="16">
        <f t="shared" si="3"/>
        <v>0</v>
      </c>
      <c r="F27" s="99" t="str">
        <f t="shared" si="4"/>
        <v/>
      </c>
      <c r="G27" s="80">
        <f>SUM(Jan!H27, Feb!G27, Mar!G27)</f>
        <v>0</v>
      </c>
      <c r="H27" s="80">
        <f>SUM(Jan!I27, Feb!H27, Mar!H27)</f>
        <v>0</v>
      </c>
      <c r="I27" s="99" t="str">
        <f t="shared" si="5"/>
        <v/>
      </c>
    </row>
    <row r="28" spans="1:9" ht="15.75">
      <c r="A28" s="46" t="str">
        <v>MA: Braintree - RCAB</v>
      </c>
      <c r="B28" s="9" t="str">
        <v>MA</v>
      </c>
      <c r="C28" s="73">
        <f>SUM(Jan!D28, Feb!C28, Mar!C28)</f>
        <v>0</v>
      </c>
      <c r="D28" s="12">
        <f>SUM(Jan!E28, Feb!D28, Mar!D28)</f>
        <v>0</v>
      </c>
      <c r="E28" s="12">
        <f t="shared" si="3"/>
        <v>0</v>
      </c>
      <c r="F28" s="74" t="str">
        <f t="shared" si="4"/>
        <v/>
      </c>
      <c r="G28" s="75">
        <f>SUM(Jan!H28, Feb!G28, Mar!G28)</f>
        <v>0</v>
      </c>
      <c r="H28" s="75">
        <f>SUM(Jan!I28, Feb!H28, Mar!H28)</f>
        <v>0</v>
      </c>
      <c r="I28" s="76" t="str">
        <f t="shared" si="5"/>
        <v/>
      </c>
    </row>
    <row r="29" spans="1:9" ht="15.75">
      <c r="A29" s="47" t="str">
        <v>NH: Rochester - Portland Street</v>
      </c>
      <c r="B29" s="10" t="str">
        <v>NH</v>
      </c>
      <c r="C29" s="100">
        <f>SUM(Jan!D29, Feb!C29, Mar!C29)</f>
        <v>0</v>
      </c>
      <c r="D29" s="16">
        <f>SUM(Jan!E29, Feb!D29, Mar!D29)</f>
        <v>0</v>
      </c>
      <c r="E29" s="16">
        <f t="shared" si="3"/>
        <v>0</v>
      </c>
      <c r="F29" s="99" t="str">
        <f t="shared" si="4"/>
        <v/>
      </c>
      <c r="G29" s="80">
        <f>SUM(Jan!H29, Feb!G29, Mar!G29)</f>
        <v>0</v>
      </c>
      <c r="H29" s="80">
        <f>SUM(Jan!I29, Feb!H29, Mar!H29)</f>
        <v>0</v>
      </c>
      <c r="I29" s="99" t="str">
        <f t="shared" si="5"/>
        <v/>
      </c>
    </row>
    <row r="30" spans="1:9" ht="15.75">
      <c r="A30" s="46" t="str">
        <v>NH: Portsmouth - Portsmouth HS</v>
      </c>
      <c r="B30" s="9" t="str">
        <v>NH</v>
      </c>
      <c r="C30" s="73">
        <f>SUM(Jan!D30, Feb!C30, Mar!C30)</f>
        <v>0</v>
      </c>
      <c r="D30" s="12">
        <f>SUM(Jan!E30, Feb!D30, Mar!D30)</f>
        <v>0</v>
      </c>
      <c r="E30" s="12">
        <f t="shared" si="3"/>
        <v>0</v>
      </c>
      <c r="F30" s="74" t="str">
        <f t="shared" si="4"/>
        <v/>
      </c>
      <c r="G30" s="75">
        <f>SUM(Jan!H30, Feb!G30, Mar!G30)</f>
        <v>0</v>
      </c>
      <c r="H30" s="75">
        <f>SUM(Jan!I30, Feb!H30, Mar!H30)</f>
        <v>0</v>
      </c>
      <c r="I30" s="76" t="str">
        <f t="shared" si="5"/>
        <v/>
      </c>
    </row>
    <row r="31" spans="1:9" ht="15.75">
      <c r="A31" s="47" t="str">
        <v>NH: Portsmouth - Portsmouth WTP</v>
      </c>
      <c r="B31" s="10" t="str">
        <v>NH</v>
      </c>
      <c r="C31" s="100">
        <f>SUM(Jan!D31, Feb!C31, Mar!C31)</f>
        <v>0</v>
      </c>
      <c r="D31" s="16">
        <f>SUM(Jan!E31, Feb!D31, Mar!D31)</f>
        <v>0</v>
      </c>
      <c r="E31" s="16">
        <f t="shared" si="3"/>
        <v>0</v>
      </c>
      <c r="F31" s="99" t="str">
        <f t="shared" si="4"/>
        <v/>
      </c>
      <c r="G31" s="80">
        <f>SUM(Jan!H31, Feb!G31, Mar!G31)</f>
        <v>0</v>
      </c>
      <c r="H31" s="80">
        <f>SUM(Jan!I31, Feb!H31, Mar!H31)</f>
        <v>0</v>
      </c>
      <c r="I31" s="99" t="str">
        <f t="shared" si="5"/>
        <v/>
      </c>
    </row>
    <row r="32" spans="1:9" ht="15.75">
      <c r="A32" s="46" t="str">
        <v>NH: Rochester - Rochester MS</v>
      </c>
      <c r="B32" s="9" t="str">
        <v>NH</v>
      </c>
      <c r="C32" s="73">
        <f>SUM(Jan!D32, Feb!C32, Mar!C32)</f>
        <v>0</v>
      </c>
      <c r="D32" s="12">
        <f>SUM(Jan!E32, Feb!D32, Mar!D32)</f>
        <v>0</v>
      </c>
      <c r="E32" s="12">
        <f t="shared" si="3"/>
        <v>0</v>
      </c>
      <c r="F32" s="74" t="str">
        <f t="shared" si="4"/>
        <v/>
      </c>
      <c r="G32" s="75">
        <f>SUM(Jan!H32, Feb!G32, Mar!G32)</f>
        <v>0</v>
      </c>
      <c r="H32" s="75">
        <f>SUM(Jan!I32, Feb!H32, Mar!H32)</f>
        <v>0</v>
      </c>
      <c r="I32" s="76" t="str">
        <f t="shared" si="5"/>
        <v/>
      </c>
    </row>
    <row r="33" spans="1:9" ht="15.75">
      <c r="A33" s="47" t="str">
        <v>NH Rochester - Spaulding HS</v>
      </c>
      <c r="B33" s="10" t="str">
        <v>NH</v>
      </c>
      <c r="C33" s="100">
        <f>SUM(Jan!D33, Feb!C33, Mar!C33)</f>
        <v>0</v>
      </c>
      <c r="D33" s="16">
        <f>SUM(Jan!E33, Feb!D33, Mar!D33)</f>
        <v>0</v>
      </c>
      <c r="E33" s="16">
        <f t="shared" si="3"/>
        <v>0</v>
      </c>
      <c r="F33" s="99" t="str">
        <f t="shared" si="4"/>
        <v/>
      </c>
      <c r="G33" s="80">
        <f>SUM(Jan!H33, Feb!G33, Mar!G33)</f>
        <v>0</v>
      </c>
      <c r="H33" s="80">
        <f>SUM(Jan!I33, Feb!H33, Mar!H33)</f>
        <v>0</v>
      </c>
      <c r="I33" s="99" t="str">
        <f t="shared" si="5"/>
        <v/>
      </c>
    </row>
    <row r="34" spans="1:9" ht="15.75">
      <c r="A34" s="46" t="str">
        <v>NH: Rochester - McClelland ES</v>
      </c>
      <c r="B34" s="9" t="str">
        <v>NH</v>
      </c>
      <c r="C34" s="73">
        <f>SUM(Jan!D34, Feb!C34, Mar!C34)</f>
        <v>0</v>
      </c>
      <c r="D34" s="12">
        <f>SUM(Jan!E34, Feb!D34, Mar!D34)</f>
        <v>0</v>
      </c>
      <c r="E34" s="12">
        <f t="shared" si="3"/>
        <v>0</v>
      </c>
      <c r="F34" s="74" t="str">
        <f t="shared" si="4"/>
        <v/>
      </c>
      <c r="G34" s="75">
        <f>SUM(Jan!H34, Feb!G34, Mar!G34)</f>
        <v>0</v>
      </c>
      <c r="H34" s="75">
        <f>SUM(Jan!I34, Feb!H34, Mar!H34)</f>
        <v>0</v>
      </c>
      <c r="I34" s="76" t="str">
        <f t="shared" si="5"/>
        <v/>
      </c>
    </row>
    <row r="35" spans="1:9" ht="15.75">
      <c r="A35" s="47" t="str">
        <v>NH: Rochester - Brock St Vocational</v>
      </c>
      <c r="B35" s="10" t="str">
        <v>NH</v>
      </c>
      <c r="C35" s="100">
        <f>SUM(Jan!D35, Feb!C35, Mar!C35)</f>
        <v>0</v>
      </c>
      <c r="D35" s="16">
        <f>SUM(Jan!E35, Feb!D35, Mar!D35)</f>
        <v>0</v>
      </c>
      <c r="E35" s="16">
        <f t="shared" si="3"/>
        <v>0</v>
      </c>
      <c r="F35" s="99" t="str">
        <f t="shared" si="4"/>
        <v/>
      </c>
      <c r="G35" s="80">
        <f>SUM(Jan!H35, Feb!G35, Mar!G35)</f>
        <v>0</v>
      </c>
      <c r="H35" s="80">
        <f>SUM(Jan!I35, Feb!H35, Mar!H35)</f>
        <v>0</v>
      </c>
      <c r="I35" s="99" t="str">
        <f t="shared" si="5"/>
        <v/>
      </c>
    </row>
    <row r="36" spans="1:9" ht="15.75">
      <c r="A36" s="46" t="str">
        <v>OH: Cleveland - CV Kinsman</v>
      </c>
      <c r="B36" s="9" t="str">
        <v>OH</v>
      </c>
      <c r="C36" s="73">
        <f>SUM(Jan!D36, Feb!C36, Mar!C36)</f>
        <v>0</v>
      </c>
      <c r="D36" s="12">
        <f>SUM(Jan!E36, Feb!D36, Mar!D36)</f>
        <v>0</v>
      </c>
      <c r="E36" s="12">
        <f t="shared" si="3"/>
        <v>0</v>
      </c>
      <c r="F36" s="74" t="str">
        <f t="shared" si="4"/>
        <v/>
      </c>
      <c r="G36" s="75">
        <f>SUM(Jan!H36, Feb!G36, Mar!G36)</f>
        <v>0</v>
      </c>
      <c r="H36" s="75">
        <f>SUM(Jan!I36, Feb!H36, Mar!H36)</f>
        <v>0</v>
      </c>
      <c r="I36" s="76" t="str">
        <f t="shared" si="5"/>
        <v/>
      </c>
    </row>
    <row r="37" spans="1:9" ht="15.75">
      <c r="A37" s="47" t="str">
        <v>OH: Cleveland - CV Wooster</v>
      </c>
      <c r="B37" s="10" t="str">
        <v>OH</v>
      </c>
      <c r="C37" s="100">
        <f>SUM(Jan!D37, Feb!C37, Mar!C37)</f>
        <v>0</v>
      </c>
      <c r="D37" s="16">
        <f>SUM(Jan!E37, Feb!D37, Mar!D37)</f>
        <v>0</v>
      </c>
      <c r="E37" s="16">
        <f t="shared" si="3"/>
        <v>0</v>
      </c>
      <c r="F37" s="99" t="str">
        <f t="shared" si="4"/>
        <v/>
      </c>
      <c r="G37" s="80">
        <f>SUM(Jan!H37, Feb!G37, Mar!G37)</f>
        <v>0</v>
      </c>
      <c r="H37" s="80">
        <f>SUM(Jan!I37, Feb!H37, Mar!H37)</f>
        <v>0</v>
      </c>
      <c r="I37" s="99" t="str">
        <f t="shared" si="5"/>
        <v/>
      </c>
    </row>
    <row r="38" spans="1:9" ht="15.75">
      <c r="A38" s="46" t="str">
        <v>PR: Aguadilla - Coca Cola</v>
      </c>
      <c r="B38" s="9" t="str">
        <v>PR</v>
      </c>
      <c r="C38" s="73">
        <f>SUM(Jan!D38, Feb!C38, Mar!C38)</f>
        <v>0</v>
      </c>
      <c r="D38" s="12">
        <f>SUM(Jan!E38, Feb!D38, Mar!D38)</f>
        <v>0</v>
      </c>
      <c r="E38" s="12">
        <f t="shared" si="3"/>
        <v>0</v>
      </c>
      <c r="F38" s="74" t="str">
        <f t="shared" si="4"/>
        <v/>
      </c>
      <c r="G38" s="75">
        <f>SUM(Jan!H38, Feb!G38, Mar!G38)</f>
        <v>0</v>
      </c>
      <c r="H38" s="75">
        <f>SUM(Jan!I38, Feb!H38, Mar!H38)</f>
        <v>0</v>
      </c>
      <c r="I38" s="76" t="str">
        <f t="shared" si="5"/>
        <v/>
      </c>
    </row>
    <row r="39" spans="1:9" ht="15.75">
      <c r="A39" s="47" t="str">
        <v>PR: Bayamon - Coca Cola</v>
      </c>
      <c r="B39" s="10" t="str">
        <v>PR</v>
      </c>
      <c r="C39" s="100">
        <f>SUM(Jan!D39, Feb!C39, Mar!C39)</f>
        <v>0</v>
      </c>
      <c r="D39" s="16">
        <f>SUM(Jan!E39, Feb!D39, Mar!D39)</f>
        <v>0</v>
      </c>
      <c r="E39" s="16">
        <f t="shared" si="3"/>
        <v>0</v>
      </c>
      <c r="F39" s="99" t="str">
        <f t="shared" si="4"/>
        <v/>
      </c>
      <c r="G39" s="80">
        <f>SUM(Jan!H39, Feb!G39, Mar!G39)</f>
        <v>0</v>
      </c>
      <c r="H39" s="80">
        <f>SUM(Jan!I39, Feb!H39, Mar!H39)</f>
        <v>0</v>
      </c>
      <c r="I39" s="99" t="str">
        <f t="shared" si="5"/>
        <v/>
      </c>
    </row>
    <row r="40" spans="1:9" ht="15.75">
      <c r="A40" s="46" t="str">
        <v>PR: Carolina - St. Francis</v>
      </c>
      <c r="B40" s="9" t="str">
        <v>PR</v>
      </c>
      <c r="C40" s="73">
        <f>SUM(Jan!D40, Feb!C40, Mar!C40)</f>
        <v>0</v>
      </c>
      <c r="D40" s="12">
        <f>SUM(Jan!E40, Feb!D40, Mar!D40)</f>
        <v>0</v>
      </c>
      <c r="E40" s="12">
        <f t="shared" si="3"/>
        <v>0</v>
      </c>
      <c r="F40" s="74" t="str">
        <f t="shared" si="4"/>
        <v/>
      </c>
      <c r="G40" s="75">
        <f>SUM(Jan!H40, Feb!G40, Mar!G40)</f>
        <v>0</v>
      </c>
      <c r="H40" s="75">
        <f>SUM(Jan!I40, Feb!H40, Mar!H40)</f>
        <v>0</v>
      </c>
      <c r="I40" s="76" t="str">
        <f t="shared" si="5"/>
        <v/>
      </c>
    </row>
    <row r="41" spans="1:9" ht="15.75">
      <c r="A41" s="47" t="str">
        <v>DC: Washington - Essex Condominium</v>
      </c>
      <c r="B41" s="10" t="str">
        <v>DC</v>
      </c>
      <c r="C41" s="100">
        <f>SUM(Jan!D41, Feb!C41, Mar!C41)</f>
        <v>0</v>
      </c>
      <c r="D41" s="16">
        <f>SUM(Jan!E41, Feb!D41, Mar!D41)</f>
        <v>0</v>
      </c>
      <c r="E41" s="16">
        <f t="shared" si="3"/>
        <v>0</v>
      </c>
      <c r="F41" s="99" t="str">
        <f t="shared" si="4"/>
        <v/>
      </c>
      <c r="G41" s="80">
        <f>SUM(Jan!H41, Feb!G41, Mar!G41)</f>
        <v>0</v>
      </c>
      <c r="H41" s="80">
        <f>SUM(Jan!I41, Feb!H41, Mar!H41)</f>
        <v>0</v>
      </c>
      <c r="I41" s="99" t="str">
        <f t="shared" si="5"/>
        <v/>
      </c>
    </row>
    <row r="42" spans="1:9" ht="15.75">
      <c r="A42" s="46" t="str">
        <v>DC: Chevy Chase -Sinai</v>
      </c>
      <c r="B42" s="9" t="str">
        <v>DC</v>
      </c>
      <c r="C42" s="73">
        <f>SUM(Jan!D42, Feb!C42, Mar!C42)</f>
        <v>0</v>
      </c>
      <c r="D42" s="12">
        <f>SUM(Jan!E42, Feb!D42, Mar!D42)</f>
        <v>0</v>
      </c>
      <c r="E42" s="12">
        <f t="shared" si="3"/>
        <v>0</v>
      </c>
      <c r="F42" s="74" t="str">
        <f t="shared" si="4"/>
        <v/>
      </c>
      <c r="G42" s="75">
        <f>SUM(Jan!H42, Feb!G42, Mar!G42)</f>
        <v>0</v>
      </c>
      <c r="H42" s="75">
        <f>SUM(Jan!I42, Feb!H42, Mar!H42)</f>
        <v>0</v>
      </c>
      <c r="I42" s="76" t="str">
        <f t="shared" si="5"/>
        <v/>
      </c>
    </row>
    <row r="43" spans="1:9" ht="15.75">
      <c r="A43" s="47" t="str">
        <v>DC: Washington - Weinberg 1</v>
      </c>
      <c r="B43" s="10" t="str">
        <v>DC</v>
      </c>
      <c r="C43" s="100">
        <f>SUM(Jan!D43, Feb!C43, Mar!C43)</f>
        <v>0</v>
      </c>
      <c r="D43" s="16">
        <f>SUM(Jan!E43, Feb!D43, Mar!D43)</f>
        <v>0</v>
      </c>
      <c r="E43" s="16">
        <f t="shared" si="3"/>
        <v>0</v>
      </c>
      <c r="F43" s="99" t="str">
        <f t="shared" si="4"/>
        <v/>
      </c>
      <c r="G43" s="80">
        <f>SUM(Jan!H43, Feb!G43, Mar!G43)</f>
        <v>0</v>
      </c>
      <c r="H43" s="80">
        <f>SUM(Jan!I43, Feb!H43, Mar!H43)</f>
        <v>0</v>
      </c>
      <c r="I43" s="99" t="str">
        <f t="shared" si="5"/>
        <v/>
      </c>
    </row>
    <row r="44" spans="1:9" ht="15.75">
      <c r="A44" s="46" t="str">
        <v>DC: Washington - Weinberg 2</v>
      </c>
      <c r="B44" s="9" t="str">
        <v>DC</v>
      </c>
      <c r="C44" s="73">
        <f>SUM(Jan!D44, Feb!C44, Mar!C44)</f>
        <v>0</v>
      </c>
      <c r="D44" s="12">
        <f>SUM(Jan!E44, Feb!D44, Mar!D44)</f>
        <v>0</v>
      </c>
      <c r="E44" s="12">
        <f t="shared" si="3"/>
        <v>0</v>
      </c>
      <c r="F44" s="74" t="str">
        <f t="shared" si="4"/>
        <v/>
      </c>
      <c r="G44" s="75">
        <f>SUM(Jan!H44, Feb!G44, Mar!G44)</f>
        <v>0</v>
      </c>
      <c r="H44" s="75">
        <f>SUM(Jan!I44, Feb!H44, Mar!H44)</f>
        <v>0</v>
      </c>
      <c r="I44" s="76" t="str">
        <f t="shared" si="5"/>
        <v/>
      </c>
    </row>
    <row r="45" spans="1:9" ht="15.75">
      <c r="A45" s="47" t="str">
        <v>DC: Washington - Weinberg 3</v>
      </c>
      <c r="B45" s="10" t="str">
        <v>DC</v>
      </c>
      <c r="C45" s="100">
        <f>SUM(Jan!D45, Feb!C45, Mar!C45)</f>
        <v>0</v>
      </c>
      <c r="D45" s="16">
        <f>SUM(Jan!E45, Feb!D45, Mar!D45)</f>
        <v>0</v>
      </c>
      <c r="E45" s="16">
        <f t="shared" si="3"/>
        <v>0</v>
      </c>
      <c r="F45" s="99" t="str">
        <f t="shared" si="4"/>
        <v/>
      </c>
      <c r="G45" s="80">
        <f>SUM(Jan!H45, Feb!G45, Mar!G45)</f>
        <v>0</v>
      </c>
      <c r="H45" s="80">
        <f>SUM(Jan!I45, Feb!H45, Mar!H45)</f>
        <v>0</v>
      </c>
      <c r="I45" s="99" t="str">
        <f t="shared" si="5"/>
        <v/>
      </c>
    </row>
    <row r="46" spans="1:9" ht="13.15">
      <c r="A46" s="19"/>
      <c r="B46" s="19"/>
      <c r="C46" s="19"/>
      <c r="D46" s="19"/>
      <c r="E46" s="19"/>
      <c r="F46" s="20"/>
      <c r="G46" s="19"/>
      <c r="H46" s="19"/>
      <c r="I46" s="20"/>
    </row>
    <row r="47" spans="1:9" ht="13.15">
      <c r="A47" s="19"/>
      <c r="B47" s="19"/>
      <c r="C47" s="19"/>
      <c r="D47" s="19"/>
      <c r="E47" s="19"/>
      <c r="F47" s="20"/>
      <c r="G47" s="19"/>
      <c r="H47" s="19"/>
      <c r="I47" s="20"/>
    </row>
    <row r="48" spans="1:9" ht="13.15">
      <c r="A48" s="19"/>
      <c r="B48" s="19"/>
      <c r="C48" s="19"/>
      <c r="D48" s="19"/>
      <c r="E48" s="19"/>
      <c r="F48" s="20"/>
      <c r="G48" s="19"/>
      <c r="H48" s="19"/>
      <c r="I48" s="20"/>
    </row>
    <row r="49" spans="1:9" ht="13.15">
      <c r="A49" s="19"/>
      <c r="B49" s="19"/>
      <c r="C49" s="19"/>
      <c r="D49" s="19"/>
      <c r="E49" s="19"/>
      <c r="F49" s="20"/>
      <c r="G49" s="19"/>
      <c r="H49" s="19"/>
      <c r="I49" s="20"/>
    </row>
    <row r="50" spans="1:9" ht="13.15">
      <c r="A50" s="19"/>
      <c r="B50" s="19"/>
      <c r="C50" s="19"/>
      <c r="D50" s="19"/>
      <c r="E50" s="19"/>
      <c r="F50" s="20"/>
      <c r="G50" s="19"/>
      <c r="H50" s="19"/>
      <c r="I50" s="20"/>
    </row>
    <row r="51" spans="1:9" ht="13.15">
      <c r="A51" s="19"/>
      <c r="B51" s="19"/>
      <c r="C51" s="19"/>
      <c r="D51" s="19"/>
      <c r="E51" s="19"/>
      <c r="F51" s="20"/>
      <c r="G51" s="19"/>
      <c r="H51" s="19"/>
      <c r="I51" s="20"/>
    </row>
    <row r="52" spans="1:9" ht="13.15">
      <c r="A52" s="19"/>
      <c r="B52" s="19"/>
      <c r="C52" s="19"/>
      <c r="D52" s="19"/>
      <c r="E52" s="19"/>
      <c r="F52" s="20"/>
      <c r="G52" s="19"/>
      <c r="H52" s="19"/>
      <c r="I52" s="20"/>
    </row>
    <row r="53" spans="1:9" ht="13.15">
      <c r="A53" s="19"/>
      <c r="B53" s="19"/>
      <c r="C53" s="19"/>
      <c r="D53" s="19"/>
      <c r="E53" s="19"/>
      <c r="F53" s="20"/>
      <c r="G53" s="19"/>
      <c r="H53" s="19"/>
      <c r="I53" s="20"/>
    </row>
    <row r="54" spans="1:9" ht="13.15">
      <c r="A54" s="19"/>
      <c r="B54" s="19"/>
      <c r="C54" s="19"/>
      <c r="D54" s="19"/>
      <c r="E54" s="19"/>
      <c r="F54" s="20"/>
      <c r="G54" s="19"/>
      <c r="H54" s="19"/>
      <c r="I54" s="20"/>
    </row>
    <row r="55" spans="1:9" ht="13.15">
      <c r="A55" s="19"/>
      <c r="B55" s="19"/>
      <c r="C55" s="19"/>
      <c r="D55" s="19"/>
      <c r="E55" s="19"/>
      <c r="F55" s="20"/>
      <c r="G55" s="19"/>
      <c r="H55" s="19"/>
      <c r="I55" s="20"/>
    </row>
    <row r="56" spans="1:9" ht="13.15">
      <c r="A56" s="19"/>
      <c r="B56" s="19"/>
      <c r="C56" s="19"/>
      <c r="D56" s="19"/>
      <c r="E56" s="19"/>
      <c r="F56" s="20"/>
      <c r="G56" s="19"/>
      <c r="H56" s="19"/>
      <c r="I56" s="20"/>
    </row>
    <row r="57" spans="1:9" ht="13.15">
      <c r="A57" s="19"/>
      <c r="B57" s="19"/>
      <c r="C57" s="19"/>
      <c r="D57" s="19"/>
      <c r="E57" s="19"/>
      <c r="F57" s="20"/>
      <c r="G57" s="19"/>
      <c r="H57" s="19"/>
      <c r="I57" s="20"/>
    </row>
    <row r="58" spans="1:9" ht="13.15">
      <c r="A58" s="19"/>
      <c r="B58" s="19"/>
      <c r="C58" s="19"/>
      <c r="D58" s="19"/>
      <c r="E58" s="19"/>
      <c r="F58" s="20"/>
      <c r="G58" s="19"/>
      <c r="H58" s="19"/>
      <c r="I58" s="20"/>
    </row>
    <row r="59" spans="1:9" ht="13.15">
      <c r="A59" s="19"/>
      <c r="B59" s="19"/>
      <c r="C59" s="19"/>
      <c r="D59" s="19"/>
      <c r="E59" s="19"/>
      <c r="F59" s="20"/>
      <c r="G59" s="19"/>
      <c r="H59" s="19"/>
      <c r="I59" s="20"/>
    </row>
    <row r="60" spans="1:9" ht="13.15">
      <c r="A60" s="19"/>
      <c r="B60" s="19"/>
      <c r="C60" s="19"/>
      <c r="D60" s="19"/>
      <c r="E60" s="19"/>
      <c r="F60" s="20"/>
      <c r="G60" s="19"/>
      <c r="H60" s="19"/>
      <c r="I60" s="20"/>
    </row>
    <row r="61" spans="1:9" ht="13.15">
      <c r="A61" s="19"/>
      <c r="B61" s="19"/>
      <c r="C61" s="19"/>
      <c r="D61" s="19"/>
      <c r="E61" s="19"/>
      <c r="F61" s="20"/>
      <c r="G61" s="19"/>
      <c r="H61" s="19"/>
      <c r="I61" s="20"/>
    </row>
    <row r="62" spans="1:9" ht="13.15">
      <c r="A62" s="19"/>
      <c r="B62" s="19"/>
      <c r="C62" s="19"/>
      <c r="D62" s="19"/>
      <c r="E62" s="19"/>
      <c r="F62" s="20"/>
      <c r="G62" s="19"/>
      <c r="H62" s="19"/>
      <c r="I62" s="20"/>
    </row>
    <row r="63" spans="1:9" ht="13.15">
      <c r="A63" s="19"/>
      <c r="B63" s="19"/>
      <c r="C63" s="19"/>
      <c r="D63" s="19"/>
      <c r="E63" s="19"/>
      <c r="F63" s="20"/>
      <c r="G63" s="19"/>
      <c r="H63" s="19"/>
      <c r="I63" s="20"/>
    </row>
    <row r="64" spans="1:9" ht="13.15">
      <c r="A64" s="19"/>
      <c r="B64" s="19"/>
      <c r="C64" s="19"/>
      <c r="D64" s="19"/>
      <c r="E64" s="19"/>
      <c r="F64" s="20"/>
      <c r="G64" s="19"/>
      <c r="H64" s="19"/>
      <c r="I64" s="20"/>
    </row>
    <row r="65" spans="1:9" ht="13.15">
      <c r="A65" s="19"/>
      <c r="B65" s="19"/>
      <c r="C65" s="19"/>
      <c r="D65" s="19"/>
      <c r="E65" s="19"/>
      <c r="F65" s="20"/>
      <c r="G65" s="19"/>
      <c r="H65" s="19"/>
      <c r="I65" s="20"/>
    </row>
    <row r="66" spans="1:9" ht="13.15">
      <c r="A66" s="19"/>
      <c r="B66" s="19"/>
      <c r="C66" s="19"/>
      <c r="D66" s="19"/>
      <c r="E66" s="19"/>
      <c r="F66" s="20"/>
      <c r="G66" s="19"/>
      <c r="H66" s="19"/>
      <c r="I66" s="20"/>
    </row>
    <row r="67" spans="1:9" ht="13.15">
      <c r="A67" s="19"/>
      <c r="B67" s="19"/>
      <c r="C67" s="19"/>
      <c r="D67" s="19"/>
      <c r="E67" s="19"/>
      <c r="F67" s="20"/>
      <c r="G67" s="19"/>
      <c r="H67" s="19"/>
      <c r="I67" s="20"/>
    </row>
    <row r="68" spans="1:9" ht="13.15">
      <c r="A68" s="19"/>
      <c r="B68" s="19"/>
      <c r="C68" s="19"/>
      <c r="D68" s="19"/>
      <c r="E68" s="19"/>
      <c r="F68" s="20"/>
      <c r="G68" s="19"/>
      <c r="H68" s="19"/>
      <c r="I68" s="20"/>
    </row>
    <row r="69" spans="1:9" ht="13.15">
      <c r="A69" s="19"/>
      <c r="B69" s="19"/>
      <c r="C69" s="19"/>
      <c r="D69" s="19"/>
      <c r="E69" s="19"/>
      <c r="F69" s="20"/>
      <c r="G69" s="19"/>
      <c r="H69" s="19"/>
      <c r="I69" s="20"/>
    </row>
    <row r="70" spans="1:9" ht="13.15">
      <c r="A70" s="19"/>
      <c r="B70" s="19"/>
      <c r="C70" s="19"/>
      <c r="D70" s="19"/>
      <c r="E70" s="19"/>
      <c r="F70" s="20"/>
      <c r="G70" s="19"/>
      <c r="H70" s="19"/>
      <c r="I70" s="20"/>
    </row>
    <row r="71" spans="1:9" ht="13.15">
      <c r="A71" s="19"/>
      <c r="B71" s="19"/>
      <c r="C71" s="19"/>
      <c r="D71" s="19"/>
      <c r="E71" s="19"/>
      <c r="F71" s="20"/>
      <c r="G71" s="19"/>
      <c r="H71" s="19"/>
      <c r="I71" s="20"/>
    </row>
    <row r="72" spans="1:9" ht="13.15">
      <c r="A72" s="19"/>
      <c r="B72" s="19"/>
      <c r="C72" s="19"/>
      <c r="D72" s="19"/>
      <c r="E72" s="19"/>
      <c r="F72" s="20"/>
      <c r="G72" s="19"/>
      <c r="H72" s="19"/>
      <c r="I72" s="20"/>
    </row>
    <row r="73" spans="1:9" ht="13.15">
      <c r="A73" s="19"/>
      <c r="B73" s="19"/>
      <c r="C73" s="19"/>
      <c r="D73" s="19"/>
      <c r="E73" s="19"/>
      <c r="F73" s="20"/>
      <c r="G73" s="19"/>
      <c r="H73" s="19"/>
      <c r="I73" s="20"/>
    </row>
    <row r="74" spans="1:9" ht="13.15">
      <c r="A74" s="19"/>
      <c r="B74" s="19"/>
      <c r="C74" s="19"/>
      <c r="D74" s="19"/>
      <c r="E74" s="19"/>
      <c r="F74" s="20"/>
      <c r="G74" s="19"/>
      <c r="H74" s="19"/>
      <c r="I74" s="20"/>
    </row>
    <row r="75" spans="1:9" ht="13.15">
      <c r="A75" s="19"/>
      <c r="B75" s="19"/>
      <c r="C75" s="19"/>
      <c r="D75" s="19"/>
      <c r="E75" s="19"/>
      <c r="F75" s="20"/>
      <c r="G75" s="19"/>
      <c r="H75" s="19"/>
      <c r="I75" s="20"/>
    </row>
    <row r="76" spans="1:9" ht="13.15">
      <c r="A76" s="19"/>
      <c r="B76" s="19"/>
      <c r="C76" s="19"/>
      <c r="D76" s="19"/>
      <c r="E76" s="19"/>
      <c r="F76" s="20"/>
      <c r="G76" s="19"/>
      <c r="H76" s="19"/>
      <c r="I76" s="20"/>
    </row>
    <row r="77" spans="1:9" ht="13.15">
      <c r="A77" s="19"/>
      <c r="B77" s="19"/>
      <c r="C77" s="19"/>
      <c r="D77" s="19"/>
      <c r="E77" s="19"/>
      <c r="F77" s="20"/>
      <c r="G77" s="19"/>
      <c r="H77" s="19"/>
      <c r="I77" s="20"/>
    </row>
    <row r="78" spans="1:9" ht="13.15">
      <c r="A78" s="19"/>
      <c r="B78" s="19"/>
      <c r="C78" s="19"/>
      <c r="D78" s="19"/>
      <c r="E78" s="19"/>
      <c r="F78" s="20"/>
      <c r="G78" s="19"/>
      <c r="H78" s="19"/>
      <c r="I78" s="20"/>
    </row>
    <row r="79" spans="1:9" ht="13.15">
      <c r="A79" s="19"/>
      <c r="B79" s="19"/>
      <c r="C79" s="19"/>
      <c r="D79" s="19"/>
      <c r="E79" s="19"/>
      <c r="F79" s="20"/>
      <c r="G79" s="19"/>
      <c r="H79" s="19"/>
      <c r="I79" s="20"/>
    </row>
    <row r="80" spans="1:9" ht="13.15">
      <c r="A80" s="19"/>
      <c r="B80" s="19"/>
      <c r="C80" s="19"/>
      <c r="D80" s="19"/>
      <c r="E80" s="19"/>
      <c r="F80" s="20"/>
      <c r="G80" s="19"/>
      <c r="H80" s="19"/>
      <c r="I80" s="20"/>
    </row>
    <row r="81" spans="1:9" ht="13.15">
      <c r="A81" s="19"/>
      <c r="B81" s="19"/>
      <c r="C81" s="19"/>
      <c r="D81" s="19"/>
      <c r="E81" s="19"/>
      <c r="F81" s="20"/>
      <c r="G81" s="19"/>
      <c r="H81" s="19"/>
      <c r="I81" s="20"/>
    </row>
    <row r="82" spans="1:9" ht="13.15">
      <c r="A82" s="19"/>
      <c r="B82" s="19"/>
      <c r="C82" s="19"/>
      <c r="D82" s="19"/>
      <c r="E82" s="19"/>
      <c r="F82" s="20"/>
      <c r="G82" s="19"/>
      <c r="H82" s="19"/>
      <c r="I82" s="20"/>
    </row>
    <row r="83" spans="1:9" ht="13.15">
      <c r="A83" s="19"/>
      <c r="B83" s="19"/>
      <c r="C83" s="19"/>
      <c r="D83" s="19"/>
      <c r="E83" s="19"/>
      <c r="F83" s="20"/>
      <c r="G83" s="19"/>
      <c r="H83" s="19"/>
      <c r="I83" s="20"/>
    </row>
    <row r="84" spans="1:9" ht="13.15">
      <c r="A84" s="19"/>
      <c r="B84" s="19"/>
      <c r="C84" s="19"/>
      <c r="D84" s="19"/>
      <c r="E84" s="19"/>
      <c r="F84" s="20"/>
      <c r="G84" s="19"/>
      <c r="H84" s="19"/>
      <c r="I84" s="20"/>
    </row>
    <row r="85" spans="1:9" ht="13.15">
      <c r="A85" s="19"/>
      <c r="B85" s="19"/>
      <c r="C85" s="19"/>
      <c r="D85" s="19"/>
      <c r="E85" s="19"/>
      <c r="F85" s="20"/>
      <c r="G85" s="19"/>
      <c r="H85" s="19"/>
      <c r="I85" s="20"/>
    </row>
    <row r="86" spans="1:9" ht="13.15">
      <c r="A86" s="19"/>
      <c r="B86" s="19"/>
      <c r="C86" s="19"/>
      <c r="D86" s="19"/>
      <c r="E86" s="19"/>
      <c r="F86" s="20"/>
      <c r="G86" s="19"/>
      <c r="H86" s="19"/>
      <c r="I86" s="20"/>
    </row>
    <row r="87" spans="1:9" ht="13.15">
      <c r="A87" s="19"/>
      <c r="B87" s="19"/>
      <c r="C87" s="19"/>
      <c r="D87" s="19"/>
      <c r="E87" s="19"/>
      <c r="F87" s="20"/>
      <c r="G87" s="19"/>
      <c r="H87" s="19"/>
      <c r="I87" s="20"/>
    </row>
    <row r="88" spans="1:9" ht="13.15">
      <c r="A88" s="19"/>
      <c r="B88" s="19"/>
      <c r="C88" s="19"/>
      <c r="D88" s="19"/>
      <c r="E88" s="19"/>
      <c r="F88" s="20"/>
      <c r="G88" s="19"/>
      <c r="H88" s="19"/>
      <c r="I88" s="20"/>
    </row>
    <row r="89" spans="1:9" ht="13.15">
      <c r="A89" s="19"/>
      <c r="B89" s="19"/>
      <c r="C89" s="19"/>
      <c r="D89" s="19"/>
      <c r="E89" s="19"/>
      <c r="F89" s="20"/>
      <c r="G89" s="19"/>
      <c r="H89" s="19"/>
      <c r="I89" s="20"/>
    </row>
    <row r="90" spans="1:9" ht="13.15">
      <c r="A90" s="19"/>
      <c r="B90" s="19"/>
      <c r="C90" s="19"/>
      <c r="D90" s="19"/>
      <c r="E90" s="19"/>
      <c r="F90" s="20"/>
      <c r="G90" s="19"/>
      <c r="H90" s="19"/>
      <c r="I90" s="20"/>
    </row>
    <row r="91" spans="1:9" ht="13.15">
      <c r="A91" s="19"/>
      <c r="B91" s="19"/>
      <c r="C91" s="19"/>
      <c r="D91" s="19"/>
      <c r="E91" s="19"/>
      <c r="F91" s="20"/>
      <c r="G91" s="19"/>
      <c r="H91" s="19"/>
      <c r="I91" s="20"/>
    </row>
    <row r="92" spans="1:9" ht="13.15">
      <c r="A92" s="19"/>
      <c r="B92" s="19"/>
      <c r="C92" s="19"/>
      <c r="D92" s="19"/>
      <c r="E92" s="19"/>
      <c r="F92" s="20"/>
      <c r="G92" s="19"/>
      <c r="H92" s="19"/>
      <c r="I92" s="20"/>
    </row>
    <row r="93" spans="1:9" ht="13.15">
      <c r="A93" s="19"/>
      <c r="B93" s="19"/>
      <c r="C93" s="19"/>
      <c r="D93" s="19"/>
      <c r="E93" s="19"/>
      <c r="F93" s="20"/>
      <c r="G93" s="19"/>
      <c r="H93" s="19"/>
      <c r="I93" s="20"/>
    </row>
    <row r="94" spans="1:9" ht="13.15">
      <c r="A94" s="19"/>
      <c r="B94" s="19"/>
      <c r="C94" s="19"/>
      <c r="D94" s="19"/>
      <c r="E94" s="19"/>
      <c r="F94" s="20"/>
      <c r="G94" s="19"/>
      <c r="H94" s="19"/>
      <c r="I94" s="20"/>
    </row>
    <row r="95" spans="1:9" ht="13.15">
      <c r="A95" s="19"/>
      <c r="B95" s="19"/>
      <c r="C95" s="19"/>
      <c r="D95" s="19"/>
      <c r="E95" s="19"/>
      <c r="F95" s="20"/>
      <c r="G95" s="19"/>
      <c r="H95" s="19"/>
      <c r="I95" s="20"/>
    </row>
    <row r="96" spans="1:9" ht="13.15">
      <c r="A96" s="19"/>
      <c r="B96" s="19"/>
      <c r="C96" s="19"/>
      <c r="D96" s="19"/>
      <c r="E96" s="19"/>
      <c r="F96" s="20"/>
      <c r="G96" s="19"/>
      <c r="H96" s="19"/>
      <c r="I96" s="20"/>
    </row>
    <row r="97" spans="1:9" ht="13.15">
      <c r="A97" s="19"/>
      <c r="B97" s="19"/>
      <c r="C97" s="19"/>
      <c r="D97" s="19"/>
      <c r="E97" s="19"/>
      <c r="F97" s="20"/>
      <c r="G97" s="19"/>
      <c r="H97" s="19"/>
      <c r="I97" s="20"/>
    </row>
    <row r="98" spans="1:9" ht="13.15">
      <c r="A98" s="19"/>
      <c r="B98" s="19"/>
      <c r="C98" s="19"/>
      <c r="D98" s="19"/>
      <c r="E98" s="19"/>
      <c r="F98" s="20"/>
      <c r="G98" s="19"/>
      <c r="H98" s="19"/>
      <c r="I98" s="20"/>
    </row>
    <row r="99" spans="1:9" ht="13.15">
      <c r="A99" s="19"/>
      <c r="B99" s="19"/>
      <c r="C99" s="19"/>
      <c r="D99" s="19"/>
      <c r="E99" s="19"/>
      <c r="F99" s="20"/>
      <c r="G99" s="19"/>
      <c r="H99" s="19"/>
      <c r="I99" s="20"/>
    </row>
    <row r="100" spans="1:9" ht="13.15">
      <c r="A100" s="19"/>
      <c r="B100" s="19"/>
      <c r="C100" s="19"/>
      <c r="D100" s="19"/>
      <c r="E100" s="19"/>
      <c r="F100" s="20"/>
      <c r="G100" s="19"/>
      <c r="H100" s="19"/>
      <c r="I100" s="20"/>
    </row>
    <row r="101" spans="1:9" ht="13.15">
      <c r="A101" s="19"/>
      <c r="B101" s="19"/>
      <c r="C101" s="19"/>
      <c r="D101" s="19"/>
      <c r="E101" s="19"/>
      <c r="F101" s="20"/>
      <c r="G101" s="19"/>
      <c r="H101" s="19"/>
      <c r="I101" s="20"/>
    </row>
    <row r="102" spans="1:9" ht="13.15">
      <c r="A102" s="19"/>
      <c r="B102" s="19"/>
      <c r="C102" s="19"/>
      <c r="D102" s="19"/>
      <c r="E102" s="19"/>
      <c r="F102" s="20"/>
      <c r="G102" s="19"/>
      <c r="H102" s="19"/>
      <c r="I102" s="20"/>
    </row>
    <row r="103" spans="1:9" ht="13.15">
      <c r="A103" s="19"/>
      <c r="B103" s="19"/>
      <c r="C103" s="19"/>
      <c r="D103" s="19"/>
      <c r="E103" s="19"/>
      <c r="F103" s="20"/>
      <c r="G103" s="19"/>
      <c r="H103" s="19"/>
      <c r="I103" s="20"/>
    </row>
    <row r="104" spans="1:9" ht="13.15">
      <c r="A104" s="19"/>
      <c r="B104" s="19"/>
      <c r="C104" s="19"/>
      <c r="D104" s="19"/>
      <c r="E104" s="19"/>
      <c r="F104" s="20"/>
      <c r="G104" s="19"/>
      <c r="H104" s="19"/>
      <c r="I104" s="20"/>
    </row>
    <row r="105" spans="1:9" ht="13.15">
      <c r="A105" s="19"/>
      <c r="B105" s="19"/>
      <c r="C105" s="19"/>
      <c r="D105" s="19"/>
      <c r="E105" s="19"/>
      <c r="F105" s="20"/>
      <c r="G105" s="19"/>
      <c r="H105" s="19"/>
      <c r="I105" s="20"/>
    </row>
    <row r="106" spans="1:9" ht="13.15">
      <c r="A106" s="19"/>
      <c r="B106" s="19"/>
      <c r="C106" s="19"/>
      <c r="D106" s="19"/>
      <c r="E106" s="19"/>
      <c r="F106" s="20"/>
      <c r="G106" s="19"/>
      <c r="H106" s="19"/>
      <c r="I106" s="20"/>
    </row>
    <row r="107" spans="1:9" ht="13.15">
      <c r="A107" s="19"/>
      <c r="B107" s="19"/>
      <c r="C107" s="19"/>
      <c r="D107" s="19"/>
      <c r="E107" s="19"/>
      <c r="F107" s="20"/>
      <c r="G107" s="19"/>
      <c r="H107" s="19"/>
      <c r="I107" s="20"/>
    </row>
    <row r="108" spans="1:9" ht="13.15">
      <c r="A108" s="19"/>
      <c r="B108" s="19"/>
      <c r="C108" s="19"/>
      <c r="D108" s="19"/>
      <c r="E108" s="19"/>
      <c r="F108" s="20"/>
      <c r="G108" s="19"/>
      <c r="H108" s="19"/>
      <c r="I108" s="20"/>
    </row>
    <row r="109" spans="1:9" ht="13.15">
      <c r="A109" s="19"/>
      <c r="B109" s="19"/>
      <c r="C109" s="19"/>
      <c r="D109" s="19"/>
      <c r="E109" s="19"/>
      <c r="F109" s="20"/>
      <c r="G109" s="19"/>
      <c r="H109" s="19"/>
      <c r="I109" s="20"/>
    </row>
    <row r="110" spans="1:9" ht="13.15">
      <c r="A110" s="19"/>
      <c r="B110" s="19"/>
      <c r="C110" s="19"/>
      <c r="D110" s="19"/>
      <c r="E110" s="19"/>
      <c r="F110" s="20"/>
      <c r="G110" s="19"/>
      <c r="H110" s="19"/>
      <c r="I110" s="20"/>
    </row>
    <row r="111" spans="1:9" ht="13.15">
      <c r="A111" s="19"/>
      <c r="B111" s="19"/>
      <c r="C111" s="19"/>
      <c r="D111" s="19"/>
      <c r="E111" s="19"/>
      <c r="F111" s="20"/>
      <c r="G111" s="19"/>
      <c r="H111" s="19"/>
      <c r="I111" s="20"/>
    </row>
    <row r="112" spans="1:9" ht="13.15">
      <c r="A112" s="19"/>
      <c r="B112" s="19"/>
      <c r="C112" s="19"/>
      <c r="D112" s="19"/>
      <c r="E112" s="19"/>
      <c r="F112" s="20"/>
      <c r="G112" s="19"/>
      <c r="H112" s="19"/>
      <c r="I112" s="20"/>
    </row>
    <row r="113" spans="1:9" ht="13.15">
      <c r="A113" s="19"/>
      <c r="B113" s="19"/>
      <c r="C113" s="19"/>
      <c r="D113" s="19"/>
      <c r="E113" s="19"/>
      <c r="F113" s="20"/>
      <c r="G113" s="19"/>
      <c r="H113" s="19"/>
      <c r="I113" s="20"/>
    </row>
    <row r="114" spans="1:9" ht="13.15">
      <c r="A114" s="19"/>
      <c r="B114" s="19"/>
      <c r="C114" s="19"/>
      <c r="D114" s="19"/>
      <c r="E114" s="19"/>
      <c r="F114" s="20"/>
      <c r="G114" s="19"/>
      <c r="H114" s="19"/>
      <c r="I114" s="20"/>
    </row>
    <row r="115" spans="1:9" ht="13.15">
      <c r="A115" s="19"/>
      <c r="B115" s="19"/>
      <c r="C115" s="19"/>
      <c r="D115" s="19"/>
      <c r="E115" s="19"/>
      <c r="F115" s="20"/>
      <c r="G115" s="19"/>
      <c r="H115" s="19"/>
      <c r="I115" s="20"/>
    </row>
    <row r="116" spans="1:9" ht="13.15">
      <c r="A116" s="19"/>
      <c r="B116" s="19"/>
      <c r="C116" s="19"/>
      <c r="D116" s="19"/>
      <c r="E116" s="19"/>
      <c r="F116" s="20"/>
      <c r="G116" s="19"/>
      <c r="H116" s="19"/>
      <c r="I116" s="20"/>
    </row>
    <row r="117" spans="1:9" ht="13.15">
      <c r="A117" s="19"/>
      <c r="B117" s="19"/>
      <c r="C117" s="19"/>
      <c r="D117" s="19"/>
      <c r="E117" s="19"/>
      <c r="F117" s="20"/>
      <c r="G117" s="19"/>
      <c r="H117" s="19"/>
      <c r="I117" s="20"/>
    </row>
    <row r="118" spans="1:9" ht="13.15">
      <c r="A118" s="19"/>
      <c r="B118" s="19"/>
      <c r="C118" s="19"/>
      <c r="D118" s="19"/>
      <c r="E118" s="19"/>
      <c r="F118" s="20"/>
      <c r="G118" s="19"/>
      <c r="H118" s="19"/>
      <c r="I118" s="20"/>
    </row>
    <row r="119" spans="1:9" ht="13.15">
      <c r="A119" s="19"/>
      <c r="B119" s="19"/>
      <c r="C119" s="19"/>
      <c r="D119" s="19"/>
      <c r="E119" s="19"/>
      <c r="F119" s="20"/>
      <c r="G119" s="19"/>
      <c r="H119" s="19"/>
      <c r="I119" s="20"/>
    </row>
    <row r="120" spans="1:9" ht="13.15">
      <c r="A120" s="19"/>
      <c r="B120" s="19"/>
      <c r="C120" s="19"/>
      <c r="D120" s="19"/>
      <c r="E120" s="19"/>
      <c r="F120" s="20"/>
      <c r="G120" s="19"/>
      <c r="H120" s="19"/>
      <c r="I120" s="20"/>
    </row>
    <row r="121" spans="1:9" ht="13.15">
      <c r="A121" s="19"/>
      <c r="B121" s="19"/>
      <c r="C121" s="19"/>
      <c r="D121" s="19"/>
      <c r="E121" s="19"/>
      <c r="F121" s="20"/>
      <c r="G121" s="19"/>
      <c r="H121" s="19"/>
      <c r="I121" s="20"/>
    </row>
    <row r="122" spans="1:9" ht="13.15">
      <c r="A122" s="19"/>
      <c r="B122" s="19"/>
      <c r="C122" s="19"/>
      <c r="D122" s="19"/>
      <c r="E122" s="19"/>
      <c r="F122" s="20"/>
      <c r="G122" s="19"/>
      <c r="H122" s="19"/>
      <c r="I122" s="20"/>
    </row>
    <row r="123" spans="1:9" ht="13.15">
      <c r="A123" s="19"/>
      <c r="B123" s="19"/>
      <c r="C123" s="19"/>
      <c r="D123" s="19"/>
      <c r="E123" s="19"/>
      <c r="F123" s="20"/>
      <c r="G123" s="19"/>
      <c r="H123" s="19"/>
      <c r="I123" s="20"/>
    </row>
    <row r="124" spans="1:9" ht="13.15">
      <c r="A124" s="19"/>
      <c r="B124" s="19"/>
      <c r="C124" s="19"/>
      <c r="D124" s="19"/>
      <c r="E124" s="19"/>
      <c r="F124" s="20"/>
      <c r="G124" s="19"/>
      <c r="H124" s="19"/>
      <c r="I124" s="20"/>
    </row>
    <row r="125" spans="1:9" ht="13.15">
      <c r="A125" s="19"/>
      <c r="B125" s="19"/>
      <c r="C125" s="19"/>
      <c r="D125" s="19"/>
      <c r="E125" s="19"/>
      <c r="F125" s="20"/>
      <c r="G125" s="19"/>
      <c r="H125" s="19"/>
      <c r="I125" s="20"/>
    </row>
    <row r="126" spans="1:9" ht="13.15">
      <c r="A126" s="19"/>
      <c r="B126" s="19"/>
      <c r="C126" s="19"/>
      <c r="D126" s="19"/>
      <c r="E126" s="19"/>
      <c r="F126" s="20"/>
      <c r="G126" s="19"/>
      <c r="H126" s="19"/>
      <c r="I126" s="20"/>
    </row>
    <row r="127" spans="1:9" ht="13.15">
      <c r="A127" s="19"/>
      <c r="B127" s="19"/>
      <c r="C127" s="19"/>
      <c r="D127" s="19"/>
      <c r="E127" s="19"/>
      <c r="F127" s="20"/>
      <c r="G127" s="19"/>
      <c r="H127" s="19"/>
      <c r="I127" s="20"/>
    </row>
    <row r="128" spans="1:9" ht="13.15">
      <c r="A128" s="19"/>
      <c r="B128" s="19"/>
      <c r="C128" s="19"/>
      <c r="D128" s="19"/>
      <c r="E128" s="19"/>
      <c r="F128" s="20"/>
      <c r="G128" s="19"/>
      <c r="H128" s="19"/>
      <c r="I128" s="20"/>
    </row>
    <row r="129" spans="1:9" ht="13.15">
      <c r="A129" s="19"/>
      <c r="B129" s="19"/>
      <c r="C129" s="19"/>
      <c r="D129" s="19"/>
      <c r="E129" s="19"/>
      <c r="F129" s="20"/>
      <c r="G129" s="19"/>
      <c r="H129" s="19"/>
      <c r="I129" s="20"/>
    </row>
    <row r="130" spans="1:9" ht="13.15">
      <c r="A130" s="19"/>
      <c r="B130" s="19"/>
      <c r="C130" s="19"/>
      <c r="D130" s="19"/>
      <c r="E130" s="19"/>
      <c r="F130" s="20"/>
      <c r="G130" s="19"/>
      <c r="H130" s="19"/>
      <c r="I130" s="20"/>
    </row>
    <row r="131" spans="1:9" ht="13.15">
      <c r="A131" s="19"/>
      <c r="B131" s="19"/>
      <c r="C131" s="19"/>
      <c r="D131" s="19"/>
      <c r="E131" s="19"/>
      <c r="F131" s="20"/>
      <c r="G131" s="19"/>
      <c r="H131" s="19"/>
      <c r="I131" s="20"/>
    </row>
    <row r="132" spans="1:9" ht="13.15">
      <c r="A132" s="19"/>
      <c r="B132" s="19"/>
      <c r="C132" s="19"/>
      <c r="D132" s="19"/>
      <c r="E132" s="19"/>
      <c r="F132" s="20"/>
      <c r="G132" s="19"/>
      <c r="H132" s="19"/>
      <c r="I132" s="20"/>
    </row>
    <row r="133" spans="1:9" ht="13.15">
      <c r="A133" s="19"/>
      <c r="B133" s="19"/>
      <c r="C133" s="19"/>
      <c r="D133" s="19"/>
      <c r="E133" s="19"/>
      <c r="F133" s="20"/>
      <c r="G133" s="19"/>
      <c r="H133" s="19"/>
      <c r="I133" s="20"/>
    </row>
    <row r="134" spans="1:9" ht="13.15">
      <c r="A134" s="19"/>
      <c r="B134" s="19"/>
      <c r="C134" s="19"/>
      <c r="D134" s="19"/>
      <c r="E134" s="19"/>
      <c r="F134" s="20"/>
      <c r="G134" s="19"/>
      <c r="H134" s="19"/>
      <c r="I134" s="20"/>
    </row>
    <row r="135" spans="1:9" ht="13.15">
      <c r="A135" s="19"/>
      <c r="B135" s="19"/>
      <c r="C135" s="19"/>
      <c r="D135" s="19"/>
      <c r="E135" s="19"/>
      <c r="F135" s="20"/>
      <c r="G135" s="19"/>
      <c r="H135" s="19"/>
      <c r="I135" s="20"/>
    </row>
    <row r="136" spans="1:9" ht="13.15">
      <c r="A136" s="19"/>
      <c r="B136" s="19"/>
      <c r="C136" s="19"/>
      <c r="D136" s="19"/>
      <c r="E136" s="19"/>
      <c r="F136" s="20"/>
      <c r="G136" s="19"/>
      <c r="H136" s="19"/>
      <c r="I136" s="20"/>
    </row>
    <row r="137" spans="1:9" ht="13.15">
      <c r="A137" s="19"/>
      <c r="B137" s="19"/>
      <c r="C137" s="19"/>
      <c r="D137" s="19"/>
      <c r="E137" s="19"/>
      <c r="F137" s="20"/>
      <c r="G137" s="19"/>
      <c r="H137" s="19"/>
      <c r="I137" s="20"/>
    </row>
    <row r="138" spans="1:9" ht="13.15">
      <c r="A138" s="19"/>
      <c r="B138" s="19"/>
      <c r="C138" s="19"/>
      <c r="D138" s="19"/>
      <c r="E138" s="19"/>
      <c r="F138" s="20"/>
      <c r="G138" s="19"/>
      <c r="H138" s="19"/>
      <c r="I138" s="20"/>
    </row>
    <row r="139" spans="1:9" ht="13.15">
      <c r="A139" s="19"/>
      <c r="B139" s="19"/>
      <c r="C139" s="19"/>
      <c r="D139" s="19"/>
      <c r="E139" s="19"/>
      <c r="F139" s="20"/>
      <c r="G139" s="19"/>
      <c r="H139" s="19"/>
      <c r="I139" s="20"/>
    </row>
    <row r="140" spans="1:9" ht="13.15">
      <c r="A140" s="19"/>
      <c r="B140" s="19"/>
      <c r="C140" s="19"/>
      <c r="D140" s="19"/>
      <c r="E140" s="19"/>
      <c r="F140" s="20"/>
      <c r="G140" s="19"/>
      <c r="H140" s="19"/>
      <c r="I140" s="20"/>
    </row>
    <row r="141" spans="1:9" ht="13.15">
      <c r="A141" s="19"/>
      <c r="B141" s="19"/>
      <c r="C141" s="19"/>
      <c r="D141" s="19"/>
      <c r="E141" s="19"/>
      <c r="F141" s="20"/>
      <c r="G141" s="19"/>
      <c r="H141" s="19"/>
      <c r="I141" s="20"/>
    </row>
    <row r="142" spans="1:9" ht="13.15">
      <c r="A142" s="19"/>
      <c r="B142" s="19"/>
      <c r="C142" s="19"/>
      <c r="D142" s="19"/>
      <c r="E142" s="19"/>
      <c r="F142" s="20"/>
      <c r="G142" s="19"/>
      <c r="H142" s="19"/>
      <c r="I142" s="20"/>
    </row>
    <row r="143" spans="1:9" ht="13.15">
      <c r="A143" s="19"/>
      <c r="B143" s="19"/>
      <c r="C143" s="19"/>
      <c r="D143" s="19"/>
      <c r="E143" s="19"/>
      <c r="F143" s="20"/>
      <c r="G143" s="19"/>
      <c r="H143" s="19"/>
      <c r="I143" s="20"/>
    </row>
    <row r="144" spans="1:9" ht="13.15">
      <c r="A144" s="19"/>
      <c r="B144" s="19"/>
      <c r="C144" s="19"/>
      <c r="D144" s="19"/>
      <c r="E144" s="19"/>
      <c r="F144" s="20"/>
      <c r="G144" s="19"/>
      <c r="H144" s="19"/>
      <c r="I144" s="20"/>
    </row>
    <row r="145" spans="1:9" ht="13.15">
      <c r="A145" s="19"/>
      <c r="B145" s="19"/>
      <c r="C145" s="19"/>
      <c r="D145" s="19"/>
      <c r="E145" s="19"/>
      <c r="F145" s="20"/>
      <c r="G145" s="19"/>
      <c r="H145" s="19"/>
      <c r="I145" s="20"/>
    </row>
    <row r="146" spans="1:9" ht="13.15">
      <c r="A146" s="19"/>
      <c r="B146" s="19"/>
      <c r="C146" s="19"/>
      <c r="D146" s="19"/>
      <c r="E146" s="19"/>
      <c r="F146" s="20"/>
      <c r="G146" s="19"/>
      <c r="H146" s="19"/>
      <c r="I146" s="20"/>
    </row>
    <row r="147" spans="1:9" ht="13.15">
      <c r="A147" s="19"/>
      <c r="B147" s="19"/>
      <c r="C147" s="19"/>
      <c r="D147" s="19"/>
      <c r="E147" s="19"/>
      <c r="F147" s="20"/>
      <c r="G147" s="19"/>
      <c r="H147" s="19"/>
      <c r="I147" s="20"/>
    </row>
    <row r="148" spans="1:9" ht="13.15">
      <c r="A148" s="19"/>
      <c r="B148" s="19"/>
      <c r="C148" s="19"/>
      <c r="D148" s="19"/>
      <c r="E148" s="19"/>
      <c r="F148" s="20"/>
      <c r="G148" s="19"/>
      <c r="H148" s="19"/>
      <c r="I148" s="20"/>
    </row>
    <row r="149" spans="1:9" ht="13.15">
      <c r="A149" s="19"/>
      <c r="B149" s="19"/>
      <c r="C149" s="19"/>
      <c r="D149" s="19"/>
      <c r="E149" s="19"/>
      <c r="F149" s="20"/>
      <c r="G149" s="19"/>
      <c r="H149" s="19"/>
      <c r="I149" s="20"/>
    </row>
    <row r="150" spans="1:9" ht="13.15">
      <c r="A150" s="19"/>
      <c r="B150" s="19"/>
      <c r="C150" s="19"/>
      <c r="D150" s="19"/>
      <c r="E150" s="19"/>
      <c r="F150" s="20"/>
      <c r="G150" s="19"/>
      <c r="H150" s="19"/>
      <c r="I150" s="20"/>
    </row>
    <row r="151" spans="1:9" ht="13.15">
      <c r="A151" s="19"/>
      <c r="B151" s="19"/>
      <c r="C151" s="19"/>
      <c r="D151" s="19"/>
      <c r="E151" s="19"/>
      <c r="F151" s="20"/>
      <c r="G151" s="19"/>
      <c r="H151" s="19"/>
      <c r="I151" s="20"/>
    </row>
    <row r="152" spans="1:9" ht="13.15">
      <c r="A152" s="19"/>
      <c r="B152" s="19"/>
      <c r="C152" s="19"/>
      <c r="D152" s="19"/>
      <c r="E152" s="19"/>
      <c r="F152" s="20"/>
      <c r="G152" s="19"/>
      <c r="H152" s="19"/>
      <c r="I152" s="20"/>
    </row>
    <row r="153" spans="1:9" ht="13.15">
      <c r="A153" s="19"/>
      <c r="B153" s="19"/>
      <c r="C153" s="19"/>
      <c r="D153" s="19"/>
      <c r="E153" s="19"/>
      <c r="F153" s="20"/>
      <c r="G153" s="19"/>
      <c r="H153" s="19"/>
      <c r="I153" s="20"/>
    </row>
    <row r="154" spans="1:9" ht="13.15">
      <c r="A154" s="19"/>
      <c r="B154" s="19"/>
      <c r="C154" s="19"/>
      <c r="D154" s="19"/>
      <c r="E154" s="19"/>
      <c r="F154" s="20"/>
      <c r="G154" s="19"/>
      <c r="H154" s="19"/>
      <c r="I154" s="20"/>
    </row>
    <row r="155" spans="1:9" ht="13.15">
      <c r="A155" s="19"/>
      <c r="B155" s="19"/>
      <c r="C155" s="19"/>
      <c r="D155" s="19"/>
      <c r="E155" s="19"/>
      <c r="F155" s="20"/>
      <c r="G155" s="19"/>
      <c r="H155" s="19"/>
      <c r="I155" s="20"/>
    </row>
    <row r="156" spans="1:9" ht="13.15">
      <c r="A156" s="19"/>
      <c r="B156" s="19"/>
      <c r="C156" s="19"/>
      <c r="D156" s="19"/>
      <c r="E156" s="19"/>
      <c r="F156" s="20"/>
      <c r="G156" s="19"/>
      <c r="H156" s="19"/>
      <c r="I156" s="20"/>
    </row>
    <row r="157" spans="1:9" ht="13.15">
      <c r="A157" s="19"/>
      <c r="B157" s="19"/>
      <c r="C157" s="19"/>
      <c r="D157" s="19"/>
      <c r="E157" s="19"/>
      <c r="F157" s="20"/>
      <c r="G157" s="19"/>
      <c r="H157" s="19"/>
      <c r="I157" s="20"/>
    </row>
    <row r="158" spans="1:9" ht="13.15">
      <c r="A158" s="19"/>
      <c r="B158" s="19"/>
      <c r="C158" s="19"/>
      <c r="D158" s="19"/>
      <c r="E158" s="19"/>
      <c r="F158" s="20"/>
      <c r="G158" s="19"/>
      <c r="H158" s="19"/>
      <c r="I158" s="20"/>
    </row>
    <row r="159" spans="1:9" ht="13.15">
      <c r="A159" s="19"/>
      <c r="B159" s="19"/>
      <c r="C159" s="19"/>
      <c r="D159" s="19"/>
      <c r="E159" s="19"/>
      <c r="F159" s="20"/>
      <c r="G159" s="19"/>
      <c r="H159" s="19"/>
      <c r="I159" s="20"/>
    </row>
    <row r="160" spans="1:9" ht="13.15">
      <c r="A160" s="19"/>
      <c r="B160" s="19"/>
      <c r="C160" s="19"/>
      <c r="D160" s="19"/>
      <c r="E160" s="19"/>
      <c r="F160" s="20"/>
      <c r="G160" s="19"/>
      <c r="H160" s="19"/>
      <c r="I160" s="20"/>
    </row>
    <row r="161" spans="1:9" ht="13.15">
      <c r="A161" s="19"/>
      <c r="B161" s="19"/>
      <c r="C161" s="19"/>
      <c r="D161" s="19"/>
      <c r="E161" s="19"/>
      <c r="F161" s="20"/>
      <c r="G161" s="19"/>
      <c r="H161" s="19"/>
      <c r="I161" s="20"/>
    </row>
    <row r="162" spans="1:9" ht="13.15">
      <c r="A162" s="19"/>
      <c r="B162" s="19"/>
      <c r="C162" s="19"/>
      <c r="D162" s="19"/>
      <c r="E162" s="19"/>
      <c r="F162" s="20"/>
      <c r="G162" s="19"/>
      <c r="H162" s="19"/>
      <c r="I162" s="20"/>
    </row>
    <row r="163" spans="1:9" ht="13.15">
      <c r="A163" s="19"/>
      <c r="B163" s="19"/>
      <c r="C163" s="19"/>
      <c r="D163" s="19"/>
      <c r="E163" s="19"/>
      <c r="F163" s="20"/>
      <c r="G163" s="19"/>
      <c r="H163" s="19"/>
      <c r="I163" s="20"/>
    </row>
    <row r="164" spans="1:9" ht="13.15">
      <c r="A164" s="19"/>
      <c r="B164" s="19"/>
      <c r="C164" s="19"/>
      <c r="D164" s="19"/>
      <c r="E164" s="19"/>
      <c r="F164" s="20"/>
      <c r="G164" s="19"/>
      <c r="H164" s="19"/>
      <c r="I164" s="20"/>
    </row>
    <row r="165" spans="1:9" ht="13.15">
      <c r="A165" s="19"/>
      <c r="B165" s="19"/>
      <c r="C165" s="19"/>
      <c r="D165" s="19"/>
      <c r="E165" s="19"/>
      <c r="F165" s="20"/>
      <c r="G165" s="19"/>
      <c r="H165" s="19"/>
      <c r="I165" s="20"/>
    </row>
    <row r="166" spans="1:9" ht="13.15">
      <c r="A166" s="19"/>
      <c r="B166" s="19"/>
      <c r="C166" s="19"/>
      <c r="D166" s="19"/>
      <c r="E166" s="19"/>
      <c r="F166" s="20"/>
      <c r="G166" s="19"/>
      <c r="H166" s="19"/>
      <c r="I166" s="20"/>
    </row>
    <row r="167" spans="1:9" ht="13.15">
      <c r="A167" s="19"/>
      <c r="B167" s="19"/>
      <c r="C167" s="19"/>
      <c r="D167" s="19"/>
      <c r="E167" s="19"/>
      <c r="F167" s="20"/>
      <c r="G167" s="19"/>
      <c r="H167" s="19"/>
      <c r="I167" s="20"/>
    </row>
    <row r="168" spans="1:9" ht="13.15">
      <c r="A168" s="19"/>
      <c r="B168" s="19"/>
      <c r="C168" s="19"/>
      <c r="D168" s="19"/>
      <c r="E168" s="19"/>
      <c r="F168" s="20"/>
      <c r="G168" s="19"/>
      <c r="H168" s="19"/>
      <c r="I168" s="20"/>
    </row>
    <row r="169" spans="1:9" ht="13.15">
      <c r="A169" s="19"/>
      <c r="B169" s="19"/>
      <c r="C169" s="19"/>
      <c r="D169" s="19"/>
      <c r="E169" s="19"/>
      <c r="F169" s="20"/>
      <c r="G169" s="19"/>
      <c r="H169" s="19"/>
      <c r="I169" s="20"/>
    </row>
    <row r="170" spans="1:9" ht="13.15">
      <c r="A170" s="19"/>
      <c r="B170" s="19"/>
      <c r="C170" s="19"/>
      <c r="D170" s="19"/>
      <c r="E170" s="19"/>
      <c r="F170" s="20"/>
      <c r="G170" s="19"/>
      <c r="H170" s="19"/>
      <c r="I170" s="20"/>
    </row>
    <row r="171" spans="1:9" ht="13.15">
      <c r="A171" s="19"/>
      <c r="B171" s="19"/>
      <c r="C171" s="19"/>
      <c r="D171" s="19"/>
      <c r="E171" s="19"/>
      <c r="F171" s="20"/>
      <c r="G171" s="19"/>
      <c r="H171" s="19"/>
      <c r="I171" s="20"/>
    </row>
    <row r="172" spans="1:9" ht="13.15">
      <c r="A172" s="19"/>
      <c r="B172" s="19"/>
      <c r="C172" s="19"/>
      <c r="D172" s="19"/>
      <c r="E172" s="19"/>
      <c r="F172" s="20"/>
      <c r="G172" s="19"/>
      <c r="H172" s="19"/>
      <c r="I172" s="20"/>
    </row>
    <row r="173" spans="1:9" ht="13.15">
      <c r="A173" s="19"/>
      <c r="B173" s="19"/>
      <c r="C173" s="19"/>
      <c r="D173" s="19"/>
      <c r="E173" s="19"/>
      <c r="F173" s="20"/>
      <c r="G173" s="19"/>
      <c r="H173" s="19"/>
      <c r="I173" s="20"/>
    </row>
    <row r="174" spans="1:9" ht="13.15">
      <c r="A174" s="19"/>
      <c r="B174" s="19"/>
      <c r="C174" s="19"/>
      <c r="D174" s="19"/>
      <c r="E174" s="19"/>
      <c r="F174" s="20"/>
      <c r="G174" s="19"/>
      <c r="H174" s="19"/>
      <c r="I174" s="20"/>
    </row>
    <row r="175" spans="1:9" ht="13.15">
      <c r="A175" s="19"/>
      <c r="B175" s="19"/>
      <c r="C175" s="19"/>
      <c r="D175" s="19"/>
      <c r="E175" s="19"/>
      <c r="F175" s="20"/>
      <c r="G175" s="19"/>
      <c r="H175" s="19"/>
      <c r="I175" s="20"/>
    </row>
    <row r="176" spans="1:9" ht="13.15">
      <c r="A176" s="19"/>
      <c r="B176" s="19"/>
      <c r="C176" s="19"/>
      <c r="D176" s="19"/>
      <c r="E176" s="19"/>
      <c r="F176" s="20"/>
      <c r="G176" s="19"/>
      <c r="H176" s="19"/>
      <c r="I176" s="20"/>
    </row>
    <row r="177" spans="1:9" ht="13.15">
      <c r="A177" s="19"/>
      <c r="B177" s="19"/>
      <c r="C177" s="19"/>
      <c r="D177" s="19"/>
      <c r="E177" s="19"/>
      <c r="F177" s="20"/>
      <c r="G177" s="19"/>
      <c r="H177" s="19"/>
      <c r="I177" s="20"/>
    </row>
    <row r="178" spans="1:9" ht="13.15">
      <c r="A178" s="19"/>
      <c r="B178" s="19"/>
      <c r="C178" s="19"/>
      <c r="D178" s="19"/>
      <c r="E178" s="19"/>
      <c r="F178" s="20"/>
      <c r="G178" s="19"/>
      <c r="H178" s="19"/>
      <c r="I178" s="20"/>
    </row>
    <row r="179" spans="1:9" ht="13.15">
      <c r="A179" s="19"/>
      <c r="B179" s="19"/>
      <c r="C179" s="19"/>
      <c r="D179" s="19"/>
      <c r="E179" s="19"/>
      <c r="F179" s="20"/>
      <c r="G179" s="19"/>
      <c r="H179" s="19"/>
      <c r="I179" s="20"/>
    </row>
    <row r="180" spans="1:9" ht="13.15">
      <c r="A180" s="19"/>
      <c r="B180" s="19"/>
      <c r="C180" s="19"/>
      <c r="D180" s="19"/>
      <c r="E180" s="19"/>
      <c r="F180" s="20"/>
      <c r="G180" s="19"/>
      <c r="H180" s="19"/>
      <c r="I180" s="20"/>
    </row>
    <row r="181" spans="1:9" ht="13.15">
      <c r="A181" s="19"/>
      <c r="B181" s="19"/>
      <c r="C181" s="19"/>
      <c r="D181" s="19"/>
      <c r="E181" s="19"/>
      <c r="F181" s="20"/>
      <c r="G181" s="19"/>
      <c r="H181" s="19"/>
      <c r="I181" s="20"/>
    </row>
    <row r="182" spans="1:9" ht="13.15">
      <c r="A182" s="19"/>
      <c r="B182" s="19"/>
      <c r="C182" s="19"/>
      <c r="D182" s="19"/>
      <c r="E182" s="19"/>
      <c r="F182" s="20"/>
      <c r="G182" s="19"/>
      <c r="H182" s="19"/>
      <c r="I182" s="20"/>
    </row>
    <row r="183" spans="1:9" ht="13.15">
      <c r="A183" s="19"/>
      <c r="B183" s="19"/>
      <c r="C183" s="19"/>
      <c r="D183" s="19"/>
      <c r="E183" s="19"/>
      <c r="F183" s="20"/>
      <c r="G183" s="19"/>
      <c r="H183" s="19"/>
      <c r="I183" s="20"/>
    </row>
    <row r="184" spans="1:9" ht="13.15">
      <c r="A184" s="19"/>
      <c r="B184" s="19"/>
      <c r="C184" s="19"/>
      <c r="D184" s="19"/>
      <c r="E184" s="19"/>
      <c r="F184" s="20"/>
      <c r="G184" s="19"/>
      <c r="H184" s="19"/>
      <c r="I184" s="20"/>
    </row>
    <row r="185" spans="1:9" ht="13.15">
      <c r="A185" s="19"/>
      <c r="B185" s="19"/>
      <c r="C185" s="19"/>
      <c r="D185" s="19"/>
      <c r="E185" s="19"/>
      <c r="F185" s="20"/>
      <c r="G185" s="19"/>
      <c r="H185" s="19"/>
      <c r="I185" s="20"/>
    </row>
    <row r="186" spans="1:9" ht="13.15">
      <c r="A186" s="19"/>
      <c r="B186" s="19"/>
      <c r="C186" s="19"/>
      <c r="D186" s="19"/>
      <c r="E186" s="19"/>
      <c r="F186" s="20"/>
      <c r="G186" s="19"/>
      <c r="H186" s="19"/>
      <c r="I186" s="20"/>
    </row>
    <row r="187" spans="1:9" ht="13.15">
      <c r="A187" s="19"/>
      <c r="B187" s="19"/>
      <c r="C187" s="19"/>
      <c r="D187" s="19"/>
      <c r="E187" s="19"/>
      <c r="F187" s="20"/>
      <c r="G187" s="19"/>
      <c r="H187" s="19"/>
      <c r="I187" s="20"/>
    </row>
    <row r="188" spans="1:9" ht="13.15">
      <c r="A188" s="19"/>
      <c r="B188" s="19"/>
      <c r="C188" s="19"/>
      <c r="D188" s="19"/>
      <c r="E188" s="19"/>
      <c r="F188" s="20"/>
      <c r="G188" s="19"/>
      <c r="H188" s="19"/>
      <c r="I188" s="20"/>
    </row>
    <row r="189" spans="1:9" ht="13.15">
      <c r="A189" s="19"/>
      <c r="B189" s="19"/>
      <c r="C189" s="19"/>
      <c r="D189" s="19"/>
      <c r="E189" s="19"/>
      <c r="F189" s="20"/>
      <c r="G189" s="19"/>
      <c r="H189" s="19"/>
      <c r="I189" s="20"/>
    </row>
    <row r="190" spans="1:9" ht="13.15">
      <c r="A190" s="19"/>
      <c r="B190" s="19"/>
      <c r="C190" s="19"/>
      <c r="D190" s="19"/>
      <c r="E190" s="19"/>
      <c r="F190" s="20"/>
      <c r="G190" s="19"/>
      <c r="H190" s="19"/>
      <c r="I190" s="20"/>
    </row>
    <row r="191" spans="1:9" ht="13.15">
      <c r="A191" s="19"/>
      <c r="B191" s="19"/>
      <c r="C191" s="19"/>
      <c r="D191" s="19"/>
      <c r="E191" s="19"/>
      <c r="F191" s="20"/>
      <c r="G191" s="19"/>
      <c r="H191" s="19"/>
      <c r="I191" s="20"/>
    </row>
    <row r="192" spans="1:9" ht="13.15">
      <c r="A192" s="19"/>
      <c r="B192" s="19"/>
      <c r="C192" s="19"/>
      <c r="D192" s="19"/>
      <c r="E192" s="19"/>
      <c r="F192" s="20"/>
      <c r="G192" s="19"/>
      <c r="H192" s="19"/>
      <c r="I192" s="20"/>
    </row>
    <row r="193" spans="1:9" ht="13.15">
      <c r="A193" s="19"/>
      <c r="B193" s="19"/>
      <c r="C193" s="19"/>
      <c r="D193" s="19"/>
      <c r="E193" s="19"/>
      <c r="F193" s="20"/>
      <c r="G193" s="19"/>
      <c r="H193" s="19"/>
      <c r="I193" s="20"/>
    </row>
    <row r="194" spans="1:9" ht="13.15">
      <c r="A194" s="19"/>
      <c r="B194" s="19"/>
      <c r="C194" s="19"/>
      <c r="D194" s="19"/>
      <c r="E194" s="19"/>
      <c r="F194" s="20"/>
      <c r="G194" s="19"/>
      <c r="H194" s="19"/>
      <c r="I194" s="20"/>
    </row>
    <row r="195" spans="1:9" ht="13.15">
      <c r="A195" s="19"/>
      <c r="B195" s="19"/>
      <c r="C195" s="19"/>
      <c r="D195" s="19"/>
      <c r="E195" s="19"/>
      <c r="F195" s="20"/>
      <c r="G195" s="19"/>
      <c r="H195" s="19"/>
      <c r="I195" s="20"/>
    </row>
    <row r="196" spans="1:9" ht="13.15">
      <c r="A196" s="19"/>
      <c r="B196" s="19"/>
      <c r="C196" s="19"/>
      <c r="D196" s="19"/>
      <c r="E196" s="19"/>
      <c r="F196" s="20"/>
      <c r="G196" s="19"/>
      <c r="H196" s="19"/>
      <c r="I196" s="20"/>
    </row>
    <row r="197" spans="1:9" ht="13.15">
      <c r="A197" s="19"/>
      <c r="B197" s="19"/>
      <c r="C197" s="19"/>
      <c r="D197" s="19"/>
      <c r="E197" s="19"/>
      <c r="F197" s="20"/>
      <c r="G197" s="19"/>
      <c r="H197" s="19"/>
      <c r="I197" s="20"/>
    </row>
    <row r="198" spans="1:9" ht="13.15">
      <c r="A198" s="19"/>
      <c r="B198" s="19"/>
      <c r="C198" s="19"/>
      <c r="D198" s="19"/>
      <c r="E198" s="19"/>
      <c r="F198" s="20"/>
      <c r="G198" s="19"/>
      <c r="H198" s="19"/>
      <c r="I198" s="20"/>
    </row>
    <row r="199" spans="1:9" ht="13.15">
      <c r="A199" s="19"/>
      <c r="B199" s="19"/>
      <c r="C199" s="19"/>
      <c r="D199" s="19"/>
      <c r="E199" s="19"/>
      <c r="F199" s="20"/>
      <c r="G199" s="19"/>
      <c r="H199" s="19"/>
      <c r="I199" s="20"/>
    </row>
    <row r="200" spans="1:9" ht="13.15">
      <c r="A200" s="19"/>
      <c r="B200" s="19"/>
      <c r="C200" s="19"/>
      <c r="D200" s="19"/>
      <c r="E200" s="19"/>
      <c r="F200" s="20"/>
      <c r="G200" s="19"/>
      <c r="H200" s="19"/>
      <c r="I200" s="20"/>
    </row>
    <row r="201" spans="1:9" ht="13.15">
      <c r="A201" s="19"/>
      <c r="B201" s="19"/>
      <c r="C201" s="19"/>
      <c r="D201" s="19"/>
      <c r="E201" s="19"/>
      <c r="F201" s="20"/>
      <c r="G201" s="19"/>
      <c r="H201" s="19"/>
      <c r="I201" s="20"/>
    </row>
    <row r="202" spans="1:9" ht="13.15">
      <c r="A202" s="19"/>
      <c r="B202" s="19"/>
      <c r="C202" s="19"/>
      <c r="D202" s="19"/>
      <c r="E202" s="19"/>
      <c r="F202" s="20"/>
      <c r="G202" s="19"/>
      <c r="H202" s="19"/>
      <c r="I202" s="20"/>
    </row>
    <row r="203" spans="1:9" ht="13.15">
      <c r="A203" s="19"/>
      <c r="B203" s="19"/>
      <c r="C203" s="19"/>
      <c r="D203" s="19"/>
      <c r="E203" s="19"/>
      <c r="F203" s="20"/>
      <c r="G203" s="19"/>
      <c r="H203" s="19"/>
      <c r="I203" s="20"/>
    </row>
    <row r="204" spans="1:9" ht="13.15">
      <c r="A204" s="19"/>
      <c r="B204" s="19"/>
      <c r="C204" s="19"/>
      <c r="D204" s="19"/>
      <c r="E204" s="19"/>
      <c r="F204" s="20"/>
      <c r="G204" s="19"/>
      <c r="H204" s="19"/>
      <c r="I204" s="20"/>
    </row>
    <row r="205" spans="1:9" ht="13.15">
      <c r="A205" s="19"/>
      <c r="B205" s="19"/>
      <c r="C205" s="19"/>
      <c r="D205" s="19"/>
      <c r="E205" s="19"/>
      <c r="F205" s="20"/>
      <c r="G205" s="19"/>
      <c r="H205" s="19"/>
      <c r="I205" s="20"/>
    </row>
    <row r="206" spans="1:9" ht="13.15">
      <c r="A206" s="19"/>
      <c r="B206" s="19"/>
      <c r="C206" s="19"/>
      <c r="D206" s="19"/>
      <c r="E206" s="19"/>
      <c r="F206" s="20"/>
      <c r="G206" s="19"/>
      <c r="H206" s="19"/>
      <c r="I206" s="20"/>
    </row>
    <row r="207" spans="1:9" ht="13.15">
      <c r="A207" s="19"/>
      <c r="B207" s="19"/>
      <c r="C207" s="19"/>
      <c r="D207" s="19"/>
      <c r="E207" s="19"/>
      <c r="F207" s="20"/>
      <c r="G207" s="19"/>
      <c r="H207" s="19"/>
      <c r="I207" s="20"/>
    </row>
    <row r="208" spans="1:9" ht="13.15">
      <c r="A208" s="19"/>
      <c r="B208" s="19"/>
      <c r="C208" s="19"/>
      <c r="D208" s="19"/>
      <c r="E208" s="19"/>
      <c r="F208" s="20"/>
      <c r="G208" s="19"/>
      <c r="H208" s="19"/>
      <c r="I208" s="20"/>
    </row>
    <row r="209" spans="1:9" ht="13.15">
      <c r="A209" s="19"/>
      <c r="B209" s="19"/>
      <c r="C209" s="19"/>
      <c r="D209" s="19"/>
      <c r="E209" s="19"/>
      <c r="F209" s="20"/>
      <c r="G209" s="19"/>
      <c r="H209" s="19"/>
      <c r="I209" s="20"/>
    </row>
    <row r="210" spans="1:9" ht="13.15">
      <c r="A210" s="19"/>
      <c r="B210" s="19"/>
      <c r="C210" s="19"/>
      <c r="D210" s="19"/>
      <c r="E210" s="19"/>
      <c r="F210" s="20"/>
      <c r="G210" s="19"/>
      <c r="H210" s="19"/>
      <c r="I210" s="20"/>
    </row>
    <row r="211" spans="1:9" ht="13.15">
      <c r="A211" s="19"/>
      <c r="B211" s="19"/>
      <c r="C211" s="19"/>
      <c r="D211" s="19"/>
      <c r="E211" s="19"/>
      <c r="F211" s="20"/>
      <c r="G211" s="19"/>
      <c r="H211" s="19"/>
      <c r="I211" s="20"/>
    </row>
    <row r="212" spans="1:9" ht="13.15">
      <c r="A212" s="19"/>
      <c r="B212" s="19"/>
      <c r="C212" s="19"/>
      <c r="D212" s="19"/>
      <c r="E212" s="19"/>
      <c r="F212" s="20"/>
      <c r="G212" s="19"/>
      <c r="H212" s="19"/>
      <c r="I212" s="20"/>
    </row>
    <row r="213" spans="1:9" ht="13.15">
      <c r="A213" s="19"/>
      <c r="B213" s="19"/>
      <c r="C213" s="19"/>
      <c r="D213" s="19"/>
      <c r="E213" s="19"/>
      <c r="F213" s="20"/>
      <c r="G213" s="19"/>
      <c r="H213" s="19"/>
      <c r="I213" s="20"/>
    </row>
    <row r="214" spans="1:9" ht="13.15">
      <c r="A214" s="19"/>
      <c r="B214" s="19"/>
      <c r="C214" s="19"/>
      <c r="D214" s="19"/>
      <c r="E214" s="19"/>
      <c r="F214" s="20"/>
      <c r="G214" s="19"/>
      <c r="H214" s="19"/>
      <c r="I214" s="20"/>
    </row>
    <row r="215" spans="1:9" ht="13.15">
      <c r="A215" s="19"/>
      <c r="B215" s="19"/>
      <c r="C215" s="19"/>
      <c r="D215" s="19"/>
      <c r="E215" s="19"/>
      <c r="F215" s="20"/>
      <c r="G215" s="19"/>
      <c r="H215" s="19"/>
      <c r="I215" s="20"/>
    </row>
    <row r="216" spans="1:9" ht="13.15">
      <c r="A216" s="19"/>
      <c r="B216" s="19"/>
      <c r="C216" s="19"/>
      <c r="D216" s="19"/>
      <c r="E216" s="19"/>
      <c r="F216" s="20"/>
      <c r="G216" s="19"/>
      <c r="H216" s="19"/>
      <c r="I216" s="20"/>
    </row>
    <row r="217" spans="1:9" ht="13.15">
      <c r="A217" s="19"/>
      <c r="B217" s="19"/>
      <c r="C217" s="19"/>
      <c r="D217" s="19"/>
      <c r="E217" s="19"/>
      <c r="F217" s="20"/>
      <c r="G217" s="19"/>
      <c r="H217" s="19"/>
      <c r="I217" s="20"/>
    </row>
    <row r="218" spans="1:9" ht="13.15">
      <c r="A218" s="19"/>
      <c r="B218" s="19"/>
      <c r="C218" s="19"/>
      <c r="D218" s="19"/>
      <c r="E218" s="19"/>
      <c r="F218" s="20"/>
      <c r="G218" s="19"/>
      <c r="H218" s="19"/>
      <c r="I218" s="20"/>
    </row>
    <row r="219" spans="1:9" ht="13.15">
      <c r="A219" s="19"/>
      <c r="B219" s="19"/>
      <c r="C219" s="19"/>
      <c r="D219" s="19"/>
      <c r="E219" s="19"/>
      <c r="F219" s="20"/>
      <c r="G219" s="19"/>
      <c r="H219" s="19"/>
      <c r="I219" s="20"/>
    </row>
    <row r="220" spans="1:9" ht="13.15">
      <c r="A220" s="19"/>
      <c r="B220" s="19"/>
      <c r="C220" s="19"/>
      <c r="D220" s="19"/>
      <c r="E220" s="19"/>
      <c r="F220" s="20"/>
      <c r="G220" s="19"/>
      <c r="H220" s="19"/>
      <c r="I220" s="20"/>
    </row>
    <row r="221" spans="1:9" ht="13.15">
      <c r="A221" s="19"/>
      <c r="B221" s="19"/>
      <c r="C221" s="19"/>
      <c r="D221" s="19"/>
      <c r="E221" s="19"/>
      <c r="F221" s="20"/>
      <c r="G221" s="19"/>
      <c r="H221" s="19"/>
      <c r="I221" s="20"/>
    </row>
    <row r="222" spans="1:9" ht="13.15">
      <c r="A222" s="19"/>
      <c r="B222" s="19"/>
      <c r="C222" s="19"/>
      <c r="D222" s="19"/>
      <c r="E222" s="19"/>
      <c r="F222" s="20"/>
      <c r="G222" s="19"/>
      <c r="H222" s="19"/>
      <c r="I222" s="20"/>
    </row>
    <row r="223" spans="1:9" ht="13.15">
      <c r="A223" s="19"/>
      <c r="B223" s="19"/>
      <c r="C223" s="19"/>
      <c r="D223" s="19"/>
      <c r="E223" s="19"/>
      <c r="F223" s="20"/>
      <c r="G223" s="19"/>
      <c r="H223" s="19"/>
      <c r="I223" s="20"/>
    </row>
    <row r="224" spans="1:9" ht="13.15">
      <c r="A224" s="19"/>
      <c r="B224" s="19"/>
      <c r="C224" s="19"/>
      <c r="D224" s="19"/>
      <c r="E224" s="19"/>
      <c r="F224" s="20"/>
      <c r="G224" s="19"/>
      <c r="H224" s="19"/>
      <c r="I224" s="20"/>
    </row>
    <row r="225" spans="1:9" ht="13.15">
      <c r="A225" s="19"/>
      <c r="B225" s="19"/>
      <c r="C225" s="19"/>
      <c r="D225" s="19"/>
      <c r="E225" s="19"/>
      <c r="F225" s="20"/>
      <c r="G225" s="19"/>
      <c r="H225" s="19"/>
      <c r="I225" s="20"/>
    </row>
    <row r="226" spans="1:9" ht="13.15">
      <c r="A226" s="19"/>
      <c r="B226" s="19"/>
      <c r="C226" s="19"/>
      <c r="D226" s="19"/>
      <c r="E226" s="19"/>
      <c r="F226" s="20"/>
      <c r="G226" s="19"/>
      <c r="H226" s="19"/>
      <c r="I226" s="20"/>
    </row>
    <row r="227" spans="1:9" ht="13.15">
      <c r="A227" s="19"/>
      <c r="B227" s="19"/>
      <c r="C227" s="19"/>
      <c r="D227" s="19"/>
      <c r="E227" s="19"/>
      <c r="F227" s="20"/>
      <c r="G227" s="19"/>
      <c r="H227" s="19"/>
      <c r="I227" s="20"/>
    </row>
    <row r="228" spans="1:9" ht="13.15">
      <c r="A228" s="19"/>
      <c r="B228" s="19"/>
      <c r="C228" s="19"/>
      <c r="D228" s="19"/>
      <c r="E228" s="19"/>
      <c r="F228" s="20"/>
      <c r="G228" s="19"/>
      <c r="H228" s="19"/>
      <c r="I228" s="20"/>
    </row>
    <row r="229" spans="1:9" ht="13.15">
      <c r="A229" s="19"/>
      <c r="B229" s="19"/>
      <c r="C229" s="19"/>
      <c r="D229" s="19"/>
      <c r="E229" s="19"/>
      <c r="F229" s="20"/>
      <c r="G229" s="19"/>
      <c r="H229" s="19"/>
      <c r="I229" s="20"/>
    </row>
    <row r="230" spans="1:9" ht="13.15">
      <c r="A230" s="19"/>
      <c r="B230" s="19"/>
      <c r="C230" s="19"/>
      <c r="D230" s="19"/>
      <c r="E230" s="19"/>
      <c r="F230" s="20"/>
      <c r="G230" s="19"/>
      <c r="H230" s="19"/>
      <c r="I230" s="20"/>
    </row>
    <row r="231" spans="1:9" ht="13.15">
      <c r="A231" s="19"/>
      <c r="B231" s="19"/>
      <c r="C231" s="19"/>
      <c r="D231" s="19"/>
      <c r="E231" s="19"/>
      <c r="F231" s="20"/>
      <c r="G231" s="19"/>
      <c r="H231" s="19"/>
      <c r="I231" s="20"/>
    </row>
    <row r="232" spans="1:9" ht="13.15">
      <c r="A232" s="19"/>
      <c r="B232" s="19"/>
      <c r="C232" s="19"/>
      <c r="D232" s="19"/>
      <c r="E232" s="19"/>
      <c r="F232" s="20"/>
      <c r="G232" s="19"/>
      <c r="H232" s="19"/>
      <c r="I232" s="20"/>
    </row>
    <row r="233" spans="1:9" ht="13.15">
      <c r="A233" s="19"/>
      <c r="B233" s="19"/>
      <c r="C233" s="19"/>
      <c r="D233" s="19"/>
      <c r="E233" s="19"/>
      <c r="F233" s="20"/>
      <c r="G233" s="19"/>
      <c r="H233" s="19"/>
      <c r="I233" s="20"/>
    </row>
    <row r="234" spans="1:9" ht="13.15">
      <c r="A234" s="19"/>
      <c r="B234" s="19"/>
      <c r="C234" s="19"/>
      <c r="D234" s="19"/>
      <c r="E234" s="19"/>
      <c r="F234" s="20"/>
      <c r="G234" s="19"/>
      <c r="H234" s="19"/>
      <c r="I234" s="20"/>
    </row>
    <row r="235" spans="1:9" ht="13.15">
      <c r="A235" s="19"/>
      <c r="B235" s="19"/>
      <c r="C235" s="19"/>
      <c r="D235" s="19"/>
      <c r="E235" s="19"/>
      <c r="F235" s="20"/>
      <c r="G235" s="19"/>
      <c r="H235" s="19"/>
      <c r="I235" s="20"/>
    </row>
    <row r="236" spans="1:9" ht="13.15">
      <c r="A236" s="19"/>
      <c r="B236" s="19"/>
      <c r="C236" s="19"/>
      <c r="D236" s="19"/>
      <c r="E236" s="19"/>
      <c r="F236" s="20"/>
      <c r="G236" s="19"/>
      <c r="H236" s="19"/>
      <c r="I236" s="20"/>
    </row>
    <row r="237" spans="1:9" ht="13.15">
      <c r="A237" s="19"/>
      <c r="B237" s="19"/>
      <c r="C237" s="19"/>
      <c r="D237" s="19"/>
      <c r="E237" s="19"/>
      <c r="F237" s="20"/>
      <c r="G237" s="19"/>
      <c r="H237" s="19"/>
      <c r="I237" s="20"/>
    </row>
    <row r="238" spans="1:9" ht="13.15">
      <c r="A238" s="19"/>
      <c r="B238" s="19"/>
      <c r="C238" s="19"/>
      <c r="D238" s="19"/>
      <c r="E238" s="19"/>
      <c r="F238" s="20"/>
      <c r="G238" s="19"/>
      <c r="H238" s="19"/>
      <c r="I238" s="20"/>
    </row>
    <row r="239" spans="1:9" ht="13.15">
      <c r="A239" s="19"/>
      <c r="B239" s="19"/>
      <c r="C239" s="19"/>
      <c r="D239" s="19"/>
      <c r="E239" s="19"/>
      <c r="F239" s="20"/>
      <c r="G239" s="19"/>
      <c r="H239" s="19"/>
      <c r="I239" s="20"/>
    </row>
    <row r="240" spans="1:9" ht="13.15">
      <c r="A240" s="19"/>
      <c r="B240" s="19"/>
      <c r="C240" s="19"/>
      <c r="D240" s="19"/>
      <c r="E240" s="19"/>
      <c r="F240" s="20"/>
      <c r="G240" s="19"/>
      <c r="H240" s="19"/>
      <c r="I240" s="20"/>
    </row>
    <row r="241" spans="1:9" ht="13.15">
      <c r="A241" s="19"/>
      <c r="B241" s="19"/>
      <c r="C241" s="19"/>
      <c r="D241" s="19"/>
      <c r="E241" s="19"/>
      <c r="F241" s="20"/>
      <c r="G241" s="19"/>
      <c r="H241" s="19"/>
      <c r="I241" s="20"/>
    </row>
    <row r="242" spans="1:9" ht="13.15">
      <c r="A242" s="19"/>
      <c r="B242" s="19"/>
      <c r="C242" s="19"/>
      <c r="D242" s="19"/>
      <c r="E242" s="19"/>
      <c r="F242" s="20"/>
      <c r="G242" s="19"/>
      <c r="H242" s="19"/>
      <c r="I242" s="20"/>
    </row>
    <row r="243" spans="1:9" ht="13.15">
      <c r="A243" s="19"/>
      <c r="B243" s="19"/>
      <c r="C243" s="19"/>
      <c r="D243" s="19"/>
      <c r="E243" s="19"/>
      <c r="F243" s="20"/>
      <c r="G243" s="19"/>
      <c r="H243" s="19"/>
      <c r="I243" s="20"/>
    </row>
    <row r="244" spans="1:9" ht="13.15">
      <c r="A244" s="19"/>
      <c r="B244" s="19"/>
      <c r="C244" s="19"/>
      <c r="D244" s="19"/>
      <c r="E244" s="19"/>
      <c r="F244" s="20"/>
      <c r="G244" s="19"/>
      <c r="H244" s="19"/>
      <c r="I244" s="20"/>
    </row>
    <row r="245" spans="1:9" ht="13.15">
      <c r="A245" s="19"/>
      <c r="B245" s="19"/>
      <c r="C245" s="19"/>
      <c r="D245" s="19"/>
      <c r="E245" s="19"/>
      <c r="F245" s="20"/>
      <c r="G245" s="19"/>
      <c r="H245" s="19"/>
      <c r="I245" s="20"/>
    </row>
    <row r="246" spans="1:9" ht="13.15">
      <c r="A246" s="19"/>
      <c r="B246" s="19"/>
      <c r="C246" s="19"/>
      <c r="D246" s="19"/>
      <c r="E246" s="19"/>
      <c r="F246" s="20"/>
      <c r="G246" s="19"/>
      <c r="H246" s="19"/>
      <c r="I246" s="20"/>
    </row>
    <row r="247" spans="1:9" ht="13.15">
      <c r="A247" s="19"/>
      <c r="B247" s="19"/>
      <c r="C247" s="19"/>
      <c r="D247" s="19"/>
      <c r="E247" s="19"/>
      <c r="F247" s="20"/>
      <c r="G247" s="19"/>
      <c r="H247" s="19"/>
      <c r="I247" s="20"/>
    </row>
    <row r="248" spans="1:9" ht="13.15">
      <c r="A248" s="19"/>
      <c r="B248" s="19"/>
      <c r="C248" s="19"/>
      <c r="D248" s="19"/>
      <c r="E248" s="19"/>
      <c r="F248" s="20"/>
      <c r="G248" s="19"/>
      <c r="H248" s="19"/>
      <c r="I248" s="20"/>
    </row>
    <row r="249" spans="1:9" ht="13.15">
      <c r="A249" s="19"/>
      <c r="B249" s="19"/>
      <c r="C249" s="19"/>
      <c r="D249" s="19"/>
      <c r="E249" s="19"/>
      <c r="F249" s="20"/>
      <c r="G249" s="19"/>
      <c r="H249" s="19"/>
      <c r="I249" s="20"/>
    </row>
    <row r="250" spans="1:9" ht="13.15">
      <c r="A250" s="19"/>
      <c r="B250" s="19"/>
      <c r="C250" s="19"/>
      <c r="D250" s="19"/>
      <c r="E250" s="19"/>
      <c r="F250" s="20"/>
      <c r="G250" s="19"/>
      <c r="H250" s="19"/>
      <c r="I250" s="20"/>
    </row>
    <row r="251" spans="1:9" ht="13.15">
      <c r="A251" s="19"/>
      <c r="B251" s="19"/>
      <c r="C251" s="19"/>
      <c r="D251" s="19"/>
      <c r="E251" s="19"/>
      <c r="F251" s="20"/>
      <c r="G251" s="19"/>
      <c r="H251" s="19"/>
      <c r="I251" s="20"/>
    </row>
    <row r="252" spans="1:9" ht="13.15">
      <c r="A252" s="19"/>
      <c r="B252" s="19"/>
      <c r="C252" s="19"/>
      <c r="D252" s="19"/>
      <c r="E252" s="19"/>
      <c r="F252" s="20"/>
      <c r="G252" s="19"/>
      <c r="H252" s="19"/>
      <c r="I252" s="20"/>
    </row>
    <row r="253" spans="1:9" ht="13.15">
      <c r="A253" s="19"/>
      <c r="B253" s="19"/>
      <c r="C253" s="19"/>
      <c r="D253" s="19"/>
      <c r="E253" s="19"/>
      <c r="F253" s="20"/>
      <c r="G253" s="19"/>
      <c r="H253" s="19"/>
      <c r="I253" s="20"/>
    </row>
    <row r="254" spans="1:9" ht="13.15">
      <c r="A254" s="19"/>
      <c r="B254" s="19"/>
      <c r="C254" s="19"/>
      <c r="D254" s="19"/>
      <c r="E254" s="19"/>
      <c r="F254" s="20"/>
      <c r="G254" s="19"/>
      <c r="H254" s="19"/>
      <c r="I254" s="20"/>
    </row>
    <row r="255" spans="1:9" ht="13.15">
      <c r="A255" s="19"/>
      <c r="B255" s="19"/>
      <c r="C255" s="19"/>
      <c r="D255" s="19"/>
      <c r="E255" s="19"/>
      <c r="F255" s="20"/>
      <c r="G255" s="19"/>
      <c r="H255" s="19"/>
      <c r="I255" s="20"/>
    </row>
    <row r="256" spans="1:9" ht="13.15">
      <c r="A256" s="19"/>
      <c r="B256" s="19"/>
      <c r="C256" s="19"/>
      <c r="D256" s="19"/>
      <c r="E256" s="19"/>
      <c r="F256" s="20"/>
      <c r="G256" s="19"/>
      <c r="H256" s="19"/>
      <c r="I256" s="20"/>
    </row>
    <row r="257" spans="1:9" ht="13.15">
      <c r="A257" s="19"/>
      <c r="B257" s="19"/>
      <c r="C257" s="19"/>
      <c r="D257" s="19"/>
      <c r="E257" s="19"/>
      <c r="F257" s="20"/>
      <c r="G257" s="19"/>
      <c r="H257" s="19"/>
      <c r="I257" s="20"/>
    </row>
    <row r="258" spans="1:9" ht="13.15">
      <c r="A258" s="19"/>
      <c r="B258" s="19"/>
      <c r="C258" s="19"/>
      <c r="D258" s="19"/>
      <c r="E258" s="19"/>
      <c r="F258" s="20"/>
      <c r="G258" s="19"/>
      <c r="H258" s="19"/>
      <c r="I258" s="20"/>
    </row>
    <row r="259" spans="1:9" ht="13.15">
      <c r="A259" s="19"/>
      <c r="B259" s="19"/>
      <c r="C259" s="19"/>
      <c r="D259" s="19"/>
      <c r="E259" s="19"/>
      <c r="F259" s="20"/>
      <c r="G259" s="19"/>
      <c r="H259" s="19"/>
      <c r="I259" s="20"/>
    </row>
    <row r="260" spans="1:9" ht="13.15">
      <c r="A260" s="19"/>
      <c r="B260" s="19"/>
      <c r="C260" s="19"/>
      <c r="D260" s="19"/>
      <c r="E260" s="19"/>
      <c r="F260" s="20"/>
      <c r="G260" s="19"/>
      <c r="H260" s="19"/>
      <c r="I260" s="20"/>
    </row>
    <row r="261" spans="1:9" ht="13.15">
      <c r="A261" s="19"/>
      <c r="B261" s="19"/>
      <c r="C261" s="19"/>
      <c r="D261" s="19"/>
      <c r="E261" s="19"/>
      <c r="F261" s="20"/>
      <c r="G261" s="19"/>
      <c r="H261" s="19"/>
      <c r="I261" s="20"/>
    </row>
    <row r="262" spans="1:9" ht="13.15">
      <c r="A262" s="19"/>
      <c r="B262" s="19"/>
      <c r="C262" s="19"/>
      <c r="D262" s="19"/>
      <c r="E262" s="19"/>
      <c r="F262" s="20"/>
      <c r="G262" s="19"/>
      <c r="H262" s="19"/>
      <c r="I262" s="20"/>
    </row>
    <row r="263" spans="1:9" ht="13.15">
      <c r="A263" s="19"/>
      <c r="B263" s="19"/>
      <c r="C263" s="19"/>
      <c r="D263" s="19"/>
      <c r="E263" s="19"/>
      <c r="F263" s="20"/>
      <c r="G263" s="19"/>
      <c r="H263" s="19"/>
      <c r="I263" s="20"/>
    </row>
    <row r="264" spans="1:9" ht="13.15">
      <c r="A264" s="19"/>
      <c r="B264" s="19"/>
      <c r="C264" s="19"/>
      <c r="D264" s="19"/>
      <c r="E264" s="19"/>
      <c r="F264" s="20"/>
      <c r="G264" s="19"/>
      <c r="H264" s="19"/>
      <c r="I264" s="20"/>
    </row>
    <row r="265" spans="1:9" ht="13.15">
      <c r="A265" s="19"/>
      <c r="B265" s="19"/>
      <c r="C265" s="19"/>
      <c r="D265" s="19"/>
      <c r="E265" s="19"/>
      <c r="F265" s="20"/>
      <c r="G265" s="19"/>
      <c r="H265" s="19"/>
      <c r="I265" s="20"/>
    </row>
    <row r="266" spans="1:9" ht="13.15">
      <c r="A266" s="19"/>
      <c r="B266" s="19"/>
      <c r="C266" s="19"/>
      <c r="D266" s="19"/>
      <c r="E266" s="19"/>
      <c r="F266" s="20"/>
      <c r="G266" s="19"/>
      <c r="H266" s="19"/>
      <c r="I266" s="20"/>
    </row>
    <row r="267" spans="1:9" ht="13.15">
      <c r="A267" s="19"/>
      <c r="B267" s="19"/>
      <c r="C267" s="19"/>
      <c r="D267" s="19"/>
      <c r="E267" s="19"/>
      <c r="F267" s="20"/>
      <c r="G267" s="19"/>
      <c r="H267" s="19"/>
      <c r="I267" s="20"/>
    </row>
    <row r="268" spans="1:9" ht="13.15">
      <c r="A268" s="19"/>
      <c r="B268" s="19"/>
      <c r="C268" s="19"/>
      <c r="D268" s="19"/>
      <c r="E268" s="19"/>
      <c r="F268" s="20"/>
      <c r="G268" s="19"/>
      <c r="H268" s="19"/>
      <c r="I268" s="20"/>
    </row>
    <row r="269" spans="1:9" ht="13.15">
      <c r="A269" s="19"/>
      <c r="B269" s="19"/>
      <c r="C269" s="19"/>
      <c r="D269" s="19"/>
      <c r="E269" s="19"/>
      <c r="F269" s="20"/>
      <c r="G269" s="19"/>
      <c r="H269" s="19"/>
      <c r="I269" s="20"/>
    </row>
    <row r="270" spans="1:9" ht="13.15">
      <c r="A270" s="19"/>
      <c r="B270" s="19"/>
      <c r="C270" s="19"/>
      <c r="D270" s="19"/>
      <c r="E270" s="19"/>
      <c r="F270" s="20"/>
      <c r="G270" s="19"/>
      <c r="H270" s="19"/>
      <c r="I270" s="20"/>
    </row>
    <row r="271" spans="1:9" ht="13.15">
      <c r="A271" s="19"/>
      <c r="B271" s="19"/>
      <c r="C271" s="19"/>
      <c r="D271" s="19"/>
      <c r="E271" s="19"/>
      <c r="F271" s="20"/>
      <c r="G271" s="19"/>
      <c r="H271" s="19"/>
      <c r="I271" s="20"/>
    </row>
    <row r="272" spans="1:9" ht="13.15">
      <c r="A272" s="19"/>
      <c r="B272" s="19"/>
      <c r="C272" s="19"/>
      <c r="D272" s="19"/>
      <c r="E272" s="19"/>
      <c r="F272" s="20"/>
      <c r="G272" s="19"/>
      <c r="H272" s="19"/>
      <c r="I272" s="20"/>
    </row>
    <row r="273" spans="1:9" ht="13.15">
      <c r="A273" s="19"/>
      <c r="B273" s="19"/>
      <c r="C273" s="19"/>
      <c r="D273" s="19"/>
      <c r="E273" s="19"/>
      <c r="F273" s="20"/>
      <c r="G273" s="19"/>
      <c r="H273" s="19"/>
      <c r="I273" s="20"/>
    </row>
    <row r="274" spans="1:9" ht="13.15">
      <c r="A274" s="19"/>
      <c r="B274" s="19"/>
      <c r="C274" s="19"/>
      <c r="D274" s="19"/>
      <c r="E274" s="19"/>
      <c r="F274" s="20"/>
      <c r="G274" s="19"/>
      <c r="H274" s="19"/>
      <c r="I274" s="20"/>
    </row>
    <row r="275" spans="1:9" ht="13.15">
      <c r="A275" s="19"/>
      <c r="B275" s="19"/>
      <c r="C275" s="19"/>
      <c r="D275" s="19"/>
      <c r="E275" s="19"/>
      <c r="F275" s="20"/>
      <c r="G275" s="19"/>
      <c r="H275" s="19"/>
      <c r="I275" s="20"/>
    </row>
    <row r="276" spans="1:9" ht="13.15">
      <c r="A276" s="19"/>
      <c r="B276" s="19"/>
      <c r="C276" s="19"/>
      <c r="D276" s="19"/>
      <c r="E276" s="19"/>
      <c r="F276" s="20"/>
      <c r="G276" s="19"/>
      <c r="H276" s="19"/>
      <c r="I276" s="20"/>
    </row>
    <row r="277" spans="1:9" ht="13.15">
      <c r="A277" s="19"/>
      <c r="B277" s="19"/>
      <c r="C277" s="19"/>
      <c r="D277" s="19"/>
      <c r="E277" s="19"/>
      <c r="F277" s="20"/>
      <c r="G277" s="19"/>
      <c r="H277" s="19"/>
      <c r="I277" s="20"/>
    </row>
    <row r="278" spans="1:9" ht="13.15">
      <c r="A278" s="19"/>
      <c r="B278" s="19"/>
      <c r="C278" s="19"/>
      <c r="D278" s="19"/>
      <c r="E278" s="19"/>
      <c r="F278" s="20"/>
      <c r="G278" s="19"/>
      <c r="H278" s="19"/>
      <c r="I278" s="20"/>
    </row>
    <row r="279" spans="1:9" ht="13.15">
      <c r="A279" s="19"/>
      <c r="B279" s="19"/>
      <c r="C279" s="19"/>
      <c r="D279" s="19"/>
      <c r="E279" s="19"/>
      <c r="F279" s="20"/>
      <c r="G279" s="19"/>
      <c r="H279" s="19"/>
      <c r="I279" s="20"/>
    </row>
    <row r="280" spans="1:9" ht="13.15">
      <c r="A280" s="19"/>
      <c r="B280" s="19"/>
      <c r="C280" s="19"/>
      <c r="D280" s="19"/>
      <c r="E280" s="19"/>
      <c r="F280" s="20"/>
      <c r="G280" s="19"/>
      <c r="H280" s="19"/>
      <c r="I280" s="20"/>
    </row>
    <row r="281" spans="1:9" ht="13.15">
      <c r="A281" s="19"/>
      <c r="B281" s="19"/>
      <c r="C281" s="19"/>
      <c r="D281" s="19"/>
      <c r="E281" s="19"/>
      <c r="F281" s="20"/>
      <c r="G281" s="19"/>
      <c r="H281" s="19"/>
      <c r="I281" s="20"/>
    </row>
    <row r="282" spans="1:9" ht="13.15">
      <c r="A282" s="19"/>
      <c r="B282" s="19"/>
      <c r="C282" s="19"/>
      <c r="D282" s="19"/>
      <c r="E282" s="19"/>
      <c r="F282" s="20"/>
      <c r="G282" s="19"/>
      <c r="H282" s="19"/>
      <c r="I282" s="20"/>
    </row>
    <row r="283" spans="1:9" ht="13.15">
      <c r="A283" s="19"/>
      <c r="B283" s="19"/>
      <c r="C283" s="19"/>
      <c r="D283" s="19"/>
      <c r="E283" s="19"/>
      <c r="F283" s="20"/>
      <c r="G283" s="19"/>
      <c r="H283" s="19"/>
      <c r="I283" s="20"/>
    </row>
    <row r="284" spans="1:9" ht="13.15">
      <c r="A284" s="19"/>
      <c r="B284" s="19"/>
      <c r="C284" s="19"/>
      <c r="D284" s="19"/>
      <c r="E284" s="19"/>
      <c r="F284" s="20"/>
      <c r="G284" s="19"/>
      <c r="H284" s="19"/>
      <c r="I284" s="20"/>
    </row>
    <row r="285" spans="1:9" ht="13.15">
      <c r="A285" s="19"/>
      <c r="B285" s="19"/>
      <c r="C285" s="19"/>
      <c r="D285" s="19"/>
      <c r="E285" s="19"/>
      <c r="F285" s="20"/>
      <c r="G285" s="19"/>
      <c r="H285" s="19"/>
      <c r="I285" s="20"/>
    </row>
    <row r="286" spans="1:9" ht="13.15">
      <c r="A286" s="19"/>
      <c r="B286" s="19"/>
      <c r="C286" s="19"/>
      <c r="D286" s="19"/>
      <c r="E286" s="19"/>
      <c r="F286" s="20"/>
      <c r="G286" s="19"/>
      <c r="H286" s="19"/>
      <c r="I286" s="20"/>
    </row>
    <row r="287" spans="1:9" ht="13.15">
      <c r="A287" s="19"/>
      <c r="B287" s="19"/>
      <c r="C287" s="19"/>
      <c r="D287" s="19"/>
      <c r="E287" s="19"/>
      <c r="F287" s="20"/>
      <c r="G287" s="19"/>
      <c r="H287" s="19"/>
      <c r="I287" s="20"/>
    </row>
    <row r="288" spans="1:9" ht="13.15">
      <c r="A288" s="19"/>
      <c r="B288" s="19"/>
      <c r="C288" s="19"/>
      <c r="D288" s="19"/>
      <c r="E288" s="19"/>
      <c r="F288" s="20"/>
      <c r="G288" s="19"/>
      <c r="H288" s="19"/>
      <c r="I288" s="20"/>
    </row>
    <row r="289" spans="1:9" ht="13.15">
      <c r="A289" s="19"/>
      <c r="B289" s="19"/>
      <c r="C289" s="19"/>
      <c r="D289" s="19"/>
      <c r="E289" s="19"/>
      <c r="F289" s="20"/>
      <c r="G289" s="19"/>
      <c r="H289" s="19"/>
      <c r="I289" s="20"/>
    </row>
    <row r="290" spans="1:9" ht="13.15">
      <c r="A290" s="19"/>
      <c r="B290" s="19"/>
      <c r="C290" s="19"/>
      <c r="D290" s="19"/>
      <c r="E290" s="19"/>
      <c r="F290" s="20"/>
      <c r="G290" s="19"/>
      <c r="H290" s="19"/>
      <c r="I290" s="20"/>
    </row>
    <row r="291" spans="1:9" ht="13.15">
      <c r="A291" s="19"/>
      <c r="B291" s="19"/>
      <c r="C291" s="19"/>
      <c r="D291" s="19"/>
      <c r="E291" s="19"/>
      <c r="F291" s="20"/>
      <c r="G291" s="19"/>
      <c r="H291" s="19"/>
      <c r="I291" s="20"/>
    </row>
    <row r="292" spans="1:9" ht="13.15">
      <c r="A292" s="19"/>
      <c r="B292" s="19"/>
      <c r="C292" s="19"/>
      <c r="D292" s="19"/>
      <c r="E292" s="19"/>
      <c r="F292" s="20"/>
      <c r="G292" s="19"/>
      <c r="H292" s="19"/>
      <c r="I292" s="20"/>
    </row>
    <row r="293" spans="1:9" ht="13.15">
      <c r="A293" s="19"/>
      <c r="B293" s="19"/>
      <c r="C293" s="19"/>
      <c r="D293" s="19"/>
      <c r="E293" s="19"/>
      <c r="F293" s="20"/>
      <c r="G293" s="19"/>
      <c r="H293" s="19"/>
      <c r="I293" s="20"/>
    </row>
    <row r="294" spans="1:9" ht="13.15">
      <c r="A294" s="19"/>
      <c r="B294" s="19"/>
      <c r="C294" s="19"/>
      <c r="D294" s="19"/>
      <c r="E294" s="19"/>
      <c r="F294" s="20"/>
      <c r="G294" s="19"/>
      <c r="H294" s="19"/>
      <c r="I294" s="20"/>
    </row>
    <row r="295" spans="1:9" ht="13.15">
      <c r="A295" s="19"/>
      <c r="B295" s="19"/>
      <c r="C295" s="19"/>
      <c r="D295" s="19"/>
      <c r="E295" s="19"/>
      <c r="F295" s="20"/>
      <c r="G295" s="19"/>
      <c r="H295" s="19"/>
      <c r="I295" s="20"/>
    </row>
    <row r="296" spans="1:9" ht="13.15">
      <c r="A296" s="19"/>
      <c r="B296" s="19"/>
      <c r="C296" s="19"/>
      <c r="D296" s="19"/>
      <c r="E296" s="19"/>
      <c r="F296" s="20"/>
      <c r="G296" s="19"/>
      <c r="H296" s="19"/>
      <c r="I296" s="20"/>
    </row>
    <row r="297" spans="1:9" ht="13.15">
      <c r="A297" s="19"/>
      <c r="B297" s="19"/>
      <c r="C297" s="19"/>
      <c r="D297" s="19"/>
      <c r="E297" s="19"/>
      <c r="F297" s="20"/>
      <c r="G297" s="19"/>
      <c r="H297" s="19"/>
      <c r="I297" s="20"/>
    </row>
    <row r="298" spans="1:9" ht="13.15">
      <c r="A298" s="19"/>
      <c r="B298" s="19"/>
      <c r="C298" s="19"/>
      <c r="D298" s="19"/>
      <c r="E298" s="19"/>
      <c r="F298" s="20"/>
      <c r="G298" s="19"/>
      <c r="H298" s="19"/>
      <c r="I298" s="20"/>
    </row>
    <row r="299" spans="1:9" ht="13.15">
      <c r="A299" s="19"/>
      <c r="B299" s="19"/>
      <c r="C299" s="19"/>
      <c r="D299" s="19"/>
      <c r="E299" s="19"/>
      <c r="F299" s="20"/>
      <c r="G299" s="19"/>
      <c r="H299" s="19"/>
      <c r="I299" s="20"/>
    </row>
    <row r="300" spans="1:9" ht="13.15">
      <c r="A300" s="19"/>
      <c r="B300" s="19"/>
      <c r="C300" s="19"/>
      <c r="D300" s="19"/>
      <c r="E300" s="19"/>
      <c r="F300" s="20"/>
      <c r="G300" s="19"/>
      <c r="H300" s="19"/>
      <c r="I300" s="20"/>
    </row>
    <row r="301" spans="1:9" ht="13.15">
      <c r="A301" s="19"/>
      <c r="B301" s="19"/>
      <c r="C301" s="19"/>
      <c r="D301" s="19"/>
      <c r="E301" s="19"/>
      <c r="F301" s="20"/>
      <c r="G301" s="19"/>
      <c r="H301" s="19"/>
      <c r="I301" s="20"/>
    </row>
    <row r="302" spans="1:9" ht="13.15">
      <c r="A302" s="19"/>
      <c r="B302" s="19"/>
      <c r="C302" s="19"/>
      <c r="D302" s="19"/>
      <c r="E302" s="19"/>
      <c r="F302" s="20"/>
      <c r="G302" s="19"/>
      <c r="H302" s="19"/>
      <c r="I302" s="20"/>
    </row>
    <row r="303" spans="1:9" ht="13.15">
      <c r="A303" s="19"/>
      <c r="B303" s="19"/>
      <c r="C303" s="19"/>
      <c r="D303" s="19"/>
      <c r="E303" s="19"/>
      <c r="F303" s="20"/>
      <c r="G303" s="19"/>
      <c r="H303" s="19"/>
      <c r="I303" s="20"/>
    </row>
    <row r="304" spans="1:9" ht="13.15">
      <c r="A304" s="19"/>
      <c r="B304" s="19"/>
      <c r="C304" s="19"/>
      <c r="D304" s="19"/>
      <c r="E304" s="19"/>
      <c r="F304" s="20"/>
      <c r="G304" s="19"/>
      <c r="H304" s="19"/>
      <c r="I304" s="20"/>
    </row>
    <row r="305" spans="1:9" ht="13.15">
      <c r="A305" s="19"/>
      <c r="B305" s="19"/>
      <c r="C305" s="19"/>
      <c r="D305" s="19"/>
      <c r="E305" s="19"/>
      <c r="F305" s="20"/>
      <c r="G305" s="19"/>
      <c r="H305" s="19"/>
      <c r="I305" s="20"/>
    </row>
    <row r="306" spans="1:9" ht="13.15">
      <c r="A306" s="19"/>
      <c r="B306" s="19"/>
      <c r="C306" s="19"/>
      <c r="D306" s="19"/>
      <c r="E306" s="19"/>
      <c r="F306" s="20"/>
      <c r="G306" s="19"/>
      <c r="H306" s="19"/>
      <c r="I306" s="20"/>
    </row>
    <row r="307" spans="1:9" ht="13.15">
      <c r="A307" s="19"/>
      <c r="B307" s="19"/>
      <c r="C307" s="19"/>
      <c r="D307" s="19"/>
      <c r="E307" s="19"/>
      <c r="F307" s="20"/>
      <c r="G307" s="19"/>
      <c r="H307" s="19"/>
      <c r="I307" s="20"/>
    </row>
    <row r="308" spans="1:9" ht="13.15">
      <c r="A308" s="19"/>
      <c r="B308" s="19"/>
      <c r="C308" s="19"/>
      <c r="D308" s="19"/>
      <c r="E308" s="19"/>
      <c r="F308" s="20"/>
      <c r="G308" s="19"/>
      <c r="H308" s="19"/>
      <c r="I308" s="20"/>
    </row>
    <row r="309" spans="1:9" ht="13.15">
      <c r="A309" s="19"/>
      <c r="B309" s="19"/>
      <c r="C309" s="19"/>
      <c r="D309" s="19"/>
      <c r="E309" s="19"/>
      <c r="F309" s="20"/>
      <c r="G309" s="19"/>
      <c r="H309" s="19"/>
      <c r="I309" s="20"/>
    </row>
    <row r="310" spans="1:9" ht="13.15">
      <c r="A310" s="19"/>
      <c r="B310" s="19"/>
      <c r="C310" s="19"/>
      <c r="D310" s="19"/>
      <c r="E310" s="19"/>
      <c r="F310" s="20"/>
      <c r="G310" s="19"/>
      <c r="H310" s="19"/>
      <c r="I310" s="20"/>
    </row>
    <row r="311" spans="1:9" ht="13.15">
      <c r="A311" s="19"/>
      <c r="B311" s="19"/>
      <c r="C311" s="19"/>
      <c r="D311" s="19"/>
      <c r="E311" s="19"/>
      <c r="F311" s="20"/>
      <c r="G311" s="19"/>
      <c r="H311" s="19"/>
      <c r="I311" s="20"/>
    </row>
    <row r="312" spans="1:9" ht="13.15">
      <c r="A312" s="19"/>
      <c r="B312" s="19"/>
      <c r="C312" s="19"/>
      <c r="D312" s="19"/>
      <c r="E312" s="19"/>
      <c r="F312" s="20"/>
      <c r="G312" s="19"/>
      <c r="H312" s="19"/>
      <c r="I312" s="20"/>
    </row>
    <row r="313" spans="1:9" ht="13.15">
      <c r="A313" s="19"/>
      <c r="B313" s="19"/>
      <c r="C313" s="19"/>
      <c r="D313" s="19"/>
      <c r="E313" s="19"/>
      <c r="F313" s="20"/>
      <c r="G313" s="19"/>
      <c r="H313" s="19"/>
      <c r="I313" s="20"/>
    </row>
    <row r="314" spans="1:9" ht="13.15">
      <c r="A314" s="19"/>
      <c r="B314" s="19"/>
      <c r="C314" s="19"/>
      <c r="D314" s="19"/>
      <c r="E314" s="19"/>
      <c r="F314" s="20"/>
      <c r="G314" s="19"/>
      <c r="H314" s="19"/>
      <c r="I314" s="20"/>
    </row>
    <row r="315" spans="1:9" ht="13.15">
      <c r="A315" s="19"/>
      <c r="B315" s="19"/>
      <c r="C315" s="19"/>
      <c r="D315" s="19"/>
      <c r="E315" s="19"/>
      <c r="F315" s="20"/>
      <c r="G315" s="19"/>
      <c r="H315" s="19"/>
      <c r="I315" s="20"/>
    </row>
    <row r="316" spans="1:9" ht="13.15">
      <c r="A316" s="19"/>
      <c r="B316" s="19"/>
      <c r="C316" s="19"/>
      <c r="D316" s="19"/>
      <c r="E316" s="19"/>
      <c r="F316" s="20"/>
      <c r="G316" s="19"/>
      <c r="H316" s="19"/>
      <c r="I316" s="20"/>
    </row>
    <row r="317" spans="1:9" ht="13.15">
      <c r="A317" s="19"/>
      <c r="B317" s="19"/>
      <c r="C317" s="19"/>
      <c r="D317" s="19"/>
      <c r="E317" s="19"/>
      <c r="F317" s="20"/>
      <c r="G317" s="19"/>
      <c r="H317" s="19"/>
      <c r="I317" s="20"/>
    </row>
    <row r="318" spans="1:9" ht="13.15">
      <c r="A318" s="19"/>
      <c r="B318" s="19"/>
      <c r="C318" s="19"/>
      <c r="D318" s="19"/>
      <c r="E318" s="19"/>
      <c r="F318" s="20"/>
      <c r="G318" s="19"/>
      <c r="H318" s="19"/>
      <c r="I318" s="20"/>
    </row>
    <row r="319" spans="1:9" ht="13.15">
      <c r="A319" s="19"/>
      <c r="B319" s="19"/>
      <c r="C319" s="19"/>
      <c r="D319" s="19"/>
      <c r="E319" s="19"/>
      <c r="F319" s="20"/>
      <c r="G319" s="19"/>
      <c r="H319" s="19"/>
      <c r="I319" s="20"/>
    </row>
    <row r="320" spans="1:9" ht="13.15">
      <c r="A320" s="19"/>
      <c r="B320" s="19"/>
      <c r="C320" s="19"/>
      <c r="D320" s="19"/>
      <c r="E320" s="19"/>
      <c r="F320" s="20"/>
      <c r="G320" s="19"/>
      <c r="H320" s="19"/>
      <c r="I320" s="20"/>
    </row>
    <row r="321" spans="1:9" ht="13.15">
      <c r="A321" s="19"/>
      <c r="B321" s="19"/>
      <c r="C321" s="19"/>
      <c r="D321" s="19"/>
      <c r="E321" s="19"/>
      <c r="F321" s="20"/>
      <c r="G321" s="19"/>
      <c r="H321" s="19"/>
      <c r="I321" s="20"/>
    </row>
    <row r="322" spans="1:9" ht="13.15">
      <c r="A322" s="19"/>
      <c r="B322" s="19"/>
      <c r="C322" s="19"/>
      <c r="D322" s="19"/>
      <c r="E322" s="19"/>
      <c r="F322" s="20"/>
      <c r="G322" s="19"/>
      <c r="H322" s="19"/>
      <c r="I322" s="2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55" priority="1" stopIfTrue="1" operator="lessThanOrEqual">
      <formula>-0.1</formula>
    </cfRule>
    <cfRule type="expression" dxfId="54"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I22" sqref="I22"/>
      <selection pane="bottomLeft" activeCell="F27" sqref="F27"/>
      <selection pane="topRight" activeCell="F27" sqref="F27"/>
    </sheetView>
  </sheetViews>
  <sheetFormatPr defaultRowHeight="12.75"/>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111" t="str" cm="1">
        <f t="array" ref="A1">portfolio</f>
        <v>GoodFinch</v>
      </c>
      <c r="B1" s="111"/>
      <c r="C1" s="111"/>
      <c r="D1" s="112" t="s">
        <v>12</v>
      </c>
      <c r="E1" s="112"/>
      <c r="F1" s="112"/>
      <c r="G1" s="110" t="s">
        <v>13</v>
      </c>
      <c r="H1" s="110"/>
      <c r="I1" s="110"/>
    </row>
    <row r="2" spans="1:9" ht="19.5" customHeight="1">
      <c r="A2" s="113" t="s">
        <v>2</v>
      </c>
      <c r="B2" s="113"/>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75">
      <c r="A4" s="46" t="str" cm="1">
        <f t="array" ref="A4:A45">Sites[Site]</f>
        <v>AZ: Tempe - ASU - Farmer</v>
      </c>
      <c r="B4" s="9" t="str" cm="1">
        <f t="array" ref="B4:B45">Sites[State]</f>
        <v>AZ</v>
      </c>
      <c r="C4" s="22">
        <f>SUM(Apr!C4, May!C4, Jun!C4)</f>
        <v>0</v>
      </c>
      <c r="D4" s="12">
        <f>SUM(Apr!D4, May!D4, Jun!D4)</f>
        <v>0</v>
      </c>
      <c r="E4" s="12">
        <f>IF(AND(ISNUMBER(C4),ISNUMBER(D4)), C4-D4, "")</f>
        <v>0</v>
      </c>
      <c r="F4" s="13" t="str">
        <f>IFERROR(E4/D4, "")</f>
        <v/>
      </c>
      <c r="G4" s="14">
        <f>SUM(Apr!G4+May!G4+Jun!G4)</f>
        <v>0</v>
      </c>
      <c r="H4" s="14">
        <f>SUM(Apr!H4, May!H4, Jun!H4)</f>
        <v>0</v>
      </c>
      <c r="I4" s="15" t="str">
        <f>IFERROR(H4/G4, "")</f>
        <v/>
      </c>
    </row>
    <row r="5" spans="1:9" ht="15.75">
      <c r="A5" s="47" t="str">
        <v>AZ: Tempe - ASU - Fulton</v>
      </c>
      <c r="B5" s="10" t="str">
        <v>AZ</v>
      </c>
      <c r="C5" s="11">
        <f>SUM(Apr!C5, May!C5, Jun!C5)</f>
        <v>0</v>
      </c>
      <c r="D5" s="16">
        <f>SUM(Apr!D5, May!D5, Jun!D5)</f>
        <v>0</v>
      </c>
      <c r="E5" s="16">
        <f t="shared" ref="E5:E10" si="0">IF(AND(ISNUMBER(C5),ISNUMBER(D5)), C5-D5, "")</f>
        <v>0</v>
      </c>
      <c r="F5" s="17" t="str">
        <f>IFERROR(E5/D5, "")</f>
        <v/>
      </c>
      <c r="G5" s="80">
        <f>SUM(Apr!G5+May!G5+Jun!G5)</f>
        <v>0</v>
      </c>
      <c r="H5" s="18">
        <f>SUM(Apr!H5, May!H5, Jun!H5)</f>
        <v>0</v>
      </c>
      <c r="I5" s="17" t="str">
        <f>IFERROR(H5/G5, "")</f>
        <v/>
      </c>
    </row>
    <row r="6" spans="1:9" ht="15.75">
      <c r="A6" s="46" t="str">
        <v>AZ: Superior - JFK Elementary</v>
      </c>
      <c r="B6" s="9" t="str">
        <v>AZ</v>
      </c>
      <c r="C6" s="22">
        <f>SUM(Apr!C6, May!C6, Jun!C6)</f>
        <v>0</v>
      </c>
      <c r="D6" s="12">
        <f>SUM(Apr!D6, May!D6, Jun!D6)</f>
        <v>0</v>
      </c>
      <c r="E6" s="12">
        <f t="shared" si="0"/>
        <v>0</v>
      </c>
      <c r="F6" s="13" t="str">
        <f t="shared" ref="F6:F10" si="1">IFERROR(E6/D6, "")</f>
        <v/>
      </c>
      <c r="G6" s="14">
        <f>SUM(Apr!G6+May!G6+Jun!G6)</f>
        <v>0</v>
      </c>
      <c r="H6" s="14">
        <f>SUM(Apr!H6, May!H6, Jun!H6)</f>
        <v>0</v>
      </c>
      <c r="I6" s="15" t="str">
        <f t="shared" ref="I6:I10" si="2">IFERROR(H6/G6, "")</f>
        <v/>
      </c>
    </row>
    <row r="7" spans="1:9" ht="15.75">
      <c r="A7" s="47" t="str">
        <v>AZ: Tempe - ASU - Noble</v>
      </c>
      <c r="B7" s="10" t="str">
        <v>AZ</v>
      </c>
      <c r="C7" s="11">
        <f>SUM(Apr!C7, May!C7, Jun!C7)</f>
        <v>0</v>
      </c>
      <c r="D7" s="16">
        <f>SUM(Apr!D7, May!D7, Jun!D7)</f>
        <v>0</v>
      </c>
      <c r="E7" s="16">
        <f t="shared" si="0"/>
        <v>0</v>
      </c>
      <c r="F7" s="17" t="str">
        <f t="shared" si="1"/>
        <v/>
      </c>
      <c r="G7" s="18">
        <f>SUM(Apr!G7,May!G7,Jun!G7)</f>
        <v>0</v>
      </c>
      <c r="H7" s="18">
        <f>SUM(Apr!H7, May!H7, Jun!H7)</f>
        <v>0</v>
      </c>
      <c r="I7" s="17" t="str">
        <f t="shared" si="2"/>
        <v/>
      </c>
    </row>
    <row r="8" spans="1:9" ht="15.75">
      <c r="A8" s="46" t="str">
        <v>AZ: Tempe - ASU - Parking #3</v>
      </c>
      <c r="B8" s="9" t="str">
        <v>AZ</v>
      </c>
      <c r="C8" s="22">
        <f>SUM(Apr!C8, May!C8, Jun!C8)</f>
        <v>0</v>
      </c>
      <c r="D8" s="12">
        <f>SUM(Apr!D8, May!D8, Jun!D8)</f>
        <v>0</v>
      </c>
      <c r="E8" s="12">
        <f t="shared" si="0"/>
        <v>0</v>
      </c>
      <c r="F8" s="13" t="str">
        <f t="shared" si="1"/>
        <v/>
      </c>
      <c r="G8" s="14">
        <f>SUM(Apr!G8,May!G8,Jun!G8)</f>
        <v>0</v>
      </c>
      <c r="H8" s="14">
        <f>SUM(Apr!H8, May!H8, Jun!H8)</f>
        <v>0</v>
      </c>
      <c r="I8" s="15" t="str">
        <f t="shared" si="2"/>
        <v/>
      </c>
    </row>
    <row r="9" spans="1:9" ht="15.75">
      <c r="A9" s="47" t="str">
        <v>AZ: Tempe - ASU - PE East</v>
      </c>
      <c r="B9" s="10" t="str">
        <v>AZ</v>
      </c>
      <c r="C9" s="11">
        <f>SUM(Apr!C9, May!C9, Jun!C9)</f>
        <v>0</v>
      </c>
      <c r="D9" s="16">
        <f>SUM(Apr!D9, May!D9, Jun!D9)</f>
        <v>0</v>
      </c>
      <c r="E9" s="16">
        <f t="shared" si="0"/>
        <v>0</v>
      </c>
      <c r="F9" s="17" t="str">
        <f t="shared" si="1"/>
        <v/>
      </c>
      <c r="G9" s="18">
        <f>SUM(Apr!G9,May!G9,Jun!G9)</f>
        <v>0</v>
      </c>
      <c r="H9" s="18">
        <f>SUM(Apr!H9, May!H9, Jun!H9)</f>
        <v>0</v>
      </c>
      <c r="I9" s="17" t="str">
        <f t="shared" si="2"/>
        <v/>
      </c>
    </row>
    <row r="10" spans="1:9" ht="15.75">
      <c r="A10" s="46" t="str">
        <v>AZ: Tempe - ASU - Schwada</v>
      </c>
      <c r="B10" s="9" t="str">
        <v>AZ</v>
      </c>
      <c r="C10" s="22">
        <f>SUM(Apr!C10, May!C10, Jun!C10)</f>
        <v>0</v>
      </c>
      <c r="D10" s="12">
        <f>SUM(Apr!D10, May!D10, Jun!D10)</f>
        <v>0</v>
      </c>
      <c r="E10" s="12">
        <f t="shared" si="0"/>
        <v>0</v>
      </c>
      <c r="F10" s="13" t="str">
        <f t="shared" si="1"/>
        <v/>
      </c>
      <c r="G10" s="14">
        <f>SUM(Apr!G10+May!G10+Jun!G10)</f>
        <v>0</v>
      </c>
      <c r="H10" s="14">
        <f>SUM(Apr!H10, May!H10, Jun!H10)</f>
        <v>0</v>
      </c>
      <c r="I10" s="15" t="str">
        <f t="shared" si="2"/>
        <v/>
      </c>
    </row>
    <row r="11" spans="1:9" ht="15.75">
      <c r="A11" s="47" t="str">
        <v>AZ: Phoenix - Starshine Academy</v>
      </c>
      <c r="B11" s="10" t="str">
        <v>AZ</v>
      </c>
      <c r="C11" s="100">
        <f>SUM(Apr!C11, May!C11, Jun!C11)</f>
        <v>0</v>
      </c>
      <c r="D11" s="16">
        <f>SUM(Apr!D11, May!D11, Jun!D11)</f>
        <v>0</v>
      </c>
      <c r="E11" s="16">
        <f t="shared" ref="E11:E45" si="3">IF(AND(ISNUMBER(C11),ISNUMBER(D11)), C11-D11, "")</f>
        <v>0</v>
      </c>
      <c r="F11" s="99" t="str">
        <f t="shared" ref="F11:F45" si="4">IFERROR(E11/D11, "")</f>
        <v/>
      </c>
      <c r="G11" s="80">
        <f>SUM(Apr!G11,May!G11,Jun!G11)</f>
        <v>0</v>
      </c>
      <c r="H11" s="80">
        <f>SUM(Apr!H11, May!H11, Jun!H11)</f>
        <v>0</v>
      </c>
      <c r="I11" s="99" t="str">
        <f t="shared" ref="I11:I45" si="5">IFERROR(H11/G11, "")</f>
        <v/>
      </c>
    </row>
    <row r="12" spans="1:9" ht="15.75">
      <c r="A12" s="46" t="str">
        <v>AZ: Yuma Airport</v>
      </c>
      <c r="B12" s="9" t="str">
        <v>AZ</v>
      </c>
      <c r="C12" s="73">
        <f>SUM(Apr!C12, May!C12, Jun!C12)</f>
        <v>0</v>
      </c>
      <c r="D12" s="12">
        <f>SUM(Apr!D12, May!D12, Jun!D12)</f>
        <v>0</v>
      </c>
      <c r="E12" s="12">
        <f t="shared" si="3"/>
        <v>0</v>
      </c>
      <c r="F12" s="74" t="str">
        <f t="shared" si="4"/>
        <v/>
      </c>
      <c r="G12" s="75">
        <f>SUM(Apr!G12+May!G12+Jun!G12)</f>
        <v>0</v>
      </c>
      <c r="H12" s="75">
        <f>SUM(Apr!H12, May!H12, Jun!H12)</f>
        <v>0</v>
      </c>
      <c r="I12" s="76" t="str">
        <f t="shared" si="5"/>
        <v/>
      </c>
    </row>
    <row r="13" spans="1:9" ht="15.75">
      <c r="A13" s="47" t="str">
        <v>AZ: Globe - Gila CC</v>
      </c>
      <c r="B13" s="10" t="str">
        <v>AZ</v>
      </c>
      <c r="C13" s="100">
        <f>SUM(Apr!C13, May!C13, Jun!C13)</f>
        <v>0</v>
      </c>
      <c r="D13" s="16">
        <f>SUM(Apr!D13, May!D13, Jun!D13)</f>
        <v>0</v>
      </c>
      <c r="E13" s="16">
        <f t="shared" si="3"/>
        <v>0</v>
      </c>
      <c r="F13" s="99" t="str">
        <f t="shared" si="4"/>
        <v/>
      </c>
      <c r="G13" s="80">
        <f>SUM(Apr!G13,May!G13,Jun!G13)</f>
        <v>0</v>
      </c>
      <c r="H13" s="80">
        <f>SUM(Apr!H13, May!H13, Jun!H13)</f>
        <v>0</v>
      </c>
      <c r="I13" s="99" t="str">
        <f t="shared" si="5"/>
        <v/>
      </c>
    </row>
    <row r="14" spans="1:9" ht="15.75">
      <c r="A14" s="46" t="str">
        <v>AZ: Payson - Gila CC</v>
      </c>
      <c r="B14" s="9" t="str">
        <v>AZ</v>
      </c>
      <c r="C14" s="73">
        <f>SUM(Apr!C14, May!C14, Jun!C14)</f>
        <v>0</v>
      </c>
      <c r="D14" s="12">
        <f>SUM(Apr!D14, May!D14, Jun!D14)</f>
        <v>0</v>
      </c>
      <c r="E14" s="12">
        <f t="shared" si="3"/>
        <v>0</v>
      </c>
      <c r="F14" s="74" t="str">
        <f t="shared" si="4"/>
        <v/>
      </c>
      <c r="G14" s="75">
        <f>SUM(Apr!G14+May!G14+Jun!G14)</f>
        <v>0</v>
      </c>
      <c r="H14" s="75">
        <f>SUM(Apr!H14, May!H14, Jun!H14)</f>
        <v>0</v>
      </c>
      <c r="I14" s="76" t="str">
        <f t="shared" si="5"/>
        <v/>
      </c>
    </row>
    <row r="15" spans="1:9" ht="15.75">
      <c r="A15" s="47" t="str">
        <v>AZ: Mesa - Sequoia Charter School</v>
      </c>
      <c r="B15" s="10" t="str">
        <v>AZ</v>
      </c>
      <c r="C15" s="100">
        <f>SUM(Apr!C15, May!C15, Jun!C15)</f>
        <v>0</v>
      </c>
      <c r="D15" s="16">
        <f>SUM(Apr!D15, May!D15, Jun!D15)</f>
        <v>0</v>
      </c>
      <c r="E15" s="16">
        <f t="shared" si="3"/>
        <v>0</v>
      </c>
      <c r="F15" s="99" t="str">
        <f t="shared" si="4"/>
        <v/>
      </c>
      <c r="G15" s="80">
        <f>SUM(Apr!G15,May!G15,Jun!G15)</f>
        <v>0</v>
      </c>
      <c r="H15" s="80">
        <f>SUM(Apr!H15, May!H15, Jun!H15)</f>
        <v>0</v>
      </c>
      <c r="I15" s="99" t="str">
        <f t="shared" si="5"/>
        <v/>
      </c>
    </row>
    <row r="16" spans="1:9" ht="15.75">
      <c r="A16" s="46" t="str">
        <v>AZ: Tempe - SCNM</v>
      </c>
      <c r="B16" s="9" t="str">
        <v>AZ</v>
      </c>
      <c r="C16" s="73">
        <f>SUM(Apr!C16, May!C16, Jun!C16)</f>
        <v>0</v>
      </c>
      <c r="D16" s="12">
        <f>SUM(Apr!D16, May!D16, Jun!D16)</f>
        <v>0</v>
      </c>
      <c r="E16" s="12">
        <f t="shared" si="3"/>
        <v>0</v>
      </c>
      <c r="F16" s="74" t="str">
        <f t="shared" si="4"/>
        <v/>
      </c>
      <c r="G16" s="75">
        <f>SUM(Apr!G16+May!G16+Jun!G16)</f>
        <v>0</v>
      </c>
      <c r="H16" s="75">
        <f>SUM(Apr!H16, May!H16, Jun!H16)</f>
        <v>0</v>
      </c>
      <c r="I16" s="76" t="str">
        <f t="shared" si="5"/>
        <v/>
      </c>
    </row>
    <row r="17" spans="1:9" ht="15.75">
      <c r="A17" s="47" t="str">
        <v>DE: Newark - Clayton Hall</v>
      </c>
      <c r="B17" s="10" t="str">
        <v>DE</v>
      </c>
      <c r="C17" s="100">
        <f>SUM(Apr!C17, May!C17, Jun!C17)</f>
        <v>0</v>
      </c>
      <c r="D17" s="16">
        <f>SUM(Apr!D17, May!D17, Jun!D17)</f>
        <v>0</v>
      </c>
      <c r="E17" s="16">
        <f t="shared" si="3"/>
        <v>0</v>
      </c>
      <c r="F17" s="99" t="str">
        <f t="shared" si="4"/>
        <v/>
      </c>
      <c r="G17" s="80">
        <f>SUM(Apr!G17,May!G17,Jun!G17)</f>
        <v>0</v>
      </c>
      <c r="H17" s="80">
        <f>SUM(Apr!H17, May!H17, Jun!H17)</f>
        <v>0</v>
      </c>
      <c r="I17" s="99" t="str">
        <f t="shared" si="5"/>
        <v/>
      </c>
    </row>
    <row r="18" spans="1:9" ht="15.75">
      <c r="A18" s="46" t="str">
        <v>DE: Newark - UOD Field House</v>
      </c>
      <c r="B18" s="9" t="str">
        <v>DE</v>
      </c>
      <c r="C18" s="73">
        <f>SUM(Apr!C18, May!C18, Jun!C18)</f>
        <v>0</v>
      </c>
      <c r="D18" s="12">
        <f>SUM(Apr!D18, May!D18, Jun!D18)</f>
        <v>0</v>
      </c>
      <c r="E18" s="12">
        <f t="shared" si="3"/>
        <v>0</v>
      </c>
      <c r="F18" s="74" t="str">
        <f t="shared" si="4"/>
        <v/>
      </c>
      <c r="G18" s="75">
        <f>SUM(Apr!G18+May!G18+Jun!G18)</f>
        <v>0</v>
      </c>
      <c r="H18" s="75">
        <f>SUM(Apr!H18, May!H18, Jun!H18)</f>
        <v>0</v>
      </c>
      <c r="I18" s="76" t="str">
        <f t="shared" si="5"/>
        <v/>
      </c>
    </row>
    <row r="19" spans="1:9" ht="15.75">
      <c r="A19" s="47" t="str">
        <v>DE: Newark - UOD 461 Wyoming</v>
      </c>
      <c r="B19" s="10" t="str">
        <v>DE</v>
      </c>
      <c r="C19" s="100">
        <f>SUM(Apr!C19, May!C19, Jun!C19)</f>
        <v>0</v>
      </c>
      <c r="D19" s="16">
        <f>SUM(Apr!D19, May!D19, Jun!D19)</f>
        <v>0</v>
      </c>
      <c r="E19" s="16">
        <f t="shared" si="3"/>
        <v>0</v>
      </c>
      <c r="F19" s="99" t="str">
        <f t="shared" si="4"/>
        <v/>
      </c>
      <c r="G19" s="80">
        <f>SUM(Apr!G19,May!G19,Jun!G19)</f>
        <v>0</v>
      </c>
      <c r="H19" s="80">
        <f>SUM(Apr!H19, May!H19, Jun!H19)</f>
        <v>0</v>
      </c>
      <c r="I19" s="99" t="str">
        <f t="shared" si="5"/>
        <v/>
      </c>
    </row>
    <row r="20" spans="1:9" ht="15.75">
      <c r="A20" s="46" t="str">
        <v>HI: Waipahu - 94-246 Leoku St - E.F.G.</v>
      </c>
      <c r="B20" s="9" t="str">
        <v>HI</v>
      </c>
      <c r="C20" s="73">
        <f>SUM(Apr!C20, May!C20, Jun!C20)</f>
        <v>0</v>
      </c>
      <c r="D20" s="12">
        <f>SUM(Apr!D20, May!D20, Jun!D20)</f>
        <v>0</v>
      </c>
      <c r="E20" s="12">
        <f t="shared" si="3"/>
        <v>0</v>
      </c>
      <c r="F20" s="74" t="str">
        <f t="shared" si="4"/>
        <v/>
      </c>
      <c r="G20" s="75">
        <f>SUM(Apr!G20+May!G20+Jun!G20)</f>
        <v>0</v>
      </c>
      <c r="H20" s="75">
        <f>SUM(Apr!H20, May!H20, Jun!H20)</f>
        <v>0</v>
      </c>
      <c r="I20" s="76" t="str">
        <f t="shared" si="5"/>
        <v/>
      </c>
    </row>
    <row r="21" spans="1:9" ht="15.75">
      <c r="A21" s="47" t="str">
        <v>HI: Waipahu - 94-099 Waipahu St - PV</v>
      </c>
      <c r="B21" s="10" t="str">
        <v>HI</v>
      </c>
      <c r="C21" s="100">
        <f>SUM(Apr!C21, May!C21, Jun!C21)</f>
        <v>0</v>
      </c>
      <c r="D21" s="16">
        <f>SUM(Apr!D21, May!D21, Jun!D21)</f>
        <v>0</v>
      </c>
      <c r="E21" s="16">
        <f t="shared" si="3"/>
        <v>0</v>
      </c>
      <c r="F21" s="99" t="str">
        <f t="shared" si="4"/>
        <v/>
      </c>
      <c r="G21" s="80">
        <f>SUM(Apr!G21,May!G21,Jun!G21)</f>
        <v>0</v>
      </c>
      <c r="H21" s="80">
        <f>SUM(Apr!H21, May!H21, Jun!H21)</f>
        <v>0</v>
      </c>
      <c r="I21" s="99" t="str">
        <f t="shared" si="5"/>
        <v/>
      </c>
    </row>
    <row r="22" spans="1:9" ht="15.75">
      <c r="A22" s="46" t="str">
        <v>MD: Presston - Bird-in-Hand</v>
      </c>
      <c r="B22" s="9" t="str">
        <v>MD</v>
      </c>
      <c r="C22" s="73">
        <f>SUM(Apr!C22, May!C22, Jun!C22)</f>
        <v>0</v>
      </c>
      <c r="D22" s="12">
        <f>SUM(Apr!D22, May!D22, Jun!D22)</f>
        <v>0</v>
      </c>
      <c r="E22" s="12">
        <f t="shared" si="3"/>
        <v>0</v>
      </c>
      <c r="F22" s="74" t="str">
        <f t="shared" si="4"/>
        <v/>
      </c>
      <c r="G22" s="75">
        <f>SUM(Apr!G22+May!G22+Jun!G22)</f>
        <v>0</v>
      </c>
      <c r="H22" s="75">
        <f>SUM(Apr!H22, May!H22, Jun!H22)</f>
        <v>0</v>
      </c>
      <c r="I22" s="76" t="str">
        <f t="shared" si="5"/>
        <v/>
      </c>
    </row>
    <row r="23" spans="1:9" ht="15.75">
      <c r="A23" s="47" t="str">
        <v>MD: Easton - Shortall</v>
      </c>
      <c r="B23" s="10" t="str">
        <v>MD</v>
      </c>
      <c r="C23" s="100">
        <f>SUM(Apr!C23, May!C23, Jun!C23)</f>
        <v>0</v>
      </c>
      <c r="D23" s="16">
        <f>SUM(Apr!D23, May!D23, Jun!D23)</f>
        <v>0</v>
      </c>
      <c r="E23" s="16">
        <f t="shared" si="3"/>
        <v>0</v>
      </c>
      <c r="F23" s="99" t="str">
        <f t="shared" si="4"/>
        <v/>
      </c>
      <c r="G23" s="80">
        <f>SUM(Apr!G23,May!G23,Jun!G23)</f>
        <v>0</v>
      </c>
      <c r="H23" s="80">
        <f>SUM(Apr!H23, May!H23, Jun!H23)</f>
        <v>0</v>
      </c>
      <c r="I23" s="99" t="str">
        <f t="shared" si="5"/>
        <v/>
      </c>
    </row>
    <row r="24" spans="1:9" ht="15.75">
      <c r="A24" s="46" t="str">
        <v>MA: Boston - Seaport Solar</v>
      </c>
      <c r="B24" s="9" t="str">
        <v>MA</v>
      </c>
      <c r="C24" s="73">
        <f>SUM(Apr!C24, May!C24, Jun!C24)</f>
        <v>0</v>
      </c>
      <c r="D24" s="12">
        <f>SUM(Apr!D24, May!D24, Jun!D24)</f>
        <v>0</v>
      </c>
      <c r="E24" s="12">
        <f t="shared" si="3"/>
        <v>0</v>
      </c>
      <c r="F24" s="74" t="str">
        <f t="shared" si="4"/>
        <v/>
      </c>
      <c r="G24" s="75">
        <f>SUM(Apr!G24+May!G24+Jun!G24)</f>
        <v>0</v>
      </c>
      <c r="H24" s="75">
        <f>SUM(Apr!H24, May!H24, Jun!H24)</f>
        <v>0</v>
      </c>
      <c r="I24" s="76" t="str">
        <f t="shared" si="5"/>
        <v/>
      </c>
    </row>
    <row r="25" spans="1:9" ht="15.75">
      <c r="A25" s="47" t="str">
        <v>MA: Dedham - Sprague Street</v>
      </c>
      <c r="B25" s="10" t="str">
        <v>MA</v>
      </c>
      <c r="C25" s="100">
        <f>SUM(Apr!C25, May!C25, Jun!C25)</f>
        <v>0</v>
      </c>
      <c r="D25" s="16">
        <f>SUM(Apr!D25, May!D25, Jun!D25)</f>
        <v>0</v>
      </c>
      <c r="E25" s="16">
        <f t="shared" si="3"/>
        <v>0</v>
      </c>
      <c r="F25" s="99" t="str">
        <f t="shared" si="4"/>
        <v/>
      </c>
      <c r="G25" s="80">
        <f>SUM(Apr!G25,May!G25,Jun!G25)</f>
        <v>0</v>
      </c>
      <c r="H25" s="80">
        <f>SUM(Apr!H25, May!H25, Jun!H25)</f>
        <v>0</v>
      </c>
      <c r="I25" s="99" t="str">
        <f t="shared" si="5"/>
        <v/>
      </c>
    </row>
    <row r="26" spans="1:9" ht="15.75">
      <c r="A26" s="46" t="str">
        <v>MA: Boston - Summer Street</v>
      </c>
      <c r="B26" s="9" t="str">
        <v>MA</v>
      </c>
      <c r="C26" s="73">
        <f>SUM(Apr!C26, May!C26, Jun!C26)</f>
        <v>0</v>
      </c>
      <c r="D26" s="12">
        <f>SUM(Apr!D26, May!D26, Jun!D26)</f>
        <v>0</v>
      </c>
      <c r="E26" s="12">
        <f t="shared" si="3"/>
        <v>0</v>
      </c>
      <c r="F26" s="74" t="str">
        <f t="shared" si="4"/>
        <v/>
      </c>
      <c r="G26" s="75">
        <f>SUM(Apr!G26+May!G26+Jun!G26)</f>
        <v>0</v>
      </c>
      <c r="H26" s="75">
        <f>SUM(Apr!H26, May!H26, Jun!H26)</f>
        <v>0</v>
      </c>
      <c r="I26" s="76" t="str">
        <f t="shared" si="5"/>
        <v/>
      </c>
    </row>
    <row r="27" spans="1:9" ht="15.75">
      <c r="A27" s="47" t="str">
        <v>MA: Leominster - Spectro Coatings</v>
      </c>
      <c r="B27" s="10" t="str">
        <v>MA</v>
      </c>
      <c r="C27" s="100">
        <f>SUM(Apr!C27, May!C27, Jun!C27)</f>
        <v>0</v>
      </c>
      <c r="D27" s="16">
        <f>SUM(Apr!D27, May!D27, Jun!D27)</f>
        <v>0</v>
      </c>
      <c r="E27" s="16">
        <f t="shared" si="3"/>
        <v>0</v>
      </c>
      <c r="F27" s="99" t="str">
        <f t="shared" si="4"/>
        <v/>
      </c>
      <c r="G27" s="80">
        <f>SUM(Apr!G27,May!G27,Jun!G27)</f>
        <v>0</v>
      </c>
      <c r="H27" s="80">
        <f>SUM(Apr!H27, May!H27, Jun!H27)</f>
        <v>0</v>
      </c>
      <c r="I27" s="99" t="str">
        <f t="shared" si="5"/>
        <v/>
      </c>
    </row>
    <row r="28" spans="1:9" ht="15.75">
      <c r="A28" s="46" t="str">
        <v>MA: Braintree - RCAB</v>
      </c>
      <c r="B28" s="9" t="str">
        <v>MA</v>
      </c>
      <c r="C28" s="73">
        <f>SUM(Apr!C28, May!C28, Jun!C28)</f>
        <v>0</v>
      </c>
      <c r="D28" s="12">
        <f>SUM(Apr!D28, May!D28, Jun!D28)</f>
        <v>0</v>
      </c>
      <c r="E28" s="12">
        <f t="shared" si="3"/>
        <v>0</v>
      </c>
      <c r="F28" s="74" t="str">
        <f t="shared" si="4"/>
        <v/>
      </c>
      <c r="G28" s="75">
        <f>SUM(Apr!G28+May!G28+Jun!G28)</f>
        <v>0</v>
      </c>
      <c r="H28" s="75">
        <f>SUM(Apr!H28, May!H28, Jun!H28)</f>
        <v>0</v>
      </c>
      <c r="I28" s="76" t="str">
        <f t="shared" si="5"/>
        <v/>
      </c>
    </row>
    <row r="29" spans="1:9" ht="15.75">
      <c r="A29" s="47" t="str">
        <v>NH: Rochester - Portland Street</v>
      </c>
      <c r="B29" s="10" t="str">
        <v>NH</v>
      </c>
      <c r="C29" s="100">
        <f>SUM(Apr!C29, May!C29, Jun!C29)</f>
        <v>0</v>
      </c>
      <c r="D29" s="16">
        <f>SUM(Apr!D29, May!D29, Jun!D29)</f>
        <v>0</v>
      </c>
      <c r="E29" s="16">
        <f t="shared" si="3"/>
        <v>0</v>
      </c>
      <c r="F29" s="99" t="str">
        <f t="shared" si="4"/>
        <v/>
      </c>
      <c r="G29" s="80">
        <f>SUM(Apr!G29,May!G29,Jun!G29)</f>
        <v>0</v>
      </c>
      <c r="H29" s="80">
        <f>SUM(Apr!H29, May!H29, Jun!H29)</f>
        <v>0</v>
      </c>
      <c r="I29" s="99" t="str">
        <f t="shared" si="5"/>
        <v/>
      </c>
    </row>
    <row r="30" spans="1:9" ht="15.75">
      <c r="A30" s="46" t="str">
        <v>NH: Portsmouth - Portsmouth HS</v>
      </c>
      <c r="B30" s="9" t="str">
        <v>NH</v>
      </c>
      <c r="C30" s="73">
        <f>SUM(Apr!C30, May!C30, Jun!C30)</f>
        <v>0</v>
      </c>
      <c r="D30" s="12">
        <f>SUM(Apr!D30, May!D30, Jun!D30)</f>
        <v>0</v>
      </c>
      <c r="E30" s="12">
        <f t="shared" si="3"/>
        <v>0</v>
      </c>
      <c r="F30" s="74" t="str">
        <f t="shared" si="4"/>
        <v/>
      </c>
      <c r="G30" s="75">
        <f>SUM(Apr!G30+May!G30+Jun!G30)</f>
        <v>0</v>
      </c>
      <c r="H30" s="75">
        <f>SUM(Apr!H30, May!H30, Jun!H30)</f>
        <v>0</v>
      </c>
      <c r="I30" s="76" t="str">
        <f t="shared" si="5"/>
        <v/>
      </c>
    </row>
    <row r="31" spans="1:9" ht="15.75">
      <c r="A31" s="47" t="str">
        <v>NH: Portsmouth - Portsmouth WTP</v>
      </c>
      <c r="B31" s="10" t="str">
        <v>NH</v>
      </c>
      <c r="C31" s="100">
        <f>SUM(Apr!C31, May!C31, Jun!C31)</f>
        <v>0</v>
      </c>
      <c r="D31" s="16">
        <f>SUM(Apr!D31, May!D31, Jun!D31)</f>
        <v>0</v>
      </c>
      <c r="E31" s="16">
        <f t="shared" si="3"/>
        <v>0</v>
      </c>
      <c r="F31" s="99" t="str">
        <f t="shared" si="4"/>
        <v/>
      </c>
      <c r="G31" s="80">
        <f>SUM(Apr!G31,May!G31,Jun!G31)</f>
        <v>0</v>
      </c>
      <c r="H31" s="80">
        <f>SUM(Apr!H31, May!H31, Jun!H31)</f>
        <v>0</v>
      </c>
      <c r="I31" s="99" t="str">
        <f t="shared" si="5"/>
        <v/>
      </c>
    </row>
    <row r="32" spans="1:9" ht="15.75">
      <c r="A32" s="46" t="str">
        <v>NH: Rochester - Rochester MS</v>
      </c>
      <c r="B32" s="9" t="str">
        <v>NH</v>
      </c>
      <c r="C32" s="73">
        <f>SUM(Apr!C32, May!C32, Jun!C32)</f>
        <v>0</v>
      </c>
      <c r="D32" s="12">
        <f>SUM(Apr!D32, May!D32, Jun!D32)</f>
        <v>0</v>
      </c>
      <c r="E32" s="12">
        <f t="shared" si="3"/>
        <v>0</v>
      </c>
      <c r="F32" s="74" t="str">
        <f t="shared" si="4"/>
        <v/>
      </c>
      <c r="G32" s="75">
        <f>SUM(Apr!G32+May!G32+Jun!G32)</f>
        <v>0</v>
      </c>
      <c r="H32" s="75">
        <f>SUM(Apr!H32, May!H32, Jun!H32)</f>
        <v>0</v>
      </c>
      <c r="I32" s="76" t="str">
        <f t="shared" si="5"/>
        <v/>
      </c>
    </row>
    <row r="33" spans="1:9" ht="15.75">
      <c r="A33" s="47" t="str">
        <v>NH Rochester - Spaulding HS</v>
      </c>
      <c r="B33" s="10" t="str">
        <v>NH</v>
      </c>
      <c r="C33" s="100">
        <f>SUM(Apr!C33, May!C33, Jun!C33)</f>
        <v>0</v>
      </c>
      <c r="D33" s="16">
        <f>SUM(Apr!D33, May!D33, Jun!D33)</f>
        <v>0</v>
      </c>
      <c r="E33" s="16">
        <f t="shared" si="3"/>
        <v>0</v>
      </c>
      <c r="F33" s="99" t="str">
        <f t="shared" si="4"/>
        <v/>
      </c>
      <c r="G33" s="80">
        <f>SUM(Apr!G33,May!G33,Jun!G33)</f>
        <v>0</v>
      </c>
      <c r="H33" s="80">
        <f>SUM(Apr!H33, May!H33, Jun!H33)</f>
        <v>0</v>
      </c>
      <c r="I33" s="99" t="str">
        <f t="shared" si="5"/>
        <v/>
      </c>
    </row>
    <row r="34" spans="1:9" ht="15.75">
      <c r="A34" s="46" t="str">
        <v>NH: Rochester - McClelland ES</v>
      </c>
      <c r="B34" s="9" t="str">
        <v>NH</v>
      </c>
      <c r="C34" s="73">
        <f>SUM(Apr!C34, May!C34, Jun!C34)</f>
        <v>0</v>
      </c>
      <c r="D34" s="12">
        <f>SUM(Apr!D34, May!D34, Jun!D34)</f>
        <v>0</v>
      </c>
      <c r="E34" s="12">
        <f t="shared" si="3"/>
        <v>0</v>
      </c>
      <c r="F34" s="74" t="str">
        <f t="shared" si="4"/>
        <v/>
      </c>
      <c r="G34" s="75">
        <f>SUM(Apr!G34+May!G34+Jun!G34)</f>
        <v>0</v>
      </c>
      <c r="H34" s="75">
        <f>SUM(Apr!H34, May!H34, Jun!H34)</f>
        <v>0</v>
      </c>
      <c r="I34" s="76" t="str">
        <f t="shared" si="5"/>
        <v/>
      </c>
    </row>
    <row r="35" spans="1:9" ht="15.75">
      <c r="A35" s="47" t="str">
        <v>NH: Rochester - Brock St Vocational</v>
      </c>
      <c r="B35" s="10" t="str">
        <v>NH</v>
      </c>
      <c r="C35" s="100">
        <f>SUM(Apr!C35, May!C35, Jun!C35)</f>
        <v>0</v>
      </c>
      <c r="D35" s="16">
        <f>SUM(Apr!D35, May!D35, Jun!D35)</f>
        <v>0</v>
      </c>
      <c r="E35" s="16">
        <f t="shared" si="3"/>
        <v>0</v>
      </c>
      <c r="F35" s="99" t="str">
        <f t="shared" si="4"/>
        <v/>
      </c>
      <c r="G35" s="80">
        <f>SUM(Apr!G35,May!G35,Jun!G35)</f>
        <v>0</v>
      </c>
      <c r="H35" s="80">
        <f>SUM(Apr!H35, May!H35, Jun!H35)</f>
        <v>0</v>
      </c>
      <c r="I35" s="99" t="str">
        <f t="shared" si="5"/>
        <v/>
      </c>
    </row>
    <row r="36" spans="1:9" ht="15.75">
      <c r="A36" s="46" t="str">
        <v>OH: Cleveland - CV Kinsman</v>
      </c>
      <c r="B36" s="9" t="str">
        <v>OH</v>
      </c>
      <c r="C36" s="73">
        <f>SUM(Apr!C36, May!C36, Jun!C36)</f>
        <v>0</v>
      </c>
      <c r="D36" s="12">
        <f>SUM(Apr!D36, May!D36, Jun!D36)</f>
        <v>0</v>
      </c>
      <c r="E36" s="12">
        <f t="shared" si="3"/>
        <v>0</v>
      </c>
      <c r="F36" s="74" t="str">
        <f t="shared" si="4"/>
        <v/>
      </c>
      <c r="G36" s="75">
        <f>SUM(Apr!G36+May!G36+Jun!G36)</f>
        <v>0</v>
      </c>
      <c r="H36" s="75">
        <f>SUM(Apr!H36, May!H36, Jun!H36)</f>
        <v>0</v>
      </c>
      <c r="I36" s="76" t="str">
        <f t="shared" si="5"/>
        <v/>
      </c>
    </row>
    <row r="37" spans="1:9" ht="15.75">
      <c r="A37" s="47" t="str">
        <v>OH: Cleveland - CV Wooster</v>
      </c>
      <c r="B37" s="10" t="str">
        <v>OH</v>
      </c>
      <c r="C37" s="100">
        <f>SUM(Apr!C37, May!C37, Jun!C37)</f>
        <v>0</v>
      </c>
      <c r="D37" s="16">
        <f>SUM(Apr!D37, May!D37, Jun!D37)</f>
        <v>0</v>
      </c>
      <c r="E37" s="16">
        <f t="shared" si="3"/>
        <v>0</v>
      </c>
      <c r="F37" s="99" t="str">
        <f t="shared" si="4"/>
        <v/>
      </c>
      <c r="G37" s="80">
        <f>SUM(Apr!G37,May!G37,Jun!G37)</f>
        <v>0</v>
      </c>
      <c r="H37" s="80">
        <f>SUM(Apr!H37, May!H37, Jun!H37)</f>
        <v>0</v>
      </c>
      <c r="I37" s="99" t="str">
        <f t="shared" si="5"/>
        <v/>
      </c>
    </row>
    <row r="38" spans="1:9" ht="15.75">
      <c r="A38" s="46" t="str">
        <v>PR: Aguadilla - Coca Cola</v>
      </c>
      <c r="B38" s="9" t="str">
        <v>PR</v>
      </c>
      <c r="C38" s="73">
        <f>SUM(Apr!C38, May!C38, Jun!C38)</f>
        <v>0</v>
      </c>
      <c r="D38" s="12">
        <f>SUM(Apr!D38, May!D38, Jun!D38)</f>
        <v>0</v>
      </c>
      <c r="E38" s="12">
        <f t="shared" si="3"/>
        <v>0</v>
      </c>
      <c r="F38" s="74" t="str">
        <f t="shared" si="4"/>
        <v/>
      </c>
      <c r="G38" s="75">
        <f>SUM(Apr!G38+May!G38+Jun!G38)</f>
        <v>0</v>
      </c>
      <c r="H38" s="75">
        <f>SUM(Apr!H38, May!H38, Jun!H38)</f>
        <v>0</v>
      </c>
      <c r="I38" s="76" t="str">
        <f t="shared" si="5"/>
        <v/>
      </c>
    </row>
    <row r="39" spans="1:9" ht="15.75">
      <c r="A39" s="47" t="str">
        <v>PR: Bayamon - Coca Cola</v>
      </c>
      <c r="B39" s="10" t="str">
        <v>PR</v>
      </c>
      <c r="C39" s="100">
        <f>SUM(Apr!C39, May!C39, Jun!C39)</f>
        <v>0</v>
      </c>
      <c r="D39" s="16">
        <f>SUM(Apr!D39, May!D39, Jun!D39)</f>
        <v>0</v>
      </c>
      <c r="E39" s="16">
        <f t="shared" si="3"/>
        <v>0</v>
      </c>
      <c r="F39" s="99" t="str">
        <f t="shared" si="4"/>
        <v/>
      </c>
      <c r="G39" s="80">
        <f>SUM(Apr!G39,May!G39,Jun!G39)</f>
        <v>0</v>
      </c>
      <c r="H39" s="80">
        <f>SUM(Apr!H39, May!H39, Jun!H39)</f>
        <v>0</v>
      </c>
      <c r="I39" s="99" t="str">
        <f t="shared" si="5"/>
        <v/>
      </c>
    </row>
    <row r="40" spans="1:9" ht="15.75">
      <c r="A40" s="46" t="str">
        <v>PR: Carolina - St. Francis</v>
      </c>
      <c r="B40" s="9" t="str">
        <v>PR</v>
      </c>
      <c r="C40" s="73">
        <f>SUM(Apr!C40, May!C40, Jun!C40)</f>
        <v>0</v>
      </c>
      <c r="D40" s="12">
        <f>SUM(Apr!D40, May!D40, Jun!D40)</f>
        <v>0</v>
      </c>
      <c r="E40" s="12">
        <f t="shared" si="3"/>
        <v>0</v>
      </c>
      <c r="F40" s="74" t="str">
        <f t="shared" si="4"/>
        <v/>
      </c>
      <c r="G40" s="75">
        <f>SUM(Apr!G40+May!G40+Jun!G40)</f>
        <v>0</v>
      </c>
      <c r="H40" s="75">
        <f>SUM(Apr!H40, May!H40, Jun!H40)</f>
        <v>0</v>
      </c>
      <c r="I40" s="76" t="str">
        <f t="shared" si="5"/>
        <v/>
      </c>
    </row>
    <row r="41" spans="1:9" ht="15.75">
      <c r="A41" s="47" t="str">
        <v>DC: Washington - Essex Condominium</v>
      </c>
      <c r="B41" s="10" t="str">
        <v>DC</v>
      </c>
      <c r="C41" s="100">
        <f>SUM(Apr!C41, May!C41, Jun!C41)</f>
        <v>0</v>
      </c>
      <c r="D41" s="16">
        <f>SUM(Apr!D41, May!D41, Jun!D41)</f>
        <v>0</v>
      </c>
      <c r="E41" s="16">
        <f t="shared" si="3"/>
        <v>0</v>
      </c>
      <c r="F41" s="99" t="str">
        <f t="shared" si="4"/>
        <v/>
      </c>
      <c r="G41" s="80">
        <f>SUM(Apr!G41,May!G41,Jun!G41)</f>
        <v>0</v>
      </c>
      <c r="H41" s="80">
        <f>SUM(Apr!H41, May!H41, Jun!H41)</f>
        <v>0</v>
      </c>
      <c r="I41" s="99" t="str">
        <f t="shared" si="5"/>
        <v/>
      </c>
    </row>
    <row r="42" spans="1:9" ht="15.75">
      <c r="A42" s="46" t="str">
        <v>DC: Chevy Chase -Sinai</v>
      </c>
      <c r="B42" s="9" t="str">
        <v>DC</v>
      </c>
      <c r="C42" s="73">
        <f>SUM(Apr!C42, May!C42, Jun!C42)</f>
        <v>0</v>
      </c>
      <c r="D42" s="12">
        <f>SUM(Apr!D42, May!D42, Jun!D42)</f>
        <v>0</v>
      </c>
      <c r="E42" s="12">
        <f t="shared" si="3"/>
        <v>0</v>
      </c>
      <c r="F42" s="74" t="str">
        <f t="shared" si="4"/>
        <v/>
      </c>
      <c r="G42" s="75">
        <f>SUM(Apr!G42+May!G42+Jun!G42)</f>
        <v>0</v>
      </c>
      <c r="H42" s="75">
        <f>SUM(Apr!H42, May!H42, Jun!H42)</f>
        <v>0</v>
      </c>
      <c r="I42" s="76" t="str">
        <f t="shared" si="5"/>
        <v/>
      </c>
    </row>
    <row r="43" spans="1:9" ht="15.75">
      <c r="A43" s="47" t="str">
        <v>DC: Washington - Weinberg 1</v>
      </c>
      <c r="B43" s="10" t="str">
        <v>DC</v>
      </c>
      <c r="C43" s="100">
        <f>SUM(Apr!C43, May!C43, Jun!C43)</f>
        <v>0</v>
      </c>
      <c r="D43" s="16">
        <f>SUM(Apr!D43, May!D43, Jun!D43)</f>
        <v>0</v>
      </c>
      <c r="E43" s="16">
        <f t="shared" si="3"/>
        <v>0</v>
      </c>
      <c r="F43" s="99" t="str">
        <f t="shared" si="4"/>
        <v/>
      </c>
      <c r="G43" s="80">
        <f>SUM(Apr!G43,May!G43,Jun!G43)</f>
        <v>0</v>
      </c>
      <c r="H43" s="80">
        <f>SUM(Apr!H43, May!H43, Jun!H43)</f>
        <v>0</v>
      </c>
      <c r="I43" s="99" t="str">
        <f t="shared" si="5"/>
        <v/>
      </c>
    </row>
    <row r="44" spans="1:9" ht="15.75">
      <c r="A44" s="46" t="str">
        <v>DC: Washington - Weinberg 2</v>
      </c>
      <c r="B44" s="9" t="str">
        <v>DC</v>
      </c>
      <c r="C44" s="73">
        <f>SUM(Apr!C44, May!C44, Jun!C44)</f>
        <v>0</v>
      </c>
      <c r="D44" s="12">
        <f>SUM(Apr!D44, May!D44, Jun!D44)</f>
        <v>0</v>
      </c>
      <c r="E44" s="12">
        <f t="shared" si="3"/>
        <v>0</v>
      </c>
      <c r="F44" s="74" t="str">
        <f t="shared" si="4"/>
        <v/>
      </c>
      <c r="G44" s="75">
        <f>SUM(Apr!G44+May!G44+Jun!G44)</f>
        <v>0</v>
      </c>
      <c r="H44" s="75">
        <f>SUM(Apr!H44, May!H44, Jun!H44)</f>
        <v>0</v>
      </c>
      <c r="I44" s="76" t="str">
        <f t="shared" si="5"/>
        <v/>
      </c>
    </row>
    <row r="45" spans="1:9" ht="15.75">
      <c r="A45" s="47" t="str">
        <v>DC: Washington - Weinberg 3</v>
      </c>
      <c r="B45" s="10" t="str">
        <v>DC</v>
      </c>
      <c r="C45" s="100">
        <f>SUM(Apr!C45, May!C45, Jun!C45)</f>
        <v>0</v>
      </c>
      <c r="D45" s="16">
        <f>SUM(Apr!D45, May!D45, Jun!D45)</f>
        <v>0</v>
      </c>
      <c r="E45" s="16">
        <f t="shared" si="3"/>
        <v>0</v>
      </c>
      <c r="F45" s="99" t="str">
        <f t="shared" si="4"/>
        <v/>
      </c>
      <c r="G45" s="80">
        <f>SUM(Apr!G45,May!G45,Jun!G45)</f>
        <v>0</v>
      </c>
      <c r="H45" s="80">
        <f>SUM(Apr!H45, May!H45, Jun!H45)</f>
        <v>0</v>
      </c>
      <c r="I45" s="99" t="str">
        <f t="shared" si="5"/>
        <v/>
      </c>
    </row>
    <row r="46" spans="1:9" ht="13.15">
      <c r="A46" s="19"/>
      <c r="B46" s="19"/>
      <c r="C46" s="19"/>
      <c r="D46" s="19"/>
      <c r="E46" s="19"/>
      <c r="F46" s="20"/>
      <c r="G46" s="19"/>
      <c r="H46" s="19"/>
      <c r="I46" s="20"/>
    </row>
    <row r="47" spans="1:9" ht="13.15">
      <c r="A47" s="19"/>
      <c r="B47" s="19"/>
      <c r="C47" s="19"/>
      <c r="D47" s="19"/>
      <c r="E47" s="19"/>
      <c r="F47" s="20"/>
      <c r="G47" s="19"/>
      <c r="H47" s="19"/>
      <c r="I47" s="20"/>
    </row>
    <row r="48" spans="1:9" ht="13.15">
      <c r="A48" s="19"/>
      <c r="B48" s="19"/>
      <c r="C48" s="19"/>
      <c r="D48" s="19"/>
      <c r="E48" s="19"/>
      <c r="F48" s="20"/>
      <c r="G48" s="19"/>
      <c r="H48" s="19"/>
      <c r="I48" s="20"/>
    </row>
    <row r="49" spans="1:9" ht="13.15">
      <c r="A49" s="19"/>
      <c r="B49" s="19"/>
      <c r="C49" s="19"/>
      <c r="D49" s="19"/>
      <c r="E49" s="19"/>
      <c r="F49" s="20"/>
      <c r="G49" s="19"/>
      <c r="H49" s="19"/>
      <c r="I49" s="20"/>
    </row>
    <row r="50" spans="1:9" ht="13.15">
      <c r="A50" s="19"/>
      <c r="B50" s="19"/>
      <c r="C50" s="19"/>
      <c r="D50" s="19"/>
      <c r="E50" s="19"/>
      <c r="F50" s="20"/>
      <c r="G50" s="19"/>
      <c r="H50" s="19"/>
      <c r="I50" s="20"/>
    </row>
    <row r="51" spans="1:9" ht="13.15">
      <c r="A51" s="19"/>
      <c r="B51" s="19"/>
      <c r="C51" s="19"/>
      <c r="D51" s="19"/>
      <c r="E51" s="19"/>
      <c r="F51" s="20"/>
      <c r="G51" s="19"/>
      <c r="H51" s="19"/>
      <c r="I51" s="20"/>
    </row>
    <row r="52" spans="1:9" ht="13.15">
      <c r="A52" s="19"/>
      <c r="B52" s="19"/>
      <c r="C52" s="19"/>
      <c r="D52" s="19"/>
      <c r="E52" s="19"/>
      <c r="F52" s="20"/>
      <c r="G52" s="19"/>
      <c r="H52" s="19"/>
      <c r="I52" s="20"/>
    </row>
    <row r="53" spans="1:9" ht="13.15">
      <c r="A53" s="19"/>
      <c r="B53" s="19"/>
      <c r="C53" s="19"/>
      <c r="D53" s="19"/>
      <c r="E53" s="19"/>
      <c r="F53" s="20"/>
      <c r="G53" s="19"/>
      <c r="H53" s="19"/>
      <c r="I53" s="20"/>
    </row>
    <row r="54" spans="1:9" ht="13.15">
      <c r="A54" s="19"/>
      <c r="B54" s="19"/>
      <c r="C54" s="19"/>
      <c r="D54" s="19"/>
      <c r="E54" s="19"/>
      <c r="F54" s="20"/>
      <c r="G54" s="19"/>
      <c r="H54" s="19"/>
      <c r="I54" s="20"/>
    </row>
    <row r="55" spans="1:9" ht="13.15">
      <c r="A55" s="19"/>
      <c r="B55" s="19"/>
      <c r="C55" s="19"/>
      <c r="D55" s="19"/>
      <c r="E55" s="19"/>
      <c r="F55" s="20"/>
      <c r="G55" s="19"/>
      <c r="H55" s="19"/>
      <c r="I55" s="20"/>
    </row>
    <row r="56" spans="1:9" ht="13.15">
      <c r="A56" s="19"/>
      <c r="B56" s="19"/>
      <c r="C56" s="19"/>
      <c r="D56" s="19"/>
      <c r="E56" s="19"/>
      <c r="F56" s="20"/>
      <c r="G56" s="19"/>
      <c r="H56" s="19"/>
      <c r="I56" s="20"/>
    </row>
    <row r="57" spans="1:9" ht="13.15">
      <c r="A57" s="19"/>
      <c r="B57" s="19"/>
      <c r="C57" s="19"/>
      <c r="D57" s="19"/>
      <c r="E57" s="19"/>
      <c r="F57" s="20"/>
      <c r="G57" s="19"/>
      <c r="H57" s="19"/>
      <c r="I57" s="20"/>
    </row>
    <row r="58" spans="1:9" ht="13.15">
      <c r="A58" s="19"/>
      <c r="B58" s="19"/>
      <c r="C58" s="19"/>
      <c r="D58" s="19"/>
      <c r="E58" s="19"/>
      <c r="F58" s="20"/>
      <c r="G58" s="19"/>
      <c r="H58" s="19"/>
      <c r="I58" s="20"/>
    </row>
    <row r="59" spans="1:9" ht="13.15">
      <c r="A59" s="19"/>
      <c r="B59" s="19"/>
      <c r="C59" s="19"/>
      <c r="D59" s="19"/>
      <c r="E59" s="19"/>
      <c r="F59" s="20"/>
      <c r="G59" s="19"/>
      <c r="H59" s="19"/>
      <c r="I59" s="20"/>
    </row>
    <row r="60" spans="1:9" ht="13.15">
      <c r="A60" s="19"/>
      <c r="B60" s="19"/>
      <c r="C60" s="19"/>
      <c r="D60" s="19"/>
      <c r="E60" s="19"/>
      <c r="F60" s="20"/>
      <c r="G60" s="19"/>
      <c r="H60" s="19"/>
      <c r="I60" s="20"/>
    </row>
    <row r="61" spans="1:9" ht="13.15">
      <c r="A61" s="19"/>
      <c r="B61" s="19"/>
      <c r="C61" s="19"/>
      <c r="D61" s="19"/>
      <c r="E61" s="19"/>
      <c r="F61" s="20"/>
      <c r="G61" s="19"/>
      <c r="H61" s="19"/>
      <c r="I61" s="20"/>
    </row>
    <row r="62" spans="1:9" ht="13.15">
      <c r="A62" s="19"/>
      <c r="B62" s="19"/>
      <c r="C62" s="19"/>
      <c r="D62" s="19"/>
      <c r="E62" s="19"/>
      <c r="F62" s="20"/>
      <c r="G62" s="19"/>
      <c r="H62" s="19"/>
      <c r="I62" s="20"/>
    </row>
    <row r="63" spans="1:9" ht="13.15">
      <c r="A63" s="19"/>
      <c r="B63" s="19"/>
      <c r="C63" s="19"/>
      <c r="D63" s="19"/>
      <c r="E63" s="19"/>
      <c r="F63" s="20"/>
      <c r="G63" s="19"/>
      <c r="H63" s="19"/>
      <c r="I63" s="20"/>
    </row>
    <row r="64" spans="1:9" ht="13.15">
      <c r="A64" s="19"/>
      <c r="B64" s="19"/>
      <c r="C64" s="19"/>
      <c r="D64" s="19"/>
      <c r="E64" s="19"/>
      <c r="F64" s="20"/>
      <c r="G64" s="19"/>
      <c r="H64" s="19"/>
      <c r="I64" s="20"/>
    </row>
    <row r="65" spans="1:9" ht="13.15">
      <c r="A65" s="19"/>
      <c r="B65" s="19"/>
      <c r="C65" s="19"/>
      <c r="D65" s="19"/>
      <c r="E65" s="19"/>
      <c r="F65" s="20"/>
      <c r="G65" s="19"/>
      <c r="H65" s="19"/>
      <c r="I65" s="20"/>
    </row>
    <row r="66" spans="1:9" ht="13.15">
      <c r="A66" s="19"/>
      <c r="B66" s="19"/>
      <c r="C66" s="19"/>
      <c r="D66" s="19"/>
      <c r="E66" s="19"/>
      <c r="F66" s="20"/>
      <c r="G66" s="19"/>
      <c r="H66" s="19"/>
      <c r="I66" s="20"/>
    </row>
    <row r="67" spans="1:9" ht="13.15">
      <c r="A67" s="19"/>
      <c r="B67" s="19"/>
      <c r="C67" s="19"/>
      <c r="D67" s="19"/>
      <c r="E67" s="19"/>
      <c r="F67" s="20"/>
      <c r="G67" s="19"/>
      <c r="H67" s="19"/>
      <c r="I67" s="20"/>
    </row>
    <row r="68" spans="1:9" ht="13.15">
      <c r="A68" s="19"/>
      <c r="B68" s="19"/>
      <c r="C68" s="19"/>
      <c r="D68" s="19"/>
      <c r="E68" s="19"/>
      <c r="F68" s="20"/>
      <c r="G68" s="19"/>
      <c r="H68" s="19"/>
      <c r="I68" s="20"/>
    </row>
    <row r="69" spans="1:9" ht="13.15">
      <c r="A69" s="19"/>
      <c r="B69" s="19"/>
      <c r="C69" s="19"/>
      <c r="D69" s="19"/>
      <c r="E69" s="19"/>
      <c r="F69" s="20"/>
      <c r="G69" s="19"/>
      <c r="H69" s="19"/>
      <c r="I69" s="20"/>
    </row>
    <row r="70" spans="1:9" ht="13.15">
      <c r="A70" s="19"/>
      <c r="B70" s="19"/>
      <c r="C70" s="19"/>
      <c r="D70" s="19"/>
      <c r="E70" s="19"/>
      <c r="F70" s="20"/>
      <c r="G70" s="19"/>
      <c r="H70" s="19"/>
      <c r="I70" s="20"/>
    </row>
    <row r="71" spans="1:9" ht="13.15">
      <c r="A71" s="19"/>
      <c r="B71" s="19"/>
      <c r="C71" s="19"/>
      <c r="D71" s="19"/>
      <c r="E71" s="19"/>
      <c r="F71" s="20"/>
      <c r="G71" s="19"/>
      <c r="H71" s="19"/>
      <c r="I71" s="20"/>
    </row>
    <row r="72" spans="1:9" ht="13.15">
      <c r="A72" s="19"/>
      <c r="B72" s="19"/>
      <c r="C72" s="19"/>
      <c r="D72" s="19"/>
      <c r="E72" s="19"/>
      <c r="F72" s="20"/>
      <c r="G72" s="19"/>
      <c r="H72" s="19"/>
      <c r="I72" s="20"/>
    </row>
    <row r="73" spans="1:9" ht="13.15">
      <c r="A73" s="19"/>
      <c r="B73" s="19"/>
      <c r="C73" s="19"/>
      <c r="D73" s="19"/>
      <c r="E73" s="19"/>
      <c r="F73" s="20"/>
      <c r="G73" s="19"/>
      <c r="H73" s="19"/>
      <c r="I73" s="20"/>
    </row>
    <row r="74" spans="1:9" ht="13.15">
      <c r="A74" s="19"/>
      <c r="B74" s="19"/>
      <c r="C74" s="19"/>
      <c r="D74" s="19"/>
      <c r="E74" s="19"/>
      <c r="F74" s="20"/>
      <c r="G74" s="19"/>
      <c r="H74" s="19"/>
      <c r="I74" s="20"/>
    </row>
    <row r="75" spans="1:9" ht="13.15">
      <c r="A75" s="19"/>
      <c r="B75" s="19"/>
      <c r="C75" s="19"/>
      <c r="D75" s="19"/>
      <c r="E75" s="19"/>
      <c r="F75" s="20"/>
      <c r="G75" s="19"/>
      <c r="H75" s="19"/>
      <c r="I75" s="20"/>
    </row>
    <row r="76" spans="1:9" ht="13.15">
      <c r="A76" s="19"/>
      <c r="B76" s="19"/>
      <c r="C76" s="19"/>
      <c r="D76" s="19"/>
      <c r="E76" s="19"/>
      <c r="F76" s="20"/>
      <c r="G76" s="19"/>
      <c r="H76" s="19"/>
      <c r="I76" s="20"/>
    </row>
    <row r="77" spans="1:9" ht="13.15">
      <c r="A77" s="19"/>
      <c r="B77" s="19"/>
      <c r="C77" s="19"/>
      <c r="D77" s="19"/>
      <c r="E77" s="19"/>
      <c r="F77" s="20"/>
      <c r="G77" s="19"/>
      <c r="H77" s="19"/>
      <c r="I77" s="20"/>
    </row>
    <row r="78" spans="1:9" ht="13.15">
      <c r="A78" s="19"/>
      <c r="B78" s="19"/>
      <c r="C78" s="19"/>
      <c r="D78" s="19"/>
      <c r="E78" s="19"/>
      <c r="F78" s="20"/>
      <c r="G78" s="19"/>
      <c r="H78" s="19"/>
      <c r="I78" s="20"/>
    </row>
    <row r="79" spans="1:9" ht="13.15">
      <c r="A79" s="19"/>
      <c r="B79" s="19"/>
      <c r="C79" s="19"/>
      <c r="D79" s="19"/>
      <c r="E79" s="19"/>
      <c r="F79" s="20"/>
      <c r="G79" s="19"/>
      <c r="H79" s="19"/>
      <c r="I79" s="20"/>
    </row>
    <row r="80" spans="1:9" ht="13.15">
      <c r="A80" s="19"/>
      <c r="B80" s="19"/>
      <c r="C80" s="19"/>
      <c r="D80" s="19"/>
      <c r="E80" s="19"/>
      <c r="F80" s="20"/>
      <c r="G80" s="19"/>
      <c r="H80" s="19"/>
      <c r="I80" s="20"/>
    </row>
    <row r="81" spans="1:9" ht="13.15">
      <c r="A81" s="19"/>
      <c r="B81" s="19"/>
      <c r="C81" s="19"/>
      <c r="D81" s="19"/>
      <c r="E81" s="19"/>
      <c r="F81" s="20"/>
      <c r="G81" s="19"/>
      <c r="H81" s="19"/>
      <c r="I81" s="20"/>
    </row>
    <row r="82" spans="1:9" ht="13.15">
      <c r="A82" s="19"/>
      <c r="B82" s="19"/>
      <c r="C82" s="19"/>
      <c r="D82" s="19"/>
      <c r="E82" s="19"/>
      <c r="F82" s="20"/>
      <c r="G82" s="19"/>
      <c r="H82" s="19"/>
      <c r="I82" s="20"/>
    </row>
    <row r="83" spans="1:9" ht="13.15">
      <c r="A83" s="19"/>
      <c r="B83" s="19"/>
      <c r="C83" s="19"/>
      <c r="D83" s="19"/>
      <c r="E83" s="19"/>
      <c r="F83" s="20"/>
      <c r="G83" s="19"/>
      <c r="H83" s="19"/>
      <c r="I83" s="20"/>
    </row>
    <row r="84" spans="1:9" ht="13.15">
      <c r="A84" s="19"/>
      <c r="B84" s="19"/>
      <c r="C84" s="19"/>
      <c r="D84" s="19"/>
      <c r="E84" s="19"/>
      <c r="F84" s="20"/>
      <c r="G84" s="19"/>
      <c r="H84" s="19"/>
      <c r="I84" s="20"/>
    </row>
    <row r="85" spans="1:9" ht="13.15">
      <c r="A85" s="19"/>
      <c r="B85" s="19"/>
      <c r="C85" s="19"/>
      <c r="D85" s="19"/>
      <c r="E85" s="19"/>
      <c r="F85" s="20"/>
      <c r="G85" s="19"/>
      <c r="H85" s="19"/>
      <c r="I85" s="20"/>
    </row>
    <row r="86" spans="1:9" ht="13.15">
      <c r="A86" s="19"/>
      <c r="B86" s="19"/>
      <c r="C86" s="19"/>
      <c r="D86" s="19"/>
      <c r="E86" s="19"/>
      <c r="F86" s="20"/>
      <c r="G86" s="19"/>
      <c r="H86" s="19"/>
      <c r="I86" s="20"/>
    </row>
    <row r="87" spans="1:9" ht="13.15">
      <c r="A87" s="19"/>
      <c r="B87" s="19"/>
      <c r="C87" s="19"/>
      <c r="D87" s="19"/>
      <c r="E87" s="19"/>
      <c r="F87" s="20"/>
      <c r="G87" s="19"/>
      <c r="H87" s="19"/>
      <c r="I87" s="20"/>
    </row>
    <row r="88" spans="1:9" ht="13.15">
      <c r="A88" s="19"/>
      <c r="B88" s="19"/>
      <c r="C88" s="19"/>
      <c r="D88" s="19"/>
      <c r="E88" s="19"/>
      <c r="F88" s="20"/>
      <c r="G88" s="19"/>
      <c r="H88" s="19"/>
      <c r="I88" s="20"/>
    </row>
    <row r="89" spans="1:9" ht="13.15">
      <c r="A89" s="19"/>
      <c r="B89" s="19"/>
      <c r="C89" s="19"/>
      <c r="D89" s="19"/>
      <c r="E89" s="19"/>
      <c r="F89" s="20"/>
      <c r="G89" s="19"/>
      <c r="H89" s="19"/>
      <c r="I89" s="20"/>
    </row>
    <row r="90" spans="1:9" ht="13.15">
      <c r="A90" s="19"/>
      <c r="B90" s="19"/>
      <c r="C90" s="19"/>
      <c r="D90" s="19"/>
      <c r="E90" s="19"/>
      <c r="F90" s="20"/>
      <c r="G90" s="19"/>
      <c r="H90" s="19"/>
      <c r="I90" s="20"/>
    </row>
    <row r="91" spans="1:9" ht="13.15">
      <c r="A91" s="19"/>
      <c r="B91" s="19"/>
      <c r="C91" s="19"/>
      <c r="D91" s="19"/>
      <c r="E91" s="19"/>
      <c r="F91" s="20"/>
      <c r="G91" s="19"/>
      <c r="H91" s="19"/>
      <c r="I91" s="20"/>
    </row>
    <row r="92" spans="1:9" ht="13.15">
      <c r="A92" s="19"/>
      <c r="B92" s="19"/>
      <c r="C92" s="19"/>
      <c r="D92" s="19"/>
      <c r="E92" s="19"/>
      <c r="F92" s="20"/>
      <c r="G92" s="19"/>
      <c r="H92" s="19"/>
      <c r="I92" s="20"/>
    </row>
    <row r="93" spans="1:9" ht="13.15">
      <c r="A93" s="19"/>
      <c r="B93" s="19"/>
      <c r="C93" s="19"/>
      <c r="D93" s="19"/>
      <c r="E93" s="19"/>
      <c r="F93" s="20"/>
      <c r="G93" s="19"/>
      <c r="H93" s="19"/>
      <c r="I93" s="20"/>
    </row>
    <row r="94" spans="1:9" ht="13.15">
      <c r="A94" s="19"/>
      <c r="B94" s="19"/>
      <c r="C94" s="19"/>
      <c r="D94" s="19"/>
      <c r="E94" s="19"/>
      <c r="F94" s="20"/>
      <c r="G94" s="19"/>
      <c r="H94" s="19"/>
      <c r="I94" s="20"/>
    </row>
    <row r="95" spans="1:9" ht="13.15">
      <c r="A95" s="19"/>
      <c r="B95" s="19"/>
      <c r="C95" s="19"/>
      <c r="D95" s="19"/>
      <c r="E95" s="19"/>
      <c r="F95" s="20"/>
      <c r="G95" s="19"/>
      <c r="H95" s="19"/>
      <c r="I95" s="20"/>
    </row>
    <row r="96" spans="1:9" ht="13.15">
      <c r="A96" s="19"/>
      <c r="B96" s="19"/>
      <c r="C96" s="19"/>
      <c r="D96" s="19"/>
      <c r="E96" s="19"/>
      <c r="F96" s="20"/>
      <c r="G96" s="19"/>
      <c r="H96" s="19"/>
      <c r="I96" s="20"/>
    </row>
    <row r="97" spans="1:9" ht="13.15">
      <c r="A97" s="19"/>
      <c r="B97" s="19"/>
      <c r="C97" s="19"/>
      <c r="D97" s="19"/>
      <c r="E97" s="19"/>
      <c r="F97" s="20"/>
      <c r="G97" s="19"/>
      <c r="H97" s="19"/>
      <c r="I97" s="20"/>
    </row>
    <row r="98" spans="1:9" ht="13.15">
      <c r="A98" s="19"/>
      <c r="B98" s="19"/>
      <c r="C98" s="19"/>
      <c r="D98" s="19"/>
      <c r="E98" s="19"/>
      <c r="F98" s="20"/>
      <c r="G98" s="19"/>
      <c r="H98" s="19"/>
      <c r="I98" s="20"/>
    </row>
    <row r="99" spans="1:9" ht="13.15">
      <c r="A99" s="19"/>
      <c r="B99" s="19"/>
      <c r="C99" s="19"/>
      <c r="D99" s="19"/>
      <c r="E99" s="19"/>
      <c r="F99" s="20"/>
      <c r="G99" s="19"/>
      <c r="H99" s="19"/>
      <c r="I99" s="20"/>
    </row>
    <row r="100" spans="1:9" ht="13.15">
      <c r="A100" s="19"/>
      <c r="B100" s="19"/>
      <c r="C100" s="19"/>
      <c r="D100" s="19"/>
      <c r="E100" s="19"/>
      <c r="F100" s="20"/>
      <c r="G100" s="19"/>
      <c r="H100" s="19"/>
      <c r="I100" s="20"/>
    </row>
    <row r="101" spans="1:9" ht="13.15">
      <c r="A101" s="19"/>
      <c r="B101" s="19"/>
      <c r="C101" s="19"/>
      <c r="D101" s="19"/>
      <c r="E101" s="19"/>
      <c r="F101" s="20"/>
      <c r="G101" s="19"/>
      <c r="H101" s="19"/>
      <c r="I101" s="20"/>
    </row>
    <row r="102" spans="1:9" ht="13.15">
      <c r="A102" s="19"/>
      <c r="B102" s="19"/>
      <c r="C102" s="19"/>
      <c r="D102" s="19"/>
      <c r="E102" s="19"/>
      <c r="F102" s="20"/>
      <c r="G102" s="19"/>
      <c r="H102" s="19"/>
      <c r="I102" s="20"/>
    </row>
    <row r="103" spans="1:9" ht="13.15">
      <c r="A103" s="19"/>
      <c r="B103" s="19"/>
      <c r="C103" s="19"/>
      <c r="D103" s="19"/>
      <c r="E103" s="19"/>
      <c r="F103" s="20"/>
      <c r="G103" s="19"/>
      <c r="H103" s="19"/>
      <c r="I103" s="20"/>
    </row>
    <row r="104" spans="1:9" ht="13.15">
      <c r="A104" s="19"/>
      <c r="B104" s="19"/>
      <c r="C104" s="19"/>
      <c r="D104" s="19"/>
      <c r="E104" s="19"/>
      <c r="F104" s="20"/>
      <c r="G104" s="19"/>
      <c r="H104" s="19"/>
      <c r="I104" s="20"/>
    </row>
    <row r="105" spans="1:9" ht="13.15">
      <c r="A105" s="19"/>
      <c r="B105" s="19"/>
      <c r="C105" s="19"/>
      <c r="D105" s="19"/>
      <c r="E105" s="19"/>
      <c r="F105" s="20"/>
      <c r="G105" s="19"/>
      <c r="H105" s="19"/>
      <c r="I105" s="20"/>
    </row>
    <row r="106" spans="1:9" ht="13.15">
      <c r="A106" s="19"/>
      <c r="B106" s="19"/>
      <c r="C106" s="19"/>
      <c r="D106" s="19"/>
      <c r="E106" s="19"/>
      <c r="F106" s="20"/>
      <c r="G106" s="19"/>
      <c r="H106" s="19"/>
      <c r="I106" s="20"/>
    </row>
    <row r="107" spans="1:9" ht="13.15">
      <c r="A107" s="19"/>
      <c r="B107" s="19"/>
      <c r="C107" s="19"/>
      <c r="D107" s="19"/>
      <c r="E107" s="19"/>
      <c r="F107" s="20"/>
      <c r="G107" s="19"/>
      <c r="H107" s="19"/>
      <c r="I107" s="20"/>
    </row>
    <row r="108" spans="1:9" ht="13.15">
      <c r="A108" s="19"/>
      <c r="B108" s="19"/>
      <c r="C108" s="19"/>
      <c r="D108" s="19"/>
      <c r="E108" s="19"/>
      <c r="F108" s="20"/>
      <c r="G108" s="19"/>
      <c r="H108" s="19"/>
      <c r="I108" s="20"/>
    </row>
    <row r="109" spans="1:9" ht="13.15">
      <c r="A109" s="19"/>
      <c r="B109" s="19"/>
      <c r="C109" s="19"/>
      <c r="D109" s="19"/>
      <c r="E109" s="19"/>
      <c r="F109" s="20"/>
      <c r="G109" s="19"/>
      <c r="H109" s="19"/>
      <c r="I109" s="20"/>
    </row>
    <row r="110" spans="1:9" ht="13.15">
      <c r="A110" s="19"/>
      <c r="B110" s="19"/>
      <c r="C110" s="19"/>
      <c r="D110" s="19"/>
      <c r="E110" s="19"/>
      <c r="F110" s="20"/>
      <c r="G110" s="19"/>
      <c r="H110" s="19"/>
      <c r="I110" s="20"/>
    </row>
    <row r="111" spans="1:9" ht="13.15">
      <c r="A111" s="19"/>
      <c r="B111" s="19"/>
      <c r="C111" s="19"/>
      <c r="D111" s="19"/>
      <c r="E111" s="19"/>
      <c r="F111" s="20"/>
      <c r="G111" s="19"/>
      <c r="H111" s="19"/>
      <c r="I111" s="20"/>
    </row>
    <row r="112" spans="1:9" ht="13.15">
      <c r="A112" s="19"/>
      <c r="B112" s="19"/>
      <c r="C112" s="19"/>
      <c r="D112" s="19"/>
      <c r="E112" s="19"/>
      <c r="F112" s="20"/>
      <c r="G112" s="19"/>
      <c r="H112" s="19"/>
      <c r="I112" s="20"/>
    </row>
    <row r="113" spans="1:9" ht="13.15">
      <c r="A113" s="19"/>
      <c r="B113" s="19"/>
      <c r="C113" s="19"/>
      <c r="D113" s="19"/>
      <c r="E113" s="19"/>
      <c r="F113" s="20"/>
      <c r="G113" s="19"/>
      <c r="H113" s="19"/>
      <c r="I113" s="20"/>
    </row>
    <row r="114" spans="1:9" ht="13.15">
      <c r="A114" s="19"/>
      <c r="B114" s="19"/>
      <c r="C114" s="19"/>
      <c r="D114" s="19"/>
      <c r="E114" s="19"/>
      <c r="F114" s="20"/>
      <c r="G114" s="19"/>
      <c r="H114" s="19"/>
      <c r="I114" s="20"/>
    </row>
    <row r="115" spans="1:9" ht="13.15">
      <c r="A115" s="19"/>
      <c r="B115" s="19"/>
      <c r="C115" s="19"/>
      <c r="D115" s="19"/>
      <c r="E115" s="19"/>
      <c r="F115" s="20"/>
      <c r="G115" s="19"/>
      <c r="H115" s="19"/>
      <c r="I115" s="20"/>
    </row>
    <row r="116" spans="1:9" ht="13.15">
      <c r="A116" s="19"/>
      <c r="B116" s="19"/>
      <c r="C116" s="19"/>
      <c r="D116" s="19"/>
      <c r="E116" s="19"/>
      <c r="F116" s="20"/>
      <c r="G116" s="19"/>
      <c r="H116" s="19"/>
      <c r="I116" s="20"/>
    </row>
    <row r="117" spans="1:9" ht="13.15">
      <c r="A117" s="19"/>
      <c r="B117" s="19"/>
      <c r="C117" s="19"/>
      <c r="D117" s="19"/>
      <c r="E117" s="19"/>
      <c r="F117" s="20"/>
      <c r="G117" s="19"/>
      <c r="H117" s="19"/>
      <c r="I117" s="20"/>
    </row>
    <row r="118" spans="1:9" ht="13.15">
      <c r="A118" s="19"/>
      <c r="B118" s="19"/>
      <c r="C118" s="19"/>
      <c r="D118" s="19"/>
      <c r="E118" s="19"/>
      <c r="F118" s="20"/>
      <c r="G118" s="19"/>
      <c r="H118" s="19"/>
      <c r="I118" s="20"/>
    </row>
    <row r="119" spans="1:9" ht="13.15">
      <c r="A119" s="19"/>
      <c r="B119" s="19"/>
      <c r="C119" s="19"/>
      <c r="D119" s="19"/>
      <c r="E119" s="19"/>
      <c r="F119" s="20"/>
      <c r="G119" s="19"/>
      <c r="H119" s="19"/>
      <c r="I119" s="20"/>
    </row>
    <row r="120" spans="1:9" ht="13.15">
      <c r="A120" s="19"/>
      <c r="B120" s="19"/>
      <c r="C120" s="19"/>
      <c r="D120" s="19"/>
      <c r="E120" s="19"/>
      <c r="F120" s="20"/>
      <c r="G120" s="19"/>
      <c r="H120" s="19"/>
      <c r="I120" s="20"/>
    </row>
    <row r="121" spans="1:9" ht="13.15">
      <c r="A121" s="19"/>
      <c r="B121" s="19"/>
      <c r="C121" s="19"/>
      <c r="D121" s="19"/>
      <c r="E121" s="19"/>
      <c r="F121" s="20"/>
      <c r="G121" s="19"/>
      <c r="H121" s="19"/>
      <c r="I121" s="20"/>
    </row>
    <row r="122" spans="1:9" ht="13.15">
      <c r="A122" s="19"/>
      <c r="B122" s="19"/>
      <c r="C122" s="19"/>
      <c r="D122" s="19"/>
      <c r="E122" s="19"/>
      <c r="F122" s="20"/>
      <c r="G122" s="19"/>
      <c r="H122" s="19"/>
      <c r="I122" s="20"/>
    </row>
    <row r="123" spans="1:9" ht="13.15">
      <c r="A123" s="19"/>
      <c r="B123" s="19"/>
      <c r="C123" s="19"/>
      <c r="D123" s="19"/>
      <c r="E123" s="19"/>
      <c r="F123" s="20"/>
      <c r="G123" s="19"/>
      <c r="H123" s="19"/>
      <c r="I123" s="20"/>
    </row>
    <row r="124" spans="1:9" ht="13.15">
      <c r="A124" s="19"/>
      <c r="B124" s="19"/>
      <c r="C124" s="19"/>
      <c r="D124" s="19"/>
      <c r="E124" s="19"/>
      <c r="F124" s="20"/>
      <c r="G124" s="19"/>
      <c r="H124" s="19"/>
      <c r="I124" s="20"/>
    </row>
    <row r="125" spans="1:9" ht="13.15">
      <c r="A125" s="19"/>
      <c r="B125" s="19"/>
      <c r="C125" s="19"/>
      <c r="D125" s="19"/>
      <c r="E125" s="19"/>
      <c r="F125" s="20"/>
      <c r="G125" s="19"/>
      <c r="H125" s="19"/>
      <c r="I125" s="20"/>
    </row>
    <row r="126" spans="1:9" ht="13.15">
      <c r="A126" s="19"/>
      <c r="B126" s="19"/>
      <c r="C126" s="19"/>
      <c r="D126" s="19"/>
      <c r="E126" s="19"/>
      <c r="F126" s="20"/>
      <c r="G126" s="19"/>
      <c r="H126" s="19"/>
      <c r="I126" s="20"/>
    </row>
    <row r="127" spans="1:9" ht="13.15">
      <c r="A127" s="19"/>
      <c r="B127" s="19"/>
      <c r="C127" s="19"/>
      <c r="D127" s="19"/>
      <c r="E127" s="19"/>
      <c r="F127" s="20"/>
      <c r="G127" s="19"/>
      <c r="H127" s="19"/>
      <c r="I127" s="20"/>
    </row>
    <row r="128" spans="1:9" ht="13.15">
      <c r="A128" s="19"/>
      <c r="B128" s="19"/>
      <c r="C128" s="19"/>
      <c r="D128" s="19"/>
      <c r="E128" s="19"/>
      <c r="F128" s="20"/>
      <c r="G128" s="19"/>
      <c r="H128" s="19"/>
      <c r="I128" s="20"/>
    </row>
    <row r="129" spans="1:9" ht="13.15">
      <c r="A129" s="19"/>
      <c r="B129" s="19"/>
      <c r="C129" s="19"/>
      <c r="D129" s="19"/>
      <c r="E129" s="19"/>
      <c r="F129" s="20"/>
      <c r="G129" s="19"/>
      <c r="H129" s="19"/>
      <c r="I129" s="20"/>
    </row>
    <row r="130" spans="1:9" ht="13.15">
      <c r="A130" s="19"/>
      <c r="B130" s="19"/>
      <c r="C130" s="19"/>
      <c r="D130" s="19"/>
      <c r="E130" s="19"/>
      <c r="F130" s="20"/>
      <c r="G130" s="19"/>
      <c r="H130" s="19"/>
      <c r="I130" s="20"/>
    </row>
    <row r="131" spans="1:9" ht="13.15">
      <c r="A131" s="19"/>
      <c r="B131" s="19"/>
      <c r="C131" s="19"/>
      <c r="D131" s="19"/>
      <c r="E131" s="19"/>
      <c r="F131" s="20"/>
      <c r="G131" s="19"/>
      <c r="H131" s="19"/>
      <c r="I131" s="20"/>
    </row>
    <row r="132" spans="1:9" ht="13.15">
      <c r="A132" s="19"/>
      <c r="B132" s="19"/>
      <c r="C132" s="19"/>
      <c r="D132" s="19"/>
      <c r="E132" s="19"/>
      <c r="F132" s="20"/>
      <c r="G132" s="19"/>
      <c r="H132" s="19"/>
      <c r="I132" s="20"/>
    </row>
    <row r="133" spans="1:9" ht="13.15">
      <c r="A133" s="19"/>
      <c r="B133" s="19"/>
      <c r="C133" s="19"/>
      <c r="D133" s="19"/>
      <c r="E133" s="19"/>
      <c r="F133" s="20"/>
      <c r="G133" s="19"/>
      <c r="H133" s="19"/>
      <c r="I133" s="20"/>
    </row>
    <row r="134" spans="1:9" ht="13.15">
      <c r="A134" s="19"/>
      <c r="B134" s="19"/>
      <c r="C134" s="19"/>
      <c r="D134" s="19"/>
      <c r="E134" s="19"/>
      <c r="F134" s="20"/>
      <c r="G134" s="19"/>
      <c r="H134" s="19"/>
      <c r="I134" s="20"/>
    </row>
    <row r="135" spans="1:9" ht="13.15">
      <c r="A135" s="19"/>
      <c r="B135" s="19"/>
      <c r="C135" s="19"/>
      <c r="D135" s="19"/>
      <c r="E135" s="19"/>
      <c r="F135" s="20"/>
      <c r="G135" s="19"/>
      <c r="H135" s="19"/>
      <c r="I135" s="20"/>
    </row>
    <row r="136" spans="1:9" ht="13.15">
      <c r="A136" s="19"/>
      <c r="B136" s="19"/>
      <c r="C136" s="19"/>
      <c r="D136" s="19"/>
      <c r="E136" s="19"/>
      <c r="F136" s="20"/>
      <c r="G136" s="19"/>
      <c r="H136" s="19"/>
      <c r="I136" s="20"/>
    </row>
    <row r="137" spans="1:9" ht="13.15">
      <c r="A137" s="19"/>
      <c r="B137" s="19"/>
      <c r="C137" s="19"/>
      <c r="D137" s="19"/>
      <c r="E137" s="19"/>
      <c r="F137" s="20"/>
      <c r="G137" s="19"/>
      <c r="H137" s="19"/>
      <c r="I137" s="20"/>
    </row>
    <row r="138" spans="1:9" ht="13.15">
      <c r="A138" s="19"/>
      <c r="B138" s="19"/>
      <c r="C138" s="19"/>
      <c r="D138" s="19"/>
      <c r="E138" s="19"/>
      <c r="F138" s="20"/>
      <c r="G138" s="19"/>
      <c r="H138" s="19"/>
      <c r="I138" s="20"/>
    </row>
    <row r="139" spans="1:9" ht="13.15">
      <c r="A139" s="19"/>
      <c r="B139" s="19"/>
      <c r="C139" s="19"/>
      <c r="D139" s="19"/>
      <c r="E139" s="19"/>
      <c r="F139" s="20"/>
      <c r="G139" s="19"/>
      <c r="H139" s="19"/>
      <c r="I139" s="20"/>
    </row>
    <row r="140" spans="1:9" ht="13.15">
      <c r="A140" s="19"/>
      <c r="B140" s="19"/>
      <c r="C140" s="19"/>
      <c r="D140" s="19"/>
      <c r="E140" s="19"/>
      <c r="F140" s="20"/>
      <c r="G140" s="19"/>
      <c r="H140" s="19"/>
      <c r="I140" s="20"/>
    </row>
    <row r="141" spans="1:9" ht="13.15">
      <c r="A141" s="19"/>
      <c r="B141" s="19"/>
      <c r="C141" s="19"/>
      <c r="D141" s="19"/>
      <c r="E141" s="19"/>
      <c r="F141" s="20"/>
      <c r="G141" s="19"/>
      <c r="H141" s="19"/>
      <c r="I141" s="20"/>
    </row>
    <row r="142" spans="1:9" ht="13.15">
      <c r="A142" s="19"/>
      <c r="B142" s="19"/>
      <c r="C142" s="19"/>
      <c r="D142" s="19"/>
      <c r="E142" s="19"/>
      <c r="F142" s="20"/>
      <c r="G142" s="19"/>
      <c r="H142" s="19"/>
      <c r="I142" s="20"/>
    </row>
    <row r="143" spans="1:9" ht="13.15">
      <c r="A143" s="19"/>
      <c r="B143" s="19"/>
      <c r="C143" s="19"/>
      <c r="D143" s="19"/>
      <c r="E143" s="19"/>
      <c r="F143" s="20"/>
      <c r="G143" s="19"/>
      <c r="H143" s="19"/>
      <c r="I143" s="20"/>
    </row>
    <row r="144" spans="1:9" ht="13.15">
      <c r="A144" s="19"/>
      <c r="B144" s="19"/>
      <c r="C144" s="19"/>
      <c r="D144" s="19"/>
      <c r="E144" s="19"/>
      <c r="F144" s="20"/>
      <c r="G144" s="19"/>
      <c r="H144" s="19"/>
      <c r="I144" s="20"/>
    </row>
    <row r="145" spans="1:9" ht="13.15">
      <c r="A145" s="19"/>
      <c r="B145" s="19"/>
      <c r="C145" s="19"/>
      <c r="D145" s="19"/>
      <c r="E145" s="19"/>
      <c r="F145" s="20"/>
      <c r="G145" s="19"/>
      <c r="H145" s="19"/>
      <c r="I145" s="20"/>
    </row>
    <row r="146" spans="1:9" ht="13.15">
      <c r="A146" s="19"/>
      <c r="B146" s="19"/>
      <c r="C146" s="19"/>
      <c r="D146" s="19"/>
      <c r="E146" s="19"/>
      <c r="F146" s="20"/>
      <c r="G146" s="19"/>
      <c r="H146" s="19"/>
      <c r="I146" s="20"/>
    </row>
    <row r="147" spans="1:9" ht="13.15">
      <c r="A147" s="19"/>
      <c r="B147" s="19"/>
      <c r="C147" s="19"/>
      <c r="D147" s="19"/>
      <c r="E147" s="19"/>
      <c r="F147" s="20"/>
      <c r="G147" s="19"/>
      <c r="H147" s="19"/>
      <c r="I147" s="20"/>
    </row>
    <row r="148" spans="1:9" ht="13.15">
      <c r="A148" s="19"/>
      <c r="B148" s="19"/>
      <c r="C148" s="19"/>
      <c r="D148" s="19"/>
      <c r="E148" s="19"/>
      <c r="F148" s="20"/>
      <c r="G148" s="19"/>
      <c r="H148" s="19"/>
      <c r="I148" s="20"/>
    </row>
    <row r="149" spans="1:9" ht="13.15">
      <c r="A149" s="19"/>
      <c r="B149" s="19"/>
      <c r="C149" s="19"/>
      <c r="D149" s="19"/>
      <c r="E149" s="19"/>
      <c r="F149" s="20"/>
      <c r="G149" s="19"/>
      <c r="H149" s="19"/>
      <c r="I149" s="20"/>
    </row>
    <row r="150" spans="1:9" ht="13.15">
      <c r="A150" s="19"/>
      <c r="B150" s="19"/>
      <c r="C150" s="19"/>
      <c r="D150" s="19"/>
      <c r="E150" s="19"/>
      <c r="F150" s="20"/>
      <c r="G150" s="19"/>
      <c r="H150" s="19"/>
      <c r="I150" s="20"/>
    </row>
    <row r="151" spans="1:9" ht="13.15">
      <c r="A151" s="19"/>
      <c r="B151" s="19"/>
      <c r="C151" s="19"/>
      <c r="D151" s="19"/>
      <c r="E151" s="19"/>
      <c r="F151" s="20"/>
      <c r="G151" s="19"/>
      <c r="H151" s="19"/>
      <c r="I151" s="20"/>
    </row>
    <row r="152" spans="1:9" ht="13.15">
      <c r="A152" s="19"/>
      <c r="B152" s="19"/>
      <c r="C152" s="19"/>
      <c r="D152" s="19"/>
      <c r="E152" s="19"/>
      <c r="F152" s="20"/>
      <c r="G152" s="19"/>
      <c r="H152" s="19"/>
      <c r="I152" s="20"/>
    </row>
    <row r="153" spans="1:9" ht="13.15">
      <c r="A153" s="19"/>
      <c r="B153" s="19"/>
      <c r="C153" s="19"/>
      <c r="D153" s="19"/>
      <c r="E153" s="19"/>
      <c r="F153" s="20"/>
      <c r="G153" s="19"/>
      <c r="H153" s="19"/>
      <c r="I153" s="20"/>
    </row>
    <row r="154" spans="1:9" ht="13.15">
      <c r="A154" s="19"/>
      <c r="B154" s="19"/>
      <c r="C154" s="19"/>
      <c r="D154" s="19"/>
      <c r="E154" s="19"/>
      <c r="F154" s="20"/>
      <c r="G154" s="19"/>
      <c r="H154" s="19"/>
      <c r="I154" s="20"/>
    </row>
    <row r="155" spans="1:9" ht="13.15">
      <c r="A155" s="19"/>
      <c r="B155" s="19"/>
      <c r="C155" s="19"/>
      <c r="D155" s="19"/>
      <c r="E155" s="19"/>
      <c r="F155" s="20"/>
      <c r="G155" s="19"/>
      <c r="H155" s="19"/>
      <c r="I155" s="20"/>
    </row>
    <row r="156" spans="1:9" ht="13.15">
      <c r="A156" s="19"/>
      <c r="B156" s="19"/>
      <c r="C156" s="19"/>
      <c r="D156" s="19"/>
      <c r="E156" s="19"/>
      <c r="F156" s="20"/>
      <c r="G156" s="19"/>
      <c r="H156" s="19"/>
      <c r="I156" s="20"/>
    </row>
    <row r="157" spans="1:9" ht="13.15">
      <c r="A157" s="19"/>
      <c r="B157" s="19"/>
      <c r="C157" s="19"/>
      <c r="D157" s="19"/>
      <c r="E157" s="19"/>
      <c r="F157" s="20"/>
      <c r="G157" s="19"/>
      <c r="H157" s="19"/>
      <c r="I157" s="20"/>
    </row>
    <row r="158" spans="1:9" ht="13.15">
      <c r="A158" s="19"/>
      <c r="B158" s="19"/>
      <c r="C158" s="19"/>
      <c r="D158" s="19"/>
      <c r="E158" s="19"/>
      <c r="F158" s="20"/>
      <c r="G158" s="19"/>
      <c r="H158" s="19"/>
      <c r="I158" s="20"/>
    </row>
    <row r="159" spans="1:9" ht="13.15">
      <c r="A159" s="19"/>
      <c r="B159" s="19"/>
      <c r="C159" s="19"/>
      <c r="D159" s="19"/>
      <c r="E159" s="19"/>
      <c r="F159" s="20"/>
      <c r="G159" s="19"/>
      <c r="H159" s="19"/>
      <c r="I159" s="20"/>
    </row>
    <row r="160" spans="1:9" ht="13.15">
      <c r="A160" s="19"/>
      <c r="B160" s="19"/>
      <c r="C160" s="19"/>
      <c r="D160" s="19"/>
      <c r="E160" s="19"/>
      <c r="F160" s="20"/>
      <c r="G160" s="19"/>
      <c r="H160" s="19"/>
      <c r="I160" s="20"/>
    </row>
    <row r="161" spans="1:9" ht="13.15">
      <c r="A161" s="19"/>
      <c r="B161" s="19"/>
      <c r="C161" s="19"/>
      <c r="D161" s="19"/>
      <c r="E161" s="19"/>
      <c r="F161" s="20"/>
      <c r="G161" s="19"/>
      <c r="H161" s="19"/>
      <c r="I161" s="20"/>
    </row>
    <row r="162" spans="1:9" ht="13.15">
      <c r="A162" s="19"/>
      <c r="B162" s="19"/>
      <c r="C162" s="19"/>
      <c r="D162" s="19"/>
      <c r="E162" s="19"/>
      <c r="F162" s="20"/>
      <c r="G162" s="19"/>
      <c r="H162" s="19"/>
      <c r="I162" s="20"/>
    </row>
    <row r="163" spans="1:9" ht="13.15">
      <c r="A163" s="19"/>
      <c r="B163" s="19"/>
      <c r="C163" s="19"/>
      <c r="D163" s="19"/>
      <c r="E163" s="19"/>
      <c r="F163" s="20"/>
      <c r="G163" s="19"/>
      <c r="H163" s="19"/>
      <c r="I163" s="20"/>
    </row>
    <row r="164" spans="1:9" ht="13.15">
      <c r="A164" s="19"/>
      <c r="B164" s="19"/>
      <c r="C164" s="19"/>
      <c r="D164" s="19"/>
      <c r="E164" s="19"/>
      <c r="F164" s="20"/>
      <c r="G164" s="19"/>
      <c r="H164" s="19"/>
      <c r="I164" s="20"/>
    </row>
    <row r="165" spans="1:9" ht="13.15">
      <c r="A165" s="19"/>
      <c r="B165" s="19"/>
      <c r="C165" s="19"/>
      <c r="D165" s="19"/>
      <c r="E165" s="19"/>
      <c r="F165" s="20"/>
      <c r="G165" s="19"/>
      <c r="H165" s="19"/>
      <c r="I165" s="20"/>
    </row>
    <row r="166" spans="1:9" ht="13.15">
      <c r="A166" s="19"/>
      <c r="B166" s="19"/>
      <c r="C166" s="19"/>
      <c r="D166" s="19"/>
      <c r="E166" s="19"/>
      <c r="F166" s="20"/>
      <c r="G166" s="19"/>
      <c r="H166" s="19"/>
      <c r="I166" s="20"/>
    </row>
    <row r="167" spans="1:9" ht="13.15">
      <c r="A167" s="19"/>
      <c r="B167" s="19"/>
      <c r="C167" s="19"/>
      <c r="D167" s="19"/>
      <c r="E167" s="19"/>
      <c r="F167" s="20"/>
      <c r="G167" s="19"/>
      <c r="H167" s="19"/>
      <c r="I167" s="20"/>
    </row>
    <row r="168" spans="1:9" ht="13.15">
      <c r="A168" s="19"/>
      <c r="B168" s="19"/>
      <c r="C168" s="19"/>
      <c r="D168" s="19"/>
      <c r="E168" s="19"/>
      <c r="F168" s="20"/>
      <c r="G168" s="19"/>
      <c r="H168" s="19"/>
      <c r="I168" s="20"/>
    </row>
    <row r="169" spans="1:9" ht="13.15">
      <c r="A169" s="19"/>
      <c r="B169" s="19"/>
      <c r="C169" s="19"/>
      <c r="D169" s="19"/>
      <c r="E169" s="19"/>
      <c r="F169" s="20"/>
      <c r="G169" s="19"/>
      <c r="H169" s="19"/>
      <c r="I169" s="20"/>
    </row>
    <row r="170" spans="1:9" ht="13.15">
      <c r="A170" s="19"/>
      <c r="B170" s="19"/>
      <c r="C170" s="19"/>
      <c r="D170" s="19"/>
      <c r="E170" s="19"/>
      <c r="F170" s="20"/>
      <c r="G170" s="19"/>
      <c r="H170" s="19"/>
      <c r="I170" s="20"/>
    </row>
    <row r="171" spans="1:9" ht="13.15">
      <c r="A171" s="19"/>
      <c r="B171" s="19"/>
      <c r="C171" s="19"/>
      <c r="D171" s="19"/>
      <c r="E171" s="19"/>
      <c r="F171" s="20"/>
      <c r="G171" s="19"/>
      <c r="H171" s="19"/>
      <c r="I171" s="20"/>
    </row>
    <row r="172" spans="1:9" ht="13.15">
      <c r="A172" s="19"/>
      <c r="B172" s="19"/>
      <c r="C172" s="19"/>
      <c r="D172" s="19"/>
      <c r="E172" s="19"/>
      <c r="F172" s="20"/>
      <c r="G172" s="19"/>
      <c r="H172" s="19"/>
      <c r="I172" s="20"/>
    </row>
    <row r="173" spans="1:9" ht="13.15">
      <c r="A173" s="19"/>
      <c r="B173" s="19"/>
      <c r="C173" s="19"/>
      <c r="D173" s="19"/>
      <c r="E173" s="19"/>
      <c r="F173" s="20"/>
      <c r="G173" s="19"/>
      <c r="H173" s="19"/>
      <c r="I173" s="20"/>
    </row>
    <row r="174" spans="1:9" ht="13.15">
      <c r="A174" s="19"/>
      <c r="B174" s="19"/>
      <c r="C174" s="19"/>
      <c r="D174" s="19"/>
      <c r="E174" s="19"/>
      <c r="F174" s="20"/>
      <c r="G174" s="19"/>
      <c r="H174" s="19"/>
      <c r="I174" s="20"/>
    </row>
    <row r="175" spans="1:9" ht="13.15">
      <c r="A175" s="19"/>
      <c r="B175" s="19"/>
      <c r="C175" s="19"/>
      <c r="D175" s="19"/>
      <c r="E175" s="19"/>
      <c r="F175" s="20"/>
      <c r="G175" s="19"/>
      <c r="H175" s="19"/>
      <c r="I175" s="20"/>
    </row>
    <row r="176" spans="1:9" ht="13.15">
      <c r="A176" s="19"/>
      <c r="B176" s="19"/>
      <c r="C176" s="19"/>
      <c r="D176" s="19"/>
      <c r="E176" s="19"/>
      <c r="F176" s="20"/>
      <c r="G176" s="19"/>
      <c r="H176" s="19"/>
      <c r="I176" s="20"/>
    </row>
    <row r="177" spans="1:9" ht="13.15">
      <c r="A177" s="19"/>
      <c r="B177" s="19"/>
      <c r="C177" s="19"/>
      <c r="D177" s="19"/>
      <c r="E177" s="19"/>
      <c r="F177" s="20"/>
      <c r="G177" s="19"/>
      <c r="H177" s="19"/>
      <c r="I177" s="20"/>
    </row>
    <row r="178" spans="1:9" ht="13.15">
      <c r="A178" s="19"/>
      <c r="B178" s="19"/>
      <c r="C178" s="19"/>
      <c r="D178" s="19"/>
      <c r="E178" s="19"/>
      <c r="F178" s="20"/>
      <c r="G178" s="19"/>
      <c r="H178" s="19"/>
      <c r="I178" s="20"/>
    </row>
    <row r="179" spans="1:9" ht="13.15">
      <c r="A179" s="19"/>
      <c r="B179" s="19"/>
      <c r="C179" s="19"/>
      <c r="D179" s="19"/>
      <c r="E179" s="19"/>
      <c r="F179" s="20"/>
      <c r="G179" s="19"/>
      <c r="H179" s="19"/>
      <c r="I179" s="20"/>
    </row>
    <row r="180" spans="1:9" ht="13.15">
      <c r="A180" s="19"/>
      <c r="B180" s="19"/>
      <c r="C180" s="19"/>
      <c r="D180" s="19"/>
      <c r="E180" s="19"/>
      <c r="F180" s="20"/>
      <c r="G180" s="19"/>
      <c r="H180" s="19"/>
      <c r="I180" s="20"/>
    </row>
    <row r="181" spans="1:9" ht="13.15">
      <c r="A181" s="19"/>
      <c r="B181" s="19"/>
      <c r="C181" s="19"/>
      <c r="D181" s="19"/>
      <c r="E181" s="19"/>
      <c r="F181" s="20"/>
      <c r="G181" s="19"/>
      <c r="H181" s="19"/>
      <c r="I181" s="20"/>
    </row>
    <row r="182" spans="1:9" ht="13.15">
      <c r="A182" s="19"/>
      <c r="B182" s="19"/>
      <c r="C182" s="19"/>
      <c r="D182" s="19"/>
      <c r="E182" s="19"/>
      <c r="F182" s="20"/>
      <c r="G182" s="19"/>
      <c r="H182" s="19"/>
      <c r="I182" s="20"/>
    </row>
    <row r="183" spans="1:9" ht="13.15">
      <c r="A183" s="19"/>
      <c r="B183" s="19"/>
      <c r="C183" s="19"/>
      <c r="D183" s="19"/>
      <c r="E183" s="19"/>
      <c r="F183" s="20"/>
      <c r="G183" s="19"/>
      <c r="H183" s="19"/>
      <c r="I183" s="20"/>
    </row>
    <row r="184" spans="1:9" ht="13.15">
      <c r="A184" s="19"/>
      <c r="B184" s="19"/>
      <c r="C184" s="19"/>
      <c r="D184" s="19"/>
      <c r="E184" s="19"/>
      <c r="F184" s="20"/>
      <c r="G184" s="19"/>
      <c r="H184" s="19"/>
      <c r="I184" s="20"/>
    </row>
    <row r="185" spans="1:9" ht="13.15">
      <c r="A185" s="19"/>
      <c r="B185" s="19"/>
      <c r="C185" s="19"/>
      <c r="D185" s="19"/>
      <c r="E185" s="19"/>
      <c r="F185" s="20"/>
      <c r="G185" s="19"/>
      <c r="H185" s="19"/>
      <c r="I185" s="20"/>
    </row>
    <row r="186" spans="1:9" ht="13.15">
      <c r="A186" s="19"/>
      <c r="B186" s="19"/>
      <c r="C186" s="19"/>
      <c r="D186" s="19"/>
      <c r="E186" s="19"/>
      <c r="F186" s="20"/>
      <c r="G186" s="19"/>
      <c r="H186" s="19"/>
      <c r="I186" s="20"/>
    </row>
    <row r="187" spans="1:9" ht="13.15">
      <c r="A187" s="19"/>
      <c r="B187" s="19"/>
      <c r="C187" s="19"/>
      <c r="D187" s="19"/>
      <c r="E187" s="19"/>
      <c r="F187" s="20"/>
      <c r="G187" s="19"/>
      <c r="H187" s="19"/>
      <c r="I187" s="20"/>
    </row>
    <row r="188" spans="1:9" ht="13.15">
      <c r="A188" s="19"/>
      <c r="B188" s="19"/>
      <c r="C188" s="19"/>
      <c r="D188" s="19"/>
      <c r="E188" s="19"/>
      <c r="F188" s="20"/>
      <c r="G188" s="19"/>
      <c r="H188" s="19"/>
      <c r="I188" s="20"/>
    </row>
    <row r="189" spans="1:9" ht="13.15">
      <c r="A189" s="19"/>
      <c r="B189" s="19"/>
      <c r="C189" s="19"/>
      <c r="D189" s="19"/>
      <c r="E189" s="19"/>
      <c r="F189" s="20"/>
      <c r="G189" s="19"/>
      <c r="H189" s="19"/>
      <c r="I189" s="20"/>
    </row>
    <row r="190" spans="1:9" ht="13.15">
      <c r="A190" s="19"/>
      <c r="B190" s="19"/>
      <c r="C190" s="19"/>
      <c r="D190" s="19"/>
      <c r="E190" s="19"/>
      <c r="F190" s="20"/>
      <c r="G190" s="19"/>
      <c r="H190" s="19"/>
      <c r="I190" s="20"/>
    </row>
    <row r="191" spans="1:9" ht="13.15">
      <c r="A191" s="19"/>
      <c r="B191" s="19"/>
      <c r="C191" s="19"/>
      <c r="D191" s="19"/>
      <c r="E191" s="19"/>
      <c r="F191" s="20"/>
      <c r="G191" s="19"/>
      <c r="H191" s="19"/>
      <c r="I191" s="20"/>
    </row>
    <row r="192" spans="1:9" ht="13.15">
      <c r="A192" s="19"/>
      <c r="B192" s="19"/>
      <c r="C192" s="19"/>
      <c r="D192" s="19"/>
      <c r="E192" s="19"/>
      <c r="F192" s="20"/>
      <c r="G192" s="19"/>
      <c r="H192" s="19"/>
      <c r="I192" s="20"/>
    </row>
    <row r="193" spans="1:9" ht="13.15">
      <c r="A193" s="19"/>
      <c r="B193" s="19"/>
      <c r="C193" s="19"/>
      <c r="D193" s="19"/>
      <c r="E193" s="19"/>
      <c r="F193" s="20"/>
      <c r="G193" s="19"/>
      <c r="H193" s="19"/>
      <c r="I193" s="20"/>
    </row>
    <row r="194" spans="1:9" ht="13.15">
      <c r="A194" s="19"/>
      <c r="B194" s="19"/>
      <c r="C194" s="19"/>
      <c r="D194" s="19"/>
      <c r="E194" s="19"/>
      <c r="F194" s="20"/>
      <c r="G194" s="19"/>
      <c r="H194" s="19"/>
      <c r="I194" s="20"/>
    </row>
    <row r="195" spans="1:9" ht="13.15">
      <c r="A195" s="19"/>
      <c r="B195" s="19"/>
      <c r="C195" s="19"/>
      <c r="D195" s="19"/>
      <c r="E195" s="19"/>
      <c r="F195" s="20"/>
      <c r="G195" s="19"/>
      <c r="H195" s="19"/>
      <c r="I195" s="20"/>
    </row>
    <row r="196" spans="1:9" ht="13.15">
      <c r="A196" s="19"/>
      <c r="B196" s="19"/>
      <c r="C196" s="19"/>
      <c r="D196" s="19"/>
      <c r="E196" s="19"/>
      <c r="F196" s="20"/>
      <c r="G196" s="19"/>
      <c r="H196" s="19"/>
      <c r="I196" s="20"/>
    </row>
    <row r="197" spans="1:9" ht="13.15">
      <c r="A197" s="19"/>
      <c r="B197" s="19"/>
      <c r="C197" s="19"/>
      <c r="D197" s="19"/>
      <c r="E197" s="19"/>
      <c r="F197" s="20"/>
      <c r="G197" s="19"/>
      <c r="H197" s="19"/>
      <c r="I197" s="20"/>
    </row>
    <row r="198" spans="1:9" ht="13.15">
      <c r="A198" s="19"/>
      <c r="B198" s="19"/>
      <c r="C198" s="19"/>
      <c r="D198" s="19"/>
      <c r="E198" s="19"/>
      <c r="F198" s="20"/>
      <c r="G198" s="19"/>
      <c r="H198" s="19"/>
      <c r="I198" s="20"/>
    </row>
    <row r="199" spans="1:9" ht="13.15">
      <c r="A199" s="19"/>
      <c r="B199" s="19"/>
      <c r="C199" s="19"/>
      <c r="D199" s="19"/>
      <c r="E199" s="19"/>
      <c r="F199" s="20"/>
      <c r="G199" s="19"/>
      <c r="H199" s="19"/>
      <c r="I199" s="20"/>
    </row>
    <row r="200" spans="1:9" ht="13.15">
      <c r="A200" s="19"/>
      <c r="B200" s="19"/>
      <c r="C200" s="19"/>
      <c r="D200" s="19"/>
      <c r="E200" s="19"/>
      <c r="F200" s="20"/>
      <c r="G200" s="19"/>
      <c r="H200" s="19"/>
      <c r="I200" s="20"/>
    </row>
    <row r="201" spans="1:9" ht="13.15">
      <c r="A201" s="19"/>
      <c r="B201" s="19"/>
      <c r="C201" s="19"/>
      <c r="D201" s="19"/>
      <c r="E201" s="19"/>
      <c r="F201" s="20"/>
      <c r="G201" s="19"/>
      <c r="H201" s="19"/>
      <c r="I201" s="20"/>
    </row>
    <row r="202" spans="1:9" ht="13.15">
      <c r="A202" s="19"/>
      <c r="B202" s="19"/>
      <c r="C202" s="19"/>
      <c r="D202" s="19"/>
      <c r="E202" s="19"/>
      <c r="F202" s="20"/>
      <c r="G202" s="19"/>
      <c r="H202" s="19"/>
      <c r="I202" s="20"/>
    </row>
    <row r="203" spans="1:9" ht="13.15">
      <c r="A203" s="19"/>
      <c r="B203" s="19"/>
      <c r="C203" s="19"/>
      <c r="D203" s="19"/>
      <c r="E203" s="19"/>
      <c r="F203" s="20"/>
      <c r="G203" s="19"/>
      <c r="H203" s="19"/>
      <c r="I203" s="20"/>
    </row>
    <row r="204" spans="1:9" ht="13.15">
      <c r="A204" s="19"/>
      <c r="B204" s="19"/>
      <c r="C204" s="19"/>
      <c r="D204" s="19"/>
      <c r="E204" s="19"/>
      <c r="F204" s="20"/>
      <c r="G204" s="19"/>
      <c r="H204" s="19"/>
      <c r="I204" s="20"/>
    </row>
    <row r="205" spans="1:9" ht="13.15">
      <c r="A205" s="19"/>
      <c r="B205" s="19"/>
      <c r="C205" s="19"/>
      <c r="D205" s="19"/>
      <c r="E205" s="19"/>
      <c r="F205" s="20"/>
      <c r="G205" s="19"/>
      <c r="H205" s="19"/>
      <c r="I205" s="20"/>
    </row>
    <row r="206" spans="1:9" ht="13.15">
      <c r="A206" s="19"/>
      <c r="B206" s="19"/>
      <c r="C206" s="19"/>
      <c r="D206" s="19"/>
      <c r="E206" s="19"/>
      <c r="F206" s="20"/>
      <c r="G206" s="19"/>
      <c r="H206" s="19"/>
      <c r="I206" s="20"/>
    </row>
    <row r="207" spans="1:9" ht="13.15">
      <c r="A207" s="19"/>
      <c r="B207" s="19"/>
      <c r="C207" s="19"/>
      <c r="D207" s="19"/>
      <c r="E207" s="19"/>
      <c r="F207" s="20"/>
      <c r="G207" s="19"/>
      <c r="H207" s="19"/>
      <c r="I207" s="20"/>
    </row>
    <row r="208" spans="1:9" ht="13.15">
      <c r="A208" s="19"/>
      <c r="B208" s="19"/>
      <c r="C208" s="19"/>
      <c r="D208" s="19"/>
      <c r="E208" s="19"/>
      <c r="F208" s="20"/>
      <c r="G208" s="19"/>
      <c r="H208" s="19"/>
      <c r="I208" s="20"/>
    </row>
    <row r="209" spans="1:9" ht="13.15">
      <c r="A209" s="19"/>
      <c r="B209" s="19"/>
      <c r="C209" s="19"/>
      <c r="D209" s="19"/>
      <c r="E209" s="19"/>
      <c r="F209" s="20"/>
      <c r="G209" s="19"/>
      <c r="H209" s="19"/>
      <c r="I209" s="20"/>
    </row>
    <row r="210" spans="1:9" ht="13.15">
      <c r="A210" s="19"/>
      <c r="B210" s="19"/>
      <c r="C210" s="19"/>
      <c r="D210" s="19"/>
      <c r="E210" s="19"/>
      <c r="F210" s="20"/>
      <c r="G210" s="19"/>
      <c r="H210" s="19"/>
      <c r="I210" s="20"/>
    </row>
    <row r="211" spans="1:9" ht="13.15">
      <c r="A211" s="19"/>
      <c r="B211" s="19"/>
      <c r="C211" s="19"/>
      <c r="D211" s="19"/>
      <c r="E211" s="19"/>
      <c r="F211" s="20"/>
      <c r="G211" s="19"/>
      <c r="H211" s="19"/>
      <c r="I211" s="20"/>
    </row>
    <row r="212" spans="1:9" ht="13.15">
      <c r="A212" s="19"/>
      <c r="B212" s="19"/>
      <c r="C212" s="19"/>
      <c r="D212" s="19"/>
      <c r="E212" s="19"/>
      <c r="F212" s="20"/>
      <c r="G212" s="19"/>
      <c r="H212" s="19"/>
      <c r="I212" s="20"/>
    </row>
    <row r="213" spans="1:9" ht="13.15">
      <c r="A213" s="19"/>
      <c r="B213" s="19"/>
      <c r="C213" s="19"/>
      <c r="D213" s="19"/>
      <c r="E213" s="19"/>
      <c r="F213" s="20"/>
      <c r="G213" s="19"/>
      <c r="H213" s="19"/>
      <c r="I213" s="20"/>
    </row>
    <row r="214" spans="1:9" ht="13.15">
      <c r="A214" s="19"/>
      <c r="B214" s="19"/>
      <c r="C214" s="19"/>
      <c r="D214" s="19"/>
      <c r="E214" s="19"/>
      <c r="F214" s="20"/>
      <c r="G214" s="19"/>
      <c r="H214" s="19"/>
      <c r="I214" s="20"/>
    </row>
    <row r="215" spans="1:9" ht="13.15">
      <c r="A215" s="19"/>
      <c r="B215" s="19"/>
      <c r="C215" s="19"/>
      <c r="D215" s="19"/>
      <c r="E215" s="19"/>
      <c r="F215" s="20"/>
      <c r="G215" s="19"/>
      <c r="H215" s="19"/>
      <c r="I215" s="20"/>
    </row>
    <row r="216" spans="1:9" ht="13.15">
      <c r="A216" s="19"/>
      <c r="B216" s="19"/>
      <c r="C216" s="19"/>
      <c r="D216" s="19"/>
      <c r="E216" s="19"/>
      <c r="F216" s="20"/>
      <c r="G216" s="19"/>
      <c r="H216" s="19"/>
      <c r="I216" s="20"/>
    </row>
    <row r="217" spans="1:9" ht="13.15">
      <c r="A217" s="19"/>
      <c r="B217" s="19"/>
      <c r="C217" s="19"/>
      <c r="D217" s="19"/>
      <c r="E217" s="19"/>
      <c r="F217" s="20"/>
      <c r="G217" s="19"/>
      <c r="H217" s="19"/>
      <c r="I217" s="20"/>
    </row>
    <row r="218" spans="1:9" ht="13.15">
      <c r="A218" s="19"/>
      <c r="B218" s="19"/>
      <c r="C218" s="19"/>
      <c r="D218" s="19"/>
      <c r="E218" s="19"/>
      <c r="F218" s="20"/>
      <c r="G218" s="19"/>
      <c r="H218" s="19"/>
      <c r="I218" s="20"/>
    </row>
    <row r="219" spans="1:9" ht="13.15">
      <c r="A219" s="19"/>
      <c r="B219" s="19"/>
      <c r="C219" s="19"/>
      <c r="D219" s="19"/>
      <c r="E219" s="19"/>
      <c r="F219" s="20"/>
      <c r="G219" s="19"/>
      <c r="H219" s="19"/>
      <c r="I219" s="20"/>
    </row>
    <row r="220" spans="1:9" ht="13.15">
      <c r="A220" s="19"/>
      <c r="B220" s="19"/>
      <c r="C220" s="19"/>
      <c r="D220" s="19"/>
      <c r="E220" s="19"/>
      <c r="F220" s="20"/>
      <c r="G220" s="19"/>
      <c r="H220" s="19"/>
      <c r="I220" s="20"/>
    </row>
    <row r="221" spans="1:9" ht="13.15">
      <c r="A221" s="19"/>
      <c r="B221" s="19"/>
      <c r="C221" s="19"/>
      <c r="D221" s="19"/>
      <c r="E221" s="19"/>
      <c r="F221" s="20"/>
      <c r="G221" s="19"/>
      <c r="H221" s="19"/>
      <c r="I221" s="20"/>
    </row>
    <row r="222" spans="1:9" ht="13.15">
      <c r="A222" s="19"/>
      <c r="B222" s="19"/>
      <c r="C222" s="19"/>
      <c r="D222" s="19"/>
      <c r="E222" s="19"/>
      <c r="F222" s="20"/>
      <c r="G222" s="19"/>
      <c r="H222" s="19"/>
      <c r="I222" s="20"/>
    </row>
    <row r="223" spans="1:9" ht="13.15">
      <c r="A223" s="19"/>
      <c r="B223" s="19"/>
      <c r="C223" s="19"/>
      <c r="D223" s="19"/>
      <c r="E223" s="19"/>
      <c r="F223" s="20"/>
      <c r="G223" s="19"/>
      <c r="H223" s="19"/>
      <c r="I223" s="20"/>
    </row>
    <row r="224" spans="1:9" ht="13.15">
      <c r="A224" s="19"/>
      <c r="B224" s="19"/>
      <c r="C224" s="19"/>
      <c r="D224" s="19"/>
      <c r="E224" s="19"/>
      <c r="F224" s="20"/>
      <c r="G224" s="19"/>
      <c r="H224" s="19"/>
      <c r="I224" s="20"/>
    </row>
    <row r="225" spans="1:9" ht="13.15">
      <c r="A225" s="19"/>
      <c r="B225" s="19"/>
      <c r="C225" s="19"/>
      <c r="D225" s="19"/>
      <c r="E225" s="19"/>
      <c r="F225" s="20"/>
      <c r="G225" s="19"/>
      <c r="H225" s="19"/>
      <c r="I225" s="20"/>
    </row>
    <row r="226" spans="1:9" ht="13.15">
      <c r="A226" s="19"/>
      <c r="B226" s="19"/>
      <c r="C226" s="19"/>
      <c r="D226" s="19"/>
      <c r="E226" s="19"/>
      <c r="F226" s="20"/>
      <c r="G226" s="19"/>
      <c r="H226" s="19"/>
      <c r="I226" s="20"/>
    </row>
    <row r="227" spans="1:9" ht="13.15">
      <c r="A227" s="19"/>
      <c r="B227" s="19"/>
      <c r="C227" s="19"/>
      <c r="D227" s="19"/>
      <c r="E227" s="19"/>
      <c r="F227" s="20"/>
      <c r="G227" s="19"/>
      <c r="H227" s="19"/>
      <c r="I227" s="20"/>
    </row>
    <row r="228" spans="1:9" ht="13.15">
      <c r="A228" s="19"/>
      <c r="B228" s="19"/>
      <c r="C228" s="19"/>
      <c r="D228" s="19"/>
      <c r="E228" s="19"/>
      <c r="F228" s="20"/>
      <c r="G228" s="19"/>
      <c r="H228" s="19"/>
      <c r="I228" s="20"/>
    </row>
    <row r="229" spans="1:9" ht="13.15">
      <c r="A229" s="19"/>
      <c r="B229" s="19"/>
      <c r="C229" s="19"/>
      <c r="D229" s="19"/>
      <c r="E229" s="19"/>
      <c r="F229" s="20"/>
      <c r="G229" s="19"/>
      <c r="H229" s="19"/>
      <c r="I229" s="20"/>
    </row>
    <row r="230" spans="1:9" ht="13.15">
      <c r="A230" s="19"/>
      <c r="B230" s="19"/>
      <c r="C230" s="19"/>
      <c r="D230" s="19"/>
      <c r="E230" s="19"/>
      <c r="F230" s="20"/>
      <c r="G230" s="19"/>
      <c r="H230" s="19"/>
      <c r="I230" s="20"/>
    </row>
    <row r="231" spans="1:9" ht="13.15">
      <c r="A231" s="19"/>
      <c r="B231" s="19"/>
      <c r="C231" s="19"/>
      <c r="D231" s="19"/>
      <c r="E231" s="19"/>
      <c r="F231" s="20"/>
      <c r="G231" s="19"/>
      <c r="H231" s="19"/>
      <c r="I231" s="20"/>
    </row>
    <row r="232" spans="1:9" ht="13.15">
      <c r="A232" s="19"/>
      <c r="B232" s="19"/>
      <c r="C232" s="19"/>
      <c r="D232" s="19"/>
      <c r="E232" s="19"/>
      <c r="F232" s="20"/>
      <c r="G232" s="19"/>
      <c r="H232" s="19"/>
      <c r="I232" s="20"/>
    </row>
    <row r="233" spans="1:9" ht="13.15">
      <c r="A233" s="19"/>
      <c r="B233" s="19"/>
      <c r="C233" s="19"/>
      <c r="D233" s="19"/>
      <c r="E233" s="19"/>
      <c r="F233" s="20"/>
      <c r="G233" s="19"/>
      <c r="H233" s="19"/>
      <c r="I233" s="20"/>
    </row>
    <row r="234" spans="1:9" ht="13.15">
      <c r="A234" s="19"/>
      <c r="B234" s="19"/>
      <c r="C234" s="19"/>
      <c r="D234" s="19"/>
      <c r="E234" s="19"/>
      <c r="F234" s="20"/>
      <c r="G234" s="19"/>
      <c r="H234" s="19"/>
      <c r="I234" s="20"/>
    </row>
    <row r="235" spans="1:9" ht="13.15">
      <c r="A235" s="19"/>
      <c r="B235" s="19"/>
      <c r="C235" s="19"/>
      <c r="D235" s="19"/>
      <c r="E235" s="19"/>
      <c r="F235" s="20"/>
      <c r="G235" s="19"/>
      <c r="H235" s="19"/>
      <c r="I235" s="20"/>
    </row>
    <row r="236" spans="1:9" ht="13.15">
      <c r="A236" s="19"/>
      <c r="B236" s="19"/>
      <c r="C236" s="19"/>
      <c r="D236" s="19"/>
      <c r="E236" s="19"/>
      <c r="F236" s="20"/>
      <c r="G236" s="19"/>
      <c r="H236" s="19"/>
      <c r="I236" s="20"/>
    </row>
    <row r="237" spans="1:9" ht="13.15">
      <c r="A237" s="19"/>
      <c r="B237" s="19"/>
      <c r="C237" s="19"/>
      <c r="D237" s="19"/>
      <c r="E237" s="19"/>
      <c r="F237" s="20"/>
      <c r="G237" s="19"/>
      <c r="H237" s="19"/>
      <c r="I237" s="20"/>
    </row>
    <row r="238" spans="1:9" ht="13.15">
      <c r="A238" s="19"/>
      <c r="B238" s="19"/>
      <c r="C238" s="19"/>
      <c r="D238" s="19"/>
      <c r="E238" s="19"/>
      <c r="F238" s="20"/>
      <c r="G238" s="19"/>
      <c r="H238" s="19"/>
      <c r="I238" s="20"/>
    </row>
    <row r="239" spans="1:9" ht="13.15">
      <c r="A239" s="19"/>
      <c r="B239" s="19"/>
      <c r="C239" s="19"/>
      <c r="D239" s="19"/>
      <c r="E239" s="19"/>
      <c r="F239" s="20"/>
      <c r="G239" s="19"/>
      <c r="H239" s="19"/>
      <c r="I239" s="20"/>
    </row>
    <row r="240" spans="1:9" ht="13.15">
      <c r="A240" s="19"/>
      <c r="B240" s="19"/>
      <c r="C240" s="19"/>
      <c r="D240" s="19"/>
      <c r="E240" s="19"/>
      <c r="F240" s="20"/>
      <c r="G240" s="19"/>
      <c r="H240" s="19"/>
      <c r="I240" s="20"/>
    </row>
    <row r="241" spans="1:9" ht="13.15">
      <c r="A241" s="19"/>
      <c r="B241" s="19"/>
      <c r="C241" s="19"/>
      <c r="D241" s="19"/>
      <c r="E241" s="19"/>
      <c r="F241" s="20"/>
      <c r="G241" s="19"/>
      <c r="H241" s="19"/>
      <c r="I241" s="20"/>
    </row>
    <row r="242" spans="1:9" ht="13.15">
      <c r="A242" s="19"/>
      <c r="B242" s="19"/>
      <c r="C242" s="19"/>
      <c r="D242" s="19"/>
      <c r="E242" s="19"/>
      <c r="F242" s="20"/>
      <c r="G242" s="19"/>
      <c r="H242" s="19"/>
      <c r="I242" s="20"/>
    </row>
    <row r="243" spans="1:9" ht="13.15">
      <c r="A243" s="19"/>
      <c r="B243" s="19"/>
      <c r="C243" s="19"/>
      <c r="D243" s="19"/>
      <c r="E243" s="19"/>
      <c r="F243" s="20"/>
      <c r="G243" s="19"/>
      <c r="H243" s="19"/>
      <c r="I243" s="20"/>
    </row>
    <row r="244" spans="1:9" ht="13.15">
      <c r="A244" s="19"/>
      <c r="B244" s="19"/>
      <c r="C244" s="19"/>
      <c r="D244" s="19"/>
      <c r="E244" s="19"/>
      <c r="F244" s="20"/>
      <c r="G244" s="19"/>
      <c r="H244" s="19"/>
      <c r="I244" s="20"/>
    </row>
    <row r="245" spans="1:9" ht="13.15">
      <c r="A245" s="19"/>
      <c r="B245" s="19"/>
      <c r="C245" s="19"/>
      <c r="D245" s="19"/>
      <c r="E245" s="19"/>
      <c r="F245" s="20"/>
      <c r="G245" s="19"/>
      <c r="H245" s="19"/>
      <c r="I245" s="20"/>
    </row>
    <row r="246" spans="1:9" ht="13.15">
      <c r="A246" s="19"/>
      <c r="B246" s="19"/>
      <c r="C246" s="19"/>
      <c r="D246" s="19"/>
      <c r="E246" s="19"/>
      <c r="F246" s="20"/>
      <c r="G246" s="19"/>
      <c r="H246" s="19"/>
      <c r="I246" s="20"/>
    </row>
    <row r="247" spans="1:9" ht="13.15">
      <c r="A247" s="19"/>
      <c r="B247" s="19"/>
      <c r="C247" s="19"/>
      <c r="D247" s="19"/>
      <c r="E247" s="19"/>
      <c r="F247" s="20"/>
      <c r="G247" s="19"/>
      <c r="H247" s="19"/>
      <c r="I247" s="20"/>
    </row>
    <row r="248" spans="1:9" ht="13.15">
      <c r="A248" s="19"/>
      <c r="B248" s="19"/>
      <c r="C248" s="19"/>
      <c r="D248" s="19"/>
      <c r="E248" s="19"/>
      <c r="F248" s="20"/>
      <c r="G248" s="19"/>
      <c r="H248" s="19"/>
      <c r="I248" s="20"/>
    </row>
    <row r="249" spans="1:9" ht="13.15">
      <c r="A249" s="19"/>
      <c r="B249" s="19"/>
      <c r="C249" s="19"/>
      <c r="D249" s="19"/>
      <c r="E249" s="19"/>
      <c r="F249" s="20"/>
      <c r="G249" s="19"/>
      <c r="H249" s="19"/>
      <c r="I249" s="20"/>
    </row>
    <row r="250" spans="1:9" ht="13.15">
      <c r="A250" s="19"/>
      <c r="B250" s="19"/>
      <c r="C250" s="19"/>
      <c r="D250" s="19"/>
      <c r="E250" s="19"/>
      <c r="F250" s="20"/>
      <c r="G250" s="19"/>
      <c r="H250" s="19"/>
      <c r="I250" s="20"/>
    </row>
    <row r="251" spans="1:9" ht="13.15">
      <c r="A251" s="19"/>
      <c r="B251" s="19"/>
      <c r="C251" s="19"/>
      <c r="D251" s="19"/>
      <c r="E251" s="19"/>
      <c r="F251" s="20"/>
      <c r="G251" s="19"/>
      <c r="H251" s="19"/>
      <c r="I251" s="20"/>
    </row>
    <row r="252" spans="1:9" ht="13.15">
      <c r="A252" s="19"/>
      <c r="B252" s="19"/>
      <c r="C252" s="19"/>
      <c r="D252" s="19"/>
      <c r="E252" s="19"/>
      <c r="F252" s="20"/>
      <c r="G252" s="19"/>
      <c r="H252" s="19"/>
      <c r="I252" s="20"/>
    </row>
    <row r="253" spans="1:9" ht="13.15">
      <c r="A253" s="19"/>
      <c r="B253" s="19"/>
      <c r="C253" s="19"/>
      <c r="D253" s="19"/>
      <c r="E253" s="19"/>
      <c r="F253" s="20"/>
      <c r="G253" s="19"/>
      <c r="H253" s="19"/>
      <c r="I253" s="20"/>
    </row>
    <row r="254" spans="1:9" ht="13.15">
      <c r="A254" s="19"/>
      <c r="B254" s="19"/>
      <c r="C254" s="19"/>
      <c r="D254" s="19"/>
      <c r="E254" s="19"/>
      <c r="F254" s="20"/>
      <c r="G254" s="19"/>
      <c r="H254" s="19"/>
      <c r="I254" s="20"/>
    </row>
    <row r="255" spans="1:9" ht="13.15">
      <c r="A255" s="19"/>
      <c r="B255" s="19"/>
      <c r="C255" s="19"/>
      <c r="D255" s="19"/>
      <c r="E255" s="19"/>
      <c r="F255" s="20"/>
      <c r="G255" s="19"/>
      <c r="H255" s="19"/>
      <c r="I255" s="20"/>
    </row>
    <row r="256" spans="1:9" ht="13.15">
      <c r="A256" s="19"/>
      <c r="B256" s="19"/>
      <c r="C256" s="19"/>
      <c r="D256" s="19"/>
      <c r="E256" s="19"/>
      <c r="F256" s="20"/>
      <c r="G256" s="19"/>
      <c r="H256" s="19"/>
      <c r="I256" s="20"/>
    </row>
    <row r="257" spans="1:9" ht="13.15">
      <c r="A257" s="19"/>
      <c r="B257" s="19"/>
      <c r="C257" s="19"/>
      <c r="D257" s="19"/>
      <c r="E257" s="19"/>
      <c r="F257" s="20"/>
      <c r="G257" s="19"/>
      <c r="H257" s="19"/>
      <c r="I257" s="20"/>
    </row>
    <row r="258" spans="1:9" ht="13.15">
      <c r="A258" s="19"/>
      <c r="B258" s="19"/>
      <c r="C258" s="19"/>
      <c r="D258" s="19"/>
      <c r="E258" s="19"/>
      <c r="F258" s="20"/>
      <c r="G258" s="19"/>
      <c r="H258" s="19"/>
      <c r="I258" s="20"/>
    </row>
    <row r="259" spans="1:9" ht="13.15">
      <c r="A259" s="19"/>
      <c r="B259" s="19"/>
      <c r="C259" s="19"/>
      <c r="D259" s="19"/>
      <c r="E259" s="19"/>
      <c r="F259" s="20"/>
      <c r="G259" s="19"/>
      <c r="H259" s="19"/>
      <c r="I259" s="20"/>
    </row>
    <row r="260" spans="1:9" ht="13.15">
      <c r="A260" s="19"/>
      <c r="B260" s="19"/>
      <c r="C260" s="19"/>
      <c r="D260" s="19"/>
      <c r="E260" s="19"/>
      <c r="F260" s="20"/>
      <c r="G260" s="19"/>
      <c r="H260" s="19"/>
      <c r="I260" s="20"/>
    </row>
    <row r="261" spans="1:9" ht="13.15">
      <c r="A261" s="19"/>
      <c r="B261" s="19"/>
      <c r="C261" s="19"/>
      <c r="D261" s="19"/>
      <c r="E261" s="19"/>
      <c r="F261" s="20"/>
      <c r="G261" s="19"/>
      <c r="H261" s="19"/>
      <c r="I261" s="20"/>
    </row>
    <row r="262" spans="1:9" ht="13.15">
      <c r="A262" s="19"/>
      <c r="B262" s="19"/>
      <c r="C262" s="19"/>
      <c r="D262" s="19"/>
      <c r="E262" s="19"/>
      <c r="F262" s="20"/>
      <c r="G262" s="19"/>
      <c r="H262" s="19"/>
      <c r="I262" s="20"/>
    </row>
    <row r="263" spans="1:9" ht="13.15">
      <c r="A263" s="19"/>
      <c r="B263" s="19"/>
      <c r="C263" s="19"/>
      <c r="D263" s="19"/>
      <c r="E263" s="19"/>
      <c r="F263" s="20"/>
      <c r="G263" s="19"/>
      <c r="H263" s="19"/>
      <c r="I263" s="20"/>
    </row>
    <row r="264" spans="1:9" ht="13.15">
      <c r="A264" s="19"/>
      <c r="B264" s="19"/>
      <c r="C264" s="19"/>
      <c r="D264" s="19"/>
      <c r="E264" s="19"/>
      <c r="F264" s="20"/>
      <c r="G264" s="19"/>
      <c r="H264" s="19"/>
      <c r="I264" s="20"/>
    </row>
    <row r="265" spans="1:9" ht="13.15">
      <c r="A265" s="19"/>
      <c r="B265" s="19"/>
      <c r="C265" s="19"/>
      <c r="D265" s="19"/>
      <c r="E265" s="19"/>
      <c r="F265" s="20"/>
      <c r="G265" s="19"/>
      <c r="H265" s="19"/>
      <c r="I265" s="20"/>
    </row>
    <row r="266" spans="1:9" ht="13.15">
      <c r="A266" s="19"/>
      <c r="B266" s="19"/>
      <c r="C266" s="19"/>
      <c r="D266" s="19"/>
      <c r="E266" s="19"/>
      <c r="F266" s="20"/>
      <c r="G266" s="19"/>
      <c r="H266" s="19"/>
      <c r="I266" s="20"/>
    </row>
    <row r="267" spans="1:9" ht="13.15">
      <c r="A267" s="19"/>
      <c r="B267" s="19"/>
      <c r="C267" s="19"/>
      <c r="D267" s="19"/>
      <c r="E267" s="19"/>
      <c r="F267" s="20"/>
      <c r="G267" s="19"/>
      <c r="H267" s="19"/>
      <c r="I267" s="20"/>
    </row>
    <row r="268" spans="1:9" ht="13.15">
      <c r="A268" s="19"/>
      <c r="B268" s="19"/>
      <c r="C268" s="19"/>
      <c r="D268" s="19"/>
      <c r="E268" s="19"/>
      <c r="F268" s="20"/>
      <c r="G268" s="19"/>
      <c r="H268" s="19"/>
      <c r="I268" s="20"/>
    </row>
    <row r="269" spans="1:9" ht="13.15">
      <c r="A269" s="19"/>
      <c r="B269" s="19"/>
      <c r="C269" s="19"/>
      <c r="D269" s="19"/>
      <c r="E269" s="19"/>
      <c r="F269" s="20"/>
      <c r="G269" s="19"/>
      <c r="H269" s="19"/>
      <c r="I269" s="20"/>
    </row>
    <row r="270" spans="1:9" ht="13.15">
      <c r="A270" s="19"/>
      <c r="B270" s="19"/>
      <c r="C270" s="19"/>
      <c r="D270" s="19"/>
      <c r="E270" s="19"/>
      <c r="F270" s="20"/>
      <c r="G270" s="19"/>
      <c r="H270" s="19"/>
      <c r="I270" s="20"/>
    </row>
    <row r="271" spans="1:9" ht="13.15">
      <c r="A271" s="19"/>
      <c r="B271" s="19"/>
      <c r="C271" s="19"/>
      <c r="D271" s="19"/>
      <c r="E271" s="19"/>
      <c r="F271" s="20"/>
      <c r="G271" s="19"/>
      <c r="H271" s="19"/>
      <c r="I271" s="20"/>
    </row>
    <row r="272" spans="1:9" ht="13.15">
      <c r="A272" s="19"/>
      <c r="B272" s="19"/>
      <c r="C272" s="19"/>
      <c r="D272" s="19"/>
      <c r="E272" s="19"/>
      <c r="F272" s="20"/>
      <c r="G272" s="19"/>
      <c r="H272" s="19"/>
      <c r="I272" s="20"/>
    </row>
    <row r="273" spans="1:9" ht="13.15">
      <c r="A273" s="19"/>
      <c r="B273" s="19"/>
      <c r="C273" s="19"/>
      <c r="D273" s="19"/>
      <c r="E273" s="19"/>
      <c r="F273" s="20"/>
      <c r="G273" s="19"/>
      <c r="H273" s="19"/>
      <c r="I273" s="20"/>
    </row>
    <row r="274" spans="1:9" ht="13.15">
      <c r="A274" s="19"/>
      <c r="B274" s="19"/>
      <c r="C274" s="19"/>
      <c r="D274" s="19"/>
      <c r="E274" s="19"/>
      <c r="F274" s="20"/>
      <c r="G274" s="19"/>
      <c r="H274" s="19"/>
      <c r="I274" s="20"/>
    </row>
    <row r="275" spans="1:9" ht="13.15">
      <c r="A275" s="19"/>
      <c r="B275" s="19"/>
      <c r="C275" s="19"/>
      <c r="D275" s="19"/>
      <c r="E275" s="19"/>
      <c r="F275" s="20"/>
      <c r="G275" s="19"/>
      <c r="H275" s="19"/>
      <c r="I275" s="20"/>
    </row>
    <row r="276" spans="1:9" ht="13.15">
      <c r="A276" s="19"/>
      <c r="B276" s="19"/>
      <c r="C276" s="19"/>
      <c r="D276" s="19"/>
      <c r="E276" s="19"/>
      <c r="F276" s="20"/>
      <c r="G276" s="19"/>
      <c r="H276" s="19"/>
      <c r="I276" s="20"/>
    </row>
    <row r="277" spans="1:9" ht="13.15">
      <c r="A277" s="19"/>
      <c r="B277" s="19"/>
      <c r="C277" s="19"/>
      <c r="D277" s="19"/>
      <c r="E277" s="19"/>
      <c r="F277" s="20"/>
      <c r="G277" s="19"/>
      <c r="H277" s="19"/>
      <c r="I277" s="20"/>
    </row>
    <row r="278" spans="1:9" ht="13.15">
      <c r="A278" s="19"/>
      <c r="B278" s="19"/>
      <c r="C278" s="19"/>
      <c r="D278" s="19"/>
      <c r="E278" s="19"/>
      <c r="F278" s="20"/>
      <c r="G278" s="19"/>
      <c r="H278" s="19"/>
      <c r="I278" s="20"/>
    </row>
    <row r="279" spans="1:9" ht="13.15">
      <c r="A279" s="19"/>
      <c r="B279" s="19"/>
      <c r="C279" s="19"/>
      <c r="D279" s="19"/>
      <c r="E279" s="19"/>
      <c r="F279" s="20"/>
      <c r="G279" s="19"/>
      <c r="H279" s="19"/>
      <c r="I279" s="20"/>
    </row>
    <row r="280" spans="1:9" ht="13.15">
      <c r="A280" s="19"/>
      <c r="B280" s="19"/>
      <c r="C280" s="19"/>
      <c r="D280" s="19"/>
      <c r="E280" s="19"/>
      <c r="F280" s="20"/>
      <c r="G280" s="19"/>
      <c r="H280" s="19"/>
      <c r="I280" s="20"/>
    </row>
    <row r="281" spans="1:9" ht="13.15">
      <c r="A281" s="19"/>
      <c r="B281" s="19"/>
      <c r="C281" s="19"/>
      <c r="D281" s="19"/>
      <c r="E281" s="19"/>
      <c r="F281" s="20"/>
      <c r="G281" s="19"/>
      <c r="H281" s="19"/>
      <c r="I281" s="20"/>
    </row>
    <row r="282" spans="1:9" ht="13.15">
      <c r="A282" s="19"/>
      <c r="B282" s="19"/>
      <c r="C282" s="19"/>
      <c r="D282" s="19"/>
      <c r="E282" s="19"/>
      <c r="F282" s="20"/>
      <c r="G282" s="19"/>
      <c r="H282" s="19"/>
      <c r="I282" s="20"/>
    </row>
    <row r="283" spans="1:9" ht="13.15">
      <c r="A283" s="19"/>
      <c r="B283" s="19"/>
      <c r="C283" s="19"/>
      <c r="D283" s="19"/>
      <c r="E283" s="19"/>
      <c r="F283" s="20"/>
      <c r="G283" s="19"/>
      <c r="H283" s="19"/>
      <c r="I283" s="20"/>
    </row>
    <row r="284" spans="1:9" ht="13.15">
      <c r="A284" s="19"/>
      <c r="B284" s="19"/>
      <c r="C284" s="19"/>
      <c r="D284" s="19"/>
      <c r="E284" s="19"/>
      <c r="F284" s="20"/>
      <c r="G284" s="19"/>
      <c r="H284" s="19"/>
      <c r="I284" s="20"/>
    </row>
    <row r="285" spans="1:9" ht="13.15">
      <c r="A285" s="19"/>
      <c r="B285" s="19"/>
      <c r="C285" s="19"/>
      <c r="D285" s="19"/>
      <c r="E285" s="19"/>
      <c r="F285" s="20"/>
      <c r="G285" s="19"/>
      <c r="H285" s="19"/>
      <c r="I285" s="20"/>
    </row>
    <row r="286" spans="1:9" ht="13.15">
      <c r="A286" s="19"/>
      <c r="B286" s="19"/>
      <c r="C286" s="19"/>
      <c r="D286" s="19"/>
      <c r="E286" s="19"/>
      <c r="F286" s="20"/>
      <c r="G286" s="19"/>
      <c r="H286" s="19"/>
      <c r="I286" s="20"/>
    </row>
    <row r="287" spans="1:9" ht="13.15">
      <c r="A287" s="19"/>
      <c r="B287" s="19"/>
      <c r="C287" s="19"/>
      <c r="D287" s="19"/>
      <c r="E287" s="19"/>
      <c r="F287" s="20"/>
      <c r="G287" s="19"/>
      <c r="H287" s="19"/>
      <c r="I287" s="20"/>
    </row>
    <row r="288" spans="1:9" ht="13.15">
      <c r="A288" s="19"/>
      <c r="B288" s="19"/>
      <c r="C288" s="19"/>
      <c r="D288" s="19"/>
      <c r="E288" s="19"/>
      <c r="F288" s="20"/>
      <c r="G288" s="19"/>
      <c r="H288" s="19"/>
      <c r="I288" s="20"/>
    </row>
    <row r="289" spans="1:9" ht="13.15">
      <c r="A289" s="19"/>
      <c r="B289" s="19"/>
      <c r="C289" s="19"/>
      <c r="D289" s="19"/>
      <c r="E289" s="19"/>
      <c r="F289" s="20"/>
      <c r="G289" s="19"/>
      <c r="H289" s="19"/>
      <c r="I289" s="20"/>
    </row>
    <row r="290" spans="1:9" ht="13.15">
      <c r="A290" s="19"/>
      <c r="B290" s="19"/>
      <c r="C290" s="19"/>
      <c r="D290" s="19"/>
      <c r="E290" s="19"/>
      <c r="F290" s="20"/>
      <c r="G290" s="19"/>
      <c r="H290" s="19"/>
      <c r="I290" s="20"/>
    </row>
    <row r="291" spans="1:9" ht="13.15">
      <c r="A291" s="19"/>
      <c r="B291" s="19"/>
      <c r="C291" s="19"/>
      <c r="D291" s="19"/>
      <c r="E291" s="19"/>
      <c r="F291" s="20"/>
      <c r="G291" s="19"/>
      <c r="H291" s="19"/>
      <c r="I291" s="20"/>
    </row>
    <row r="292" spans="1:9" ht="13.15">
      <c r="A292" s="19"/>
      <c r="B292" s="19"/>
      <c r="C292" s="19"/>
      <c r="D292" s="19"/>
      <c r="E292" s="19"/>
      <c r="F292" s="20"/>
      <c r="G292" s="19"/>
      <c r="H292" s="19"/>
      <c r="I292" s="20"/>
    </row>
    <row r="293" spans="1:9" ht="13.15">
      <c r="A293" s="19"/>
      <c r="B293" s="19"/>
      <c r="C293" s="19"/>
      <c r="D293" s="19"/>
      <c r="E293" s="19"/>
      <c r="F293" s="20"/>
      <c r="G293" s="19"/>
      <c r="H293" s="19"/>
      <c r="I293" s="20"/>
    </row>
    <row r="294" spans="1:9" ht="13.15">
      <c r="A294" s="19"/>
      <c r="B294" s="19"/>
      <c r="C294" s="19"/>
      <c r="D294" s="19"/>
      <c r="E294" s="19"/>
      <c r="F294" s="20"/>
      <c r="G294" s="19"/>
      <c r="H294" s="19"/>
      <c r="I294" s="20"/>
    </row>
    <row r="295" spans="1:9" ht="13.15">
      <c r="A295" s="19"/>
      <c r="B295" s="19"/>
      <c r="C295" s="19"/>
      <c r="D295" s="19"/>
      <c r="E295" s="19"/>
      <c r="F295" s="20"/>
      <c r="G295" s="19"/>
      <c r="H295" s="19"/>
      <c r="I295" s="20"/>
    </row>
    <row r="296" spans="1:9" ht="13.15">
      <c r="A296" s="19"/>
      <c r="B296" s="19"/>
      <c r="C296" s="19"/>
      <c r="D296" s="19"/>
      <c r="E296" s="19"/>
      <c r="F296" s="20"/>
      <c r="G296" s="19"/>
      <c r="H296" s="19"/>
      <c r="I296" s="20"/>
    </row>
    <row r="297" spans="1:9" ht="13.15">
      <c r="A297" s="19"/>
      <c r="B297" s="19"/>
      <c r="C297" s="19"/>
      <c r="D297" s="19"/>
      <c r="E297" s="19"/>
      <c r="F297" s="20"/>
      <c r="G297" s="19"/>
      <c r="H297" s="19"/>
      <c r="I297" s="20"/>
    </row>
    <row r="298" spans="1:9" ht="13.15">
      <c r="A298" s="19"/>
      <c r="B298" s="19"/>
      <c r="C298" s="19"/>
      <c r="D298" s="19"/>
      <c r="E298" s="19"/>
      <c r="F298" s="20"/>
      <c r="G298" s="19"/>
      <c r="H298" s="19"/>
      <c r="I298" s="20"/>
    </row>
    <row r="299" spans="1:9" ht="13.15">
      <c r="A299" s="19"/>
      <c r="B299" s="19"/>
      <c r="C299" s="19"/>
      <c r="D299" s="19"/>
      <c r="E299" s="19"/>
      <c r="F299" s="20"/>
      <c r="G299" s="19"/>
      <c r="H299" s="19"/>
      <c r="I299" s="20"/>
    </row>
    <row r="300" spans="1:9" ht="13.15">
      <c r="A300" s="19"/>
      <c r="B300" s="19"/>
      <c r="C300" s="19"/>
      <c r="D300" s="19"/>
      <c r="E300" s="19"/>
      <c r="F300" s="20"/>
      <c r="G300" s="19"/>
      <c r="H300" s="19"/>
      <c r="I300" s="20"/>
    </row>
    <row r="301" spans="1:9" ht="13.15">
      <c r="A301" s="19"/>
      <c r="B301" s="19"/>
      <c r="C301" s="19"/>
      <c r="D301" s="19"/>
      <c r="E301" s="19"/>
      <c r="F301" s="20"/>
      <c r="G301" s="19"/>
      <c r="H301" s="19"/>
      <c r="I301" s="20"/>
    </row>
    <row r="302" spans="1:9" ht="13.15">
      <c r="A302" s="19"/>
      <c r="B302" s="19"/>
      <c r="C302" s="19"/>
      <c r="D302" s="19"/>
      <c r="E302" s="19"/>
      <c r="F302" s="20"/>
      <c r="G302" s="19"/>
      <c r="H302" s="19"/>
      <c r="I302" s="20"/>
    </row>
    <row r="303" spans="1:9" ht="13.15">
      <c r="A303" s="19"/>
      <c r="B303" s="19"/>
      <c r="C303" s="19"/>
      <c r="D303" s="19"/>
      <c r="E303" s="19"/>
      <c r="F303" s="20"/>
      <c r="G303" s="19"/>
      <c r="H303" s="19"/>
      <c r="I303" s="20"/>
    </row>
    <row r="304" spans="1:9" ht="13.15">
      <c r="A304" s="19"/>
      <c r="B304" s="19"/>
      <c r="C304" s="19"/>
      <c r="D304" s="19"/>
      <c r="E304" s="19"/>
      <c r="F304" s="20"/>
      <c r="G304" s="19"/>
      <c r="H304" s="19"/>
      <c r="I304" s="20"/>
    </row>
    <row r="305" spans="1:9" ht="13.15">
      <c r="A305" s="19"/>
      <c r="B305" s="19"/>
      <c r="C305" s="19"/>
      <c r="D305" s="19"/>
      <c r="E305" s="19"/>
      <c r="F305" s="20"/>
      <c r="G305" s="19"/>
      <c r="H305" s="19"/>
      <c r="I305" s="20"/>
    </row>
    <row r="306" spans="1:9" ht="13.15">
      <c r="A306" s="19"/>
      <c r="B306" s="19"/>
      <c r="C306" s="19"/>
      <c r="D306" s="19"/>
      <c r="E306" s="19"/>
      <c r="F306" s="20"/>
      <c r="G306" s="19"/>
      <c r="H306" s="19"/>
      <c r="I306" s="20"/>
    </row>
    <row r="307" spans="1:9" ht="13.15">
      <c r="A307" s="19"/>
      <c r="B307" s="19"/>
      <c r="C307" s="19"/>
      <c r="D307" s="19"/>
      <c r="E307" s="19"/>
      <c r="F307" s="20"/>
      <c r="G307" s="19"/>
      <c r="H307" s="19"/>
      <c r="I307" s="20"/>
    </row>
    <row r="308" spans="1:9" ht="13.15">
      <c r="A308" s="19"/>
      <c r="B308" s="19"/>
      <c r="C308" s="19"/>
      <c r="D308" s="19"/>
      <c r="E308" s="19"/>
      <c r="F308" s="20"/>
      <c r="G308" s="19"/>
      <c r="H308" s="19"/>
      <c r="I308" s="20"/>
    </row>
    <row r="309" spans="1:9" ht="13.15">
      <c r="A309" s="19"/>
      <c r="B309" s="19"/>
      <c r="C309" s="19"/>
      <c r="D309" s="19"/>
      <c r="E309" s="19"/>
      <c r="F309" s="20"/>
      <c r="G309" s="19"/>
      <c r="H309" s="19"/>
      <c r="I309" s="20"/>
    </row>
    <row r="310" spans="1:9" ht="13.15">
      <c r="A310" s="19"/>
      <c r="B310" s="19"/>
      <c r="C310" s="19"/>
      <c r="D310" s="19"/>
      <c r="E310" s="19"/>
      <c r="F310" s="20"/>
      <c r="G310" s="19"/>
      <c r="H310" s="19"/>
      <c r="I310" s="20"/>
    </row>
    <row r="311" spans="1:9" ht="13.15">
      <c r="A311" s="19"/>
      <c r="B311" s="19"/>
      <c r="C311" s="19"/>
      <c r="D311" s="19"/>
      <c r="E311" s="19"/>
      <c r="F311" s="20"/>
      <c r="G311" s="19"/>
      <c r="H311" s="19"/>
      <c r="I311" s="20"/>
    </row>
    <row r="312" spans="1:9" ht="13.15">
      <c r="A312" s="19"/>
      <c r="B312" s="19"/>
      <c r="C312" s="19"/>
      <c r="D312" s="19"/>
      <c r="E312" s="19"/>
      <c r="F312" s="20"/>
      <c r="G312" s="19"/>
      <c r="H312" s="19"/>
      <c r="I312" s="20"/>
    </row>
    <row r="313" spans="1:9" ht="13.15">
      <c r="A313" s="19"/>
      <c r="B313" s="19"/>
      <c r="C313" s="19"/>
      <c r="D313" s="19"/>
      <c r="E313" s="19"/>
      <c r="F313" s="20"/>
      <c r="G313" s="19"/>
      <c r="H313" s="19"/>
      <c r="I313" s="20"/>
    </row>
    <row r="314" spans="1:9" ht="13.15">
      <c r="A314" s="19"/>
      <c r="B314" s="19"/>
      <c r="C314" s="19"/>
      <c r="D314" s="19"/>
      <c r="E314" s="19"/>
      <c r="F314" s="20"/>
      <c r="G314" s="19"/>
      <c r="H314" s="19"/>
      <c r="I314" s="20"/>
    </row>
    <row r="315" spans="1:9" ht="13.15">
      <c r="A315" s="19"/>
      <c r="B315" s="19"/>
      <c r="C315" s="19"/>
      <c r="D315" s="19"/>
      <c r="E315" s="19"/>
      <c r="F315" s="20"/>
      <c r="G315" s="19"/>
      <c r="H315" s="19"/>
      <c r="I315" s="20"/>
    </row>
    <row r="316" spans="1:9" ht="13.15">
      <c r="A316" s="19"/>
      <c r="B316" s="19"/>
      <c r="C316" s="19"/>
      <c r="D316" s="19"/>
      <c r="E316" s="19"/>
      <c r="F316" s="20"/>
      <c r="G316" s="19"/>
      <c r="H316" s="19"/>
      <c r="I316" s="20"/>
    </row>
    <row r="317" spans="1:9" ht="13.15">
      <c r="A317" s="19"/>
      <c r="B317" s="19"/>
      <c r="C317" s="19"/>
      <c r="D317" s="19"/>
      <c r="E317" s="19"/>
      <c r="F317" s="20"/>
      <c r="G317" s="19"/>
      <c r="H317" s="19"/>
      <c r="I317" s="20"/>
    </row>
    <row r="318" spans="1:9" ht="13.15">
      <c r="A318" s="19"/>
      <c r="B318" s="19"/>
      <c r="C318" s="19"/>
      <c r="D318" s="19"/>
      <c r="E318" s="19"/>
      <c r="F318" s="20"/>
      <c r="G318" s="19"/>
      <c r="H318" s="19"/>
      <c r="I318" s="20"/>
    </row>
    <row r="319" spans="1:9" ht="13.15">
      <c r="A319" s="19"/>
      <c r="B319" s="19"/>
      <c r="C319" s="19"/>
      <c r="D319" s="19"/>
      <c r="E319" s="19"/>
      <c r="F319" s="20"/>
      <c r="G319" s="19"/>
      <c r="H319" s="19"/>
      <c r="I319" s="20"/>
    </row>
    <row r="320" spans="1:9" ht="13.15">
      <c r="A320" s="19"/>
      <c r="B320" s="19"/>
      <c r="C320" s="19"/>
      <c r="D320" s="19"/>
      <c r="E320" s="19"/>
      <c r="F320" s="20"/>
      <c r="G320" s="19"/>
      <c r="H320" s="19"/>
      <c r="I320" s="20"/>
    </row>
    <row r="321" spans="1:9" ht="13.15">
      <c r="A321" s="19"/>
      <c r="B321" s="19"/>
      <c r="C321" s="19"/>
      <c r="D321" s="19"/>
      <c r="E321" s="19"/>
      <c r="F321" s="20"/>
      <c r="G321" s="19"/>
      <c r="H321" s="19"/>
      <c r="I321" s="20"/>
    </row>
    <row r="322" spans="1:9" ht="13.15">
      <c r="A322" s="19"/>
      <c r="B322" s="19"/>
      <c r="C322" s="19"/>
      <c r="D322" s="19"/>
      <c r="E322" s="19"/>
      <c r="F322" s="20"/>
      <c r="G322" s="19"/>
      <c r="H322" s="19"/>
      <c r="I322" s="2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53" priority="1" stopIfTrue="1" operator="lessThanOrEqual">
      <formula>-0.1</formula>
    </cfRule>
    <cfRule type="expression" dxfId="52"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H52" sqref="H52"/>
      <selection pane="bottomLeft" activeCell="F27" sqref="F27"/>
      <selection pane="topRight" activeCell="F27" sqref="F27"/>
    </sheetView>
  </sheetViews>
  <sheetFormatPr defaultRowHeight="12.75" customHeight="1"/>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111" t="str" cm="1">
        <f t="array" ref="A1">portfolio</f>
        <v>GoodFinch</v>
      </c>
      <c r="B1" s="111"/>
      <c r="C1" s="111"/>
      <c r="D1" s="112" t="s">
        <v>14</v>
      </c>
      <c r="E1" s="112"/>
      <c r="F1" s="112"/>
      <c r="G1" s="110" t="s">
        <v>15</v>
      </c>
      <c r="H1" s="110"/>
      <c r="I1" s="110"/>
    </row>
    <row r="2" spans="1:9" ht="19.5" customHeight="1">
      <c r="A2" s="113" t="s">
        <v>2</v>
      </c>
      <c r="B2" s="113"/>
      <c r="C2" s="5">
        <f>SUM(C4:C79)</f>
        <v>1539597.7648551145</v>
      </c>
      <c r="D2" s="5">
        <f>SUM(D4:D79)</f>
        <v>1456547.233</v>
      </c>
      <c r="E2" s="5">
        <f>C2-D2</f>
        <v>83050.531855114503</v>
      </c>
      <c r="F2" s="6">
        <f>IFERROR(E2/D2, 0)</f>
        <v>5.7018770125331394E-2</v>
      </c>
      <c r="G2" s="5">
        <f>SUM(G4:G79)</f>
        <v>2267383.4810000001</v>
      </c>
      <c r="H2" s="7">
        <f>C2-G2</f>
        <v>-727785.71614488564</v>
      </c>
      <c r="I2" s="6">
        <f>IFERROR(H2/G2, 0)</f>
        <v>-0.32098042622410972</v>
      </c>
    </row>
    <row r="3" spans="1:9" ht="14.25" customHeight="1">
      <c r="A3" s="8" t="s">
        <v>3</v>
      </c>
      <c r="B3" s="8" t="s">
        <v>4</v>
      </c>
      <c r="C3" s="21" t="s">
        <v>5</v>
      </c>
      <c r="D3" s="33" t="s">
        <v>6</v>
      </c>
      <c r="E3" s="33" t="s">
        <v>7</v>
      </c>
      <c r="F3" s="34" t="s">
        <v>8</v>
      </c>
      <c r="G3" s="35" t="s">
        <v>9</v>
      </c>
      <c r="H3" s="36" t="s">
        <v>7</v>
      </c>
      <c r="I3" s="37" t="s">
        <v>8</v>
      </c>
    </row>
    <row r="4" spans="1:9" ht="15.75">
      <c r="A4" s="46" t="str" cm="1">
        <f t="array" ref="A4:A45">Sites[Site]</f>
        <v>AZ: Tempe - ASU - Farmer</v>
      </c>
      <c r="B4" s="9" t="str" cm="1">
        <f t="array" ref="B4:B45">Sites[State]</f>
        <v>AZ</v>
      </c>
      <c r="C4" s="22">
        <f>SUM(Jul!C4, Aug!C4, Sep!C4)</f>
        <v>13735.3356944444</v>
      </c>
      <c r="D4" s="12">
        <f>SUM(Jul!D4, Aug!D4, Sep!D4)</f>
        <v>8816.8459999999995</v>
      </c>
      <c r="E4" s="12">
        <f>IF(AND(ISNUMBER(C4),ISNUMBER(D4)), C4-D4, "")</f>
        <v>4918.4896944444008</v>
      </c>
      <c r="F4" s="13">
        <f>IFERROR(E4/D4, "")</f>
        <v>0.55785137842312327</v>
      </c>
      <c r="G4" s="14">
        <f>SUM(Jul!G4,Aug!G4,Sep!G4)</f>
        <v>13564.61</v>
      </c>
      <c r="H4" s="14">
        <f>SUM(Jul!H4, Aug!H4, Sep!H4)</f>
        <v>170.72569444439978</v>
      </c>
      <c r="I4" s="15">
        <f t="shared" ref="I4:I9" si="0">IFERROR(H4/G4, "")</f>
        <v>1.2586111539100628E-2</v>
      </c>
    </row>
    <row r="5" spans="1:9" ht="15.75">
      <c r="A5" s="47" t="str">
        <v>AZ: Tempe - ASU - Fulton</v>
      </c>
      <c r="B5" s="10" t="str">
        <v>AZ</v>
      </c>
      <c r="C5" s="11">
        <f>SUM(Jul!C5, Aug!C5, Sep!C5)</f>
        <v>51105</v>
      </c>
      <c r="D5" s="16">
        <f>SUM(Jul!D5, Aug!D5, Sep!D5)</f>
        <v>60589.7</v>
      </c>
      <c r="E5" s="16">
        <f t="shared" ref="E5:E9" si="1">IF(AND(ISNUMBER(C5),ISNUMBER(D5)), C5-D5, "")</f>
        <v>-9484.6999999999971</v>
      </c>
      <c r="F5" s="17">
        <f>IFERROR(E5/D5, "")</f>
        <v>-0.15653980792114827</v>
      </c>
      <c r="G5" s="16">
        <f>SUM(Jul!G5,Aug!G5,Sep!G5)</f>
        <v>68756</v>
      </c>
      <c r="H5" s="18">
        <f>SUM(Jul!H5, Aug!H5, Sep!H5)</f>
        <v>-17651</v>
      </c>
      <c r="I5" s="17">
        <f t="shared" si="0"/>
        <v>-0.25671941357845135</v>
      </c>
    </row>
    <row r="6" spans="1:9" ht="15.75">
      <c r="A6" s="46" t="str">
        <v>AZ: Superior - JFK Elementary</v>
      </c>
      <c r="B6" s="9" t="str">
        <v>AZ</v>
      </c>
      <c r="C6" s="22">
        <f>SUM(Jul!C6, Aug!C6, Sep!C6)</f>
        <v>12132.179651275899</v>
      </c>
      <c r="D6" s="12">
        <f>SUM(Jul!D6, Aug!D6, Sep!D6)</f>
        <v>0</v>
      </c>
      <c r="E6" s="12">
        <f t="shared" si="1"/>
        <v>12132.179651275899</v>
      </c>
      <c r="F6" s="13" t="str">
        <f t="shared" ref="F6:F10" si="2">IFERROR(E6/D6, "")</f>
        <v/>
      </c>
      <c r="G6" s="14">
        <f>SUM(Jul!G6,Aug!G6,Sep!G6)</f>
        <v>18696</v>
      </c>
      <c r="H6" s="14">
        <f>SUM(Jul!H6, Aug!H6, Sep!H6)</f>
        <v>-6563.8203487241008</v>
      </c>
      <c r="I6" s="15">
        <f t="shared" si="0"/>
        <v>-0.35108153341485349</v>
      </c>
    </row>
    <row r="7" spans="1:9" ht="15.75">
      <c r="A7" s="47" t="str">
        <v>AZ: Tempe - ASU - Noble</v>
      </c>
      <c r="B7" s="10" t="str">
        <v>AZ</v>
      </c>
      <c r="C7" s="11">
        <f>SUM(Jul!C7, Aug!C7, Sep!C7)</f>
        <v>12583.461537700599</v>
      </c>
      <c r="D7" s="16">
        <f>SUM(Jul!D7, Aug!D7, Sep!D7)</f>
        <v>15025.43</v>
      </c>
      <c r="E7" s="16">
        <f t="shared" si="1"/>
        <v>-2441.9684622994009</v>
      </c>
      <c r="F7" s="17">
        <f t="shared" si="2"/>
        <v>-0.16252236789891544</v>
      </c>
      <c r="G7" s="16">
        <f>SUM(Jul!G7,Aug!G7,Sep!G7)</f>
        <v>15254.26</v>
      </c>
      <c r="H7" s="18">
        <f>SUM(Jul!H7, Aug!H7, Sep!H7)</f>
        <v>-2670.7984622994009</v>
      </c>
      <c r="I7" s="17">
        <f t="shared" si="0"/>
        <v>-0.17508541629022981</v>
      </c>
    </row>
    <row r="8" spans="1:9" ht="15.75">
      <c r="A8" s="46" t="str">
        <v>AZ: Tempe - ASU - Parking #3</v>
      </c>
      <c r="B8" s="9" t="str">
        <v>AZ</v>
      </c>
      <c r="C8" s="22">
        <f>SUM(Jul!C8, Aug!C8, Sep!C8)</f>
        <v>34337.612499999901</v>
      </c>
      <c r="D8" s="12">
        <f>SUM(Jul!D8, Aug!D8, Sep!D8)</f>
        <v>35477.839999999997</v>
      </c>
      <c r="E8" s="12">
        <f t="shared" si="1"/>
        <v>-1140.2275000000955</v>
      </c>
      <c r="F8" s="13">
        <f t="shared" si="2"/>
        <v>-3.2139146577133661E-2</v>
      </c>
      <c r="G8" s="14">
        <f>SUM(Jul!G8,Aug!G8,Sep!G8)</f>
        <v>31619.08</v>
      </c>
      <c r="H8" s="14">
        <f>SUM(Jul!H8, Aug!H8, Sep!H8)</f>
        <v>2718.5324999998993</v>
      </c>
      <c r="I8" s="15">
        <f t="shared" si="0"/>
        <v>8.5977596438602866E-2</v>
      </c>
    </row>
    <row r="9" spans="1:9" ht="15.75">
      <c r="A9" s="47" t="str">
        <v>AZ: Tempe - ASU - PE East</v>
      </c>
      <c r="B9" s="10" t="str">
        <v>AZ</v>
      </c>
      <c r="C9" s="11">
        <f>SUM(Jul!C9, Aug!C9, Sep!C9)</f>
        <v>30211.9078319769</v>
      </c>
      <c r="D9" s="16">
        <f>SUM(Jul!D9, Aug!D9, Sep!D9)</f>
        <v>25952.9</v>
      </c>
      <c r="E9" s="16">
        <f t="shared" si="1"/>
        <v>4259.0078319768982</v>
      </c>
      <c r="F9" s="17">
        <f t="shared" si="2"/>
        <v>0.16410527655779886</v>
      </c>
      <c r="G9" s="16">
        <f>SUM(Jul!G9,Aug!G9,Sep!G9)</f>
        <v>31934.71</v>
      </c>
      <c r="H9" s="18">
        <f>SUM(Jul!H9, Aug!H9, Sep!H9)</f>
        <v>-1722.8021680230995</v>
      </c>
      <c r="I9" s="17">
        <f t="shared" si="0"/>
        <v>-5.394763779045119E-2</v>
      </c>
    </row>
    <row r="10" spans="1:9" ht="15.75">
      <c r="A10" s="46" t="str">
        <v>AZ: Tempe - ASU - Schwada</v>
      </c>
      <c r="B10" s="9" t="str">
        <v>AZ</v>
      </c>
      <c r="C10" s="22">
        <f>SUM(Jul!C10, Aug!C10, Sep!C10)</f>
        <v>9176.8896546379001</v>
      </c>
      <c r="D10" s="12">
        <f>SUM(Jul!D10, Aug!D10, Sep!D10)</f>
        <v>10685.01</v>
      </c>
      <c r="E10" s="12">
        <f t="shared" ref="E10:E45" si="3">IF(AND(ISNUMBER(C10),ISNUMBER(D10)), C10-D10, "")</f>
        <v>-1508.1203453621001</v>
      </c>
      <c r="F10" s="13">
        <f t="shared" si="2"/>
        <v>-0.14114355956261154</v>
      </c>
      <c r="G10" s="14">
        <f>SUM(Jul!G10,Aug!G10,Sep!G10)</f>
        <v>13894</v>
      </c>
      <c r="H10" s="14">
        <f>SUM(Jul!H10, Aug!H10, Sep!H10)</f>
        <v>-4717.1103453620999</v>
      </c>
      <c r="I10" s="15"/>
    </row>
    <row r="11" spans="1:9" ht="15.75">
      <c r="A11" s="47" t="str">
        <v>AZ: Phoenix - Starshine Academy</v>
      </c>
      <c r="B11" s="10" t="str">
        <v>AZ</v>
      </c>
      <c r="C11" s="100">
        <f>SUM(Jul!C11, Aug!C11, Sep!C11)</f>
        <v>6047.7999999999902</v>
      </c>
      <c r="D11" s="16">
        <f>SUM(Jul!D11, Aug!D11, Sep!D11)</f>
        <v>0</v>
      </c>
      <c r="E11" s="16">
        <f t="shared" si="3"/>
        <v>6047.7999999999902</v>
      </c>
      <c r="F11" s="99" t="str">
        <f t="shared" ref="F11:F45" si="4">IFERROR(E11/D11, "")</f>
        <v/>
      </c>
      <c r="G11" s="16">
        <f>SUM(Jul!G11,Aug!G11,Sep!G11)</f>
        <v>11002</v>
      </c>
      <c r="H11" s="80">
        <f>SUM(Jul!H11, Aug!H11, Sep!H11)</f>
        <v>-4954.2000000000098</v>
      </c>
      <c r="I11" s="99">
        <f>IFERROR(H11/G11, "")</f>
        <v>-0.45029994546446189</v>
      </c>
    </row>
    <row r="12" spans="1:9" ht="15.75">
      <c r="A12" s="46" t="str">
        <v>AZ: Yuma Airport</v>
      </c>
      <c r="B12" s="9" t="str">
        <v>AZ</v>
      </c>
      <c r="C12" s="73">
        <f>SUM(Jul!C12, Aug!C12, Sep!C12)</f>
        <v>66601</v>
      </c>
      <c r="D12" s="12">
        <f>SUM(Jul!D12, Aug!D12, Sep!D12)</f>
        <v>94129.73</v>
      </c>
      <c r="E12" s="12">
        <f t="shared" si="3"/>
        <v>-27528.729999999996</v>
      </c>
      <c r="F12" s="74">
        <f t="shared" si="4"/>
        <v>-0.29245521048450895</v>
      </c>
      <c r="G12" s="75">
        <f>SUM(Jul!G12,Aug!G12,Sep!G12)</f>
        <v>82137</v>
      </c>
      <c r="H12" s="75">
        <f>SUM(Jul!H12, Aug!H12, Sep!H12)</f>
        <v>-15536</v>
      </c>
      <c r="I12" s="76"/>
    </row>
    <row r="13" spans="1:9" ht="15.75">
      <c r="A13" s="47" t="str">
        <v>AZ: Globe - Gila CC</v>
      </c>
      <c r="B13" s="10" t="str">
        <v>AZ</v>
      </c>
      <c r="C13" s="100">
        <f>SUM(Jul!C13, Aug!C13, Sep!C13)</f>
        <v>20373.3752302871</v>
      </c>
      <c r="D13" s="16">
        <f>SUM(Jul!D13, Aug!D13, Sep!D13)</f>
        <v>0</v>
      </c>
      <c r="E13" s="16">
        <f t="shared" si="3"/>
        <v>20373.3752302871</v>
      </c>
      <c r="F13" s="99" t="str">
        <f t="shared" si="4"/>
        <v/>
      </c>
      <c r="G13" s="16">
        <f>SUM(Jul!G13,Aug!G13,Sep!G13)</f>
        <v>18652</v>
      </c>
      <c r="H13" s="80">
        <f>SUM(Jul!H13, Aug!H13, Sep!H13)</f>
        <v>1721.3752302870998</v>
      </c>
      <c r="I13" s="99">
        <f>IFERROR(H13/G13, "")</f>
        <v>9.2289043013462357E-2</v>
      </c>
    </row>
    <row r="14" spans="1:9" ht="15.75">
      <c r="A14" s="46" t="str">
        <v>AZ: Payson - Gila CC</v>
      </c>
      <c r="B14" s="9" t="str">
        <v>AZ</v>
      </c>
      <c r="C14" s="73">
        <f>SUM(Jul!C14, Aug!C14, Sep!C14)</f>
        <v>15205.8845466159</v>
      </c>
      <c r="D14" s="12">
        <f>SUM(Jul!D14, Aug!D14, Sep!D14)</f>
        <v>6558.9120000000003</v>
      </c>
      <c r="E14" s="12">
        <f t="shared" si="3"/>
        <v>8646.9725466158998</v>
      </c>
      <c r="F14" s="74">
        <f t="shared" si="4"/>
        <v>1.318354712887732</v>
      </c>
      <c r="G14" s="75">
        <f>SUM(Jul!G14,Aug!G14,Sep!G14)</f>
        <v>15449</v>
      </c>
      <c r="H14" s="75">
        <f>SUM(Jul!H14, Aug!H14, Sep!H14)</f>
        <v>-243.11545338409996</v>
      </c>
      <c r="I14" s="76"/>
    </row>
    <row r="15" spans="1:9" ht="15.75">
      <c r="A15" s="47" t="str">
        <v>AZ: Mesa - Sequoia Charter School</v>
      </c>
      <c r="B15" s="10" t="str">
        <v>AZ</v>
      </c>
      <c r="C15" s="100">
        <f>SUM(Jul!C15, Aug!C15, Sep!C15)</f>
        <v>32820.180000000197</v>
      </c>
      <c r="D15" s="16">
        <f>SUM(Jul!D15, Aug!D15, Sep!D15)</f>
        <v>0</v>
      </c>
      <c r="E15" s="16">
        <f t="shared" si="3"/>
        <v>32820.180000000197</v>
      </c>
      <c r="F15" s="99" t="str">
        <f t="shared" si="4"/>
        <v/>
      </c>
      <c r="G15" s="16">
        <f>SUM(Jul!G15,Aug!G15,Sep!G15)</f>
        <v>52037</v>
      </c>
      <c r="H15" s="80">
        <f>SUM(Jul!H15, Aug!H15, Sep!H15)</f>
        <v>-19216.819999999803</v>
      </c>
      <c r="I15" s="99">
        <f>IFERROR(H15/G15, "")</f>
        <v>-0.36929146568787213</v>
      </c>
    </row>
    <row r="16" spans="1:9" ht="15.75">
      <c r="A16" s="46" t="str">
        <v>AZ: Tempe - SCNM</v>
      </c>
      <c r="B16" s="9" t="str">
        <v>AZ</v>
      </c>
      <c r="C16" s="73">
        <f>SUM(Jul!C16, Aug!C16, Sep!C16)</f>
        <v>67507.749445675901</v>
      </c>
      <c r="D16" s="12">
        <f>SUM(Jul!D16, Aug!D16, Sep!D16)</f>
        <v>49080.480000000003</v>
      </c>
      <c r="E16" s="12">
        <f t="shared" si="3"/>
        <v>18427.269445675898</v>
      </c>
      <c r="F16" s="74">
        <f t="shared" si="4"/>
        <v>0.37545006580367385</v>
      </c>
      <c r="G16" s="75">
        <f>SUM(Jul!G16,Aug!G16,Sep!G16)</f>
        <v>91007</v>
      </c>
      <c r="H16" s="75">
        <f>SUM(Jul!H16, Aug!H16, Sep!H16)</f>
        <v>-23499.250554324099</v>
      </c>
      <c r="I16" s="76"/>
    </row>
    <row r="17" spans="1:9" ht="15.75">
      <c r="A17" s="47" t="str">
        <v>DE: Newark - Clayton Hall</v>
      </c>
      <c r="B17" s="10" t="str">
        <v>DE</v>
      </c>
      <c r="C17" s="100">
        <f>SUM(Jul!C17, Aug!C17, Sep!C17)</f>
        <v>21726</v>
      </c>
      <c r="D17" s="16">
        <f>SUM(Jul!D17, Aug!D17, Sep!D17)</f>
        <v>23826.591</v>
      </c>
      <c r="E17" s="16">
        <f t="shared" si="3"/>
        <v>-2100.5910000000003</v>
      </c>
      <c r="F17" s="99">
        <f t="shared" si="4"/>
        <v>-8.8161625807065741E-2</v>
      </c>
      <c r="G17" s="16">
        <f>SUM(Jul!G17,Aug!G17,Sep!G17)</f>
        <v>20228.258000000002</v>
      </c>
      <c r="H17" s="80">
        <f>SUM(Jul!H17, Aug!H17, Sep!H17)</f>
        <v>1497.7419999999984</v>
      </c>
      <c r="I17" s="99">
        <f>IFERROR(H17/G17, "")</f>
        <v>7.4042065312791561E-2</v>
      </c>
    </row>
    <row r="18" spans="1:9" ht="15.75">
      <c r="A18" s="46" t="str">
        <v>DE: Newark - UOD Field House</v>
      </c>
      <c r="B18" s="9" t="str">
        <v>DE</v>
      </c>
      <c r="C18" s="73">
        <f>SUM(Jul!C18, Aug!C18, Sep!C18)</f>
        <v>55764</v>
      </c>
      <c r="D18" s="12">
        <f>SUM(Jul!D18, Aug!D18, Sep!D18)</f>
        <v>0</v>
      </c>
      <c r="E18" s="12">
        <f t="shared" si="3"/>
        <v>55764</v>
      </c>
      <c r="F18" s="74" t="str">
        <f t="shared" si="4"/>
        <v/>
      </c>
      <c r="G18" s="75">
        <f>SUM(Jul!G18,Aug!G18,Sep!G18)</f>
        <v>49697</v>
      </c>
      <c r="H18" s="75">
        <f>SUM(Jul!H18, Aug!H18, Sep!H18)</f>
        <v>6067</v>
      </c>
      <c r="I18" s="76"/>
    </row>
    <row r="19" spans="1:9" ht="15.75">
      <c r="A19" s="47" t="str">
        <v>DE: Newark - UOD 461 Wyoming</v>
      </c>
      <c r="B19" s="10" t="str">
        <v>DE</v>
      </c>
      <c r="C19" s="100">
        <f>SUM(Jul!C19, Aug!C19, Sep!C19)</f>
        <v>0</v>
      </c>
      <c r="D19" s="16">
        <f>SUM(Jul!D19, Aug!D19, Sep!D19)</f>
        <v>36216.917000000001</v>
      </c>
      <c r="E19" s="16">
        <f t="shared" si="3"/>
        <v>-36216.917000000001</v>
      </c>
      <c r="F19" s="99">
        <f t="shared" si="4"/>
        <v>-1</v>
      </c>
      <c r="G19" s="16">
        <f>SUM(Jul!G19,Aug!G19,Sep!G19)</f>
        <v>37582.678</v>
      </c>
      <c r="H19" s="80">
        <f>SUM(Jul!H19, Aug!H19, Sep!H19)</f>
        <v>-37582.678</v>
      </c>
      <c r="I19" s="99">
        <f>IFERROR(H19/G19, "")</f>
        <v>-1</v>
      </c>
    </row>
    <row r="20" spans="1:9" ht="15.75">
      <c r="A20" s="46" t="str">
        <v>HI: Waipahu - 94-246 Leoku St - E.F.G.</v>
      </c>
      <c r="B20" s="9" t="str">
        <v>HI</v>
      </c>
      <c r="C20" s="73">
        <f>SUM(Jul!C20, Aug!C20, Sep!C20)</f>
        <v>10048</v>
      </c>
      <c r="D20" s="12">
        <f>SUM(Jul!D20, Aug!D20, Sep!D20)</f>
        <v>13191.17</v>
      </c>
      <c r="E20" s="12">
        <f t="shared" si="3"/>
        <v>-3143.17</v>
      </c>
      <c r="F20" s="74">
        <f t="shared" si="4"/>
        <v>-0.2382783331577108</v>
      </c>
      <c r="G20" s="75">
        <f>SUM(Jul!G20,Aug!G20,Sep!G20)</f>
        <v>13676.54</v>
      </c>
      <c r="H20" s="75">
        <f>SUM(Jul!H20, Aug!H20, Sep!H20)</f>
        <v>-3628.5400000000009</v>
      </c>
      <c r="I20" s="76"/>
    </row>
    <row r="21" spans="1:9" ht="15.75">
      <c r="A21" s="47" t="str">
        <v>HI: Waipahu - 94-099 Waipahu St - PV</v>
      </c>
      <c r="B21" s="10" t="str">
        <v>HI</v>
      </c>
      <c r="C21" s="100">
        <f>SUM(Jul!C21, Aug!C21, Sep!C21)</f>
        <v>14836</v>
      </c>
      <c r="D21" s="16">
        <f>SUM(Jul!D21, Aug!D21, Sep!D21)</f>
        <v>11475.55</v>
      </c>
      <c r="E21" s="16">
        <f t="shared" si="3"/>
        <v>3360.4500000000007</v>
      </c>
      <c r="F21" s="99">
        <f t="shared" si="4"/>
        <v>0.29283563750757052</v>
      </c>
      <c r="G21" s="16">
        <f>SUM(Jul!G21,Aug!G21,Sep!G21)</f>
        <v>13669.23</v>
      </c>
      <c r="H21" s="80">
        <f>SUM(Jul!H21, Aug!H21, Sep!H21)</f>
        <v>1166.7700000000004</v>
      </c>
      <c r="I21" s="99">
        <f>IFERROR(H21/G21, "")</f>
        <v>8.5357404916004812E-2</v>
      </c>
    </row>
    <row r="22" spans="1:9" ht="15.75">
      <c r="A22" s="46" t="str">
        <v>MD: Presston - Bird-in-Hand</v>
      </c>
      <c r="B22" s="9" t="str">
        <v>MD</v>
      </c>
      <c r="C22" s="73">
        <f>SUM(Jul!C22, Aug!C22, Sep!C22)</f>
        <v>145779</v>
      </c>
      <c r="D22" s="12">
        <f>SUM(Jul!D22, Aug!D22, Sep!D22)</f>
        <v>144638.70000000001</v>
      </c>
      <c r="E22" s="12">
        <f t="shared" si="3"/>
        <v>1140.2999999999884</v>
      </c>
      <c r="F22" s="74">
        <f t="shared" si="4"/>
        <v>7.8837821412940535E-3</v>
      </c>
      <c r="G22" s="75">
        <f>SUM(Jul!G22,Aug!G22,Sep!G22)</f>
        <v>179658.6</v>
      </c>
      <c r="H22" s="75">
        <f>SUM(Jul!H22, Aug!H22, Sep!H22)</f>
        <v>-33879.600000000006</v>
      </c>
      <c r="I22" s="76"/>
    </row>
    <row r="23" spans="1:9" ht="15.75">
      <c r="A23" s="47" t="str">
        <v>MD: Easton - Shortall</v>
      </c>
      <c r="B23" s="10" t="str">
        <v>MD</v>
      </c>
      <c r="C23" s="100">
        <f>SUM(Jul!C23, Aug!C23, Sep!C23)</f>
        <v>188462</v>
      </c>
      <c r="D23" s="16">
        <f>SUM(Jul!D23, Aug!D23, Sep!D23)</f>
        <v>193996.5</v>
      </c>
      <c r="E23" s="16">
        <f t="shared" si="3"/>
        <v>-5534.5</v>
      </c>
      <c r="F23" s="99">
        <f t="shared" si="4"/>
        <v>-2.8528865211485774E-2</v>
      </c>
      <c r="G23" s="16">
        <f>SUM(Jul!G23,Aug!G23,Sep!G23)</f>
        <v>158875.9</v>
      </c>
      <c r="H23" s="80">
        <f>SUM(Jul!H23, Aug!H23, Sep!H23)</f>
        <v>29586.100000000006</v>
      </c>
      <c r="I23" s="99">
        <f>IFERROR(H23/G23, "")</f>
        <v>0.18622144705395852</v>
      </c>
    </row>
    <row r="24" spans="1:9" ht="15.75">
      <c r="A24" s="46" t="str">
        <v>MA: Boston - Seaport Solar</v>
      </c>
      <c r="B24" s="9" t="str">
        <v>MA</v>
      </c>
      <c r="C24" s="73">
        <f>SUM(Jul!C24, Aug!C24, Sep!C24)</f>
        <v>85397.5</v>
      </c>
      <c r="D24" s="12">
        <f>SUM(Jul!D24, Aug!D24, Sep!D24)</f>
        <v>14365.66</v>
      </c>
      <c r="E24" s="12">
        <f t="shared" si="3"/>
        <v>71031.839999999997</v>
      </c>
      <c r="F24" s="74">
        <f t="shared" si="4"/>
        <v>4.94455806416134</v>
      </c>
      <c r="G24" s="75">
        <f>SUM(Jul!G24,Aug!G24,Sep!G24)</f>
        <v>86009.04</v>
      </c>
      <c r="H24" s="75">
        <f>SUM(Jul!H24, Aug!H24, Sep!H24)</f>
        <v>-611.5399999999936</v>
      </c>
      <c r="I24" s="76"/>
    </row>
    <row r="25" spans="1:9" ht="15.75">
      <c r="A25" s="47" t="str">
        <v>MA: Dedham - Sprague Street</v>
      </c>
      <c r="B25" s="10" t="str">
        <v>MA</v>
      </c>
      <c r="C25" s="100">
        <f>SUM(Jul!C25, Aug!C25, Sep!C25)</f>
        <v>185825</v>
      </c>
      <c r="D25" s="16">
        <f>SUM(Jul!D25, Aug!D25, Sep!D25)</f>
        <v>0</v>
      </c>
      <c r="E25" s="16">
        <f t="shared" si="3"/>
        <v>185825</v>
      </c>
      <c r="F25" s="99" t="str">
        <f t="shared" si="4"/>
        <v/>
      </c>
      <c r="G25" s="16">
        <f>SUM(Jul!G25,Aug!G25,Sep!G25)</f>
        <v>193250.7</v>
      </c>
      <c r="H25" s="80">
        <f>SUM(Jul!H25, Aug!H25, Sep!H25)</f>
        <v>-7425.7000000000116</v>
      </c>
      <c r="I25" s="99">
        <f>IFERROR(H25/G25, "")</f>
        <v>-3.8425216571013769E-2</v>
      </c>
    </row>
    <row r="26" spans="1:9" ht="15.75">
      <c r="A26" s="46" t="str">
        <v>MA: Boston - Summer Street</v>
      </c>
      <c r="B26" s="9" t="str">
        <v>MA</v>
      </c>
      <c r="C26" s="73">
        <f>SUM(Jul!C26, Aug!C26, Sep!C26)</f>
        <v>0</v>
      </c>
      <c r="D26" s="12">
        <f>SUM(Jul!D26, Aug!D26, Sep!D26)</f>
        <v>64247.81</v>
      </c>
      <c r="E26" s="12">
        <f t="shared" si="3"/>
        <v>-64247.81</v>
      </c>
      <c r="F26" s="74">
        <f t="shared" si="4"/>
        <v>-1</v>
      </c>
      <c r="G26" s="75">
        <f>SUM(Jul!G26,Aug!G26,Sep!G26)</f>
        <v>409224.3</v>
      </c>
      <c r="H26" s="75">
        <f>SUM(Jul!H26, Aug!H26, Sep!H26)</f>
        <v>-409224.3</v>
      </c>
      <c r="I26" s="76"/>
    </row>
    <row r="27" spans="1:9" ht="15.75">
      <c r="A27" s="47" t="str">
        <v>MA: Leominster - Spectro Coatings</v>
      </c>
      <c r="B27" s="10" t="str">
        <v>MA</v>
      </c>
      <c r="C27" s="100">
        <f>SUM(Jul!C27, Aug!C27, Sep!C27)</f>
        <v>38126.625</v>
      </c>
      <c r="D27" s="16">
        <f>SUM(Jul!D27, Aug!D27, Sep!D27)</f>
        <v>39199.726999999999</v>
      </c>
      <c r="E27" s="16">
        <f t="shared" si="3"/>
        <v>-1073.101999999999</v>
      </c>
      <c r="F27" s="99">
        <f t="shared" si="4"/>
        <v>-2.7375241669412621E-2</v>
      </c>
      <c r="G27" s="16">
        <f>SUM(Jul!G27,Aug!G27,Sep!G27)</f>
        <v>38210.936999999998</v>
      </c>
      <c r="H27" s="80">
        <f>SUM(Jul!H27, Aug!H27, Sep!H27)</f>
        <v>-84.311999999998079</v>
      </c>
      <c r="I27" s="99">
        <f>IFERROR(H27/G27, "")</f>
        <v>-2.2064886814996995E-3</v>
      </c>
    </row>
    <row r="28" spans="1:9" ht="15.75">
      <c r="A28" s="46" t="str">
        <v>MA: Braintree - RCAB</v>
      </c>
      <c r="B28" s="9" t="str">
        <v>MA</v>
      </c>
      <c r="C28" s="73">
        <f>SUM(Jul!C28, Aug!C28, Sep!C28)</f>
        <v>147058</v>
      </c>
      <c r="D28" s="12">
        <f>SUM(Jul!D28, Aug!D28, Sep!D28)</f>
        <v>182019.3</v>
      </c>
      <c r="E28" s="12">
        <f t="shared" si="3"/>
        <v>-34961.299999999988</v>
      </c>
      <c r="F28" s="74">
        <f t="shared" si="4"/>
        <v>-0.19207468658543347</v>
      </c>
      <c r="G28" s="75">
        <f>SUM(Jul!G28,Aug!G28,Sep!G28)</f>
        <v>146482.79999999999</v>
      </c>
      <c r="H28" s="75">
        <f>SUM(Jul!H28, Aug!H28, Sep!H28)</f>
        <v>575.20000000001164</v>
      </c>
      <c r="I28" s="76"/>
    </row>
    <row r="29" spans="1:9" ht="15.75">
      <c r="A29" s="47" t="str">
        <v>NH: Rochester - Portland Street</v>
      </c>
      <c r="B29" s="10" t="str">
        <v>NH</v>
      </c>
      <c r="C29" s="100">
        <f>SUM(Jul!C29, Aug!C29, Sep!C29)</f>
        <v>11535.627</v>
      </c>
      <c r="D29" s="16">
        <f>SUM(Jul!D29, Aug!D29, Sep!D29)</f>
        <v>8215.9359999999997</v>
      </c>
      <c r="E29" s="16">
        <f t="shared" si="3"/>
        <v>3319.6910000000007</v>
      </c>
      <c r="F29" s="99">
        <f t="shared" si="4"/>
        <v>0.40405511922196091</v>
      </c>
      <c r="G29" s="16">
        <f>SUM(Jul!G29,Aug!G29,Sep!G29)</f>
        <v>9368.7739999999994</v>
      </c>
      <c r="H29" s="80">
        <f>SUM(Jul!H29, Aug!H29, Sep!H29)</f>
        <v>2166.853000000001</v>
      </c>
      <c r="I29" s="99">
        <f>IFERROR(H29/G29, "")</f>
        <v>0.2312845843009983</v>
      </c>
    </row>
    <row r="30" spans="1:9" ht="15.75">
      <c r="A30" s="46" t="str">
        <v>NH: Portsmouth - Portsmouth HS</v>
      </c>
      <c r="B30" s="9" t="str">
        <v>NH</v>
      </c>
      <c r="C30" s="73">
        <f>SUM(Jul!C30, Aug!C30, Sep!C30)</f>
        <v>44411.625</v>
      </c>
      <c r="D30" s="12">
        <f>SUM(Jul!D30, Aug!D30, Sep!D30)</f>
        <v>0</v>
      </c>
      <c r="E30" s="12">
        <f t="shared" si="3"/>
        <v>44411.625</v>
      </c>
      <c r="F30" s="74" t="str">
        <f t="shared" si="4"/>
        <v/>
      </c>
      <c r="G30" s="75">
        <f>SUM(Jul!G30,Aug!G30,Sep!G30)</f>
        <v>35518.29</v>
      </c>
      <c r="H30" s="75">
        <f>SUM(Jul!H30, Aug!H30, Sep!H30)</f>
        <v>8893.3349999999991</v>
      </c>
      <c r="I30" s="76"/>
    </row>
    <row r="31" spans="1:9" ht="15.75">
      <c r="A31" s="47" t="str">
        <v>NH: Portsmouth - Portsmouth WTP</v>
      </c>
      <c r="B31" s="10" t="str">
        <v>NH</v>
      </c>
      <c r="C31" s="100">
        <f>SUM(Jul!C31, Aug!C31, Sep!C31)</f>
        <v>0</v>
      </c>
      <c r="D31" s="16">
        <f>SUM(Jul!D31, Aug!D31, Sep!D31)</f>
        <v>0</v>
      </c>
      <c r="E31" s="16">
        <f t="shared" si="3"/>
        <v>0</v>
      </c>
      <c r="F31" s="99" t="str">
        <f t="shared" si="4"/>
        <v/>
      </c>
      <c r="G31" s="16">
        <f>SUM(Jul!G31,Aug!G31,Sep!G31)</f>
        <v>0</v>
      </c>
      <c r="H31" s="80">
        <f>SUM(Jul!H31, Aug!H31, Sep!H31)</f>
        <v>0</v>
      </c>
      <c r="I31" s="99" t="str">
        <f>IFERROR(H31/G31, "")</f>
        <v/>
      </c>
    </row>
    <row r="32" spans="1:9" ht="15.75">
      <c r="A32" s="46" t="str">
        <v>NH: Rochester - Rochester MS</v>
      </c>
      <c r="B32" s="9" t="str">
        <v>NH</v>
      </c>
      <c r="C32" s="73">
        <f>SUM(Jul!C32, Aug!C32, Sep!C32)</f>
        <v>38047.617380000003</v>
      </c>
      <c r="D32" s="12">
        <f>SUM(Jul!D32, Aug!D32, Sep!D32)</f>
        <v>40396.32</v>
      </c>
      <c r="E32" s="12">
        <f t="shared" si="3"/>
        <v>-2348.7026199999964</v>
      </c>
      <c r="F32" s="74">
        <f t="shared" si="4"/>
        <v>-5.8141499522728714E-2</v>
      </c>
      <c r="G32" s="75">
        <f>SUM(Jul!G32,Aug!G32,Sep!G32)</f>
        <v>30355.119999999999</v>
      </c>
      <c r="H32" s="75">
        <f>SUM(Jul!H32, Aug!H32, Sep!H32)</f>
        <v>7692.4973800000043</v>
      </c>
      <c r="I32" s="76"/>
    </row>
    <row r="33" spans="1:9" ht="15.75">
      <c r="A33" s="47" t="str">
        <v>NH Rochester - Spaulding HS</v>
      </c>
      <c r="B33" s="10" t="str">
        <v>NH</v>
      </c>
      <c r="C33" s="100">
        <f>SUM(Jul!C33, Aug!C33, Sep!C33)</f>
        <v>19594.5</v>
      </c>
      <c r="D33" s="16">
        <f>SUM(Jul!D33, Aug!D33, Sep!D33)</f>
        <v>16446</v>
      </c>
      <c r="E33" s="16">
        <f t="shared" si="3"/>
        <v>3148.5</v>
      </c>
      <c r="F33" s="99">
        <f t="shared" si="4"/>
        <v>0.19144472820138636</v>
      </c>
      <c r="G33" s="16">
        <f>SUM(Jul!G33,Aug!G33,Sep!G33)</f>
        <v>15033.3</v>
      </c>
      <c r="H33" s="80">
        <f>SUM(Jul!H33, Aug!H33, Sep!H33)</f>
        <v>4561.2000000000007</v>
      </c>
      <c r="I33" s="99">
        <f>IFERROR(H33/G33, "")</f>
        <v>0.30340643770828768</v>
      </c>
    </row>
    <row r="34" spans="1:9" ht="15.75">
      <c r="A34" s="46" t="str">
        <v>NH: Rochester - McClelland ES</v>
      </c>
      <c r="B34" s="9" t="str">
        <v>NH</v>
      </c>
      <c r="C34" s="73">
        <f>SUM(Jul!C34, Aug!C34, Sep!C34)</f>
        <v>13246.875</v>
      </c>
      <c r="D34" s="12">
        <f>SUM(Jul!D34, Aug!D34, Sep!D34)</f>
        <v>13989</v>
      </c>
      <c r="E34" s="12">
        <f t="shared" si="3"/>
        <v>-742.125</v>
      </c>
      <c r="F34" s="74">
        <f t="shared" si="4"/>
        <v>-5.3050611194509975E-2</v>
      </c>
      <c r="G34" s="75">
        <f>SUM(Jul!G34,Aug!G34,Sep!G34)</f>
        <v>9803.6689999999999</v>
      </c>
      <c r="H34" s="75">
        <f>SUM(Jul!H34, Aug!H34, Sep!H34)</f>
        <v>3443.2060000000001</v>
      </c>
      <c r="I34" s="76"/>
    </row>
    <row r="35" spans="1:9" ht="15.75">
      <c r="A35" s="47" t="str">
        <v>NH: Rochester - Brock St Vocational</v>
      </c>
      <c r="B35" s="10" t="str">
        <v>NH</v>
      </c>
      <c r="C35" s="100">
        <f>SUM(Jul!C35, Aug!C35, Sep!C35)</f>
        <v>17978.129069999999</v>
      </c>
      <c r="D35" s="16">
        <f>SUM(Jul!D35, Aug!D35, Sep!D35)</f>
        <v>17518.419999999998</v>
      </c>
      <c r="E35" s="16">
        <f t="shared" si="3"/>
        <v>459.70907000000079</v>
      </c>
      <c r="F35" s="99">
        <f t="shared" si="4"/>
        <v>2.6241468694094605E-2</v>
      </c>
      <c r="G35" s="16">
        <f>SUM(Jul!G35,Aug!G35,Sep!G35)</f>
        <v>13220.3</v>
      </c>
      <c r="H35" s="80">
        <f>SUM(Jul!H35, Aug!H35, Sep!H35)</f>
        <v>4757.8290699999998</v>
      </c>
      <c r="I35" s="99">
        <f>IFERROR(H35/G35, "")</f>
        <v>0.35988813188808122</v>
      </c>
    </row>
    <row r="36" spans="1:9" ht="15.75">
      <c r="A36" s="46" t="str">
        <v>OH: Cleveland - CV Kinsman</v>
      </c>
      <c r="B36" s="9" t="str">
        <v>OH</v>
      </c>
      <c r="C36" s="73">
        <f>SUM(Jul!C36, Aug!C36, Sep!C36)</f>
        <v>714.0703125</v>
      </c>
      <c r="D36" s="12">
        <f>SUM(Jul!D36, Aug!D36, Sep!D36)</f>
        <v>138037.1</v>
      </c>
      <c r="E36" s="12">
        <f t="shared" si="3"/>
        <v>-137323.02968750001</v>
      </c>
      <c r="F36" s="74">
        <f t="shared" si="4"/>
        <v>-0.99482696816652916</v>
      </c>
      <c r="G36" s="75">
        <f>SUM(Jul!G36,Aug!G36,Sep!G36)</f>
        <v>133750</v>
      </c>
      <c r="H36" s="75">
        <f>SUM(Jul!H36, Aug!H36, Sep!H36)</f>
        <v>-133035.9296875</v>
      </c>
      <c r="I36" s="76"/>
    </row>
    <row r="37" spans="1:9" ht="15.75">
      <c r="A37" s="47" t="str">
        <v>OH: Cleveland - CV Wooster</v>
      </c>
      <c r="B37" s="10" t="str">
        <v>OH</v>
      </c>
      <c r="C37" s="100">
        <f>SUM(Jul!C37, Aug!C37, Sep!C37)</f>
        <v>21528</v>
      </c>
      <c r="D37" s="16">
        <f>SUM(Jul!D37, Aug!D37, Sep!D37)</f>
        <v>0</v>
      </c>
      <c r="E37" s="16">
        <f t="shared" si="3"/>
        <v>21528</v>
      </c>
      <c r="F37" s="99" t="str">
        <f t="shared" si="4"/>
        <v/>
      </c>
      <c r="G37" s="16">
        <f>SUM(Jul!G37,Aug!G37,Sep!G37)</f>
        <v>32092</v>
      </c>
      <c r="H37" s="80">
        <f>SUM(Jul!H37, Aug!H37, Sep!H37)</f>
        <v>-10564</v>
      </c>
      <c r="I37" s="99">
        <f>IFERROR(H37/G37, "")</f>
        <v>-0.32917861149196059</v>
      </c>
    </row>
    <row r="38" spans="1:9" ht="15.75">
      <c r="A38" s="46" t="str">
        <v>PR: Aguadilla - Coca Cola</v>
      </c>
      <c r="B38" s="9" t="str">
        <v>PR</v>
      </c>
      <c r="C38" s="73">
        <f>SUM(Jul!C38, Aug!C38, Sep!C38)</f>
        <v>15714</v>
      </c>
      <c r="D38" s="12">
        <f>SUM(Jul!D38, Aug!D38, Sep!D38)</f>
        <v>20085.89</v>
      </c>
      <c r="E38" s="12">
        <f t="shared" si="3"/>
        <v>-4371.8899999999994</v>
      </c>
      <c r="F38" s="74">
        <f t="shared" si="4"/>
        <v>-0.21765976015999289</v>
      </c>
      <c r="G38" s="75">
        <f>SUM(Jul!G38,Aug!G38,Sep!G38)</f>
        <v>23213</v>
      </c>
      <c r="H38" s="75">
        <f>SUM(Jul!H38, Aug!H38, Sep!H38)</f>
        <v>-7499</v>
      </c>
      <c r="I38" s="76"/>
    </row>
    <row r="39" spans="1:9" ht="15.75">
      <c r="A39" s="47" t="str">
        <v>PR: Bayamon - Coca Cola</v>
      </c>
      <c r="B39" s="10" t="str">
        <v>PR</v>
      </c>
      <c r="C39" s="100">
        <f>SUM(Jul!C39, Aug!C39, Sep!C39)</f>
        <v>53577</v>
      </c>
      <c r="D39" s="16">
        <f>SUM(Jul!D39, Aug!D39, Sep!D39)</f>
        <v>82116.61</v>
      </c>
      <c r="E39" s="16">
        <f t="shared" si="3"/>
        <v>-28539.61</v>
      </c>
      <c r="F39" s="99">
        <f t="shared" si="4"/>
        <v>-0.34754978316810692</v>
      </c>
      <c r="G39" s="16">
        <f>SUM(Jul!G39,Aug!G39,Sep!G39)</f>
        <v>86974</v>
      </c>
      <c r="H39" s="80">
        <f>SUM(Jul!H39, Aug!H39, Sep!H39)</f>
        <v>-33397</v>
      </c>
      <c r="I39" s="99">
        <f>IFERROR(H39/G39, "")</f>
        <v>-0.38398831834801206</v>
      </c>
    </row>
    <row r="40" spans="1:9" ht="15.75">
      <c r="A40" s="46" t="str">
        <v>PR: Carolina - St. Francis</v>
      </c>
      <c r="B40" s="9" t="str">
        <v>PR</v>
      </c>
      <c r="C40" s="73">
        <f>SUM(Jul!C40, Aug!C40, Sep!C40)</f>
        <v>18667</v>
      </c>
      <c r="D40" s="12">
        <f>SUM(Jul!D40, Aug!D40, Sep!D40)</f>
        <v>64278.93</v>
      </c>
      <c r="E40" s="12">
        <f t="shared" si="3"/>
        <v>-45611.93</v>
      </c>
      <c r="F40" s="74">
        <f t="shared" si="4"/>
        <v>-0.70959379690981161</v>
      </c>
      <c r="G40" s="75">
        <f>SUM(Jul!G40,Aug!G40,Sep!G40)</f>
        <v>44155</v>
      </c>
      <c r="H40" s="75">
        <f>SUM(Jul!H40, Aug!H40, Sep!H40)</f>
        <v>-25488</v>
      </c>
      <c r="I40" s="76"/>
    </row>
    <row r="41" spans="1:9" ht="15.75">
      <c r="A41" s="47" t="str">
        <v>DC: Washington - Essex Condominium</v>
      </c>
      <c r="B41" s="10" t="str">
        <v>DC</v>
      </c>
      <c r="C41" s="100">
        <f>SUM(Jul!C41, Aug!C41, Sep!C41)</f>
        <v>4372</v>
      </c>
      <c r="D41" s="16">
        <f>SUM(Jul!D41, Aug!D41, Sep!D41)</f>
        <v>5738.8450000000003</v>
      </c>
      <c r="E41" s="16">
        <f t="shared" si="3"/>
        <v>-1366.8450000000003</v>
      </c>
      <c r="F41" s="99">
        <f t="shared" si="4"/>
        <v>-0.23817423192297407</v>
      </c>
      <c r="G41" s="16">
        <f>SUM(Jul!G41,Aug!G41,Sep!G41)</f>
        <v>5313.9589999999998</v>
      </c>
      <c r="H41" s="80">
        <f>SUM(Jul!H41, Aug!H41, Sep!H41)</f>
        <v>-941.95899999999983</v>
      </c>
      <c r="I41" s="99">
        <f>IFERROR(H41/G41, "")</f>
        <v>-0.17726124721699957</v>
      </c>
    </row>
    <row r="42" spans="1:9" ht="15.75">
      <c r="A42" s="46" t="str">
        <v>DC: Chevy Chase -Sinai</v>
      </c>
      <c r="B42" s="9" t="str">
        <v>DC</v>
      </c>
      <c r="C42" s="73">
        <f>SUM(Jul!C42, Aug!C42, Sep!C42)</f>
        <v>10028.8199999999</v>
      </c>
      <c r="D42" s="12">
        <f>SUM(Jul!D42, Aug!D42, Sep!D42)</f>
        <v>14969.03</v>
      </c>
      <c r="E42" s="12">
        <f t="shared" si="3"/>
        <v>-4940.210000000101</v>
      </c>
      <c r="F42" s="74">
        <f t="shared" si="4"/>
        <v>-0.33002873265669858</v>
      </c>
      <c r="G42" s="75">
        <f>SUM(Jul!G42,Aug!G42,Sep!G42)</f>
        <v>12371.16</v>
      </c>
      <c r="H42" s="75">
        <f>SUM(Jul!H42, Aug!H42, Sep!H42)</f>
        <v>-2342.3400000001002</v>
      </c>
      <c r="I42" s="76"/>
    </row>
    <row r="43" spans="1:9" ht="15.75">
      <c r="A43" s="47" t="str">
        <v>DC: Washington - Weinberg 1</v>
      </c>
      <c r="B43" s="10" t="str">
        <v>DC</v>
      </c>
      <c r="C43" s="100">
        <f>SUM(Jul!C43, Aug!C43, Sep!C43)</f>
        <v>1770</v>
      </c>
      <c r="D43" s="16">
        <f>SUM(Jul!D43, Aug!D43, Sep!D43)</f>
        <v>1824.1030000000001</v>
      </c>
      <c r="E43" s="16">
        <f t="shared" si="3"/>
        <v>-54.103000000000065</v>
      </c>
      <c r="F43" s="99">
        <f t="shared" si="4"/>
        <v>-2.9660057573503287E-2</v>
      </c>
      <c r="G43" s="16">
        <f>SUM(Jul!G43,Aug!G43,Sep!G43)</f>
        <v>1843.51</v>
      </c>
      <c r="H43" s="80">
        <f>SUM(Jul!H43, Aug!H43, Sep!H43)</f>
        <v>-73.509999999999991</v>
      </c>
      <c r="I43" s="99">
        <f>IFERROR(H43/G43, "")</f>
        <v>-3.9875021019685271E-2</v>
      </c>
    </row>
    <row r="44" spans="1:9" ht="15.75">
      <c r="A44" s="46" t="str">
        <v>DC: Washington - Weinberg 2</v>
      </c>
      <c r="B44" s="9" t="str">
        <v>DC</v>
      </c>
      <c r="C44" s="73">
        <f>SUM(Jul!C44, Aug!C44, Sep!C44)</f>
        <v>1604</v>
      </c>
      <c r="D44" s="12">
        <f>SUM(Jul!D44, Aug!D44, Sep!D44)</f>
        <v>1599.9059999999999</v>
      </c>
      <c r="E44" s="12">
        <f t="shared" si="3"/>
        <v>4.0940000000000509</v>
      </c>
      <c r="F44" s="74">
        <f t="shared" si="4"/>
        <v>2.5589003353947365E-3</v>
      </c>
      <c r="G44" s="75">
        <f>SUM(Jul!G44,Aug!G44,Sep!G44)</f>
        <v>1860.7560000000001</v>
      </c>
      <c r="H44" s="75">
        <f>SUM(Jul!H44, Aug!H44, Sep!H44)</f>
        <v>-256.75600000000009</v>
      </c>
      <c r="I44" s="76"/>
    </row>
    <row r="45" spans="1:9" ht="15.75">
      <c r="A45" s="47" t="str">
        <v>DC: Washington - Weinberg 3</v>
      </c>
      <c r="B45" s="10" t="str">
        <v>DC</v>
      </c>
      <c r="C45" s="100">
        <f>SUM(Jul!C45, Aug!C45, Sep!C45)</f>
        <v>1948</v>
      </c>
      <c r="D45" s="16">
        <f>SUM(Jul!D45, Aug!D45, Sep!D45)</f>
        <v>1836.37</v>
      </c>
      <c r="E45" s="16">
        <f t="shared" si="3"/>
        <v>111.63000000000011</v>
      </c>
      <c r="F45" s="99">
        <f t="shared" si="4"/>
        <v>6.0788403208503795E-2</v>
      </c>
      <c r="G45" s="16">
        <f>SUM(Jul!G45,Aug!G45,Sep!G45)</f>
        <v>1942</v>
      </c>
      <c r="H45" s="80">
        <f>SUM(Jul!H45, Aug!H45, Sep!H45)</f>
        <v>6</v>
      </c>
      <c r="I45" s="99">
        <f>IFERROR(H45/G45, "")</f>
        <v>3.089598352214212E-3</v>
      </c>
    </row>
    <row r="46" spans="1:9" ht="13.15">
      <c r="A46" s="19"/>
      <c r="B46" s="19"/>
      <c r="C46" s="19"/>
      <c r="D46" s="19"/>
      <c r="E46" s="19"/>
      <c r="F46" s="20"/>
      <c r="G46" s="19"/>
      <c r="H46" s="19"/>
      <c r="I46" s="20"/>
    </row>
    <row r="47" spans="1:9" ht="13.15">
      <c r="A47" s="19"/>
      <c r="B47" s="19"/>
      <c r="C47" s="19"/>
      <c r="D47" s="19"/>
      <c r="E47" s="19"/>
      <c r="F47" s="20"/>
      <c r="G47" s="19"/>
      <c r="H47" s="19"/>
      <c r="I47" s="20"/>
    </row>
    <row r="48" spans="1:9" ht="13.15">
      <c r="A48" s="19"/>
      <c r="B48" s="19"/>
      <c r="C48" s="19"/>
      <c r="D48" s="19"/>
      <c r="E48" s="19"/>
      <c r="F48" s="20"/>
      <c r="G48" s="19"/>
      <c r="H48" s="19"/>
      <c r="I48" s="20"/>
    </row>
    <row r="49" spans="1:9" ht="13.15">
      <c r="A49" s="19"/>
      <c r="B49" s="19"/>
      <c r="C49" s="19"/>
      <c r="D49" s="19"/>
      <c r="E49" s="19"/>
      <c r="F49" s="20"/>
      <c r="G49" s="19"/>
      <c r="H49" s="19"/>
      <c r="I49" s="20"/>
    </row>
    <row r="50" spans="1:9" ht="13.15">
      <c r="A50" s="19"/>
      <c r="B50" s="19"/>
      <c r="C50" s="19"/>
      <c r="D50" s="19"/>
      <c r="E50" s="19"/>
      <c r="F50" s="20"/>
      <c r="G50" s="19"/>
      <c r="H50" s="19"/>
      <c r="I50" s="20"/>
    </row>
    <row r="51" spans="1:9" ht="13.15">
      <c r="A51" s="19"/>
      <c r="B51" s="19"/>
      <c r="C51" s="19"/>
      <c r="D51" s="19"/>
      <c r="E51" s="19"/>
      <c r="F51" s="20"/>
      <c r="G51" s="19"/>
      <c r="H51" s="19"/>
      <c r="I51" s="20"/>
    </row>
    <row r="52" spans="1:9" ht="13.15">
      <c r="A52" s="19"/>
      <c r="B52" s="19"/>
      <c r="C52" s="19"/>
      <c r="D52" s="19"/>
      <c r="E52" s="19"/>
      <c r="F52" s="20"/>
      <c r="G52" s="19"/>
      <c r="H52" s="19"/>
      <c r="I52" s="20"/>
    </row>
    <row r="53" spans="1:9" ht="13.15">
      <c r="A53" s="19"/>
      <c r="B53" s="19"/>
      <c r="C53" s="19"/>
      <c r="D53" s="19"/>
      <c r="E53" s="19"/>
      <c r="F53" s="20"/>
      <c r="G53" s="19"/>
      <c r="H53" s="19"/>
      <c r="I53" s="20"/>
    </row>
    <row r="54" spans="1:9" ht="13.15">
      <c r="A54" s="19"/>
      <c r="B54" s="19"/>
      <c r="C54" s="19"/>
      <c r="D54" s="19"/>
      <c r="E54" s="19"/>
      <c r="F54" s="20"/>
      <c r="G54" s="19"/>
      <c r="H54" s="19"/>
      <c r="I54" s="20"/>
    </row>
    <row r="55" spans="1:9" ht="13.15">
      <c r="A55" s="19"/>
      <c r="B55" s="19"/>
      <c r="C55" s="19"/>
      <c r="D55" s="19"/>
      <c r="E55" s="19"/>
      <c r="F55" s="20"/>
      <c r="G55" s="19"/>
      <c r="H55" s="19"/>
      <c r="I55" s="20"/>
    </row>
    <row r="56" spans="1:9" ht="13.15">
      <c r="A56" s="19"/>
      <c r="B56" s="19"/>
      <c r="C56" s="19"/>
      <c r="D56" s="19"/>
      <c r="E56" s="19"/>
      <c r="F56" s="20"/>
      <c r="G56" s="19"/>
      <c r="H56" s="19"/>
      <c r="I56" s="20"/>
    </row>
    <row r="57" spans="1:9" ht="13.15">
      <c r="A57" s="19"/>
      <c r="B57" s="19"/>
      <c r="C57" s="19"/>
      <c r="D57" s="19"/>
      <c r="E57" s="19"/>
      <c r="F57" s="20"/>
      <c r="G57" s="19"/>
      <c r="H57" s="19"/>
      <c r="I57" s="20"/>
    </row>
    <row r="58" spans="1:9" ht="13.15">
      <c r="A58" s="19"/>
      <c r="B58" s="19"/>
      <c r="C58" s="19"/>
      <c r="D58" s="19"/>
      <c r="E58" s="19"/>
      <c r="F58" s="20"/>
      <c r="G58" s="19"/>
      <c r="H58" s="19"/>
      <c r="I58" s="20"/>
    </row>
    <row r="59" spans="1:9" ht="13.15">
      <c r="A59" s="19"/>
      <c r="B59" s="19"/>
      <c r="C59" s="19"/>
      <c r="D59" s="19"/>
      <c r="E59" s="19"/>
      <c r="F59" s="20"/>
      <c r="G59" s="19"/>
      <c r="H59" s="19"/>
      <c r="I59" s="20"/>
    </row>
    <row r="60" spans="1:9" ht="13.15">
      <c r="A60" s="19"/>
      <c r="B60" s="19"/>
      <c r="C60" s="19"/>
      <c r="D60" s="19"/>
      <c r="E60" s="19"/>
      <c r="F60" s="20"/>
      <c r="G60" s="19"/>
      <c r="H60" s="19"/>
      <c r="I60" s="20"/>
    </row>
    <row r="61" spans="1:9" ht="13.15">
      <c r="A61" s="19"/>
      <c r="B61" s="19"/>
      <c r="C61" s="19"/>
      <c r="D61" s="19"/>
      <c r="E61" s="19"/>
      <c r="F61" s="20"/>
      <c r="G61" s="19"/>
      <c r="H61" s="19"/>
      <c r="I61" s="20"/>
    </row>
    <row r="62" spans="1:9" ht="13.15">
      <c r="A62" s="19"/>
      <c r="B62" s="19"/>
      <c r="C62" s="19"/>
      <c r="D62" s="19"/>
      <c r="E62" s="19"/>
      <c r="F62" s="20"/>
      <c r="G62" s="19"/>
      <c r="H62" s="19"/>
      <c r="I62" s="20"/>
    </row>
    <row r="63" spans="1:9" ht="13.15">
      <c r="A63" s="19"/>
      <c r="B63" s="19"/>
      <c r="C63" s="19"/>
      <c r="D63" s="19"/>
      <c r="E63" s="19"/>
      <c r="F63" s="20"/>
      <c r="G63" s="19"/>
      <c r="H63" s="19"/>
      <c r="I63" s="20"/>
    </row>
    <row r="64" spans="1:9" ht="13.15">
      <c r="A64" s="19"/>
      <c r="B64" s="19"/>
      <c r="C64" s="19"/>
      <c r="D64" s="19"/>
      <c r="E64" s="19"/>
      <c r="F64" s="20"/>
      <c r="G64" s="19"/>
      <c r="H64" s="19"/>
      <c r="I64" s="20"/>
    </row>
    <row r="65" spans="1:9" ht="13.15">
      <c r="A65" s="19"/>
      <c r="B65" s="19"/>
      <c r="C65" s="19"/>
      <c r="D65" s="19"/>
      <c r="E65" s="19"/>
      <c r="F65" s="20"/>
      <c r="G65" s="19"/>
      <c r="H65" s="19"/>
      <c r="I65" s="20"/>
    </row>
    <row r="66" spans="1:9" ht="13.15">
      <c r="A66" s="19"/>
      <c r="B66" s="19"/>
      <c r="C66" s="19"/>
      <c r="D66" s="19"/>
      <c r="E66" s="19"/>
      <c r="F66" s="20"/>
      <c r="G66" s="19"/>
      <c r="H66" s="19"/>
      <c r="I66" s="20"/>
    </row>
    <row r="67" spans="1:9" ht="13.15">
      <c r="A67" s="19"/>
      <c r="B67" s="19"/>
      <c r="C67" s="19"/>
      <c r="D67" s="19"/>
      <c r="E67" s="19"/>
      <c r="F67" s="20"/>
      <c r="G67" s="19"/>
      <c r="H67" s="19"/>
      <c r="I67" s="20"/>
    </row>
    <row r="68" spans="1:9" ht="13.15">
      <c r="A68" s="19"/>
      <c r="B68" s="19"/>
      <c r="C68" s="19"/>
      <c r="D68" s="19"/>
      <c r="E68" s="19"/>
      <c r="F68" s="20"/>
      <c r="G68" s="19"/>
      <c r="H68" s="19"/>
      <c r="I68" s="20"/>
    </row>
    <row r="69" spans="1:9" ht="13.15">
      <c r="A69" s="19"/>
      <c r="B69" s="19"/>
      <c r="C69" s="19"/>
      <c r="D69" s="19"/>
      <c r="E69" s="19"/>
      <c r="F69" s="20"/>
      <c r="G69" s="19"/>
      <c r="H69" s="19"/>
      <c r="I69" s="20"/>
    </row>
    <row r="70" spans="1:9" ht="13.15">
      <c r="A70" s="19"/>
      <c r="B70" s="19"/>
      <c r="C70" s="19"/>
      <c r="D70" s="19"/>
      <c r="E70" s="19"/>
      <c r="F70" s="20"/>
      <c r="G70" s="19"/>
      <c r="H70" s="19"/>
      <c r="I70" s="20"/>
    </row>
    <row r="71" spans="1:9" ht="13.15">
      <c r="A71" s="19"/>
      <c r="B71" s="19"/>
      <c r="C71" s="19"/>
      <c r="D71" s="19"/>
      <c r="E71" s="19"/>
      <c r="F71" s="20"/>
      <c r="G71" s="19"/>
      <c r="H71" s="19"/>
      <c r="I71" s="20"/>
    </row>
    <row r="72" spans="1:9" ht="13.15">
      <c r="A72" s="19"/>
      <c r="B72" s="19"/>
      <c r="C72" s="19"/>
      <c r="D72" s="19"/>
      <c r="E72" s="19"/>
      <c r="F72" s="20"/>
      <c r="G72" s="19"/>
      <c r="H72" s="19"/>
      <c r="I72" s="20"/>
    </row>
    <row r="73" spans="1:9" ht="13.15">
      <c r="A73" s="19"/>
      <c r="B73" s="19"/>
      <c r="C73" s="19"/>
      <c r="D73" s="19"/>
      <c r="E73" s="19"/>
      <c r="F73" s="20"/>
      <c r="G73" s="19"/>
      <c r="H73" s="19"/>
      <c r="I73" s="20"/>
    </row>
    <row r="74" spans="1:9" ht="13.15">
      <c r="A74" s="19"/>
      <c r="B74" s="19"/>
      <c r="C74" s="19"/>
      <c r="D74" s="19"/>
      <c r="E74" s="19"/>
      <c r="F74" s="20"/>
      <c r="G74" s="19"/>
      <c r="H74" s="19"/>
      <c r="I74" s="20"/>
    </row>
    <row r="75" spans="1:9" ht="13.15">
      <c r="A75" s="19"/>
      <c r="B75" s="19"/>
      <c r="C75" s="19"/>
      <c r="D75" s="19"/>
      <c r="E75" s="19"/>
      <c r="F75" s="20"/>
      <c r="G75" s="19"/>
      <c r="H75" s="19"/>
      <c r="I75" s="20"/>
    </row>
    <row r="76" spans="1:9" ht="13.15">
      <c r="A76" s="19"/>
      <c r="B76" s="19"/>
      <c r="C76" s="19"/>
      <c r="D76" s="19"/>
      <c r="E76" s="19"/>
      <c r="F76" s="20"/>
      <c r="G76" s="19"/>
      <c r="H76" s="19"/>
      <c r="I76" s="20"/>
    </row>
    <row r="77" spans="1:9" ht="13.15">
      <c r="A77" s="19"/>
      <c r="B77" s="19"/>
      <c r="C77" s="19"/>
      <c r="D77" s="19"/>
      <c r="E77" s="19"/>
      <c r="F77" s="20"/>
      <c r="G77" s="19"/>
      <c r="H77" s="19"/>
      <c r="I77" s="20"/>
    </row>
    <row r="78" spans="1:9" ht="13.15">
      <c r="A78" s="19"/>
      <c r="B78" s="19"/>
      <c r="C78" s="19"/>
      <c r="D78" s="19"/>
      <c r="E78" s="19"/>
      <c r="F78" s="20"/>
      <c r="G78" s="19"/>
      <c r="H78" s="19"/>
      <c r="I78" s="20"/>
    </row>
    <row r="79" spans="1:9" ht="13.15">
      <c r="A79" s="19"/>
      <c r="B79" s="19"/>
      <c r="C79" s="19"/>
      <c r="D79" s="19"/>
      <c r="E79" s="19"/>
      <c r="F79" s="20"/>
      <c r="G79" s="19"/>
      <c r="H79" s="19"/>
      <c r="I79" s="20"/>
    </row>
    <row r="80" spans="1:9" ht="13.15">
      <c r="A80" s="19"/>
      <c r="B80" s="19"/>
      <c r="C80" s="19"/>
      <c r="D80" s="19"/>
      <c r="E80" s="19"/>
      <c r="F80" s="20"/>
      <c r="G80" s="19"/>
      <c r="H80" s="19"/>
      <c r="I80" s="20"/>
    </row>
    <row r="81" spans="1:9" ht="13.15">
      <c r="A81" s="19"/>
      <c r="B81" s="19"/>
      <c r="C81" s="19"/>
      <c r="D81" s="19"/>
      <c r="E81" s="19"/>
      <c r="F81" s="20"/>
      <c r="G81" s="19"/>
      <c r="H81" s="19"/>
      <c r="I81" s="20"/>
    </row>
    <row r="82" spans="1:9" ht="13.15">
      <c r="A82" s="19"/>
      <c r="B82" s="19"/>
      <c r="C82" s="19"/>
      <c r="D82" s="19"/>
      <c r="E82" s="19"/>
      <c r="F82" s="20"/>
      <c r="G82" s="19"/>
      <c r="H82" s="19"/>
      <c r="I82" s="20"/>
    </row>
    <row r="83" spans="1:9" ht="13.15">
      <c r="A83" s="19"/>
      <c r="B83" s="19"/>
      <c r="C83" s="19"/>
      <c r="D83" s="19"/>
      <c r="E83" s="19"/>
      <c r="F83" s="20"/>
      <c r="G83" s="19"/>
      <c r="H83" s="19"/>
      <c r="I83" s="20"/>
    </row>
    <row r="84" spans="1:9" ht="13.15">
      <c r="A84" s="19"/>
      <c r="B84" s="19"/>
      <c r="C84" s="19"/>
      <c r="D84" s="19"/>
      <c r="E84" s="19"/>
      <c r="F84" s="20"/>
      <c r="G84" s="19"/>
      <c r="H84" s="19"/>
      <c r="I84" s="20"/>
    </row>
    <row r="85" spans="1:9" ht="13.15">
      <c r="A85" s="19"/>
      <c r="B85" s="19"/>
      <c r="C85" s="19"/>
      <c r="D85" s="19"/>
      <c r="E85" s="19"/>
      <c r="F85" s="20"/>
      <c r="G85" s="19"/>
      <c r="H85" s="19"/>
      <c r="I85" s="20"/>
    </row>
    <row r="86" spans="1:9" ht="13.15">
      <c r="A86" s="19"/>
      <c r="B86" s="19"/>
      <c r="C86" s="19"/>
      <c r="D86" s="19"/>
      <c r="E86" s="19"/>
      <c r="F86" s="20"/>
      <c r="G86" s="19"/>
      <c r="H86" s="19"/>
      <c r="I86" s="20"/>
    </row>
    <row r="87" spans="1:9" ht="13.15">
      <c r="A87" s="19"/>
      <c r="B87" s="19"/>
      <c r="C87" s="19"/>
      <c r="D87" s="19"/>
      <c r="E87" s="19"/>
      <c r="F87" s="20"/>
      <c r="G87" s="19"/>
      <c r="H87" s="19"/>
      <c r="I87" s="20"/>
    </row>
    <row r="88" spans="1:9" ht="13.15">
      <c r="A88" s="19"/>
      <c r="B88" s="19"/>
      <c r="C88" s="19"/>
      <c r="D88" s="19"/>
      <c r="E88" s="19"/>
      <c r="F88" s="20"/>
      <c r="G88" s="19"/>
      <c r="H88" s="19"/>
      <c r="I88" s="20"/>
    </row>
    <row r="89" spans="1:9" ht="13.15">
      <c r="A89" s="19"/>
      <c r="B89" s="19"/>
      <c r="C89" s="19"/>
      <c r="D89" s="19"/>
      <c r="E89" s="19"/>
      <c r="F89" s="20"/>
      <c r="G89" s="19"/>
      <c r="H89" s="19"/>
      <c r="I89" s="20"/>
    </row>
    <row r="90" spans="1:9" ht="13.15">
      <c r="A90" s="19"/>
      <c r="B90" s="19"/>
      <c r="C90" s="19"/>
      <c r="D90" s="19"/>
      <c r="E90" s="19"/>
      <c r="F90" s="20"/>
      <c r="G90" s="19"/>
      <c r="H90" s="19"/>
      <c r="I90" s="20"/>
    </row>
    <row r="91" spans="1:9" ht="13.15">
      <c r="A91" s="19"/>
      <c r="B91" s="19"/>
      <c r="C91" s="19"/>
      <c r="D91" s="19"/>
      <c r="E91" s="19"/>
      <c r="F91" s="20"/>
      <c r="G91" s="19"/>
      <c r="H91" s="19"/>
      <c r="I91" s="20"/>
    </row>
    <row r="92" spans="1:9" ht="13.15">
      <c r="A92" s="19"/>
      <c r="B92" s="19"/>
      <c r="C92" s="19"/>
      <c r="D92" s="19"/>
      <c r="E92" s="19"/>
      <c r="F92" s="20"/>
      <c r="G92" s="19"/>
      <c r="H92" s="19"/>
      <c r="I92" s="20"/>
    </row>
    <row r="93" spans="1:9" ht="13.15">
      <c r="A93" s="19"/>
      <c r="B93" s="19"/>
      <c r="C93" s="19"/>
      <c r="D93" s="19"/>
      <c r="E93" s="19"/>
      <c r="F93" s="20"/>
      <c r="G93" s="19"/>
      <c r="H93" s="19"/>
      <c r="I93" s="20"/>
    </row>
    <row r="94" spans="1:9" ht="13.15">
      <c r="A94" s="19"/>
      <c r="B94" s="19"/>
      <c r="C94" s="19"/>
      <c r="D94" s="19"/>
      <c r="E94" s="19"/>
      <c r="F94" s="20"/>
      <c r="G94" s="19"/>
      <c r="H94" s="19"/>
      <c r="I94" s="20"/>
    </row>
    <row r="95" spans="1:9" ht="13.15">
      <c r="A95" s="19"/>
      <c r="B95" s="19"/>
      <c r="C95" s="19"/>
      <c r="D95" s="19"/>
      <c r="E95" s="19"/>
      <c r="F95" s="20"/>
      <c r="G95" s="19"/>
      <c r="H95" s="19"/>
      <c r="I95" s="20"/>
    </row>
    <row r="96" spans="1:9" ht="13.15">
      <c r="A96" s="19"/>
      <c r="B96" s="19"/>
      <c r="C96" s="19"/>
      <c r="D96" s="19"/>
      <c r="E96" s="19"/>
      <c r="F96" s="20"/>
      <c r="G96" s="19"/>
      <c r="H96" s="19"/>
      <c r="I96" s="20"/>
    </row>
    <row r="97" spans="1:9" ht="13.15">
      <c r="A97" s="19"/>
      <c r="B97" s="19"/>
      <c r="C97" s="19"/>
      <c r="D97" s="19"/>
      <c r="E97" s="19"/>
      <c r="F97" s="20"/>
      <c r="G97" s="19"/>
      <c r="H97" s="19"/>
      <c r="I97" s="20"/>
    </row>
    <row r="98" spans="1:9" ht="13.15">
      <c r="A98" s="19"/>
      <c r="B98" s="19"/>
      <c r="C98" s="19"/>
      <c r="D98" s="19"/>
      <c r="E98" s="19"/>
      <c r="F98" s="20"/>
      <c r="G98" s="19"/>
      <c r="H98" s="19"/>
      <c r="I98" s="20"/>
    </row>
    <row r="99" spans="1:9" ht="13.15">
      <c r="A99" s="19"/>
      <c r="B99" s="19"/>
      <c r="C99" s="19"/>
      <c r="D99" s="19"/>
      <c r="E99" s="19"/>
      <c r="F99" s="20"/>
      <c r="G99" s="19"/>
      <c r="H99" s="19"/>
      <c r="I99" s="20"/>
    </row>
    <row r="100" spans="1:9" ht="13.15">
      <c r="A100" s="19"/>
      <c r="B100" s="19"/>
      <c r="C100" s="19"/>
      <c r="D100" s="19"/>
      <c r="E100" s="19"/>
      <c r="F100" s="20"/>
      <c r="G100" s="19"/>
      <c r="H100" s="19"/>
      <c r="I100" s="20"/>
    </row>
    <row r="101" spans="1:9" ht="13.15">
      <c r="A101" s="19"/>
      <c r="B101" s="19"/>
      <c r="C101" s="19"/>
      <c r="D101" s="19"/>
      <c r="E101" s="19"/>
      <c r="F101" s="20"/>
      <c r="G101" s="19"/>
      <c r="H101" s="19"/>
      <c r="I101" s="20"/>
    </row>
    <row r="102" spans="1:9" ht="13.15">
      <c r="A102" s="19"/>
      <c r="B102" s="19"/>
      <c r="C102" s="19"/>
      <c r="D102" s="19"/>
      <c r="E102" s="19"/>
      <c r="F102" s="20"/>
      <c r="G102" s="19"/>
      <c r="H102" s="19"/>
      <c r="I102" s="20"/>
    </row>
    <row r="103" spans="1:9" ht="13.15">
      <c r="A103" s="19"/>
      <c r="B103" s="19"/>
      <c r="C103" s="19"/>
      <c r="D103" s="19"/>
      <c r="E103" s="19"/>
      <c r="F103" s="20"/>
      <c r="G103" s="19"/>
      <c r="H103" s="19"/>
      <c r="I103" s="20"/>
    </row>
    <row r="104" spans="1:9" ht="13.15">
      <c r="A104" s="19"/>
      <c r="B104" s="19"/>
      <c r="C104" s="19"/>
      <c r="D104" s="19"/>
      <c r="E104" s="19"/>
      <c r="F104" s="20"/>
      <c r="G104" s="19"/>
      <c r="H104" s="19"/>
      <c r="I104" s="20"/>
    </row>
    <row r="105" spans="1:9" ht="13.15">
      <c r="A105" s="19"/>
      <c r="B105" s="19"/>
      <c r="C105" s="19"/>
      <c r="D105" s="19"/>
      <c r="E105" s="19"/>
      <c r="F105" s="20"/>
      <c r="G105" s="19"/>
      <c r="H105" s="19"/>
      <c r="I105" s="20"/>
    </row>
    <row r="106" spans="1:9" ht="13.15">
      <c r="A106" s="19"/>
      <c r="B106" s="19"/>
      <c r="C106" s="19"/>
      <c r="D106" s="19"/>
      <c r="E106" s="19"/>
      <c r="F106" s="20"/>
      <c r="G106" s="19"/>
      <c r="H106" s="19"/>
      <c r="I106" s="20"/>
    </row>
    <row r="107" spans="1:9" ht="13.15">
      <c r="A107" s="19"/>
      <c r="B107" s="19"/>
      <c r="C107" s="19"/>
      <c r="D107" s="19"/>
      <c r="E107" s="19"/>
      <c r="F107" s="20"/>
      <c r="G107" s="19"/>
      <c r="H107" s="19"/>
      <c r="I107" s="20"/>
    </row>
    <row r="108" spans="1:9" ht="13.15">
      <c r="A108" s="19"/>
      <c r="B108" s="19"/>
      <c r="C108" s="19"/>
      <c r="D108" s="19"/>
      <c r="E108" s="19"/>
      <c r="F108" s="20"/>
      <c r="G108" s="19"/>
      <c r="H108" s="19"/>
      <c r="I108" s="20"/>
    </row>
    <row r="109" spans="1:9" ht="13.15">
      <c r="A109" s="19"/>
      <c r="B109" s="19"/>
      <c r="C109" s="19"/>
      <c r="D109" s="19"/>
      <c r="E109" s="19"/>
      <c r="F109" s="20"/>
      <c r="G109" s="19"/>
      <c r="H109" s="19"/>
      <c r="I109" s="20"/>
    </row>
    <row r="110" spans="1:9" ht="13.15">
      <c r="A110" s="19"/>
      <c r="B110" s="19"/>
      <c r="C110" s="19"/>
      <c r="D110" s="19"/>
      <c r="E110" s="19"/>
      <c r="F110" s="20"/>
      <c r="G110" s="19"/>
      <c r="H110" s="19"/>
      <c r="I110" s="20"/>
    </row>
    <row r="111" spans="1:9" ht="13.15">
      <c r="A111" s="19"/>
      <c r="B111" s="19"/>
      <c r="C111" s="19"/>
      <c r="D111" s="19"/>
      <c r="E111" s="19"/>
      <c r="F111" s="20"/>
      <c r="G111" s="19"/>
      <c r="H111" s="19"/>
      <c r="I111" s="20"/>
    </row>
    <row r="112" spans="1:9" ht="13.15">
      <c r="A112" s="19"/>
      <c r="B112" s="19"/>
      <c r="C112" s="19"/>
      <c r="D112" s="19"/>
      <c r="E112" s="19"/>
      <c r="F112" s="20"/>
      <c r="G112" s="19"/>
      <c r="H112" s="19"/>
      <c r="I112" s="20"/>
    </row>
    <row r="113" spans="1:9" ht="13.15">
      <c r="A113" s="19"/>
      <c r="B113" s="19"/>
      <c r="C113" s="19"/>
      <c r="D113" s="19"/>
      <c r="E113" s="19"/>
      <c r="F113" s="20"/>
      <c r="G113" s="19"/>
      <c r="H113" s="19"/>
      <c r="I113" s="20"/>
    </row>
    <row r="114" spans="1:9" ht="13.15">
      <c r="A114" s="19"/>
      <c r="B114" s="19"/>
      <c r="C114" s="19"/>
      <c r="D114" s="19"/>
      <c r="E114" s="19"/>
      <c r="F114" s="20"/>
      <c r="G114" s="19"/>
      <c r="H114" s="19"/>
      <c r="I114" s="20"/>
    </row>
    <row r="115" spans="1:9" ht="13.15">
      <c r="A115" s="19"/>
      <c r="B115" s="19"/>
      <c r="C115" s="19"/>
      <c r="D115" s="19"/>
      <c r="E115" s="19"/>
      <c r="F115" s="20"/>
      <c r="G115" s="19"/>
      <c r="H115" s="19"/>
      <c r="I115" s="20"/>
    </row>
    <row r="116" spans="1:9" ht="13.15">
      <c r="A116" s="19"/>
      <c r="B116" s="19"/>
      <c r="C116" s="19"/>
      <c r="D116" s="19"/>
      <c r="E116" s="19"/>
      <c r="F116" s="20"/>
      <c r="G116" s="19"/>
      <c r="H116" s="19"/>
      <c r="I116" s="20"/>
    </row>
    <row r="117" spans="1:9" ht="13.15">
      <c r="A117" s="19"/>
      <c r="B117" s="19"/>
      <c r="C117" s="19"/>
      <c r="D117" s="19"/>
      <c r="E117" s="19"/>
      <c r="F117" s="20"/>
      <c r="G117" s="19"/>
      <c r="H117" s="19"/>
      <c r="I117" s="20"/>
    </row>
    <row r="118" spans="1:9" ht="13.15">
      <c r="A118" s="19"/>
      <c r="B118" s="19"/>
      <c r="C118" s="19"/>
      <c r="D118" s="19"/>
      <c r="E118" s="19"/>
      <c r="F118" s="20"/>
      <c r="G118" s="19"/>
      <c r="H118" s="19"/>
      <c r="I118" s="20"/>
    </row>
    <row r="119" spans="1:9" ht="13.15">
      <c r="A119" s="19"/>
      <c r="B119" s="19"/>
      <c r="C119" s="19"/>
      <c r="D119" s="19"/>
      <c r="E119" s="19"/>
      <c r="F119" s="20"/>
      <c r="G119" s="19"/>
      <c r="H119" s="19"/>
      <c r="I119" s="20"/>
    </row>
    <row r="120" spans="1:9" ht="13.15">
      <c r="A120" s="19"/>
      <c r="B120" s="19"/>
      <c r="C120" s="19"/>
      <c r="D120" s="19"/>
      <c r="E120" s="19"/>
      <c r="F120" s="20"/>
      <c r="G120" s="19"/>
      <c r="H120" s="19"/>
      <c r="I120" s="20"/>
    </row>
    <row r="121" spans="1:9" ht="13.15">
      <c r="A121" s="19"/>
      <c r="B121" s="19"/>
      <c r="C121" s="19"/>
      <c r="D121" s="19"/>
      <c r="E121" s="19"/>
      <c r="F121" s="20"/>
      <c r="G121" s="19"/>
      <c r="H121" s="19"/>
      <c r="I121" s="20"/>
    </row>
    <row r="122" spans="1:9" ht="13.15">
      <c r="A122" s="19"/>
      <c r="B122" s="19"/>
      <c r="C122" s="19"/>
      <c r="D122" s="19"/>
      <c r="E122" s="19"/>
      <c r="F122" s="20"/>
      <c r="G122" s="19"/>
      <c r="H122" s="19"/>
      <c r="I122" s="20"/>
    </row>
    <row r="123" spans="1:9" ht="13.15">
      <c r="A123" s="19"/>
      <c r="B123" s="19"/>
      <c r="C123" s="19"/>
      <c r="D123" s="19"/>
      <c r="E123" s="19"/>
      <c r="F123" s="20"/>
      <c r="G123" s="19"/>
      <c r="H123" s="19"/>
      <c r="I123" s="20"/>
    </row>
    <row r="124" spans="1:9" ht="13.15">
      <c r="A124" s="19"/>
      <c r="B124" s="19"/>
      <c r="C124" s="19"/>
      <c r="D124" s="19"/>
      <c r="E124" s="19"/>
      <c r="F124" s="20"/>
      <c r="G124" s="19"/>
      <c r="H124" s="19"/>
      <c r="I124" s="20"/>
    </row>
    <row r="125" spans="1:9" ht="13.15">
      <c r="A125" s="19"/>
      <c r="B125" s="19"/>
      <c r="C125" s="19"/>
      <c r="D125" s="19"/>
      <c r="E125" s="19"/>
      <c r="F125" s="20"/>
      <c r="G125" s="19"/>
      <c r="H125" s="19"/>
      <c r="I125" s="20"/>
    </row>
    <row r="126" spans="1:9" ht="13.15">
      <c r="A126" s="19"/>
      <c r="B126" s="19"/>
      <c r="C126" s="19"/>
      <c r="D126" s="19"/>
      <c r="E126" s="19"/>
      <c r="F126" s="20"/>
      <c r="G126" s="19"/>
      <c r="H126" s="19"/>
      <c r="I126" s="20"/>
    </row>
    <row r="127" spans="1:9" ht="13.15">
      <c r="A127" s="19"/>
      <c r="B127" s="19"/>
      <c r="C127" s="19"/>
      <c r="D127" s="19"/>
      <c r="E127" s="19"/>
      <c r="F127" s="20"/>
      <c r="G127" s="19"/>
      <c r="H127" s="19"/>
      <c r="I127" s="20"/>
    </row>
    <row r="128" spans="1:9" ht="13.15">
      <c r="A128" s="19"/>
      <c r="B128" s="19"/>
      <c r="C128" s="19"/>
      <c r="D128" s="19"/>
      <c r="E128" s="19"/>
      <c r="F128" s="20"/>
      <c r="G128" s="19"/>
      <c r="H128" s="19"/>
      <c r="I128" s="20"/>
    </row>
    <row r="129" spans="1:9" ht="13.15">
      <c r="A129" s="19"/>
      <c r="B129" s="19"/>
      <c r="C129" s="19"/>
      <c r="D129" s="19"/>
      <c r="E129" s="19"/>
      <c r="F129" s="20"/>
      <c r="G129" s="19"/>
      <c r="H129" s="19"/>
      <c r="I129" s="20"/>
    </row>
    <row r="130" spans="1:9" ht="13.15">
      <c r="A130" s="19"/>
      <c r="B130" s="19"/>
      <c r="C130" s="19"/>
      <c r="D130" s="19"/>
      <c r="E130" s="19"/>
      <c r="F130" s="20"/>
      <c r="G130" s="19"/>
      <c r="H130" s="19"/>
      <c r="I130" s="20"/>
    </row>
    <row r="131" spans="1:9" ht="13.15">
      <c r="A131" s="19"/>
      <c r="B131" s="19"/>
      <c r="C131" s="19"/>
      <c r="D131" s="19"/>
      <c r="E131" s="19"/>
      <c r="F131" s="20"/>
      <c r="G131" s="19"/>
      <c r="H131" s="19"/>
      <c r="I131" s="20"/>
    </row>
    <row r="132" spans="1:9" ht="13.15">
      <c r="A132" s="19"/>
      <c r="B132" s="19"/>
      <c r="C132" s="19"/>
      <c r="D132" s="19"/>
      <c r="E132" s="19"/>
      <c r="F132" s="20"/>
      <c r="G132" s="19"/>
      <c r="H132" s="19"/>
      <c r="I132" s="20"/>
    </row>
    <row r="133" spans="1:9" ht="13.15">
      <c r="A133" s="19"/>
      <c r="B133" s="19"/>
      <c r="C133" s="19"/>
      <c r="D133" s="19"/>
      <c r="E133" s="19"/>
      <c r="F133" s="20"/>
      <c r="G133" s="19"/>
      <c r="H133" s="19"/>
      <c r="I133" s="20"/>
    </row>
    <row r="134" spans="1:9" ht="13.15">
      <c r="A134" s="19"/>
      <c r="B134" s="19"/>
      <c r="C134" s="19"/>
      <c r="D134" s="19"/>
      <c r="E134" s="19"/>
      <c r="F134" s="20"/>
      <c r="G134" s="19"/>
      <c r="H134" s="19"/>
      <c r="I134" s="20"/>
    </row>
    <row r="135" spans="1:9" ht="13.15">
      <c r="A135" s="19"/>
      <c r="B135" s="19"/>
      <c r="C135" s="19"/>
      <c r="D135" s="19"/>
      <c r="E135" s="19"/>
      <c r="F135" s="20"/>
      <c r="G135" s="19"/>
      <c r="H135" s="19"/>
      <c r="I135" s="20"/>
    </row>
    <row r="136" spans="1:9" ht="13.15">
      <c r="A136" s="19"/>
      <c r="B136" s="19"/>
      <c r="C136" s="19"/>
      <c r="D136" s="19"/>
      <c r="E136" s="19"/>
      <c r="F136" s="20"/>
      <c r="G136" s="19"/>
      <c r="H136" s="19"/>
      <c r="I136" s="20"/>
    </row>
    <row r="137" spans="1:9" ht="13.15">
      <c r="A137" s="19"/>
      <c r="B137" s="19"/>
      <c r="C137" s="19"/>
      <c r="D137" s="19"/>
      <c r="E137" s="19"/>
      <c r="F137" s="20"/>
      <c r="G137" s="19"/>
      <c r="H137" s="19"/>
      <c r="I137" s="20"/>
    </row>
    <row r="138" spans="1:9" ht="13.15">
      <c r="A138" s="19"/>
      <c r="B138" s="19"/>
      <c r="C138" s="19"/>
      <c r="D138" s="19"/>
      <c r="E138" s="19"/>
      <c r="F138" s="20"/>
      <c r="G138" s="19"/>
      <c r="H138" s="19"/>
      <c r="I138" s="20"/>
    </row>
    <row r="139" spans="1:9" ht="13.15">
      <c r="A139" s="19"/>
      <c r="B139" s="19"/>
      <c r="C139" s="19"/>
      <c r="D139" s="19"/>
      <c r="E139" s="19"/>
      <c r="F139" s="20"/>
      <c r="G139" s="19"/>
      <c r="H139" s="19"/>
      <c r="I139" s="20"/>
    </row>
    <row r="140" spans="1:9" ht="13.15">
      <c r="A140" s="19"/>
      <c r="B140" s="19"/>
      <c r="C140" s="19"/>
      <c r="D140" s="19"/>
      <c r="E140" s="19"/>
      <c r="F140" s="20"/>
      <c r="G140" s="19"/>
      <c r="H140" s="19"/>
      <c r="I140" s="20"/>
    </row>
    <row r="141" spans="1:9" ht="13.15">
      <c r="A141" s="19"/>
      <c r="B141" s="19"/>
      <c r="C141" s="19"/>
      <c r="D141" s="19"/>
      <c r="E141" s="19"/>
      <c r="F141" s="20"/>
      <c r="G141" s="19"/>
      <c r="H141" s="19"/>
      <c r="I141" s="20"/>
    </row>
    <row r="142" spans="1:9" ht="13.15">
      <c r="A142" s="19"/>
      <c r="B142" s="19"/>
      <c r="C142" s="19"/>
      <c r="D142" s="19"/>
      <c r="E142" s="19"/>
      <c r="F142" s="20"/>
      <c r="G142" s="19"/>
      <c r="H142" s="19"/>
      <c r="I142" s="20"/>
    </row>
    <row r="143" spans="1:9" ht="13.15">
      <c r="A143" s="19"/>
      <c r="B143" s="19"/>
      <c r="C143" s="19"/>
      <c r="D143" s="19"/>
      <c r="E143" s="19"/>
      <c r="F143" s="20"/>
      <c r="G143" s="19"/>
      <c r="H143" s="19"/>
      <c r="I143" s="20"/>
    </row>
    <row r="144" spans="1:9" ht="13.15">
      <c r="A144" s="19"/>
      <c r="B144" s="19"/>
      <c r="C144" s="19"/>
      <c r="D144" s="19"/>
      <c r="E144" s="19"/>
      <c r="F144" s="20"/>
      <c r="G144" s="19"/>
      <c r="H144" s="19"/>
      <c r="I144" s="20"/>
    </row>
    <row r="145" spans="1:9" ht="13.15">
      <c r="A145" s="19"/>
      <c r="B145" s="19"/>
      <c r="C145" s="19"/>
      <c r="D145" s="19"/>
      <c r="E145" s="19"/>
      <c r="F145" s="20"/>
      <c r="G145" s="19"/>
      <c r="H145" s="19"/>
      <c r="I145" s="20"/>
    </row>
    <row r="146" spans="1:9" ht="13.15">
      <c r="A146" s="19"/>
      <c r="B146" s="19"/>
      <c r="C146" s="19"/>
      <c r="D146" s="19"/>
      <c r="E146" s="19"/>
      <c r="F146" s="20"/>
      <c r="G146" s="19"/>
      <c r="H146" s="19"/>
      <c r="I146" s="20"/>
    </row>
    <row r="147" spans="1:9" ht="13.15">
      <c r="A147" s="19"/>
      <c r="B147" s="19"/>
      <c r="C147" s="19"/>
      <c r="D147" s="19"/>
      <c r="E147" s="19"/>
      <c r="F147" s="20"/>
      <c r="G147" s="19"/>
      <c r="H147" s="19"/>
      <c r="I147" s="20"/>
    </row>
    <row r="148" spans="1:9" ht="13.15">
      <c r="A148" s="19"/>
      <c r="B148" s="19"/>
      <c r="C148" s="19"/>
      <c r="D148" s="19"/>
      <c r="E148" s="19"/>
      <c r="F148" s="20"/>
      <c r="G148" s="19"/>
      <c r="H148" s="19"/>
      <c r="I148" s="20"/>
    </row>
    <row r="149" spans="1:9" ht="13.15">
      <c r="A149" s="19"/>
      <c r="B149" s="19"/>
      <c r="C149" s="19"/>
      <c r="D149" s="19"/>
      <c r="E149" s="19"/>
      <c r="F149" s="20"/>
      <c r="G149" s="19"/>
      <c r="H149" s="19"/>
      <c r="I149" s="20"/>
    </row>
    <row r="150" spans="1:9" ht="13.15">
      <c r="A150" s="19"/>
      <c r="B150" s="19"/>
      <c r="C150" s="19"/>
      <c r="D150" s="19"/>
      <c r="E150" s="19"/>
      <c r="F150" s="20"/>
      <c r="G150" s="19"/>
      <c r="H150" s="19"/>
      <c r="I150" s="20"/>
    </row>
    <row r="151" spans="1:9" ht="13.15">
      <c r="A151" s="19"/>
      <c r="B151" s="19"/>
      <c r="C151" s="19"/>
      <c r="D151" s="19"/>
      <c r="E151" s="19"/>
      <c r="F151" s="20"/>
      <c r="G151" s="19"/>
      <c r="H151" s="19"/>
      <c r="I151" s="20"/>
    </row>
    <row r="152" spans="1:9" ht="13.15">
      <c r="A152" s="19"/>
      <c r="B152" s="19"/>
      <c r="C152" s="19"/>
      <c r="D152" s="19"/>
      <c r="E152" s="19"/>
      <c r="F152" s="20"/>
      <c r="G152" s="19"/>
      <c r="H152" s="19"/>
      <c r="I152" s="20"/>
    </row>
    <row r="153" spans="1:9" ht="13.15">
      <c r="A153" s="19"/>
      <c r="B153" s="19"/>
      <c r="C153" s="19"/>
      <c r="D153" s="19"/>
      <c r="E153" s="19"/>
      <c r="F153" s="20"/>
      <c r="G153" s="19"/>
      <c r="H153" s="19"/>
      <c r="I153" s="20"/>
    </row>
    <row r="154" spans="1:9" ht="13.15">
      <c r="A154" s="19"/>
      <c r="B154" s="19"/>
      <c r="C154" s="19"/>
      <c r="D154" s="19"/>
      <c r="E154" s="19"/>
      <c r="F154" s="20"/>
      <c r="G154" s="19"/>
      <c r="H154" s="19"/>
      <c r="I154" s="20"/>
    </row>
    <row r="155" spans="1:9" ht="13.15">
      <c r="A155" s="19"/>
      <c r="B155" s="19"/>
      <c r="C155" s="19"/>
      <c r="D155" s="19"/>
      <c r="E155" s="19"/>
      <c r="F155" s="20"/>
      <c r="G155" s="19"/>
      <c r="H155" s="19"/>
      <c r="I155" s="20"/>
    </row>
    <row r="156" spans="1:9" ht="13.15">
      <c r="A156" s="19"/>
      <c r="B156" s="19"/>
      <c r="C156" s="19"/>
      <c r="D156" s="19"/>
      <c r="E156" s="19"/>
      <c r="F156" s="20"/>
      <c r="G156" s="19"/>
      <c r="H156" s="19"/>
      <c r="I156" s="20"/>
    </row>
    <row r="157" spans="1:9" ht="13.15">
      <c r="A157" s="19"/>
      <c r="B157" s="19"/>
      <c r="C157" s="19"/>
      <c r="D157" s="19"/>
      <c r="E157" s="19"/>
      <c r="F157" s="20"/>
      <c r="G157" s="19"/>
      <c r="H157" s="19"/>
      <c r="I157" s="20"/>
    </row>
    <row r="158" spans="1:9" ht="13.15">
      <c r="A158" s="19"/>
      <c r="B158" s="19"/>
      <c r="C158" s="19"/>
      <c r="D158" s="19"/>
      <c r="E158" s="19"/>
      <c r="F158" s="20"/>
      <c r="G158" s="19"/>
      <c r="H158" s="19"/>
      <c r="I158" s="20"/>
    </row>
    <row r="159" spans="1:9" ht="13.15">
      <c r="A159" s="19"/>
      <c r="B159" s="19"/>
      <c r="C159" s="19"/>
      <c r="D159" s="19"/>
      <c r="E159" s="19"/>
      <c r="F159" s="20"/>
      <c r="G159" s="19"/>
      <c r="H159" s="19"/>
      <c r="I159" s="20"/>
    </row>
    <row r="160" spans="1:9" ht="13.15">
      <c r="A160" s="19"/>
      <c r="B160" s="19"/>
      <c r="C160" s="19"/>
      <c r="D160" s="19"/>
      <c r="E160" s="19"/>
      <c r="F160" s="20"/>
      <c r="G160" s="19"/>
      <c r="H160" s="19"/>
      <c r="I160" s="20"/>
    </row>
    <row r="161" spans="1:9" ht="13.15">
      <c r="A161" s="19"/>
      <c r="B161" s="19"/>
      <c r="C161" s="19"/>
      <c r="D161" s="19"/>
      <c r="E161" s="19"/>
      <c r="F161" s="20"/>
      <c r="G161" s="19"/>
      <c r="H161" s="19"/>
      <c r="I161" s="20"/>
    </row>
    <row r="162" spans="1:9" ht="13.15">
      <c r="A162" s="19"/>
      <c r="B162" s="19"/>
      <c r="C162" s="19"/>
      <c r="D162" s="19"/>
      <c r="E162" s="19"/>
      <c r="F162" s="20"/>
      <c r="G162" s="19"/>
      <c r="H162" s="19"/>
      <c r="I162" s="20"/>
    </row>
    <row r="163" spans="1:9" ht="13.15">
      <c r="A163" s="19"/>
      <c r="B163" s="19"/>
      <c r="C163" s="19"/>
      <c r="D163" s="19"/>
      <c r="E163" s="19"/>
      <c r="F163" s="20"/>
      <c r="G163" s="19"/>
      <c r="H163" s="19"/>
      <c r="I163" s="20"/>
    </row>
    <row r="164" spans="1:9" ht="13.15">
      <c r="A164" s="19"/>
      <c r="B164" s="19"/>
      <c r="C164" s="19"/>
      <c r="D164" s="19"/>
      <c r="E164" s="19"/>
      <c r="F164" s="20"/>
      <c r="G164" s="19"/>
      <c r="H164" s="19"/>
      <c r="I164" s="20"/>
    </row>
    <row r="165" spans="1:9" ht="13.15">
      <c r="A165" s="19"/>
      <c r="B165" s="19"/>
      <c r="C165" s="19"/>
      <c r="D165" s="19"/>
      <c r="E165" s="19"/>
      <c r="F165" s="20"/>
      <c r="G165" s="19"/>
      <c r="H165" s="19"/>
      <c r="I165" s="20"/>
    </row>
    <row r="166" spans="1:9" ht="13.15">
      <c r="A166" s="19"/>
      <c r="B166" s="19"/>
      <c r="C166" s="19"/>
      <c r="D166" s="19"/>
      <c r="E166" s="19"/>
      <c r="F166" s="20"/>
      <c r="G166" s="19"/>
      <c r="H166" s="19"/>
      <c r="I166" s="20"/>
    </row>
    <row r="167" spans="1:9" ht="13.15">
      <c r="A167" s="19"/>
      <c r="B167" s="19"/>
      <c r="C167" s="19"/>
      <c r="D167" s="19"/>
      <c r="E167" s="19"/>
      <c r="F167" s="20"/>
      <c r="G167" s="19"/>
      <c r="H167" s="19"/>
      <c r="I167" s="20"/>
    </row>
    <row r="168" spans="1:9" ht="13.15">
      <c r="A168" s="19"/>
      <c r="B168" s="19"/>
      <c r="C168" s="19"/>
      <c r="D168" s="19"/>
      <c r="E168" s="19"/>
      <c r="F168" s="20"/>
      <c r="G168" s="19"/>
      <c r="H168" s="19"/>
      <c r="I168" s="20"/>
    </row>
    <row r="169" spans="1:9" ht="13.15">
      <c r="A169" s="19"/>
      <c r="B169" s="19"/>
      <c r="C169" s="19"/>
      <c r="D169" s="19"/>
      <c r="E169" s="19"/>
      <c r="F169" s="20"/>
      <c r="G169" s="19"/>
      <c r="H169" s="19"/>
      <c r="I169" s="20"/>
    </row>
    <row r="170" spans="1:9" ht="13.15">
      <c r="A170" s="19"/>
      <c r="B170" s="19"/>
      <c r="C170" s="19"/>
      <c r="D170" s="19"/>
      <c r="E170" s="19"/>
      <c r="F170" s="20"/>
      <c r="G170" s="19"/>
      <c r="H170" s="19"/>
      <c r="I170" s="20"/>
    </row>
    <row r="171" spans="1:9" ht="13.15">
      <c r="A171" s="19"/>
      <c r="B171" s="19"/>
      <c r="C171" s="19"/>
      <c r="D171" s="19"/>
      <c r="E171" s="19"/>
      <c r="F171" s="20"/>
      <c r="G171" s="19"/>
      <c r="H171" s="19"/>
      <c r="I171" s="20"/>
    </row>
    <row r="172" spans="1:9" ht="13.15">
      <c r="A172" s="19"/>
      <c r="B172" s="19"/>
      <c r="C172" s="19"/>
      <c r="D172" s="19"/>
      <c r="E172" s="19"/>
      <c r="F172" s="20"/>
      <c r="G172" s="19"/>
      <c r="H172" s="19"/>
      <c r="I172" s="20"/>
    </row>
    <row r="173" spans="1:9" ht="13.15">
      <c r="A173" s="19"/>
      <c r="B173" s="19"/>
      <c r="C173" s="19"/>
      <c r="D173" s="19"/>
      <c r="E173" s="19"/>
      <c r="F173" s="20"/>
      <c r="G173" s="19"/>
      <c r="H173" s="19"/>
      <c r="I173" s="20"/>
    </row>
    <row r="174" spans="1:9" ht="13.15">
      <c r="A174" s="19"/>
      <c r="B174" s="19"/>
      <c r="C174" s="19"/>
      <c r="D174" s="19"/>
      <c r="E174" s="19"/>
      <c r="F174" s="20"/>
      <c r="G174" s="19"/>
      <c r="H174" s="19"/>
      <c r="I174" s="20"/>
    </row>
    <row r="175" spans="1:9" ht="13.15">
      <c r="A175" s="19"/>
      <c r="B175" s="19"/>
      <c r="C175" s="19"/>
      <c r="D175" s="19"/>
      <c r="E175" s="19"/>
      <c r="F175" s="20"/>
      <c r="G175" s="19"/>
      <c r="H175" s="19"/>
      <c r="I175" s="20"/>
    </row>
    <row r="176" spans="1:9" ht="13.15">
      <c r="A176" s="19"/>
      <c r="B176" s="19"/>
      <c r="C176" s="19"/>
      <c r="D176" s="19"/>
      <c r="E176" s="19"/>
      <c r="F176" s="20"/>
      <c r="G176" s="19"/>
      <c r="H176" s="19"/>
      <c r="I176" s="20"/>
    </row>
    <row r="177" spans="1:9" ht="13.15">
      <c r="A177" s="19"/>
      <c r="B177" s="19"/>
      <c r="C177" s="19"/>
      <c r="D177" s="19"/>
      <c r="E177" s="19"/>
      <c r="F177" s="20"/>
      <c r="G177" s="19"/>
      <c r="H177" s="19"/>
      <c r="I177" s="20"/>
    </row>
    <row r="178" spans="1:9" ht="13.15">
      <c r="A178" s="19"/>
      <c r="B178" s="19"/>
      <c r="C178" s="19"/>
      <c r="D178" s="19"/>
      <c r="E178" s="19"/>
      <c r="F178" s="20"/>
      <c r="G178" s="19"/>
      <c r="H178" s="19"/>
      <c r="I178" s="20"/>
    </row>
    <row r="179" spans="1:9" ht="13.15">
      <c r="A179" s="19"/>
      <c r="B179" s="19"/>
      <c r="C179" s="19"/>
      <c r="D179" s="19"/>
      <c r="E179" s="19"/>
      <c r="F179" s="20"/>
      <c r="G179" s="19"/>
      <c r="H179" s="19"/>
      <c r="I179" s="20"/>
    </row>
    <row r="180" spans="1:9" ht="13.15">
      <c r="A180" s="19"/>
      <c r="B180" s="19"/>
      <c r="C180" s="19"/>
      <c r="D180" s="19"/>
      <c r="E180" s="19"/>
      <c r="F180" s="20"/>
      <c r="G180" s="19"/>
      <c r="H180" s="19"/>
      <c r="I180" s="20"/>
    </row>
    <row r="181" spans="1:9" ht="13.15">
      <c r="A181" s="19"/>
      <c r="B181" s="19"/>
      <c r="C181" s="19"/>
      <c r="D181" s="19"/>
      <c r="E181" s="19"/>
      <c r="F181" s="20"/>
      <c r="G181" s="19"/>
      <c r="H181" s="19"/>
      <c r="I181" s="20"/>
    </row>
    <row r="182" spans="1:9" ht="13.15">
      <c r="A182" s="19"/>
      <c r="B182" s="19"/>
      <c r="C182" s="19"/>
      <c r="D182" s="19"/>
      <c r="E182" s="19"/>
      <c r="F182" s="20"/>
      <c r="G182" s="19"/>
      <c r="H182" s="19"/>
      <c r="I182" s="20"/>
    </row>
    <row r="183" spans="1:9" ht="13.15">
      <c r="A183" s="19"/>
      <c r="B183" s="19"/>
      <c r="C183" s="19"/>
      <c r="D183" s="19"/>
      <c r="E183" s="19"/>
      <c r="F183" s="20"/>
      <c r="G183" s="19"/>
      <c r="H183" s="19"/>
      <c r="I183" s="20"/>
    </row>
    <row r="184" spans="1:9" ht="13.15">
      <c r="A184" s="19"/>
      <c r="B184" s="19"/>
      <c r="C184" s="19"/>
      <c r="D184" s="19"/>
      <c r="E184" s="19"/>
      <c r="F184" s="20"/>
      <c r="G184" s="19"/>
      <c r="H184" s="19"/>
      <c r="I184" s="20"/>
    </row>
    <row r="185" spans="1:9" ht="13.15">
      <c r="A185" s="19"/>
      <c r="B185" s="19"/>
      <c r="C185" s="19"/>
      <c r="D185" s="19"/>
      <c r="E185" s="19"/>
      <c r="F185" s="20"/>
      <c r="G185" s="19"/>
      <c r="H185" s="19"/>
      <c r="I185" s="20"/>
    </row>
    <row r="186" spans="1:9" ht="13.15">
      <c r="A186" s="19"/>
      <c r="B186" s="19"/>
      <c r="C186" s="19"/>
      <c r="D186" s="19"/>
      <c r="E186" s="19"/>
      <c r="F186" s="20"/>
      <c r="G186" s="19"/>
      <c r="H186" s="19"/>
      <c r="I186" s="20"/>
    </row>
    <row r="187" spans="1:9" ht="13.15">
      <c r="A187" s="19"/>
      <c r="B187" s="19"/>
      <c r="C187" s="19"/>
      <c r="D187" s="19"/>
      <c r="E187" s="19"/>
      <c r="F187" s="20"/>
      <c r="G187" s="19"/>
      <c r="H187" s="19"/>
      <c r="I187" s="20"/>
    </row>
    <row r="188" spans="1:9" ht="13.15">
      <c r="A188" s="19"/>
      <c r="B188" s="19"/>
      <c r="C188" s="19"/>
      <c r="D188" s="19"/>
      <c r="E188" s="19"/>
      <c r="F188" s="20"/>
      <c r="G188" s="19"/>
      <c r="H188" s="19"/>
      <c r="I188" s="20"/>
    </row>
    <row r="189" spans="1:9" ht="13.15">
      <c r="A189" s="19"/>
      <c r="B189" s="19"/>
      <c r="C189" s="19"/>
      <c r="D189" s="19"/>
      <c r="E189" s="19"/>
      <c r="F189" s="20"/>
      <c r="G189" s="19"/>
      <c r="H189" s="19"/>
      <c r="I189" s="20"/>
    </row>
    <row r="190" spans="1:9" ht="13.15">
      <c r="A190" s="19"/>
      <c r="B190" s="19"/>
      <c r="C190" s="19"/>
      <c r="D190" s="19"/>
      <c r="E190" s="19"/>
      <c r="F190" s="20"/>
      <c r="G190" s="19"/>
      <c r="H190" s="19"/>
      <c r="I190" s="20"/>
    </row>
    <row r="191" spans="1:9" ht="13.15">
      <c r="A191" s="19"/>
      <c r="B191" s="19"/>
      <c r="C191" s="19"/>
      <c r="D191" s="19"/>
      <c r="E191" s="19"/>
      <c r="F191" s="20"/>
      <c r="G191" s="19"/>
      <c r="H191" s="19"/>
      <c r="I191" s="20"/>
    </row>
    <row r="192" spans="1:9" ht="13.15">
      <c r="A192" s="19"/>
      <c r="B192" s="19"/>
      <c r="C192" s="19"/>
      <c r="D192" s="19"/>
      <c r="E192" s="19"/>
      <c r="F192" s="20"/>
      <c r="G192" s="19"/>
      <c r="H192" s="19"/>
      <c r="I192" s="20"/>
    </row>
    <row r="193" spans="1:9" ht="13.15">
      <c r="A193" s="19"/>
      <c r="B193" s="19"/>
      <c r="C193" s="19"/>
      <c r="D193" s="19"/>
      <c r="E193" s="19"/>
      <c r="F193" s="20"/>
      <c r="G193" s="19"/>
      <c r="H193" s="19"/>
      <c r="I193" s="20"/>
    </row>
    <row r="194" spans="1:9" ht="13.15">
      <c r="A194" s="19"/>
      <c r="B194" s="19"/>
      <c r="C194" s="19"/>
      <c r="D194" s="19"/>
      <c r="E194" s="19"/>
      <c r="F194" s="20"/>
      <c r="G194" s="19"/>
      <c r="H194" s="19"/>
      <c r="I194" s="20"/>
    </row>
    <row r="195" spans="1:9" ht="13.15">
      <c r="A195" s="19"/>
      <c r="B195" s="19"/>
      <c r="C195" s="19"/>
      <c r="D195" s="19"/>
      <c r="E195" s="19"/>
      <c r="F195" s="20"/>
      <c r="G195" s="19"/>
      <c r="H195" s="19"/>
      <c r="I195" s="20"/>
    </row>
    <row r="196" spans="1:9" ht="13.15">
      <c r="A196" s="19"/>
      <c r="B196" s="19"/>
      <c r="C196" s="19"/>
      <c r="D196" s="19"/>
      <c r="E196" s="19"/>
      <c r="F196" s="20"/>
      <c r="G196" s="19"/>
      <c r="H196" s="19"/>
      <c r="I196" s="20"/>
    </row>
    <row r="197" spans="1:9" ht="13.15">
      <c r="A197" s="19"/>
      <c r="B197" s="19"/>
      <c r="C197" s="19"/>
      <c r="D197" s="19"/>
      <c r="E197" s="19"/>
      <c r="F197" s="20"/>
      <c r="G197" s="19"/>
      <c r="H197" s="19"/>
      <c r="I197" s="20"/>
    </row>
    <row r="198" spans="1:9" ht="13.15">
      <c r="A198" s="19"/>
      <c r="B198" s="19"/>
      <c r="C198" s="19"/>
      <c r="D198" s="19"/>
      <c r="E198" s="19"/>
      <c r="F198" s="20"/>
      <c r="G198" s="19"/>
      <c r="H198" s="19"/>
      <c r="I198" s="20"/>
    </row>
    <row r="199" spans="1:9" ht="13.15">
      <c r="A199" s="19"/>
      <c r="B199" s="19"/>
      <c r="C199" s="19"/>
      <c r="D199" s="19"/>
      <c r="E199" s="19"/>
      <c r="F199" s="20"/>
      <c r="G199" s="19"/>
      <c r="H199" s="19"/>
      <c r="I199" s="20"/>
    </row>
    <row r="200" spans="1:9" ht="13.15">
      <c r="A200" s="19"/>
      <c r="B200" s="19"/>
      <c r="C200" s="19"/>
      <c r="D200" s="19"/>
      <c r="E200" s="19"/>
      <c r="F200" s="20"/>
      <c r="G200" s="19"/>
      <c r="H200" s="19"/>
      <c r="I200" s="20"/>
    </row>
    <row r="201" spans="1:9" ht="13.15">
      <c r="A201" s="19"/>
      <c r="B201" s="19"/>
      <c r="C201" s="19"/>
      <c r="D201" s="19"/>
      <c r="E201" s="19"/>
      <c r="F201" s="20"/>
      <c r="G201" s="19"/>
      <c r="H201" s="19"/>
      <c r="I201" s="20"/>
    </row>
    <row r="202" spans="1:9" ht="13.15">
      <c r="A202" s="19"/>
      <c r="B202" s="19"/>
      <c r="C202" s="19"/>
      <c r="D202" s="19"/>
      <c r="E202" s="19"/>
      <c r="F202" s="20"/>
      <c r="G202" s="19"/>
      <c r="H202" s="19"/>
      <c r="I202" s="20"/>
    </row>
    <row r="203" spans="1:9" ht="13.15">
      <c r="A203" s="19"/>
      <c r="B203" s="19"/>
      <c r="C203" s="19"/>
      <c r="D203" s="19"/>
      <c r="E203" s="19"/>
      <c r="F203" s="20"/>
      <c r="G203" s="19"/>
      <c r="H203" s="19"/>
      <c r="I203" s="20"/>
    </row>
    <row r="204" spans="1:9" ht="13.15">
      <c r="A204" s="19"/>
      <c r="B204" s="19"/>
      <c r="C204" s="19"/>
      <c r="D204" s="19"/>
      <c r="E204" s="19"/>
      <c r="F204" s="20"/>
      <c r="G204" s="19"/>
      <c r="H204" s="19"/>
      <c r="I204" s="20"/>
    </row>
    <row r="205" spans="1:9" ht="13.15">
      <c r="A205" s="19"/>
      <c r="B205" s="19"/>
      <c r="C205" s="19"/>
      <c r="D205" s="19"/>
      <c r="E205" s="19"/>
      <c r="F205" s="20"/>
      <c r="G205" s="19"/>
      <c r="H205" s="19"/>
      <c r="I205" s="20"/>
    </row>
    <row r="206" spans="1:9" ht="13.15">
      <c r="A206" s="19"/>
      <c r="B206" s="19"/>
      <c r="C206" s="19"/>
      <c r="D206" s="19"/>
      <c r="E206" s="19"/>
      <c r="F206" s="20"/>
      <c r="G206" s="19"/>
      <c r="H206" s="19"/>
      <c r="I206" s="20"/>
    </row>
    <row r="207" spans="1:9" ht="13.15">
      <c r="A207" s="19"/>
      <c r="B207" s="19"/>
      <c r="C207" s="19"/>
      <c r="D207" s="19"/>
      <c r="E207" s="19"/>
      <c r="F207" s="20"/>
      <c r="G207" s="19"/>
      <c r="H207" s="19"/>
      <c r="I207" s="20"/>
    </row>
    <row r="208" spans="1:9" ht="13.15">
      <c r="A208" s="19"/>
      <c r="B208" s="19"/>
      <c r="C208" s="19"/>
      <c r="D208" s="19"/>
      <c r="E208" s="19"/>
      <c r="F208" s="20"/>
      <c r="G208" s="19"/>
      <c r="H208" s="19"/>
      <c r="I208" s="20"/>
    </row>
    <row r="209" spans="1:9" ht="13.15">
      <c r="A209" s="19"/>
      <c r="B209" s="19"/>
      <c r="C209" s="19"/>
      <c r="D209" s="19"/>
      <c r="E209" s="19"/>
      <c r="F209" s="20"/>
      <c r="G209" s="19"/>
      <c r="H209" s="19"/>
      <c r="I209" s="20"/>
    </row>
    <row r="210" spans="1:9" ht="13.15">
      <c r="A210" s="19"/>
      <c r="B210" s="19"/>
      <c r="C210" s="19"/>
      <c r="D210" s="19"/>
      <c r="E210" s="19"/>
      <c r="F210" s="20"/>
      <c r="G210" s="19"/>
      <c r="H210" s="19"/>
      <c r="I210" s="20"/>
    </row>
    <row r="211" spans="1:9" ht="13.15">
      <c r="A211" s="19"/>
      <c r="B211" s="19"/>
      <c r="C211" s="19"/>
      <c r="D211" s="19"/>
      <c r="E211" s="19"/>
      <c r="F211" s="20"/>
      <c r="G211" s="19"/>
      <c r="H211" s="19"/>
      <c r="I211" s="20"/>
    </row>
    <row r="212" spans="1:9" ht="13.15">
      <c r="A212" s="19"/>
      <c r="B212" s="19"/>
      <c r="C212" s="19"/>
      <c r="D212" s="19"/>
      <c r="E212" s="19"/>
      <c r="F212" s="20"/>
      <c r="G212" s="19"/>
      <c r="H212" s="19"/>
      <c r="I212" s="20"/>
    </row>
    <row r="213" spans="1:9" ht="13.15">
      <c r="A213" s="19"/>
      <c r="B213" s="19"/>
      <c r="C213" s="19"/>
      <c r="D213" s="19"/>
      <c r="E213" s="19"/>
      <c r="F213" s="20"/>
      <c r="G213" s="19"/>
      <c r="H213" s="19"/>
      <c r="I213" s="20"/>
    </row>
    <row r="214" spans="1:9" ht="13.15">
      <c r="A214" s="19"/>
      <c r="B214" s="19"/>
      <c r="C214" s="19"/>
      <c r="D214" s="19"/>
      <c r="E214" s="19"/>
      <c r="F214" s="20"/>
      <c r="G214" s="19"/>
      <c r="H214" s="19"/>
      <c r="I214" s="20"/>
    </row>
    <row r="215" spans="1:9" ht="13.15">
      <c r="A215" s="19"/>
      <c r="B215" s="19"/>
      <c r="C215" s="19"/>
      <c r="D215" s="19"/>
      <c r="E215" s="19"/>
      <c r="F215" s="20"/>
      <c r="G215" s="19"/>
      <c r="H215" s="19"/>
      <c r="I215" s="20"/>
    </row>
    <row r="216" spans="1:9" ht="13.15">
      <c r="A216" s="19"/>
      <c r="B216" s="19"/>
      <c r="C216" s="19"/>
      <c r="D216" s="19"/>
      <c r="E216" s="19"/>
      <c r="F216" s="20"/>
      <c r="G216" s="19"/>
      <c r="H216" s="19"/>
      <c r="I216" s="20"/>
    </row>
    <row r="217" spans="1:9" ht="13.15">
      <c r="A217" s="19"/>
      <c r="B217" s="19"/>
      <c r="C217" s="19"/>
      <c r="D217" s="19"/>
      <c r="E217" s="19"/>
      <c r="F217" s="20"/>
      <c r="G217" s="19"/>
      <c r="H217" s="19"/>
      <c r="I217" s="20"/>
    </row>
    <row r="218" spans="1:9" ht="13.15">
      <c r="A218" s="19"/>
      <c r="B218" s="19"/>
      <c r="C218" s="19"/>
      <c r="D218" s="19"/>
      <c r="E218" s="19"/>
      <c r="F218" s="20"/>
      <c r="G218" s="19"/>
      <c r="H218" s="19"/>
      <c r="I218" s="20"/>
    </row>
    <row r="219" spans="1:9" ht="13.15">
      <c r="A219" s="19"/>
      <c r="B219" s="19"/>
      <c r="C219" s="19"/>
      <c r="D219" s="19"/>
      <c r="E219" s="19"/>
      <c r="F219" s="20"/>
      <c r="G219" s="19"/>
      <c r="H219" s="19"/>
      <c r="I219" s="20"/>
    </row>
    <row r="220" spans="1:9" ht="13.15">
      <c r="A220" s="19"/>
      <c r="B220" s="19"/>
      <c r="C220" s="19"/>
      <c r="D220" s="19"/>
      <c r="E220" s="19"/>
      <c r="F220" s="20"/>
      <c r="G220" s="19"/>
      <c r="H220" s="19"/>
      <c r="I220" s="20"/>
    </row>
    <row r="221" spans="1:9" ht="13.15">
      <c r="A221" s="19"/>
      <c r="B221" s="19"/>
      <c r="C221" s="19"/>
      <c r="D221" s="19"/>
      <c r="E221" s="19"/>
      <c r="F221" s="20"/>
      <c r="G221" s="19"/>
      <c r="H221" s="19"/>
      <c r="I221" s="20"/>
    </row>
    <row r="222" spans="1:9" ht="13.15">
      <c r="A222" s="19"/>
      <c r="B222" s="19"/>
      <c r="C222" s="19"/>
      <c r="D222" s="19"/>
      <c r="E222" s="19"/>
      <c r="F222" s="20"/>
      <c r="G222" s="19"/>
      <c r="H222" s="19"/>
      <c r="I222" s="20"/>
    </row>
    <row r="223" spans="1:9" ht="13.15">
      <c r="A223" s="19"/>
      <c r="B223" s="19"/>
      <c r="C223" s="19"/>
      <c r="D223" s="19"/>
      <c r="E223" s="19"/>
      <c r="F223" s="20"/>
      <c r="G223" s="19"/>
      <c r="H223" s="19"/>
      <c r="I223" s="20"/>
    </row>
    <row r="224" spans="1:9" ht="13.15">
      <c r="A224" s="19"/>
      <c r="B224" s="19"/>
      <c r="C224" s="19"/>
      <c r="D224" s="19"/>
      <c r="E224" s="19"/>
      <c r="F224" s="20"/>
      <c r="G224" s="19"/>
      <c r="H224" s="19"/>
      <c r="I224" s="20"/>
    </row>
    <row r="225" spans="1:9" ht="13.15">
      <c r="A225" s="19"/>
      <c r="B225" s="19"/>
      <c r="C225" s="19"/>
      <c r="D225" s="19"/>
      <c r="E225" s="19"/>
      <c r="F225" s="20"/>
      <c r="G225" s="19"/>
      <c r="H225" s="19"/>
      <c r="I225" s="20"/>
    </row>
    <row r="226" spans="1:9" ht="13.15">
      <c r="A226" s="19"/>
      <c r="B226" s="19"/>
      <c r="C226" s="19"/>
      <c r="D226" s="19"/>
      <c r="E226" s="19"/>
      <c r="F226" s="20"/>
      <c r="G226" s="19"/>
      <c r="H226" s="19"/>
      <c r="I226" s="20"/>
    </row>
    <row r="227" spans="1:9" ht="13.15">
      <c r="A227" s="19"/>
      <c r="B227" s="19"/>
      <c r="C227" s="19"/>
      <c r="D227" s="19"/>
      <c r="E227" s="19"/>
      <c r="F227" s="20"/>
      <c r="G227" s="19"/>
      <c r="H227" s="19"/>
      <c r="I227" s="20"/>
    </row>
    <row r="228" spans="1:9" ht="13.15">
      <c r="A228" s="19"/>
      <c r="B228" s="19"/>
      <c r="C228" s="19"/>
      <c r="D228" s="19"/>
      <c r="E228" s="19"/>
      <c r="F228" s="20"/>
      <c r="G228" s="19"/>
      <c r="H228" s="19"/>
      <c r="I228" s="20"/>
    </row>
    <row r="229" spans="1:9" ht="13.15">
      <c r="A229" s="19"/>
      <c r="B229" s="19"/>
      <c r="C229" s="19"/>
      <c r="D229" s="19"/>
      <c r="E229" s="19"/>
      <c r="F229" s="20"/>
      <c r="G229" s="19"/>
      <c r="H229" s="19"/>
      <c r="I229" s="20"/>
    </row>
    <row r="230" spans="1:9" ht="13.15">
      <c r="A230" s="19"/>
      <c r="B230" s="19"/>
      <c r="C230" s="19"/>
      <c r="D230" s="19"/>
      <c r="E230" s="19"/>
      <c r="F230" s="20"/>
      <c r="G230" s="19"/>
      <c r="H230" s="19"/>
      <c r="I230" s="20"/>
    </row>
    <row r="231" spans="1:9" ht="13.15">
      <c r="A231" s="19"/>
      <c r="B231" s="19"/>
      <c r="C231" s="19"/>
      <c r="D231" s="19"/>
      <c r="E231" s="19"/>
      <c r="F231" s="20"/>
      <c r="G231" s="19"/>
      <c r="H231" s="19"/>
      <c r="I231" s="20"/>
    </row>
    <row r="232" spans="1:9" ht="13.15">
      <c r="A232" s="19"/>
      <c r="B232" s="19"/>
      <c r="C232" s="19"/>
      <c r="D232" s="19"/>
      <c r="E232" s="19"/>
      <c r="F232" s="20"/>
      <c r="G232" s="19"/>
      <c r="H232" s="19"/>
      <c r="I232" s="20"/>
    </row>
    <row r="233" spans="1:9" ht="13.15">
      <c r="A233" s="19"/>
      <c r="B233" s="19"/>
      <c r="C233" s="19"/>
      <c r="D233" s="19"/>
      <c r="E233" s="19"/>
      <c r="F233" s="20"/>
      <c r="G233" s="19"/>
      <c r="H233" s="19"/>
      <c r="I233" s="20"/>
    </row>
    <row r="234" spans="1:9" ht="13.15">
      <c r="A234" s="19"/>
      <c r="B234" s="19"/>
      <c r="C234" s="19"/>
      <c r="D234" s="19"/>
      <c r="E234" s="19"/>
      <c r="F234" s="20"/>
      <c r="G234" s="19"/>
      <c r="H234" s="19"/>
      <c r="I234" s="20"/>
    </row>
    <row r="235" spans="1:9" ht="13.15">
      <c r="A235" s="19"/>
      <c r="B235" s="19"/>
      <c r="C235" s="19"/>
      <c r="D235" s="19"/>
      <c r="E235" s="19"/>
      <c r="F235" s="20"/>
      <c r="G235" s="19"/>
      <c r="H235" s="19"/>
      <c r="I235" s="20"/>
    </row>
    <row r="236" spans="1:9" ht="13.15">
      <c r="A236" s="19"/>
      <c r="B236" s="19"/>
      <c r="C236" s="19"/>
      <c r="D236" s="19"/>
      <c r="E236" s="19"/>
      <c r="F236" s="20"/>
      <c r="G236" s="19"/>
      <c r="H236" s="19"/>
      <c r="I236" s="20"/>
    </row>
    <row r="237" spans="1:9" ht="13.15">
      <c r="A237" s="19"/>
      <c r="B237" s="19"/>
      <c r="C237" s="19"/>
      <c r="D237" s="19"/>
      <c r="E237" s="19"/>
      <c r="F237" s="20"/>
      <c r="G237" s="19"/>
      <c r="H237" s="19"/>
      <c r="I237" s="20"/>
    </row>
    <row r="238" spans="1:9" ht="13.15">
      <c r="A238" s="19"/>
      <c r="B238" s="19"/>
      <c r="C238" s="19"/>
      <c r="D238" s="19"/>
      <c r="E238" s="19"/>
      <c r="F238" s="20"/>
      <c r="G238" s="19"/>
      <c r="H238" s="19"/>
      <c r="I238" s="20"/>
    </row>
    <row r="239" spans="1:9" ht="13.15">
      <c r="A239" s="19"/>
      <c r="B239" s="19"/>
      <c r="C239" s="19"/>
      <c r="D239" s="19"/>
      <c r="E239" s="19"/>
      <c r="F239" s="20"/>
      <c r="G239" s="19"/>
      <c r="H239" s="19"/>
      <c r="I239" s="20"/>
    </row>
    <row r="240" spans="1:9" ht="13.15">
      <c r="A240" s="19"/>
      <c r="B240" s="19"/>
      <c r="C240" s="19"/>
      <c r="D240" s="19"/>
      <c r="E240" s="19"/>
      <c r="F240" s="20"/>
      <c r="G240" s="19"/>
      <c r="H240" s="19"/>
      <c r="I240" s="20"/>
    </row>
    <row r="241" spans="1:9" ht="13.15">
      <c r="A241" s="19"/>
      <c r="B241" s="19"/>
      <c r="C241" s="19"/>
      <c r="D241" s="19"/>
      <c r="E241" s="19"/>
      <c r="F241" s="20"/>
      <c r="G241" s="19"/>
      <c r="H241" s="19"/>
      <c r="I241" s="20"/>
    </row>
    <row r="242" spans="1:9" ht="13.15">
      <c r="A242" s="19"/>
      <c r="B242" s="19"/>
      <c r="C242" s="19"/>
      <c r="D242" s="19"/>
      <c r="E242" s="19"/>
      <c r="F242" s="20"/>
      <c r="G242" s="19"/>
      <c r="H242" s="19"/>
      <c r="I242" s="20"/>
    </row>
    <row r="243" spans="1:9" ht="13.15">
      <c r="A243" s="19"/>
      <c r="B243" s="19"/>
      <c r="C243" s="19"/>
      <c r="D243" s="19"/>
      <c r="E243" s="19"/>
      <c r="F243" s="20"/>
      <c r="G243" s="19"/>
      <c r="H243" s="19"/>
      <c r="I243" s="20"/>
    </row>
    <row r="244" spans="1:9" ht="13.15">
      <c r="A244" s="19"/>
      <c r="B244" s="19"/>
      <c r="C244" s="19"/>
      <c r="D244" s="19"/>
      <c r="E244" s="19"/>
      <c r="F244" s="20"/>
      <c r="G244" s="19"/>
      <c r="H244" s="19"/>
      <c r="I244" s="20"/>
    </row>
    <row r="245" spans="1:9" ht="13.15">
      <c r="A245" s="19"/>
      <c r="B245" s="19"/>
      <c r="C245" s="19"/>
      <c r="D245" s="19"/>
      <c r="E245" s="19"/>
      <c r="F245" s="20"/>
      <c r="G245" s="19"/>
      <c r="H245" s="19"/>
      <c r="I245" s="20"/>
    </row>
    <row r="246" spans="1:9" ht="13.15">
      <c r="A246" s="19"/>
      <c r="B246" s="19"/>
      <c r="C246" s="19"/>
      <c r="D246" s="19"/>
      <c r="E246" s="19"/>
      <c r="F246" s="20"/>
      <c r="G246" s="19"/>
      <c r="H246" s="19"/>
      <c r="I246" s="20"/>
    </row>
    <row r="247" spans="1:9" ht="13.15">
      <c r="A247" s="19"/>
      <c r="B247" s="19"/>
      <c r="C247" s="19"/>
      <c r="D247" s="19"/>
      <c r="E247" s="19"/>
      <c r="F247" s="20"/>
      <c r="G247" s="19"/>
      <c r="H247" s="19"/>
      <c r="I247" s="20"/>
    </row>
    <row r="248" spans="1:9" ht="13.15">
      <c r="A248" s="19"/>
      <c r="B248" s="19"/>
      <c r="C248" s="19"/>
      <c r="D248" s="19"/>
      <c r="E248" s="19"/>
      <c r="F248" s="20"/>
      <c r="G248" s="19"/>
      <c r="H248" s="19"/>
      <c r="I248" s="20"/>
    </row>
    <row r="249" spans="1:9" ht="13.15">
      <c r="A249" s="19"/>
      <c r="B249" s="19"/>
      <c r="C249" s="19"/>
      <c r="D249" s="19"/>
      <c r="E249" s="19"/>
      <c r="F249" s="20"/>
      <c r="G249" s="19"/>
      <c r="H249" s="19"/>
      <c r="I249" s="20"/>
    </row>
    <row r="250" spans="1:9" ht="13.15">
      <c r="A250" s="19"/>
      <c r="B250" s="19"/>
      <c r="C250" s="19"/>
      <c r="D250" s="19"/>
      <c r="E250" s="19"/>
      <c r="F250" s="20"/>
      <c r="G250" s="19"/>
      <c r="H250" s="19"/>
      <c r="I250" s="20"/>
    </row>
    <row r="251" spans="1:9" ht="13.15">
      <c r="A251" s="19"/>
      <c r="B251" s="19"/>
      <c r="C251" s="19"/>
      <c r="D251" s="19"/>
      <c r="E251" s="19"/>
      <c r="F251" s="20"/>
      <c r="G251" s="19"/>
      <c r="H251" s="19"/>
      <c r="I251" s="20"/>
    </row>
    <row r="252" spans="1:9" ht="13.15">
      <c r="A252" s="19"/>
      <c r="B252" s="19"/>
      <c r="C252" s="19"/>
      <c r="D252" s="19"/>
      <c r="E252" s="19"/>
      <c r="F252" s="20"/>
      <c r="G252" s="19"/>
      <c r="H252" s="19"/>
      <c r="I252" s="20"/>
    </row>
    <row r="253" spans="1:9" ht="13.15">
      <c r="A253" s="19"/>
      <c r="B253" s="19"/>
      <c r="C253" s="19"/>
      <c r="D253" s="19"/>
      <c r="E253" s="19"/>
      <c r="F253" s="20"/>
      <c r="G253" s="19"/>
      <c r="H253" s="19"/>
      <c r="I253" s="20"/>
    </row>
    <row r="254" spans="1:9" ht="13.15">
      <c r="A254" s="19"/>
      <c r="B254" s="19"/>
      <c r="C254" s="19"/>
      <c r="D254" s="19"/>
      <c r="E254" s="19"/>
      <c r="F254" s="20"/>
      <c r="G254" s="19"/>
      <c r="H254" s="19"/>
      <c r="I254" s="20"/>
    </row>
    <row r="255" spans="1:9" ht="13.15">
      <c r="A255" s="19"/>
      <c r="B255" s="19"/>
      <c r="C255" s="19"/>
      <c r="D255" s="19"/>
      <c r="E255" s="19"/>
      <c r="F255" s="20"/>
      <c r="G255" s="19"/>
      <c r="H255" s="19"/>
      <c r="I255" s="20"/>
    </row>
    <row r="256" spans="1:9" ht="13.15">
      <c r="A256" s="19"/>
      <c r="B256" s="19"/>
      <c r="C256" s="19"/>
      <c r="D256" s="19"/>
      <c r="E256" s="19"/>
      <c r="F256" s="20"/>
      <c r="G256" s="19"/>
      <c r="H256" s="19"/>
      <c r="I256" s="20"/>
    </row>
    <row r="257" spans="1:9" ht="13.15">
      <c r="A257" s="19"/>
      <c r="B257" s="19"/>
      <c r="C257" s="19"/>
      <c r="D257" s="19"/>
      <c r="E257" s="19"/>
      <c r="F257" s="20"/>
      <c r="G257" s="19"/>
      <c r="H257" s="19"/>
      <c r="I257" s="20"/>
    </row>
    <row r="258" spans="1:9" ht="13.15">
      <c r="A258" s="19"/>
      <c r="B258" s="19"/>
      <c r="C258" s="19"/>
      <c r="D258" s="19"/>
      <c r="E258" s="19"/>
      <c r="F258" s="20"/>
      <c r="G258" s="19"/>
      <c r="H258" s="19"/>
      <c r="I258" s="20"/>
    </row>
    <row r="259" spans="1:9" ht="13.15">
      <c r="A259" s="19"/>
      <c r="B259" s="19"/>
      <c r="C259" s="19"/>
      <c r="D259" s="19"/>
      <c r="E259" s="19"/>
      <c r="F259" s="20"/>
      <c r="G259" s="19"/>
      <c r="H259" s="19"/>
      <c r="I259" s="20"/>
    </row>
    <row r="260" spans="1:9" ht="13.15">
      <c r="A260" s="19"/>
      <c r="B260" s="19"/>
      <c r="C260" s="19"/>
      <c r="D260" s="19"/>
      <c r="E260" s="19"/>
      <c r="F260" s="20"/>
      <c r="G260" s="19"/>
      <c r="H260" s="19"/>
      <c r="I260" s="20"/>
    </row>
    <row r="261" spans="1:9" ht="13.15">
      <c r="A261" s="19"/>
      <c r="B261" s="19"/>
      <c r="C261" s="19"/>
      <c r="D261" s="19"/>
      <c r="E261" s="19"/>
      <c r="F261" s="20"/>
      <c r="G261" s="19"/>
      <c r="H261" s="19"/>
      <c r="I261" s="20"/>
    </row>
    <row r="262" spans="1:9" ht="13.15">
      <c r="A262" s="19"/>
      <c r="B262" s="19"/>
      <c r="C262" s="19"/>
      <c r="D262" s="19"/>
      <c r="E262" s="19"/>
      <c r="F262" s="20"/>
      <c r="G262" s="19"/>
      <c r="H262" s="19"/>
      <c r="I262" s="20"/>
    </row>
    <row r="263" spans="1:9" ht="13.15">
      <c r="A263" s="19"/>
      <c r="B263" s="19"/>
      <c r="C263" s="19"/>
      <c r="D263" s="19"/>
      <c r="E263" s="19"/>
      <c r="F263" s="20"/>
      <c r="G263" s="19"/>
      <c r="H263" s="19"/>
      <c r="I263" s="20"/>
    </row>
    <row r="264" spans="1:9" ht="13.15">
      <c r="A264" s="19"/>
      <c r="B264" s="19"/>
      <c r="C264" s="19"/>
      <c r="D264" s="19"/>
      <c r="E264" s="19"/>
      <c r="F264" s="20"/>
      <c r="G264" s="19"/>
      <c r="H264" s="19"/>
      <c r="I264" s="20"/>
    </row>
    <row r="265" spans="1:9" ht="13.15">
      <c r="A265" s="19"/>
      <c r="B265" s="19"/>
      <c r="C265" s="19"/>
      <c r="D265" s="19"/>
      <c r="E265" s="19"/>
      <c r="F265" s="20"/>
      <c r="G265" s="19"/>
      <c r="H265" s="19"/>
      <c r="I265" s="20"/>
    </row>
    <row r="266" spans="1:9" ht="13.15">
      <c r="A266" s="19"/>
      <c r="B266" s="19"/>
      <c r="C266" s="19"/>
      <c r="D266" s="19"/>
      <c r="E266" s="19"/>
      <c r="F266" s="20"/>
      <c r="G266" s="19"/>
      <c r="H266" s="19"/>
      <c r="I266" s="20"/>
    </row>
    <row r="267" spans="1:9" ht="13.15">
      <c r="A267" s="19"/>
      <c r="B267" s="19"/>
      <c r="C267" s="19"/>
      <c r="D267" s="19"/>
      <c r="E267" s="19"/>
      <c r="F267" s="20"/>
      <c r="G267" s="19"/>
      <c r="H267" s="19"/>
      <c r="I267" s="20"/>
    </row>
    <row r="268" spans="1:9" ht="13.15">
      <c r="A268" s="19"/>
      <c r="B268" s="19"/>
      <c r="C268" s="19"/>
      <c r="D268" s="19"/>
      <c r="E268" s="19"/>
      <c r="F268" s="20"/>
      <c r="G268" s="19"/>
      <c r="H268" s="19"/>
      <c r="I268" s="20"/>
    </row>
    <row r="269" spans="1:9" ht="13.15">
      <c r="A269" s="19"/>
      <c r="B269" s="19"/>
      <c r="C269" s="19"/>
      <c r="D269" s="19"/>
      <c r="E269" s="19"/>
      <c r="F269" s="20"/>
      <c r="G269" s="19"/>
      <c r="H269" s="19"/>
      <c r="I269" s="20"/>
    </row>
    <row r="270" spans="1:9" ht="13.15">
      <c r="A270" s="19"/>
      <c r="B270" s="19"/>
      <c r="C270" s="19"/>
      <c r="D270" s="19"/>
      <c r="E270" s="19"/>
      <c r="F270" s="20"/>
      <c r="G270" s="19"/>
      <c r="H270" s="19"/>
      <c r="I270" s="20"/>
    </row>
    <row r="271" spans="1:9" ht="13.15">
      <c r="A271" s="19"/>
      <c r="B271" s="19"/>
      <c r="C271" s="19"/>
      <c r="D271" s="19"/>
      <c r="E271" s="19"/>
      <c r="F271" s="20"/>
      <c r="G271" s="19"/>
      <c r="H271" s="19"/>
      <c r="I271" s="20"/>
    </row>
    <row r="272" spans="1:9" ht="13.15">
      <c r="A272" s="19"/>
      <c r="B272" s="19"/>
      <c r="C272" s="19"/>
      <c r="D272" s="19"/>
      <c r="E272" s="19"/>
      <c r="F272" s="20"/>
      <c r="G272" s="19"/>
      <c r="H272" s="19"/>
      <c r="I272" s="20"/>
    </row>
    <row r="273" spans="1:9" ht="13.15">
      <c r="A273" s="19"/>
      <c r="B273" s="19"/>
      <c r="C273" s="19"/>
      <c r="D273" s="19"/>
      <c r="E273" s="19"/>
      <c r="F273" s="20"/>
      <c r="G273" s="19"/>
      <c r="H273" s="19"/>
      <c r="I273" s="20"/>
    </row>
    <row r="274" spans="1:9" ht="13.15">
      <c r="A274" s="19"/>
      <c r="B274" s="19"/>
      <c r="C274" s="19"/>
      <c r="D274" s="19"/>
      <c r="E274" s="19"/>
      <c r="F274" s="20"/>
      <c r="G274" s="19"/>
      <c r="H274" s="19"/>
      <c r="I274" s="20"/>
    </row>
    <row r="275" spans="1:9" ht="13.15">
      <c r="A275" s="19"/>
      <c r="B275" s="19"/>
      <c r="C275" s="19"/>
      <c r="D275" s="19"/>
      <c r="E275" s="19"/>
      <c r="F275" s="20"/>
      <c r="G275" s="19"/>
      <c r="H275" s="19"/>
      <c r="I275" s="20"/>
    </row>
    <row r="276" spans="1:9" ht="13.15">
      <c r="A276" s="19"/>
      <c r="B276" s="19"/>
      <c r="C276" s="19"/>
      <c r="D276" s="19"/>
      <c r="E276" s="19"/>
      <c r="F276" s="20"/>
      <c r="G276" s="19"/>
      <c r="H276" s="19"/>
      <c r="I276" s="20"/>
    </row>
    <row r="277" spans="1:9" ht="13.15">
      <c r="A277" s="19"/>
      <c r="B277" s="19"/>
      <c r="C277" s="19"/>
      <c r="D277" s="19"/>
      <c r="E277" s="19"/>
      <c r="F277" s="20"/>
      <c r="G277" s="19"/>
      <c r="H277" s="19"/>
      <c r="I277" s="20"/>
    </row>
    <row r="278" spans="1:9" ht="13.15">
      <c r="A278" s="19"/>
      <c r="B278" s="19"/>
      <c r="C278" s="19"/>
      <c r="D278" s="19"/>
      <c r="E278" s="19"/>
      <c r="F278" s="20"/>
      <c r="G278" s="19"/>
      <c r="H278" s="19"/>
      <c r="I278" s="20"/>
    </row>
    <row r="279" spans="1:9" ht="13.15">
      <c r="A279" s="19"/>
      <c r="B279" s="19"/>
      <c r="C279" s="19"/>
      <c r="D279" s="19"/>
      <c r="E279" s="19"/>
      <c r="F279" s="20"/>
      <c r="G279" s="19"/>
      <c r="H279" s="19"/>
      <c r="I279" s="20"/>
    </row>
    <row r="280" spans="1:9" ht="13.15">
      <c r="A280" s="19"/>
      <c r="B280" s="19"/>
      <c r="C280" s="19"/>
      <c r="D280" s="19"/>
      <c r="E280" s="19"/>
      <c r="F280" s="20"/>
      <c r="G280" s="19"/>
      <c r="H280" s="19"/>
      <c r="I280" s="20"/>
    </row>
    <row r="281" spans="1:9" ht="13.15">
      <c r="A281" s="19"/>
      <c r="B281" s="19"/>
      <c r="C281" s="19"/>
      <c r="D281" s="19"/>
      <c r="E281" s="19"/>
      <c r="F281" s="20"/>
      <c r="G281" s="19"/>
      <c r="H281" s="19"/>
      <c r="I281" s="20"/>
    </row>
    <row r="282" spans="1:9" ht="13.15">
      <c r="A282" s="19"/>
      <c r="B282" s="19"/>
      <c r="C282" s="19"/>
      <c r="D282" s="19"/>
      <c r="E282" s="19"/>
      <c r="F282" s="20"/>
      <c r="G282" s="19"/>
      <c r="H282" s="19"/>
      <c r="I282" s="20"/>
    </row>
    <row r="283" spans="1:9" ht="13.15">
      <c r="A283" s="19"/>
      <c r="B283" s="19"/>
      <c r="C283" s="19"/>
      <c r="D283" s="19"/>
      <c r="E283" s="19"/>
      <c r="F283" s="20"/>
      <c r="G283" s="19"/>
      <c r="H283" s="19"/>
      <c r="I283" s="20"/>
    </row>
    <row r="284" spans="1:9" ht="13.15">
      <c r="A284" s="19"/>
      <c r="B284" s="19"/>
      <c r="C284" s="19"/>
      <c r="D284" s="19"/>
      <c r="E284" s="19"/>
      <c r="F284" s="20"/>
      <c r="G284" s="19"/>
      <c r="H284" s="19"/>
      <c r="I284" s="20"/>
    </row>
    <row r="285" spans="1:9" ht="13.15">
      <c r="A285" s="19"/>
      <c r="B285" s="19"/>
      <c r="C285" s="19"/>
      <c r="D285" s="19"/>
      <c r="E285" s="19"/>
      <c r="F285" s="20"/>
      <c r="G285" s="19"/>
      <c r="H285" s="19"/>
      <c r="I285" s="20"/>
    </row>
    <row r="286" spans="1:9" ht="13.15">
      <c r="A286" s="19"/>
      <c r="B286" s="19"/>
      <c r="C286" s="19"/>
      <c r="D286" s="19"/>
      <c r="E286" s="19"/>
      <c r="F286" s="20"/>
      <c r="G286" s="19"/>
      <c r="H286" s="19"/>
      <c r="I286" s="20"/>
    </row>
    <row r="287" spans="1:9" ht="13.15">
      <c r="A287" s="19"/>
      <c r="B287" s="19"/>
      <c r="C287" s="19"/>
      <c r="D287" s="19"/>
      <c r="E287" s="19"/>
      <c r="F287" s="20"/>
      <c r="G287" s="19"/>
      <c r="H287" s="19"/>
      <c r="I287" s="20"/>
    </row>
    <row r="288" spans="1:9" ht="13.15">
      <c r="A288" s="19"/>
      <c r="B288" s="19"/>
      <c r="C288" s="19"/>
      <c r="D288" s="19"/>
      <c r="E288" s="19"/>
      <c r="F288" s="20"/>
      <c r="G288" s="19"/>
      <c r="H288" s="19"/>
      <c r="I288" s="20"/>
    </row>
    <row r="289" spans="1:9" ht="13.15">
      <c r="A289" s="19"/>
      <c r="B289" s="19"/>
      <c r="C289" s="19"/>
      <c r="D289" s="19"/>
      <c r="E289" s="19"/>
      <c r="F289" s="20"/>
      <c r="G289" s="19"/>
      <c r="H289" s="19"/>
      <c r="I289" s="20"/>
    </row>
    <row r="290" spans="1:9" ht="13.15">
      <c r="A290" s="19"/>
      <c r="B290" s="19"/>
      <c r="C290" s="19"/>
      <c r="D290" s="19"/>
      <c r="E290" s="19"/>
      <c r="F290" s="20"/>
      <c r="G290" s="19"/>
      <c r="H290" s="19"/>
      <c r="I290" s="20"/>
    </row>
    <row r="291" spans="1:9" ht="13.15">
      <c r="A291" s="19"/>
      <c r="B291" s="19"/>
      <c r="C291" s="19"/>
      <c r="D291" s="19"/>
      <c r="E291" s="19"/>
      <c r="F291" s="20"/>
      <c r="G291" s="19"/>
      <c r="H291" s="19"/>
      <c r="I291" s="20"/>
    </row>
    <row r="292" spans="1:9" ht="13.15">
      <c r="A292" s="19"/>
      <c r="B292" s="19"/>
      <c r="C292" s="19"/>
      <c r="D292" s="19"/>
      <c r="E292" s="19"/>
      <c r="F292" s="20"/>
      <c r="G292" s="19"/>
      <c r="H292" s="19"/>
      <c r="I292" s="20"/>
    </row>
    <row r="293" spans="1:9" ht="13.15">
      <c r="A293" s="19"/>
      <c r="B293" s="19"/>
      <c r="C293" s="19"/>
      <c r="D293" s="19"/>
      <c r="E293" s="19"/>
      <c r="F293" s="20"/>
      <c r="G293" s="19"/>
      <c r="H293" s="19"/>
      <c r="I293" s="20"/>
    </row>
    <row r="294" spans="1:9" ht="13.15">
      <c r="A294" s="19"/>
      <c r="B294" s="19"/>
      <c r="C294" s="19"/>
      <c r="D294" s="19"/>
      <c r="E294" s="19"/>
      <c r="F294" s="20"/>
      <c r="G294" s="19"/>
      <c r="H294" s="19"/>
      <c r="I294" s="20"/>
    </row>
    <row r="295" spans="1:9" ht="13.15">
      <c r="A295" s="19"/>
      <c r="B295" s="19"/>
      <c r="C295" s="19"/>
      <c r="D295" s="19"/>
      <c r="E295" s="19"/>
      <c r="F295" s="20"/>
      <c r="G295" s="19"/>
      <c r="H295" s="19"/>
      <c r="I295" s="20"/>
    </row>
    <row r="296" spans="1:9" ht="13.15">
      <c r="A296" s="19"/>
      <c r="B296" s="19"/>
      <c r="C296" s="19"/>
      <c r="D296" s="19"/>
      <c r="E296" s="19"/>
      <c r="F296" s="20"/>
      <c r="G296" s="19"/>
      <c r="H296" s="19"/>
      <c r="I296" s="20"/>
    </row>
    <row r="297" spans="1:9" ht="13.15">
      <c r="A297" s="19"/>
      <c r="B297" s="19"/>
      <c r="C297" s="19"/>
      <c r="D297" s="19"/>
      <c r="E297" s="19"/>
      <c r="F297" s="20"/>
      <c r="G297" s="19"/>
      <c r="H297" s="19"/>
      <c r="I297" s="20"/>
    </row>
    <row r="298" spans="1:9" ht="13.15">
      <c r="A298" s="19"/>
      <c r="B298" s="19"/>
      <c r="C298" s="19"/>
      <c r="D298" s="19"/>
      <c r="E298" s="19"/>
      <c r="F298" s="20"/>
      <c r="G298" s="19"/>
      <c r="H298" s="19"/>
      <c r="I298" s="20"/>
    </row>
    <row r="299" spans="1:9" ht="13.15">
      <c r="A299" s="19"/>
      <c r="B299" s="19"/>
      <c r="C299" s="19"/>
      <c r="D299" s="19"/>
      <c r="E299" s="19"/>
      <c r="F299" s="20"/>
      <c r="G299" s="19"/>
      <c r="H299" s="19"/>
      <c r="I299" s="20"/>
    </row>
    <row r="300" spans="1:9" ht="13.15">
      <c r="A300" s="19"/>
      <c r="B300" s="19"/>
      <c r="C300" s="19"/>
      <c r="D300" s="19"/>
      <c r="E300" s="19"/>
      <c r="F300" s="20"/>
      <c r="G300" s="19"/>
      <c r="H300" s="19"/>
      <c r="I300" s="20"/>
    </row>
    <row r="301" spans="1:9" ht="13.15">
      <c r="A301" s="19"/>
      <c r="B301" s="19"/>
      <c r="C301" s="19"/>
      <c r="D301" s="19"/>
      <c r="E301" s="19"/>
      <c r="F301" s="20"/>
      <c r="G301" s="19"/>
      <c r="H301" s="19"/>
      <c r="I301" s="20"/>
    </row>
    <row r="302" spans="1:9" ht="13.15">
      <c r="A302" s="19"/>
      <c r="B302" s="19"/>
      <c r="C302" s="19"/>
      <c r="D302" s="19"/>
      <c r="E302" s="19"/>
      <c r="F302" s="20"/>
      <c r="G302" s="19"/>
      <c r="H302" s="19"/>
      <c r="I302" s="20"/>
    </row>
    <row r="303" spans="1:9" ht="13.15">
      <c r="A303" s="19"/>
      <c r="B303" s="19"/>
      <c r="C303" s="19"/>
      <c r="D303" s="19"/>
      <c r="E303" s="19"/>
      <c r="F303" s="20"/>
      <c r="G303" s="19"/>
      <c r="H303" s="19"/>
      <c r="I303" s="20"/>
    </row>
    <row r="304" spans="1:9" ht="13.15">
      <c r="A304" s="19"/>
      <c r="B304" s="19"/>
      <c r="C304" s="19"/>
      <c r="D304" s="19"/>
      <c r="E304" s="19"/>
      <c r="F304" s="20"/>
      <c r="G304" s="19"/>
      <c r="H304" s="19"/>
      <c r="I304" s="20"/>
    </row>
    <row r="305" spans="1:9" ht="13.15">
      <c r="A305" s="19"/>
      <c r="B305" s="19"/>
      <c r="C305" s="19"/>
      <c r="D305" s="19"/>
      <c r="E305" s="19"/>
      <c r="F305" s="20"/>
      <c r="G305" s="19"/>
      <c r="H305" s="19"/>
      <c r="I305" s="20"/>
    </row>
    <row r="306" spans="1:9" ht="13.15">
      <c r="A306" s="19"/>
      <c r="B306" s="19"/>
      <c r="C306" s="19"/>
      <c r="D306" s="19"/>
      <c r="E306" s="19"/>
      <c r="F306" s="20"/>
      <c r="G306" s="19"/>
      <c r="H306" s="19"/>
      <c r="I306" s="20"/>
    </row>
    <row r="307" spans="1:9" ht="13.15">
      <c r="A307" s="19"/>
      <c r="B307" s="19"/>
      <c r="C307" s="19"/>
      <c r="D307" s="19"/>
      <c r="E307" s="19"/>
      <c r="F307" s="20"/>
      <c r="G307" s="19"/>
      <c r="H307" s="19"/>
      <c r="I307" s="20"/>
    </row>
    <row r="308" spans="1:9" ht="13.15">
      <c r="A308" s="19"/>
      <c r="B308" s="19"/>
      <c r="C308" s="19"/>
      <c r="D308" s="19"/>
      <c r="E308" s="19"/>
      <c r="F308" s="20"/>
      <c r="G308" s="19"/>
      <c r="H308" s="19"/>
      <c r="I308" s="20"/>
    </row>
    <row r="309" spans="1:9" ht="13.15">
      <c r="A309" s="19"/>
      <c r="B309" s="19"/>
      <c r="C309" s="19"/>
      <c r="D309" s="19"/>
      <c r="E309" s="19"/>
      <c r="F309" s="20"/>
      <c r="G309" s="19"/>
      <c r="H309" s="19"/>
      <c r="I309" s="20"/>
    </row>
    <row r="310" spans="1:9" ht="13.15">
      <c r="A310" s="19"/>
      <c r="B310" s="19"/>
      <c r="C310" s="19"/>
      <c r="D310" s="19"/>
      <c r="E310" s="19"/>
      <c r="F310" s="20"/>
      <c r="G310" s="19"/>
      <c r="H310" s="19"/>
      <c r="I310" s="20"/>
    </row>
    <row r="311" spans="1:9" ht="13.15">
      <c r="A311" s="19"/>
      <c r="B311" s="19"/>
      <c r="C311" s="19"/>
      <c r="D311" s="19"/>
      <c r="E311" s="19"/>
      <c r="F311" s="20"/>
      <c r="G311" s="19"/>
      <c r="H311" s="19"/>
      <c r="I311" s="20"/>
    </row>
    <row r="312" spans="1:9" ht="13.15">
      <c r="A312" s="19"/>
      <c r="B312" s="19"/>
      <c r="C312" s="19"/>
      <c r="D312" s="19"/>
      <c r="E312" s="19"/>
      <c r="F312" s="20"/>
      <c r="G312" s="19"/>
      <c r="H312" s="19"/>
      <c r="I312" s="20"/>
    </row>
    <row r="313" spans="1:9" ht="13.15">
      <c r="A313" s="19"/>
      <c r="B313" s="19"/>
      <c r="C313" s="19"/>
      <c r="D313" s="19"/>
      <c r="E313" s="19"/>
      <c r="F313" s="20"/>
      <c r="G313" s="19"/>
      <c r="H313" s="19"/>
      <c r="I313" s="20"/>
    </row>
    <row r="314" spans="1:9" ht="13.15">
      <c r="A314" s="19"/>
      <c r="B314" s="19"/>
      <c r="C314" s="19"/>
      <c r="D314" s="19"/>
      <c r="E314" s="19"/>
      <c r="F314" s="20"/>
      <c r="G314" s="19"/>
      <c r="H314" s="19"/>
      <c r="I314" s="20"/>
    </row>
    <row r="315" spans="1:9" ht="13.15">
      <c r="A315" s="19"/>
      <c r="B315" s="19"/>
      <c r="C315" s="19"/>
      <c r="D315" s="19"/>
      <c r="E315" s="19"/>
      <c r="F315" s="20"/>
      <c r="G315" s="19"/>
      <c r="H315" s="19"/>
      <c r="I315" s="20"/>
    </row>
    <row r="316" spans="1:9" ht="13.15">
      <c r="A316" s="19"/>
      <c r="B316" s="19"/>
      <c r="C316" s="19"/>
      <c r="D316" s="19"/>
      <c r="E316" s="19"/>
      <c r="F316" s="20"/>
      <c r="G316" s="19"/>
      <c r="H316" s="19"/>
      <c r="I316" s="20"/>
    </row>
    <row r="317" spans="1:9" ht="13.15">
      <c r="A317" s="19"/>
      <c r="B317" s="19"/>
      <c r="C317" s="19"/>
      <c r="D317" s="19"/>
      <c r="E317" s="19"/>
      <c r="F317" s="20"/>
      <c r="G317" s="19"/>
      <c r="H317" s="19"/>
      <c r="I317" s="20"/>
    </row>
    <row r="318" spans="1:9" ht="13.15">
      <c r="A318" s="19"/>
      <c r="B318" s="19"/>
      <c r="C318" s="19"/>
      <c r="D318" s="19"/>
      <c r="E318" s="19"/>
      <c r="F318" s="20"/>
      <c r="G318" s="19"/>
      <c r="H318" s="19"/>
      <c r="I318" s="20"/>
    </row>
    <row r="319" spans="1:9" ht="13.15">
      <c r="A319" s="19"/>
      <c r="B319" s="19"/>
      <c r="C319" s="19"/>
      <c r="D319" s="19"/>
      <c r="E319" s="19"/>
      <c r="F319" s="20"/>
      <c r="G319" s="19"/>
      <c r="H319" s="19"/>
      <c r="I319" s="20"/>
    </row>
    <row r="320" spans="1:9" ht="13.15">
      <c r="A320" s="19"/>
      <c r="B320" s="19"/>
      <c r="C320" s="19"/>
      <c r="D320" s="19"/>
      <c r="E320" s="19"/>
      <c r="F320" s="20"/>
      <c r="G320" s="19"/>
      <c r="H320" s="19"/>
      <c r="I320" s="20"/>
    </row>
    <row r="321" spans="1:9" ht="13.15">
      <c r="A321" s="19"/>
      <c r="B321" s="19"/>
      <c r="C321" s="19"/>
      <c r="D321" s="19"/>
      <c r="E321" s="19"/>
      <c r="F321" s="20"/>
      <c r="G321" s="19"/>
      <c r="H321" s="19"/>
      <c r="I321" s="20"/>
    </row>
  </sheetData>
  <mergeCells count="4">
    <mergeCell ref="G1:I1"/>
    <mergeCell ref="A1:C1"/>
    <mergeCell ref="D1:F1"/>
    <mergeCell ref="A2:B2"/>
  </mergeCells>
  <conditionalFormatting sqref="F2 I2 F4:F79 I4:I79">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17" activePane="bottomRight" state="frozen"/>
      <selection pane="bottomRight" activeCell="A17" sqref="A17"/>
      <selection pane="bottomLeft" activeCell="F27" sqref="F27"/>
      <selection pane="topRight" activeCell="F27" sqref="F27"/>
    </sheetView>
  </sheetViews>
  <sheetFormatPr defaultRowHeight="12.75"/>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111" t="str" cm="1">
        <f t="array" ref="A1">portfolio</f>
        <v>GoodFinch</v>
      </c>
      <c r="B1" s="111"/>
      <c r="C1" s="111"/>
      <c r="D1" s="112" t="s">
        <v>16</v>
      </c>
      <c r="E1" s="112"/>
      <c r="F1" s="112"/>
      <c r="G1" s="110" t="s">
        <v>17</v>
      </c>
      <c r="H1" s="110"/>
      <c r="I1" s="110"/>
    </row>
    <row r="2" spans="1:9" ht="19.5" customHeight="1">
      <c r="A2" s="113" t="s">
        <v>2</v>
      </c>
      <c r="B2" s="113"/>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75">
      <c r="A4" s="46" t="str" cm="1">
        <f t="array" ref="A4:A45">Sites[Site]</f>
        <v>AZ: Tempe - ASU - Farmer</v>
      </c>
      <c r="B4" s="9" t="str" cm="1">
        <f t="array" ref="B4:B45">Sites[State]</f>
        <v>AZ</v>
      </c>
      <c r="C4" s="22">
        <f>SUM(Oct!C4, Nov!C4, Dec!C4)</f>
        <v>0</v>
      </c>
      <c r="D4" s="12">
        <f>SUM(Oct!D4, Nov!D4, Dec!D4)</f>
        <v>0</v>
      </c>
      <c r="E4" s="12">
        <f>IF(AND(ISNUMBER(C4),ISNUMBER(D4)), C4-D4, "")</f>
        <v>0</v>
      </c>
      <c r="F4" s="13" t="str">
        <f>IFERROR(E4/D4, "")</f>
        <v/>
      </c>
      <c r="G4" s="14">
        <f>SUM(Oct!G4,Nov!G4,Dec!G4)</f>
        <v>0</v>
      </c>
      <c r="H4" s="14">
        <f>SUM(Oct!H4, Nov!H4, Dec!H4)</f>
        <v>0</v>
      </c>
      <c r="I4" s="15" t="str">
        <f>IFERROR(H4/G4, "")</f>
        <v/>
      </c>
    </row>
    <row r="5" spans="1:9" ht="15.75">
      <c r="A5" s="47" t="str">
        <v>AZ: Tempe - ASU - Fulton</v>
      </c>
      <c r="B5" s="10" t="str">
        <v>AZ</v>
      </c>
      <c r="C5" s="11">
        <f>SUM(Oct!C5, Nov!C5, Dec!C5)</f>
        <v>0</v>
      </c>
      <c r="D5" s="16">
        <f>SUM(Oct!D5, Nov!D5, Dec!D5)</f>
        <v>0</v>
      </c>
      <c r="E5" s="16">
        <f t="shared" ref="E5:E10" si="0">IF(AND(ISNUMBER(C5),ISNUMBER(D5)), C5-D5, "")</f>
        <v>0</v>
      </c>
      <c r="F5" s="17" t="str">
        <f>IFERROR(E5/D5, "")</f>
        <v/>
      </c>
      <c r="G5" s="16">
        <f>SUM(Oct!G5,Nov!G5,Dec!G5)</f>
        <v>0</v>
      </c>
      <c r="H5" s="18">
        <f>SUM(Oct!H5, Nov!H5, Dec!H5)</f>
        <v>0</v>
      </c>
      <c r="I5" s="17" t="str">
        <f>IFERROR(H5/G5, "")</f>
        <v/>
      </c>
    </row>
    <row r="6" spans="1:9" ht="15.75">
      <c r="A6" s="46" t="str">
        <v>AZ: Superior - JFK Elementary</v>
      </c>
      <c r="B6" s="9" t="str">
        <v>AZ</v>
      </c>
      <c r="C6" s="22">
        <f>SUM(Oct!C6, Nov!C6, Dec!C6)</f>
        <v>0</v>
      </c>
      <c r="D6" s="12">
        <f>SUM(Oct!D6, Nov!D6, Dec!D6)</f>
        <v>0</v>
      </c>
      <c r="E6" s="12">
        <f t="shared" si="0"/>
        <v>0</v>
      </c>
      <c r="F6" s="13" t="str">
        <f t="shared" ref="F6:F10" si="1">IFERROR(E6/D6, "")</f>
        <v/>
      </c>
      <c r="G6" s="14">
        <f>SUM(Oct!G6,Nov!G6,Dec!G6)</f>
        <v>0</v>
      </c>
      <c r="H6" s="14">
        <f>SUM(Oct!H6, Nov!H6, Dec!H6)</f>
        <v>0</v>
      </c>
      <c r="I6" s="15" t="str">
        <f t="shared" ref="I6:I10" si="2">IFERROR(H6/G6, "")</f>
        <v/>
      </c>
    </row>
    <row r="7" spans="1:9" ht="15.75">
      <c r="A7" s="47" t="str">
        <v>AZ: Tempe - ASU - Noble</v>
      </c>
      <c r="B7" s="10" t="str">
        <v>AZ</v>
      </c>
      <c r="C7" s="11">
        <f>SUM(Oct!C7, Nov!C7, Dec!C7)</f>
        <v>0</v>
      </c>
      <c r="D7" s="16">
        <f>SUM(Oct!D7, Nov!D7, Dec!D7)</f>
        <v>0</v>
      </c>
      <c r="E7" s="16">
        <f t="shared" si="0"/>
        <v>0</v>
      </c>
      <c r="F7" s="17" t="str">
        <f t="shared" si="1"/>
        <v/>
      </c>
      <c r="G7" s="16">
        <f>SUM(Oct!G7,Nov!G7,Dec!G7)</f>
        <v>0</v>
      </c>
      <c r="H7" s="18">
        <f>SUM(Oct!H7, Nov!H7, Dec!H7)</f>
        <v>0</v>
      </c>
      <c r="I7" s="17" t="str">
        <f t="shared" si="2"/>
        <v/>
      </c>
    </row>
    <row r="8" spans="1:9" ht="15.75">
      <c r="A8" s="46" t="str">
        <v>AZ: Tempe - ASU - Parking #3</v>
      </c>
      <c r="B8" s="9" t="str">
        <v>AZ</v>
      </c>
      <c r="C8" s="22">
        <f>SUM(Oct!C8, Nov!C8, Dec!C8)</f>
        <v>0</v>
      </c>
      <c r="D8" s="12">
        <f>SUM(Oct!D8, Nov!D8, Dec!D8)</f>
        <v>0</v>
      </c>
      <c r="E8" s="12">
        <f t="shared" si="0"/>
        <v>0</v>
      </c>
      <c r="F8" s="13" t="str">
        <f t="shared" si="1"/>
        <v/>
      </c>
      <c r="G8" s="14">
        <f>SUM(Oct!G8,Nov!G8,Dec!G8)</f>
        <v>0</v>
      </c>
      <c r="H8" s="14">
        <f>SUM(Oct!H8,Nov!H8,Dec!H8)</f>
        <v>0</v>
      </c>
      <c r="I8" s="15" t="str">
        <f t="shared" si="2"/>
        <v/>
      </c>
    </row>
    <row r="9" spans="1:9" ht="15.75">
      <c r="A9" s="47" t="str">
        <v>AZ: Tempe - ASU - PE East</v>
      </c>
      <c r="B9" s="10" t="str">
        <v>AZ</v>
      </c>
      <c r="C9" s="11">
        <f>SUM(Oct!C9, Nov!C9, Dec!C9)</f>
        <v>0</v>
      </c>
      <c r="D9" s="16">
        <f>SUM(Oct!D9, Nov!D9, Dec!D9)</f>
        <v>0</v>
      </c>
      <c r="E9" s="16">
        <f t="shared" si="0"/>
        <v>0</v>
      </c>
      <c r="F9" s="17" t="str">
        <f t="shared" si="1"/>
        <v/>
      </c>
      <c r="G9" s="16">
        <f>SUM(Oct!G9,Nov!G9,Dec!G9)</f>
        <v>0</v>
      </c>
      <c r="H9" s="18">
        <f>SUM(Oct!H9,Nov!H9,Dec!H9)</f>
        <v>0</v>
      </c>
      <c r="I9" s="17" t="str">
        <f t="shared" si="2"/>
        <v/>
      </c>
    </row>
    <row r="10" spans="1:9" ht="15.75">
      <c r="A10" s="46" t="str">
        <v>AZ: Tempe - ASU - Schwada</v>
      </c>
      <c r="B10" s="9" t="str">
        <v>AZ</v>
      </c>
      <c r="C10" s="22">
        <f>SUM(Oct!C10, Nov!C10, Dec!C10)</f>
        <v>0</v>
      </c>
      <c r="D10" s="12">
        <f>SUM(Oct!D10, Nov!D10, Dec!D10)</f>
        <v>0</v>
      </c>
      <c r="E10" s="12">
        <f t="shared" si="0"/>
        <v>0</v>
      </c>
      <c r="F10" s="13" t="str">
        <f t="shared" si="1"/>
        <v/>
      </c>
      <c r="G10" s="14">
        <f>SUM(Oct!G10,Nov!G10,Dec!G10)</f>
        <v>0</v>
      </c>
      <c r="H10" s="14">
        <f>SUM(Oct!H10,Nov!H10,Dec!H10)</f>
        <v>0</v>
      </c>
      <c r="I10" s="15" t="str">
        <f t="shared" si="2"/>
        <v/>
      </c>
    </row>
    <row r="11" spans="1:9" ht="15.75">
      <c r="A11" s="47" t="str">
        <v>AZ: Phoenix - Starshine Academy</v>
      </c>
      <c r="B11" s="10" t="str">
        <v>AZ</v>
      </c>
      <c r="C11" s="100">
        <f>SUM(Oct!C11, Nov!C11, Dec!C11)</f>
        <v>0</v>
      </c>
      <c r="D11" s="16">
        <f>SUM(Oct!D11, Nov!D11, Dec!D11)</f>
        <v>0</v>
      </c>
      <c r="E11" s="16">
        <f t="shared" ref="E11:E45" si="3">IF(AND(ISNUMBER(C11),ISNUMBER(D11)), C11-D11, "")</f>
        <v>0</v>
      </c>
      <c r="F11" s="99" t="str">
        <f t="shared" ref="F11:F45" si="4">IFERROR(E11/D11, "")</f>
        <v/>
      </c>
      <c r="G11" s="16">
        <f>SUM(Oct!G11,Nov!G11,Dec!G11)</f>
        <v>0</v>
      </c>
      <c r="H11" s="80">
        <f>SUM(Oct!H11,Nov!H11,Dec!H11)</f>
        <v>0</v>
      </c>
      <c r="I11" s="99" t="str">
        <f t="shared" ref="I11:I45" si="5">IFERROR(H11/G11, "")</f>
        <v/>
      </c>
    </row>
    <row r="12" spans="1:9" ht="15.75">
      <c r="A12" s="46" t="str">
        <v>AZ: Yuma Airport</v>
      </c>
      <c r="B12" s="9" t="str">
        <v>AZ</v>
      </c>
      <c r="C12" s="73">
        <f>SUM(Oct!C12, Nov!C12, Dec!C12)</f>
        <v>0</v>
      </c>
      <c r="D12" s="12">
        <f>SUM(Oct!D12, Nov!D12, Dec!D12)</f>
        <v>0</v>
      </c>
      <c r="E12" s="12">
        <f t="shared" si="3"/>
        <v>0</v>
      </c>
      <c r="F12" s="74" t="str">
        <f t="shared" si="4"/>
        <v/>
      </c>
      <c r="G12" s="75">
        <f>SUM(Oct!G12,Nov!G12,Dec!G12)</f>
        <v>0</v>
      </c>
      <c r="H12" s="75">
        <f>SUM(Oct!H12,Nov!H12,Dec!H12)</f>
        <v>0</v>
      </c>
      <c r="I12" s="76" t="str">
        <f t="shared" si="5"/>
        <v/>
      </c>
    </row>
    <row r="13" spans="1:9" ht="15.75">
      <c r="A13" s="47" t="str">
        <v>AZ: Globe - Gila CC</v>
      </c>
      <c r="B13" s="10" t="str">
        <v>AZ</v>
      </c>
      <c r="C13" s="100">
        <f>SUM(Oct!C13, Nov!C13, Dec!C13)</f>
        <v>0</v>
      </c>
      <c r="D13" s="16">
        <f>SUM(Oct!D13, Nov!D13, Dec!D13)</f>
        <v>0</v>
      </c>
      <c r="E13" s="16">
        <f t="shared" si="3"/>
        <v>0</v>
      </c>
      <c r="F13" s="99" t="str">
        <f t="shared" si="4"/>
        <v/>
      </c>
      <c r="G13" s="16">
        <f>SUM(Oct!G13,Nov!G13,Dec!G13)</f>
        <v>0</v>
      </c>
      <c r="H13" s="80">
        <f>SUM(Oct!H13,Nov!H13,Dec!H13)</f>
        <v>0</v>
      </c>
      <c r="I13" s="99" t="str">
        <f t="shared" si="5"/>
        <v/>
      </c>
    </row>
    <row r="14" spans="1:9" ht="15.75">
      <c r="A14" s="46" t="str">
        <v>AZ: Payson - Gila CC</v>
      </c>
      <c r="B14" s="9" t="str">
        <v>AZ</v>
      </c>
      <c r="C14" s="73">
        <f>SUM(Oct!C14, Nov!C14, Dec!C14)</f>
        <v>0</v>
      </c>
      <c r="D14" s="12">
        <f>SUM(Oct!D14, Nov!D14, Dec!D14)</f>
        <v>0</v>
      </c>
      <c r="E14" s="12">
        <f t="shared" si="3"/>
        <v>0</v>
      </c>
      <c r="F14" s="74" t="str">
        <f t="shared" si="4"/>
        <v/>
      </c>
      <c r="G14" s="75">
        <f>SUM(Oct!G14,Nov!G14,Dec!G14)</f>
        <v>0</v>
      </c>
      <c r="H14" s="75">
        <f>SUM(Oct!H14,Nov!H14,Dec!H14)</f>
        <v>0</v>
      </c>
      <c r="I14" s="76" t="str">
        <f t="shared" si="5"/>
        <v/>
      </c>
    </row>
    <row r="15" spans="1:9" ht="15.75">
      <c r="A15" s="47" t="str">
        <v>AZ: Mesa - Sequoia Charter School</v>
      </c>
      <c r="B15" s="10" t="str">
        <v>AZ</v>
      </c>
      <c r="C15" s="100">
        <f>SUM(Oct!C15, Nov!C15, Dec!C15)</f>
        <v>0</v>
      </c>
      <c r="D15" s="16">
        <f>SUM(Oct!D15, Nov!D15, Dec!D15)</f>
        <v>0</v>
      </c>
      <c r="E15" s="16">
        <f t="shared" si="3"/>
        <v>0</v>
      </c>
      <c r="F15" s="99" t="str">
        <f t="shared" si="4"/>
        <v/>
      </c>
      <c r="G15" s="16">
        <f>SUM(Oct!G15,Nov!G15,Dec!G15)</f>
        <v>0</v>
      </c>
      <c r="H15" s="80">
        <f>SUM(Oct!H15,Nov!H15,Dec!H15)</f>
        <v>0</v>
      </c>
      <c r="I15" s="99" t="str">
        <f t="shared" si="5"/>
        <v/>
      </c>
    </row>
    <row r="16" spans="1:9" ht="15.75">
      <c r="A16" s="46" t="str">
        <v>AZ: Tempe - SCNM</v>
      </c>
      <c r="B16" s="9" t="str">
        <v>AZ</v>
      </c>
      <c r="C16" s="73">
        <f>SUM(Oct!C16, Nov!C16, Dec!C16)</f>
        <v>0</v>
      </c>
      <c r="D16" s="12">
        <f>SUM(Oct!D16, Nov!D16, Dec!D16)</f>
        <v>0</v>
      </c>
      <c r="E16" s="12">
        <f t="shared" si="3"/>
        <v>0</v>
      </c>
      <c r="F16" s="74" t="str">
        <f t="shared" si="4"/>
        <v/>
      </c>
      <c r="G16" s="75">
        <f>SUM(Oct!G16,Nov!G16,Dec!G16)</f>
        <v>0</v>
      </c>
      <c r="H16" s="75">
        <f>SUM(Oct!H16,Nov!H16,Dec!H16)</f>
        <v>0</v>
      </c>
      <c r="I16" s="76" t="str">
        <f t="shared" si="5"/>
        <v/>
      </c>
    </row>
    <row r="17" spans="1:9" ht="15.75">
      <c r="A17" s="47" t="str">
        <v>DE: Newark - Clayton Hall</v>
      </c>
      <c r="B17" s="10" t="str">
        <v>DE</v>
      </c>
      <c r="C17" s="100">
        <f>SUM(Oct!C17, Nov!C17, Dec!C17)</f>
        <v>0</v>
      </c>
      <c r="D17" s="16">
        <f>SUM(Oct!D17, Nov!D17, Dec!D17)</f>
        <v>0</v>
      </c>
      <c r="E17" s="16">
        <f t="shared" si="3"/>
        <v>0</v>
      </c>
      <c r="F17" s="99" t="str">
        <f t="shared" si="4"/>
        <v/>
      </c>
      <c r="G17" s="16">
        <f>SUM(Oct!G17,Nov!G17,Dec!G17)</f>
        <v>0</v>
      </c>
      <c r="H17" s="80">
        <f>SUM(Oct!H17,Nov!H17,Dec!H17)</f>
        <v>0</v>
      </c>
      <c r="I17" s="99" t="str">
        <f t="shared" si="5"/>
        <v/>
      </c>
    </row>
    <row r="18" spans="1:9" ht="15.75">
      <c r="A18" s="46" t="str">
        <v>DE: Newark - UOD Field House</v>
      </c>
      <c r="B18" s="9" t="str">
        <v>DE</v>
      </c>
      <c r="C18" s="73">
        <f>SUM(Oct!C18, Nov!C18, Dec!C18)</f>
        <v>0</v>
      </c>
      <c r="D18" s="12">
        <f>SUM(Oct!D18, Nov!D18, Dec!D18)</f>
        <v>0</v>
      </c>
      <c r="E18" s="12">
        <f t="shared" si="3"/>
        <v>0</v>
      </c>
      <c r="F18" s="74" t="str">
        <f t="shared" si="4"/>
        <v/>
      </c>
      <c r="G18" s="75">
        <f>SUM(Oct!G18,Nov!G18,Dec!G18)</f>
        <v>0</v>
      </c>
      <c r="H18" s="75">
        <f>SUM(Oct!H18,Nov!H18,Dec!H18)</f>
        <v>0</v>
      </c>
      <c r="I18" s="76" t="str">
        <f t="shared" si="5"/>
        <v/>
      </c>
    </row>
    <row r="19" spans="1:9" ht="15.75">
      <c r="A19" s="47" t="str">
        <v>DE: Newark - UOD 461 Wyoming</v>
      </c>
      <c r="B19" s="10" t="str">
        <v>DE</v>
      </c>
      <c r="C19" s="100">
        <f>SUM(Oct!C19, Nov!C19, Dec!C19)</f>
        <v>0</v>
      </c>
      <c r="D19" s="16">
        <f>SUM(Oct!D19, Nov!D19, Dec!D19)</f>
        <v>0</v>
      </c>
      <c r="E19" s="16">
        <f t="shared" si="3"/>
        <v>0</v>
      </c>
      <c r="F19" s="99" t="str">
        <f t="shared" si="4"/>
        <v/>
      </c>
      <c r="G19" s="16">
        <f>SUM(Oct!G19,Nov!G19,Dec!G19)</f>
        <v>0</v>
      </c>
      <c r="H19" s="80">
        <f>SUM(Oct!H19,Nov!H19,Dec!H19)</f>
        <v>0</v>
      </c>
      <c r="I19" s="99" t="str">
        <f t="shared" si="5"/>
        <v/>
      </c>
    </row>
    <row r="20" spans="1:9" ht="15.75">
      <c r="A20" s="46" t="str">
        <v>HI: Waipahu - 94-246 Leoku St - E.F.G.</v>
      </c>
      <c r="B20" s="9" t="str">
        <v>HI</v>
      </c>
      <c r="C20" s="73">
        <f>SUM(Oct!C20, Nov!C20, Dec!C20)</f>
        <v>0</v>
      </c>
      <c r="D20" s="12">
        <f>SUM(Oct!D20, Nov!D20, Dec!D20)</f>
        <v>0</v>
      </c>
      <c r="E20" s="12">
        <f t="shared" si="3"/>
        <v>0</v>
      </c>
      <c r="F20" s="74" t="str">
        <f t="shared" si="4"/>
        <v/>
      </c>
      <c r="G20" s="75">
        <f>SUM(Oct!G20,Nov!G20,Dec!G20)</f>
        <v>0</v>
      </c>
      <c r="H20" s="75">
        <f>SUM(Oct!H20,Nov!H20,Dec!H20)</f>
        <v>0</v>
      </c>
      <c r="I20" s="76" t="str">
        <f t="shared" si="5"/>
        <v/>
      </c>
    </row>
    <row r="21" spans="1:9" ht="15.75">
      <c r="A21" s="47" t="str">
        <v>HI: Waipahu - 94-099 Waipahu St - PV</v>
      </c>
      <c r="B21" s="10" t="str">
        <v>HI</v>
      </c>
      <c r="C21" s="100">
        <f>SUM(Oct!C21, Nov!C21, Dec!C21)</f>
        <v>0</v>
      </c>
      <c r="D21" s="16">
        <f>SUM(Oct!D21, Nov!D21, Dec!D21)</f>
        <v>0</v>
      </c>
      <c r="E21" s="16">
        <f t="shared" si="3"/>
        <v>0</v>
      </c>
      <c r="F21" s="99" t="str">
        <f t="shared" si="4"/>
        <v/>
      </c>
      <c r="G21" s="16">
        <f>SUM(Oct!G21,Nov!G21,Dec!G21)</f>
        <v>0</v>
      </c>
      <c r="H21" s="80">
        <f>SUM(Oct!H21,Nov!H21,Dec!H21)</f>
        <v>0</v>
      </c>
      <c r="I21" s="99" t="str">
        <f t="shared" si="5"/>
        <v/>
      </c>
    </row>
    <row r="22" spans="1:9" ht="15.75">
      <c r="A22" s="46" t="str">
        <v>MD: Presston - Bird-in-Hand</v>
      </c>
      <c r="B22" s="9" t="str">
        <v>MD</v>
      </c>
      <c r="C22" s="73">
        <f>SUM(Oct!C22, Nov!C22, Dec!C22)</f>
        <v>0</v>
      </c>
      <c r="D22" s="12">
        <f>SUM(Oct!D22, Nov!D22, Dec!D22)</f>
        <v>0</v>
      </c>
      <c r="E22" s="12">
        <f t="shared" si="3"/>
        <v>0</v>
      </c>
      <c r="F22" s="74" t="str">
        <f t="shared" si="4"/>
        <v/>
      </c>
      <c r="G22" s="75">
        <f>SUM(Oct!G22,Nov!G22,Dec!G22)</f>
        <v>0</v>
      </c>
      <c r="H22" s="75">
        <f>SUM(Oct!H22,Nov!H22,Dec!H22)</f>
        <v>0</v>
      </c>
      <c r="I22" s="76" t="str">
        <f t="shared" si="5"/>
        <v/>
      </c>
    </row>
    <row r="23" spans="1:9" ht="15.75">
      <c r="A23" s="47" t="str">
        <v>MD: Easton - Shortall</v>
      </c>
      <c r="B23" s="10" t="str">
        <v>MD</v>
      </c>
      <c r="C23" s="100">
        <f>SUM(Oct!C23, Nov!C23, Dec!C23)</f>
        <v>0</v>
      </c>
      <c r="D23" s="16">
        <f>SUM(Oct!D23, Nov!D23, Dec!D23)</f>
        <v>0</v>
      </c>
      <c r="E23" s="16">
        <f t="shared" si="3"/>
        <v>0</v>
      </c>
      <c r="F23" s="99" t="str">
        <f t="shared" si="4"/>
        <v/>
      </c>
      <c r="G23" s="16">
        <f>SUM(Oct!G23,Nov!G23,Dec!G23)</f>
        <v>0</v>
      </c>
      <c r="H23" s="80">
        <f>SUM(Oct!H23,Nov!H23,Dec!H23)</f>
        <v>0</v>
      </c>
      <c r="I23" s="99" t="str">
        <f t="shared" si="5"/>
        <v/>
      </c>
    </row>
    <row r="24" spans="1:9" ht="15.75">
      <c r="A24" s="46" t="str">
        <v>MA: Boston - Seaport Solar</v>
      </c>
      <c r="B24" s="9" t="str">
        <v>MA</v>
      </c>
      <c r="C24" s="73">
        <f>SUM(Oct!C24, Nov!C24, Dec!C24)</f>
        <v>0</v>
      </c>
      <c r="D24" s="12">
        <f>SUM(Oct!D24, Nov!D24, Dec!D24)</f>
        <v>0</v>
      </c>
      <c r="E24" s="12">
        <f t="shared" si="3"/>
        <v>0</v>
      </c>
      <c r="F24" s="74" t="str">
        <f t="shared" si="4"/>
        <v/>
      </c>
      <c r="G24" s="75">
        <f>SUM(Oct!G24,Nov!G24,Dec!G24)</f>
        <v>0</v>
      </c>
      <c r="H24" s="75">
        <f>SUM(Oct!H24,Nov!H24,Dec!H24)</f>
        <v>0</v>
      </c>
      <c r="I24" s="76" t="str">
        <f t="shared" si="5"/>
        <v/>
      </c>
    </row>
    <row r="25" spans="1:9" ht="15.75">
      <c r="A25" s="47" t="str">
        <v>MA: Dedham - Sprague Street</v>
      </c>
      <c r="B25" s="10" t="str">
        <v>MA</v>
      </c>
      <c r="C25" s="100">
        <f>SUM(Oct!C25, Nov!C25, Dec!C25)</f>
        <v>0</v>
      </c>
      <c r="D25" s="16">
        <f>SUM(Oct!D25, Nov!D25, Dec!D25)</f>
        <v>0</v>
      </c>
      <c r="E25" s="16">
        <f t="shared" si="3"/>
        <v>0</v>
      </c>
      <c r="F25" s="99" t="str">
        <f t="shared" si="4"/>
        <v/>
      </c>
      <c r="G25" s="16">
        <f>SUM(Oct!G25,Nov!G25,Dec!G25)</f>
        <v>0</v>
      </c>
      <c r="H25" s="80">
        <f>SUM(Oct!H25,Nov!H25,Dec!H25)</f>
        <v>0</v>
      </c>
      <c r="I25" s="99" t="str">
        <f t="shared" si="5"/>
        <v/>
      </c>
    </row>
    <row r="26" spans="1:9" ht="15.75">
      <c r="A26" s="46" t="str">
        <v>MA: Boston - Summer Street</v>
      </c>
      <c r="B26" s="9" t="str">
        <v>MA</v>
      </c>
      <c r="C26" s="73">
        <f>SUM(Oct!C26, Nov!C26, Dec!C26)</f>
        <v>0</v>
      </c>
      <c r="D26" s="12">
        <f>SUM(Oct!D26, Nov!D26, Dec!D26)</f>
        <v>0</v>
      </c>
      <c r="E26" s="12">
        <f t="shared" si="3"/>
        <v>0</v>
      </c>
      <c r="F26" s="74" t="str">
        <f t="shared" si="4"/>
        <v/>
      </c>
      <c r="G26" s="75">
        <f>SUM(Oct!G26,Nov!G26,Dec!G26)</f>
        <v>0</v>
      </c>
      <c r="H26" s="75">
        <f>SUM(Oct!H26,Nov!H26,Dec!H26)</f>
        <v>0</v>
      </c>
      <c r="I26" s="76" t="str">
        <f t="shared" si="5"/>
        <v/>
      </c>
    </row>
    <row r="27" spans="1:9" ht="15.75">
      <c r="A27" s="47" t="str">
        <v>MA: Leominster - Spectro Coatings</v>
      </c>
      <c r="B27" s="10" t="str">
        <v>MA</v>
      </c>
      <c r="C27" s="100">
        <f>SUM(Oct!C27, Nov!C27, Dec!C27)</f>
        <v>0</v>
      </c>
      <c r="D27" s="16">
        <f>SUM(Oct!D27, Nov!D27, Dec!D27)</f>
        <v>0</v>
      </c>
      <c r="E27" s="16">
        <f t="shared" si="3"/>
        <v>0</v>
      </c>
      <c r="F27" s="99" t="str">
        <f t="shared" si="4"/>
        <v/>
      </c>
      <c r="G27" s="16">
        <f>SUM(Oct!G27,Nov!G27,Dec!G27)</f>
        <v>0</v>
      </c>
      <c r="H27" s="80">
        <f>SUM(Oct!H27,Nov!H27,Dec!H27)</f>
        <v>0</v>
      </c>
      <c r="I27" s="99" t="str">
        <f t="shared" si="5"/>
        <v/>
      </c>
    </row>
    <row r="28" spans="1:9" ht="15.75">
      <c r="A28" s="46" t="str">
        <v>MA: Braintree - RCAB</v>
      </c>
      <c r="B28" s="9" t="str">
        <v>MA</v>
      </c>
      <c r="C28" s="73">
        <f>SUM(Oct!C28, Nov!C28, Dec!C28)</f>
        <v>0</v>
      </c>
      <c r="D28" s="12">
        <f>SUM(Oct!D28, Nov!D28, Dec!D28)</f>
        <v>0</v>
      </c>
      <c r="E28" s="12">
        <f t="shared" si="3"/>
        <v>0</v>
      </c>
      <c r="F28" s="74" t="str">
        <f t="shared" si="4"/>
        <v/>
      </c>
      <c r="G28" s="75">
        <f>SUM(Oct!G28,Nov!G28,Dec!G28)</f>
        <v>0</v>
      </c>
      <c r="H28" s="75">
        <f>SUM(Oct!H28,Nov!H28,Dec!H28)</f>
        <v>0</v>
      </c>
      <c r="I28" s="76" t="str">
        <f t="shared" si="5"/>
        <v/>
      </c>
    </row>
    <row r="29" spans="1:9" ht="15.75">
      <c r="A29" s="47" t="str">
        <v>NH: Rochester - Portland Street</v>
      </c>
      <c r="B29" s="10" t="str">
        <v>NH</v>
      </c>
      <c r="C29" s="100">
        <f>SUM(Oct!C29, Nov!C29, Dec!C29)</f>
        <v>0</v>
      </c>
      <c r="D29" s="16">
        <f>SUM(Oct!D29, Nov!D29, Dec!D29)</f>
        <v>0</v>
      </c>
      <c r="E29" s="16">
        <f t="shared" si="3"/>
        <v>0</v>
      </c>
      <c r="F29" s="99" t="str">
        <f t="shared" si="4"/>
        <v/>
      </c>
      <c r="G29" s="16">
        <f>SUM(Oct!G29,Nov!G29,Dec!G29)</f>
        <v>0</v>
      </c>
      <c r="H29" s="80">
        <f>SUM(Oct!H29,Nov!H29,Dec!H29)</f>
        <v>0</v>
      </c>
      <c r="I29" s="99" t="str">
        <f t="shared" si="5"/>
        <v/>
      </c>
    </row>
    <row r="30" spans="1:9" ht="15.75">
      <c r="A30" s="46" t="str">
        <v>NH: Portsmouth - Portsmouth HS</v>
      </c>
      <c r="B30" s="9" t="str">
        <v>NH</v>
      </c>
      <c r="C30" s="73">
        <f>SUM(Oct!C30, Nov!C30, Dec!C30)</f>
        <v>0</v>
      </c>
      <c r="D30" s="12">
        <f>SUM(Oct!D30, Nov!D30, Dec!D30)</f>
        <v>0</v>
      </c>
      <c r="E30" s="12">
        <f t="shared" si="3"/>
        <v>0</v>
      </c>
      <c r="F30" s="74" t="str">
        <f t="shared" si="4"/>
        <v/>
      </c>
      <c r="G30" s="75">
        <f>SUM(Oct!G30,Nov!G30,Dec!G30)</f>
        <v>0</v>
      </c>
      <c r="H30" s="75">
        <f>SUM(Oct!H30,Nov!H30,Dec!H30)</f>
        <v>0</v>
      </c>
      <c r="I30" s="76" t="str">
        <f t="shared" si="5"/>
        <v/>
      </c>
    </row>
    <row r="31" spans="1:9" ht="15.75">
      <c r="A31" s="47" t="str">
        <v>NH: Portsmouth - Portsmouth WTP</v>
      </c>
      <c r="B31" s="10" t="str">
        <v>NH</v>
      </c>
      <c r="C31" s="100">
        <f>SUM(Oct!C31, Nov!C31, Dec!C31)</f>
        <v>0</v>
      </c>
      <c r="D31" s="16">
        <f>SUM(Oct!D31, Nov!D31, Dec!D31)</f>
        <v>0</v>
      </c>
      <c r="E31" s="16">
        <f t="shared" si="3"/>
        <v>0</v>
      </c>
      <c r="F31" s="99" t="str">
        <f t="shared" si="4"/>
        <v/>
      </c>
      <c r="G31" s="16">
        <f>SUM(Oct!G31,Nov!G31,Dec!G31)</f>
        <v>0</v>
      </c>
      <c r="H31" s="80">
        <f>SUM(Oct!H31,Nov!H31,Dec!H31)</f>
        <v>0</v>
      </c>
      <c r="I31" s="99" t="str">
        <f t="shared" si="5"/>
        <v/>
      </c>
    </row>
    <row r="32" spans="1:9" ht="15.75">
      <c r="A32" s="46" t="str">
        <v>NH: Rochester - Rochester MS</v>
      </c>
      <c r="B32" s="9" t="str">
        <v>NH</v>
      </c>
      <c r="C32" s="73">
        <f>SUM(Oct!C32, Nov!C32, Dec!C32)</f>
        <v>0</v>
      </c>
      <c r="D32" s="12">
        <f>SUM(Oct!D32, Nov!D32, Dec!D32)</f>
        <v>0</v>
      </c>
      <c r="E32" s="12">
        <f t="shared" si="3"/>
        <v>0</v>
      </c>
      <c r="F32" s="74" t="str">
        <f t="shared" si="4"/>
        <v/>
      </c>
      <c r="G32" s="75">
        <f>SUM(Oct!G32,Nov!G32,Dec!G32)</f>
        <v>0</v>
      </c>
      <c r="H32" s="75">
        <f>SUM(Oct!H32,Nov!H32,Dec!H32)</f>
        <v>0</v>
      </c>
      <c r="I32" s="76" t="str">
        <f t="shared" si="5"/>
        <v/>
      </c>
    </row>
    <row r="33" spans="1:9" ht="15.75">
      <c r="A33" s="47" t="str">
        <v>NH Rochester - Spaulding HS</v>
      </c>
      <c r="B33" s="10" t="str">
        <v>NH</v>
      </c>
      <c r="C33" s="100">
        <f>SUM(Oct!C33, Nov!C33, Dec!C33)</f>
        <v>0</v>
      </c>
      <c r="D33" s="16">
        <f>SUM(Oct!D33, Nov!D33, Dec!D33)</f>
        <v>0</v>
      </c>
      <c r="E33" s="16">
        <f t="shared" si="3"/>
        <v>0</v>
      </c>
      <c r="F33" s="99" t="str">
        <f t="shared" si="4"/>
        <v/>
      </c>
      <c r="G33" s="16">
        <f>SUM(Oct!G33,Nov!G33,Dec!G33)</f>
        <v>0</v>
      </c>
      <c r="H33" s="80">
        <f>SUM(Oct!H33,Nov!H33,Dec!H33)</f>
        <v>0</v>
      </c>
      <c r="I33" s="99" t="str">
        <f t="shared" si="5"/>
        <v/>
      </c>
    </row>
    <row r="34" spans="1:9" ht="15.75">
      <c r="A34" s="46" t="str">
        <v>NH: Rochester - McClelland ES</v>
      </c>
      <c r="B34" s="9" t="str">
        <v>NH</v>
      </c>
      <c r="C34" s="73">
        <f>SUM(Oct!C34, Nov!C34, Dec!C34)</f>
        <v>0</v>
      </c>
      <c r="D34" s="12">
        <f>SUM(Oct!D34, Nov!D34, Dec!D34)</f>
        <v>0</v>
      </c>
      <c r="E34" s="12">
        <f t="shared" si="3"/>
        <v>0</v>
      </c>
      <c r="F34" s="74" t="str">
        <f t="shared" si="4"/>
        <v/>
      </c>
      <c r="G34" s="75">
        <f>SUM(Oct!G34,Nov!G34,Dec!G34)</f>
        <v>0</v>
      </c>
      <c r="H34" s="75">
        <f>SUM(Oct!H34,Nov!H34,Dec!H34)</f>
        <v>0</v>
      </c>
      <c r="I34" s="76" t="str">
        <f t="shared" si="5"/>
        <v/>
      </c>
    </row>
    <row r="35" spans="1:9" ht="15.75">
      <c r="A35" s="47" t="str">
        <v>NH: Rochester - Brock St Vocational</v>
      </c>
      <c r="B35" s="10" t="str">
        <v>NH</v>
      </c>
      <c r="C35" s="100">
        <f>SUM(Oct!C35, Nov!C35, Dec!C35)</f>
        <v>0</v>
      </c>
      <c r="D35" s="16">
        <f>SUM(Oct!D35, Nov!D35, Dec!D35)</f>
        <v>0</v>
      </c>
      <c r="E35" s="16">
        <f t="shared" si="3"/>
        <v>0</v>
      </c>
      <c r="F35" s="99" t="str">
        <f t="shared" si="4"/>
        <v/>
      </c>
      <c r="G35" s="16">
        <f>SUM(Oct!G35,Nov!G35,Dec!G35)</f>
        <v>0</v>
      </c>
      <c r="H35" s="80">
        <f>SUM(Oct!H35,Nov!H35,Dec!H35)</f>
        <v>0</v>
      </c>
      <c r="I35" s="99" t="str">
        <f t="shared" si="5"/>
        <v/>
      </c>
    </row>
    <row r="36" spans="1:9" ht="15.75">
      <c r="A36" s="46" t="str">
        <v>OH: Cleveland - CV Kinsman</v>
      </c>
      <c r="B36" s="9" t="str">
        <v>OH</v>
      </c>
      <c r="C36" s="73">
        <f>SUM(Oct!C36, Nov!C36, Dec!C36)</f>
        <v>0</v>
      </c>
      <c r="D36" s="12">
        <f>SUM(Oct!D36, Nov!D36, Dec!D36)</f>
        <v>0</v>
      </c>
      <c r="E36" s="12">
        <f t="shared" si="3"/>
        <v>0</v>
      </c>
      <c r="F36" s="74" t="str">
        <f t="shared" si="4"/>
        <v/>
      </c>
      <c r="G36" s="75">
        <f>SUM(Oct!G36,Nov!G36,Dec!G36)</f>
        <v>0</v>
      </c>
      <c r="H36" s="75">
        <f>SUM(Oct!H36,Nov!H36,Dec!H36)</f>
        <v>0</v>
      </c>
      <c r="I36" s="76" t="str">
        <f t="shared" si="5"/>
        <v/>
      </c>
    </row>
    <row r="37" spans="1:9" ht="15.75">
      <c r="A37" s="47" t="str">
        <v>OH: Cleveland - CV Wooster</v>
      </c>
      <c r="B37" s="10" t="str">
        <v>OH</v>
      </c>
      <c r="C37" s="100">
        <f>SUM(Oct!C37, Nov!C37, Dec!C37)</f>
        <v>0</v>
      </c>
      <c r="D37" s="16">
        <f>SUM(Oct!D37, Nov!D37, Dec!D37)</f>
        <v>0</v>
      </c>
      <c r="E37" s="16">
        <f t="shared" si="3"/>
        <v>0</v>
      </c>
      <c r="F37" s="99" t="str">
        <f t="shared" si="4"/>
        <v/>
      </c>
      <c r="G37" s="16">
        <f>SUM(Oct!G37,Nov!G37,Dec!G37)</f>
        <v>0</v>
      </c>
      <c r="H37" s="80">
        <f>SUM(Oct!H37,Nov!H37,Dec!H37)</f>
        <v>0</v>
      </c>
      <c r="I37" s="99" t="str">
        <f t="shared" si="5"/>
        <v/>
      </c>
    </row>
    <row r="38" spans="1:9" ht="15.75">
      <c r="A38" s="46" t="str">
        <v>PR: Aguadilla - Coca Cola</v>
      </c>
      <c r="B38" s="9" t="str">
        <v>PR</v>
      </c>
      <c r="C38" s="73">
        <f>SUM(Oct!C38, Nov!C38, Dec!C38)</f>
        <v>0</v>
      </c>
      <c r="D38" s="12">
        <f>SUM(Oct!D38, Nov!D38, Dec!D38)</f>
        <v>0</v>
      </c>
      <c r="E38" s="12">
        <f t="shared" si="3"/>
        <v>0</v>
      </c>
      <c r="F38" s="74" t="str">
        <f t="shared" si="4"/>
        <v/>
      </c>
      <c r="G38" s="75">
        <f>SUM(Oct!G38,Nov!G38,Dec!G38)</f>
        <v>0</v>
      </c>
      <c r="H38" s="75">
        <f>SUM(Oct!H38,Nov!H38,Dec!H38)</f>
        <v>0</v>
      </c>
      <c r="I38" s="76" t="str">
        <f t="shared" si="5"/>
        <v/>
      </c>
    </row>
    <row r="39" spans="1:9" ht="15.75">
      <c r="A39" s="47" t="str">
        <v>PR: Bayamon - Coca Cola</v>
      </c>
      <c r="B39" s="10" t="str">
        <v>PR</v>
      </c>
      <c r="C39" s="100">
        <f>SUM(Oct!C39, Nov!C39, Dec!C39)</f>
        <v>0</v>
      </c>
      <c r="D39" s="16">
        <f>SUM(Oct!D39, Nov!D39, Dec!D39)</f>
        <v>0</v>
      </c>
      <c r="E39" s="16">
        <f t="shared" si="3"/>
        <v>0</v>
      </c>
      <c r="F39" s="99" t="str">
        <f t="shared" si="4"/>
        <v/>
      </c>
      <c r="G39" s="16">
        <f>SUM(Oct!G39,Nov!G39,Dec!G39)</f>
        <v>0</v>
      </c>
      <c r="H39" s="80">
        <f>SUM(Oct!H39,Nov!H39,Dec!H39)</f>
        <v>0</v>
      </c>
      <c r="I39" s="99" t="str">
        <f t="shared" si="5"/>
        <v/>
      </c>
    </row>
    <row r="40" spans="1:9" ht="15.75">
      <c r="A40" s="46" t="str">
        <v>PR: Carolina - St. Francis</v>
      </c>
      <c r="B40" s="9" t="str">
        <v>PR</v>
      </c>
      <c r="C40" s="73">
        <f>SUM(Oct!C40, Nov!C40, Dec!C40)</f>
        <v>0</v>
      </c>
      <c r="D40" s="12">
        <f>SUM(Oct!D40, Nov!D40, Dec!D40)</f>
        <v>0</v>
      </c>
      <c r="E40" s="12">
        <f t="shared" si="3"/>
        <v>0</v>
      </c>
      <c r="F40" s="74" t="str">
        <f t="shared" si="4"/>
        <v/>
      </c>
      <c r="G40" s="75">
        <f>SUM(Oct!G40,Nov!G40,Dec!G40)</f>
        <v>0</v>
      </c>
      <c r="H40" s="75">
        <f>SUM(Oct!H40,Nov!H40,Dec!H40)</f>
        <v>0</v>
      </c>
      <c r="I40" s="76" t="str">
        <f t="shared" si="5"/>
        <v/>
      </c>
    </row>
    <row r="41" spans="1:9" ht="15.75">
      <c r="A41" s="47" t="str">
        <v>DC: Washington - Essex Condominium</v>
      </c>
      <c r="B41" s="10" t="str">
        <v>DC</v>
      </c>
      <c r="C41" s="100">
        <f>SUM(Oct!C41, Nov!C41, Dec!C41)</f>
        <v>0</v>
      </c>
      <c r="D41" s="16">
        <f>SUM(Oct!D41, Nov!D41, Dec!D41)</f>
        <v>0</v>
      </c>
      <c r="E41" s="16">
        <f t="shared" si="3"/>
        <v>0</v>
      </c>
      <c r="F41" s="99" t="str">
        <f t="shared" si="4"/>
        <v/>
      </c>
      <c r="G41" s="16">
        <f>SUM(Oct!G41,Nov!G41,Dec!G41)</f>
        <v>0</v>
      </c>
      <c r="H41" s="80">
        <f>SUM(Oct!H41,Nov!H41,Dec!H41)</f>
        <v>0</v>
      </c>
      <c r="I41" s="99" t="str">
        <f t="shared" si="5"/>
        <v/>
      </c>
    </row>
    <row r="42" spans="1:9" ht="15.75">
      <c r="A42" s="46" t="str">
        <v>DC: Chevy Chase -Sinai</v>
      </c>
      <c r="B42" s="9" t="str">
        <v>DC</v>
      </c>
      <c r="C42" s="73">
        <f>SUM(Oct!C42, Nov!C42, Dec!C42)</f>
        <v>0</v>
      </c>
      <c r="D42" s="12">
        <f>SUM(Oct!D42, Nov!D42, Dec!D42)</f>
        <v>0</v>
      </c>
      <c r="E42" s="12">
        <f t="shared" si="3"/>
        <v>0</v>
      </c>
      <c r="F42" s="74" t="str">
        <f t="shared" si="4"/>
        <v/>
      </c>
      <c r="G42" s="75">
        <f>SUM(Oct!G42,Nov!G42,Dec!G42)</f>
        <v>0</v>
      </c>
      <c r="H42" s="75">
        <f>SUM(Oct!H42,Nov!H42,Dec!H42)</f>
        <v>0</v>
      </c>
      <c r="I42" s="76" t="str">
        <f t="shared" si="5"/>
        <v/>
      </c>
    </row>
    <row r="43" spans="1:9" ht="15.75">
      <c r="A43" s="47" t="str">
        <v>DC: Washington - Weinberg 1</v>
      </c>
      <c r="B43" s="10" t="str">
        <v>DC</v>
      </c>
      <c r="C43" s="100">
        <f>SUM(Oct!C43, Nov!C43, Dec!C43)</f>
        <v>0</v>
      </c>
      <c r="D43" s="16">
        <f>SUM(Oct!D43, Nov!D43, Dec!D43)</f>
        <v>0</v>
      </c>
      <c r="E43" s="16">
        <f t="shared" si="3"/>
        <v>0</v>
      </c>
      <c r="F43" s="99" t="str">
        <f t="shared" si="4"/>
        <v/>
      </c>
      <c r="G43" s="16">
        <f>SUM(Oct!G43,Nov!G43,Dec!G43)</f>
        <v>0</v>
      </c>
      <c r="H43" s="80">
        <f>SUM(Oct!H43,Nov!H43,Dec!H43)</f>
        <v>0</v>
      </c>
      <c r="I43" s="99" t="str">
        <f t="shared" si="5"/>
        <v/>
      </c>
    </row>
    <row r="44" spans="1:9" ht="15.75">
      <c r="A44" s="46" t="str">
        <v>DC: Washington - Weinberg 2</v>
      </c>
      <c r="B44" s="9" t="str">
        <v>DC</v>
      </c>
      <c r="C44" s="73">
        <f>SUM(Oct!C44, Nov!C44, Dec!C44)</f>
        <v>0</v>
      </c>
      <c r="D44" s="12">
        <f>SUM(Oct!D44, Nov!D44, Dec!D44)</f>
        <v>0</v>
      </c>
      <c r="E44" s="12">
        <f t="shared" si="3"/>
        <v>0</v>
      </c>
      <c r="F44" s="74" t="str">
        <f t="shared" si="4"/>
        <v/>
      </c>
      <c r="G44" s="75">
        <f>SUM(Oct!G44,Nov!G44,Dec!G44)</f>
        <v>0</v>
      </c>
      <c r="H44" s="75">
        <f>SUM(Oct!H44,Nov!H44,Dec!H44)</f>
        <v>0</v>
      </c>
      <c r="I44" s="76" t="str">
        <f t="shared" si="5"/>
        <v/>
      </c>
    </row>
    <row r="45" spans="1:9" ht="15.75">
      <c r="A45" s="47" t="str">
        <v>DC: Washington - Weinberg 3</v>
      </c>
      <c r="B45" s="10" t="str">
        <v>DC</v>
      </c>
      <c r="C45" s="100">
        <f>SUM(Oct!C45, Nov!C45, Dec!C45)</f>
        <v>0</v>
      </c>
      <c r="D45" s="16">
        <f>SUM(Oct!D45, Nov!D45, Dec!D45)</f>
        <v>0</v>
      </c>
      <c r="E45" s="16">
        <f t="shared" si="3"/>
        <v>0</v>
      </c>
      <c r="F45" s="99" t="str">
        <f t="shared" si="4"/>
        <v/>
      </c>
      <c r="G45" s="16">
        <f>SUM(Oct!G45,Nov!G45,Dec!G45)</f>
        <v>0</v>
      </c>
      <c r="H45" s="80">
        <f>SUM(Oct!H45,Nov!H45,Dec!H45)</f>
        <v>0</v>
      </c>
      <c r="I45" s="99" t="str">
        <f t="shared" si="5"/>
        <v/>
      </c>
    </row>
    <row r="46" spans="1:9" ht="13.15">
      <c r="A46" s="19"/>
      <c r="B46" s="19"/>
      <c r="C46" s="19"/>
      <c r="D46" s="19"/>
      <c r="E46" s="19"/>
      <c r="F46" s="20"/>
      <c r="G46" s="19"/>
      <c r="H46" s="19"/>
      <c r="I46" s="20"/>
    </row>
    <row r="47" spans="1:9" ht="13.15">
      <c r="A47" s="19"/>
      <c r="B47" s="19"/>
      <c r="C47" s="19"/>
      <c r="D47" s="19"/>
      <c r="E47" s="19"/>
      <c r="F47" s="20"/>
      <c r="G47" s="19"/>
      <c r="H47" s="19"/>
      <c r="I47" s="20"/>
    </row>
    <row r="48" spans="1:9" ht="13.15">
      <c r="A48" s="19"/>
      <c r="B48" s="19"/>
      <c r="C48" s="19"/>
      <c r="D48" s="19"/>
      <c r="E48" s="19"/>
      <c r="F48" s="20"/>
      <c r="G48" s="19"/>
      <c r="H48" s="19"/>
      <c r="I48" s="20"/>
    </row>
    <row r="49" spans="1:9" ht="13.15">
      <c r="A49" s="19"/>
      <c r="B49" s="19"/>
      <c r="C49" s="19"/>
      <c r="D49" s="19"/>
      <c r="E49" s="19"/>
      <c r="F49" s="20"/>
      <c r="G49" s="19"/>
      <c r="H49" s="19"/>
      <c r="I49" s="20"/>
    </row>
    <row r="50" spans="1:9" ht="13.15">
      <c r="A50" s="19"/>
      <c r="B50" s="19"/>
      <c r="C50" s="19"/>
      <c r="D50" s="19"/>
      <c r="E50" s="19"/>
      <c r="F50" s="20"/>
      <c r="G50" s="19"/>
      <c r="H50" s="19"/>
      <c r="I50" s="20"/>
    </row>
    <row r="51" spans="1:9" ht="13.15">
      <c r="A51" s="19"/>
      <c r="B51" s="19"/>
      <c r="C51" s="19"/>
      <c r="D51" s="19"/>
      <c r="E51" s="19"/>
      <c r="F51" s="20"/>
      <c r="G51" s="19"/>
      <c r="H51" s="19"/>
      <c r="I51" s="20"/>
    </row>
    <row r="52" spans="1:9" ht="13.15">
      <c r="A52" s="19"/>
      <c r="B52" s="19"/>
      <c r="C52" s="19"/>
      <c r="D52" s="19"/>
      <c r="E52" s="19"/>
      <c r="F52" s="20"/>
      <c r="G52" s="19"/>
      <c r="H52" s="19"/>
      <c r="I52" s="20"/>
    </row>
    <row r="53" spans="1:9" ht="13.15">
      <c r="A53" s="19"/>
      <c r="B53" s="19"/>
      <c r="C53" s="19"/>
      <c r="D53" s="19"/>
      <c r="E53" s="19"/>
      <c r="F53" s="20"/>
      <c r="G53" s="19"/>
      <c r="H53" s="19"/>
      <c r="I53" s="20"/>
    </row>
    <row r="54" spans="1:9" ht="13.15">
      <c r="A54" s="19"/>
      <c r="B54" s="19"/>
      <c r="C54" s="19"/>
      <c r="D54" s="19"/>
      <c r="E54" s="19"/>
      <c r="F54" s="20"/>
      <c r="G54" s="19"/>
      <c r="H54" s="19"/>
      <c r="I54" s="20"/>
    </row>
    <row r="55" spans="1:9" ht="13.15">
      <c r="A55" s="19"/>
      <c r="B55" s="19"/>
      <c r="C55" s="19"/>
      <c r="D55" s="19"/>
      <c r="E55" s="19"/>
      <c r="F55" s="20"/>
      <c r="G55" s="19"/>
      <c r="H55" s="19"/>
      <c r="I55" s="20"/>
    </row>
    <row r="56" spans="1:9" ht="13.15">
      <c r="A56" s="19"/>
      <c r="B56" s="19"/>
      <c r="C56" s="19"/>
      <c r="D56" s="19"/>
      <c r="E56" s="19"/>
      <c r="F56" s="20"/>
      <c r="G56" s="19"/>
      <c r="H56" s="19"/>
      <c r="I56" s="20"/>
    </row>
    <row r="57" spans="1:9" ht="13.15">
      <c r="A57" s="19"/>
      <c r="B57" s="19"/>
      <c r="C57" s="19"/>
      <c r="D57" s="19"/>
      <c r="E57" s="19"/>
      <c r="F57" s="20"/>
      <c r="G57" s="19"/>
      <c r="H57" s="19"/>
      <c r="I57" s="20"/>
    </row>
    <row r="58" spans="1:9" ht="13.15">
      <c r="A58" s="19"/>
      <c r="B58" s="19"/>
      <c r="C58" s="19"/>
      <c r="D58" s="19"/>
      <c r="E58" s="19"/>
      <c r="F58" s="20"/>
      <c r="G58" s="19"/>
      <c r="H58" s="19"/>
      <c r="I58" s="20"/>
    </row>
    <row r="59" spans="1:9" ht="13.15">
      <c r="A59" s="19"/>
      <c r="B59" s="19"/>
      <c r="C59" s="19"/>
      <c r="D59" s="19"/>
      <c r="E59" s="19"/>
      <c r="F59" s="20"/>
      <c r="G59" s="19"/>
      <c r="H59" s="19"/>
      <c r="I59" s="20"/>
    </row>
    <row r="60" spans="1:9" ht="13.15">
      <c r="A60" s="19"/>
      <c r="B60" s="19"/>
      <c r="C60" s="19"/>
      <c r="D60" s="19"/>
      <c r="E60" s="19"/>
      <c r="F60" s="20"/>
      <c r="G60" s="19"/>
      <c r="H60" s="19"/>
      <c r="I60" s="20"/>
    </row>
    <row r="61" spans="1:9" ht="13.15">
      <c r="A61" s="19"/>
      <c r="B61" s="19"/>
      <c r="C61" s="19"/>
      <c r="D61" s="19"/>
      <c r="E61" s="19"/>
      <c r="F61" s="20"/>
      <c r="G61" s="19"/>
      <c r="H61" s="19"/>
      <c r="I61" s="20"/>
    </row>
    <row r="62" spans="1:9" ht="13.15">
      <c r="A62" s="19"/>
      <c r="B62" s="19"/>
      <c r="C62" s="19"/>
      <c r="D62" s="19"/>
      <c r="E62" s="19"/>
      <c r="F62" s="20"/>
      <c r="G62" s="19"/>
      <c r="H62" s="19"/>
      <c r="I62" s="20"/>
    </row>
    <row r="63" spans="1:9" ht="13.15">
      <c r="A63" s="19"/>
      <c r="B63" s="19"/>
      <c r="C63" s="19"/>
      <c r="D63" s="19"/>
      <c r="E63" s="19"/>
      <c r="F63" s="20"/>
      <c r="G63" s="19"/>
      <c r="H63" s="19"/>
      <c r="I63" s="20"/>
    </row>
    <row r="64" spans="1:9" ht="13.15">
      <c r="A64" s="19"/>
      <c r="B64" s="19"/>
      <c r="C64" s="19"/>
      <c r="D64" s="19"/>
      <c r="E64" s="19"/>
      <c r="F64" s="20"/>
      <c r="G64" s="19"/>
      <c r="H64" s="19"/>
      <c r="I64" s="20"/>
    </row>
    <row r="65" spans="1:9" ht="13.15">
      <c r="A65" s="19"/>
      <c r="B65" s="19"/>
      <c r="C65" s="19"/>
      <c r="D65" s="19"/>
      <c r="E65" s="19"/>
      <c r="F65" s="20"/>
      <c r="G65" s="19"/>
      <c r="H65" s="19"/>
      <c r="I65" s="20"/>
    </row>
    <row r="66" spans="1:9" ht="13.15">
      <c r="A66" s="19"/>
      <c r="B66" s="19"/>
      <c r="C66" s="19"/>
      <c r="D66" s="19"/>
      <c r="E66" s="19"/>
      <c r="F66" s="20"/>
      <c r="G66" s="19"/>
      <c r="H66" s="19"/>
      <c r="I66" s="20"/>
    </row>
    <row r="67" spans="1:9" ht="13.15">
      <c r="A67" s="19"/>
      <c r="B67" s="19"/>
      <c r="C67" s="19"/>
      <c r="D67" s="19"/>
      <c r="E67" s="19"/>
      <c r="F67" s="20"/>
      <c r="G67" s="19"/>
      <c r="H67" s="19"/>
      <c r="I67" s="20"/>
    </row>
    <row r="68" spans="1:9" ht="13.15">
      <c r="A68" s="19"/>
      <c r="B68" s="19"/>
      <c r="C68" s="19"/>
      <c r="D68" s="19"/>
      <c r="E68" s="19"/>
      <c r="F68" s="20"/>
      <c r="G68" s="19"/>
      <c r="H68" s="19"/>
      <c r="I68" s="20"/>
    </row>
    <row r="69" spans="1:9" ht="13.15">
      <c r="A69" s="19"/>
      <c r="B69" s="19"/>
      <c r="C69" s="19"/>
      <c r="D69" s="19"/>
      <c r="E69" s="19"/>
      <c r="F69" s="20"/>
      <c r="G69" s="19"/>
      <c r="H69" s="19"/>
      <c r="I69" s="20"/>
    </row>
    <row r="70" spans="1:9" ht="13.15">
      <c r="A70" s="19"/>
      <c r="B70" s="19"/>
      <c r="C70" s="19"/>
      <c r="D70" s="19"/>
      <c r="E70" s="19"/>
      <c r="F70" s="20"/>
      <c r="G70" s="19"/>
      <c r="H70" s="19"/>
      <c r="I70" s="20"/>
    </row>
    <row r="71" spans="1:9" ht="13.15">
      <c r="A71" s="19"/>
      <c r="B71" s="19"/>
      <c r="C71" s="19"/>
      <c r="D71" s="19"/>
      <c r="E71" s="19"/>
      <c r="F71" s="20"/>
      <c r="G71" s="19"/>
      <c r="H71" s="19"/>
      <c r="I71" s="20"/>
    </row>
    <row r="72" spans="1:9" ht="13.15">
      <c r="A72" s="19"/>
      <c r="B72" s="19"/>
      <c r="C72" s="19"/>
      <c r="D72" s="19"/>
      <c r="E72" s="19"/>
      <c r="F72" s="20"/>
      <c r="G72" s="19"/>
      <c r="H72" s="19"/>
      <c r="I72" s="20"/>
    </row>
    <row r="73" spans="1:9" ht="13.15">
      <c r="A73" s="19"/>
      <c r="B73" s="19"/>
      <c r="C73" s="19"/>
      <c r="D73" s="19"/>
      <c r="E73" s="19"/>
      <c r="F73" s="20"/>
      <c r="G73" s="19"/>
      <c r="H73" s="19"/>
      <c r="I73" s="20"/>
    </row>
    <row r="74" spans="1:9" ht="13.15">
      <c r="A74" s="19"/>
      <c r="B74" s="19"/>
      <c r="C74" s="19"/>
      <c r="D74" s="19"/>
      <c r="E74" s="19"/>
      <c r="F74" s="20"/>
      <c r="G74" s="19"/>
      <c r="H74" s="19"/>
      <c r="I74" s="20"/>
    </row>
    <row r="75" spans="1:9" ht="13.15">
      <c r="A75" s="19"/>
      <c r="B75" s="19"/>
      <c r="C75" s="19"/>
      <c r="D75" s="19"/>
      <c r="E75" s="19"/>
      <c r="F75" s="20"/>
      <c r="G75" s="19"/>
      <c r="H75" s="19"/>
      <c r="I75" s="20"/>
    </row>
    <row r="76" spans="1:9" ht="13.15">
      <c r="A76" s="19"/>
      <c r="B76" s="19"/>
      <c r="C76" s="19"/>
      <c r="D76" s="19"/>
      <c r="E76" s="19"/>
      <c r="F76" s="20"/>
      <c r="G76" s="19"/>
      <c r="H76" s="19"/>
      <c r="I76" s="20"/>
    </row>
    <row r="77" spans="1:9" ht="13.15">
      <c r="A77" s="19"/>
      <c r="B77" s="19"/>
      <c r="C77" s="19"/>
      <c r="D77" s="19"/>
      <c r="E77" s="19"/>
      <c r="F77" s="20"/>
      <c r="G77" s="19"/>
      <c r="H77" s="19"/>
      <c r="I77" s="20"/>
    </row>
    <row r="78" spans="1:9" ht="13.15">
      <c r="A78" s="19"/>
      <c r="B78" s="19"/>
      <c r="C78" s="19"/>
      <c r="D78" s="19"/>
      <c r="E78" s="19"/>
      <c r="F78" s="20"/>
      <c r="G78" s="19"/>
      <c r="H78" s="19"/>
      <c r="I78" s="20"/>
    </row>
    <row r="79" spans="1:9" ht="13.15">
      <c r="A79" s="19"/>
      <c r="B79" s="19"/>
      <c r="C79" s="19"/>
      <c r="D79" s="19"/>
      <c r="E79" s="19"/>
      <c r="F79" s="20"/>
      <c r="G79" s="19"/>
      <c r="H79" s="19"/>
      <c r="I79" s="20"/>
    </row>
    <row r="80" spans="1:9" ht="13.15">
      <c r="A80" s="19"/>
      <c r="B80" s="19"/>
      <c r="C80" s="19"/>
      <c r="D80" s="19"/>
      <c r="E80" s="19"/>
      <c r="F80" s="20"/>
      <c r="G80" s="19"/>
      <c r="H80" s="19"/>
      <c r="I80" s="20"/>
    </row>
    <row r="81" spans="1:9" ht="13.15">
      <c r="A81" s="19"/>
      <c r="B81" s="19"/>
      <c r="C81" s="19"/>
      <c r="D81" s="19"/>
      <c r="E81" s="19"/>
      <c r="F81" s="20"/>
      <c r="G81" s="19"/>
      <c r="H81" s="19"/>
      <c r="I81" s="20"/>
    </row>
    <row r="82" spans="1:9" ht="13.15">
      <c r="A82" s="19"/>
      <c r="B82" s="19"/>
      <c r="C82" s="19"/>
      <c r="D82" s="19"/>
      <c r="E82" s="19"/>
      <c r="F82" s="20"/>
      <c r="G82" s="19"/>
      <c r="H82" s="19"/>
      <c r="I82" s="20"/>
    </row>
    <row r="83" spans="1:9" ht="13.15">
      <c r="A83" s="19"/>
      <c r="B83" s="19"/>
      <c r="C83" s="19"/>
      <c r="D83" s="19"/>
      <c r="E83" s="19"/>
      <c r="F83" s="20"/>
      <c r="G83" s="19"/>
      <c r="H83" s="19"/>
      <c r="I83" s="20"/>
    </row>
    <row r="84" spans="1:9" ht="13.15">
      <c r="A84" s="19"/>
      <c r="B84" s="19"/>
      <c r="C84" s="19"/>
      <c r="D84" s="19"/>
      <c r="E84" s="19"/>
      <c r="F84" s="20"/>
      <c r="G84" s="19"/>
      <c r="H84" s="19"/>
      <c r="I84" s="20"/>
    </row>
    <row r="85" spans="1:9" ht="13.15">
      <c r="A85" s="19"/>
      <c r="B85" s="19"/>
      <c r="C85" s="19"/>
      <c r="D85" s="19"/>
      <c r="E85" s="19"/>
      <c r="F85" s="20"/>
      <c r="G85" s="19"/>
      <c r="H85" s="19"/>
      <c r="I85" s="20"/>
    </row>
    <row r="86" spans="1:9" ht="13.15">
      <c r="A86" s="19"/>
      <c r="B86" s="19"/>
      <c r="C86" s="19"/>
      <c r="D86" s="19"/>
      <c r="E86" s="19"/>
      <c r="F86" s="20"/>
      <c r="G86" s="19"/>
      <c r="H86" s="19"/>
      <c r="I86" s="20"/>
    </row>
    <row r="87" spans="1:9" ht="13.15">
      <c r="A87" s="19"/>
      <c r="B87" s="19"/>
      <c r="C87" s="19"/>
      <c r="D87" s="19"/>
      <c r="E87" s="19"/>
      <c r="F87" s="20"/>
      <c r="G87" s="19"/>
      <c r="H87" s="19"/>
      <c r="I87" s="20"/>
    </row>
    <row r="88" spans="1:9" ht="13.15">
      <c r="A88" s="19"/>
      <c r="B88" s="19"/>
      <c r="C88" s="19"/>
      <c r="D88" s="19"/>
      <c r="E88" s="19"/>
      <c r="F88" s="20"/>
      <c r="G88" s="19"/>
      <c r="H88" s="19"/>
      <c r="I88" s="20"/>
    </row>
    <row r="89" spans="1:9" ht="13.15">
      <c r="A89" s="19"/>
      <c r="B89" s="19"/>
      <c r="C89" s="19"/>
      <c r="D89" s="19"/>
      <c r="E89" s="19"/>
      <c r="F89" s="20"/>
      <c r="G89" s="19"/>
      <c r="H89" s="19"/>
      <c r="I89" s="20"/>
    </row>
    <row r="90" spans="1:9" ht="13.15">
      <c r="A90" s="19"/>
      <c r="B90" s="19"/>
      <c r="C90" s="19"/>
      <c r="D90" s="19"/>
      <c r="E90" s="19"/>
      <c r="F90" s="20"/>
      <c r="G90" s="19"/>
      <c r="H90" s="19"/>
      <c r="I90" s="20"/>
    </row>
    <row r="91" spans="1:9" ht="13.15">
      <c r="A91" s="19"/>
      <c r="B91" s="19"/>
      <c r="C91" s="19"/>
      <c r="D91" s="19"/>
      <c r="E91" s="19"/>
      <c r="F91" s="20"/>
      <c r="G91" s="19"/>
      <c r="H91" s="19"/>
      <c r="I91" s="20"/>
    </row>
    <row r="92" spans="1:9" ht="13.15">
      <c r="A92" s="19"/>
      <c r="B92" s="19"/>
      <c r="C92" s="19"/>
      <c r="D92" s="19"/>
      <c r="E92" s="19"/>
      <c r="F92" s="20"/>
      <c r="G92" s="19"/>
      <c r="H92" s="19"/>
      <c r="I92" s="20"/>
    </row>
    <row r="93" spans="1:9" ht="13.15">
      <c r="A93" s="19"/>
      <c r="B93" s="19"/>
      <c r="C93" s="19"/>
      <c r="D93" s="19"/>
      <c r="E93" s="19"/>
      <c r="F93" s="20"/>
      <c r="G93" s="19"/>
      <c r="H93" s="19"/>
      <c r="I93" s="20"/>
    </row>
    <row r="94" spans="1:9" ht="13.15">
      <c r="A94" s="19"/>
      <c r="B94" s="19"/>
      <c r="C94" s="19"/>
      <c r="D94" s="19"/>
      <c r="E94" s="19"/>
      <c r="F94" s="20"/>
      <c r="G94" s="19"/>
      <c r="H94" s="19"/>
      <c r="I94" s="20"/>
    </row>
    <row r="95" spans="1:9" ht="13.15">
      <c r="A95" s="19"/>
      <c r="B95" s="19"/>
      <c r="C95" s="19"/>
      <c r="D95" s="19"/>
      <c r="E95" s="19"/>
      <c r="F95" s="20"/>
      <c r="G95" s="19"/>
      <c r="H95" s="19"/>
      <c r="I95" s="20"/>
    </row>
    <row r="96" spans="1:9" ht="13.15">
      <c r="A96" s="19"/>
      <c r="B96" s="19"/>
      <c r="C96" s="19"/>
      <c r="D96" s="19"/>
      <c r="E96" s="19"/>
      <c r="F96" s="20"/>
      <c r="G96" s="19"/>
      <c r="H96" s="19"/>
      <c r="I96" s="20"/>
    </row>
    <row r="97" spans="1:9" ht="13.15">
      <c r="A97" s="19"/>
      <c r="B97" s="19"/>
      <c r="C97" s="19"/>
      <c r="D97" s="19"/>
      <c r="E97" s="19"/>
      <c r="F97" s="20"/>
      <c r="G97" s="19"/>
      <c r="H97" s="19"/>
      <c r="I97" s="20"/>
    </row>
    <row r="98" spans="1:9" ht="13.15">
      <c r="A98" s="19"/>
      <c r="B98" s="19"/>
      <c r="C98" s="19"/>
      <c r="D98" s="19"/>
      <c r="E98" s="19"/>
      <c r="F98" s="20"/>
      <c r="G98" s="19"/>
      <c r="H98" s="19"/>
      <c r="I98" s="20"/>
    </row>
    <row r="99" spans="1:9" ht="13.15">
      <c r="A99" s="19"/>
      <c r="B99" s="19"/>
      <c r="C99" s="19"/>
      <c r="D99" s="19"/>
      <c r="E99" s="19"/>
      <c r="F99" s="20"/>
      <c r="G99" s="19"/>
      <c r="H99" s="19"/>
      <c r="I99" s="20"/>
    </row>
    <row r="100" spans="1:9" ht="13.15">
      <c r="A100" s="19"/>
      <c r="B100" s="19"/>
      <c r="C100" s="19"/>
      <c r="D100" s="19"/>
      <c r="E100" s="19"/>
      <c r="F100" s="20"/>
      <c r="G100" s="19"/>
      <c r="H100" s="19"/>
      <c r="I100" s="20"/>
    </row>
    <row r="101" spans="1:9" ht="13.15">
      <c r="A101" s="19"/>
      <c r="B101" s="19"/>
      <c r="C101" s="19"/>
      <c r="D101" s="19"/>
      <c r="E101" s="19"/>
      <c r="F101" s="20"/>
      <c r="G101" s="19"/>
      <c r="H101" s="19"/>
      <c r="I101" s="20"/>
    </row>
    <row r="102" spans="1:9" ht="13.15">
      <c r="A102" s="19"/>
      <c r="B102" s="19"/>
      <c r="C102" s="19"/>
      <c r="D102" s="19"/>
      <c r="E102" s="19"/>
      <c r="F102" s="20"/>
      <c r="G102" s="19"/>
      <c r="H102" s="19"/>
      <c r="I102" s="20"/>
    </row>
    <row r="103" spans="1:9" ht="13.15">
      <c r="A103" s="19"/>
      <c r="B103" s="19"/>
      <c r="C103" s="19"/>
      <c r="D103" s="19"/>
      <c r="E103" s="19"/>
      <c r="F103" s="20"/>
      <c r="G103" s="19"/>
      <c r="H103" s="19"/>
      <c r="I103" s="20"/>
    </row>
    <row r="104" spans="1:9" ht="13.15">
      <c r="A104" s="19"/>
      <c r="B104" s="19"/>
      <c r="C104" s="19"/>
      <c r="D104" s="19"/>
      <c r="E104" s="19"/>
      <c r="F104" s="20"/>
      <c r="G104" s="19"/>
      <c r="H104" s="19"/>
      <c r="I104" s="20"/>
    </row>
    <row r="105" spans="1:9" ht="13.15">
      <c r="A105" s="19"/>
      <c r="B105" s="19"/>
      <c r="C105" s="19"/>
      <c r="D105" s="19"/>
      <c r="E105" s="19"/>
      <c r="F105" s="20"/>
      <c r="G105" s="19"/>
      <c r="H105" s="19"/>
      <c r="I105" s="20"/>
    </row>
    <row r="106" spans="1:9" ht="13.15">
      <c r="A106" s="19"/>
      <c r="B106" s="19"/>
      <c r="C106" s="19"/>
      <c r="D106" s="19"/>
      <c r="E106" s="19"/>
      <c r="F106" s="20"/>
      <c r="G106" s="19"/>
      <c r="H106" s="19"/>
      <c r="I106" s="20"/>
    </row>
    <row r="107" spans="1:9" ht="13.15">
      <c r="A107" s="19"/>
      <c r="B107" s="19"/>
      <c r="C107" s="19"/>
      <c r="D107" s="19"/>
      <c r="E107" s="19"/>
      <c r="F107" s="20"/>
      <c r="G107" s="19"/>
      <c r="H107" s="19"/>
      <c r="I107" s="20"/>
    </row>
    <row r="108" spans="1:9" ht="13.15">
      <c r="A108" s="19"/>
      <c r="B108" s="19"/>
      <c r="C108" s="19"/>
      <c r="D108" s="19"/>
      <c r="E108" s="19"/>
      <c r="F108" s="20"/>
      <c r="G108" s="19"/>
      <c r="H108" s="19"/>
      <c r="I108" s="20"/>
    </row>
    <row r="109" spans="1:9" ht="13.15">
      <c r="A109" s="19"/>
      <c r="B109" s="19"/>
      <c r="C109" s="19"/>
      <c r="D109" s="19"/>
      <c r="E109" s="19"/>
      <c r="F109" s="20"/>
      <c r="G109" s="19"/>
      <c r="H109" s="19"/>
      <c r="I109" s="20"/>
    </row>
    <row r="110" spans="1:9" ht="13.15">
      <c r="A110" s="19"/>
      <c r="B110" s="19"/>
      <c r="C110" s="19"/>
      <c r="D110" s="19"/>
      <c r="E110" s="19"/>
      <c r="F110" s="20"/>
      <c r="G110" s="19"/>
      <c r="H110" s="19"/>
      <c r="I110" s="20"/>
    </row>
    <row r="111" spans="1:9" ht="13.15">
      <c r="A111" s="19"/>
      <c r="B111" s="19"/>
      <c r="C111" s="19"/>
      <c r="D111" s="19"/>
      <c r="E111" s="19"/>
      <c r="F111" s="20"/>
      <c r="G111" s="19"/>
      <c r="H111" s="19"/>
      <c r="I111" s="20"/>
    </row>
    <row r="112" spans="1:9" ht="13.15">
      <c r="A112" s="19"/>
      <c r="B112" s="19"/>
      <c r="C112" s="19"/>
      <c r="D112" s="19"/>
      <c r="E112" s="19"/>
      <c r="F112" s="20"/>
      <c r="G112" s="19"/>
      <c r="H112" s="19"/>
      <c r="I112" s="20"/>
    </row>
    <row r="113" spans="1:9" ht="13.15">
      <c r="A113" s="19"/>
      <c r="B113" s="19"/>
      <c r="C113" s="19"/>
      <c r="D113" s="19"/>
      <c r="E113" s="19"/>
      <c r="F113" s="20"/>
      <c r="G113" s="19"/>
      <c r="H113" s="19"/>
      <c r="I113" s="20"/>
    </row>
    <row r="114" spans="1:9" ht="13.15">
      <c r="A114" s="19"/>
      <c r="B114" s="19"/>
      <c r="C114" s="19"/>
      <c r="D114" s="19"/>
      <c r="E114" s="19"/>
      <c r="F114" s="20"/>
      <c r="G114" s="19"/>
      <c r="H114" s="19"/>
      <c r="I114" s="20"/>
    </row>
    <row r="115" spans="1:9" ht="13.15">
      <c r="A115" s="19"/>
      <c r="B115" s="19"/>
      <c r="C115" s="19"/>
      <c r="D115" s="19"/>
      <c r="E115" s="19"/>
      <c r="F115" s="20"/>
      <c r="G115" s="19"/>
      <c r="H115" s="19"/>
      <c r="I115" s="20"/>
    </row>
    <row r="116" spans="1:9" ht="13.15">
      <c r="A116" s="19"/>
      <c r="B116" s="19"/>
      <c r="C116" s="19"/>
      <c r="D116" s="19"/>
      <c r="E116" s="19"/>
      <c r="F116" s="20"/>
      <c r="G116" s="19"/>
      <c r="H116" s="19"/>
      <c r="I116" s="20"/>
    </row>
    <row r="117" spans="1:9" ht="13.15">
      <c r="A117" s="19"/>
      <c r="B117" s="19"/>
      <c r="C117" s="19"/>
      <c r="D117" s="19"/>
      <c r="E117" s="19"/>
      <c r="F117" s="20"/>
      <c r="G117" s="19"/>
      <c r="H117" s="19"/>
      <c r="I117" s="20"/>
    </row>
    <row r="118" spans="1:9" ht="13.15">
      <c r="A118" s="19"/>
      <c r="B118" s="19"/>
      <c r="C118" s="19"/>
      <c r="D118" s="19"/>
      <c r="E118" s="19"/>
      <c r="F118" s="20"/>
      <c r="G118" s="19"/>
      <c r="H118" s="19"/>
      <c r="I118" s="20"/>
    </row>
    <row r="119" spans="1:9" ht="13.15">
      <c r="A119" s="19"/>
      <c r="B119" s="19"/>
      <c r="C119" s="19"/>
      <c r="D119" s="19"/>
      <c r="E119" s="19"/>
      <c r="F119" s="20"/>
      <c r="G119" s="19"/>
      <c r="H119" s="19"/>
      <c r="I119" s="20"/>
    </row>
    <row r="120" spans="1:9" ht="13.15">
      <c r="A120" s="19"/>
      <c r="B120" s="19"/>
      <c r="C120" s="19"/>
      <c r="D120" s="19"/>
      <c r="E120" s="19"/>
      <c r="F120" s="20"/>
      <c r="G120" s="19"/>
      <c r="H120" s="19"/>
      <c r="I120" s="20"/>
    </row>
    <row r="121" spans="1:9" ht="13.15">
      <c r="A121" s="19"/>
      <c r="B121" s="19"/>
      <c r="C121" s="19"/>
      <c r="D121" s="19"/>
      <c r="E121" s="19"/>
      <c r="F121" s="20"/>
      <c r="G121" s="19"/>
      <c r="H121" s="19"/>
      <c r="I121" s="20"/>
    </row>
    <row r="122" spans="1:9" ht="13.15">
      <c r="A122" s="19"/>
      <c r="B122" s="19"/>
      <c r="C122" s="19"/>
      <c r="D122" s="19"/>
      <c r="E122" s="19"/>
      <c r="F122" s="20"/>
      <c r="G122" s="19"/>
      <c r="H122" s="19"/>
      <c r="I122" s="20"/>
    </row>
    <row r="123" spans="1:9" ht="13.15">
      <c r="A123" s="19"/>
      <c r="B123" s="19"/>
      <c r="C123" s="19"/>
      <c r="D123" s="19"/>
      <c r="E123" s="19"/>
      <c r="F123" s="20"/>
      <c r="G123" s="19"/>
      <c r="H123" s="19"/>
      <c r="I123" s="20"/>
    </row>
    <row r="124" spans="1:9" ht="13.15">
      <c r="A124" s="19"/>
      <c r="B124" s="19"/>
      <c r="C124" s="19"/>
      <c r="D124" s="19"/>
      <c r="E124" s="19"/>
      <c r="F124" s="20"/>
      <c r="G124" s="19"/>
      <c r="H124" s="19"/>
      <c r="I124" s="20"/>
    </row>
    <row r="125" spans="1:9" ht="13.15">
      <c r="A125" s="19"/>
      <c r="B125" s="19"/>
      <c r="C125" s="19"/>
      <c r="D125" s="19"/>
      <c r="E125" s="19"/>
      <c r="F125" s="20"/>
      <c r="G125" s="19"/>
      <c r="H125" s="19"/>
      <c r="I125" s="20"/>
    </row>
    <row r="126" spans="1:9" ht="13.15">
      <c r="A126" s="19"/>
      <c r="B126" s="19"/>
      <c r="C126" s="19"/>
      <c r="D126" s="19"/>
      <c r="E126" s="19"/>
      <c r="F126" s="20"/>
      <c r="G126" s="19"/>
      <c r="H126" s="19"/>
      <c r="I126" s="20"/>
    </row>
    <row r="127" spans="1:9" ht="13.15">
      <c r="A127" s="19"/>
      <c r="B127" s="19"/>
      <c r="C127" s="19"/>
      <c r="D127" s="19"/>
      <c r="E127" s="19"/>
      <c r="F127" s="20"/>
      <c r="G127" s="19"/>
      <c r="H127" s="19"/>
      <c r="I127" s="20"/>
    </row>
    <row r="128" spans="1:9" ht="13.15">
      <c r="A128" s="19"/>
      <c r="B128" s="19"/>
      <c r="C128" s="19"/>
      <c r="D128" s="19"/>
      <c r="E128" s="19"/>
      <c r="F128" s="20"/>
      <c r="G128" s="19"/>
      <c r="H128" s="19"/>
      <c r="I128" s="20"/>
    </row>
    <row r="129" spans="1:9" ht="13.15">
      <c r="A129" s="19"/>
      <c r="B129" s="19"/>
      <c r="C129" s="19"/>
      <c r="D129" s="19"/>
      <c r="E129" s="19"/>
      <c r="F129" s="20"/>
      <c r="G129" s="19"/>
      <c r="H129" s="19"/>
      <c r="I129" s="20"/>
    </row>
    <row r="130" spans="1:9" ht="13.15">
      <c r="A130" s="19"/>
      <c r="B130" s="19"/>
      <c r="C130" s="19"/>
      <c r="D130" s="19"/>
      <c r="E130" s="19"/>
      <c r="F130" s="20"/>
      <c r="G130" s="19"/>
      <c r="H130" s="19"/>
      <c r="I130" s="20"/>
    </row>
    <row r="131" spans="1:9" ht="13.15">
      <c r="A131" s="19"/>
      <c r="B131" s="19"/>
      <c r="C131" s="19"/>
      <c r="D131" s="19"/>
      <c r="E131" s="19"/>
      <c r="F131" s="20"/>
      <c r="G131" s="19"/>
      <c r="H131" s="19"/>
      <c r="I131" s="20"/>
    </row>
    <row r="132" spans="1:9" ht="13.15">
      <c r="A132" s="19"/>
      <c r="B132" s="19"/>
      <c r="C132" s="19"/>
      <c r="D132" s="19"/>
      <c r="E132" s="19"/>
      <c r="F132" s="20"/>
      <c r="G132" s="19"/>
      <c r="H132" s="19"/>
      <c r="I132" s="20"/>
    </row>
    <row r="133" spans="1:9" ht="13.15">
      <c r="A133" s="19"/>
      <c r="B133" s="19"/>
      <c r="C133" s="19"/>
      <c r="D133" s="19"/>
      <c r="E133" s="19"/>
      <c r="F133" s="20"/>
      <c r="G133" s="19"/>
      <c r="H133" s="19"/>
      <c r="I133" s="20"/>
    </row>
    <row r="134" spans="1:9" ht="13.15">
      <c r="A134" s="19"/>
      <c r="B134" s="19"/>
      <c r="C134" s="19"/>
      <c r="D134" s="19"/>
      <c r="E134" s="19"/>
      <c r="F134" s="20"/>
      <c r="G134" s="19"/>
      <c r="H134" s="19"/>
      <c r="I134" s="20"/>
    </row>
    <row r="135" spans="1:9" ht="13.15">
      <c r="A135" s="19"/>
      <c r="B135" s="19"/>
      <c r="C135" s="19"/>
      <c r="D135" s="19"/>
      <c r="E135" s="19"/>
      <c r="F135" s="20"/>
      <c r="G135" s="19"/>
      <c r="H135" s="19"/>
      <c r="I135" s="20"/>
    </row>
    <row r="136" spans="1:9" ht="13.15">
      <c r="A136" s="19"/>
      <c r="B136" s="19"/>
      <c r="C136" s="19"/>
      <c r="D136" s="19"/>
      <c r="E136" s="19"/>
      <c r="F136" s="20"/>
      <c r="G136" s="19"/>
      <c r="H136" s="19"/>
      <c r="I136" s="20"/>
    </row>
    <row r="137" spans="1:9" ht="13.15">
      <c r="A137" s="19"/>
      <c r="B137" s="19"/>
      <c r="C137" s="19"/>
      <c r="D137" s="19"/>
      <c r="E137" s="19"/>
      <c r="F137" s="20"/>
      <c r="G137" s="19"/>
      <c r="H137" s="19"/>
      <c r="I137" s="20"/>
    </row>
    <row r="138" spans="1:9" ht="13.15">
      <c r="A138" s="19"/>
      <c r="B138" s="19"/>
      <c r="C138" s="19"/>
      <c r="D138" s="19"/>
      <c r="E138" s="19"/>
      <c r="F138" s="20"/>
      <c r="G138" s="19"/>
      <c r="H138" s="19"/>
      <c r="I138" s="20"/>
    </row>
    <row r="139" spans="1:9" ht="13.15">
      <c r="A139" s="19"/>
      <c r="B139" s="19"/>
      <c r="C139" s="19"/>
      <c r="D139" s="19"/>
      <c r="E139" s="19"/>
      <c r="F139" s="20"/>
      <c r="G139" s="19"/>
      <c r="H139" s="19"/>
      <c r="I139" s="20"/>
    </row>
    <row r="140" spans="1:9" ht="13.15">
      <c r="A140" s="19"/>
      <c r="B140" s="19"/>
      <c r="C140" s="19"/>
      <c r="D140" s="19"/>
      <c r="E140" s="19"/>
      <c r="F140" s="20"/>
      <c r="G140" s="19"/>
      <c r="H140" s="19"/>
      <c r="I140" s="20"/>
    </row>
    <row r="141" spans="1:9" ht="13.15">
      <c r="A141" s="19"/>
      <c r="B141" s="19"/>
      <c r="C141" s="19"/>
      <c r="D141" s="19"/>
      <c r="E141" s="19"/>
      <c r="F141" s="20"/>
      <c r="G141" s="19"/>
      <c r="H141" s="19"/>
      <c r="I141" s="20"/>
    </row>
    <row r="142" spans="1:9" ht="13.15">
      <c r="A142" s="19"/>
      <c r="B142" s="19"/>
      <c r="C142" s="19"/>
      <c r="D142" s="19"/>
      <c r="E142" s="19"/>
      <c r="F142" s="20"/>
      <c r="G142" s="19"/>
      <c r="H142" s="19"/>
      <c r="I142" s="20"/>
    </row>
    <row r="143" spans="1:9" ht="13.15">
      <c r="A143" s="19"/>
      <c r="B143" s="19"/>
      <c r="C143" s="19"/>
      <c r="D143" s="19"/>
      <c r="E143" s="19"/>
      <c r="F143" s="20"/>
      <c r="G143" s="19"/>
      <c r="H143" s="19"/>
      <c r="I143" s="20"/>
    </row>
    <row r="144" spans="1:9" ht="13.15">
      <c r="A144" s="19"/>
      <c r="B144" s="19"/>
      <c r="C144" s="19"/>
      <c r="D144" s="19"/>
      <c r="E144" s="19"/>
      <c r="F144" s="20"/>
      <c r="G144" s="19"/>
      <c r="H144" s="19"/>
      <c r="I144" s="20"/>
    </row>
    <row r="145" spans="1:9" ht="13.15">
      <c r="A145" s="19"/>
      <c r="B145" s="19"/>
      <c r="C145" s="19"/>
      <c r="D145" s="19"/>
      <c r="E145" s="19"/>
      <c r="F145" s="20"/>
      <c r="G145" s="19"/>
      <c r="H145" s="19"/>
      <c r="I145" s="20"/>
    </row>
    <row r="146" spans="1:9" ht="13.15">
      <c r="A146" s="19"/>
      <c r="B146" s="19"/>
      <c r="C146" s="19"/>
      <c r="D146" s="19"/>
      <c r="E146" s="19"/>
      <c r="F146" s="20"/>
      <c r="G146" s="19"/>
      <c r="H146" s="19"/>
      <c r="I146" s="20"/>
    </row>
    <row r="147" spans="1:9" ht="13.15">
      <c r="A147" s="19"/>
      <c r="B147" s="19"/>
      <c r="C147" s="19"/>
      <c r="D147" s="19"/>
      <c r="E147" s="19"/>
      <c r="F147" s="20"/>
      <c r="G147" s="19"/>
      <c r="H147" s="19"/>
      <c r="I147" s="20"/>
    </row>
    <row r="148" spans="1:9" ht="13.15">
      <c r="A148" s="19"/>
      <c r="B148" s="19"/>
      <c r="C148" s="19"/>
      <c r="D148" s="19"/>
      <c r="E148" s="19"/>
      <c r="F148" s="20"/>
      <c r="G148" s="19"/>
      <c r="H148" s="19"/>
      <c r="I148" s="20"/>
    </row>
    <row r="149" spans="1:9" ht="13.15">
      <c r="A149" s="19"/>
      <c r="B149" s="19"/>
      <c r="C149" s="19"/>
      <c r="D149" s="19"/>
      <c r="E149" s="19"/>
      <c r="F149" s="20"/>
      <c r="G149" s="19"/>
      <c r="H149" s="19"/>
      <c r="I149" s="20"/>
    </row>
    <row r="150" spans="1:9" ht="13.15">
      <c r="A150" s="19"/>
      <c r="B150" s="19"/>
      <c r="C150" s="19"/>
      <c r="D150" s="19"/>
      <c r="E150" s="19"/>
      <c r="F150" s="20"/>
      <c r="G150" s="19"/>
      <c r="H150" s="19"/>
      <c r="I150" s="20"/>
    </row>
    <row r="151" spans="1:9" ht="13.15">
      <c r="A151" s="19"/>
      <c r="B151" s="19"/>
      <c r="C151" s="19"/>
      <c r="D151" s="19"/>
      <c r="E151" s="19"/>
      <c r="F151" s="20"/>
      <c r="G151" s="19"/>
      <c r="H151" s="19"/>
      <c r="I151" s="20"/>
    </row>
    <row r="152" spans="1:9" ht="13.15">
      <c r="A152" s="19"/>
      <c r="B152" s="19"/>
      <c r="C152" s="19"/>
      <c r="D152" s="19"/>
      <c r="E152" s="19"/>
      <c r="F152" s="20"/>
      <c r="G152" s="19"/>
      <c r="H152" s="19"/>
      <c r="I152" s="20"/>
    </row>
    <row r="153" spans="1:9" ht="13.15">
      <c r="A153" s="19"/>
      <c r="B153" s="19"/>
      <c r="C153" s="19"/>
      <c r="D153" s="19"/>
      <c r="E153" s="19"/>
      <c r="F153" s="20"/>
      <c r="G153" s="19"/>
      <c r="H153" s="19"/>
      <c r="I153" s="20"/>
    </row>
    <row r="154" spans="1:9" ht="13.15">
      <c r="A154" s="19"/>
      <c r="B154" s="19"/>
      <c r="C154" s="19"/>
      <c r="D154" s="19"/>
      <c r="E154" s="19"/>
      <c r="F154" s="20"/>
      <c r="G154" s="19"/>
      <c r="H154" s="19"/>
      <c r="I154" s="20"/>
    </row>
    <row r="155" spans="1:9" ht="13.15">
      <c r="A155" s="19"/>
      <c r="B155" s="19"/>
      <c r="C155" s="19"/>
      <c r="D155" s="19"/>
      <c r="E155" s="19"/>
      <c r="F155" s="20"/>
      <c r="G155" s="19"/>
      <c r="H155" s="19"/>
      <c r="I155" s="20"/>
    </row>
    <row r="156" spans="1:9" ht="13.15">
      <c r="A156" s="19"/>
      <c r="B156" s="19"/>
      <c r="C156" s="19"/>
      <c r="D156" s="19"/>
      <c r="E156" s="19"/>
      <c r="F156" s="20"/>
      <c r="G156" s="19"/>
      <c r="H156" s="19"/>
      <c r="I156" s="20"/>
    </row>
    <row r="157" spans="1:9" ht="13.15">
      <c r="A157" s="19"/>
      <c r="B157" s="19"/>
      <c r="C157" s="19"/>
      <c r="D157" s="19"/>
      <c r="E157" s="19"/>
      <c r="F157" s="20"/>
      <c r="G157" s="19"/>
      <c r="H157" s="19"/>
      <c r="I157" s="20"/>
    </row>
    <row r="158" spans="1:9" ht="13.15">
      <c r="A158" s="19"/>
      <c r="B158" s="19"/>
      <c r="C158" s="19"/>
      <c r="D158" s="19"/>
      <c r="E158" s="19"/>
      <c r="F158" s="20"/>
      <c r="G158" s="19"/>
      <c r="H158" s="19"/>
      <c r="I158" s="20"/>
    </row>
    <row r="159" spans="1:9" ht="13.15">
      <c r="A159" s="19"/>
      <c r="B159" s="19"/>
      <c r="C159" s="19"/>
      <c r="D159" s="19"/>
      <c r="E159" s="19"/>
      <c r="F159" s="20"/>
      <c r="G159" s="19"/>
      <c r="H159" s="19"/>
      <c r="I159" s="20"/>
    </row>
    <row r="160" spans="1:9" ht="13.15">
      <c r="A160" s="19"/>
      <c r="B160" s="19"/>
      <c r="C160" s="19"/>
      <c r="D160" s="19"/>
      <c r="E160" s="19"/>
      <c r="F160" s="20"/>
      <c r="G160" s="19"/>
      <c r="H160" s="19"/>
      <c r="I160" s="20"/>
    </row>
    <row r="161" spans="1:9" ht="13.15">
      <c r="A161" s="19"/>
      <c r="B161" s="19"/>
      <c r="C161" s="19"/>
      <c r="D161" s="19"/>
      <c r="E161" s="19"/>
      <c r="F161" s="20"/>
      <c r="G161" s="19"/>
      <c r="H161" s="19"/>
      <c r="I161" s="20"/>
    </row>
    <row r="162" spans="1:9" ht="13.15">
      <c r="A162" s="19"/>
      <c r="B162" s="19"/>
      <c r="C162" s="19"/>
      <c r="D162" s="19"/>
      <c r="E162" s="19"/>
      <c r="F162" s="20"/>
      <c r="G162" s="19"/>
      <c r="H162" s="19"/>
      <c r="I162" s="20"/>
    </row>
    <row r="163" spans="1:9" ht="13.15">
      <c r="A163" s="19"/>
      <c r="B163" s="19"/>
      <c r="C163" s="19"/>
      <c r="D163" s="19"/>
      <c r="E163" s="19"/>
      <c r="F163" s="20"/>
      <c r="G163" s="19"/>
      <c r="H163" s="19"/>
      <c r="I163" s="20"/>
    </row>
    <row r="164" spans="1:9" ht="13.15">
      <c r="A164" s="19"/>
      <c r="B164" s="19"/>
      <c r="C164" s="19"/>
      <c r="D164" s="19"/>
      <c r="E164" s="19"/>
      <c r="F164" s="20"/>
      <c r="G164" s="19"/>
      <c r="H164" s="19"/>
      <c r="I164" s="20"/>
    </row>
    <row r="165" spans="1:9" ht="13.15">
      <c r="A165" s="19"/>
      <c r="B165" s="19"/>
      <c r="C165" s="19"/>
      <c r="D165" s="19"/>
      <c r="E165" s="19"/>
      <c r="F165" s="20"/>
      <c r="G165" s="19"/>
      <c r="H165" s="19"/>
      <c r="I165" s="20"/>
    </row>
    <row r="166" spans="1:9" ht="13.15">
      <c r="A166" s="19"/>
      <c r="B166" s="19"/>
      <c r="C166" s="19"/>
      <c r="D166" s="19"/>
      <c r="E166" s="19"/>
      <c r="F166" s="20"/>
      <c r="G166" s="19"/>
      <c r="H166" s="19"/>
      <c r="I166" s="20"/>
    </row>
    <row r="167" spans="1:9" ht="13.15">
      <c r="A167" s="19"/>
      <c r="B167" s="19"/>
      <c r="C167" s="19"/>
      <c r="D167" s="19"/>
      <c r="E167" s="19"/>
      <c r="F167" s="20"/>
      <c r="G167" s="19"/>
      <c r="H167" s="19"/>
      <c r="I167" s="20"/>
    </row>
    <row r="168" spans="1:9" ht="13.15">
      <c r="A168" s="19"/>
      <c r="B168" s="19"/>
      <c r="C168" s="19"/>
      <c r="D168" s="19"/>
      <c r="E168" s="19"/>
      <c r="F168" s="20"/>
      <c r="G168" s="19"/>
      <c r="H168" s="19"/>
      <c r="I168" s="20"/>
    </row>
    <row r="169" spans="1:9" ht="13.15">
      <c r="A169" s="19"/>
      <c r="B169" s="19"/>
      <c r="C169" s="19"/>
      <c r="D169" s="19"/>
      <c r="E169" s="19"/>
      <c r="F169" s="20"/>
      <c r="G169" s="19"/>
      <c r="H169" s="19"/>
      <c r="I169" s="20"/>
    </row>
    <row r="170" spans="1:9" ht="13.15">
      <c r="A170" s="19"/>
      <c r="B170" s="19"/>
      <c r="C170" s="19"/>
      <c r="D170" s="19"/>
      <c r="E170" s="19"/>
      <c r="F170" s="20"/>
      <c r="G170" s="19"/>
      <c r="H170" s="19"/>
      <c r="I170" s="20"/>
    </row>
    <row r="171" spans="1:9" ht="13.15">
      <c r="A171" s="19"/>
      <c r="B171" s="19"/>
      <c r="C171" s="19"/>
      <c r="D171" s="19"/>
      <c r="E171" s="19"/>
      <c r="F171" s="20"/>
      <c r="G171" s="19"/>
      <c r="H171" s="19"/>
      <c r="I171" s="20"/>
    </row>
    <row r="172" spans="1:9" ht="13.15">
      <c r="A172" s="19"/>
      <c r="B172" s="19"/>
      <c r="C172" s="19"/>
      <c r="D172" s="19"/>
      <c r="E172" s="19"/>
      <c r="F172" s="20"/>
      <c r="G172" s="19"/>
      <c r="H172" s="19"/>
      <c r="I172" s="20"/>
    </row>
    <row r="173" spans="1:9" ht="13.15">
      <c r="A173" s="19"/>
      <c r="B173" s="19"/>
      <c r="C173" s="19"/>
      <c r="D173" s="19"/>
      <c r="E173" s="19"/>
      <c r="F173" s="20"/>
      <c r="G173" s="19"/>
      <c r="H173" s="19"/>
      <c r="I173" s="20"/>
    </row>
    <row r="174" spans="1:9" ht="13.15">
      <c r="A174" s="19"/>
      <c r="B174" s="19"/>
      <c r="C174" s="19"/>
      <c r="D174" s="19"/>
      <c r="E174" s="19"/>
      <c r="F174" s="20"/>
      <c r="G174" s="19"/>
      <c r="H174" s="19"/>
      <c r="I174" s="20"/>
    </row>
    <row r="175" spans="1:9" ht="13.15">
      <c r="A175" s="19"/>
      <c r="B175" s="19"/>
      <c r="C175" s="19"/>
      <c r="D175" s="19"/>
      <c r="E175" s="19"/>
      <c r="F175" s="20"/>
      <c r="G175" s="19"/>
      <c r="H175" s="19"/>
      <c r="I175" s="20"/>
    </row>
    <row r="176" spans="1:9" ht="13.15">
      <c r="A176" s="19"/>
      <c r="B176" s="19"/>
      <c r="C176" s="19"/>
      <c r="D176" s="19"/>
      <c r="E176" s="19"/>
      <c r="F176" s="20"/>
      <c r="G176" s="19"/>
      <c r="H176" s="19"/>
      <c r="I176" s="20"/>
    </row>
    <row r="177" spans="1:9" ht="13.15">
      <c r="A177" s="19"/>
      <c r="B177" s="19"/>
      <c r="C177" s="19"/>
      <c r="D177" s="19"/>
      <c r="E177" s="19"/>
      <c r="F177" s="20"/>
      <c r="G177" s="19"/>
      <c r="H177" s="19"/>
      <c r="I177" s="20"/>
    </row>
    <row r="178" spans="1:9" ht="13.15">
      <c r="A178" s="19"/>
      <c r="B178" s="19"/>
      <c r="C178" s="19"/>
      <c r="D178" s="19"/>
      <c r="E178" s="19"/>
      <c r="F178" s="20"/>
      <c r="G178" s="19"/>
      <c r="H178" s="19"/>
      <c r="I178" s="20"/>
    </row>
    <row r="179" spans="1:9" ht="13.15">
      <c r="A179" s="19"/>
      <c r="B179" s="19"/>
      <c r="C179" s="19"/>
      <c r="D179" s="19"/>
      <c r="E179" s="19"/>
      <c r="F179" s="20"/>
      <c r="G179" s="19"/>
      <c r="H179" s="19"/>
      <c r="I179" s="20"/>
    </row>
    <row r="180" spans="1:9" ht="13.15">
      <c r="A180" s="19"/>
      <c r="B180" s="19"/>
      <c r="C180" s="19"/>
      <c r="D180" s="19"/>
      <c r="E180" s="19"/>
      <c r="F180" s="20"/>
      <c r="G180" s="19"/>
      <c r="H180" s="19"/>
      <c r="I180" s="20"/>
    </row>
    <row r="181" spans="1:9" ht="13.15">
      <c r="A181" s="19"/>
      <c r="B181" s="19"/>
      <c r="C181" s="19"/>
      <c r="D181" s="19"/>
      <c r="E181" s="19"/>
      <c r="F181" s="20"/>
      <c r="G181" s="19"/>
      <c r="H181" s="19"/>
      <c r="I181" s="20"/>
    </row>
    <row r="182" spans="1:9" ht="13.15">
      <c r="A182" s="19"/>
      <c r="B182" s="19"/>
      <c r="C182" s="19"/>
      <c r="D182" s="19"/>
      <c r="E182" s="19"/>
      <c r="F182" s="20"/>
      <c r="G182" s="19"/>
      <c r="H182" s="19"/>
      <c r="I182" s="20"/>
    </row>
    <row r="183" spans="1:9" ht="13.15">
      <c r="A183" s="19"/>
      <c r="B183" s="19"/>
      <c r="C183" s="19"/>
      <c r="D183" s="19"/>
      <c r="E183" s="19"/>
      <c r="F183" s="20"/>
      <c r="G183" s="19"/>
      <c r="H183" s="19"/>
      <c r="I183" s="20"/>
    </row>
    <row r="184" spans="1:9" ht="13.15">
      <c r="A184" s="19"/>
      <c r="B184" s="19"/>
      <c r="C184" s="19"/>
      <c r="D184" s="19"/>
      <c r="E184" s="19"/>
      <c r="F184" s="20"/>
      <c r="G184" s="19"/>
      <c r="H184" s="19"/>
      <c r="I184" s="20"/>
    </row>
    <row r="185" spans="1:9" ht="13.15">
      <c r="A185" s="19"/>
      <c r="B185" s="19"/>
      <c r="C185" s="19"/>
      <c r="D185" s="19"/>
      <c r="E185" s="19"/>
      <c r="F185" s="20"/>
      <c r="G185" s="19"/>
      <c r="H185" s="19"/>
      <c r="I185" s="20"/>
    </row>
    <row r="186" spans="1:9" ht="13.15">
      <c r="A186" s="19"/>
      <c r="B186" s="19"/>
      <c r="C186" s="19"/>
      <c r="D186" s="19"/>
      <c r="E186" s="19"/>
      <c r="F186" s="20"/>
      <c r="G186" s="19"/>
      <c r="H186" s="19"/>
      <c r="I186" s="20"/>
    </row>
    <row r="187" spans="1:9" ht="13.15">
      <c r="A187" s="19"/>
      <c r="B187" s="19"/>
      <c r="C187" s="19"/>
      <c r="D187" s="19"/>
      <c r="E187" s="19"/>
      <c r="F187" s="20"/>
      <c r="G187" s="19"/>
      <c r="H187" s="19"/>
      <c r="I187" s="20"/>
    </row>
    <row r="188" spans="1:9" ht="13.15">
      <c r="A188" s="19"/>
      <c r="B188" s="19"/>
      <c r="C188" s="19"/>
      <c r="D188" s="19"/>
      <c r="E188" s="19"/>
      <c r="F188" s="20"/>
      <c r="G188" s="19"/>
      <c r="H188" s="19"/>
      <c r="I188" s="20"/>
    </row>
    <row r="189" spans="1:9" ht="13.15">
      <c r="A189" s="19"/>
      <c r="B189" s="19"/>
      <c r="C189" s="19"/>
      <c r="D189" s="19"/>
      <c r="E189" s="19"/>
      <c r="F189" s="20"/>
      <c r="G189" s="19"/>
      <c r="H189" s="19"/>
      <c r="I189" s="20"/>
    </row>
    <row r="190" spans="1:9" ht="13.15">
      <c r="A190" s="19"/>
      <c r="B190" s="19"/>
      <c r="C190" s="19"/>
      <c r="D190" s="19"/>
      <c r="E190" s="19"/>
      <c r="F190" s="20"/>
      <c r="G190" s="19"/>
      <c r="H190" s="19"/>
      <c r="I190" s="20"/>
    </row>
    <row r="191" spans="1:9" ht="13.15">
      <c r="A191" s="19"/>
      <c r="B191" s="19"/>
      <c r="C191" s="19"/>
      <c r="D191" s="19"/>
      <c r="E191" s="19"/>
      <c r="F191" s="20"/>
      <c r="G191" s="19"/>
      <c r="H191" s="19"/>
      <c r="I191" s="20"/>
    </row>
    <row r="192" spans="1:9" ht="13.15">
      <c r="A192" s="19"/>
      <c r="B192" s="19"/>
      <c r="C192" s="19"/>
      <c r="D192" s="19"/>
      <c r="E192" s="19"/>
      <c r="F192" s="20"/>
      <c r="G192" s="19"/>
      <c r="H192" s="19"/>
      <c r="I192" s="20"/>
    </row>
    <row r="193" spans="1:9" ht="13.15">
      <c r="A193" s="19"/>
      <c r="B193" s="19"/>
      <c r="C193" s="19"/>
      <c r="D193" s="19"/>
      <c r="E193" s="19"/>
      <c r="F193" s="20"/>
      <c r="G193" s="19"/>
      <c r="H193" s="19"/>
      <c r="I193" s="20"/>
    </row>
    <row r="194" spans="1:9" ht="13.15">
      <c r="A194" s="19"/>
      <c r="B194" s="19"/>
      <c r="C194" s="19"/>
      <c r="D194" s="19"/>
      <c r="E194" s="19"/>
      <c r="F194" s="20"/>
      <c r="G194" s="19"/>
      <c r="H194" s="19"/>
      <c r="I194" s="20"/>
    </row>
    <row r="195" spans="1:9" ht="13.15">
      <c r="A195" s="19"/>
      <c r="B195" s="19"/>
      <c r="C195" s="19"/>
      <c r="D195" s="19"/>
      <c r="E195" s="19"/>
      <c r="F195" s="20"/>
      <c r="G195" s="19"/>
      <c r="H195" s="19"/>
      <c r="I195" s="20"/>
    </row>
    <row r="196" spans="1:9" ht="13.15">
      <c r="A196" s="19"/>
      <c r="B196" s="19"/>
      <c r="C196" s="19"/>
      <c r="D196" s="19"/>
      <c r="E196" s="19"/>
      <c r="F196" s="20"/>
      <c r="G196" s="19"/>
      <c r="H196" s="19"/>
      <c r="I196" s="20"/>
    </row>
    <row r="197" spans="1:9" ht="13.15">
      <c r="A197" s="19"/>
      <c r="B197" s="19"/>
      <c r="C197" s="19"/>
      <c r="D197" s="19"/>
      <c r="E197" s="19"/>
      <c r="F197" s="20"/>
      <c r="G197" s="19"/>
      <c r="H197" s="19"/>
      <c r="I197" s="20"/>
    </row>
    <row r="198" spans="1:9" ht="13.15">
      <c r="A198" s="19"/>
      <c r="B198" s="19"/>
      <c r="C198" s="19"/>
      <c r="D198" s="19"/>
      <c r="E198" s="19"/>
      <c r="F198" s="20"/>
      <c r="G198" s="19"/>
      <c r="H198" s="19"/>
      <c r="I198" s="20"/>
    </row>
    <row r="199" spans="1:9" ht="13.15">
      <c r="A199" s="19"/>
      <c r="B199" s="19"/>
      <c r="C199" s="19"/>
      <c r="D199" s="19"/>
      <c r="E199" s="19"/>
      <c r="F199" s="20"/>
      <c r="G199" s="19"/>
      <c r="H199" s="19"/>
      <c r="I199" s="20"/>
    </row>
    <row r="200" spans="1:9" ht="13.15">
      <c r="A200" s="19"/>
      <c r="B200" s="19"/>
      <c r="C200" s="19"/>
      <c r="D200" s="19"/>
      <c r="E200" s="19"/>
      <c r="F200" s="20"/>
      <c r="G200" s="19"/>
      <c r="H200" s="19"/>
      <c r="I200" s="20"/>
    </row>
    <row r="201" spans="1:9" ht="13.15">
      <c r="A201" s="19"/>
      <c r="B201" s="19"/>
      <c r="C201" s="19"/>
      <c r="D201" s="19"/>
      <c r="E201" s="19"/>
      <c r="F201" s="20"/>
      <c r="G201" s="19"/>
      <c r="H201" s="19"/>
      <c r="I201" s="20"/>
    </row>
    <row r="202" spans="1:9" ht="13.15">
      <c r="A202" s="19"/>
      <c r="B202" s="19"/>
      <c r="C202" s="19"/>
      <c r="D202" s="19"/>
      <c r="E202" s="19"/>
      <c r="F202" s="20"/>
      <c r="G202" s="19"/>
      <c r="H202" s="19"/>
      <c r="I202" s="20"/>
    </row>
    <row r="203" spans="1:9" ht="13.15">
      <c r="A203" s="19"/>
      <c r="B203" s="19"/>
      <c r="C203" s="19"/>
      <c r="D203" s="19"/>
      <c r="E203" s="19"/>
      <c r="F203" s="20"/>
      <c r="G203" s="19"/>
      <c r="H203" s="19"/>
      <c r="I203" s="20"/>
    </row>
    <row r="204" spans="1:9" ht="13.15">
      <c r="A204" s="19"/>
      <c r="B204" s="19"/>
      <c r="C204" s="19"/>
      <c r="D204" s="19"/>
      <c r="E204" s="19"/>
      <c r="F204" s="20"/>
      <c r="G204" s="19"/>
      <c r="H204" s="19"/>
      <c r="I204" s="20"/>
    </row>
    <row r="205" spans="1:9" ht="13.15">
      <c r="A205" s="19"/>
      <c r="B205" s="19"/>
      <c r="C205" s="19"/>
      <c r="D205" s="19"/>
      <c r="E205" s="19"/>
      <c r="F205" s="20"/>
      <c r="G205" s="19"/>
      <c r="H205" s="19"/>
      <c r="I205" s="20"/>
    </row>
    <row r="206" spans="1:9" ht="13.15">
      <c r="A206" s="19"/>
      <c r="B206" s="19"/>
      <c r="C206" s="19"/>
      <c r="D206" s="19"/>
      <c r="E206" s="19"/>
      <c r="F206" s="20"/>
      <c r="G206" s="19"/>
      <c r="H206" s="19"/>
      <c r="I206" s="20"/>
    </row>
    <row r="207" spans="1:9" ht="13.15">
      <c r="A207" s="19"/>
      <c r="B207" s="19"/>
      <c r="C207" s="19"/>
      <c r="D207" s="19"/>
      <c r="E207" s="19"/>
      <c r="F207" s="20"/>
      <c r="G207" s="19"/>
      <c r="H207" s="19"/>
      <c r="I207" s="20"/>
    </row>
    <row r="208" spans="1:9" ht="13.15">
      <c r="A208" s="19"/>
      <c r="B208" s="19"/>
      <c r="C208" s="19"/>
      <c r="D208" s="19"/>
      <c r="E208" s="19"/>
      <c r="F208" s="20"/>
      <c r="G208" s="19"/>
      <c r="H208" s="19"/>
      <c r="I208" s="20"/>
    </row>
    <row r="209" spans="1:9" ht="13.15">
      <c r="A209" s="19"/>
      <c r="B209" s="19"/>
      <c r="C209" s="19"/>
      <c r="D209" s="19"/>
      <c r="E209" s="19"/>
      <c r="F209" s="20"/>
      <c r="G209" s="19"/>
      <c r="H209" s="19"/>
      <c r="I209" s="20"/>
    </row>
    <row r="210" spans="1:9" ht="13.15">
      <c r="A210" s="19"/>
      <c r="B210" s="19"/>
      <c r="C210" s="19"/>
      <c r="D210" s="19"/>
      <c r="E210" s="19"/>
      <c r="F210" s="20"/>
      <c r="G210" s="19"/>
      <c r="H210" s="19"/>
      <c r="I210" s="20"/>
    </row>
    <row r="211" spans="1:9" ht="13.15">
      <c r="A211" s="19"/>
      <c r="B211" s="19"/>
      <c r="C211" s="19"/>
      <c r="D211" s="19"/>
      <c r="E211" s="19"/>
      <c r="F211" s="20"/>
      <c r="G211" s="19"/>
      <c r="H211" s="19"/>
      <c r="I211" s="20"/>
    </row>
    <row r="212" spans="1:9" ht="13.15">
      <c r="A212" s="19"/>
      <c r="B212" s="19"/>
      <c r="C212" s="19"/>
      <c r="D212" s="19"/>
      <c r="E212" s="19"/>
      <c r="F212" s="20"/>
      <c r="G212" s="19"/>
      <c r="H212" s="19"/>
      <c r="I212" s="20"/>
    </row>
    <row r="213" spans="1:9" ht="13.15">
      <c r="A213" s="19"/>
      <c r="B213" s="19"/>
      <c r="C213" s="19"/>
      <c r="D213" s="19"/>
      <c r="E213" s="19"/>
      <c r="F213" s="20"/>
      <c r="G213" s="19"/>
      <c r="H213" s="19"/>
      <c r="I213" s="20"/>
    </row>
    <row r="214" spans="1:9" ht="13.15">
      <c r="A214" s="19"/>
      <c r="B214" s="19"/>
      <c r="C214" s="19"/>
      <c r="D214" s="19"/>
      <c r="E214" s="19"/>
      <c r="F214" s="20"/>
      <c r="G214" s="19"/>
      <c r="H214" s="19"/>
      <c r="I214" s="20"/>
    </row>
    <row r="215" spans="1:9" ht="13.15">
      <c r="A215" s="19"/>
      <c r="B215" s="19"/>
      <c r="C215" s="19"/>
      <c r="D215" s="19"/>
      <c r="E215" s="19"/>
      <c r="F215" s="20"/>
      <c r="G215" s="19"/>
      <c r="H215" s="19"/>
      <c r="I215" s="20"/>
    </row>
    <row r="216" spans="1:9" ht="13.15">
      <c r="A216" s="19"/>
      <c r="B216" s="19"/>
      <c r="C216" s="19"/>
      <c r="D216" s="19"/>
      <c r="E216" s="19"/>
      <c r="F216" s="20"/>
      <c r="G216" s="19"/>
      <c r="H216" s="19"/>
      <c r="I216" s="20"/>
    </row>
    <row r="217" spans="1:9" ht="13.15">
      <c r="A217" s="19"/>
      <c r="B217" s="19"/>
      <c r="C217" s="19"/>
      <c r="D217" s="19"/>
      <c r="E217" s="19"/>
      <c r="F217" s="20"/>
      <c r="G217" s="19"/>
      <c r="H217" s="19"/>
      <c r="I217" s="20"/>
    </row>
    <row r="218" spans="1:9" ht="13.15">
      <c r="A218" s="19"/>
      <c r="B218" s="19"/>
      <c r="C218" s="19"/>
      <c r="D218" s="19"/>
      <c r="E218" s="19"/>
      <c r="F218" s="20"/>
      <c r="G218" s="19"/>
      <c r="H218" s="19"/>
      <c r="I218" s="20"/>
    </row>
    <row r="219" spans="1:9" ht="13.15">
      <c r="A219" s="19"/>
      <c r="B219" s="19"/>
      <c r="C219" s="19"/>
      <c r="D219" s="19"/>
      <c r="E219" s="19"/>
      <c r="F219" s="20"/>
      <c r="G219" s="19"/>
      <c r="H219" s="19"/>
      <c r="I219" s="20"/>
    </row>
    <row r="220" spans="1:9" ht="13.15">
      <c r="A220" s="19"/>
      <c r="B220" s="19"/>
      <c r="C220" s="19"/>
      <c r="D220" s="19"/>
      <c r="E220" s="19"/>
      <c r="F220" s="20"/>
      <c r="G220" s="19"/>
      <c r="H220" s="19"/>
      <c r="I220" s="20"/>
    </row>
    <row r="221" spans="1:9" ht="13.15">
      <c r="A221" s="19"/>
      <c r="B221" s="19"/>
      <c r="C221" s="19"/>
      <c r="D221" s="19"/>
      <c r="E221" s="19"/>
      <c r="F221" s="20"/>
      <c r="G221" s="19"/>
      <c r="H221" s="19"/>
      <c r="I221" s="20"/>
    </row>
    <row r="222" spans="1:9" ht="13.15">
      <c r="A222" s="19"/>
      <c r="B222" s="19"/>
      <c r="C222" s="19"/>
      <c r="D222" s="19"/>
      <c r="E222" s="19"/>
      <c r="F222" s="20"/>
      <c r="G222" s="19"/>
      <c r="H222" s="19"/>
      <c r="I222" s="20"/>
    </row>
    <row r="223" spans="1:9" ht="13.15">
      <c r="A223" s="19"/>
      <c r="B223" s="19"/>
      <c r="C223" s="19"/>
      <c r="D223" s="19"/>
      <c r="E223" s="19"/>
      <c r="F223" s="20"/>
      <c r="G223" s="19"/>
      <c r="H223" s="19"/>
      <c r="I223" s="20"/>
    </row>
    <row r="224" spans="1:9" ht="13.15">
      <c r="A224" s="19"/>
      <c r="B224" s="19"/>
      <c r="C224" s="19"/>
      <c r="D224" s="19"/>
      <c r="E224" s="19"/>
      <c r="F224" s="20"/>
      <c r="G224" s="19"/>
      <c r="H224" s="19"/>
      <c r="I224" s="20"/>
    </row>
    <row r="225" spans="1:9" ht="13.15">
      <c r="A225" s="19"/>
      <c r="B225" s="19"/>
      <c r="C225" s="19"/>
      <c r="D225" s="19"/>
      <c r="E225" s="19"/>
      <c r="F225" s="20"/>
      <c r="G225" s="19"/>
      <c r="H225" s="19"/>
      <c r="I225" s="20"/>
    </row>
    <row r="226" spans="1:9" ht="13.15">
      <c r="A226" s="19"/>
      <c r="B226" s="19"/>
      <c r="C226" s="19"/>
      <c r="D226" s="19"/>
      <c r="E226" s="19"/>
      <c r="F226" s="20"/>
      <c r="G226" s="19"/>
      <c r="H226" s="19"/>
      <c r="I226" s="20"/>
    </row>
    <row r="227" spans="1:9" ht="13.15">
      <c r="A227" s="19"/>
      <c r="B227" s="19"/>
      <c r="C227" s="19"/>
      <c r="D227" s="19"/>
      <c r="E227" s="19"/>
      <c r="F227" s="20"/>
      <c r="G227" s="19"/>
      <c r="H227" s="19"/>
      <c r="I227" s="20"/>
    </row>
    <row r="228" spans="1:9" ht="13.15">
      <c r="A228" s="19"/>
      <c r="B228" s="19"/>
      <c r="C228" s="19"/>
      <c r="D228" s="19"/>
      <c r="E228" s="19"/>
      <c r="F228" s="20"/>
      <c r="G228" s="19"/>
      <c r="H228" s="19"/>
      <c r="I228" s="20"/>
    </row>
    <row r="229" spans="1:9" ht="13.15">
      <c r="A229" s="19"/>
      <c r="B229" s="19"/>
      <c r="C229" s="19"/>
      <c r="D229" s="19"/>
      <c r="E229" s="19"/>
      <c r="F229" s="20"/>
      <c r="G229" s="19"/>
      <c r="H229" s="19"/>
      <c r="I229" s="20"/>
    </row>
    <row r="230" spans="1:9" ht="13.15">
      <c r="A230" s="19"/>
      <c r="B230" s="19"/>
      <c r="C230" s="19"/>
      <c r="D230" s="19"/>
      <c r="E230" s="19"/>
      <c r="F230" s="20"/>
      <c r="G230" s="19"/>
      <c r="H230" s="19"/>
      <c r="I230" s="20"/>
    </row>
    <row r="231" spans="1:9" ht="13.15">
      <c r="A231" s="19"/>
      <c r="B231" s="19"/>
      <c r="C231" s="19"/>
      <c r="D231" s="19"/>
      <c r="E231" s="19"/>
      <c r="F231" s="20"/>
      <c r="G231" s="19"/>
      <c r="H231" s="19"/>
      <c r="I231" s="20"/>
    </row>
    <row r="232" spans="1:9" ht="13.15">
      <c r="A232" s="19"/>
      <c r="B232" s="19"/>
      <c r="C232" s="19"/>
      <c r="D232" s="19"/>
      <c r="E232" s="19"/>
      <c r="F232" s="20"/>
      <c r="G232" s="19"/>
      <c r="H232" s="19"/>
      <c r="I232" s="20"/>
    </row>
    <row r="233" spans="1:9" ht="13.15">
      <c r="A233" s="19"/>
      <c r="B233" s="19"/>
      <c r="C233" s="19"/>
      <c r="D233" s="19"/>
      <c r="E233" s="19"/>
      <c r="F233" s="20"/>
      <c r="G233" s="19"/>
      <c r="H233" s="19"/>
      <c r="I233" s="20"/>
    </row>
    <row r="234" spans="1:9" ht="13.15">
      <c r="A234" s="19"/>
      <c r="B234" s="19"/>
      <c r="C234" s="19"/>
      <c r="D234" s="19"/>
      <c r="E234" s="19"/>
      <c r="F234" s="20"/>
      <c r="G234" s="19"/>
      <c r="H234" s="19"/>
      <c r="I234" s="20"/>
    </row>
    <row r="235" spans="1:9" ht="13.15">
      <c r="A235" s="19"/>
      <c r="B235" s="19"/>
      <c r="C235" s="19"/>
      <c r="D235" s="19"/>
      <c r="E235" s="19"/>
      <c r="F235" s="20"/>
      <c r="G235" s="19"/>
      <c r="H235" s="19"/>
      <c r="I235" s="20"/>
    </row>
    <row r="236" spans="1:9" ht="13.15">
      <c r="A236" s="19"/>
      <c r="B236" s="19"/>
      <c r="C236" s="19"/>
      <c r="D236" s="19"/>
      <c r="E236" s="19"/>
      <c r="F236" s="20"/>
      <c r="G236" s="19"/>
      <c r="H236" s="19"/>
      <c r="I236" s="20"/>
    </row>
    <row r="237" spans="1:9" ht="13.15">
      <c r="A237" s="19"/>
      <c r="B237" s="19"/>
      <c r="C237" s="19"/>
      <c r="D237" s="19"/>
      <c r="E237" s="19"/>
      <c r="F237" s="20"/>
      <c r="G237" s="19"/>
      <c r="H237" s="19"/>
      <c r="I237" s="20"/>
    </row>
    <row r="238" spans="1:9" ht="13.15">
      <c r="A238" s="19"/>
      <c r="B238" s="19"/>
      <c r="C238" s="19"/>
      <c r="D238" s="19"/>
      <c r="E238" s="19"/>
      <c r="F238" s="20"/>
      <c r="G238" s="19"/>
      <c r="H238" s="19"/>
      <c r="I238" s="20"/>
    </row>
    <row r="239" spans="1:9" ht="13.15">
      <c r="A239" s="19"/>
      <c r="B239" s="19"/>
      <c r="C239" s="19"/>
      <c r="D239" s="19"/>
      <c r="E239" s="19"/>
      <c r="F239" s="20"/>
      <c r="G239" s="19"/>
      <c r="H239" s="19"/>
      <c r="I239" s="20"/>
    </row>
    <row r="240" spans="1:9" ht="13.15">
      <c r="A240" s="19"/>
      <c r="B240" s="19"/>
      <c r="C240" s="19"/>
      <c r="D240" s="19"/>
      <c r="E240" s="19"/>
      <c r="F240" s="20"/>
      <c r="G240" s="19"/>
      <c r="H240" s="19"/>
      <c r="I240" s="20"/>
    </row>
    <row r="241" spans="1:9" ht="13.15">
      <c r="A241" s="19"/>
      <c r="B241" s="19"/>
      <c r="C241" s="19"/>
      <c r="D241" s="19"/>
      <c r="E241" s="19"/>
      <c r="F241" s="20"/>
      <c r="G241" s="19"/>
      <c r="H241" s="19"/>
      <c r="I241" s="20"/>
    </row>
    <row r="242" spans="1:9" ht="13.15">
      <c r="A242" s="19"/>
      <c r="B242" s="19"/>
      <c r="C242" s="19"/>
      <c r="D242" s="19"/>
      <c r="E242" s="19"/>
      <c r="F242" s="20"/>
      <c r="G242" s="19"/>
      <c r="H242" s="19"/>
      <c r="I242" s="20"/>
    </row>
    <row r="243" spans="1:9" ht="13.15">
      <c r="A243" s="19"/>
      <c r="B243" s="19"/>
      <c r="C243" s="19"/>
      <c r="D243" s="19"/>
      <c r="E243" s="19"/>
      <c r="F243" s="20"/>
      <c r="G243" s="19"/>
      <c r="H243" s="19"/>
      <c r="I243" s="20"/>
    </row>
    <row r="244" spans="1:9" ht="13.15">
      <c r="A244" s="19"/>
      <c r="B244" s="19"/>
      <c r="C244" s="19"/>
      <c r="D244" s="19"/>
      <c r="E244" s="19"/>
      <c r="F244" s="20"/>
      <c r="G244" s="19"/>
      <c r="H244" s="19"/>
      <c r="I244" s="20"/>
    </row>
    <row r="245" spans="1:9" ht="13.15">
      <c r="A245" s="19"/>
      <c r="B245" s="19"/>
      <c r="C245" s="19"/>
      <c r="D245" s="19"/>
      <c r="E245" s="19"/>
      <c r="F245" s="20"/>
      <c r="G245" s="19"/>
      <c r="H245" s="19"/>
      <c r="I245" s="20"/>
    </row>
    <row r="246" spans="1:9" ht="13.15">
      <c r="A246" s="19"/>
      <c r="B246" s="19"/>
      <c r="C246" s="19"/>
      <c r="D246" s="19"/>
      <c r="E246" s="19"/>
      <c r="F246" s="20"/>
      <c r="G246" s="19"/>
      <c r="H246" s="19"/>
      <c r="I246" s="20"/>
    </row>
    <row r="247" spans="1:9" ht="13.15">
      <c r="A247" s="19"/>
      <c r="B247" s="19"/>
      <c r="C247" s="19"/>
      <c r="D247" s="19"/>
      <c r="E247" s="19"/>
      <c r="F247" s="20"/>
      <c r="G247" s="19"/>
      <c r="H247" s="19"/>
      <c r="I247" s="20"/>
    </row>
    <row r="248" spans="1:9" ht="13.15">
      <c r="A248" s="19"/>
      <c r="B248" s="19"/>
      <c r="C248" s="19"/>
      <c r="D248" s="19"/>
      <c r="E248" s="19"/>
      <c r="F248" s="20"/>
      <c r="G248" s="19"/>
      <c r="H248" s="19"/>
      <c r="I248" s="20"/>
    </row>
    <row r="249" spans="1:9" ht="13.15">
      <c r="A249" s="19"/>
      <c r="B249" s="19"/>
      <c r="C249" s="19"/>
      <c r="D249" s="19"/>
      <c r="E249" s="19"/>
      <c r="F249" s="20"/>
      <c r="G249" s="19"/>
      <c r="H249" s="19"/>
      <c r="I249" s="20"/>
    </row>
    <row r="250" spans="1:9" ht="13.15">
      <c r="A250" s="19"/>
      <c r="B250" s="19"/>
      <c r="C250" s="19"/>
      <c r="D250" s="19"/>
      <c r="E250" s="19"/>
      <c r="F250" s="20"/>
      <c r="G250" s="19"/>
      <c r="H250" s="19"/>
      <c r="I250" s="20"/>
    </row>
    <row r="251" spans="1:9" ht="13.15">
      <c r="A251" s="19"/>
      <c r="B251" s="19"/>
      <c r="C251" s="19"/>
      <c r="D251" s="19"/>
      <c r="E251" s="19"/>
      <c r="F251" s="20"/>
      <c r="G251" s="19"/>
      <c r="H251" s="19"/>
      <c r="I251" s="20"/>
    </row>
    <row r="252" spans="1:9" ht="13.15">
      <c r="A252" s="19"/>
      <c r="B252" s="19"/>
      <c r="C252" s="19"/>
      <c r="D252" s="19"/>
      <c r="E252" s="19"/>
      <c r="F252" s="20"/>
      <c r="G252" s="19"/>
      <c r="H252" s="19"/>
      <c r="I252" s="20"/>
    </row>
    <row r="253" spans="1:9" ht="13.15">
      <c r="A253" s="19"/>
      <c r="B253" s="19"/>
      <c r="C253" s="19"/>
      <c r="D253" s="19"/>
      <c r="E253" s="19"/>
      <c r="F253" s="20"/>
      <c r="G253" s="19"/>
      <c r="H253" s="19"/>
      <c r="I253" s="20"/>
    </row>
    <row r="254" spans="1:9" ht="13.15">
      <c r="A254" s="19"/>
      <c r="B254" s="19"/>
      <c r="C254" s="19"/>
      <c r="D254" s="19"/>
      <c r="E254" s="19"/>
      <c r="F254" s="20"/>
      <c r="G254" s="19"/>
      <c r="H254" s="19"/>
      <c r="I254" s="20"/>
    </row>
    <row r="255" spans="1:9" ht="13.15">
      <c r="A255" s="19"/>
      <c r="B255" s="19"/>
      <c r="C255" s="19"/>
      <c r="D255" s="19"/>
      <c r="E255" s="19"/>
      <c r="F255" s="20"/>
      <c r="G255" s="19"/>
      <c r="H255" s="19"/>
      <c r="I255" s="20"/>
    </row>
    <row r="256" spans="1:9" ht="13.15">
      <c r="A256" s="19"/>
      <c r="B256" s="19"/>
      <c r="C256" s="19"/>
      <c r="D256" s="19"/>
      <c r="E256" s="19"/>
      <c r="F256" s="20"/>
      <c r="G256" s="19"/>
      <c r="H256" s="19"/>
      <c r="I256" s="20"/>
    </row>
    <row r="257" spans="1:9" ht="13.15">
      <c r="A257" s="19"/>
      <c r="B257" s="19"/>
      <c r="C257" s="19"/>
      <c r="D257" s="19"/>
      <c r="E257" s="19"/>
      <c r="F257" s="20"/>
      <c r="G257" s="19"/>
      <c r="H257" s="19"/>
      <c r="I257" s="20"/>
    </row>
    <row r="258" spans="1:9" ht="13.15">
      <c r="A258" s="19"/>
      <c r="B258" s="19"/>
      <c r="C258" s="19"/>
      <c r="D258" s="19"/>
      <c r="E258" s="19"/>
      <c r="F258" s="20"/>
      <c r="G258" s="19"/>
      <c r="H258" s="19"/>
      <c r="I258" s="20"/>
    </row>
    <row r="259" spans="1:9" ht="13.15">
      <c r="A259" s="19"/>
      <c r="B259" s="19"/>
      <c r="C259" s="19"/>
      <c r="D259" s="19"/>
      <c r="E259" s="19"/>
      <c r="F259" s="20"/>
      <c r="G259" s="19"/>
      <c r="H259" s="19"/>
      <c r="I259" s="20"/>
    </row>
    <row r="260" spans="1:9" ht="13.15">
      <c r="A260" s="19"/>
      <c r="B260" s="19"/>
      <c r="C260" s="19"/>
      <c r="D260" s="19"/>
      <c r="E260" s="19"/>
      <c r="F260" s="20"/>
      <c r="G260" s="19"/>
      <c r="H260" s="19"/>
      <c r="I260" s="20"/>
    </row>
    <row r="261" spans="1:9" ht="13.15">
      <c r="A261" s="19"/>
      <c r="B261" s="19"/>
      <c r="C261" s="19"/>
      <c r="D261" s="19"/>
      <c r="E261" s="19"/>
      <c r="F261" s="20"/>
      <c r="G261" s="19"/>
      <c r="H261" s="19"/>
      <c r="I261" s="20"/>
    </row>
    <row r="262" spans="1:9" ht="13.15">
      <c r="A262" s="19"/>
      <c r="B262" s="19"/>
      <c r="C262" s="19"/>
      <c r="D262" s="19"/>
      <c r="E262" s="19"/>
      <c r="F262" s="20"/>
      <c r="G262" s="19"/>
      <c r="H262" s="19"/>
      <c r="I262" s="20"/>
    </row>
    <row r="263" spans="1:9" ht="13.15">
      <c r="A263" s="19"/>
      <c r="B263" s="19"/>
      <c r="C263" s="19"/>
      <c r="D263" s="19"/>
      <c r="E263" s="19"/>
      <c r="F263" s="20"/>
      <c r="G263" s="19"/>
      <c r="H263" s="19"/>
      <c r="I263" s="20"/>
    </row>
    <row r="264" spans="1:9" ht="13.15">
      <c r="A264" s="19"/>
      <c r="B264" s="19"/>
      <c r="C264" s="19"/>
      <c r="D264" s="19"/>
      <c r="E264" s="19"/>
      <c r="F264" s="20"/>
      <c r="G264" s="19"/>
      <c r="H264" s="19"/>
      <c r="I264" s="20"/>
    </row>
    <row r="265" spans="1:9" ht="13.15">
      <c r="A265" s="19"/>
      <c r="B265" s="19"/>
      <c r="C265" s="19"/>
      <c r="D265" s="19"/>
      <c r="E265" s="19"/>
      <c r="F265" s="20"/>
      <c r="G265" s="19"/>
      <c r="H265" s="19"/>
      <c r="I265" s="20"/>
    </row>
    <row r="266" spans="1:9" ht="13.15">
      <c r="A266" s="19"/>
      <c r="B266" s="19"/>
      <c r="C266" s="19"/>
      <c r="D266" s="19"/>
      <c r="E266" s="19"/>
      <c r="F266" s="20"/>
      <c r="G266" s="19"/>
      <c r="H266" s="19"/>
      <c r="I266" s="20"/>
    </row>
    <row r="267" spans="1:9" ht="13.15">
      <c r="A267" s="19"/>
      <c r="B267" s="19"/>
      <c r="C267" s="19"/>
      <c r="D267" s="19"/>
      <c r="E267" s="19"/>
      <c r="F267" s="20"/>
      <c r="G267" s="19"/>
      <c r="H267" s="19"/>
      <c r="I267" s="20"/>
    </row>
    <row r="268" spans="1:9" ht="13.15">
      <c r="A268" s="19"/>
      <c r="B268" s="19"/>
      <c r="C268" s="19"/>
      <c r="D268" s="19"/>
      <c r="E268" s="19"/>
      <c r="F268" s="20"/>
      <c r="G268" s="19"/>
      <c r="H268" s="19"/>
      <c r="I268" s="20"/>
    </row>
    <row r="269" spans="1:9" ht="13.15">
      <c r="A269" s="19"/>
      <c r="B269" s="19"/>
      <c r="C269" s="19"/>
      <c r="D269" s="19"/>
      <c r="E269" s="19"/>
      <c r="F269" s="20"/>
      <c r="G269" s="19"/>
      <c r="H269" s="19"/>
      <c r="I269" s="20"/>
    </row>
    <row r="270" spans="1:9" ht="13.15">
      <c r="A270" s="19"/>
      <c r="B270" s="19"/>
      <c r="C270" s="19"/>
      <c r="D270" s="19"/>
      <c r="E270" s="19"/>
      <c r="F270" s="20"/>
      <c r="G270" s="19"/>
      <c r="H270" s="19"/>
      <c r="I270" s="20"/>
    </row>
    <row r="271" spans="1:9" ht="13.15">
      <c r="A271" s="19"/>
      <c r="B271" s="19"/>
      <c r="C271" s="19"/>
      <c r="D271" s="19"/>
      <c r="E271" s="19"/>
      <c r="F271" s="20"/>
      <c r="G271" s="19"/>
      <c r="H271" s="19"/>
      <c r="I271" s="20"/>
    </row>
    <row r="272" spans="1:9" ht="13.15">
      <c r="A272" s="19"/>
      <c r="B272" s="19"/>
      <c r="C272" s="19"/>
      <c r="D272" s="19"/>
      <c r="E272" s="19"/>
      <c r="F272" s="20"/>
      <c r="G272" s="19"/>
      <c r="H272" s="19"/>
      <c r="I272" s="20"/>
    </row>
    <row r="273" spans="1:9" ht="13.15">
      <c r="A273" s="19"/>
      <c r="B273" s="19"/>
      <c r="C273" s="19"/>
      <c r="D273" s="19"/>
      <c r="E273" s="19"/>
      <c r="F273" s="20"/>
      <c r="G273" s="19"/>
      <c r="H273" s="19"/>
      <c r="I273" s="20"/>
    </row>
    <row r="274" spans="1:9" ht="13.15">
      <c r="A274" s="19"/>
      <c r="B274" s="19"/>
      <c r="C274" s="19"/>
      <c r="D274" s="19"/>
      <c r="E274" s="19"/>
      <c r="F274" s="20"/>
      <c r="G274" s="19"/>
      <c r="H274" s="19"/>
      <c r="I274" s="20"/>
    </row>
    <row r="275" spans="1:9" ht="13.15">
      <c r="A275" s="19"/>
      <c r="B275" s="19"/>
      <c r="C275" s="19"/>
      <c r="D275" s="19"/>
      <c r="E275" s="19"/>
      <c r="F275" s="20"/>
      <c r="G275" s="19"/>
      <c r="H275" s="19"/>
      <c r="I275" s="20"/>
    </row>
    <row r="276" spans="1:9" ht="13.15">
      <c r="A276" s="19"/>
      <c r="B276" s="19"/>
      <c r="C276" s="19"/>
      <c r="D276" s="19"/>
      <c r="E276" s="19"/>
      <c r="F276" s="20"/>
      <c r="G276" s="19"/>
      <c r="H276" s="19"/>
      <c r="I276" s="20"/>
    </row>
    <row r="277" spans="1:9" ht="13.15">
      <c r="A277" s="19"/>
      <c r="B277" s="19"/>
      <c r="C277" s="19"/>
      <c r="D277" s="19"/>
      <c r="E277" s="19"/>
      <c r="F277" s="20"/>
      <c r="G277" s="19"/>
      <c r="H277" s="19"/>
      <c r="I277" s="20"/>
    </row>
    <row r="278" spans="1:9" ht="13.15">
      <c r="A278" s="19"/>
      <c r="B278" s="19"/>
      <c r="C278" s="19"/>
      <c r="D278" s="19"/>
      <c r="E278" s="19"/>
      <c r="F278" s="20"/>
      <c r="G278" s="19"/>
      <c r="H278" s="19"/>
      <c r="I278" s="20"/>
    </row>
    <row r="279" spans="1:9" ht="13.15">
      <c r="A279" s="19"/>
      <c r="B279" s="19"/>
      <c r="C279" s="19"/>
      <c r="D279" s="19"/>
      <c r="E279" s="19"/>
      <c r="F279" s="20"/>
      <c r="G279" s="19"/>
      <c r="H279" s="19"/>
      <c r="I279" s="20"/>
    </row>
    <row r="280" spans="1:9" ht="13.15">
      <c r="A280" s="19"/>
      <c r="B280" s="19"/>
      <c r="C280" s="19"/>
      <c r="D280" s="19"/>
      <c r="E280" s="19"/>
      <c r="F280" s="20"/>
      <c r="G280" s="19"/>
      <c r="H280" s="19"/>
      <c r="I280" s="20"/>
    </row>
    <row r="281" spans="1:9" ht="13.15">
      <c r="A281" s="19"/>
      <c r="B281" s="19"/>
      <c r="C281" s="19"/>
      <c r="D281" s="19"/>
      <c r="E281" s="19"/>
      <c r="F281" s="20"/>
      <c r="G281" s="19"/>
      <c r="H281" s="19"/>
      <c r="I281" s="20"/>
    </row>
    <row r="282" spans="1:9" ht="13.15">
      <c r="A282" s="19"/>
      <c r="B282" s="19"/>
      <c r="C282" s="19"/>
      <c r="D282" s="19"/>
      <c r="E282" s="19"/>
      <c r="F282" s="20"/>
      <c r="G282" s="19"/>
      <c r="H282" s="19"/>
      <c r="I282" s="20"/>
    </row>
    <row r="283" spans="1:9" ht="13.15">
      <c r="A283" s="19"/>
      <c r="B283" s="19"/>
      <c r="C283" s="19"/>
      <c r="D283" s="19"/>
      <c r="E283" s="19"/>
      <c r="F283" s="20"/>
      <c r="G283" s="19"/>
      <c r="H283" s="19"/>
      <c r="I283" s="20"/>
    </row>
    <row r="284" spans="1:9" ht="13.15">
      <c r="A284" s="19"/>
      <c r="B284" s="19"/>
      <c r="C284" s="19"/>
      <c r="D284" s="19"/>
      <c r="E284" s="19"/>
      <c r="F284" s="20"/>
      <c r="G284" s="19"/>
      <c r="H284" s="19"/>
      <c r="I284" s="20"/>
    </row>
    <row r="285" spans="1:9" ht="13.15">
      <c r="A285" s="19"/>
      <c r="B285" s="19"/>
      <c r="C285" s="19"/>
      <c r="D285" s="19"/>
      <c r="E285" s="19"/>
      <c r="F285" s="20"/>
      <c r="G285" s="19"/>
      <c r="H285" s="19"/>
      <c r="I285" s="20"/>
    </row>
    <row r="286" spans="1:9" ht="13.15">
      <c r="A286" s="19"/>
      <c r="B286" s="19"/>
      <c r="C286" s="19"/>
      <c r="D286" s="19"/>
      <c r="E286" s="19"/>
      <c r="F286" s="20"/>
      <c r="G286" s="19"/>
      <c r="H286" s="19"/>
      <c r="I286" s="20"/>
    </row>
    <row r="287" spans="1:9" ht="13.15">
      <c r="A287" s="19"/>
      <c r="B287" s="19"/>
      <c r="C287" s="19"/>
      <c r="D287" s="19"/>
      <c r="E287" s="19"/>
      <c r="F287" s="20"/>
      <c r="G287" s="19"/>
      <c r="H287" s="19"/>
      <c r="I287" s="20"/>
    </row>
    <row r="288" spans="1:9" ht="13.15">
      <c r="A288" s="19"/>
      <c r="B288" s="19"/>
      <c r="C288" s="19"/>
      <c r="D288" s="19"/>
      <c r="E288" s="19"/>
      <c r="F288" s="20"/>
      <c r="G288" s="19"/>
      <c r="H288" s="19"/>
      <c r="I288" s="20"/>
    </row>
    <row r="289" spans="1:9" ht="13.15">
      <c r="A289" s="19"/>
      <c r="B289" s="19"/>
      <c r="C289" s="19"/>
      <c r="D289" s="19"/>
      <c r="E289" s="19"/>
      <c r="F289" s="20"/>
      <c r="G289" s="19"/>
      <c r="H289" s="19"/>
      <c r="I289" s="20"/>
    </row>
    <row r="290" spans="1:9" ht="13.15">
      <c r="A290" s="19"/>
      <c r="B290" s="19"/>
      <c r="C290" s="19"/>
      <c r="D290" s="19"/>
      <c r="E290" s="19"/>
      <c r="F290" s="20"/>
      <c r="G290" s="19"/>
      <c r="H290" s="19"/>
      <c r="I290" s="20"/>
    </row>
    <row r="291" spans="1:9" ht="13.15">
      <c r="A291" s="19"/>
      <c r="B291" s="19"/>
      <c r="C291" s="19"/>
      <c r="D291" s="19"/>
      <c r="E291" s="19"/>
      <c r="F291" s="20"/>
      <c r="G291" s="19"/>
      <c r="H291" s="19"/>
      <c r="I291" s="20"/>
    </row>
    <row r="292" spans="1:9" ht="13.15">
      <c r="A292" s="19"/>
      <c r="B292" s="19"/>
      <c r="C292" s="19"/>
      <c r="D292" s="19"/>
      <c r="E292" s="19"/>
      <c r="F292" s="20"/>
      <c r="G292" s="19"/>
      <c r="H292" s="19"/>
      <c r="I292" s="20"/>
    </row>
    <row r="293" spans="1:9" ht="13.15">
      <c r="A293" s="19"/>
      <c r="B293" s="19"/>
      <c r="C293" s="19"/>
      <c r="D293" s="19"/>
      <c r="E293" s="19"/>
      <c r="F293" s="20"/>
      <c r="G293" s="19"/>
      <c r="H293" s="19"/>
      <c r="I293" s="20"/>
    </row>
    <row r="294" spans="1:9" ht="13.15">
      <c r="A294" s="19"/>
      <c r="B294" s="19"/>
      <c r="C294" s="19"/>
      <c r="D294" s="19"/>
      <c r="E294" s="19"/>
      <c r="F294" s="20"/>
      <c r="G294" s="19"/>
      <c r="H294" s="19"/>
      <c r="I294" s="20"/>
    </row>
    <row r="295" spans="1:9" ht="13.15">
      <c r="A295" s="19"/>
      <c r="B295" s="19"/>
      <c r="C295" s="19"/>
      <c r="D295" s="19"/>
      <c r="E295" s="19"/>
      <c r="F295" s="20"/>
      <c r="G295" s="19"/>
      <c r="H295" s="19"/>
      <c r="I295" s="20"/>
    </row>
    <row r="296" spans="1:9" ht="13.15">
      <c r="A296" s="19"/>
      <c r="B296" s="19"/>
      <c r="C296" s="19"/>
      <c r="D296" s="19"/>
      <c r="E296" s="19"/>
      <c r="F296" s="20"/>
      <c r="G296" s="19"/>
      <c r="H296" s="19"/>
      <c r="I296" s="20"/>
    </row>
    <row r="297" spans="1:9" ht="13.15">
      <c r="A297" s="19"/>
      <c r="B297" s="19"/>
      <c r="C297" s="19"/>
      <c r="D297" s="19"/>
      <c r="E297" s="19"/>
      <c r="F297" s="20"/>
      <c r="G297" s="19"/>
      <c r="H297" s="19"/>
      <c r="I297" s="20"/>
    </row>
    <row r="298" spans="1:9" ht="13.15">
      <c r="A298" s="19"/>
      <c r="B298" s="19"/>
      <c r="C298" s="19"/>
      <c r="D298" s="19"/>
      <c r="E298" s="19"/>
      <c r="F298" s="20"/>
      <c r="G298" s="19"/>
      <c r="H298" s="19"/>
      <c r="I298" s="20"/>
    </row>
    <row r="299" spans="1:9" ht="13.15">
      <c r="A299" s="19"/>
      <c r="B299" s="19"/>
      <c r="C299" s="19"/>
      <c r="D299" s="19"/>
      <c r="E299" s="19"/>
      <c r="F299" s="20"/>
      <c r="G299" s="19"/>
      <c r="H299" s="19"/>
      <c r="I299" s="20"/>
    </row>
    <row r="300" spans="1:9" ht="13.15">
      <c r="A300" s="19"/>
      <c r="B300" s="19"/>
      <c r="C300" s="19"/>
      <c r="D300" s="19"/>
      <c r="E300" s="19"/>
      <c r="F300" s="20"/>
      <c r="G300" s="19"/>
      <c r="H300" s="19"/>
      <c r="I300" s="20"/>
    </row>
    <row r="301" spans="1:9" ht="13.15">
      <c r="A301" s="19"/>
      <c r="B301" s="19"/>
      <c r="C301" s="19"/>
      <c r="D301" s="19"/>
      <c r="E301" s="19"/>
      <c r="F301" s="20"/>
      <c r="G301" s="19"/>
      <c r="H301" s="19"/>
      <c r="I301" s="20"/>
    </row>
    <row r="302" spans="1:9" ht="13.15">
      <c r="A302" s="19"/>
      <c r="B302" s="19"/>
      <c r="C302" s="19"/>
      <c r="D302" s="19"/>
      <c r="E302" s="19"/>
      <c r="F302" s="20"/>
      <c r="G302" s="19"/>
      <c r="H302" s="19"/>
      <c r="I302" s="20"/>
    </row>
    <row r="303" spans="1:9" ht="13.15">
      <c r="A303" s="19"/>
      <c r="B303" s="19"/>
      <c r="C303" s="19"/>
      <c r="D303" s="19"/>
      <c r="E303" s="19"/>
      <c r="F303" s="20"/>
      <c r="G303" s="19"/>
      <c r="H303" s="19"/>
      <c r="I303" s="20"/>
    </row>
    <row r="304" spans="1:9" ht="13.15">
      <c r="A304" s="19"/>
      <c r="B304" s="19"/>
      <c r="C304" s="19"/>
      <c r="D304" s="19"/>
      <c r="E304" s="19"/>
      <c r="F304" s="20"/>
      <c r="G304" s="19"/>
      <c r="H304" s="19"/>
      <c r="I304" s="20"/>
    </row>
    <row r="305" spans="1:9" ht="13.15">
      <c r="A305" s="19"/>
      <c r="B305" s="19"/>
      <c r="C305" s="19"/>
      <c r="D305" s="19"/>
      <c r="E305" s="19"/>
      <c r="F305" s="20"/>
      <c r="G305" s="19"/>
      <c r="H305" s="19"/>
      <c r="I305" s="20"/>
    </row>
    <row r="306" spans="1:9" ht="13.15">
      <c r="A306" s="19"/>
      <c r="B306" s="19"/>
      <c r="C306" s="19"/>
      <c r="D306" s="19"/>
      <c r="E306" s="19"/>
      <c r="F306" s="20"/>
      <c r="G306" s="19"/>
      <c r="H306" s="19"/>
      <c r="I306" s="20"/>
    </row>
    <row r="307" spans="1:9" ht="13.15">
      <c r="A307" s="19"/>
      <c r="B307" s="19"/>
      <c r="C307" s="19"/>
      <c r="D307" s="19"/>
      <c r="E307" s="19"/>
      <c r="F307" s="20"/>
      <c r="G307" s="19"/>
      <c r="H307" s="19"/>
      <c r="I307" s="20"/>
    </row>
    <row r="308" spans="1:9" ht="13.15">
      <c r="A308" s="19"/>
      <c r="B308" s="19"/>
      <c r="C308" s="19"/>
      <c r="D308" s="19"/>
      <c r="E308" s="19"/>
      <c r="F308" s="20"/>
      <c r="G308" s="19"/>
      <c r="H308" s="19"/>
      <c r="I308" s="20"/>
    </row>
    <row r="309" spans="1:9" ht="13.15">
      <c r="A309" s="19"/>
      <c r="B309" s="19"/>
      <c r="C309" s="19"/>
      <c r="D309" s="19"/>
      <c r="E309" s="19"/>
      <c r="F309" s="20"/>
      <c r="G309" s="19"/>
      <c r="H309" s="19"/>
      <c r="I309" s="20"/>
    </row>
    <row r="310" spans="1:9" ht="13.15">
      <c r="A310" s="19"/>
      <c r="B310" s="19"/>
      <c r="C310" s="19"/>
      <c r="D310" s="19"/>
      <c r="E310" s="19"/>
      <c r="F310" s="20"/>
      <c r="G310" s="19"/>
      <c r="H310" s="19"/>
      <c r="I310" s="20"/>
    </row>
    <row r="311" spans="1:9" ht="13.15">
      <c r="A311" s="19"/>
      <c r="B311" s="19"/>
      <c r="C311" s="19"/>
      <c r="D311" s="19"/>
      <c r="E311" s="19"/>
      <c r="F311" s="20"/>
      <c r="G311" s="19"/>
      <c r="H311" s="19"/>
      <c r="I311" s="20"/>
    </row>
    <row r="312" spans="1:9" ht="13.15">
      <c r="A312" s="19"/>
      <c r="B312" s="19"/>
      <c r="C312" s="19"/>
      <c r="D312" s="19"/>
      <c r="E312" s="19"/>
      <c r="F312" s="20"/>
      <c r="G312" s="19"/>
      <c r="H312" s="19"/>
      <c r="I312" s="20"/>
    </row>
    <row r="313" spans="1:9" ht="13.15">
      <c r="A313" s="19"/>
      <c r="B313" s="19"/>
      <c r="C313" s="19"/>
      <c r="D313" s="19"/>
      <c r="E313" s="19"/>
      <c r="F313" s="20"/>
      <c r="G313" s="19"/>
      <c r="H313" s="19"/>
      <c r="I313" s="20"/>
    </row>
    <row r="314" spans="1:9" ht="13.15">
      <c r="A314" s="19"/>
      <c r="B314" s="19"/>
      <c r="C314" s="19"/>
      <c r="D314" s="19"/>
      <c r="E314" s="19"/>
      <c r="F314" s="20"/>
      <c r="G314" s="19"/>
      <c r="H314" s="19"/>
      <c r="I314" s="20"/>
    </row>
    <row r="315" spans="1:9" ht="13.15">
      <c r="A315" s="19"/>
      <c r="B315" s="19"/>
      <c r="C315" s="19"/>
      <c r="D315" s="19"/>
      <c r="E315" s="19"/>
      <c r="F315" s="20"/>
      <c r="G315" s="19"/>
      <c r="H315" s="19"/>
      <c r="I315" s="20"/>
    </row>
    <row r="316" spans="1:9" ht="13.15">
      <c r="A316" s="19"/>
      <c r="B316" s="19"/>
      <c r="C316" s="19"/>
      <c r="D316" s="19"/>
      <c r="E316" s="19"/>
      <c r="F316" s="20"/>
      <c r="G316" s="19"/>
      <c r="H316" s="19"/>
      <c r="I316" s="20"/>
    </row>
    <row r="317" spans="1:9" ht="13.15">
      <c r="A317" s="19"/>
      <c r="B317" s="19"/>
      <c r="C317" s="19"/>
      <c r="D317" s="19"/>
      <c r="E317" s="19"/>
      <c r="F317" s="20"/>
      <c r="G317" s="19"/>
      <c r="H317" s="19"/>
      <c r="I317" s="20"/>
    </row>
    <row r="318" spans="1:9" ht="13.15">
      <c r="A318" s="19"/>
      <c r="B318" s="19"/>
      <c r="C318" s="19"/>
      <c r="D318" s="19"/>
      <c r="E318" s="19"/>
      <c r="F318" s="20"/>
      <c r="G318" s="19"/>
      <c r="H318" s="19"/>
      <c r="I318" s="20"/>
    </row>
    <row r="319" spans="1:9" ht="13.15">
      <c r="A319" s="19"/>
      <c r="B319" s="19"/>
      <c r="C319" s="19"/>
      <c r="D319" s="19"/>
      <c r="E319" s="19"/>
      <c r="F319" s="20"/>
      <c r="G319" s="19"/>
      <c r="H319" s="19"/>
      <c r="I319" s="20"/>
    </row>
    <row r="320" spans="1:9" ht="13.15">
      <c r="A320" s="19"/>
      <c r="B320" s="19"/>
      <c r="C320" s="19"/>
      <c r="D320" s="19"/>
      <c r="E320" s="19"/>
      <c r="F320" s="20"/>
      <c r="G320" s="19"/>
      <c r="H320" s="19"/>
      <c r="I320" s="20"/>
    </row>
    <row r="321" spans="1:9" ht="13.15">
      <c r="A321" s="19"/>
      <c r="B321" s="19"/>
      <c r="C321" s="19"/>
      <c r="D321" s="19"/>
      <c r="E321" s="19"/>
      <c r="F321" s="20"/>
      <c r="G321" s="19"/>
      <c r="H321" s="19"/>
      <c r="I321" s="20"/>
    </row>
    <row r="322" spans="1:9" ht="13.15">
      <c r="A322" s="19"/>
      <c r="B322" s="19"/>
      <c r="C322" s="19"/>
      <c r="D322" s="19"/>
      <c r="E322" s="19"/>
      <c r="F322" s="20"/>
      <c r="G322" s="19"/>
      <c r="H322" s="19"/>
      <c r="I322" s="20"/>
    </row>
  </sheetData>
  <mergeCells count="4">
    <mergeCell ref="G1:I1"/>
    <mergeCell ref="A1:C1"/>
    <mergeCell ref="D1:F1"/>
    <mergeCell ref="A2:B2"/>
  </mergeCells>
  <conditionalFormatting sqref="F2 I2 F4:F80 I4:I80">
    <cfRule type="cellIs" dxfId="49" priority="1" stopIfTrue="1" operator="lessThanOrEqual">
      <formula>-0.1</formula>
    </cfRule>
    <cfRule type="expression" dxfId="48"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321"/>
  <sheetViews>
    <sheetView zoomScale="60" zoomScaleNormal="60" workbookViewId="0">
      <pane xSplit="2" ySplit="3" topLeftCell="C4" activePane="bottomRight" state="frozen"/>
      <selection pane="bottomRight" activeCell="O17" sqref="O17"/>
      <selection pane="bottomLeft" activeCell="F27" sqref="F27"/>
      <selection pane="topRight" activeCell="F27" sqref="F27"/>
    </sheetView>
  </sheetViews>
  <sheetFormatPr defaultRowHeight="14.25" customHeight="1"/>
  <cols>
    <col min="1" max="1" width="35.85546875" bestFit="1" customWidth="1"/>
    <col min="2" max="3" width="8.42578125" style="32" customWidth="1"/>
    <col min="4" max="4" width="11.85546875" customWidth="1"/>
    <col min="5" max="6" width="13.140625" customWidth="1"/>
    <col min="7" max="7" width="13.140625" style="1" customWidth="1"/>
    <col min="8" max="9" width="13.140625" customWidth="1"/>
    <col min="10" max="10" width="13.140625" style="1" customWidth="1"/>
    <col min="11" max="11" width="71.5703125" customWidth="1"/>
    <col min="12" max="12" width="20.5703125" bestFit="1" customWidth="1"/>
  </cols>
  <sheetData>
    <row r="1" spans="1:14" ht="19.5" customHeight="1">
      <c r="A1" s="111" t="str" cm="1">
        <f t="array" ref="A1">portfolio</f>
        <v>GoodFinch</v>
      </c>
      <c r="B1" s="111"/>
      <c r="C1" s="111"/>
      <c r="D1" s="111"/>
      <c r="E1" s="112" t="s">
        <v>18</v>
      </c>
      <c r="F1" s="112"/>
      <c r="G1" s="112"/>
      <c r="H1" s="110" t="s">
        <v>19</v>
      </c>
      <c r="I1" s="110"/>
      <c r="J1" s="110"/>
      <c r="K1" s="4"/>
      <c r="L1" s="4"/>
    </row>
    <row r="2" spans="1:14" ht="19.5" customHeight="1">
      <c r="A2" s="113" t="s">
        <v>2</v>
      </c>
      <c r="B2" s="113"/>
      <c r="C2" s="82"/>
      <c r="D2" s="5">
        <f>SUM(D4:D79)</f>
        <v>0</v>
      </c>
      <c r="E2" s="5">
        <f>SUM(E4:E79)</f>
        <v>0</v>
      </c>
      <c r="F2" s="5">
        <f>D2-E2</f>
        <v>0</v>
      </c>
      <c r="G2" s="6">
        <f>IFERROR(F2/E2, 0)</f>
        <v>0</v>
      </c>
      <c r="H2" s="5">
        <f>SUM(H4:H79)</f>
        <v>0</v>
      </c>
      <c r="I2" s="7">
        <f>D2-H2</f>
        <v>0</v>
      </c>
      <c r="J2" s="6">
        <f>IFERROR(I2/H2, 0)</f>
        <v>0</v>
      </c>
      <c r="K2" s="24" t="str">
        <f ca="1">IF(AND(TODAY()&gt;DATE(2024, 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4" ht="14.25" customHeight="1">
      <c r="A3" s="25" t="s">
        <v>3</v>
      </c>
      <c r="B3" s="8" t="s">
        <v>4</v>
      </c>
      <c r="C3" s="8" t="s">
        <v>20</v>
      </c>
      <c r="D3" s="21" t="s">
        <v>5</v>
      </c>
      <c r="E3" s="33" t="s">
        <v>6</v>
      </c>
      <c r="F3" s="33" t="s">
        <v>7</v>
      </c>
      <c r="G3" s="34" t="s">
        <v>8</v>
      </c>
      <c r="H3" s="38" t="s">
        <v>9</v>
      </c>
      <c r="I3" s="36" t="s">
        <v>7</v>
      </c>
      <c r="J3" s="37" t="s">
        <v>8</v>
      </c>
      <c r="K3" s="23" t="s">
        <v>21</v>
      </c>
      <c r="L3" s="23" t="s">
        <v>22</v>
      </c>
    </row>
    <row r="4" spans="1:14" ht="15.75">
      <c r="A4" s="57" t="str" cm="1">
        <f t="array" ref="A4:A45">Sites[Site]</f>
        <v>AZ: Tempe - ASU - Farmer</v>
      </c>
      <c r="B4" s="86" t="str" cm="1">
        <f t="array" ref="B4:B45">Sites[State]</f>
        <v>AZ</v>
      </c>
      <c r="C4" s="27"/>
      <c r="D4" s="22"/>
      <c r="E4" s="12"/>
      <c r="F4" s="12" t="str">
        <f>IF(AND(ISNUMBER(D4),ISNUMBER(E4)), D4-E4, "")</f>
        <v/>
      </c>
      <c r="G4" s="13" t="str">
        <f>IFERROR(F4/E4, "")</f>
        <v/>
      </c>
      <c r="H4" s="14"/>
      <c r="I4" s="14" t="str">
        <f>IF(AND(ISNUMBER(D4),ISNUMBER(H4)), D4-H4, "")</f>
        <v/>
      </c>
      <c r="J4" s="15" t="str">
        <f>IFERROR(I4/H4, "")</f>
        <v/>
      </c>
      <c r="K4" s="58"/>
      <c r="L4" s="59"/>
      <c r="M4" s="63"/>
      <c r="N4" s="63"/>
    </row>
    <row r="5" spans="1:14" ht="79.5" customHeight="1">
      <c r="A5" s="50" t="str">
        <v>AZ: Tempe - ASU - Fulton</v>
      </c>
      <c r="B5" s="87" t="str">
        <v>AZ</v>
      </c>
      <c r="C5" s="29"/>
      <c r="D5" s="16"/>
      <c r="E5" s="16"/>
      <c r="F5" s="16" t="str">
        <f t="shared" ref="F5:F10" si="0">IF(AND(ISNUMBER(D5),ISNUMBER(E5)), D5-E5, "")</f>
        <v/>
      </c>
      <c r="G5" s="64" t="str">
        <f t="shared" ref="G5:G10" si="1">IFERROR(F5/E5, "")</f>
        <v/>
      </c>
      <c r="H5" s="18"/>
      <c r="I5" s="18" t="str">
        <f t="shared" ref="I5:I6" si="2">IF(AND(ISNUMBER(D5),ISNUMBER(H5)), D5-H5, "")</f>
        <v/>
      </c>
      <c r="J5" s="17" t="str">
        <f>IFERROR(I5/H5, "")</f>
        <v/>
      </c>
      <c r="K5" s="52"/>
      <c r="L5" s="60"/>
      <c r="M5" s="63"/>
    </row>
    <row r="6" spans="1:14" ht="15.75">
      <c r="A6" s="51" t="str">
        <v>AZ: Superior - JFK Elementary</v>
      </c>
      <c r="B6" s="86" t="str">
        <v>AZ</v>
      </c>
      <c r="C6" s="27"/>
      <c r="D6" s="22"/>
      <c r="E6" s="12"/>
      <c r="F6" s="12" t="str">
        <f t="shared" si="0"/>
        <v/>
      </c>
      <c r="G6" s="13" t="str">
        <f t="shared" si="1"/>
        <v/>
      </c>
      <c r="H6" s="14"/>
      <c r="I6" s="14" t="str">
        <f t="shared" si="2"/>
        <v/>
      </c>
      <c r="J6" s="15" t="str">
        <f t="shared" ref="J6:J7" si="3">IFERROR(I6/H6, "")</f>
        <v/>
      </c>
      <c r="K6" s="39"/>
      <c r="L6" s="59"/>
      <c r="M6" s="63"/>
    </row>
    <row r="7" spans="1:14" ht="15.75">
      <c r="A7" s="50" t="str">
        <v>AZ: Tempe - ASU - Noble</v>
      </c>
      <c r="B7" s="87" t="str">
        <v>AZ</v>
      </c>
      <c r="C7" s="29"/>
      <c r="D7" s="16"/>
      <c r="E7" s="16"/>
      <c r="F7" s="16" t="str">
        <f t="shared" si="0"/>
        <v/>
      </c>
      <c r="G7" s="16" t="str">
        <f t="shared" si="1"/>
        <v/>
      </c>
      <c r="H7" s="18"/>
      <c r="I7" s="18" t="str">
        <f t="shared" ref="I7:I10" si="4">IF(AND(ISNUMBER(D7),ISNUMBER(H7)), D7-H7, "")</f>
        <v/>
      </c>
      <c r="J7" s="17" t="str">
        <f t="shared" si="3"/>
        <v/>
      </c>
      <c r="K7" s="40"/>
      <c r="L7" s="40"/>
    </row>
    <row r="8" spans="1:14" ht="15.75">
      <c r="A8" s="51" t="str">
        <v>AZ: Tempe - ASU - Parking #3</v>
      </c>
      <c r="B8" s="86" t="str">
        <v>AZ</v>
      </c>
      <c r="C8" s="27"/>
      <c r="D8" s="22"/>
      <c r="E8" s="12"/>
      <c r="F8" s="12" t="str">
        <f t="shared" si="0"/>
        <v/>
      </c>
      <c r="G8" s="43" t="str">
        <f t="shared" si="1"/>
        <v/>
      </c>
      <c r="H8" s="14"/>
      <c r="I8" s="14" t="str">
        <f t="shared" si="4"/>
        <v/>
      </c>
      <c r="J8" s="15" t="str">
        <f t="shared" ref="J8:J45" si="5">IFERROR(I8/H8, "")</f>
        <v/>
      </c>
      <c r="K8" s="39"/>
      <c r="L8" s="59"/>
      <c r="M8" s="62"/>
      <c r="N8" s="62"/>
    </row>
    <row r="9" spans="1:14" ht="15.75">
      <c r="A9" s="50" t="str">
        <v>AZ: Tempe - ASU - PE East</v>
      </c>
      <c r="B9" s="87" t="str">
        <v>AZ</v>
      </c>
      <c r="C9" s="29"/>
      <c r="D9" s="16"/>
      <c r="E9" s="16"/>
      <c r="F9" s="16" t="str">
        <f t="shared" si="0"/>
        <v/>
      </c>
      <c r="G9" s="64" t="str">
        <f t="shared" si="1"/>
        <v/>
      </c>
      <c r="H9" s="18"/>
      <c r="I9" s="18" t="str">
        <f t="shared" si="4"/>
        <v/>
      </c>
      <c r="J9" s="17" t="str">
        <f t="shared" si="5"/>
        <v/>
      </c>
      <c r="K9" s="40"/>
      <c r="L9" s="61"/>
      <c r="M9" s="62"/>
    </row>
    <row r="10" spans="1:14" ht="15.75">
      <c r="A10" s="51" t="str">
        <v>AZ: Tempe - ASU - Schwada</v>
      </c>
      <c r="B10" s="86" t="str">
        <v>AZ</v>
      </c>
      <c r="C10" s="27"/>
      <c r="D10" s="22"/>
      <c r="E10" s="12"/>
      <c r="F10" s="12" t="str">
        <f t="shared" si="0"/>
        <v/>
      </c>
      <c r="G10" s="13" t="str">
        <f t="shared" si="1"/>
        <v/>
      </c>
      <c r="H10" s="14"/>
      <c r="I10" s="14" t="str">
        <f t="shared" si="4"/>
        <v/>
      </c>
      <c r="J10" s="76" t="str">
        <f t="shared" si="5"/>
        <v/>
      </c>
      <c r="K10" s="39"/>
      <c r="L10" s="59"/>
      <c r="M10" s="62"/>
      <c r="N10" s="62"/>
    </row>
    <row r="11" spans="1:14" ht="15.75">
      <c r="A11" s="50" t="str">
        <v>AZ: Phoenix - Starshine Academy</v>
      </c>
      <c r="B11" s="87" t="str">
        <v>AZ</v>
      </c>
      <c r="C11" s="29"/>
      <c r="D11" s="16"/>
      <c r="E11" s="16"/>
      <c r="F11" s="16" t="str">
        <f t="shared" ref="F11:F45" si="6">IF(AND(ISNUMBER(D11),ISNUMBER(E11)), D11-E11, "")</f>
        <v/>
      </c>
      <c r="G11" s="64" t="str">
        <f t="shared" ref="G11:G45" si="7">IFERROR(F11/E11, "")</f>
        <v/>
      </c>
      <c r="H11" s="80"/>
      <c r="I11" s="80" t="str">
        <f t="shared" ref="I11:I45" si="8">IF(AND(ISNUMBER(D11),ISNUMBER(H11)), D11-H11, "")</f>
        <v/>
      </c>
      <c r="J11" s="99" t="str">
        <f t="shared" si="5"/>
        <v/>
      </c>
      <c r="K11" s="40"/>
      <c r="L11" s="61"/>
    </row>
    <row r="12" spans="1:14" ht="15.75">
      <c r="A12" s="51" t="str">
        <v>AZ: Yuma Airport</v>
      </c>
      <c r="B12" s="86" t="str">
        <v>AZ</v>
      </c>
      <c r="C12" s="27"/>
      <c r="D12" s="73"/>
      <c r="E12" s="12"/>
      <c r="F12" s="12" t="str">
        <f t="shared" si="6"/>
        <v/>
      </c>
      <c r="G12" s="74" t="str">
        <f t="shared" si="7"/>
        <v/>
      </c>
      <c r="H12" s="75"/>
      <c r="I12" s="75" t="str">
        <f t="shared" si="8"/>
        <v/>
      </c>
      <c r="J12" s="76" t="str">
        <f t="shared" si="5"/>
        <v/>
      </c>
      <c r="K12" s="77"/>
      <c r="L12" s="81"/>
    </row>
    <row r="13" spans="1:14" ht="15.75">
      <c r="A13" s="50" t="str">
        <v>AZ: Globe - Gila CC</v>
      </c>
      <c r="B13" s="87" t="str">
        <v>AZ</v>
      </c>
      <c r="C13" s="29"/>
      <c r="D13" s="16"/>
      <c r="E13" s="16"/>
      <c r="F13" s="16" t="str">
        <f t="shared" si="6"/>
        <v/>
      </c>
      <c r="G13" s="64" t="str">
        <f t="shared" si="7"/>
        <v/>
      </c>
      <c r="H13" s="80"/>
      <c r="I13" s="80" t="str">
        <f t="shared" si="8"/>
        <v/>
      </c>
      <c r="J13" s="99" t="str">
        <f t="shared" si="5"/>
        <v/>
      </c>
      <c r="K13" s="40"/>
      <c r="L13" s="61"/>
    </row>
    <row r="14" spans="1:14" ht="15.75">
      <c r="A14" s="51" t="str">
        <v>AZ: Payson - Gila CC</v>
      </c>
      <c r="B14" s="86" t="str">
        <v>AZ</v>
      </c>
      <c r="C14" s="27"/>
      <c r="D14" s="73"/>
      <c r="E14" s="12"/>
      <c r="F14" s="12" t="str">
        <f t="shared" si="6"/>
        <v/>
      </c>
      <c r="G14" s="74" t="str">
        <f t="shared" si="7"/>
        <v/>
      </c>
      <c r="H14" s="75"/>
      <c r="I14" s="75" t="str">
        <f t="shared" si="8"/>
        <v/>
      </c>
      <c r="J14" s="76" t="str">
        <f t="shared" si="5"/>
        <v/>
      </c>
      <c r="K14" s="77"/>
      <c r="L14" s="81"/>
    </row>
    <row r="15" spans="1:14" ht="15.75">
      <c r="A15" s="50" t="str">
        <v>AZ: Mesa - Sequoia Charter School</v>
      </c>
      <c r="B15" s="87" t="str">
        <v>AZ</v>
      </c>
      <c r="C15" s="29"/>
      <c r="D15" s="16"/>
      <c r="E15" s="16"/>
      <c r="F15" s="16" t="str">
        <f t="shared" si="6"/>
        <v/>
      </c>
      <c r="G15" s="64" t="str">
        <f t="shared" si="7"/>
        <v/>
      </c>
      <c r="H15" s="80"/>
      <c r="I15" s="80" t="str">
        <f t="shared" si="8"/>
        <v/>
      </c>
      <c r="J15" s="99" t="str">
        <f t="shared" si="5"/>
        <v/>
      </c>
      <c r="K15" s="40"/>
      <c r="L15" s="61"/>
    </row>
    <row r="16" spans="1:14" ht="15.75">
      <c r="A16" s="51" t="str">
        <v>AZ: Tempe - SCNM</v>
      </c>
      <c r="B16" s="86" t="str">
        <v>AZ</v>
      </c>
      <c r="C16" s="27"/>
      <c r="D16" s="73"/>
      <c r="E16" s="12"/>
      <c r="F16" s="12" t="str">
        <f t="shared" si="6"/>
        <v/>
      </c>
      <c r="G16" s="74" t="str">
        <f t="shared" si="7"/>
        <v/>
      </c>
      <c r="H16" s="75"/>
      <c r="I16" s="75" t="str">
        <f t="shared" si="8"/>
        <v/>
      </c>
      <c r="J16" s="76" t="str">
        <f t="shared" si="5"/>
        <v/>
      </c>
      <c r="K16" s="77"/>
      <c r="L16" s="81"/>
    </row>
    <row r="17" spans="1:12" ht="15.75">
      <c r="A17" s="50" t="str">
        <v>DE: Newark - Clayton Hall</v>
      </c>
      <c r="B17" s="87" t="str">
        <v>DE</v>
      </c>
      <c r="C17" s="29"/>
      <c r="D17" s="16"/>
      <c r="E17" s="16"/>
      <c r="F17" s="16" t="str">
        <f t="shared" si="6"/>
        <v/>
      </c>
      <c r="G17" s="64" t="str">
        <f t="shared" si="7"/>
        <v/>
      </c>
      <c r="H17" s="80"/>
      <c r="I17" s="80" t="str">
        <f t="shared" si="8"/>
        <v/>
      </c>
      <c r="J17" s="99" t="str">
        <f t="shared" si="5"/>
        <v/>
      </c>
      <c r="K17" s="40"/>
      <c r="L17" s="61"/>
    </row>
    <row r="18" spans="1:12" ht="15.75">
      <c r="A18" s="51" t="str">
        <v>DE: Newark - UOD Field House</v>
      </c>
      <c r="B18" s="86" t="str">
        <v>DE</v>
      </c>
      <c r="C18" s="27"/>
      <c r="D18" s="73"/>
      <c r="E18" s="12"/>
      <c r="F18" s="12" t="str">
        <f t="shared" si="6"/>
        <v/>
      </c>
      <c r="G18" s="74" t="str">
        <f t="shared" si="7"/>
        <v/>
      </c>
      <c r="H18" s="75"/>
      <c r="I18" s="75" t="str">
        <f t="shared" si="8"/>
        <v/>
      </c>
      <c r="J18" s="76" t="str">
        <f t="shared" si="5"/>
        <v/>
      </c>
      <c r="K18" s="77"/>
      <c r="L18" s="81"/>
    </row>
    <row r="19" spans="1:12" ht="15.75">
      <c r="A19" s="50" t="str">
        <v>DE: Newark - UOD 461 Wyoming</v>
      </c>
      <c r="B19" s="87" t="str">
        <v>DE</v>
      </c>
      <c r="C19" s="29"/>
      <c r="D19" s="16"/>
      <c r="E19" s="16"/>
      <c r="F19" s="16" t="str">
        <f t="shared" si="6"/>
        <v/>
      </c>
      <c r="G19" s="64" t="str">
        <f t="shared" si="7"/>
        <v/>
      </c>
      <c r="H19" s="80"/>
      <c r="I19" s="80" t="str">
        <f t="shared" si="8"/>
        <v/>
      </c>
      <c r="J19" s="99" t="str">
        <f t="shared" si="5"/>
        <v/>
      </c>
      <c r="K19" s="40"/>
      <c r="L19" s="61"/>
    </row>
    <row r="20" spans="1:12" ht="15.75">
      <c r="A20" s="51" t="str">
        <v>HI: Waipahu - 94-246 Leoku St - E.F.G.</v>
      </c>
      <c r="B20" s="86" t="str">
        <v>HI</v>
      </c>
      <c r="C20" s="27"/>
      <c r="D20" s="73"/>
      <c r="E20" s="12"/>
      <c r="F20" s="12" t="str">
        <f t="shared" si="6"/>
        <v/>
      </c>
      <c r="G20" s="74" t="str">
        <f t="shared" si="7"/>
        <v/>
      </c>
      <c r="H20" s="75"/>
      <c r="I20" s="75" t="str">
        <f t="shared" si="8"/>
        <v/>
      </c>
      <c r="J20" s="76" t="str">
        <f t="shared" si="5"/>
        <v/>
      </c>
      <c r="K20" s="77"/>
      <c r="L20" s="81"/>
    </row>
    <row r="21" spans="1:12" ht="15.75">
      <c r="A21" s="50" t="str">
        <v>HI: Waipahu - 94-099 Waipahu St - PV</v>
      </c>
      <c r="B21" s="87" t="str">
        <v>HI</v>
      </c>
      <c r="C21" s="29"/>
      <c r="D21" s="16"/>
      <c r="E21" s="16"/>
      <c r="F21" s="16" t="str">
        <f t="shared" si="6"/>
        <v/>
      </c>
      <c r="G21" s="64" t="str">
        <f t="shared" si="7"/>
        <v/>
      </c>
      <c r="H21" s="80"/>
      <c r="I21" s="80" t="str">
        <f t="shared" si="8"/>
        <v/>
      </c>
      <c r="J21" s="99" t="str">
        <f t="shared" si="5"/>
        <v/>
      </c>
      <c r="K21" s="40"/>
      <c r="L21" s="61"/>
    </row>
    <row r="22" spans="1:12" ht="15.75">
      <c r="A22" s="51" t="str">
        <v>MD: Presston - Bird-in-Hand</v>
      </c>
      <c r="B22" s="86" t="str">
        <v>MD</v>
      </c>
      <c r="C22" s="27"/>
      <c r="D22" s="73"/>
      <c r="E22" s="12"/>
      <c r="F22" s="12" t="str">
        <f t="shared" si="6"/>
        <v/>
      </c>
      <c r="G22" s="74" t="str">
        <f t="shared" si="7"/>
        <v/>
      </c>
      <c r="H22" s="75"/>
      <c r="I22" s="75" t="str">
        <f t="shared" si="8"/>
        <v/>
      </c>
      <c r="J22" s="76" t="str">
        <f t="shared" si="5"/>
        <v/>
      </c>
      <c r="K22" s="77"/>
      <c r="L22" s="81"/>
    </row>
    <row r="23" spans="1:12" ht="15.75">
      <c r="A23" s="50" t="str">
        <v>MD: Easton - Shortall</v>
      </c>
      <c r="B23" s="87" t="str">
        <v>MD</v>
      </c>
      <c r="C23" s="29"/>
      <c r="D23" s="16"/>
      <c r="E23" s="16"/>
      <c r="F23" s="16" t="str">
        <f t="shared" si="6"/>
        <v/>
      </c>
      <c r="G23" s="64" t="str">
        <f t="shared" si="7"/>
        <v/>
      </c>
      <c r="H23" s="80"/>
      <c r="I23" s="80" t="str">
        <f t="shared" si="8"/>
        <v/>
      </c>
      <c r="J23" s="99" t="str">
        <f t="shared" si="5"/>
        <v/>
      </c>
      <c r="K23" s="40"/>
      <c r="L23" s="61"/>
    </row>
    <row r="24" spans="1:12" ht="15.75">
      <c r="A24" s="51" t="str">
        <v>MA: Boston - Seaport Solar</v>
      </c>
      <c r="B24" s="86" t="str">
        <v>MA</v>
      </c>
      <c r="C24" s="27"/>
      <c r="D24" s="73"/>
      <c r="E24" s="12"/>
      <c r="F24" s="12" t="str">
        <f t="shared" si="6"/>
        <v/>
      </c>
      <c r="G24" s="74" t="str">
        <f t="shared" si="7"/>
        <v/>
      </c>
      <c r="H24" s="75"/>
      <c r="I24" s="75" t="str">
        <f t="shared" si="8"/>
        <v/>
      </c>
      <c r="J24" s="76" t="str">
        <f t="shared" si="5"/>
        <v/>
      </c>
      <c r="K24" s="77"/>
      <c r="L24" s="81"/>
    </row>
    <row r="25" spans="1:12" ht="15.75">
      <c r="A25" s="50" t="str">
        <v>MA: Dedham - Sprague Street</v>
      </c>
      <c r="B25" s="87" t="str">
        <v>MA</v>
      </c>
      <c r="C25" s="29"/>
      <c r="D25" s="16"/>
      <c r="E25" s="16"/>
      <c r="F25" s="16" t="str">
        <f t="shared" si="6"/>
        <v/>
      </c>
      <c r="G25" s="64" t="str">
        <f t="shared" si="7"/>
        <v/>
      </c>
      <c r="H25" s="80"/>
      <c r="I25" s="80" t="str">
        <f t="shared" si="8"/>
        <v/>
      </c>
      <c r="J25" s="99" t="str">
        <f t="shared" si="5"/>
        <v/>
      </c>
      <c r="K25" s="40"/>
      <c r="L25" s="61"/>
    </row>
    <row r="26" spans="1:12" ht="15.75">
      <c r="A26" s="51" t="str">
        <v>MA: Boston - Summer Street</v>
      </c>
      <c r="B26" s="86" t="str">
        <v>MA</v>
      </c>
      <c r="C26" s="27"/>
      <c r="D26" s="73"/>
      <c r="E26" s="12"/>
      <c r="F26" s="12" t="str">
        <f t="shared" si="6"/>
        <v/>
      </c>
      <c r="G26" s="74" t="str">
        <f t="shared" si="7"/>
        <v/>
      </c>
      <c r="H26" s="75"/>
      <c r="I26" s="75" t="str">
        <f t="shared" si="8"/>
        <v/>
      </c>
      <c r="J26" s="76" t="str">
        <f t="shared" si="5"/>
        <v/>
      </c>
      <c r="K26" s="77"/>
      <c r="L26" s="81"/>
    </row>
    <row r="27" spans="1:12" ht="15.75">
      <c r="A27" s="50" t="str">
        <v>MA: Leominster - Spectro Coatings</v>
      </c>
      <c r="B27" s="87" t="str">
        <v>MA</v>
      </c>
      <c r="C27" s="29"/>
      <c r="D27" s="16"/>
      <c r="E27" s="16"/>
      <c r="F27" s="16" t="str">
        <f t="shared" si="6"/>
        <v/>
      </c>
      <c r="G27" s="64" t="str">
        <f t="shared" si="7"/>
        <v/>
      </c>
      <c r="H27" s="80"/>
      <c r="I27" s="80" t="str">
        <f t="shared" si="8"/>
        <v/>
      </c>
      <c r="J27" s="99" t="str">
        <f t="shared" si="5"/>
        <v/>
      </c>
      <c r="K27" s="40"/>
      <c r="L27" s="61"/>
    </row>
    <row r="28" spans="1:12" ht="15.75">
      <c r="A28" s="51" t="str">
        <v>MA: Braintree - RCAB</v>
      </c>
      <c r="B28" s="86" t="str">
        <v>MA</v>
      </c>
      <c r="C28" s="27"/>
      <c r="D28" s="73"/>
      <c r="E28" s="12"/>
      <c r="F28" s="12" t="str">
        <f t="shared" si="6"/>
        <v/>
      </c>
      <c r="G28" s="74" t="str">
        <f t="shared" si="7"/>
        <v/>
      </c>
      <c r="H28" s="75"/>
      <c r="I28" s="75" t="str">
        <f t="shared" si="8"/>
        <v/>
      </c>
      <c r="J28" s="76" t="str">
        <f t="shared" si="5"/>
        <v/>
      </c>
      <c r="K28" s="77"/>
      <c r="L28" s="81"/>
    </row>
    <row r="29" spans="1:12" ht="15.75">
      <c r="A29" s="50" t="str">
        <v>NH: Rochester - Portland Street</v>
      </c>
      <c r="B29" s="87" t="str">
        <v>NH</v>
      </c>
      <c r="C29" s="29"/>
      <c r="D29" s="16"/>
      <c r="E29" s="16"/>
      <c r="F29" s="16" t="str">
        <f t="shared" si="6"/>
        <v/>
      </c>
      <c r="G29" s="64" t="str">
        <f t="shared" si="7"/>
        <v/>
      </c>
      <c r="H29" s="80"/>
      <c r="I29" s="80" t="str">
        <f t="shared" si="8"/>
        <v/>
      </c>
      <c r="J29" s="99" t="str">
        <f t="shared" si="5"/>
        <v/>
      </c>
      <c r="K29" s="40"/>
      <c r="L29" s="61"/>
    </row>
    <row r="30" spans="1:12" ht="15.75">
      <c r="A30" s="51" t="str">
        <v>NH: Portsmouth - Portsmouth HS</v>
      </c>
      <c r="B30" s="86" t="str">
        <v>NH</v>
      </c>
      <c r="C30" s="27"/>
      <c r="D30" s="73"/>
      <c r="E30" s="12"/>
      <c r="F30" s="12" t="str">
        <f t="shared" si="6"/>
        <v/>
      </c>
      <c r="G30" s="74" t="str">
        <f t="shared" si="7"/>
        <v/>
      </c>
      <c r="H30" s="75"/>
      <c r="I30" s="75" t="str">
        <f t="shared" si="8"/>
        <v/>
      </c>
      <c r="J30" s="76" t="str">
        <f t="shared" si="5"/>
        <v/>
      </c>
      <c r="K30" s="77"/>
      <c r="L30" s="81"/>
    </row>
    <row r="31" spans="1:12" ht="15.75">
      <c r="A31" s="50" t="str">
        <v>NH: Portsmouth - Portsmouth WTP</v>
      </c>
      <c r="B31" s="87" t="str">
        <v>NH</v>
      </c>
      <c r="C31" s="29"/>
      <c r="D31" s="16"/>
      <c r="E31" s="16"/>
      <c r="F31" s="16" t="str">
        <f t="shared" si="6"/>
        <v/>
      </c>
      <c r="G31" s="64" t="str">
        <f t="shared" si="7"/>
        <v/>
      </c>
      <c r="H31" s="80"/>
      <c r="I31" s="80" t="str">
        <f t="shared" si="8"/>
        <v/>
      </c>
      <c r="J31" s="99" t="str">
        <f t="shared" si="5"/>
        <v/>
      </c>
      <c r="K31" s="40"/>
      <c r="L31" s="61"/>
    </row>
    <row r="32" spans="1:12" ht="15.75">
      <c r="A32" s="51" t="str">
        <v>NH: Rochester - Rochester MS</v>
      </c>
      <c r="B32" s="86" t="str">
        <v>NH</v>
      </c>
      <c r="C32" s="27"/>
      <c r="D32" s="73"/>
      <c r="E32" s="12"/>
      <c r="F32" s="12" t="str">
        <f t="shared" si="6"/>
        <v/>
      </c>
      <c r="G32" s="74" t="str">
        <f t="shared" si="7"/>
        <v/>
      </c>
      <c r="H32" s="75"/>
      <c r="I32" s="75" t="str">
        <f t="shared" si="8"/>
        <v/>
      </c>
      <c r="J32" s="76" t="str">
        <f t="shared" si="5"/>
        <v/>
      </c>
      <c r="K32" s="77"/>
      <c r="L32" s="81"/>
    </row>
    <row r="33" spans="1:12" ht="15.75">
      <c r="A33" s="50" t="str">
        <v>NH Rochester - Spaulding HS</v>
      </c>
      <c r="B33" s="87" t="str">
        <v>NH</v>
      </c>
      <c r="C33" s="29"/>
      <c r="D33" s="16"/>
      <c r="E33" s="16"/>
      <c r="F33" s="16" t="str">
        <f t="shared" si="6"/>
        <v/>
      </c>
      <c r="G33" s="64" t="str">
        <f t="shared" si="7"/>
        <v/>
      </c>
      <c r="H33" s="80"/>
      <c r="I33" s="80" t="str">
        <f t="shared" si="8"/>
        <v/>
      </c>
      <c r="J33" s="99" t="str">
        <f t="shared" si="5"/>
        <v/>
      </c>
      <c r="K33" s="40"/>
      <c r="L33" s="61"/>
    </row>
    <row r="34" spans="1:12" ht="15.75">
      <c r="A34" s="51" t="str">
        <v>NH: Rochester - McClelland ES</v>
      </c>
      <c r="B34" s="86" t="str">
        <v>NH</v>
      </c>
      <c r="C34" s="27"/>
      <c r="D34" s="73"/>
      <c r="E34" s="12"/>
      <c r="F34" s="12" t="str">
        <f t="shared" si="6"/>
        <v/>
      </c>
      <c r="G34" s="74" t="str">
        <f t="shared" si="7"/>
        <v/>
      </c>
      <c r="H34" s="75"/>
      <c r="I34" s="75" t="str">
        <f t="shared" si="8"/>
        <v/>
      </c>
      <c r="J34" s="76" t="str">
        <f t="shared" si="5"/>
        <v/>
      </c>
      <c r="K34" s="77"/>
      <c r="L34" s="81"/>
    </row>
    <row r="35" spans="1:12" ht="15.75">
      <c r="A35" s="50" t="str">
        <v>NH: Rochester - Brock St Vocational</v>
      </c>
      <c r="B35" s="87" t="str">
        <v>NH</v>
      </c>
      <c r="C35" s="29"/>
      <c r="D35" s="16"/>
      <c r="E35" s="16"/>
      <c r="F35" s="16" t="str">
        <f t="shared" si="6"/>
        <v/>
      </c>
      <c r="G35" s="64" t="str">
        <f t="shared" si="7"/>
        <v/>
      </c>
      <c r="H35" s="80"/>
      <c r="I35" s="80" t="str">
        <f t="shared" si="8"/>
        <v/>
      </c>
      <c r="J35" s="99" t="str">
        <f t="shared" si="5"/>
        <v/>
      </c>
      <c r="K35" s="40"/>
      <c r="L35" s="61"/>
    </row>
    <row r="36" spans="1:12" ht="15.75">
      <c r="A36" s="51" t="str">
        <v>OH: Cleveland - CV Kinsman</v>
      </c>
      <c r="B36" s="86" t="str">
        <v>OH</v>
      </c>
      <c r="C36" s="27"/>
      <c r="D36" s="73"/>
      <c r="E36" s="12"/>
      <c r="F36" s="12" t="str">
        <f t="shared" si="6"/>
        <v/>
      </c>
      <c r="G36" s="74" t="str">
        <f t="shared" si="7"/>
        <v/>
      </c>
      <c r="H36" s="75"/>
      <c r="I36" s="75" t="str">
        <f t="shared" si="8"/>
        <v/>
      </c>
      <c r="J36" s="76" t="str">
        <f t="shared" si="5"/>
        <v/>
      </c>
      <c r="K36" s="77"/>
      <c r="L36" s="81"/>
    </row>
    <row r="37" spans="1:12" ht="15.75">
      <c r="A37" s="50" t="str">
        <v>OH: Cleveland - CV Wooster</v>
      </c>
      <c r="B37" s="87" t="str">
        <v>OH</v>
      </c>
      <c r="C37" s="29"/>
      <c r="D37" s="16"/>
      <c r="E37" s="16"/>
      <c r="F37" s="16" t="str">
        <f t="shared" si="6"/>
        <v/>
      </c>
      <c r="G37" s="64" t="str">
        <f t="shared" si="7"/>
        <v/>
      </c>
      <c r="H37" s="80"/>
      <c r="I37" s="80" t="str">
        <f t="shared" si="8"/>
        <v/>
      </c>
      <c r="J37" s="99" t="str">
        <f t="shared" si="5"/>
        <v/>
      </c>
      <c r="K37" s="40"/>
      <c r="L37" s="61"/>
    </row>
    <row r="38" spans="1:12" ht="15.75">
      <c r="A38" s="51" t="str">
        <v>PR: Aguadilla - Coca Cola</v>
      </c>
      <c r="B38" s="86" t="str">
        <v>PR</v>
      </c>
      <c r="C38" s="27"/>
      <c r="D38" s="73"/>
      <c r="E38" s="12"/>
      <c r="F38" s="12" t="str">
        <f t="shared" si="6"/>
        <v/>
      </c>
      <c r="G38" s="74" t="str">
        <f t="shared" si="7"/>
        <v/>
      </c>
      <c r="H38" s="75"/>
      <c r="I38" s="75" t="str">
        <f t="shared" si="8"/>
        <v/>
      </c>
      <c r="J38" s="76" t="str">
        <f t="shared" si="5"/>
        <v/>
      </c>
      <c r="K38" s="77"/>
      <c r="L38" s="81"/>
    </row>
    <row r="39" spans="1:12" ht="15.75">
      <c r="A39" s="50" t="str">
        <v>PR: Bayamon - Coca Cola</v>
      </c>
      <c r="B39" s="87" t="str">
        <v>PR</v>
      </c>
      <c r="C39" s="29"/>
      <c r="D39" s="16"/>
      <c r="E39" s="16"/>
      <c r="F39" s="16" t="str">
        <f t="shared" si="6"/>
        <v/>
      </c>
      <c r="G39" s="64" t="str">
        <f t="shared" si="7"/>
        <v/>
      </c>
      <c r="H39" s="80"/>
      <c r="I39" s="80" t="str">
        <f t="shared" si="8"/>
        <v/>
      </c>
      <c r="J39" s="99" t="str">
        <f t="shared" si="5"/>
        <v/>
      </c>
      <c r="K39" s="40"/>
      <c r="L39" s="61"/>
    </row>
    <row r="40" spans="1:12" ht="15.75">
      <c r="A40" s="51" t="str">
        <v>PR: Carolina - St. Francis</v>
      </c>
      <c r="B40" s="86" t="str">
        <v>PR</v>
      </c>
      <c r="C40" s="27"/>
      <c r="D40" s="73"/>
      <c r="E40" s="12"/>
      <c r="F40" s="12" t="str">
        <f t="shared" si="6"/>
        <v/>
      </c>
      <c r="G40" s="74" t="str">
        <f t="shared" si="7"/>
        <v/>
      </c>
      <c r="H40" s="75"/>
      <c r="I40" s="75" t="str">
        <f t="shared" si="8"/>
        <v/>
      </c>
      <c r="J40" s="76" t="str">
        <f t="shared" si="5"/>
        <v/>
      </c>
      <c r="K40" s="77"/>
      <c r="L40" s="81"/>
    </row>
    <row r="41" spans="1:12" ht="15.75">
      <c r="A41" s="50" t="str">
        <v>DC: Washington - Essex Condominium</v>
      </c>
      <c r="B41" s="87" t="str">
        <v>DC</v>
      </c>
      <c r="C41" s="29"/>
      <c r="D41" s="16"/>
      <c r="E41" s="16"/>
      <c r="F41" s="16" t="str">
        <f t="shared" si="6"/>
        <v/>
      </c>
      <c r="G41" s="64" t="str">
        <f t="shared" si="7"/>
        <v/>
      </c>
      <c r="H41" s="80"/>
      <c r="I41" s="80" t="str">
        <f t="shared" si="8"/>
        <v/>
      </c>
      <c r="J41" s="99" t="str">
        <f t="shared" si="5"/>
        <v/>
      </c>
      <c r="K41" s="40"/>
      <c r="L41" s="61"/>
    </row>
    <row r="42" spans="1:12" ht="15.75">
      <c r="A42" s="51" t="str">
        <v>DC: Chevy Chase -Sinai</v>
      </c>
      <c r="B42" s="86" t="str">
        <v>DC</v>
      </c>
      <c r="C42" s="27"/>
      <c r="D42" s="73"/>
      <c r="E42" s="12"/>
      <c r="F42" s="12" t="str">
        <f t="shared" si="6"/>
        <v/>
      </c>
      <c r="G42" s="74" t="str">
        <f t="shared" si="7"/>
        <v/>
      </c>
      <c r="H42" s="75"/>
      <c r="I42" s="75" t="str">
        <f t="shared" si="8"/>
        <v/>
      </c>
      <c r="J42" s="76" t="str">
        <f t="shared" si="5"/>
        <v/>
      </c>
      <c r="K42" s="77"/>
      <c r="L42" s="81"/>
    </row>
    <row r="43" spans="1:12" ht="15.75">
      <c r="A43" s="50" t="str">
        <v>DC: Washington - Weinberg 1</v>
      </c>
      <c r="B43" s="87" t="str">
        <v>DC</v>
      </c>
      <c r="C43" s="29"/>
      <c r="D43" s="16"/>
      <c r="E43" s="16"/>
      <c r="F43" s="16" t="str">
        <f t="shared" si="6"/>
        <v/>
      </c>
      <c r="G43" s="64" t="str">
        <f t="shared" si="7"/>
        <v/>
      </c>
      <c r="H43" s="80"/>
      <c r="I43" s="80" t="str">
        <f t="shared" si="8"/>
        <v/>
      </c>
      <c r="J43" s="99" t="str">
        <f t="shared" si="5"/>
        <v/>
      </c>
      <c r="K43" s="40"/>
      <c r="L43" s="61"/>
    </row>
    <row r="44" spans="1:12" ht="15.75">
      <c r="A44" s="51" t="str">
        <v>DC: Washington - Weinberg 2</v>
      </c>
      <c r="B44" s="86" t="str">
        <v>DC</v>
      </c>
      <c r="C44" s="27"/>
      <c r="D44" s="73"/>
      <c r="E44" s="12"/>
      <c r="F44" s="12" t="str">
        <f t="shared" si="6"/>
        <v/>
      </c>
      <c r="G44" s="74" t="str">
        <f t="shared" si="7"/>
        <v/>
      </c>
      <c r="H44" s="75"/>
      <c r="I44" s="75" t="str">
        <f t="shared" si="8"/>
        <v/>
      </c>
      <c r="J44" s="76" t="str">
        <f t="shared" si="5"/>
        <v/>
      </c>
      <c r="K44" s="77"/>
      <c r="L44" s="81"/>
    </row>
    <row r="45" spans="1:12" ht="15.75">
      <c r="A45" s="50" t="str">
        <v>DC: Washington - Weinberg 3</v>
      </c>
      <c r="B45" s="87" t="str">
        <v>DC</v>
      </c>
      <c r="C45" s="29"/>
      <c r="D45" s="16"/>
      <c r="E45" s="16"/>
      <c r="F45" s="16" t="str">
        <f t="shared" si="6"/>
        <v/>
      </c>
      <c r="G45" s="64" t="str">
        <f t="shared" si="7"/>
        <v/>
      </c>
      <c r="H45" s="80"/>
      <c r="I45" s="80" t="str">
        <f t="shared" si="8"/>
        <v/>
      </c>
      <c r="J45" s="99" t="str">
        <f t="shared" si="5"/>
        <v/>
      </c>
      <c r="K45" s="40"/>
      <c r="L45" s="61"/>
    </row>
    <row r="46" spans="1:12">
      <c r="A46" s="19"/>
      <c r="B46" s="31"/>
      <c r="C46" s="31"/>
      <c r="D46" s="19"/>
      <c r="E46" s="19"/>
      <c r="F46" s="19"/>
      <c r="G46" s="20"/>
      <c r="H46" s="19"/>
      <c r="I46" s="19"/>
      <c r="J46" s="20"/>
      <c r="K46" s="19"/>
      <c r="L46" s="19"/>
    </row>
    <row r="47" spans="1:12">
      <c r="A47" s="19"/>
      <c r="B47" s="31"/>
      <c r="C47" s="31"/>
      <c r="D47" s="19"/>
      <c r="E47" s="19"/>
      <c r="F47" s="19"/>
      <c r="G47" s="20"/>
      <c r="H47" s="19"/>
      <c r="I47" s="19"/>
      <c r="J47" s="20"/>
      <c r="K47" s="19"/>
      <c r="L47" s="19"/>
    </row>
    <row r="48" spans="1:12">
      <c r="A48" s="19"/>
      <c r="B48" s="31"/>
      <c r="C48" s="31"/>
      <c r="D48" s="19"/>
      <c r="E48" s="19"/>
      <c r="F48" s="19"/>
      <c r="G48" s="20"/>
      <c r="H48" s="19"/>
      <c r="I48" s="19"/>
      <c r="J48" s="20"/>
      <c r="K48" s="19"/>
      <c r="L48" s="19"/>
    </row>
    <row r="49" spans="1:12">
      <c r="A49" s="19"/>
      <c r="B49" s="31"/>
      <c r="C49" s="31"/>
      <c r="D49" s="19"/>
      <c r="E49" s="19"/>
      <c r="F49" s="19"/>
      <c r="G49" s="20"/>
      <c r="H49" s="19"/>
      <c r="I49" s="19"/>
      <c r="J49" s="20"/>
      <c r="K49" s="19"/>
      <c r="L49" s="19"/>
    </row>
    <row r="50" spans="1:12">
      <c r="A50" s="19"/>
      <c r="B50" s="31"/>
      <c r="C50" s="31"/>
      <c r="D50" s="19"/>
      <c r="E50" s="19"/>
      <c r="F50" s="19"/>
      <c r="G50" s="20"/>
      <c r="H50" s="19"/>
      <c r="I50" s="19"/>
      <c r="J50" s="20"/>
      <c r="K50" s="19"/>
      <c r="L50" s="19"/>
    </row>
    <row r="51" spans="1:12">
      <c r="A51" s="19"/>
      <c r="B51" s="31"/>
      <c r="C51" s="31"/>
      <c r="D51" s="19"/>
      <c r="E51" s="19"/>
      <c r="F51" s="19"/>
      <c r="G51" s="20"/>
      <c r="H51" s="19"/>
      <c r="I51" s="19"/>
      <c r="J51" s="20"/>
      <c r="K51" s="19"/>
      <c r="L51" s="19"/>
    </row>
    <row r="52" spans="1:12">
      <c r="A52" s="19"/>
      <c r="B52" s="31"/>
      <c r="C52" s="31"/>
      <c r="D52" s="19"/>
      <c r="E52" s="19"/>
      <c r="F52" s="19"/>
      <c r="G52" s="20"/>
      <c r="H52" s="19"/>
      <c r="I52" s="19"/>
      <c r="J52" s="20"/>
      <c r="K52" s="19"/>
      <c r="L52" s="19"/>
    </row>
    <row r="53" spans="1:12">
      <c r="A53" s="19"/>
      <c r="B53" s="31"/>
      <c r="C53" s="31"/>
      <c r="D53" s="19"/>
      <c r="E53" s="19"/>
      <c r="F53" s="19"/>
      <c r="G53" s="20"/>
      <c r="H53" s="19"/>
      <c r="I53" s="19"/>
      <c r="J53" s="20"/>
      <c r="K53" s="19"/>
      <c r="L53" s="19"/>
    </row>
    <row r="54" spans="1:12">
      <c r="A54" s="19"/>
      <c r="B54" s="31"/>
      <c r="C54" s="31"/>
      <c r="D54" s="19"/>
      <c r="E54" s="19"/>
      <c r="F54" s="19"/>
      <c r="G54" s="20"/>
      <c r="H54" s="19"/>
      <c r="I54" s="19"/>
      <c r="J54" s="20"/>
      <c r="K54" s="19"/>
      <c r="L54" s="19"/>
    </row>
    <row r="55" spans="1:12">
      <c r="A55" s="19"/>
      <c r="B55" s="31"/>
      <c r="C55" s="31"/>
      <c r="D55" s="19"/>
      <c r="E55" s="19"/>
      <c r="F55" s="19"/>
      <c r="G55" s="20"/>
      <c r="H55" s="19"/>
      <c r="I55" s="19"/>
      <c r="J55" s="20"/>
      <c r="K55" s="19"/>
      <c r="L55" s="19"/>
    </row>
    <row r="56" spans="1:12">
      <c r="A56" s="19"/>
      <c r="B56" s="31"/>
      <c r="C56" s="31"/>
      <c r="D56" s="19"/>
      <c r="E56" s="19"/>
      <c r="F56" s="19"/>
      <c r="G56" s="20"/>
      <c r="H56" s="19"/>
      <c r="I56" s="19"/>
      <c r="J56" s="20"/>
      <c r="K56" s="19"/>
      <c r="L56" s="19"/>
    </row>
    <row r="57" spans="1:12">
      <c r="A57" s="19"/>
      <c r="B57" s="31"/>
      <c r="C57" s="31"/>
      <c r="D57" s="19"/>
      <c r="E57" s="19"/>
      <c r="F57" s="19"/>
      <c r="G57" s="20"/>
      <c r="H57" s="19"/>
      <c r="I57" s="19"/>
      <c r="J57" s="20"/>
      <c r="K57" s="19"/>
      <c r="L57" s="19"/>
    </row>
    <row r="58" spans="1:12">
      <c r="A58" s="19"/>
      <c r="B58" s="31"/>
      <c r="C58" s="31"/>
      <c r="D58" s="19"/>
      <c r="E58" s="19"/>
      <c r="F58" s="19"/>
      <c r="G58" s="20"/>
      <c r="H58" s="19"/>
      <c r="I58" s="19"/>
      <c r="J58" s="20"/>
      <c r="K58" s="19"/>
      <c r="L58" s="19"/>
    </row>
    <row r="59" spans="1:12">
      <c r="A59" s="19"/>
      <c r="B59" s="31"/>
      <c r="C59" s="31"/>
      <c r="D59" s="19"/>
      <c r="E59" s="19"/>
      <c r="F59" s="19"/>
      <c r="G59" s="20"/>
      <c r="H59" s="19"/>
      <c r="I59" s="19"/>
      <c r="J59" s="20"/>
      <c r="K59" s="19"/>
      <c r="L59" s="19"/>
    </row>
    <row r="60" spans="1:12">
      <c r="A60" s="19"/>
      <c r="B60" s="31"/>
      <c r="C60" s="31"/>
      <c r="D60" s="19"/>
      <c r="E60" s="19"/>
      <c r="F60" s="19"/>
      <c r="G60" s="20"/>
      <c r="H60" s="19"/>
      <c r="I60" s="19"/>
      <c r="J60" s="20"/>
      <c r="K60" s="19"/>
      <c r="L60" s="19"/>
    </row>
    <row r="61" spans="1:12">
      <c r="A61" s="19"/>
      <c r="B61" s="31"/>
      <c r="C61" s="31"/>
      <c r="D61" s="19"/>
      <c r="E61" s="19"/>
      <c r="F61" s="19"/>
      <c r="G61" s="20"/>
      <c r="H61" s="19"/>
      <c r="I61" s="19"/>
      <c r="J61" s="20"/>
      <c r="K61" s="19"/>
      <c r="L61" s="19"/>
    </row>
    <row r="62" spans="1:12">
      <c r="A62" s="19"/>
      <c r="B62" s="31"/>
      <c r="C62" s="31"/>
      <c r="D62" s="19"/>
      <c r="E62" s="19"/>
      <c r="F62" s="19"/>
      <c r="G62" s="20"/>
      <c r="H62" s="19"/>
      <c r="I62" s="19"/>
      <c r="J62" s="20"/>
      <c r="K62" s="19"/>
      <c r="L62" s="19"/>
    </row>
    <row r="63" spans="1:12">
      <c r="A63" s="19"/>
      <c r="B63" s="31"/>
      <c r="C63" s="31"/>
      <c r="D63" s="19"/>
      <c r="E63" s="19"/>
      <c r="F63" s="19"/>
      <c r="G63" s="20"/>
      <c r="H63" s="19"/>
      <c r="I63" s="19"/>
      <c r="J63" s="20"/>
      <c r="K63" s="19"/>
      <c r="L63" s="19"/>
    </row>
    <row r="64" spans="1:12">
      <c r="A64" s="19"/>
      <c r="B64" s="31"/>
      <c r="C64" s="31"/>
      <c r="D64" s="19"/>
      <c r="E64" s="19"/>
      <c r="F64" s="19"/>
      <c r="G64" s="20"/>
      <c r="H64" s="19"/>
      <c r="I64" s="19"/>
      <c r="J64" s="20"/>
      <c r="K64" s="19"/>
      <c r="L64" s="19"/>
    </row>
    <row r="65" spans="1:12">
      <c r="A65" s="19"/>
      <c r="B65" s="31"/>
      <c r="C65" s="31"/>
      <c r="D65" s="19"/>
      <c r="E65" s="19"/>
      <c r="F65" s="19"/>
      <c r="G65" s="20"/>
      <c r="H65" s="19"/>
      <c r="I65" s="19"/>
      <c r="J65" s="20"/>
      <c r="K65" s="19"/>
      <c r="L65" s="19"/>
    </row>
    <row r="66" spans="1:12">
      <c r="A66" s="19"/>
      <c r="B66" s="31"/>
      <c r="C66" s="31"/>
      <c r="D66" s="19"/>
      <c r="E66" s="19"/>
      <c r="F66" s="19"/>
      <c r="G66" s="20"/>
      <c r="H66" s="19"/>
      <c r="I66" s="19"/>
      <c r="J66" s="20"/>
      <c r="K66" s="19"/>
      <c r="L66" s="19"/>
    </row>
    <row r="67" spans="1:12">
      <c r="A67" s="19"/>
      <c r="B67" s="31"/>
      <c r="C67" s="31"/>
      <c r="D67" s="19"/>
      <c r="E67" s="19"/>
      <c r="F67" s="19"/>
      <c r="G67" s="20"/>
      <c r="H67" s="19"/>
      <c r="I67" s="19"/>
      <c r="J67" s="20"/>
      <c r="K67" s="19"/>
      <c r="L67" s="19"/>
    </row>
    <row r="68" spans="1:12">
      <c r="A68" s="19"/>
      <c r="B68" s="31"/>
      <c r="C68" s="31"/>
      <c r="D68" s="19"/>
      <c r="E68" s="19"/>
      <c r="F68" s="19"/>
      <c r="G68" s="20"/>
      <c r="H68" s="19"/>
      <c r="I68" s="19"/>
      <c r="J68" s="20"/>
      <c r="K68" s="19"/>
      <c r="L68" s="19"/>
    </row>
    <row r="69" spans="1:12">
      <c r="A69" s="19"/>
      <c r="B69" s="31"/>
      <c r="C69" s="31"/>
      <c r="D69" s="19"/>
      <c r="E69" s="19"/>
      <c r="F69" s="19"/>
      <c r="G69" s="20"/>
      <c r="H69" s="19"/>
      <c r="I69" s="19"/>
      <c r="J69" s="20"/>
      <c r="K69" s="19"/>
      <c r="L69" s="19"/>
    </row>
    <row r="70" spans="1:12">
      <c r="A70" s="19"/>
      <c r="B70" s="31"/>
      <c r="C70" s="31"/>
      <c r="D70" s="19"/>
      <c r="E70" s="19"/>
      <c r="F70" s="19"/>
      <c r="G70" s="20"/>
      <c r="H70" s="19"/>
      <c r="I70" s="19"/>
      <c r="J70" s="20"/>
      <c r="K70" s="19"/>
      <c r="L70" s="19"/>
    </row>
    <row r="71" spans="1:12">
      <c r="A71" s="19"/>
      <c r="B71" s="31"/>
      <c r="C71" s="31"/>
      <c r="D71" s="19"/>
      <c r="E71" s="19"/>
      <c r="F71" s="19"/>
      <c r="G71" s="20"/>
      <c r="H71" s="19"/>
      <c r="I71" s="19"/>
      <c r="J71" s="20"/>
      <c r="K71" s="19"/>
      <c r="L71" s="19"/>
    </row>
    <row r="72" spans="1:12">
      <c r="A72" s="19"/>
      <c r="B72" s="31"/>
      <c r="C72" s="31"/>
      <c r="D72" s="19"/>
      <c r="E72" s="19"/>
      <c r="F72" s="19"/>
      <c r="G72" s="20"/>
      <c r="H72" s="19"/>
      <c r="I72" s="19"/>
      <c r="J72" s="20"/>
      <c r="K72" s="19"/>
      <c r="L72" s="19"/>
    </row>
    <row r="73" spans="1:12">
      <c r="A73" s="19"/>
      <c r="B73" s="31"/>
      <c r="C73" s="31"/>
      <c r="D73" s="19"/>
      <c r="E73" s="19"/>
      <c r="F73" s="19"/>
      <c r="G73" s="20"/>
      <c r="H73" s="19"/>
      <c r="I73" s="19"/>
      <c r="J73" s="20"/>
      <c r="K73" s="19"/>
      <c r="L73" s="19"/>
    </row>
    <row r="74" spans="1:12">
      <c r="A74" s="19"/>
      <c r="B74" s="31"/>
      <c r="C74" s="31"/>
      <c r="D74" s="19"/>
      <c r="E74" s="19"/>
      <c r="F74" s="19"/>
      <c r="G74" s="20"/>
      <c r="H74" s="19"/>
      <c r="I74" s="19"/>
      <c r="J74" s="20"/>
      <c r="K74" s="19"/>
      <c r="L74" s="19"/>
    </row>
    <row r="75" spans="1:12">
      <c r="A75" s="19"/>
      <c r="B75" s="31"/>
      <c r="C75" s="31"/>
      <c r="D75" s="19"/>
      <c r="E75" s="19"/>
      <c r="F75" s="19"/>
      <c r="G75" s="20"/>
      <c r="H75" s="19"/>
      <c r="I75" s="19"/>
      <c r="J75" s="20"/>
      <c r="K75" s="19"/>
      <c r="L75" s="19"/>
    </row>
    <row r="76" spans="1:12">
      <c r="A76" s="19"/>
      <c r="B76" s="31"/>
      <c r="C76" s="31"/>
      <c r="D76" s="19"/>
      <c r="E76" s="19"/>
      <c r="F76" s="19"/>
      <c r="G76" s="20"/>
      <c r="H76" s="19"/>
      <c r="I76" s="19"/>
      <c r="J76" s="20"/>
      <c r="K76" s="19"/>
      <c r="L76" s="19"/>
    </row>
    <row r="77" spans="1:12">
      <c r="A77" s="19"/>
      <c r="B77" s="31"/>
      <c r="C77" s="31"/>
      <c r="D77" s="19"/>
      <c r="E77" s="19"/>
      <c r="F77" s="19"/>
      <c r="G77" s="20"/>
      <c r="H77" s="19"/>
      <c r="I77" s="19"/>
      <c r="J77" s="20"/>
      <c r="K77" s="19"/>
      <c r="L77" s="19"/>
    </row>
    <row r="78" spans="1:12">
      <c r="A78" s="19"/>
      <c r="B78" s="31"/>
      <c r="C78" s="31"/>
      <c r="D78" s="19"/>
      <c r="E78" s="19"/>
      <c r="F78" s="19"/>
      <c r="G78" s="20"/>
      <c r="H78" s="19"/>
      <c r="I78" s="19"/>
      <c r="J78" s="20"/>
      <c r="K78" s="19"/>
      <c r="L78" s="19"/>
    </row>
    <row r="79" spans="1:12">
      <c r="A79" s="19"/>
      <c r="B79" s="31"/>
      <c r="C79" s="31"/>
      <c r="D79" s="19"/>
      <c r="E79" s="19"/>
      <c r="F79" s="19"/>
      <c r="G79" s="20"/>
      <c r="H79" s="19"/>
      <c r="I79" s="19"/>
      <c r="J79" s="20"/>
      <c r="K79" s="19"/>
      <c r="L79" s="19"/>
    </row>
    <row r="80" spans="1:12">
      <c r="A80" s="19"/>
      <c r="B80" s="31"/>
      <c r="C80" s="31"/>
      <c r="D80" s="19"/>
      <c r="E80" s="19"/>
      <c r="F80" s="19"/>
      <c r="G80" s="20"/>
      <c r="H80" s="19"/>
      <c r="I80" s="19"/>
      <c r="J80" s="20"/>
      <c r="K80" s="19"/>
      <c r="L80" s="19"/>
    </row>
    <row r="81" spans="1:12">
      <c r="A81" s="19"/>
      <c r="B81" s="31"/>
      <c r="C81" s="31"/>
      <c r="D81" s="19"/>
      <c r="E81" s="19"/>
      <c r="F81" s="19"/>
      <c r="G81" s="20"/>
      <c r="H81" s="19"/>
      <c r="I81" s="19"/>
      <c r="J81" s="20"/>
      <c r="K81" s="19"/>
      <c r="L81" s="19"/>
    </row>
    <row r="82" spans="1:12">
      <c r="A82" s="19"/>
      <c r="B82" s="31"/>
      <c r="C82" s="31"/>
      <c r="D82" s="19"/>
      <c r="E82" s="19"/>
      <c r="F82" s="19"/>
      <c r="G82" s="20"/>
      <c r="H82" s="19"/>
      <c r="I82" s="19"/>
      <c r="J82" s="20"/>
      <c r="K82" s="19"/>
      <c r="L82" s="19"/>
    </row>
    <row r="83" spans="1:12">
      <c r="A83" s="19"/>
      <c r="B83" s="31"/>
      <c r="C83" s="31"/>
      <c r="D83" s="19"/>
      <c r="E83" s="19"/>
      <c r="F83" s="19"/>
      <c r="G83" s="20"/>
      <c r="H83" s="19"/>
      <c r="I83" s="19"/>
      <c r="J83" s="20"/>
      <c r="K83" s="19"/>
      <c r="L83" s="19"/>
    </row>
    <row r="84" spans="1:12">
      <c r="A84" s="19"/>
      <c r="B84" s="31"/>
      <c r="C84" s="31"/>
      <c r="D84" s="19"/>
      <c r="E84" s="19"/>
      <c r="F84" s="19"/>
      <c r="G84" s="20"/>
      <c r="H84" s="19"/>
      <c r="I84" s="19"/>
      <c r="J84" s="20"/>
      <c r="K84" s="19"/>
      <c r="L84" s="19"/>
    </row>
    <row r="85" spans="1:12">
      <c r="A85" s="19"/>
      <c r="B85" s="31"/>
      <c r="C85" s="31"/>
      <c r="D85" s="19"/>
      <c r="E85" s="19"/>
      <c r="F85" s="19"/>
      <c r="G85" s="20"/>
      <c r="H85" s="19"/>
      <c r="I85" s="19"/>
      <c r="J85" s="20"/>
      <c r="K85" s="19"/>
      <c r="L85" s="19"/>
    </row>
    <row r="86" spans="1:12">
      <c r="A86" s="19"/>
      <c r="B86" s="31"/>
      <c r="C86" s="31"/>
      <c r="D86" s="19"/>
      <c r="E86" s="19"/>
      <c r="F86" s="19"/>
      <c r="G86" s="20"/>
      <c r="H86" s="19"/>
      <c r="I86" s="19"/>
      <c r="J86" s="20"/>
      <c r="K86" s="19"/>
      <c r="L86" s="19"/>
    </row>
    <row r="87" spans="1:12">
      <c r="A87" s="19"/>
      <c r="B87" s="31"/>
      <c r="C87" s="31"/>
      <c r="D87" s="19"/>
      <c r="E87" s="19"/>
      <c r="F87" s="19"/>
      <c r="G87" s="20"/>
      <c r="H87" s="19"/>
      <c r="I87" s="19"/>
      <c r="J87" s="20"/>
      <c r="K87" s="19"/>
      <c r="L87" s="19"/>
    </row>
    <row r="88" spans="1:12">
      <c r="A88" s="19"/>
      <c r="B88" s="31"/>
      <c r="C88" s="31"/>
      <c r="D88" s="19"/>
      <c r="E88" s="19"/>
      <c r="F88" s="19"/>
      <c r="G88" s="20"/>
      <c r="H88" s="19"/>
      <c r="I88" s="19"/>
      <c r="J88" s="20"/>
      <c r="K88" s="19"/>
      <c r="L88" s="19"/>
    </row>
    <row r="89" spans="1:12">
      <c r="A89" s="19"/>
      <c r="B89" s="31"/>
      <c r="C89" s="31"/>
      <c r="D89" s="19"/>
      <c r="E89" s="19"/>
      <c r="F89" s="19"/>
      <c r="G89" s="20"/>
      <c r="H89" s="19"/>
      <c r="I89" s="19"/>
      <c r="J89" s="20"/>
      <c r="K89" s="19"/>
      <c r="L89" s="19"/>
    </row>
    <row r="90" spans="1:12">
      <c r="A90" s="19"/>
      <c r="B90" s="31"/>
      <c r="C90" s="31"/>
      <c r="D90" s="19"/>
      <c r="E90" s="19"/>
      <c r="F90" s="19"/>
      <c r="G90" s="20"/>
      <c r="H90" s="19"/>
      <c r="I90" s="19"/>
      <c r="J90" s="20"/>
      <c r="K90" s="19"/>
      <c r="L90" s="19"/>
    </row>
    <row r="91" spans="1:12">
      <c r="A91" s="19"/>
      <c r="B91" s="31"/>
      <c r="C91" s="31"/>
      <c r="D91" s="19"/>
      <c r="E91" s="19"/>
      <c r="F91" s="19"/>
      <c r="G91" s="20"/>
      <c r="H91" s="19"/>
      <c r="I91" s="19"/>
      <c r="J91" s="20"/>
      <c r="K91" s="19"/>
      <c r="L91" s="19"/>
    </row>
    <row r="92" spans="1:12">
      <c r="A92" s="19"/>
      <c r="B92" s="31"/>
      <c r="C92" s="31"/>
      <c r="D92" s="19"/>
      <c r="E92" s="19"/>
      <c r="F92" s="19"/>
      <c r="G92" s="20"/>
      <c r="H92" s="19"/>
      <c r="I92" s="19"/>
      <c r="J92" s="20"/>
      <c r="K92" s="19"/>
      <c r="L92" s="19"/>
    </row>
    <row r="93" spans="1:12">
      <c r="A93" s="19"/>
      <c r="B93" s="31"/>
      <c r="C93" s="31"/>
      <c r="D93" s="19"/>
      <c r="E93" s="19"/>
      <c r="F93" s="19"/>
      <c r="G93" s="20"/>
      <c r="H93" s="19"/>
      <c r="I93" s="19"/>
      <c r="J93" s="20"/>
      <c r="K93" s="19"/>
      <c r="L93" s="19"/>
    </row>
    <row r="94" spans="1:12">
      <c r="A94" s="19"/>
      <c r="B94" s="31"/>
      <c r="C94" s="31"/>
      <c r="D94" s="19"/>
      <c r="E94" s="19"/>
      <c r="F94" s="19"/>
      <c r="G94" s="20"/>
      <c r="H94" s="19"/>
      <c r="I94" s="19"/>
      <c r="J94" s="20"/>
      <c r="K94" s="19"/>
      <c r="L94" s="19"/>
    </row>
    <row r="95" spans="1:12">
      <c r="A95" s="19"/>
      <c r="B95" s="31"/>
      <c r="C95" s="31"/>
      <c r="D95" s="19"/>
      <c r="E95" s="19"/>
      <c r="F95" s="19"/>
      <c r="G95" s="20"/>
      <c r="H95" s="19"/>
      <c r="I95" s="19"/>
      <c r="J95" s="20"/>
      <c r="K95" s="19"/>
      <c r="L95" s="19"/>
    </row>
    <row r="96" spans="1:12">
      <c r="A96" s="19"/>
      <c r="B96" s="31"/>
      <c r="C96" s="31"/>
      <c r="D96" s="19"/>
      <c r="E96" s="19"/>
      <c r="F96" s="19"/>
      <c r="G96" s="20"/>
      <c r="H96" s="19"/>
      <c r="I96" s="19"/>
      <c r="J96" s="20"/>
      <c r="K96" s="19"/>
      <c r="L96" s="19"/>
    </row>
    <row r="97" spans="1:12">
      <c r="A97" s="19"/>
      <c r="B97" s="31"/>
      <c r="C97" s="31"/>
      <c r="D97" s="19"/>
      <c r="E97" s="19"/>
      <c r="F97" s="19"/>
      <c r="G97" s="20"/>
      <c r="H97" s="19"/>
      <c r="I97" s="19"/>
      <c r="J97" s="20"/>
      <c r="K97" s="19"/>
      <c r="L97" s="19"/>
    </row>
    <row r="98" spans="1:12">
      <c r="A98" s="19"/>
      <c r="B98" s="31"/>
      <c r="C98" s="31"/>
      <c r="D98" s="19"/>
      <c r="E98" s="19"/>
      <c r="F98" s="19"/>
      <c r="G98" s="20"/>
      <c r="H98" s="19"/>
      <c r="I98" s="19"/>
      <c r="J98" s="20"/>
      <c r="K98" s="19"/>
      <c r="L98" s="19"/>
    </row>
    <row r="99" spans="1:12">
      <c r="A99" s="19"/>
      <c r="B99" s="31"/>
      <c r="C99" s="31"/>
      <c r="D99" s="19"/>
      <c r="E99" s="19"/>
      <c r="F99" s="19"/>
      <c r="G99" s="20"/>
      <c r="H99" s="19"/>
      <c r="I99" s="19"/>
      <c r="J99" s="20"/>
      <c r="K99" s="19"/>
      <c r="L99" s="19"/>
    </row>
    <row r="100" spans="1:12">
      <c r="A100" s="19"/>
      <c r="B100" s="31"/>
      <c r="C100" s="31"/>
      <c r="D100" s="19"/>
      <c r="E100" s="19"/>
      <c r="F100" s="19"/>
      <c r="G100" s="20"/>
      <c r="H100" s="19"/>
      <c r="I100" s="19"/>
      <c r="J100" s="20"/>
      <c r="K100" s="19"/>
      <c r="L100" s="19"/>
    </row>
    <row r="101" spans="1:12">
      <c r="A101" s="19"/>
      <c r="B101" s="31"/>
      <c r="C101" s="31"/>
      <c r="D101" s="19"/>
      <c r="E101" s="19"/>
      <c r="F101" s="19"/>
      <c r="G101" s="20"/>
      <c r="H101" s="19"/>
      <c r="I101" s="19"/>
      <c r="J101" s="20"/>
      <c r="K101" s="19"/>
      <c r="L101" s="19"/>
    </row>
    <row r="102" spans="1:12">
      <c r="A102" s="19"/>
      <c r="B102" s="31"/>
      <c r="C102" s="31"/>
      <c r="D102" s="19"/>
      <c r="E102" s="19"/>
      <c r="F102" s="19"/>
      <c r="G102" s="20"/>
      <c r="H102" s="19"/>
      <c r="I102" s="19"/>
      <c r="J102" s="20"/>
      <c r="K102" s="19"/>
      <c r="L102" s="19"/>
    </row>
    <row r="103" spans="1:12">
      <c r="A103" s="19"/>
      <c r="B103" s="31"/>
      <c r="C103" s="31"/>
      <c r="D103" s="19"/>
      <c r="E103" s="19"/>
      <c r="F103" s="19"/>
      <c r="G103" s="20"/>
      <c r="H103" s="19"/>
      <c r="I103" s="19"/>
      <c r="J103" s="20"/>
      <c r="K103" s="19"/>
      <c r="L103" s="19"/>
    </row>
    <row r="104" spans="1:12">
      <c r="A104" s="19"/>
      <c r="B104" s="31"/>
      <c r="C104" s="31"/>
      <c r="D104" s="19"/>
      <c r="E104" s="19"/>
      <c r="F104" s="19"/>
      <c r="G104" s="20"/>
      <c r="H104" s="19"/>
      <c r="I104" s="19"/>
      <c r="J104" s="20"/>
      <c r="K104" s="19"/>
      <c r="L104" s="19"/>
    </row>
    <row r="105" spans="1:12">
      <c r="A105" s="19"/>
      <c r="B105" s="31"/>
      <c r="C105" s="31"/>
      <c r="D105" s="19"/>
      <c r="E105" s="19"/>
      <c r="F105" s="19"/>
      <c r="G105" s="20"/>
      <c r="H105" s="19"/>
      <c r="I105" s="19"/>
      <c r="J105" s="20"/>
      <c r="K105" s="19"/>
      <c r="L105" s="19"/>
    </row>
    <row r="106" spans="1:12">
      <c r="A106" s="19"/>
      <c r="B106" s="31"/>
      <c r="C106" s="31"/>
      <c r="D106" s="19"/>
      <c r="E106" s="19"/>
      <c r="F106" s="19"/>
      <c r="G106" s="20"/>
      <c r="H106" s="19"/>
      <c r="I106" s="19"/>
      <c r="J106" s="20"/>
      <c r="K106" s="19"/>
      <c r="L106" s="19"/>
    </row>
    <row r="107" spans="1:12">
      <c r="A107" s="19"/>
      <c r="B107" s="31"/>
      <c r="C107" s="31"/>
      <c r="D107" s="19"/>
      <c r="E107" s="19"/>
      <c r="F107" s="19"/>
      <c r="G107" s="20"/>
      <c r="H107" s="19"/>
      <c r="I107" s="19"/>
      <c r="J107" s="20"/>
      <c r="K107" s="19"/>
      <c r="L107" s="19"/>
    </row>
    <row r="108" spans="1:12">
      <c r="A108" s="19"/>
      <c r="B108" s="31"/>
      <c r="C108" s="31"/>
      <c r="D108" s="19"/>
      <c r="E108" s="19"/>
      <c r="F108" s="19"/>
      <c r="G108" s="20"/>
      <c r="H108" s="19"/>
      <c r="I108" s="19"/>
      <c r="J108" s="20"/>
      <c r="K108" s="19"/>
      <c r="L108" s="19"/>
    </row>
    <row r="109" spans="1:12">
      <c r="A109" s="19"/>
      <c r="B109" s="31"/>
      <c r="C109" s="31"/>
      <c r="D109" s="19"/>
      <c r="E109" s="19"/>
      <c r="F109" s="19"/>
      <c r="G109" s="20"/>
      <c r="H109" s="19"/>
      <c r="I109" s="19"/>
      <c r="J109" s="20"/>
      <c r="K109" s="19"/>
      <c r="L109" s="19"/>
    </row>
    <row r="110" spans="1:12">
      <c r="A110" s="19"/>
      <c r="B110" s="31"/>
      <c r="C110" s="31"/>
      <c r="D110" s="19"/>
      <c r="E110" s="19"/>
      <c r="F110" s="19"/>
      <c r="G110" s="20"/>
      <c r="H110" s="19"/>
      <c r="I110" s="19"/>
      <c r="J110" s="20"/>
      <c r="K110" s="19"/>
      <c r="L110" s="19"/>
    </row>
    <row r="111" spans="1:12">
      <c r="A111" s="19"/>
      <c r="B111" s="31"/>
      <c r="C111" s="31"/>
      <c r="D111" s="19"/>
      <c r="E111" s="19"/>
      <c r="F111" s="19"/>
      <c r="G111" s="20"/>
      <c r="H111" s="19"/>
      <c r="I111" s="19"/>
      <c r="J111" s="20"/>
      <c r="K111" s="19"/>
      <c r="L111" s="19"/>
    </row>
    <row r="112" spans="1:12">
      <c r="A112" s="19"/>
      <c r="B112" s="31"/>
      <c r="C112" s="31"/>
      <c r="D112" s="19"/>
      <c r="E112" s="19"/>
      <c r="F112" s="19"/>
      <c r="G112" s="20"/>
      <c r="H112" s="19"/>
      <c r="I112" s="19"/>
      <c r="J112" s="20"/>
      <c r="K112" s="19"/>
      <c r="L112" s="19"/>
    </row>
    <row r="113" spans="1:12">
      <c r="A113" s="19"/>
      <c r="B113" s="31"/>
      <c r="C113" s="31"/>
      <c r="D113" s="19"/>
      <c r="E113" s="19"/>
      <c r="F113" s="19"/>
      <c r="G113" s="20"/>
      <c r="H113" s="19"/>
      <c r="I113" s="19"/>
      <c r="J113" s="20"/>
      <c r="K113" s="19"/>
      <c r="L113" s="19"/>
    </row>
    <row r="114" spans="1:12">
      <c r="A114" s="19"/>
      <c r="B114" s="31"/>
      <c r="C114" s="31"/>
      <c r="D114" s="19"/>
      <c r="E114" s="19"/>
      <c r="F114" s="19"/>
      <c r="G114" s="20"/>
      <c r="H114" s="19"/>
      <c r="I114" s="19"/>
      <c r="J114" s="20"/>
      <c r="K114" s="19"/>
      <c r="L114" s="19"/>
    </row>
    <row r="115" spans="1:12">
      <c r="A115" s="19"/>
      <c r="B115" s="31"/>
      <c r="C115" s="31"/>
      <c r="D115" s="19"/>
      <c r="E115" s="19"/>
      <c r="F115" s="19"/>
      <c r="G115" s="20"/>
      <c r="H115" s="19"/>
      <c r="I115" s="19"/>
      <c r="J115" s="20"/>
      <c r="K115" s="19"/>
      <c r="L115" s="19"/>
    </row>
    <row r="116" spans="1:12">
      <c r="A116" s="19"/>
      <c r="B116" s="31"/>
      <c r="C116" s="31"/>
      <c r="D116" s="19"/>
      <c r="E116" s="19"/>
      <c r="F116" s="19"/>
      <c r="G116" s="20"/>
      <c r="H116" s="19"/>
      <c r="I116" s="19"/>
      <c r="J116" s="20"/>
      <c r="K116" s="19"/>
      <c r="L116" s="19"/>
    </row>
    <row r="117" spans="1:12">
      <c r="A117" s="19"/>
      <c r="B117" s="31"/>
      <c r="C117" s="31"/>
      <c r="D117" s="19"/>
      <c r="E117" s="19"/>
      <c r="F117" s="19"/>
      <c r="G117" s="20"/>
      <c r="H117" s="19"/>
      <c r="I117" s="19"/>
      <c r="J117" s="20"/>
      <c r="K117" s="19"/>
      <c r="L117" s="19"/>
    </row>
    <row r="118" spans="1:12">
      <c r="A118" s="19"/>
      <c r="B118" s="31"/>
      <c r="C118" s="31"/>
      <c r="D118" s="19"/>
      <c r="E118" s="19"/>
      <c r="F118" s="19"/>
      <c r="G118" s="20"/>
      <c r="H118" s="19"/>
      <c r="I118" s="19"/>
      <c r="J118" s="20"/>
      <c r="K118" s="19"/>
      <c r="L118" s="19"/>
    </row>
    <row r="119" spans="1:12">
      <c r="A119" s="19"/>
      <c r="B119" s="31"/>
      <c r="C119" s="31"/>
      <c r="D119" s="19"/>
      <c r="E119" s="19"/>
      <c r="F119" s="19"/>
      <c r="G119" s="20"/>
      <c r="H119" s="19"/>
      <c r="I119" s="19"/>
      <c r="J119" s="20"/>
      <c r="K119" s="19"/>
      <c r="L119" s="19"/>
    </row>
    <row r="120" spans="1:12">
      <c r="A120" s="19"/>
      <c r="B120" s="31"/>
      <c r="C120" s="31"/>
      <c r="D120" s="19"/>
      <c r="E120" s="19"/>
      <c r="F120" s="19"/>
      <c r="G120" s="20"/>
      <c r="H120" s="19"/>
      <c r="I120" s="19"/>
      <c r="J120" s="20"/>
      <c r="K120" s="19"/>
      <c r="L120" s="19"/>
    </row>
    <row r="121" spans="1:12">
      <c r="A121" s="19"/>
      <c r="B121" s="31"/>
      <c r="C121" s="31"/>
      <c r="D121" s="19"/>
      <c r="E121" s="19"/>
      <c r="F121" s="19"/>
      <c r="G121" s="20"/>
      <c r="H121" s="19"/>
      <c r="I121" s="19"/>
      <c r="J121" s="20"/>
      <c r="K121" s="19"/>
      <c r="L121" s="19"/>
    </row>
    <row r="122" spans="1:12">
      <c r="A122" s="19"/>
      <c r="B122" s="31"/>
      <c r="C122" s="31"/>
      <c r="D122" s="19"/>
      <c r="E122" s="19"/>
      <c r="F122" s="19"/>
      <c r="G122" s="20"/>
      <c r="H122" s="19"/>
      <c r="I122" s="19"/>
      <c r="J122" s="20"/>
      <c r="K122" s="19"/>
      <c r="L122" s="19"/>
    </row>
    <row r="123" spans="1:12">
      <c r="A123" s="19"/>
      <c r="B123" s="31"/>
      <c r="C123" s="31"/>
      <c r="D123" s="19"/>
      <c r="E123" s="19"/>
      <c r="F123" s="19"/>
      <c r="G123" s="20"/>
      <c r="H123" s="19"/>
      <c r="I123" s="19"/>
      <c r="J123" s="20"/>
      <c r="K123" s="19"/>
      <c r="L123" s="19"/>
    </row>
    <row r="124" spans="1:12">
      <c r="A124" s="19"/>
      <c r="B124" s="31"/>
      <c r="C124" s="31"/>
      <c r="D124" s="19"/>
      <c r="E124" s="19"/>
      <c r="F124" s="19"/>
      <c r="G124" s="20"/>
      <c r="H124" s="19"/>
      <c r="I124" s="19"/>
      <c r="J124" s="20"/>
      <c r="K124" s="19"/>
      <c r="L124" s="19"/>
    </row>
    <row r="125" spans="1:12">
      <c r="A125" s="19"/>
      <c r="B125" s="31"/>
      <c r="C125" s="31"/>
      <c r="D125" s="19"/>
      <c r="E125" s="19"/>
      <c r="F125" s="19"/>
      <c r="G125" s="20"/>
      <c r="H125" s="19"/>
      <c r="I125" s="19"/>
      <c r="J125" s="20"/>
      <c r="K125" s="19"/>
      <c r="L125" s="19"/>
    </row>
    <row r="126" spans="1:12">
      <c r="A126" s="19"/>
      <c r="B126" s="31"/>
      <c r="C126" s="31"/>
      <c r="D126" s="19"/>
      <c r="E126" s="19"/>
      <c r="F126" s="19"/>
      <c r="G126" s="20"/>
      <c r="H126" s="19"/>
      <c r="I126" s="19"/>
      <c r="J126" s="20"/>
      <c r="K126" s="19"/>
      <c r="L126" s="19"/>
    </row>
    <row r="127" spans="1:12">
      <c r="A127" s="19"/>
      <c r="B127" s="31"/>
      <c r="C127" s="31"/>
      <c r="D127" s="19"/>
      <c r="E127" s="19"/>
      <c r="F127" s="19"/>
      <c r="G127" s="20"/>
      <c r="H127" s="19"/>
      <c r="I127" s="19"/>
      <c r="J127" s="20"/>
      <c r="K127" s="19"/>
      <c r="L127" s="19"/>
    </row>
    <row r="128" spans="1:12">
      <c r="A128" s="19"/>
      <c r="B128" s="31"/>
      <c r="C128" s="31"/>
      <c r="D128" s="19"/>
      <c r="E128" s="19"/>
      <c r="F128" s="19"/>
      <c r="G128" s="20"/>
      <c r="H128" s="19"/>
      <c r="I128" s="19"/>
      <c r="J128" s="20"/>
      <c r="K128" s="19"/>
      <c r="L128" s="19"/>
    </row>
    <row r="129" spans="1:12">
      <c r="A129" s="19"/>
      <c r="B129" s="31"/>
      <c r="C129" s="31"/>
      <c r="D129" s="19"/>
      <c r="E129" s="19"/>
      <c r="F129" s="19"/>
      <c r="G129" s="20"/>
      <c r="H129" s="19"/>
      <c r="I129" s="19"/>
      <c r="J129" s="20"/>
      <c r="K129" s="19"/>
      <c r="L129" s="19"/>
    </row>
    <row r="130" spans="1:12">
      <c r="A130" s="19"/>
      <c r="B130" s="31"/>
      <c r="C130" s="31"/>
      <c r="D130" s="19"/>
      <c r="E130" s="19"/>
      <c r="F130" s="19"/>
      <c r="G130" s="20"/>
      <c r="H130" s="19"/>
      <c r="I130" s="19"/>
      <c r="J130" s="20"/>
      <c r="K130" s="19"/>
      <c r="L130" s="19"/>
    </row>
    <row r="131" spans="1:12">
      <c r="A131" s="19"/>
      <c r="B131" s="31"/>
      <c r="C131" s="31"/>
      <c r="D131" s="19"/>
      <c r="E131" s="19"/>
      <c r="F131" s="19"/>
      <c r="G131" s="20"/>
      <c r="H131" s="19"/>
      <c r="I131" s="19"/>
      <c r="J131" s="20"/>
      <c r="K131" s="19"/>
      <c r="L131" s="19"/>
    </row>
    <row r="132" spans="1:12">
      <c r="A132" s="19"/>
      <c r="B132" s="31"/>
      <c r="C132" s="31"/>
      <c r="D132" s="19"/>
      <c r="E132" s="19"/>
      <c r="F132" s="19"/>
      <c r="G132" s="20"/>
      <c r="H132" s="19"/>
      <c r="I132" s="19"/>
      <c r="J132" s="20"/>
      <c r="K132" s="19"/>
      <c r="L132" s="19"/>
    </row>
    <row r="133" spans="1:12">
      <c r="A133" s="19"/>
      <c r="B133" s="31"/>
      <c r="C133" s="31"/>
      <c r="D133" s="19"/>
      <c r="E133" s="19"/>
      <c r="F133" s="19"/>
      <c r="G133" s="20"/>
      <c r="H133" s="19"/>
      <c r="I133" s="19"/>
      <c r="J133" s="20"/>
      <c r="K133" s="19"/>
      <c r="L133" s="19"/>
    </row>
    <row r="134" spans="1:12">
      <c r="A134" s="19"/>
      <c r="B134" s="31"/>
      <c r="C134" s="31"/>
      <c r="D134" s="19"/>
      <c r="E134" s="19"/>
      <c r="F134" s="19"/>
      <c r="G134" s="20"/>
      <c r="H134" s="19"/>
      <c r="I134" s="19"/>
      <c r="J134" s="20"/>
      <c r="K134" s="19"/>
      <c r="L134" s="19"/>
    </row>
    <row r="135" spans="1:12">
      <c r="A135" s="19"/>
      <c r="B135" s="31"/>
      <c r="C135" s="31"/>
      <c r="D135" s="19"/>
      <c r="E135" s="19"/>
      <c r="F135" s="19"/>
      <c r="G135" s="20"/>
      <c r="H135" s="19"/>
      <c r="I135" s="19"/>
      <c r="J135" s="20"/>
      <c r="K135" s="19"/>
      <c r="L135" s="19"/>
    </row>
    <row r="136" spans="1:12">
      <c r="A136" s="19"/>
      <c r="B136" s="31"/>
      <c r="C136" s="31"/>
      <c r="D136" s="19"/>
      <c r="E136" s="19"/>
      <c r="F136" s="19"/>
      <c r="G136" s="20"/>
      <c r="H136" s="19"/>
      <c r="I136" s="19"/>
      <c r="J136" s="20"/>
      <c r="K136" s="19"/>
      <c r="L136" s="19"/>
    </row>
    <row r="137" spans="1:12">
      <c r="A137" s="19"/>
      <c r="B137" s="31"/>
      <c r="C137" s="31"/>
      <c r="D137" s="19"/>
      <c r="E137" s="19"/>
      <c r="F137" s="19"/>
      <c r="G137" s="20"/>
      <c r="H137" s="19"/>
      <c r="I137" s="19"/>
      <c r="J137" s="20"/>
      <c r="K137" s="19"/>
      <c r="L137" s="19"/>
    </row>
    <row r="138" spans="1:12">
      <c r="A138" s="19"/>
      <c r="B138" s="31"/>
      <c r="C138" s="31"/>
      <c r="D138" s="19"/>
      <c r="E138" s="19"/>
      <c r="F138" s="19"/>
      <c r="G138" s="20"/>
      <c r="H138" s="19"/>
      <c r="I138" s="19"/>
      <c r="J138" s="20"/>
      <c r="K138" s="19"/>
      <c r="L138" s="19"/>
    </row>
    <row r="139" spans="1:12">
      <c r="A139" s="19"/>
      <c r="B139" s="31"/>
      <c r="C139" s="31"/>
      <c r="D139" s="19"/>
      <c r="E139" s="19"/>
      <c r="F139" s="19"/>
      <c r="G139" s="20"/>
      <c r="H139" s="19"/>
      <c r="I139" s="19"/>
      <c r="J139" s="20"/>
      <c r="K139" s="19"/>
      <c r="L139" s="19"/>
    </row>
    <row r="140" spans="1:12">
      <c r="A140" s="19"/>
      <c r="B140" s="31"/>
      <c r="C140" s="31"/>
      <c r="D140" s="19"/>
      <c r="E140" s="19"/>
      <c r="F140" s="19"/>
      <c r="G140" s="20"/>
      <c r="H140" s="19"/>
      <c r="I140" s="19"/>
      <c r="J140" s="20"/>
      <c r="K140" s="19"/>
      <c r="L140" s="19"/>
    </row>
    <row r="141" spans="1:12">
      <c r="A141" s="19"/>
      <c r="B141" s="31"/>
      <c r="C141" s="31"/>
      <c r="D141" s="19"/>
      <c r="E141" s="19"/>
      <c r="F141" s="19"/>
      <c r="G141" s="20"/>
      <c r="H141" s="19"/>
      <c r="I141" s="19"/>
      <c r="J141" s="20"/>
      <c r="K141" s="19"/>
      <c r="L141" s="19"/>
    </row>
    <row r="142" spans="1:12">
      <c r="A142" s="19"/>
      <c r="B142" s="31"/>
      <c r="C142" s="31"/>
      <c r="D142" s="19"/>
      <c r="E142" s="19"/>
      <c r="F142" s="19"/>
      <c r="G142" s="20"/>
      <c r="H142" s="19"/>
      <c r="I142" s="19"/>
      <c r="J142" s="20"/>
      <c r="K142" s="19"/>
      <c r="L142" s="19"/>
    </row>
    <row r="143" spans="1:12">
      <c r="A143" s="19"/>
      <c r="B143" s="31"/>
      <c r="C143" s="31"/>
      <c r="D143" s="19"/>
      <c r="E143" s="19"/>
      <c r="F143" s="19"/>
      <c r="G143" s="20"/>
      <c r="H143" s="19"/>
      <c r="I143" s="19"/>
      <c r="J143" s="20"/>
      <c r="K143" s="19"/>
      <c r="L143" s="19"/>
    </row>
    <row r="144" spans="1:12">
      <c r="A144" s="19"/>
      <c r="B144" s="31"/>
      <c r="C144" s="31"/>
      <c r="D144" s="19"/>
      <c r="E144" s="19"/>
      <c r="F144" s="19"/>
      <c r="G144" s="20"/>
      <c r="H144" s="19"/>
      <c r="I144" s="19"/>
      <c r="J144" s="20"/>
      <c r="K144" s="19"/>
      <c r="L144" s="19"/>
    </row>
    <row r="145" spans="1:12">
      <c r="A145" s="19"/>
      <c r="B145" s="31"/>
      <c r="C145" s="31"/>
      <c r="D145" s="19"/>
      <c r="E145" s="19"/>
      <c r="F145" s="19"/>
      <c r="G145" s="20"/>
      <c r="H145" s="19"/>
      <c r="I145" s="19"/>
      <c r="J145" s="20"/>
      <c r="K145" s="19"/>
      <c r="L145" s="19"/>
    </row>
    <row r="146" spans="1:12">
      <c r="A146" s="19"/>
      <c r="B146" s="31"/>
      <c r="C146" s="31"/>
      <c r="D146" s="19"/>
      <c r="E146" s="19"/>
      <c r="F146" s="19"/>
      <c r="G146" s="20"/>
      <c r="H146" s="19"/>
      <c r="I146" s="19"/>
      <c r="J146" s="20"/>
      <c r="K146" s="19"/>
      <c r="L146" s="19"/>
    </row>
    <row r="147" spans="1:12">
      <c r="A147" s="19"/>
      <c r="B147" s="31"/>
      <c r="C147" s="31"/>
      <c r="D147" s="19"/>
      <c r="E147" s="19"/>
      <c r="F147" s="19"/>
      <c r="G147" s="20"/>
      <c r="H147" s="19"/>
      <c r="I147" s="19"/>
      <c r="J147" s="20"/>
      <c r="K147" s="19"/>
      <c r="L147" s="19"/>
    </row>
    <row r="148" spans="1:12">
      <c r="A148" s="19"/>
      <c r="B148" s="31"/>
      <c r="C148" s="31"/>
      <c r="D148" s="19"/>
      <c r="E148" s="19"/>
      <c r="F148" s="19"/>
      <c r="G148" s="20"/>
      <c r="H148" s="19"/>
      <c r="I148" s="19"/>
      <c r="J148" s="20"/>
      <c r="K148" s="19"/>
      <c r="L148" s="19"/>
    </row>
    <row r="149" spans="1:12">
      <c r="A149" s="19"/>
      <c r="B149" s="31"/>
      <c r="C149" s="31"/>
      <c r="D149" s="19"/>
      <c r="E149" s="19"/>
      <c r="F149" s="19"/>
      <c r="G149" s="20"/>
      <c r="H149" s="19"/>
      <c r="I149" s="19"/>
      <c r="J149" s="20"/>
      <c r="K149" s="19"/>
      <c r="L149" s="19"/>
    </row>
    <row r="150" spans="1:12">
      <c r="A150" s="19"/>
      <c r="B150" s="31"/>
      <c r="C150" s="31"/>
      <c r="D150" s="19"/>
      <c r="E150" s="19"/>
      <c r="F150" s="19"/>
      <c r="G150" s="20"/>
      <c r="H150" s="19"/>
      <c r="I150" s="19"/>
      <c r="J150" s="20"/>
      <c r="K150" s="19"/>
      <c r="L150" s="19"/>
    </row>
    <row r="151" spans="1:12">
      <c r="A151" s="19"/>
      <c r="B151" s="31"/>
      <c r="C151" s="31"/>
      <c r="D151" s="19"/>
      <c r="E151" s="19"/>
      <c r="F151" s="19"/>
      <c r="G151" s="20"/>
      <c r="H151" s="19"/>
      <c r="I151" s="19"/>
      <c r="J151" s="20"/>
      <c r="K151" s="19"/>
      <c r="L151" s="19"/>
    </row>
    <row r="152" spans="1:12">
      <c r="A152" s="19"/>
      <c r="B152" s="31"/>
      <c r="C152" s="31"/>
      <c r="D152" s="19"/>
      <c r="E152" s="19"/>
      <c r="F152" s="19"/>
      <c r="G152" s="20"/>
      <c r="H152" s="19"/>
      <c r="I152" s="19"/>
      <c r="J152" s="20"/>
      <c r="K152" s="19"/>
      <c r="L152" s="19"/>
    </row>
    <row r="153" spans="1:12">
      <c r="A153" s="19"/>
      <c r="B153" s="31"/>
      <c r="C153" s="31"/>
      <c r="D153" s="19"/>
      <c r="E153" s="19"/>
      <c r="F153" s="19"/>
      <c r="G153" s="20"/>
      <c r="H153" s="19"/>
      <c r="I153" s="19"/>
      <c r="J153" s="20"/>
      <c r="K153" s="19"/>
      <c r="L153" s="19"/>
    </row>
    <row r="154" spans="1:12">
      <c r="A154" s="19"/>
      <c r="B154" s="31"/>
      <c r="C154" s="31"/>
      <c r="D154" s="19"/>
      <c r="E154" s="19"/>
      <c r="F154" s="19"/>
      <c r="G154" s="20"/>
      <c r="H154" s="19"/>
      <c r="I154" s="19"/>
      <c r="J154" s="20"/>
      <c r="K154" s="19"/>
      <c r="L154" s="19"/>
    </row>
    <row r="155" spans="1:12">
      <c r="A155" s="19"/>
      <c r="B155" s="31"/>
      <c r="C155" s="31"/>
      <c r="D155" s="19"/>
      <c r="E155" s="19"/>
      <c r="F155" s="19"/>
      <c r="G155" s="20"/>
      <c r="H155" s="19"/>
      <c r="I155" s="19"/>
      <c r="J155" s="20"/>
      <c r="K155" s="19"/>
      <c r="L155" s="19"/>
    </row>
    <row r="156" spans="1:12">
      <c r="A156" s="19"/>
      <c r="B156" s="31"/>
      <c r="C156" s="31"/>
      <c r="D156" s="19"/>
      <c r="E156" s="19"/>
      <c r="F156" s="19"/>
      <c r="G156" s="20"/>
      <c r="H156" s="19"/>
      <c r="I156" s="19"/>
      <c r="J156" s="20"/>
      <c r="K156" s="19"/>
      <c r="L156" s="19"/>
    </row>
    <row r="157" spans="1:12">
      <c r="A157" s="19"/>
      <c r="B157" s="31"/>
      <c r="C157" s="31"/>
      <c r="D157" s="19"/>
      <c r="E157" s="19"/>
      <c r="F157" s="19"/>
      <c r="G157" s="20"/>
      <c r="H157" s="19"/>
      <c r="I157" s="19"/>
      <c r="J157" s="20"/>
      <c r="K157" s="19"/>
      <c r="L157" s="19"/>
    </row>
    <row r="158" spans="1:12">
      <c r="A158" s="19"/>
      <c r="B158" s="31"/>
      <c r="C158" s="31"/>
      <c r="D158" s="19"/>
      <c r="E158" s="19"/>
      <c r="F158" s="19"/>
      <c r="G158" s="20"/>
      <c r="H158" s="19"/>
      <c r="I158" s="19"/>
      <c r="J158" s="20"/>
      <c r="K158" s="19"/>
      <c r="L158" s="19"/>
    </row>
    <row r="159" spans="1:12">
      <c r="A159" s="19"/>
      <c r="B159" s="31"/>
      <c r="C159" s="31"/>
      <c r="D159" s="19"/>
      <c r="E159" s="19"/>
      <c r="F159" s="19"/>
      <c r="G159" s="20"/>
      <c r="H159" s="19"/>
      <c r="I159" s="19"/>
      <c r="J159" s="20"/>
      <c r="K159" s="19"/>
      <c r="L159" s="19"/>
    </row>
    <row r="160" spans="1:12">
      <c r="A160" s="19"/>
      <c r="B160" s="31"/>
      <c r="C160" s="31"/>
      <c r="D160" s="19"/>
      <c r="E160" s="19"/>
      <c r="F160" s="19"/>
      <c r="G160" s="20"/>
      <c r="H160" s="19"/>
      <c r="I160" s="19"/>
      <c r="J160" s="20"/>
      <c r="K160" s="19"/>
      <c r="L160" s="19"/>
    </row>
    <row r="161" spans="1:12">
      <c r="A161" s="19"/>
      <c r="B161" s="31"/>
      <c r="C161" s="31"/>
      <c r="D161" s="19"/>
      <c r="E161" s="19"/>
      <c r="F161" s="19"/>
      <c r="G161" s="20"/>
      <c r="H161" s="19"/>
      <c r="I161" s="19"/>
      <c r="J161" s="20"/>
      <c r="K161" s="19"/>
      <c r="L161" s="19"/>
    </row>
    <row r="162" spans="1:12">
      <c r="A162" s="19"/>
      <c r="B162" s="31"/>
      <c r="C162" s="31"/>
      <c r="D162" s="19"/>
      <c r="E162" s="19"/>
      <c r="F162" s="19"/>
      <c r="G162" s="20"/>
      <c r="H162" s="19"/>
      <c r="I162" s="19"/>
      <c r="J162" s="20"/>
      <c r="K162" s="19"/>
      <c r="L162" s="19"/>
    </row>
    <row r="163" spans="1:12">
      <c r="A163" s="19"/>
      <c r="B163" s="31"/>
      <c r="C163" s="31"/>
      <c r="D163" s="19"/>
      <c r="E163" s="19"/>
      <c r="F163" s="19"/>
      <c r="G163" s="20"/>
      <c r="H163" s="19"/>
      <c r="I163" s="19"/>
      <c r="J163" s="20"/>
      <c r="K163" s="19"/>
      <c r="L163" s="19"/>
    </row>
    <row r="164" spans="1:12">
      <c r="A164" s="19"/>
      <c r="B164" s="31"/>
      <c r="C164" s="31"/>
      <c r="D164" s="19"/>
      <c r="E164" s="19"/>
      <c r="F164" s="19"/>
      <c r="G164" s="20"/>
      <c r="H164" s="19"/>
      <c r="I164" s="19"/>
      <c r="J164" s="20"/>
      <c r="K164" s="19"/>
      <c r="L164" s="19"/>
    </row>
    <row r="165" spans="1:12">
      <c r="A165" s="19"/>
      <c r="B165" s="31"/>
      <c r="C165" s="31"/>
      <c r="D165" s="19"/>
      <c r="E165" s="19"/>
      <c r="F165" s="19"/>
      <c r="G165" s="20"/>
      <c r="H165" s="19"/>
      <c r="I165" s="19"/>
      <c r="J165" s="20"/>
      <c r="K165" s="19"/>
      <c r="L165" s="19"/>
    </row>
    <row r="166" spans="1:12">
      <c r="A166" s="19"/>
      <c r="B166" s="31"/>
      <c r="C166" s="31"/>
      <c r="D166" s="19"/>
      <c r="E166" s="19"/>
      <c r="F166" s="19"/>
      <c r="G166" s="20"/>
      <c r="H166" s="19"/>
      <c r="I166" s="19"/>
      <c r="J166" s="20"/>
      <c r="K166" s="19"/>
      <c r="L166" s="19"/>
    </row>
    <row r="167" spans="1:12">
      <c r="A167" s="19"/>
      <c r="B167" s="31"/>
      <c r="C167" s="31"/>
      <c r="D167" s="19"/>
      <c r="E167" s="19"/>
      <c r="F167" s="19"/>
      <c r="G167" s="20"/>
      <c r="H167" s="19"/>
      <c r="I167" s="19"/>
      <c r="J167" s="20"/>
      <c r="K167" s="19"/>
      <c r="L167" s="19"/>
    </row>
    <row r="168" spans="1:12">
      <c r="A168" s="19"/>
      <c r="B168" s="31"/>
      <c r="C168" s="31"/>
      <c r="D168" s="19"/>
      <c r="E168" s="19"/>
      <c r="F168" s="19"/>
      <c r="G168" s="20"/>
      <c r="H168" s="19"/>
      <c r="I168" s="19"/>
      <c r="J168" s="20"/>
      <c r="K168" s="19"/>
      <c r="L168" s="19"/>
    </row>
    <row r="169" spans="1:12">
      <c r="A169" s="19"/>
      <c r="B169" s="31"/>
      <c r="C169" s="31"/>
      <c r="D169" s="19"/>
      <c r="E169" s="19"/>
      <c r="F169" s="19"/>
      <c r="G169" s="20"/>
      <c r="H169" s="19"/>
      <c r="I169" s="19"/>
      <c r="J169" s="20"/>
      <c r="K169" s="19"/>
      <c r="L169" s="19"/>
    </row>
    <row r="170" spans="1:12">
      <c r="A170" s="19"/>
      <c r="B170" s="31"/>
      <c r="C170" s="31"/>
      <c r="D170" s="19"/>
      <c r="E170" s="19"/>
      <c r="F170" s="19"/>
      <c r="G170" s="20"/>
      <c r="H170" s="19"/>
      <c r="I170" s="19"/>
      <c r="J170" s="20"/>
      <c r="K170" s="19"/>
      <c r="L170" s="19"/>
    </row>
    <row r="171" spans="1:12">
      <c r="A171" s="19"/>
      <c r="B171" s="31"/>
      <c r="C171" s="31"/>
      <c r="D171" s="19"/>
      <c r="E171" s="19"/>
      <c r="F171" s="19"/>
      <c r="G171" s="20"/>
      <c r="H171" s="19"/>
      <c r="I171" s="19"/>
      <c r="J171" s="20"/>
      <c r="K171" s="19"/>
      <c r="L171" s="19"/>
    </row>
    <row r="172" spans="1:12">
      <c r="A172" s="19"/>
      <c r="B172" s="31"/>
      <c r="C172" s="31"/>
      <c r="D172" s="19"/>
      <c r="E172" s="19"/>
      <c r="F172" s="19"/>
      <c r="G172" s="20"/>
      <c r="H172" s="19"/>
      <c r="I172" s="19"/>
      <c r="J172" s="20"/>
      <c r="K172" s="19"/>
      <c r="L172" s="19"/>
    </row>
    <row r="173" spans="1:12">
      <c r="A173" s="19"/>
      <c r="B173" s="31"/>
      <c r="C173" s="31"/>
      <c r="D173" s="19"/>
      <c r="E173" s="19"/>
      <c r="F173" s="19"/>
      <c r="G173" s="20"/>
      <c r="H173" s="19"/>
      <c r="I173" s="19"/>
      <c r="J173" s="20"/>
      <c r="K173" s="19"/>
      <c r="L173" s="19"/>
    </row>
    <row r="174" spans="1:12">
      <c r="A174" s="19"/>
      <c r="B174" s="31"/>
      <c r="C174" s="31"/>
      <c r="D174" s="19"/>
      <c r="E174" s="19"/>
      <c r="F174" s="19"/>
      <c r="G174" s="20"/>
      <c r="H174" s="19"/>
      <c r="I174" s="19"/>
      <c r="J174" s="20"/>
      <c r="K174" s="19"/>
      <c r="L174" s="19"/>
    </row>
    <row r="175" spans="1:12">
      <c r="A175" s="19"/>
      <c r="B175" s="31"/>
      <c r="C175" s="31"/>
      <c r="D175" s="19"/>
      <c r="E175" s="19"/>
      <c r="F175" s="19"/>
      <c r="G175" s="20"/>
      <c r="H175" s="19"/>
      <c r="I175" s="19"/>
      <c r="J175" s="20"/>
      <c r="K175" s="19"/>
      <c r="L175" s="19"/>
    </row>
    <row r="176" spans="1:12">
      <c r="A176" s="19"/>
      <c r="B176" s="31"/>
      <c r="C176" s="31"/>
      <c r="D176" s="19"/>
      <c r="E176" s="19"/>
      <c r="F176" s="19"/>
      <c r="G176" s="20"/>
      <c r="H176" s="19"/>
      <c r="I176" s="19"/>
      <c r="J176" s="20"/>
      <c r="K176" s="19"/>
      <c r="L176" s="19"/>
    </row>
    <row r="177" spans="1:12">
      <c r="A177" s="19"/>
      <c r="B177" s="31"/>
      <c r="C177" s="31"/>
      <c r="D177" s="19"/>
      <c r="E177" s="19"/>
      <c r="F177" s="19"/>
      <c r="G177" s="20"/>
      <c r="H177" s="19"/>
      <c r="I177" s="19"/>
      <c r="J177" s="20"/>
      <c r="K177" s="19"/>
      <c r="L177" s="19"/>
    </row>
    <row r="178" spans="1:12">
      <c r="A178" s="19"/>
      <c r="B178" s="31"/>
      <c r="C178" s="31"/>
      <c r="D178" s="19"/>
      <c r="E178" s="19"/>
      <c r="F178" s="19"/>
      <c r="G178" s="20"/>
      <c r="H178" s="19"/>
      <c r="I178" s="19"/>
      <c r="J178" s="20"/>
      <c r="K178" s="19"/>
      <c r="L178" s="19"/>
    </row>
    <row r="179" spans="1:12">
      <c r="A179" s="19"/>
      <c r="B179" s="31"/>
      <c r="C179" s="31"/>
      <c r="D179" s="19"/>
      <c r="E179" s="19"/>
      <c r="F179" s="19"/>
      <c r="G179" s="20"/>
      <c r="H179" s="19"/>
      <c r="I179" s="19"/>
      <c r="J179" s="20"/>
      <c r="K179" s="19"/>
      <c r="L179" s="19"/>
    </row>
    <row r="180" spans="1:12">
      <c r="A180" s="19"/>
      <c r="B180" s="31"/>
      <c r="C180" s="31"/>
      <c r="D180" s="19"/>
      <c r="E180" s="19"/>
      <c r="F180" s="19"/>
      <c r="G180" s="20"/>
      <c r="H180" s="19"/>
      <c r="I180" s="19"/>
      <c r="J180" s="20"/>
      <c r="K180" s="19"/>
      <c r="L180" s="19"/>
    </row>
    <row r="181" spans="1:12">
      <c r="A181" s="19"/>
      <c r="B181" s="31"/>
      <c r="C181" s="31"/>
      <c r="D181" s="19"/>
      <c r="E181" s="19"/>
      <c r="F181" s="19"/>
      <c r="G181" s="20"/>
      <c r="H181" s="19"/>
      <c r="I181" s="19"/>
      <c r="J181" s="20"/>
      <c r="K181" s="19"/>
      <c r="L181" s="19"/>
    </row>
    <row r="182" spans="1:12">
      <c r="A182" s="19"/>
      <c r="B182" s="31"/>
      <c r="C182" s="31"/>
      <c r="D182" s="19"/>
      <c r="E182" s="19"/>
      <c r="F182" s="19"/>
      <c r="G182" s="20"/>
      <c r="H182" s="19"/>
      <c r="I182" s="19"/>
      <c r="J182" s="20"/>
      <c r="K182" s="19"/>
      <c r="L182" s="19"/>
    </row>
    <row r="183" spans="1:12">
      <c r="A183" s="19"/>
      <c r="B183" s="31"/>
      <c r="C183" s="31"/>
      <c r="D183" s="19"/>
      <c r="E183" s="19"/>
      <c r="F183" s="19"/>
      <c r="G183" s="20"/>
      <c r="H183" s="19"/>
      <c r="I183" s="19"/>
      <c r="J183" s="20"/>
      <c r="K183" s="19"/>
      <c r="L183" s="19"/>
    </row>
    <row r="184" spans="1:12">
      <c r="A184" s="19"/>
      <c r="B184" s="31"/>
      <c r="C184" s="31"/>
      <c r="D184" s="19"/>
      <c r="E184" s="19"/>
      <c r="F184" s="19"/>
      <c r="G184" s="20"/>
      <c r="H184" s="19"/>
      <c r="I184" s="19"/>
      <c r="J184" s="20"/>
      <c r="K184" s="19"/>
      <c r="L184" s="19"/>
    </row>
    <row r="185" spans="1:12">
      <c r="A185" s="19"/>
      <c r="B185" s="31"/>
      <c r="C185" s="31"/>
      <c r="D185" s="19"/>
      <c r="E185" s="19"/>
      <c r="F185" s="19"/>
      <c r="G185" s="20"/>
      <c r="H185" s="19"/>
      <c r="I185" s="19"/>
      <c r="J185" s="20"/>
      <c r="K185" s="19"/>
      <c r="L185" s="19"/>
    </row>
    <row r="186" spans="1:12">
      <c r="A186" s="19"/>
      <c r="B186" s="31"/>
      <c r="C186" s="31"/>
      <c r="D186" s="19"/>
      <c r="E186" s="19"/>
      <c r="F186" s="19"/>
      <c r="G186" s="20"/>
      <c r="H186" s="19"/>
      <c r="I186" s="19"/>
      <c r="J186" s="20"/>
      <c r="K186" s="19"/>
      <c r="L186" s="19"/>
    </row>
    <row r="187" spans="1:12">
      <c r="A187" s="19"/>
      <c r="B187" s="31"/>
      <c r="C187" s="31"/>
      <c r="D187" s="19"/>
      <c r="E187" s="19"/>
      <c r="F187" s="19"/>
      <c r="G187" s="20"/>
      <c r="H187" s="19"/>
      <c r="I187" s="19"/>
      <c r="J187" s="20"/>
      <c r="K187" s="19"/>
      <c r="L187" s="19"/>
    </row>
    <row r="188" spans="1:12">
      <c r="A188" s="19"/>
      <c r="B188" s="31"/>
      <c r="C188" s="31"/>
      <c r="D188" s="19"/>
      <c r="E188" s="19"/>
      <c r="F188" s="19"/>
      <c r="G188" s="20"/>
      <c r="H188" s="19"/>
      <c r="I188" s="19"/>
      <c r="J188" s="20"/>
      <c r="K188" s="19"/>
      <c r="L188" s="19"/>
    </row>
    <row r="189" spans="1:12">
      <c r="A189" s="19"/>
      <c r="B189" s="31"/>
      <c r="C189" s="31"/>
      <c r="D189" s="19"/>
      <c r="E189" s="19"/>
      <c r="F189" s="19"/>
      <c r="G189" s="20"/>
      <c r="H189" s="19"/>
      <c r="I189" s="19"/>
      <c r="J189" s="20"/>
      <c r="K189" s="19"/>
      <c r="L189" s="19"/>
    </row>
    <row r="190" spans="1:12">
      <c r="A190" s="19"/>
      <c r="B190" s="31"/>
      <c r="C190" s="31"/>
      <c r="D190" s="19"/>
      <c r="E190" s="19"/>
      <c r="F190" s="19"/>
      <c r="G190" s="20"/>
      <c r="H190" s="19"/>
      <c r="I190" s="19"/>
      <c r="J190" s="20"/>
      <c r="K190" s="19"/>
      <c r="L190" s="19"/>
    </row>
    <row r="191" spans="1:12">
      <c r="A191" s="19"/>
      <c r="B191" s="31"/>
      <c r="C191" s="31"/>
      <c r="D191" s="19"/>
      <c r="E191" s="19"/>
      <c r="F191" s="19"/>
      <c r="G191" s="20"/>
      <c r="H191" s="19"/>
      <c r="I191" s="19"/>
      <c r="J191" s="20"/>
      <c r="K191" s="19"/>
      <c r="L191" s="19"/>
    </row>
    <row r="192" spans="1:12">
      <c r="A192" s="19"/>
      <c r="B192" s="31"/>
      <c r="C192" s="31"/>
      <c r="D192" s="19"/>
      <c r="E192" s="19"/>
      <c r="F192" s="19"/>
      <c r="G192" s="20"/>
      <c r="H192" s="19"/>
      <c r="I192" s="19"/>
      <c r="J192" s="20"/>
      <c r="K192" s="19"/>
      <c r="L192" s="19"/>
    </row>
    <row r="193" spans="1:12">
      <c r="A193" s="19"/>
      <c r="B193" s="31"/>
      <c r="C193" s="31"/>
      <c r="D193" s="19"/>
      <c r="E193" s="19"/>
      <c r="F193" s="19"/>
      <c r="G193" s="20"/>
      <c r="H193" s="19"/>
      <c r="I193" s="19"/>
      <c r="J193" s="20"/>
      <c r="K193" s="19"/>
      <c r="L193" s="19"/>
    </row>
    <row r="194" spans="1:12">
      <c r="A194" s="19"/>
      <c r="B194" s="31"/>
      <c r="C194" s="31"/>
      <c r="D194" s="19"/>
      <c r="E194" s="19"/>
      <c r="F194" s="19"/>
      <c r="G194" s="20"/>
      <c r="H194" s="19"/>
      <c r="I194" s="19"/>
      <c r="J194" s="20"/>
      <c r="K194" s="19"/>
      <c r="L194" s="19"/>
    </row>
    <row r="195" spans="1:12">
      <c r="A195" s="19"/>
      <c r="B195" s="31"/>
      <c r="C195" s="31"/>
      <c r="D195" s="19"/>
      <c r="E195" s="19"/>
      <c r="F195" s="19"/>
      <c r="G195" s="20"/>
      <c r="H195" s="19"/>
      <c r="I195" s="19"/>
      <c r="J195" s="20"/>
      <c r="K195" s="19"/>
      <c r="L195" s="19"/>
    </row>
    <row r="196" spans="1:12">
      <c r="A196" s="19"/>
      <c r="B196" s="31"/>
      <c r="C196" s="31"/>
      <c r="D196" s="19"/>
      <c r="E196" s="19"/>
      <c r="F196" s="19"/>
      <c r="G196" s="20"/>
      <c r="H196" s="19"/>
      <c r="I196" s="19"/>
      <c r="J196" s="20"/>
      <c r="K196" s="19"/>
      <c r="L196" s="19"/>
    </row>
    <row r="197" spans="1:12">
      <c r="A197" s="19"/>
      <c r="B197" s="31"/>
      <c r="C197" s="31"/>
      <c r="D197" s="19"/>
      <c r="E197" s="19"/>
      <c r="F197" s="19"/>
      <c r="G197" s="20"/>
      <c r="H197" s="19"/>
      <c r="I197" s="19"/>
      <c r="J197" s="20"/>
      <c r="K197" s="19"/>
      <c r="L197" s="19"/>
    </row>
    <row r="198" spans="1:12">
      <c r="A198" s="19"/>
      <c r="B198" s="31"/>
      <c r="C198" s="31"/>
      <c r="D198" s="19"/>
      <c r="E198" s="19"/>
      <c r="F198" s="19"/>
      <c r="G198" s="20"/>
      <c r="H198" s="19"/>
      <c r="I198" s="19"/>
      <c r="J198" s="20"/>
      <c r="K198" s="19"/>
      <c r="L198" s="19"/>
    </row>
    <row r="199" spans="1:12">
      <c r="A199" s="19"/>
      <c r="B199" s="31"/>
      <c r="C199" s="31"/>
      <c r="D199" s="19"/>
      <c r="E199" s="19"/>
      <c r="F199" s="19"/>
      <c r="G199" s="20"/>
      <c r="H199" s="19"/>
      <c r="I199" s="19"/>
      <c r="J199" s="20"/>
      <c r="K199" s="19"/>
      <c r="L199" s="19"/>
    </row>
    <row r="200" spans="1:12">
      <c r="A200" s="19"/>
      <c r="B200" s="31"/>
      <c r="C200" s="31"/>
      <c r="D200" s="19"/>
      <c r="E200" s="19"/>
      <c r="F200" s="19"/>
      <c r="G200" s="20"/>
      <c r="H200" s="19"/>
      <c r="I200" s="19"/>
      <c r="J200" s="20"/>
      <c r="K200" s="19"/>
      <c r="L200" s="19"/>
    </row>
    <row r="201" spans="1:12">
      <c r="A201" s="19"/>
      <c r="B201" s="31"/>
      <c r="C201" s="31"/>
      <c r="D201" s="19"/>
      <c r="E201" s="19"/>
      <c r="F201" s="19"/>
      <c r="G201" s="20"/>
      <c r="H201" s="19"/>
      <c r="I201" s="19"/>
      <c r="J201" s="20"/>
      <c r="K201" s="19"/>
      <c r="L201" s="19"/>
    </row>
    <row r="202" spans="1:12">
      <c r="A202" s="19"/>
      <c r="B202" s="31"/>
      <c r="C202" s="31"/>
      <c r="D202" s="19"/>
      <c r="E202" s="19"/>
      <c r="F202" s="19"/>
      <c r="G202" s="20"/>
      <c r="H202" s="19"/>
      <c r="I202" s="19"/>
      <c r="J202" s="20"/>
      <c r="K202" s="19"/>
      <c r="L202" s="19"/>
    </row>
    <row r="203" spans="1:12">
      <c r="A203" s="19"/>
      <c r="B203" s="31"/>
      <c r="C203" s="31"/>
      <c r="D203" s="19"/>
      <c r="E203" s="19"/>
      <c r="F203" s="19"/>
      <c r="G203" s="20"/>
      <c r="H203" s="19"/>
      <c r="I203" s="19"/>
      <c r="J203" s="20"/>
      <c r="K203" s="19"/>
      <c r="L203" s="19"/>
    </row>
    <row r="204" spans="1:12">
      <c r="A204" s="19"/>
      <c r="B204" s="31"/>
      <c r="C204" s="31"/>
      <c r="D204" s="19"/>
      <c r="E204" s="19"/>
      <c r="F204" s="19"/>
      <c r="G204" s="20"/>
      <c r="H204" s="19"/>
      <c r="I204" s="19"/>
      <c r="J204" s="20"/>
      <c r="K204" s="19"/>
      <c r="L204" s="19"/>
    </row>
    <row r="205" spans="1:12">
      <c r="A205" s="19"/>
      <c r="B205" s="31"/>
      <c r="C205" s="31"/>
      <c r="D205" s="19"/>
      <c r="E205" s="19"/>
      <c r="F205" s="19"/>
      <c r="G205" s="20"/>
      <c r="H205" s="19"/>
      <c r="I205" s="19"/>
      <c r="J205" s="20"/>
      <c r="K205" s="19"/>
      <c r="L205" s="19"/>
    </row>
    <row r="206" spans="1:12">
      <c r="A206" s="19"/>
      <c r="B206" s="31"/>
      <c r="C206" s="31"/>
      <c r="D206" s="19"/>
      <c r="E206" s="19"/>
      <c r="F206" s="19"/>
      <c r="G206" s="20"/>
      <c r="H206" s="19"/>
      <c r="I206" s="19"/>
      <c r="J206" s="20"/>
      <c r="K206" s="19"/>
      <c r="L206" s="19"/>
    </row>
    <row r="207" spans="1:12">
      <c r="A207" s="19"/>
      <c r="B207" s="31"/>
      <c r="C207" s="31"/>
      <c r="D207" s="19"/>
      <c r="E207" s="19"/>
      <c r="F207" s="19"/>
      <c r="G207" s="20"/>
      <c r="H207" s="19"/>
      <c r="I207" s="19"/>
      <c r="J207" s="20"/>
      <c r="K207" s="19"/>
      <c r="L207" s="19"/>
    </row>
    <row r="208" spans="1:12">
      <c r="A208" s="19"/>
      <c r="B208" s="31"/>
      <c r="C208" s="31"/>
      <c r="D208" s="19"/>
      <c r="E208" s="19"/>
      <c r="F208" s="19"/>
      <c r="G208" s="20"/>
      <c r="H208" s="19"/>
      <c r="I208" s="19"/>
      <c r="J208" s="20"/>
      <c r="K208" s="19"/>
      <c r="L208" s="19"/>
    </row>
    <row r="209" spans="1:12">
      <c r="A209" s="19"/>
      <c r="B209" s="31"/>
      <c r="C209" s="31"/>
      <c r="D209" s="19"/>
      <c r="E209" s="19"/>
      <c r="F209" s="19"/>
      <c r="G209" s="20"/>
      <c r="H209" s="19"/>
      <c r="I209" s="19"/>
      <c r="J209" s="20"/>
      <c r="K209" s="19"/>
      <c r="L209" s="19"/>
    </row>
    <row r="210" spans="1:12">
      <c r="A210" s="19"/>
      <c r="B210" s="31"/>
      <c r="C210" s="31"/>
      <c r="D210" s="19"/>
      <c r="E210" s="19"/>
      <c r="F210" s="19"/>
      <c r="G210" s="20"/>
      <c r="H210" s="19"/>
      <c r="I210" s="19"/>
      <c r="J210" s="20"/>
      <c r="K210" s="19"/>
      <c r="L210" s="19"/>
    </row>
    <row r="211" spans="1:12">
      <c r="A211" s="19"/>
      <c r="B211" s="31"/>
      <c r="C211" s="31"/>
      <c r="D211" s="19"/>
      <c r="E211" s="19"/>
      <c r="F211" s="19"/>
      <c r="G211" s="20"/>
      <c r="H211" s="19"/>
      <c r="I211" s="19"/>
      <c r="J211" s="20"/>
      <c r="K211" s="19"/>
      <c r="L211" s="19"/>
    </row>
    <row r="212" spans="1:12">
      <c r="A212" s="19"/>
      <c r="B212" s="31"/>
      <c r="C212" s="31"/>
      <c r="D212" s="19"/>
      <c r="E212" s="19"/>
      <c r="F212" s="19"/>
      <c r="G212" s="20"/>
      <c r="H212" s="19"/>
      <c r="I212" s="19"/>
      <c r="J212" s="20"/>
      <c r="K212" s="19"/>
      <c r="L212" s="19"/>
    </row>
    <row r="213" spans="1:12">
      <c r="A213" s="19"/>
      <c r="B213" s="31"/>
      <c r="C213" s="31"/>
      <c r="D213" s="19"/>
      <c r="E213" s="19"/>
      <c r="F213" s="19"/>
      <c r="G213" s="20"/>
      <c r="H213" s="19"/>
      <c r="I213" s="19"/>
      <c r="J213" s="20"/>
      <c r="K213" s="19"/>
      <c r="L213" s="19"/>
    </row>
    <row r="214" spans="1:12">
      <c r="A214" s="19"/>
      <c r="B214" s="31"/>
      <c r="C214" s="31"/>
      <c r="D214" s="19"/>
      <c r="E214" s="19"/>
      <c r="F214" s="19"/>
      <c r="G214" s="20"/>
      <c r="H214" s="19"/>
      <c r="I214" s="19"/>
      <c r="J214" s="20"/>
      <c r="K214" s="19"/>
      <c r="L214" s="19"/>
    </row>
    <row r="215" spans="1:12">
      <c r="A215" s="19"/>
      <c r="B215" s="31"/>
      <c r="C215" s="31"/>
      <c r="D215" s="19"/>
      <c r="E215" s="19"/>
      <c r="F215" s="19"/>
      <c r="G215" s="20"/>
      <c r="H215" s="19"/>
      <c r="I215" s="19"/>
      <c r="J215" s="20"/>
      <c r="K215" s="19"/>
      <c r="L215" s="19"/>
    </row>
    <row r="216" spans="1:12">
      <c r="A216" s="19"/>
      <c r="B216" s="31"/>
      <c r="C216" s="31"/>
      <c r="D216" s="19"/>
      <c r="E216" s="19"/>
      <c r="F216" s="19"/>
      <c r="G216" s="20"/>
      <c r="H216" s="19"/>
      <c r="I216" s="19"/>
      <c r="J216" s="20"/>
      <c r="K216" s="19"/>
      <c r="L216" s="19"/>
    </row>
    <row r="217" spans="1:12">
      <c r="A217" s="19"/>
      <c r="B217" s="31"/>
      <c r="C217" s="31"/>
      <c r="D217" s="19"/>
      <c r="E217" s="19"/>
      <c r="F217" s="19"/>
      <c r="G217" s="20"/>
      <c r="H217" s="19"/>
      <c r="I217" s="19"/>
      <c r="J217" s="20"/>
      <c r="K217" s="19"/>
      <c r="L217" s="19"/>
    </row>
    <row r="218" spans="1:12">
      <c r="A218" s="19"/>
      <c r="B218" s="31"/>
      <c r="C218" s="31"/>
      <c r="D218" s="19"/>
      <c r="E218" s="19"/>
      <c r="F218" s="19"/>
      <c r="G218" s="20"/>
      <c r="H218" s="19"/>
      <c r="I218" s="19"/>
      <c r="J218" s="20"/>
      <c r="K218" s="19"/>
      <c r="L218" s="19"/>
    </row>
    <row r="219" spans="1:12">
      <c r="A219" s="19"/>
      <c r="B219" s="31"/>
      <c r="C219" s="31"/>
      <c r="D219" s="19"/>
      <c r="E219" s="19"/>
      <c r="F219" s="19"/>
      <c r="G219" s="20"/>
      <c r="H219" s="19"/>
      <c r="I219" s="19"/>
      <c r="J219" s="20"/>
      <c r="K219" s="19"/>
      <c r="L219" s="19"/>
    </row>
    <row r="220" spans="1:12">
      <c r="A220" s="19"/>
      <c r="B220" s="31"/>
      <c r="C220" s="31"/>
      <c r="D220" s="19"/>
      <c r="E220" s="19"/>
      <c r="F220" s="19"/>
      <c r="G220" s="20"/>
      <c r="H220" s="19"/>
      <c r="I220" s="19"/>
      <c r="J220" s="20"/>
      <c r="K220" s="19"/>
      <c r="L220" s="19"/>
    </row>
    <row r="221" spans="1:12">
      <c r="A221" s="19"/>
      <c r="B221" s="31"/>
      <c r="C221" s="31"/>
      <c r="D221" s="19"/>
      <c r="E221" s="19"/>
      <c r="F221" s="19"/>
      <c r="G221" s="20"/>
      <c r="H221" s="19"/>
      <c r="I221" s="19"/>
      <c r="J221" s="20"/>
      <c r="K221" s="19"/>
      <c r="L221" s="19"/>
    </row>
    <row r="222" spans="1:12">
      <c r="A222" s="19"/>
      <c r="B222" s="31"/>
      <c r="C222" s="31"/>
      <c r="D222" s="19"/>
      <c r="E222" s="19"/>
      <c r="F222" s="19"/>
      <c r="G222" s="20"/>
      <c r="H222" s="19"/>
      <c r="I222" s="19"/>
      <c r="J222" s="20"/>
      <c r="K222" s="19"/>
      <c r="L222" s="19"/>
    </row>
    <row r="223" spans="1:12">
      <c r="A223" s="19"/>
      <c r="B223" s="31"/>
      <c r="C223" s="31"/>
      <c r="D223" s="19"/>
      <c r="E223" s="19"/>
      <c r="F223" s="19"/>
      <c r="G223" s="20"/>
      <c r="H223" s="19"/>
      <c r="I223" s="19"/>
      <c r="J223" s="20"/>
      <c r="K223" s="19"/>
      <c r="L223" s="19"/>
    </row>
    <row r="224" spans="1:12">
      <c r="A224" s="19"/>
      <c r="B224" s="31"/>
      <c r="C224" s="31"/>
      <c r="D224" s="19"/>
      <c r="E224" s="19"/>
      <c r="F224" s="19"/>
      <c r="G224" s="20"/>
      <c r="H224" s="19"/>
      <c r="I224" s="19"/>
      <c r="J224" s="20"/>
      <c r="K224" s="19"/>
      <c r="L224" s="19"/>
    </row>
    <row r="225" spans="1:12">
      <c r="A225" s="19"/>
      <c r="B225" s="31"/>
      <c r="C225" s="31"/>
      <c r="D225" s="19"/>
      <c r="E225" s="19"/>
      <c r="F225" s="19"/>
      <c r="G225" s="20"/>
      <c r="H225" s="19"/>
      <c r="I225" s="19"/>
      <c r="J225" s="20"/>
      <c r="K225" s="19"/>
      <c r="L225" s="19"/>
    </row>
    <row r="226" spans="1:12">
      <c r="A226" s="19"/>
      <c r="B226" s="31"/>
      <c r="C226" s="31"/>
      <c r="D226" s="19"/>
      <c r="E226" s="19"/>
      <c r="F226" s="19"/>
      <c r="G226" s="20"/>
      <c r="H226" s="19"/>
      <c r="I226" s="19"/>
      <c r="J226" s="20"/>
      <c r="K226" s="19"/>
      <c r="L226" s="19"/>
    </row>
    <row r="227" spans="1:12">
      <c r="A227" s="19"/>
      <c r="B227" s="31"/>
      <c r="C227" s="31"/>
      <c r="D227" s="19"/>
      <c r="E227" s="19"/>
      <c r="F227" s="19"/>
      <c r="G227" s="20"/>
      <c r="H227" s="19"/>
      <c r="I227" s="19"/>
      <c r="J227" s="20"/>
      <c r="K227" s="19"/>
      <c r="L227" s="19"/>
    </row>
    <row r="228" spans="1:12">
      <c r="A228" s="19"/>
      <c r="B228" s="31"/>
      <c r="C228" s="31"/>
      <c r="D228" s="19"/>
      <c r="E228" s="19"/>
      <c r="F228" s="19"/>
      <c r="G228" s="20"/>
      <c r="H228" s="19"/>
      <c r="I228" s="19"/>
      <c r="J228" s="20"/>
      <c r="K228" s="19"/>
      <c r="L228" s="19"/>
    </row>
    <row r="229" spans="1:12">
      <c r="A229" s="19"/>
      <c r="B229" s="31"/>
      <c r="C229" s="31"/>
      <c r="D229" s="19"/>
      <c r="E229" s="19"/>
      <c r="F229" s="19"/>
      <c r="G229" s="20"/>
      <c r="H229" s="19"/>
      <c r="I229" s="19"/>
      <c r="J229" s="20"/>
      <c r="K229" s="19"/>
      <c r="L229" s="19"/>
    </row>
    <row r="230" spans="1:12">
      <c r="A230" s="19"/>
      <c r="B230" s="31"/>
      <c r="C230" s="31"/>
      <c r="D230" s="19"/>
      <c r="E230" s="19"/>
      <c r="F230" s="19"/>
      <c r="G230" s="20"/>
      <c r="H230" s="19"/>
      <c r="I230" s="19"/>
      <c r="J230" s="20"/>
      <c r="K230" s="19"/>
      <c r="L230" s="19"/>
    </row>
    <row r="231" spans="1:12">
      <c r="A231" s="19"/>
      <c r="B231" s="31"/>
      <c r="C231" s="31"/>
      <c r="D231" s="19"/>
      <c r="E231" s="19"/>
      <c r="F231" s="19"/>
      <c r="G231" s="20"/>
      <c r="H231" s="19"/>
      <c r="I231" s="19"/>
      <c r="J231" s="20"/>
      <c r="K231" s="19"/>
      <c r="L231" s="19"/>
    </row>
    <row r="232" spans="1:12">
      <c r="A232" s="19"/>
      <c r="B232" s="31"/>
      <c r="C232" s="31"/>
      <c r="D232" s="19"/>
      <c r="E232" s="19"/>
      <c r="F232" s="19"/>
      <c r="G232" s="20"/>
      <c r="H232" s="19"/>
      <c r="I232" s="19"/>
      <c r="J232" s="20"/>
      <c r="K232" s="19"/>
      <c r="L232" s="19"/>
    </row>
    <row r="233" spans="1:12">
      <c r="A233" s="19"/>
      <c r="B233" s="31"/>
      <c r="C233" s="31"/>
      <c r="D233" s="19"/>
      <c r="E233" s="19"/>
      <c r="F233" s="19"/>
      <c r="G233" s="20"/>
      <c r="H233" s="19"/>
      <c r="I233" s="19"/>
      <c r="J233" s="20"/>
      <c r="K233" s="19"/>
      <c r="L233" s="19"/>
    </row>
    <row r="234" spans="1:12">
      <c r="A234" s="19"/>
      <c r="B234" s="31"/>
      <c r="C234" s="31"/>
      <c r="D234" s="19"/>
      <c r="E234" s="19"/>
      <c r="F234" s="19"/>
      <c r="G234" s="20"/>
      <c r="H234" s="19"/>
      <c r="I234" s="19"/>
      <c r="J234" s="20"/>
      <c r="K234" s="19"/>
      <c r="L234" s="19"/>
    </row>
    <row r="235" spans="1:12">
      <c r="A235" s="19"/>
      <c r="B235" s="31"/>
      <c r="C235" s="31"/>
      <c r="D235" s="19"/>
      <c r="E235" s="19"/>
      <c r="F235" s="19"/>
      <c r="G235" s="20"/>
      <c r="H235" s="19"/>
      <c r="I235" s="19"/>
      <c r="J235" s="20"/>
      <c r="K235" s="19"/>
      <c r="L235" s="19"/>
    </row>
    <row r="236" spans="1:12">
      <c r="A236" s="19"/>
      <c r="B236" s="31"/>
      <c r="C236" s="31"/>
      <c r="D236" s="19"/>
      <c r="E236" s="19"/>
      <c r="F236" s="19"/>
      <c r="G236" s="20"/>
      <c r="H236" s="19"/>
      <c r="I236" s="19"/>
      <c r="J236" s="20"/>
      <c r="K236" s="19"/>
      <c r="L236" s="19"/>
    </row>
    <row r="237" spans="1:12">
      <c r="A237" s="19"/>
      <c r="B237" s="31"/>
      <c r="C237" s="31"/>
      <c r="D237" s="19"/>
      <c r="E237" s="19"/>
      <c r="F237" s="19"/>
      <c r="G237" s="20"/>
      <c r="H237" s="19"/>
      <c r="I237" s="19"/>
      <c r="J237" s="20"/>
      <c r="K237" s="19"/>
      <c r="L237" s="19"/>
    </row>
    <row r="238" spans="1:12">
      <c r="A238" s="19"/>
      <c r="B238" s="31"/>
      <c r="C238" s="31"/>
      <c r="D238" s="19"/>
      <c r="E238" s="19"/>
      <c r="F238" s="19"/>
      <c r="G238" s="20"/>
      <c r="H238" s="19"/>
      <c r="I238" s="19"/>
      <c r="J238" s="20"/>
      <c r="K238" s="19"/>
      <c r="L238" s="19"/>
    </row>
    <row r="239" spans="1:12">
      <c r="A239" s="19"/>
      <c r="B239" s="31"/>
      <c r="C239" s="31"/>
      <c r="D239" s="19"/>
      <c r="E239" s="19"/>
      <c r="F239" s="19"/>
      <c r="G239" s="20"/>
      <c r="H239" s="19"/>
      <c r="I239" s="19"/>
      <c r="J239" s="20"/>
      <c r="K239" s="19"/>
      <c r="L239" s="19"/>
    </row>
    <row r="240" spans="1:12">
      <c r="A240" s="19"/>
      <c r="B240" s="31"/>
      <c r="C240" s="31"/>
      <c r="D240" s="19"/>
      <c r="E240" s="19"/>
      <c r="F240" s="19"/>
      <c r="G240" s="20"/>
      <c r="H240" s="19"/>
      <c r="I240" s="19"/>
      <c r="J240" s="20"/>
      <c r="K240" s="19"/>
      <c r="L240" s="19"/>
    </row>
    <row r="241" spans="1:12">
      <c r="A241" s="19"/>
      <c r="B241" s="31"/>
      <c r="C241" s="31"/>
      <c r="D241" s="19"/>
      <c r="E241" s="19"/>
      <c r="F241" s="19"/>
      <c r="G241" s="20"/>
      <c r="H241" s="19"/>
      <c r="I241" s="19"/>
      <c r="J241" s="20"/>
      <c r="K241" s="19"/>
      <c r="L241" s="19"/>
    </row>
    <row r="242" spans="1:12">
      <c r="A242" s="19"/>
      <c r="B242" s="31"/>
      <c r="C242" s="31"/>
      <c r="D242" s="19"/>
      <c r="E242" s="19"/>
      <c r="F242" s="19"/>
      <c r="G242" s="20"/>
      <c r="H242" s="19"/>
      <c r="I242" s="19"/>
      <c r="J242" s="20"/>
      <c r="K242" s="19"/>
      <c r="L242" s="19"/>
    </row>
    <row r="243" spans="1:12">
      <c r="A243" s="19"/>
      <c r="B243" s="31"/>
      <c r="C243" s="31"/>
      <c r="D243" s="19"/>
      <c r="E243" s="19"/>
      <c r="F243" s="19"/>
      <c r="G243" s="20"/>
      <c r="H243" s="19"/>
      <c r="I243" s="19"/>
      <c r="J243" s="20"/>
      <c r="K243" s="19"/>
      <c r="L243" s="19"/>
    </row>
    <row r="244" spans="1:12">
      <c r="A244" s="19"/>
      <c r="B244" s="31"/>
      <c r="C244" s="31"/>
      <c r="D244" s="19"/>
      <c r="E244" s="19"/>
      <c r="F244" s="19"/>
      <c r="G244" s="20"/>
      <c r="H244" s="19"/>
      <c r="I244" s="19"/>
      <c r="J244" s="20"/>
      <c r="K244" s="19"/>
      <c r="L244" s="19"/>
    </row>
    <row r="245" spans="1:12">
      <c r="A245" s="19"/>
      <c r="B245" s="31"/>
      <c r="C245" s="31"/>
      <c r="D245" s="19"/>
      <c r="E245" s="19"/>
      <c r="F245" s="19"/>
      <c r="G245" s="20"/>
      <c r="H245" s="19"/>
      <c r="I245" s="19"/>
      <c r="J245" s="20"/>
      <c r="K245" s="19"/>
      <c r="L245" s="19"/>
    </row>
    <row r="246" spans="1:12">
      <c r="A246" s="19"/>
      <c r="B246" s="31"/>
      <c r="C246" s="31"/>
      <c r="D246" s="19"/>
      <c r="E246" s="19"/>
      <c r="F246" s="19"/>
      <c r="G246" s="20"/>
      <c r="H246" s="19"/>
      <c r="I246" s="19"/>
      <c r="J246" s="20"/>
      <c r="K246" s="19"/>
      <c r="L246" s="19"/>
    </row>
    <row r="247" spans="1:12">
      <c r="A247" s="19"/>
      <c r="B247" s="31"/>
      <c r="C247" s="31"/>
      <c r="D247" s="19"/>
      <c r="E247" s="19"/>
      <c r="F247" s="19"/>
      <c r="G247" s="20"/>
      <c r="H247" s="19"/>
      <c r="I247" s="19"/>
      <c r="J247" s="20"/>
      <c r="K247" s="19"/>
      <c r="L247" s="19"/>
    </row>
    <row r="248" spans="1:12">
      <c r="A248" s="19"/>
      <c r="B248" s="31"/>
      <c r="C248" s="31"/>
      <c r="D248" s="19"/>
      <c r="E248" s="19"/>
      <c r="F248" s="19"/>
      <c r="G248" s="20"/>
      <c r="H248" s="19"/>
      <c r="I248" s="19"/>
      <c r="J248" s="20"/>
      <c r="K248" s="19"/>
      <c r="L248" s="19"/>
    </row>
    <row r="249" spans="1:12">
      <c r="A249" s="19"/>
      <c r="B249" s="31"/>
      <c r="C249" s="31"/>
      <c r="D249" s="19"/>
      <c r="E249" s="19"/>
      <c r="F249" s="19"/>
      <c r="G249" s="20"/>
      <c r="H249" s="19"/>
      <c r="I249" s="19"/>
      <c r="J249" s="20"/>
      <c r="K249" s="19"/>
      <c r="L249" s="19"/>
    </row>
    <row r="250" spans="1:12">
      <c r="A250" s="19"/>
      <c r="B250" s="31"/>
      <c r="C250" s="31"/>
      <c r="D250" s="19"/>
      <c r="E250" s="19"/>
      <c r="F250" s="19"/>
      <c r="G250" s="20"/>
      <c r="H250" s="19"/>
      <c r="I250" s="19"/>
      <c r="J250" s="20"/>
      <c r="K250" s="19"/>
      <c r="L250" s="19"/>
    </row>
    <row r="251" spans="1:12">
      <c r="A251" s="19"/>
      <c r="B251" s="31"/>
      <c r="C251" s="31"/>
      <c r="D251" s="19"/>
      <c r="E251" s="19"/>
      <c r="F251" s="19"/>
      <c r="G251" s="20"/>
      <c r="H251" s="19"/>
      <c r="I251" s="19"/>
      <c r="J251" s="20"/>
      <c r="K251" s="19"/>
      <c r="L251" s="19"/>
    </row>
    <row r="252" spans="1:12">
      <c r="A252" s="19"/>
      <c r="B252" s="31"/>
      <c r="C252" s="31"/>
      <c r="D252" s="19"/>
      <c r="E252" s="19"/>
      <c r="F252" s="19"/>
      <c r="G252" s="20"/>
      <c r="H252" s="19"/>
      <c r="I252" s="19"/>
      <c r="J252" s="20"/>
      <c r="K252" s="19"/>
      <c r="L252" s="19"/>
    </row>
    <row r="253" spans="1:12">
      <c r="A253" s="19"/>
      <c r="B253" s="31"/>
      <c r="C253" s="31"/>
      <c r="D253" s="19"/>
      <c r="E253" s="19"/>
      <c r="F253" s="19"/>
      <c r="G253" s="20"/>
      <c r="H253" s="19"/>
      <c r="I253" s="19"/>
      <c r="J253" s="20"/>
      <c r="K253" s="19"/>
      <c r="L253" s="19"/>
    </row>
    <row r="254" spans="1:12">
      <c r="A254" s="19"/>
      <c r="B254" s="31"/>
      <c r="C254" s="31"/>
      <c r="D254" s="19"/>
      <c r="E254" s="19"/>
      <c r="F254" s="19"/>
      <c r="G254" s="20"/>
      <c r="H254" s="19"/>
      <c r="I254" s="19"/>
      <c r="J254" s="20"/>
      <c r="K254" s="19"/>
      <c r="L254" s="19"/>
    </row>
    <row r="255" spans="1:12">
      <c r="A255" s="19"/>
      <c r="B255" s="31"/>
      <c r="C255" s="31"/>
      <c r="D255" s="19"/>
      <c r="E255" s="19"/>
      <c r="F255" s="19"/>
      <c r="G255" s="20"/>
      <c r="H255" s="19"/>
      <c r="I255" s="19"/>
      <c r="J255" s="20"/>
      <c r="K255" s="19"/>
      <c r="L255" s="19"/>
    </row>
    <row r="256" spans="1:12">
      <c r="A256" s="19"/>
      <c r="B256" s="31"/>
      <c r="C256" s="31"/>
      <c r="D256" s="19"/>
      <c r="E256" s="19"/>
      <c r="F256" s="19"/>
      <c r="G256" s="20"/>
      <c r="H256" s="19"/>
      <c r="I256" s="19"/>
      <c r="J256" s="20"/>
      <c r="K256" s="19"/>
      <c r="L256" s="19"/>
    </row>
    <row r="257" spans="1:12">
      <c r="A257" s="19"/>
      <c r="B257" s="31"/>
      <c r="C257" s="31"/>
      <c r="D257" s="19"/>
      <c r="E257" s="19"/>
      <c r="F257" s="19"/>
      <c r="G257" s="20"/>
      <c r="H257" s="19"/>
      <c r="I257" s="19"/>
      <c r="J257" s="20"/>
      <c r="K257" s="19"/>
      <c r="L257" s="19"/>
    </row>
    <row r="258" spans="1:12">
      <c r="A258" s="19"/>
      <c r="B258" s="31"/>
      <c r="C258" s="31"/>
      <c r="D258" s="19"/>
      <c r="E258" s="19"/>
      <c r="F258" s="19"/>
      <c r="G258" s="20"/>
      <c r="H258" s="19"/>
      <c r="I258" s="19"/>
      <c r="J258" s="20"/>
      <c r="K258" s="19"/>
      <c r="L258" s="19"/>
    </row>
    <row r="259" spans="1:12">
      <c r="A259" s="19"/>
      <c r="B259" s="31"/>
      <c r="C259" s="31"/>
      <c r="D259" s="19"/>
      <c r="E259" s="19"/>
      <c r="F259" s="19"/>
      <c r="G259" s="20"/>
      <c r="H259" s="19"/>
      <c r="I259" s="19"/>
      <c r="J259" s="20"/>
      <c r="K259" s="19"/>
      <c r="L259" s="19"/>
    </row>
    <row r="260" spans="1:12">
      <c r="A260" s="19"/>
      <c r="B260" s="31"/>
      <c r="C260" s="31"/>
      <c r="D260" s="19"/>
      <c r="E260" s="19"/>
      <c r="F260" s="19"/>
      <c r="G260" s="20"/>
      <c r="H260" s="19"/>
      <c r="I260" s="19"/>
      <c r="J260" s="20"/>
      <c r="K260" s="19"/>
      <c r="L260" s="19"/>
    </row>
    <row r="261" spans="1:12">
      <c r="A261" s="19"/>
      <c r="B261" s="31"/>
      <c r="C261" s="31"/>
      <c r="D261" s="19"/>
      <c r="E261" s="19"/>
      <c r="F261" s="19"/>
      <c r="G261" s="20"/>
      <c r="H261" s="19"/>
      <c r="I261" s="19"/>
      <c r="J261" s="20"/>
      <c r="K261" s="19"/>
      <c r="L261" s="19"/>
    </row>
    <row r="262" spans="1:12">
      <c r="A262" s="19"/>
      <c r="B262" s="31"/>
      <c r="C262" s="31"/>
      <c r="D262" s="19"/>
      <c r="E262" s="19"/>
      <c r="F262" s="19"/>
      <c r="G262" s="20"/>
      <c r="H262" s="19"/>
      <c r="I262" s="19"/>
      <c r="J262" s="20"/>
      <c r="K262" s="19"/>
      <c r="L262" s="19"/>
    </row>
    <row r="263" spans="1:12">
      <c r="A263" s="19"/>
      <c r="B263" s="31"/>
      <c r="C263" s="31"/>
      <c r="D263" s="19"/>
      <c r="E263" s="19"/>
      <c r="F263" s="19"/>
      <c r="G263" s="20"/>
      <c r="H263" s="19"/>
      <c r="I263" s="19"/>
      <c r="J263" s="20"/>
      <c r="K263" s="19"/>
      <c r="L263" s="19"/>
    </row>
    <row r="264" spans="1:12">
      <c r="A264" s="19"/>
      <c r="B264" s="31"/>
      <c r="C264" s="31"/>
      <c r="D264" s="19"/>
      <c r="E264" s="19"/>
      <c r="F264" s="19"/>
      <c r="G264" s="20"/>
      <c r="H264" s="19"/>
      <c r="I264" s="19"/>
      <c r="J264" s="20"/>
      <c r="K264" s="19"/>
      <c r="L264" s="19"/>
    </row>
    <row r="265" spans="1:12">
      <c r="A265" s="19"/>
      <c r="B265" s="31"/>
      <c r="C265" s="31"/>
      <c r="D265" s="19"/>
      <c r="E265" s="19"/>
      <c r="F265" s="19"/>
      <c r="G265" s="20"/>
      <c r="H265" s="19"/>
      <c r="I265" s="19"/>
      <c r="J265" s="20"/>
      <c r="K265" s="19"/>
      <c r="L265" s="19"/>
    </row>
    <row r="266" spans="1:12">
      <c r="A266" s="19"/>
      <c r="B266" s="31"/>
      <c r="C266" s="31"/>
      <c r="D266" s="19"/>
      <c r="E266" s="19"/>
      <c r="F266" s="19"/>
      <c r="G266" s="20"/>
      <c r="H266" s="19"/>
      <c r="I266" s="19"/>
      <c r="J266" s="20"/>
      <c r="K266" s="19"/>
      <c r="L266" s="19"/>
    </row>
    <row r="267" spans="1:12">
      <c r="A267" s="19"/>
      <c r="B267" s="31"/>
      <c r="C267" s="31"/>
      <c r="D267" s="19"/>
      <c r="E267" s="19"/>
      <c r="F267" s="19"/>
      <c r="G267" s="20"/>
      <c r="H267" s="19"/>
      <c r="I267" s="19"/>
      <c r="J267" s="20"/>
      <c r="K267" s="19"/>
      <c r="L267" s="19"/>
    </row>
    <row r="268" spans="1:12">
      <c r="A268" s="19"/>
      <c r="B268" s="31"/>
      <c r="C268" s="31"/>
      <c r="D268" s="19"/>
      <c r="E268" s="19"/>
      <c r="F268" s="19"/>
      <c r="G268" s="20"/>
      <c r="H268" s="19"/>
      <c r="I268" s="19"/>
      <c r="J268" s="20"/>
      <c r="K268" s="19"/>
      <c r="L268" s="19"/>
    </row>
    <row r="269" spans="1:12">
      <c r="A269" s="19"/>
      <c r="B269" s="31"/>
      <c r="C269" s="31"/>
      <c r="D269" s="19"/>
      <c r="E269" s="19"/>
      <c r="F269" s="19"/>
      <c r="G269" s="20"/>
      <c r="H269" s="19"/>
      <c r="I269" s="19"/>
      <c r="J269" s="20"/>
      <c r="K269" s="19"/>
      <c r="L269" s="19"/>
    </row>
    <row r="270" spans="1:12">
      <c r="A270" s="19"/>
      <c r="B270" s="31"/>
      <c r="C270" s="31"/>
      <c r="D270" s="19"/>
      <c r="E270" s="19"/>
      <c r="F270" s="19"/>
      <c r="G270" s="20"/>
      <c r="H270" s="19"/>
      <c r="I270" s="19"/>
      <c r="J270" s="20"/>
      <c r="K270" s="19"/>
      <c r="L270" s="19"/>
    </row>
    <row r="271" spans="1:12">
      <c r="A271" s="19"/>
      <c r="B271" s="31"/>
      <c r="C271" s="31"/>
      <c r="D271" s="19"/>
      <c r="E271" s="19"/>
      <c r="F271" s="19"/>
      <c r="G271" s="20"/>
      <c r="H271" s="19"/>
      <c r="I271" s="19"/>
      <c r="J271" s="20"/>
      <c r="K271" s="19"/>
      <c r="L271" s="19"/>
    </row>
    <row r="272" spans="1:12">
      <c r="A272" s="19"/>
      <c r="B272" s="31"/>
      <c r="C272" s="31"/>
      <c r="D272" s="19"/>
      <c r="E272" s="19"/>
      <c r="F272" s="19"/>
      <c r="G272" s="20"/>
      <c r="H272" s="19"/>
      <c r="I272" s="19"/>
      <c r="J272" s="20"/>
      <c r="K272" s="19"/>
      <c r="L272" s="19"/>
    </row>
    <row r="273" spans="1:12">
      <c r="A273" s="19"/>
      <c r="B273" s="31"/>
      <c r="C273" s="31"/>
      <c r="D273" s="19"/>
      <c r="E273" s="19"/>
      <c r="F273" s="19"/>
      <c r="G273" s="20"/>
      <c r="H273" s="19"/>
      <c r="I273" s="19"/>
      <c r="J273" s="20"/>
      <c r="K273" s="19"/>
      <c r="L273" s="19"/>
    </row>
    <row r="274" spans="1:12">
      <c r="A274" s="19"/>
      <c r="B274" s="31"/>
      <c r="C274" s="31"/>
      <c r="D274" s="19"/>
      <c r="E274" s="19"/>
      <c r="F274" s="19"/>
      <c r="G274" s="20"/>
      <c r="H274" s="19"/>
      <c r="I274" s="19"/>
      <c r="J274" s="20"/>
      <c r="K274" s="19"/>
      <c r="L274" s="19"/>
    </row>
    <row r="275" spans="1:12">
      <c r="A275" s="19"/>
      <c r="B275" s="31"/>
      <c r="C275" s="31"/>
      <c r="D275" s="19"/>
      <c r="E275" s="19"/>
      <c r="F275" s="19"/>
      <c r="G275" s="20"/>
      <c r="H275" s="19"/>
      <c r="I275" s="19"/>
      <c r="J275" s="20"/>
      <c r="K275" s="19"/>
      <c r="L275" s="19"/>
    </row>
    <row r="276" spans="1:12">
      <c r="A276" s="19"/>
      <c r="B276" s="31"/>
      <c r="C276" s="31"/>
      <c r="D276" s="19"/>
      <c r="E276" s="19"/>
      <c r="F276" s="19"/>
      <c r="G276" s="20"/>
      <c r="H276" s="19"/>
      <c r="I276" s="19"/>
      <c r="J276" s="20"/>
      <c r="K276" s="19"/>
      <c r="L276" s="19"/>
    </row>
    <row r="277" spans="1:12">
      <c r="A277" s="19"/>
      <c r="B277" s="31"/>
      <c r="C277" s="31"/>
      <c r="D277" s="19"/>
      <c r="E277" s="19"/>
      <c r="F277" s="19"/>
      <c r="G277" s="20"/>
      <c r="H277" s="19"/>
      <c r="I277" s="19"/>
      <c r="J277" s="20"/>
      <c r="K277" s="19"/>
      <c r="L277" s="19"/>
    </row>
    <row r="278" spans="1:12">
      <c r="A278" s="19"/>
      <c r="B278" s="31"/>
      <c r="C278" s="31"/>
      <c r="D278" s="19"/>
      <c r="E278" s="19"/>
      <c r="F278" s="19"/>
      <c r="G278" s="20"/>
      <c r="H278" s="19"/>
      <c r="I278" s="19"/>
      <c r="J278" s="20"/>
      <c r="K278" s="19"/>
      <c r="L278" s="19"/>
    </row>
    <row r="279" spans="1:12">
      <c r="A279" s="19"/>
      <c r="B279" s="31"/>
      <c r="C279" s="31"/>
      <c r="D279" s="19"/>
      <c r="E279" s="19"/>
      <c r="F279" s="19"/>
      <c r="G279" s="20"/>
      <c r="H279" s="19"/>
      <c r="I279" s="19"/>
      <c r="J279" s="20"/>
      <c r="K279" s="19"/>
      <c r="L279" s="19"/>
    </row>
    <row r="280" spans="1:12">
      <c r="A280" s="19"/>
      <c r="B280" s="31"/>
      <c r="C280" s="31"/>
      <c r="D280" s="19"/>
      <c r="E280" s="19"/>
      <c r="F280" s="19"/>
      <c r="G280" s="20"/>
      <c r="H280" s="19"/>
      <c r="I280" s="19"/>
      <c r="J280" s="20"/>
      <c r="K280" s="19"/>
      <c r="L280" s="19"/>
    </row>
    <row r="281" spans="1:12">
      <c r="A281" s="19"/>
      <c r="B281" s="31"/>
      <c r="C281" s="31"/>
      <c r="D281" s="19"/>
      <c r="E281" s="19"/>
      <c r="F281" s="19"/>
      <c r="G281" s="20"/>
      <c r="H281" s="19"/>
      <c r="I281" s="19"/>
      <c r="J281" s="20"/>
      <c r="K281" s="19"/>
      <c r="L281" s="19"/>
    </row>
    <row r="282" spans="1:12">
      <c r="A282" s="19"/>
      <c r="B282" s="31"/>
      <c r="C282" s="31"/>
      <c r="D282" s="19"/>
      <c r="E282" s="19"/>
      <c r="F282" s="19"/>
      <c r="G282" s="20"/>
      <c r="H282" s="19"/>
      <c r="I282" s="19"/>
      <c r="J282" s="20"/>
      <c r="K282" s="19"/>
      <c r="L282" s="19"/>
    </row>
    <row r="283" spans="1:12">
      <c r="A283" s="19"/>
      <c r="B283" s="31"/>
      <c r="C283" s="31"/>
      <c r="D283" s="19"/>
      <c r="E283" s="19"/>
      <c r="F283" s="19"/>
      <c r="G283" s="20"/>
      <c r="H283" s="19"/>
      <c r="I283" s="19"/>
      <c r="J283" s="20"/>
      <c r="K283" s="19"/>
      <c r="L283" s="19"/>
    </row>
    <row r="284" spans="1:12">
      <c r="A284" s="19"/>
      <c r="B284" s="31"/>
      <c r="C284" s="31"/>
      <c r="D284" s="19"/>
      <c r="E284" s="19"/>
      <c r="F284" s="19"/>
      <c r="G284" s="20"/>
      <c r="H284" s="19"/>
      <c r="I284" s="19"/>
      <c r="J284" s="20"/>
      <c r="K284" s="19"/>
      <c r="L284" s="19"/>
    </row>
    <row r="285" spans="1:12">
      <c r="A285" s="19"/>
      <c r="B285" s="31"/>
      <c r="C285" s="31"/>
      <c r="D285" s="19"/>
      <c r="E285" s="19"/>
      <c r="F285" s="19"/>
      <c r="G285" s="20"/>
      <c r="H285" s="19"/>
      <c r="I285" s="19"/>
      <c r="J285" s="20"/>
      <c r="K285" s="19"/>
      <c r="L285" s="19"/>
    </row>
    <row r="286" spans="1:12">
      <c r="A286" s="19"/>
      <c r="B286" s="31"/>
      <c r="C286" s="31"/>
      <c r="D286" s="19"/>
      <c r="E286" s="19"/>
      <c r="F286" s="19"/>
      <c r="G286" s="20"/>
      <c r="H286" s="19"/>
      <c r="I286" s="19"/>
      <c r="J286" s="20"/>
      <c r="K286" s="19"/>
      <c r="L286" s="19"/>
    </row>
    <row r="287" spans="1:12">
      <c r="A287" s="19"/>
      <c r="B287" s="31"/>
      <c r="C287" s="31"/>
      <c r="D287" s="19"/>
      <c r="E287" s="19"/>
      <c r="F287" s="19"/>
      <c r="G287" s="20"/>
      <c r="H287" s="19"/>
      <c r="I287" s="19"/>
      <c r="J287" s="20"/>
      <c r="K287" s="19"/>
      <c r="L287" s="19"/>
    </row>
    <row r="288" spans="1:12">
      <c r="A288" s="19"/>
      <c r="B288" s="31"/>
      <c r="C288" s="31"/>
      <c r="D288" s="19"/>
      <c r="E288" s="19"/>
      <c r="F288" s="19"/>
      <c r="G288" s="20"/>
      <c r="H288" s="19"/>
      <c r="I288" s="19"/>
      <c r="J288" s="20"/>
      <c r="K288" s="19"/>
      <c r="L288" s="19"/>
    </row>
    <row r="289" spans="1:12">
      <c r="A289" s="19"/>
      <c r="B289" s="31"/>
      <c r="C289" s="31"/>
      <c r="D289" s="19"/>
      <c r="E289" s="19"/>
      <c r="F289" s="19"/>
      <c r="G289" s="20"/>
      <c r="H289" s="19"/>
      <c r="I289" s="19"/>
      <c r="J289" s="20"/>
      <c r="K289" s="19"/>
      <c r="L289" s="19"/>
    </row>
    <row r="290" spans="1:12">
      <c r="A290" s="19"/>
      <c r="B290" s="31"/>
      <c r="C290" s="31"/>
      <c r="D290" s="19"/>
      <c r="E290" s="19"/>
      <c r="F290" s="19"/>
      <c r="G290" s="20"/>
      <c r="H290" s="19"/>
      <c r="I290" s="19"/>
      <c r="J290" s="20"/>
      <c r="K290" s="19"/>
      <c r="L290" s="19"/>
    </row>
    <row r="291" spans="1:12">
      <c r="A291" s="19"/>
      <c r="B291" s="31"/>
      <c r="C291" s="31"/>
      <c r="D291" s="19"/>
      <c r="E291" s="19"/>
      <c r="F291" s="19"/>
      <c r="G291" s="20"/>
      <c r="H291" s="19"/>
      <c r="I291" s="19"/>
      <c r="J291" s="20"/>
      <c r="K291" s="19"/>
      <c r="L291" s="19"/>
    </row>
    <row r="292" spans="1:12">
      <c r="A292" s="19"/>
      <c r="B292" s="31"/>
      <c r="C292" s="31"/>
      <c r="D292" s="19"/>
      <c r="E292" s="19"/>
      <c r="F292" s="19"/>
      <c r="G292" s="20"/>
      <c r="H292" s="19"/>
      <c r="I292" s="19"/>
      <c r="J292" s="20"/>
      <c r="K292" s="19"/>
      <c r="L292" s="19"/>
    </row>
    <row r="293" spans="1:12">
      <c r="A293" s="19"/>
      <c r="B293" s="31"/>
      <c r="C293" s="31"/>
      <c r="D293" s="19"/>
      <c r="E293" s="19"/>
      <c r="F293" s="19"/>
      <c r="G293" s="20"/>
      <c r="H293" s="19"/>
      <c r="I293" s="19"/>
      <c r="J293" s="20"/>
      <c r="K293" s="19"/>
      <c r="L293" s="19"/>
    </row>
    <row r="294" spans="1:12">
      <c r="A294" s="19"/>
      <c r="B294" s="31"/>
      <c r="C294" s="31"/>
      <c r="D294" s="19"/>
      <c r="E294" s="19"/>
      <c r="F294" s="19"/>
      <c r="G294" s="20"/>
      <c r="H294" s="19"/>
      <c r="I294" s="19"/>
      <c r="J294" s="20"/>
      <c r="K294" s="19"/>
      <c r="L294" s="19"/>
    </row>
    <row r="295" spans="1:12">
      <c r="A295" s="19"/>
      <c r="B295" s="31"/>
      <c r="C295" s="31"/>
      <c r="D295" s="19"/>
      <c r="E295" s="19"/>
      <c r="F295" s="19"/>
      <c r="G295" s="20"/>
      <c r="H295" s="19"/>
      <c r="I295" s="19"/>
      <c r="J295" s="20"/>
      <c r="K295" s="19"/>
      <c r="L295" s="19"/>
    </row>
    <row r="296" spans="1:12">
      <c r="A296" s="19"/>
      <c r="B296" s="31"/>
      <c r="C296" s="31"/>
      <c r="D296" s="19"/>
      <c r="E296" s="19"/>
      <c r="F296" s="19"/>
      <c r="G296" s="20"/>
      <c r="H296" s="19"/>
      <c r="I296" s="19"/>
      <c r="J296" s="20"/>
      <c r="K296" s="19"/>
      <c r="L296" s="19"/>
    </row>
    <row r="297" spans="1:12">
      <c r="A297" s="19"/>
      <c r="B297" s="31"/>
      <c r="C297" s="31"/>
      <c r="D297" s="19"/>
      <c r="E297" s="19"/>
      <c r="F297" s="19"/>
      <c r="G297" s="20"/>
      <c r="H297" s="19"/>
      <c r="I297" s="19"/>
      <c r="J297" s="20"/>
      <c r="K297" s="19"/>
      <c r="L297" s="19"/>
    </row>
    <row r="298" spans="1:12">
      <c r="A298" s="19"/>
      <c r="B298" s="31"/>
      <c r="C298" s="31"/>
      <c r="D298" s="19"/>
      <c r="E298" s="19"/>
      <c r="F298" s="19"/>
      <c r="G298" s="20"/>
      <c r="H298" s="19"/>
      <c r="I298" s="19"/>
      <c r="J298" s="20"/>
      <c r="K298" s="19"/>
      <c r="L298" s="19"/>
    </row>
    <row r="299" spans="1:12">
      <c r="A299" s="19"/>
      <c r="B299" s="31"/>
      <c r="C299" s="31"/>
      <c r="D299" s="19"/>
      <c r="E299" s="19"/>
      <c r="F299" s="19"/>
      <c r="G299" s="20"/>
      <c r="H299" s="19"/>
      <c r="I299" s="19"/>
      <c r="J299" s="20"/>
      <c r="K299" s="19"/>
      <c r="L299" s="19"/>
    </row>
    <row r="300" spans="1:12">
      <c r="A300" s="19"/>
      <c r="B300" s="31"/>
      <c r="C300" s="31"/>
      <c r="D300" s="19"/>
      <c r="E300" s="19"/>
      <c r="F300" s="19"/>
      <c r="G300" s="20"/>
      <c r="H300" s="19"/>
      <c r="I300" s="19"/>
      <c r="J300" s="20"/>
      <c r="K300" s="19"/>
      <c r="L300" s="19"/>
    </row>
    <row r="301" spans="1:12">
      <c r="A301" s="19"/>
      <c r="B301" s="31"/>
      <c r="C301" s="31"/>
      <c r="D301" s="19"/>
      <c r="E301" s="19"/>
      <c r="F301" s="19"/>
      <c r="G301" s="20"/>
      <c r="H301" s="19"/>
      <c r="I301" s="19"/>
      <c r="J301" s="20"/>
      <c r="K301" s="19"/>
      <c r="L301" s="19"/>
    </row>
    <row r="302" spans="1:12">
      <c r="A302" s="19"/>
      <c r="B302" s="31"/>
      <c r="C302" s="31"/>
      <c r="D302" s="19"/>
      <c r="E302" s="19"/>
      <c r="F302" s="19"/>
      <c r="G302" s="20"/>
      <c r="H302" s="19"/>
      <c r="I302" s="19"/>
      <c r="J302" s="20"/>
      <c r="K302" s="19"/>
      <c r="L302" s="19"/>
    </row>
    <row r="303" spans="1:12">
      <c r="A303" s="19"/>
      <c r="B303" s="31"/>
      <c r="C303" s="31"/>
      <c r="D303" s="19"/>
      <c r="E303" s="19"/>
      <c r="F303" s="19"/>
      <c r="G303" s="20"/>
      <c r="H303" s="19"/>
      <c r="I303" s="19"/>
      <c r="J303" s="20"/>
      <c r="K303" s="19"/>
      <c r="L303" s="19"/>
    </row>
    <row r="304" spans="1:12">
      <c r="A304" s="19"/>
      <c r="B304" s="31"/>
      <c r="C304" s="31"/>
      <c r="D304" s="19"/>
      <c r="E304" s="19"/>
      <c r="F304" s="19"/>
      <c r="G304" s="20"/>
      <c r="H304" s="19"/>
      <c r="I304" s="19"/>
      <c r="J304" s="20"/>
      <c r="K304" s="19"/>
      <c r="L304" s="19"/>
    </row>
    <row r="305" spans="1:12">
      <c r="A305" s="19"/>
      <c r="B305" s="31"/>
      <c r="C305" s="31"/>
      <c r="D305" s="19"/>
      <c r="E305" s="19"/>
      <c r="F305" s="19"/>
      <c r="G305" s="20"/>
      <c r="H305" s="19"/>
      <c r="I305" s="19"/>
      <c r="J305" s="20"/>
      <c r="K305" s="19"/>
      <c r="L305" s="19"/>
    </row>
    <row r="306" spans="1:12">
      <c r="A306" s="19"/>
      <c r="B306" s="31"/>
      <c r="C306" s="31"/>
      <c r="D306" s="19"/>
      <c r="E306" s="19"/>
      <c r="F306" s="19"/>
      <c r="G306" s="20"/>
      <c r="H306" s="19"/>
      <c r="I306" s="19"/>
      <c r="J306" s="20"/>
      <c r="K306" s="19"/>
      <c r="L306" s="19"/>
    </row>
    <row r="307" spans="1:12">
      <c r="A307" s="19"/>
      <c r="B307" s="31"/>
      <c r="C307" s="31"/>
      <c r="D307" s="19"/>
      <c r="E307" s="19"/>
      <c r="F307" s="19"/>
      <c r="G307" s="20"/>
      <c r="H307" s="19"/>
      <c r="I307" s="19"/>
      <c r="J307" s="20"/>
      <c r="K307" s="19"/>
      <c r="L307" s="19"/>
    </row>
    <row r="308" spans="1:12">
      <c r="A308" s="19"/>
      <c r="B308" s="31"/>
      <c r="C308" s="31"/>
      <c r="D308" s="19"/>
      <c r="E308" s="19"/>
      <c r="F308" s="19"/>
      <c r="G308" s="20"/>
      <c r="H308" s="19"/>
      <c r="I308" s="19"/>
      <c r="J308" s="20"/>
      <c r="K308" s="19"/>
      <c r="L308" s="19"/>
    </row>
    <row r="309" spans="1:12">
      <c r="A309" s="19"/>
      <c r="B309" s="31"/>
      <c r="C309" s="31"/>
      <c r="D309" s="19"/>
      <c r="E309" s="19"/>
      <c r="F309" s="19"/>
      <c r="G309" s="20"/>
      <c r="H309" s="19"/>
      <c r="I309" s="19"/>
      <c r="J309" s="20"/>
      <c r="K309" s="19"/>
      <c r="L309" s="19"/>
    </row>
    <row r="310" spans="1:12">
      <c r="A310" s="19"/>
      <c r="B310" s="31"/>
      <c r="C310" s="31"/>
      <c r="D310" s="19"/>
      <c r="E310" s="19"/>
      <c r="F310" s="19"/>
      <c r="G310" s="20"/>
      <c r="H310" s="19"/>
      <c r="I310" s="19"/>
      <c r="J310" s="20"/>
      <c r="K310" s="19"/>
      <c r="L310" s="19"/>
    </row>
    <row r="311" spans="1:12">
      <c r="A311" s="19"/>
      <c r="B311" s="31"/>
      <c r="C311" s="31"/>
      <c r="D311" s="19"/>
      <c r="E311" s="19"/>
      <c r="F311" s="19"/>
      <c r="G311" s="20"/>
      <c r="H311" s="19"/>
      <c r="I311" s="19"/>
      <c r="J311" s="20"/>
      <c r="K311" s="19"/>
      <c r="L311" s="19"/>
    </row>
    <row r="312" spans="1:12">
      <c r="A312" s="19"/>
      <c r="B312" s="31"/>
      <c r="C312" s="31"/>
      <c r="D312" s="19"/>
      <c r="E312" s="19"/>
      <c r="F312" s="19"/>
      <c r="G312" s="20"/>
      <c r="H312" s="19"/>
      <c r="I312" s="19"/>
      <c r="J312" s="20"/>
      <c r="K312" s="19"/>
      <c r="L312" s="19"/>
    </row>
    <row r="313" spans="1:12">
      <c r="A313" s="19"/>
      <c r="B313" s="31"/>
      <c r="C313" s="31"/>
      <c r="D313" s="19"/>
      <c r="E313" s="19"/>
      <c r="F313" s="19"/>
      <c r="G313" s="20"/>
      <c r="H313" s="19"/>
      <c r="I313" s="19"/>
      <c r="J313" s="20"/>
      <c r="K313" s="19"/>
      <c r="L313" s="19"/>
    </row>
    <row r="314" spans="1:12">
      <c r="A314" s="19"/>
      <c r="B314" s="31"/>
      <c r="C314" s="31"/>
      <c r="D314" s="19"/>
      <c r="E314" s="19"/>
      <c r="F314" s="19"/>
      <c r="G314" s="20"/>
      <c r="H314" s="19"/>
      <c r="I314" s="19"/>
      <c r="J314" s="20"/>
      <c r="K314" s="19"/>
      <c r="L314" s="19"/>
    </row>
    <row r="315" spans="1:12">
      <c r="A315" s="19"/>
      <c r="B315" s="31"/>
      <c r="C315" s="31"/>
      <c r="D315" s="19"/>
      <c r="E315" s="19"/>
      <c r="F315" s="19"/>
      <c r="G315" s="20"/>
      <c r="H315" s="19"/>
      <c r="I315" s="19"/>
      <c r="J315" s="20"/>
      <c r="K315" s="19"/>
      <c r="L315" s="19"/>
    </row>
    <row r="316" spans="1:12">
      <c r="A316" s="19"/>
      <c r="B316" s="31"/>
      <c r="C316" s="31"/>
      <c r="D316" s="19"/>
      <c r="E316" s="19"/>
      <c r="F316" s="19"/>
      <c r="G316" s="20"/>
      <c r="H316" s="19"/>
      <c r="I316" s="19"/>
      <c r="J316" s="20"/>
      <c r="K316" s="19"/>
      <c r="L316" s="19"/>
    </row>
    <row r="317" spans="1:12">
      <c r="A317" s="19"/>
      <c r="B317" s="31"/>
      <c r="C317" s="31"/>
      <c r="D317" s="19"/>
      <c r="E317" s="19"/>
      <c r="F317" s="19"/>
      <c r="G317" s="20"/>
      <c r="H317" s="19"/>
      <c r="I317" s="19"/>
      <c r="J317" s="20"/>
      <c r="K317" s="19"/>
      <c r="L317" s="19"/>
    </row>
    <row r="318" spans="1:12">
      <c r="A318" s="19"/>
      <c r="B318" s="31"/>
      <c r="C318" s="31"/>
      <c r="D318" s="19"/>
      <c r="E318" s="19"/>
      <c r="F318" s="19"/>
      <c r="G318" s="20"/>
      <c r="H318" s="19"/>
      <c r="I318" s="19"/>
      <c r="J318" s="20"/>
      <c r="K318" s="19"/>
      <c r="L318" s="19"/>
    </row>
    <row r="319" spans="1:12">
      <c r="A319" s="19"/>
      <c r="B319" s="31"/>
      <c r="C319" s="31"/>
      <c r="D319" s="19"/>
      <c r="E319" s="19"/>
      <c r="F319" s="19"/>
      <c r="G319" s="20"/>
      <c r="H319" s="19"/>
      <c r="I319" s="19"/>
      <c r="J319" s="20"/>
      <c r="K319" s="19"/>
      <c r="L319" s="19"/>
    </row>
    <row r="320" spans="1:12">
      <c r="A320" s="19"/>
      <c r="B320" s="31"/>
      <c r="C320" s="31"/>
      <c r="D320" s="19"/>
      <c r="E320" s="19"/>
      <c r="F320" s="19"/>
      <c r="G320" s="20"/>
      <c r="H320" s="19"/>
      <c r="I320" s="19"/>
      <c r="J320" s="20"/>
      <c r="K320" s="19"/>
      <c r="L320" s="19"/>
    </row>
    <row r="321" spans="1:12">
      <c r="A321" s="19"/>
      <c r="B321" s="31"/>
      <c r="C321" s="31"/>
      <c r="D321" s="19"/>
      <c r="E321" s="19"/>
      <c r="F321" s="19"/>
      <c r="G321" s="20"/>
      <c r="H321" s="19"/>
      <c r="I321" s="19"/>
      <c r="J321" s="20"/>
      <c r="K321" s="19"/>
      <c r="L321" s="19"/>
    </row>
  </sheetData>
  <mergeCells count="4">
    <mergeCell ref="E1:G1"/>
    <mergeCell ref="A1:D1"/>
    <mergeCell ref="H1:J1"/>
    <mergeCell ref="A2:B2"/>
  </mergeCells>
  <conditionalFormatting sqref="G2 J2 J4:J79">
    <cfRule type="cellIs" dxfId="47" priority="12" stopIfTrue="1" operator="lessThanOrEqual">
      <formula>-0.1</formula>
    </cfRule>
    <cfRule type="expression" dxfId="46" priority="13">
      <formula>AND(ISNUMBER(G2), G2&gt;=0.1)</formula>
    </cfRule>
  </conditionalFormatting>
  <conditionalFormatting sqref="G4">
    <cfRule type="cellIs" dxfId="45" priority="3" stopIfTrue="1" operator="lessThanOrEqual">
      <formula>-0.1</formula>
    </cfRule>
    <cfRule type="expression" dxfId="44" priority="4">
      <formula>AND(ISNUMBER(G4), G4&gt;=0.1)</formula>
    </cfRule>
  </conditionalFormatting>
  <conditionalFormatting sqref="G6">
    <cfRule type="cellIs" dxfId="43" priority="1" stopIfTrue="1" operator="lessThanOrEqual">
      <formula>-0.1</formula>
    </cfRule>
    <cfRule type="expression" dxfId="42" priority="2">
      <formula>AND(ISNUMBER(G6), G6&gt;=0.1)</formula>
    </cfRule>
  </conditionalFormatting>
  <conditionalFormatting sqref="G10 G12 G14 G16 G18 G20 G22 G24 G26 G28 G30 G32 G34 G36 G38 G40 G42 G44 G46:G79">
    <cfRule type="cellIs" dxfId="41" priority="5" stopIfTrue="1" operator="lessThanOrEqual">
      <formula>-0.1</formula>
    </cfRule>
    <cfRule type="expression" dxfId="40" priority="6">
      <formula>AND(ISNUMBER(G10), G10&gt;=0.1)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6" activePane="bottomRight" state="frozen"/>
      <selection pane="bottomRight" activeCell="W10" sqref="W10"/>
      <selection pane="bottomLeft" activeCell="J4" activeCellId="3" sqref="C4:C10 D4:D10 G4:G10 J4:Q10"/>
      <selection pane="topRight" activeCell="J4" activeCellId="3" sqref="C4:C10 D4:D10 G4:G10 J4:Q10"/>
    </sheetView>
  </sheetViews>
  <sheetFormatPr defaultRowHeight="13.5"/>
  <cols>
    <col min="1" max="1" width="35.85546875" bestFit="1" customWidth="1"/>
    <col min="2" max="2" width="8.42578125" style="32"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4" ht="19.5" customHeight="1">
      <c r="A1" s="111" t="str" cm="1">
        <f t="array" ref="A1">portfolio</f>
        <v>GoodFinch</v>
      </c>
      <c r="B1" s="111"/>
      <c r="C1" s="111"/>
      <c r="D1" s="112" t="s">
        <v>23</v>
      </c>
      <c r="E1" s="112"/>
      <c r="F1" s="112"/>
      <c r="G1" s="110" t="s">
        <v>24</v>
      </c>
      <c r="H1" s="110"/>
      <c r="I1" s="110"/>
      <c r="J1" s="4"/>
      <c r="K1" s="4"/>
    </row>
    <row r="2" spans="1:14" ht="19.5" customHeight="1">
      <c r="A2" s="113" t="s">
        <v>2</v>
      </c>
      <c r="B2" s="113"/>
      <c r="C2" s="5">
        <f>SUM(C4:C80)</f>
        <v>0</v>
      </c>
      <c r="D2" s="5">
        <f>SUM(D4:D80)</f>
        <v>0</v>
      </c>
      <c r="E2" s="5">
        <f>C2-D2</f>
        <v>0</v>
      </c>
      <c r="F2" s="6">
        <f>IFERROR(E2/D2, 0)</f>
        <v>0</v>
      </c>
      <c r="G2" s="5">
        <f>SUM(G4:G80)</f>
        <v>0</v>
      </c>
      <c r="H2" s="7">
        <f>C2-G2</f>
        <v>0</v>
      </c>
      <c r="I2" s="6">
        <f>IFERROR(H2/G2, 0)</f>
        <v>0</v>
      </c>
      <c r="J2" s="24"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1" t="s">
        <v>5</v>
      </c>
      <c r="D3" s="33" t="s">
        <v>6</v>
      </c>
      <c r="E3" s="33" t="s">
        <v>7</v>
      </c>
      <c r="F3" s="34" t="s">
        <v>8</v>
      </c>
      <c r="G3" s="35" t="s">
        <v>9</v>
      </c>
      <c r="H3" s="36" t="s">
        <v>7</v>
      </c>
      <c r="I3" s="37" t="s">
        <v>8</v>
      </c>
      <c r="J3" s="23" t="s">
        <v>21</v>
      </c>
      <c r="K3" s="23" t="s">
        <v>22</v>
      </c>
    </row>
    <row r="4" spans="1:14" ht="57.6" customHeight="1">
      <c r="A4" s="65" t="str" cm="1">
        <f t="array" ref="A4:A45">Sites[Site]</f>
        <v>AZ: Tempe - ASU - Farmer</v>
      </c>
      <c r="B4" s="27" t="str" cm="1">
        <f t="array" ref="B4:B45">Sites[State]</f>
        <v>AZ</v>
      </c>
      <c r="C4" s="22"/>
      <c r="D4" s="12"/>
      <c r="E4" s="12" t="str">
        <f>IF(AND(ISNUMBER(C4),ISNUMBER(D4)), C4-D4, "")</f>
        <v/>
      </c>
      <c r="F4" s="13" t="str">
        <f>IFERROR(E4/D4, "")</f>
        <v/>
      </c>
      <c r="G4" s="14"/>
      <c r="H4" s="14" t="str">
        <f>IF(AND(ISNUMBER(C4),ISNUMBER(G4)), C4-G4, "")</f>
        <v/>
      </c>
      <c r="I4" s="15" t="str">
        <f>IFERROR(H4/G4, "")</f>
        <v/>
      </c>
      <c r="J4" s="39"/>
      <c r="K4" s="59"/>
      <c r="L4" s="66"/>
      <c r="M4" s="66"/>
    </row>
    <row r="5" spans="1:14" ht="201.6" customHeight="1">
      <c r="A5" s="28" t="str">
        <v>AZ: Tempe - ASU - Fulton</v>
      </c>
      <c r="B5" s="29" t="str">
        <v>AZ</v>
      </c>
      <c r="C5" s="11"/>
      <c r="D5" s="16"/>
      <c r="E5" s="16" t="str">
        <f t="shared" ref="E5:E10" si="0">IF(AND(ISNUMBER(C5),ISNUMBER(D5)), C5-D5, "")</f>
        <v/>
      </c>
      <c r="F5" s="17" t="str">
        <f t="shared" ref="F5:F10" si="1">IFERROR(E5/D5, "")</f>
        <v/>
      </c>
      <c r="G5" s="18"/>
      <c r="H5" s="18" t="str">
        <f t="shared" ref="H5:H10" si="2">IF(AND(ISNUMBER(C5),ISNUMBER(G5)), C5-G5, "")</f>
        <v/>
      </c>
      <c r="I5" s="17" t="str">
        <f>IFERROR(H5/G5, "")</f>
        <v/>
      </c>
      <c r="J5" s="52"/>
      <c r="K5" s="60"/>
      <c r="L5" s="66"/>
      <c r="M5" s="66"/>
      <c r="N5" s="66"/>
    </row>
    <row r="6" spans="1:14" ht="121.5" customHeight="1">
      <c r="A6" s="26" t="str">
        <v>AZ: Superior - JFK Elementary</v>
      </c>
      <c r="B6" s="27" t="str">
        <v>AZ</v>
      </c>
      <c r="C6" s="22"/>
      <c r="D6" s="12"/>
      <c r="E6" s="12" t="str">
        <f t="shared" si="0"/>
        <v/>
      </c>
      <c r="F6" s="13" t="str">
        <f t="shared" si="1"/>
        <v/>
      </c>
      <c r="G6" s="14"/>
      <c r="H6" s="14" t="str">
        <f t="shared" si="2"/>
        <v/>
      </c>
      <c r="I6" s="15" t="str">
        <f t="shared" ref="I6:I10" si="3">IFERROR(H6/G6, "")</f>
        <v/>
      </c>
      <c r="J6" s="39"/>
      <c r="K6" s="59"/>
      <c r="L6" s="66"/>
    </row>
    <row r="7" spans="1:14" ht="15.75">
      <c r="A7" s="28" t="str">
        <v>AZ: Tempe - ASU - Noble</v>
      </c>
      <c r="B7" s="29" t="str">
        <v>AZ</v>
      </c>
      <c r="C7" s="11"/>
      <c r="D7" s="16"/>
      <c r="E7" s="16" t="str">
        <f t="shared" si="0"/>
        <v/>
      </c>
      <c r="F7" s="17" t="str">
        <f t="shared" si="1"/>
        <v/>
      </c>
      <c r="G7" s="18"/>
      <c r="H7" s="18" t="str">
        <f t="shared" si="2"/>
        <v/>
      </c>
      <c r="I7" s="17" t="str">
        <f t="shared" si="3"/>
        <v/>
      </c>
      <c r="J7" s="40"/>
      <c r="K7" s="41"/>
    </row>
    <row r="8" spans="1:14" ht="97.5" customHeight="1">
      <c r="A8" s="26" t="str">
        <v>AZ: Tempe - ASU - Parking #3</v>
      </c>
      <c r="B8" s="27" t="str">
        <v>AZ</v>
      </c>
      <c r="C8" s="22"/>
      <c r="D8" s="12"/>
      <c r="E8" s="12" t="str">
        <f t="shared" si="0"/>
        <v/>
      </c>
      <c r="F8" s="13" t="str">
        <f t="shared" si="1"/>
        <v/>
      </c>
      <c r="G8" s="14"/>
      <c r="H8" s="14" t="str">
        <f t="shared" si="2"/>
        <v/>
      </c>
      <c r="I8" s="15" t="str">
        <f t="shared" si="3"/>
        <v/>
      </c>
      <c r="J8" s="39"/>
      <c r="K8" s="59"/>
      <c r="L8" s="66"/>
      <c r="M8" s="66"/>
    </row>
    <row r="9" spans="1:14" ht="98.25" customHeight="1">
      <c r="A9" s="28" t="str">
        <v>AZ: Tempe - ASU - PE East</v>
      </c>
      <c r="B9" s="29" t="str">
        <v>AZ</v>
      </c>
      <c r="C9" s="11"/>
      <c r="D9" s="16"/>
      <c r="E9" s="16" t="str">
        <f t="shared" si="0"/>
        <v/>
      </c>
      <c r="F9" s="17" t="str">
        <f t="shared" si="1"/>
        <v/>
      </c>
      <c r="G9" s="18"/>
      <c r="H9" s="18" t="str">
        <f t="shared" si="2"/>
        <v/>
      </c>
      <c r="I9" s="17" t="str">
        <f t="shared" si="3"/>
        <v/>
      </c>
      <c r="J9" s="40"/>
      <c r="K9" s="60"/>
      <c r="L9" s="66"/>
      <c r="M9" s="66"/>
    </row>
    <row r="10" spans="1:14" ht="36" customHeight="1">
      <c r="A10" s="26" t="str">
        <v>AZ: Tempe - ASU - Schwada</v>
      </c>
      <c r="B10" s="27" t="str">
        <v>AZ</v>
      </c>
      <c r="C10" s="22"/>
      <c r="D10" s="12"/>
      <c r="E10" s="12" t="str">
        <f t="shared" si="0"/>
        <v/>
      </c>
      <c r="F10" s="13" t="str">
        <f t="shared" si="1"/>
        <v/>
      </c>
      <c r="G10" s="14"/>
      <c r="H10" s="14" t="str">
        <f t="shared" si="2"/>
        <v/>
      </c>
      <c r="I10" s="15" t="str">
        <f t="shared" si="3"/>
        <v/>
      </c>
      <c r="J10" s="39"/>
      <c r="K10" s="59"/>
    </row>
    <row r="11" spans="1:14" ht="15.75">
      <c r="A11" s="28" t="str">
        <v>AZ: Phoenix - Starshine Academy</v>
      </c>
      <c r="B11" s="29" t="str">
        <v>AZ</v>
      </c>
      <c r="C11" s="100"/>
      <c r="D11" s="16"/>
      <c r="E11" s="16" t="str">
        <f t="shared" ref="E11:E45" si="4">IF(AND(ISNUMBER(C11),ISNUMBER(D11)), C11-D11, "")</f>
        <v/>
      </c>
      <c r="F11" s="99" t="str">
        <f t="shared" ref="F11:F45" si="5">IFERROR(E11/D11, "")</f>
        <v/>
      </c>
      <c r="G11" s="80"/>
      <c r="H11" s="80" t="str">
        <f t="shared" ref="H11:H45" si="6">IF(AND(ISNUMBER(C11),ISNUMBER(G11)), C11-G11, "")</f>
        <v/>
      </c>
      <c r="I11" s="99" t="str">
        <f t="shared" ref="I11:I45" si="7">IFERROR(H11/G11, "")</f>
        <v/>
      </c>
      <c r="J11" s="40"/>
      <c r="K11" s="60"/>
    </row>
    <row r="12" spans="1:14" ht="15.75">
      <c r="A12" s="26" t="str">
        <v>AZ: Yuma Airport</v>
      </c>
      <c r="B12" s="27" t="str">
        <v>AZ</v>
      </c>
      <c r="C12" s="73"/>
      <c r="D12" s="12"/>
      <c r="E12" s="12" t="str">
        <f t="shared" si="4"/>
        <v/>
      </c>
      <c r="F12" s="74" t="str">
        <f t="shared" si="5"/>
        <v/>
      </c>
      <c r="G12" s="75"/>
      <c r="H12" s="75" t="str">
        <f t="shared" si="6"/>
        <v/>
      </c>
      <c r="I12" s="76" t="str">
        <f t="shared" si="7"/>
        <v/>
      </c>
      <c r="J12" s="77"/>
      <c r="K12" s="81"/>
    </row>
    <row r="13" spans="1:14" ht="15.75">
      <c r="A13" s="28" t="str">
        <v>AZ: Globe - Gila CC</v>
      </c>
      <c r="B13" s="29" t="str">
        <v>AZ</v>
      </c>
      <c r="C13" s="100"/>
      <c r="D13" s="16"/>
      <c r="E13" s="16" t="str">
        <f t="shared" si="4"/>
        <v/>
      </c>
      <c r="F13" s="99" t="str">
        <f t="shared" si="5"/>
        <v/>
      </c>
      <c r="G13" s="80"/>
      <c r="H13" s="80" t="str">
        <f t="shared" si="6"/>
        <v/>
      </c>
      <c r="I13" s="99" t="str">
        <f t="shared" si="7"/>
        <v/>
      </c>
      <c r="J13" s="40"/>
      <c r="K13" s="60"/>
    </row>
    <row r="14" spans="1:14" ht="15.75">
      <c r="A14" s="26" t="str">
        <v>AZ: Payson - Gila CC</v>
      </c>
      <c r="B14" s="27" t="str">
        <v>AZ</v>
      </c>
      <c r="C14" s="73"/>
      <c r="D14" s="12"/>
      <c r="E14" s="12" t="str">
        <f t="shared" si="4"/>
        <v/>
      </c>
      <c r="F14" s="74" t="str">
        <f t="shared" si="5"/>
        <v/>
      </c>
      <c r="G14" s="75"/>
      <c r="H14" s="75" t="str">
        <f t="shared" si="6"/>
        <v/>
      </c>
      <c r="I14" s="76" t="str">
        <f t="shared" si="7"/>
        <v/>
      </c>
      <c r="J14" s="77"/>
      <c r="K14" s="81"/>
    </row>
    <row r="15" spans="1:14" ht="15.75">
      <c r="A15" s="28" t="str">
        <v>AZ: Mesa - Sequoia Charter School</v>
      </c>
      <c r="B15" s="29" t="str">
        <v>AZ</v>
      </c>
      <c r="C15" s="100"/>
      <c r="D15" s="16"/>
      <c r="E15" s="16" t="str">
        <f t="shared" si="4"/>
        <v/>
      </c>
      <c r="F15" s="99" t="str">
        <f t="shared" si="5"/>
        <v/>
      </c>
      <c r="G15" s="80"/>
      <c r="H15" s="80" t="str">
        <f t="shared" si="6"/>
        <v/>
      </c>
      <c r="I15" s="99" t="str">
        <f t="shared" si="7"/>
        <v/>
      </c>
      <c r="J15" s="40"/>
      <c r="K15" s="60"/>
    </row>
    <row r="16" spans="1:14" ht="15.75">
      <c r="A16" s="26" t="str">
        <v>AZ: Tempe - SCNM</v>
      </c>
      <c r="B16" s="27" t="str">
        <v>AZ</v>
      </c>
      <c r="C16" s="73"/>
      <c r="D16" s="12"/>
      <c r="E16" s="12" t="str">
        <f t="shared" si="4"/>
        <v/>
      </c>
      <c r="F16" s="74" t="str">
        <f t="shared" si="5"/>
        <v/>
      </c>
      <c r="G16" s="75"/>
      <c r="H16" s="75" t="str">
        <f t="shared" si="6"/>
        <v/>
      </c>
      <c r="I16" s="76" t="str">
        <f t="shared" si="7"/>
        <v/>
      </c>
      <c r="J16" s="77"/>
      <c r="K16" s="81"/>
    </row>
    <row r="17" spans="1:11" ht="15.75">
      <c r="A17" s="28" t="str">
        <v>DE: Newark - Clayton Hall</v>
      </c>
      <c r="B17" s="29" t="str">
        <v>DE</v>
      </c>
      <c r="C17" s="100"/>
      <c r="D17" s="16"/>
      <c r="E17" s="16" t="str">
        <f t="shared" si="4"/>
        <v/>
      </c>
      <c r="F17" s="99" t="str">
        <f t="shared" si="5"/>
        <v/>
      </c>
      <c r="G17" s="80"/>
      <c r="H17" s="80" t="str">
        <f t="shared" si="6"/>
        <v/>
      </c>
      <c r="I17" s="99" t="str">
        <f t="shared" si="7"/>
        <v/>
      </c>
      <c r="J17" s="40"/>
      <c r="K17" s="60"/>
    </row>
    <row r="18" spans="1:11" ht="15.75">
      <c r="A18" s="26" t="str">
        <v>DE: Newark - UOD Field House</v>
      </c>
      <c r="B18" s="27" t="str">
        <v>DE</v>
      </c>
      <c r="C18" s="73"/>
      <c r="D18" s="12"/>
      <c r="E18" s="12" t="str">
        <f t="shared" si="4"/>
        <v/>
      </c>
      <c r="F18" s="74" t="str">
        <f t="shared" si="5"/>
        <v/>
      </c>
      <c r="G18" s="75"/>
      <c r="H18" s="75" t="str">
        <f t="shared" si="6"/>
        <v/>
      </c>
      <c r="I18" s="76" t="str">
        <f t="shared" si="7"/>
        <v/>
      </c>
      <c r="J18" s="77"/>
      <c r="K18" s="81"/>
    </row>
    <row r="19" spans="1:11" ht="15.75">
      <c r="A19" s="28" t="str">
        <v>DE: Newark - UOD 461 Wyoming</v>
      </c>
      <c r="B19" s="29" t="str">
        <v>DE</v>
      </c>
      <c r="C19" s="100"/>
      <c r="D19" s="16"/>
      <c r="E19" s="16" t="str">
        <f t="shared" si="4"/>
        <v/>
      </c>
      <c r="F19" s="99" t="str">
        <f t="shared" si="5"/>
        <v/>
      </c>
      <c r="G19" s="80"/>
      <c r="H19" s="80" t="str">
        <f t="shared" si="6"/>
        <v/>
      </c>
      <c r="I19" s="99" t="str">
        <f t="shared" si="7"/>
        <v/>
      </c>
      <c r="J19" s="40"/>
      <c r="K19" s="60"/>
    </row>
    <row r="20" spans="1:11" ht="15.75">
      <c r="A20" s="26" t="str">
        <v>HI: Waipahu - 94-246 Leoku St - E.F.G.</v>
      </c>
      <c r="B20" s="27" t="str">
        <v>HI</v>
      </c>
      <c r="C20" s="73"/>
      <c r="D20" s="12"/>
      <c r="E20" s="12" t="str">
        <f t="shared" si="4"/>
        <v/>
      </c>
      <c r="F20" s="74" t="str">
        <f t="shared" si="5"/>
        <v/>
      </c>
      <c r="G20" s="75"/>
      <c r="H20" s="75" t="str">
        <f t="shared" si="6"/>
        <v/>
      </c>
      <c r="I20" s="76" t="str">
        <f t="shared" si="7"/>
        <v/>
      </c>
      <c r="J20" s="77"/>
      <c r="K20" s="81"/>
    </row>
    <row r="21" spans="1:11" ht="15.75">
      <c r="A21" s="28" t="str">
        <v>HI: Waipahu - 94-099 Waipahu St - PV</v>
      </c>
      <c r="B21" s="29" t="str">
        <v>HI</v>
      </c>
      <c r="C21" s="100"/>
      <c r="D21" s="16"/>
      <c r="E21" s="16" t="str">
        <f t="shared" si="4"/>
        <v/>
      </c>
      <c r="F21" s="99" t="str">
        <f t="shared" si="5"/>
        <v/>
      </c>
      <c r="G21" s="80"/>
      <c r="H21" s="80" t="str">
        <f t="shared" si="6"/>
        <v/>
      </c>
      <c r="I21" s="99" t="str">
        <f t="shared" si="7"/>
        <v/>
      </c>
      <c r="J21" s="40"/>
      <c r="K21" s="60"/>
    </row>
    <row r="22" spans="1:11" ht="15.75">
      <c r="A22" s="26" t="str">
        <v>MD: Presston - Bird-in-Hand</v>
      </c>
      <c r="B22" s="27" t="str">
        <v>MD</v>
      </c>
      <c r="C22" s="73"/>
      <c r="D22" s="12"/>
      <c r="E22" s="12" t="str">
        <f t="shared" si="4"/>
        <v/>
      </c>
      <c r="F22" s="74" t="str">
        <f t="shared" si="5"/>
        <v/>
      </c>
      <c r="G22" s="75"/>
      <c r="H22" s="75" t="str">
        <f t="shared" si="6"/>
        <v/>
      </c>
      <c r="I22" s="76" t="str">
        <f t="shared" si="7"/>
        <v/>
      </c>
      <c r="J22" s="77"/>
      <c r="K22" s="81"/>
    </row>
    <row r="23" spans="1:11" ht="15.75">
      <c r="A23" s="28" t="str">
        <v>MD: Easton - Shortall</v>
      </c>
      <c r="B23" s="29" t="str">
        <v>MD</v>
      </c>
      <c r="C23" s="100"/>
      <c r="D23" s="16"/>
      <c r="E23" s="16" t="str">
        <f t="shared" si="4"/>
        <v/>
      </c>
      <c r="F23" s="99" t="str">
        <f t="shared" si="5"/>
        <v/>
      </c>
      <c r="G23" s="80"/>
      <c r="H23" s="80" t="str">
        <f t="shared" si="6"/>
        <v/>
      </c>
      <c r="I23" s="99" t="str">
        <f t="shared" si="7"/>
        <v/>
      </c>
      <c r="J23" s="40"/>
      <c r="K23" s="60"/>
    </row>
    <row r="24" spans="1:11" ht="15.75">
      <c r="A24" s="26" t="str">
        <v>MA: Boston - Seaport Solar</v>
      </c>
      <c r="B24" s="27" t="str">
        <v>MA</v>
      </c>
      <c r="C24" s="73"/>
      <c r="D24" s="12"/>
      <c r="E24" s="12" t="str">
        <f t="shared" si="4"/>
        <v/>
      </c>
      <c r="F24" s="74" t="str">
        <f t="shared" si="5"/>
        <v/>
      </c>
      <c r="G24" s="75"/>
      <c r="H24" s="75" t="str">
        <f t="shared" si="6"/>
        <v/>
      </c>
      <c r="I24" s="76" t="str">
        <f t="shared" si="7"/>
        <v/>
      </c>
      <c r="J24" s="77"/>
      <c r="K24" s="81"/>
    </row>
    <row r="25" spans="1:11" ht="15.75">
      <c r="A25" s="28" t="str">
        <v>MA: Dedham - Sprague Street</v>
      </c>
      <c r="B25" s="29" t="str">
        <v>MA</v>
      </c>
      <c r="C25" s="100"/>
      <c r="D25" s="16"/>
      <c r="E25" s="16" t="str">
        <f t="shared" si="4"/>
        <v/>
      </c>
      <c r="F25" s="99" t="str">
        <f t="shared" si="5"/>
        <v/>
      </c>
      <c r="G25" s="80"/>
      <c r="H25" s="80" t="str">
        <f t="shared" si="6"/>
        <v/>
      </c>
      <c r="I25" s="99" t="str">
        <f t="shared" si="7"/>
        <v/>
      </c>
      <c r="J25" s="40"/>
      <c r="K25" s="60"/>
    </row>
    <row r="26" spans="1:11" ht="15.75">
      <c r="A26" s="26" t="str">
        <v>MA: Boston - Summer Street</v>
      </c>
      <c r="B26" s="27" t="str">
        <v>MA</v>
      </c>
      <c r="C26" s="73"/>
      <c r="D26" s="12"/>
      <c r="E26" s="12" t="str">
        <f t="shared" si="4"/>
        <v/>
      </c>
      <c r="F26" s="74" t="str">
        <f t="shared" si="5"/>
        <v/>
      </c>
      <c r="G26" s="75"/>
      <c r="H26" s="75" t="str">
        <f t="shared" si="6"/>
        <v/>
      </c>
      <c r="I26" s="76" t="str">
        <f t="shared" si="7"/>
        <v/>
      </c>
      <c r="J26" s="77"/>
      <c r="K26" s="81"/>
    </row>
    <row r="27" spans="1:11" ht="15.75">
      <c r="A27" s="28" t="str">
        <v>MA: Leominster - Spectro Coatings</v>
      </c>
      <c r="B27" s="29" t="str">
        <v>MA</v>
      </c>
      <c r="C27" s="100"/>
      <c r="D27" s="16"/>
      <c r="E27" s="16" t="str">
        <f t="shared" si="4"/>
        <v/>
      </c>
      <c r="F27" s="99" t="str">
        <f t="shared" si="5"/>
        <v/>
      </c>
      <c r="G27" s="80"/>
      <c r="H27" s="80" t="str">
        <f t="shared" si="6"/>
        <v/>
      </c>
      <c r="I27" s="99" t="str">
        <f t="shared" si="7"/>
        <v/>
      </c>
      <c r="J27" s="40"/>
      <c r="K27" s="60"/>
    </row>
    <row r="28" spans="1:11" ht="15.75">
      <c r="A28" s="26" t="str">
        <v>MA: Braintree - RCAB</v>
      </c>
      <c r="B28" s="27" t="str">
        <v>MA</v>
      </c>
      <c r="C28" s="73"/>
      <c r="D28" s="12"/>
      <c r="E28" s="12" t="str">
        <f t="shared" si="4"/>
        <v/>
      </c>
      <c r="F28" s="74" t="str">
        <f t="shared" si="5"/>
        <v/>
      </c>
      <c r="G28" s="75"/>
      <c r="H28" s="75" t="str">
        <f t="shared" si="6"/>
        <v/>
      </c>
      <c r="I28" s="76" t="str">
        <f t="shared" si="7"/>
        <v/>
      </c>
      <c r="J28" s="77"/>
      <c r="K28" s="81"/>
    </row>
    <row r="29" spans="1:11" ht="15.75">
      <c r="A29" s="28" t="str">
        <v>NH: Rochester - Portland Street</v>
      </c>
      <c r="B29" s="29" t="str">
        <v>NH</v>
      </c>
      <c r="C29" s="100"/>
      <c r="D29" s="16"/>
      <c r="E29" s="16" t="str">
        <f t="shared" si="4"/>
        <v/>
      </c>
      <c r="F29" s="99" t="str">
        <f t="shared" si="5"/>
        <v/>
      </c>
      <c r="G29" s="80"/>
      <c r="H29" s="80" t="str">
        <f t="shared" si="6"/>
        <v/>
      </c>
      <c r="I29" s="99" t="str">
        <f t="shared" si="7"/>
        <v/>
      </c>
      <c r="J29" s="40"/>
      <c r="K29" s="60"/>
    </row>
    <row r="30" spans="1:11" ht="15.75">
      <c r="A30" s="26" t="str">
        <v>NH: Portsmouth - Portsmouth HS</v>
      </c>
      <c r="B30" s="27" t="str">
        <v>NH</v>
      </c>
      <c r="C30" s="73"/>
      <c r="D30" s="12"/>
      <c r="E30" s="12" t="str">
        <f t="shared" si="4"/>
        <v/>
      </c>
      <c r="F30" s="74" t="str">
        <f t="shared" si="5"/>
        <v/>
      </c>
      <c r="G30" s="75"/>
      <c r="H30" s="75" t="str">
        <f t="shared" si="6"/>
        <v/>
      </c>
      <c r="I30" s="76" t="str">
        <f t="shared" si="7"/>
        <v/>
      </c>
      <c r="J30" s="77"/>
      <c r="K30" s="81"/>
    </row>
    <row r="31" spans="1:11" ht="15.75">
      <c r="A31" s="28" t="str">
        <v>NH: Portsmouth - Portsmouth WTP</v>
      </c>
      <c r="B31" s="29" t="str">
        <v>NH</v>
      </c>
      <c r="C31" s="100"/>
      <c r="D31" s="16"/>
      <c r="E31" s="16" t="str">
        <f t="shared" si="4"/>
        <v/>
      </c>
      <c r="F31" s="99" t="str">
        <f t="shared" si="5"/>
        <v/>
      </c>
      <c r="G31" s="80"/>
      <c r="H31" s="80" t="str">
        <f t="shared" si="6"/>
        <v/>
      </c>
      <c r="I31" s="99" t="str">
        <f t="shared" si="7"/>
        <v/>
      </c>
      <c r="J31" s="40"/>
      <c r="K31" s="60"/>
    </row>
    <row r="32" spans="1:11" ht="15.75">
      <c r="A32" s="26" t="str">
        <v>NH: Rochester - Rochester MS</v>
      </c>
      <c r="B32" s="27" t="str">
        <v>NH</v>
      </c>
      <c r="C32" s="73"/>
      <c r="D32" s="12"/>
      <c r="E32" s="12" t="str">
        <f t="shared" si="4"/>
        <v/>
      </c>
      <c r="F32" s="74" t="str">
        <f t="shared" si="5"/>
        <v/>
      </c>
      <c r="G32" s="75"/>
      <c r="H32" s="75" t="str">
        <f t="shared" si="6"/>
        <v/>
      </c>
      <c r="I32" s="76" t="str">
        <f t="shared" si="7"/>
        <v/>
      </c>
      <c r="J32" s="77"/>
      <c r="K32" s="81"/>
    </row>
    <row r="33" spans="1:11" ht="15.75">
      <c r="A33" s="28" t="str">
        <v>NH Rochester - Spaulding HS</v>
      </c>
      <c r="B33" s="29" t="str">
        <v>NH</v>
      </c>
      <c r="C33" s="100"/>
      <c r="D33" s="16"/>
      <c r="E33" s="16" t="str">
        <f t="shared" si="4"/>
        <v/>
      </c>
      <c r="F33" s="99" t="str">
        <f t="shared" si="5"/>
        <v/>
      </c>
      <c r="G33" s="80"/>
      <c r="H33" s="80" t="str">
        <f t="shared" si="6"/>
        <v/>
      </c>
      <c r="I33" s="99" t="str">
        <f t="shared" si="7"/>
        <v/>
      </c>
      <c r="J33" s="40"/>
      <c r="K33" s="60"/>
    </row>
    <row r="34" spans="1:11" ht="15.75">
      <c r="A34" s="26" t="str">
        <v>NH: Rochester - McClelland ES</v>
      </c>
      <c r="B34" s="27" t="str">
        <v>NH</v>
      </c>
      <c r="C34" s="73"/>
      <c r="D34" s="12"/>
      <c r="E34" s="12" t="str">
        <f t="shared" si="4"/>
        <v/>
      </c>
      <c r="F34" s="74" t="str">
        <f t="shared" si="5"/>
        <v/>
      </c>
      <c r="G34" s="75"/>
      <c r="H34" s="75" t="str">
        <f t="shared" si="6"/>
        <v/>
      </c>
      <c r="I34" s="76" t="str">
        <f t="shared" si="7"/>
        <v/>
      </c>
      <c r="J34" s="77"/>
      <c r="K34" s="81"/>
    </row>
    <row r="35" spans="1:11" ht="15.75">
      <c r="A35" s="28" t="str">
        <v>NH: Rochester - Brock St Vocational</v>
      </c>
      <c r="B35" s="29" t="str">
        <v>NH</v>
      </c>
      <c r="C35" s="100"/>
      <c r="D35" s="16"/>
      <c r="E35" s="16" t="str">
        <f t="shared" si="4"/>
        <v/>
      </c>
      <c r="F35" s="99" t="str">
        <f t="shared" si="5"/>
        <v/>
      </c>
      <c r="G35" s="80"/>
      <c r="H35" s="80" t="str">
        <f t="shared" si="6"/>
        <v/>
      </c>
      <c r="I35" s="99" t="str">
        <f t="shared" si="7"/>
        <v/>
      </c>
      <c r="J35" s="40"/>
      <c r="K35" s="60"/>
    </row>
    <row r="36" spans="1:11" ht="15.75">
      <c r="A36" s="26" t="str">
        <v>OH: Cleveland - CV Kinsman</v>
      </c>
      <c r="B36" s="27" t="str">
        <v>OH</v>
      </c>
      <c r="C36" s="73"/>
      <c r="D36" s="12"/>
      <c r="E36" s="12" t="str">
        <f t="shared" si="4"/>
        <v/>
      </c>
      <c r="F36" s="74" t="str">
        <f t="shared" si="5"/>
        <v/>
      </c>
      <c r="G36" s="75"/>
      <c r="H36" s="75" t="str">
        <f t="shared" si="6"/>
        <v/>
      </c>
      <c r="I36" s="76" t="str">
        <f t="shared" si="7"/>
        <v/>
      </c>
      <c r="J36" s="77"/>
      <c r="K36" s="81"/>
    </row>
    <row r="37" spans="1:11" ht="15.75">
      <c r="A37" s="28" t="str">
        <v>OH: Cleveland - CV Wooster</v>
      </c>
      <c r="B37" s="29" t="str">
        <v>OH</v>
      </c>
      <c r="C37" s="100"/>
      <c r="D37" s="16"/>
      <c r="E37" s="16" t="str">
        <f t="shared" si="4"/>
        <v/>
      </c>
      <c r="F37" s="99" t="str">
        <f t="shared" si="5"/>
        <v/>
      </c>
      <c r="G37" s="80"/>
      <c r="H37" s="80" t="str">
        <f t="shared" si="6"/>
        <v/>
      </c>
      <c r="I37" s="99" t="str">
        <f t="shared" si="7"/>
        <v/>
      </c>
      <c r="J37" s="40"/>
      <c r="K37" s="60"/>
    </row>
    <row r="38" spans="1:11" ht="15.75">
      <c r="A38" s="26" t="str">
        <v>PR: Aguadilla - Coca Cola</v>
      </c>
      <c r="B38" s="27" t="str">
        <v>PR</v>
      </c>
      <c r="C38" s="73"/>
      <c r="D38" s="12"/>
      <c r="E38" s="12" t="str">
        <f t="shared" si="4"/>
        <v/>
      </c>
      <c r="F38" s="74" t="str">
        <f t="shared" si="5"/>
        <v/>
      </c>
      <c r="G38" s="75"/>
      <c r="H38" s="75" t="str">
        <f t="shared" si="6"/>
        <v/>
      </c>
      <c r="I38" s="76" t="str">
        <f t="shared" si="7"/>
        <v/>
      </c>
      <c r="J38" s="77"/>
      <c r="K38" s="81"/>
    </row>
    <row r="39" spans="1:11" ht="15.75">
      <c r="A39" s="28" t="str">
        <v>PR: Bayamon - Coca Cola</v>
      </c>
      <c r="B39" s="29" t="str">
        <v>PR</v>
      </c>
      <c r="C39" s="100"/>
      <c r="D39" s="16"/>
      <c r="E39" s="16" t="str">
        <f t="shared" si="4"/>
        <v/>
      </c>
      <c r="F39" s="99" t="str">
        <f t="shared" si="5"/>
        <v/>
      </c>
      <c r="G39" s="80"/>
      <c r="H39" s="80" t="str">
        <f t="shared" si="6"/>
        <v/>
      </c>
      <c r="I39" s="99" t="str">
        <f t="shared" si="7"/>
        <v/>
      </c>
      <c r="J39" s="40"/>
      <c r="K39" s="60"/>
    </row>
    <row r="40" spans="1:11" ht="15.75">
      <c r="A40" s="26" t="str">
        <v>PR: Carolina - St. Francis</v>
      </c>
      <c r="B40" s="27" t="str">
        <v>PR</v>
      </c>
      <c r="C40" s="73"/>
      <c r="D40" s="12"/>
      <c r="E40" s="12" t="str">
        <f t="shared" si="4"/>
        <v/>
      </c>
      <c r="F40" s="74" t="str">
        <f t="shared" si="5"/>
        <v/>
      </c>
      <c r="G40" s="75"/>
      <c r="H40" s="75" t="str">
        <f t="shared" si="6"/>
        <v/>
      </c>
      <c r="I40" s="76" t="str">
        <f t="shared" si="7"/>
        <v/>
      </c>
      <c r="J40" s="77"/>
      <c r="K40" s="81"/>
    </row>
    <row r="41" spans="1:11" ht="15.75">
      <c r="A41" s="28" t="str">
        <v>DC: Washington - Essex Condominium</v>
      </c>
      <c r="B41" s="29" t="str">
        <v>DC</v>
      </c>
      <c r="C41" s="100"/>
      <c r="D41" s="16"/>
      <c r="E41" s="16" t="str">
        <f t="shared" si="4"/>
        <v/>
      </c>
      <c r="F41" s="99" t="str">
        <f t="shared" si="5"/>
        <v/>
      </c>
      <c r="G41" s="80"/>
      <c r="H41" s="80" t="str">
        <f t="shared" si="6"/>
        <v/>
      </c>
      <c r="I41" s="99" t="str">
        <f t="shared" si="7"/>
        <v/>
      </c>
      <c r="J41" s="40"/>
      <c r="K41" s="60"/>
    </row>
    <row r="42" spans="1:11" ht="15.75">
      <c r="A42" s="26" t="str">
        <v>DC: Chevy Chase -Sinai</v>
      </c>
      <c r="B42" s="27" t="str">
        <v>DC</v>
      </c>
      <c r="C42" s="73"/>
      <c r="D42" s="12"/>
      <c r="E42" s="12" t="str">
        <f t="shared" si="4"/>
        <v/>
      </c>
      <c r="F42" s="74" t="str">
        <f t="shared" si="5"/>
        <v/>
      </c>
      <c r="G42" s="75"/>
      <c r="H42" s="75" t="str">
        <f t="shared" si="6"/>
        <v/>
      </c>
      <c r="I42" s="76" t="str">
        <f t="shared" si="7"/>
        <v/>
      </c>
      <c r="J42" s="77"/>
      <c r="K42" s="81"/>
    </row>
    <row r="43" spans="1:11" ht="15.75">
      <c r="A43" s="28" t="str">
        <v>DC: Washington - Weinberg 1</v>
      </c>
      <c r="B43" s="29" t="str">
        <v>DC</v>
      </c>
      <c r="C43" s="100"/>
      <c r="D43" s="16"/>
      <c r="E43" s="16" t="str">
        <f t="shared" si="4"/>
        <v/>
      </c>
      <c r="F43" s="99" t="str">
        <f t="shared" si="5"/>
        <v/>
      </c>
      <c r="G43" s="80"/>
      <c r="H43" s="80" t="str">
        <f t="shared" si="6"/>
        <v/>
      </c>
      <c r="I43" s="99" t="str">
        <f t="shared" si="7"/>
        <v/>
      </c>
      <c r="J43" s="40"/>
      <c r="K43" s="60"/>
    </row>
    <row r="44" spans="1:11" ht="15.75">
      <c r="A44" s="26" t="str">
        <v>DC: Washington - Weinberg 2</v>
      </c>
      <c r="B44" s="27" t="str">
        <v>DC</v>
      </c>
      <c r="C44" s="73"/>
      <c r="D44" s="12"/>
      <c r="E44" s="12" t="str">
        <f t="shared" si="4"/>
        <v/>
      </c>
      <c r="F44" s="74" t="str">
        <f t="shared" si="5"/>
        <v/>
      </c>
      <c r="G44" s="75"/>
      <c r="H44" s="75" t="str">
        <f t="shared" si="6"/>
        <v/>
      </c>
      <c r="I44" s="76" t="str">
        <f t="shared" si="7"/>
        <v/>
      </c>
      <c r="J44" s="77"/>
      <c r="K44" s="81"/>
    </row>
    <row r="45" spans="1:11" ht="15.75">
      <c r="A45" s="28" t="str">
        <v>DC: Washington - Weinberg 3</v>
      </c>
      <c r="B45" s="29" t="str">
        <v>DC</v>
      </c>
      <c r="C45" s="100"/>
      <c r="D45" s="16"/>
      <c r="E45" s="16" t="str">
        <f t="shared" si="4"/>
        <v/>
      </c>
      <c r="F45" s="99" t="str">
        <f t="shared" si="5"/>
        <v/>
      </c>
      <c r="G45" s="80"/>
      <c r="H45" s="80" t="str">
        <f t="shared" si="6"/>
        <v/>
      </c>
      <c r="I45" s="99" t="str">
        <f t="shared" si="7"/>
        <v/>
      </c>
      <c r="J45" s="40"/>
      <c r="K45" s="60"/>
    </row>
    <row r="46" spans="1:11" ht="14.25">
      <c r="A46" s="19"/>
      <c r="B46" s="31"/>
      <c r="C46" s="19"/>
      <c r="D46" s="19"/>
      <c r="E46" s="19"/>
      <c r="F46" s="20"/>
      <c r="G46" s="19"/>
      <c r="H46" s="19"/>
      <c r="I46" s="20"/>
      <c r="J46" s="19"/>
      <c r="K46" s="19"/>
    </row>
    <row r="47" spans="1:11" ht="14.25">
      <c r="A47" s="19"/>
      <c r="B47" s="31"/>
      <c r="C47" s="19"/>
      <c r="D47" s="19"/>
      <c r="E47" s="19"/>
      <c r="F47" s="20"/>
      <c r="G47" s="19"/>
      <c r="H47" s="19"/>
      <c r="I47" s="20"/>
      <c r="J47" s="19"/>
      <c r="K47" s="19"/>
    </row>
    <row r="48" spans="1:11" ht="14.25">
      <c r="A48" s="19"/>
      <c r="B48" s="31"/>
      <c r="C48" s="19"/>
      <c r="D48" s="19"/>
      <c r="E48" s="19"/>
      <c r="F48" s="20"/>
      <c r="G48" s="19"/>
      <c r="H48" s="19"/>
      <c r="I48" s="20"/>
      <c r="J48" s="19"/>
      <c r="K48" s="19"/>
    </row>
    <row r="49" spans="1:11" ht="14.25">
      <c r="A49" s="19"/>
      <c r="B49" s="31"/>
      <c r="C49" s="19"/>
      <c r="D49" s="19"/>
      <c r="E49" s="19"/>
      <c r="F49" s="20"/>
      <c r="G49" s="19"/>
      <c r="H49" s="19"/>
      <c r="I49" s="20"/>
      <c r="J49" s="19"/>
      <c r="K49" s="19"/>
    </row>
    <row r="50" spans="1:11" ht="14.25">
      <c r="A50" s="19"/>
      <c r="B50" s="31"/>
      <c r="C50" s="19"/>
      <c r="D50" s="19"/>
      <c r="E50" s="19"/>
      <c r="F50" s="20"/>
      <c r="G50" s="19"/>
      <c r="H50" s="19"/>
      <c r="I50" s="20"/>
      <c r="J50" s="19"/>
      <c r="K50" s="19"/>
    </row>
    <row r="51" spans="1:11" ht="14.25">
      <c r="A51" s="19"/>
      <c r="B51" s="31"/>
      <c r="C51" s="19"/>
      <c r="D51" s="19"/>
      <c r="E51" s="19"/>
      <c r="F51" s="20"/>
      <c r="G51" s="19"/>
      <c r="H51" s="19"/>
      <c r="I51" s="20"/>
      <c r="J51" s="19"/>
      <c r="K51" s="19"/>
    </row>
    <row r="52" spans="1:11" ht="14.25">
      <c r="A52" s="19"/>
      <c r="B52" s="31"/>
      <c r="C52" s="19"/>
      <c r="D52" s="19"/>
      <c r="E52" s="19"/>
      <c r="F52" s="20"/>
      <c r="G52" s="19"/>
      <c r="H52" s="19"/>
      <c r="I52" s="20"/>
      <c r="J52" s="19"/>
      <c r="K52" s="19"/>
    </row>
    <row r="53" spans="1:11" ht="14.25">
      <c r="A53" s="19"/>
      <c r="B53" s="31"/>
      <c r="C53" s="19"/>
      <c r="D53" s="19"/>
      <c r="E53" s="19"/>
      <c r="F53" s="20"/>
      <c r="G53" s="19"/>
      <c r="H53" s="19"/>
      <c r="I53" s="20"/>
      <c r="J53" s="19"/>
      <c r="K53" s="19"/>
    </row>
    <row r="54" spans="1:11" ht="14.25">
      <c r="A54" s="19"/>
      <c r="B54" s="31"/>
      <c r="C54" s="19"/>
      <c r="D54" s="19"/>
      <c r="E54" s="19"/>
      <c r="F54" s="20"/>
      <c r="G54" s="19"/>
      <c r="H54" s="19"/>
      <c r="I54" s="20"/>
      <c r="J54" s="19"/>
      <c r="K54" s="19"/>
    </row>
    <row r="55" spans="1:11" ht="14.25">
      <c r="A55" s="19"/>
      <c r="B55" s="31"/>
      <c r="C55" s="19"/>
      <c r="D55" s="19"/>
      <c r="E55" s="19"/>
      <c r="F55" s="20"/>
      <c r="G55" s="19"/>
      <c r="H55" s="19"/>
      <c r="I55" s="20"/>
      <c r="J55" s="19"/>
      <c r="K55" s="19"/>
    </row>
    <row r="56" spans="1:11" ht="14.25">
      <c r="A56" s="19"/>
      <c r="B56" s="31"/>
      <c r="C56" s="19"/>
      <c r="D56" s="19"/>
      <c r="E56" s="19"/>
      <c r="F56" s="20"/>
      <c r="G56" s="19"/>
      <c r="H56" s="19"/>
      <c r="I56" s="20"/>
      <c r="J56" s="19"/>
      <c r="K56" s="19"/>
    </row>
    <row r="57" spans="1:11" ht="14.25">
      <c r="A57" s="19"/>
      <c r="B57" s="31"/>
      <c r="C57" s="19"/>
      <c r="D57" s="19"/>
      <c r="E57" s="19"/>
      <c r="F57" s="20"/>
      <c r="G57" s="19"/>
      <c r="H57" s="19"/>
      <c r="I57" s="20"/>
      <c r="J57" s="19"/>
      <c r="K57" s="19"/>
    </row>
    <row r="58" spans="1:11" ht="14.25">
      <c r="A58" s="19"/>
      <c r="B58" s="31"/>
      <c r="C58" s="19"/>
      <c r="D58" s="19"/>
      <c r="E58" s="19"/>
      <c r="F58" s="20"/>
      <c r="G58" s="19"/>
      <c r="H58" s="19"/>
      <c r="I58" s="20"/>
      <c r="J58" s="19"/>
      <c r="K58" s="19"/>
    </row>
    <row r="59" spans="1:11" ht="14.25">
      <c r="A59" s="19"/>
      <c r="B59" s="31"/>
      <c r="C59" s="19"/>
      <c r="D59" s="19"/>
      <c r="E59" s="19"/>
      <c r="F59" s="20"/>
      <c r="G59" s="19"/>
      <c r="H59" s="19"/>
      <c r="I59" s="20"/>
      <c r="J59" s="19"/>
      <c r="K59" s="19"/>
    </row>
    <row r="60" spans="1:11" ht="14.25">
      <c r="A60" s="19"/>
      <c r="B60" s="31"/>
      <c r="C60" s="19"/>
      <c r="D60" s="19"/>
      <c r="E60" s="19"/>
      <c r="F60" s="20"/>
      <c r="G60" s="19"/>
      <c r="H60" s="19"/>
      <c r="I60" s="20"/>
      <c r="J60" s="19"/>
      <c r="K60" s="19"/>
    </row>
    <row r="61" spans="1:11" ht="14.25">
      <c r="A61" s="19"/>
      <c r="B61" s="31"/>
      <c r="C61" s="19"/>
      <c r="D61" s="19"/>
      <c r="E61" s="19"/>
      <c r="F61" s="20"/>
      <c r="G61" s="19"/>
      <c r="H61" s="19"/>
      <c r="I61" s="20"/>
      <c r="J61" s="19"/>
      <c r="K61" s="19"/>
    </row>
    <row r="62" spans="1:11" ht="14.25">
      <c r="A62" s="19"/>
      <c r="B62" s="31"/>
      <c r="C62" s="19"/>
      <c r="D62" s="19"/>
      <c r="E62" s="19"/>
      <c r="F62" s="20"/>
      <c r="G62" s="19"/>
      <c r="H62" s="19"/>
      <c r="I62" s="20"/>
      <c r="J62" s="19"/>
      <c r="K62" s="19"/>
    </row>
    <row r="63" spans="1:11" ht="14.25">
      <c r="A63" s="19"/>
      <c r="B63" s="31"/>
      <c r="C63" s="19"/>
      <c r="D63" s="19"/>
      <c r="E63" s="19"/>
      <c r="F63" s="20"/>
      <c r="G63" s="19"/>
      <c r="H63" s="19"/>
      <c r="I63" s="20"/>
      <c r="J63" s="19"/>
      <c r="K63" s="19"/>
    </row>
    <row r="64" spans="1:11" ht="14.25">
      <c r="A64" s="19"/>
      <c r="B64" s="31"/>
      <c r="C64" s="19"/>
      <c r="D64" s="19"/>
      <c r="E64" s="19"/>
      <c r="F64" s="20"/>
      <c r="G64" s="19"/>
      <c r="H64" s="19"/>
      <c r="I64" s="20"/>
      <c r="J64" s="19"/>
      <c r="K64" s="19"/>
    </row>
    <row r="65" spans="1:11" ht="14.25">
      <c r="A65" s="19"/>
      <c r="B65" s="31"/>
      <c r="C65" s="19"/>
      <c r="D65" s="19"/>
      <c r="E65" s="19"/>
      <c r="F65" s="20"/>
      <c r="G65" s="19"/>
      <c r="H65" s="19"/>
      <c r="I65" s="20"/>
      <c r="J65" s="19"/>
      <c r="K65" s="19"/>
    </row>
    <row r="66" spans="1:11" ht="14.25">
      <c r="A66" s="19"/>
      <c r="B66" s="31"/>
      <c r="C66" s="19"/>
      <c r="D66" s="19"/>
      <c r="E66" s="19"/>
      <c r="F66" s="20"/>
      <c r="G66" s="19"/>
      <c r="H66" s="19"/>
      <c r="I66" s="20"/>
      <c r="J66" s="19"/>
      <c r="K66" s="19"/>
    </row>
    <row r="67" spans="1:11" ht="14.25">
      <c r="A67" s="19"/>
      <c r="B67" s="31"/>
      <c r="C67" s="19"/>
      <c r="D67" s="19"/>
      <c r="E67" s="19"/>
      <c r="F67" s="20"/>
      <c r="G67" s="19"/>
      <c r="H67" s="19"/>
      <c r="I67" s="20"/>
      <c r="J67" s="19"/>
      <c r="K67" s="19"/>
    </row>
    <row r="68" spans="1:11" ht="14.25">
      <c r="A68" s="19"/>
      <c r="B68" s="31"/>
      <c r="C68" s="19"/>
      <c r="D68" s="19"/>
      <c r="E68" s="19"/>
      <c r="F68" s="20"/>
      <c r="G68" s="19"/>
      <c r="H68" s="19"/>
      <c r="I68" s="20"/>
      <c r="J68" s="19"/>
      <c r="K68" s="19"/>
    </row>
    <row r="69" spans="1:11" ht="14.25">
      <c r="A69" s="19"/>
      <c r="B69" s="31"/>
      <c r="C69" s="19"/>
      <c r="D69" s="19"/>
      <c r="E69" s="19"/>
      <c r="F69" s="20"/>
      <c r="G69" s="19"/>
      <c r="H69" s="19"/>
      <c r="I69" s="20"/>
      <c r="J69" s="19"/>
      <c r="K69" s="19"/>
    </row>
    <row r="70" spans="1:11" ht="14.25">
      <c r="A70" s="19"/>
      <c r="B70" s="31"/>
      <c r="C70" s="19"/>
      <c r="D70" s="19"/>
      <c r="E70" s="19"/>
      <c r="F70" s="20"/>
      <c r="G70" s="19"/>
      <c r="H70" s="19"/>
      <c r="I70" s="20"/>
      <c r="J70" s="19"/>
      <c r="K70" s="19"/>
    </row>
    <row r="71" spans="1:11" ht="14.25">
      <c r="A71" s="19"/>
      <c r="B71" s="31"/>
      <c r="C71" s="19"/>
      <c r="D71" s="19"/>
      <c r="E71" s="19"/>
      <c r="F71" s="20"/>
      <c r="G71" s="19"/>
      <c r="H71" s="19"/>
      <c r="I71" s="20"/>
      <c r="J71" s="19"/>
      <c r="K71" s="19"/>
    </row>
    <row r="72" spans="1:11" ht="14.25">
      <c r="A72" s="19"/>
      <c r="B72" s="31"/>
      <c r="C72" s="19"/>
      <c r="D72" s="19"/>
      <c r="E72" s="19"/>
      <c r="F72" s="20"/>
      <c r="G72" s="19"/>
      <c r="H72" s="19"/>
      <c r="I72" s="20"/>
      <c r="J72" s="19"/>
      <c r="K72" s="19"/>
    </row>
    <row r="73" spans="1:11" ht="14.25">
      <c r="A73" s="19"/>
      <c r="B73" s="31"/>
      <c r="C73" s="19"/>
      <c r="D73" s="19"/>
      <c r="E73" s="19"/>
      <c r="F73" s="20"/>
      <c r="G73" s="19"/>
      <c r="H73" s="19"/>
      <c r="I73" s="20"/>
      <c r="J73" s="19"/>
      <c r="K73" s="19"/>
    </row>
    <row r="74" spans="1:11" ht="14.25">
      <c r="A74" s="19"/>
      <c r="B74" s="31"/>
      <c r="C74" s="19"/>
      <c r="D74" s="19"/>
      <c r="E74" s="19"/>
      <c r="F74" s="20"/>
      <c r="G74" s="19"/>
      <c r="H74" s="19"/>
      <c r="I74" s="20"/>
      <c r="J74" s="19"/>
      <c r="K74" s="19"/>
    </row>
    <row r="75" spans="1:11" ht="14.25">
      <c r="A75" s="19"/>
      <c r="B75" s="31"/>
      <c r="C75" s="19"/>
      <c r="D75" s="19"/>
      <c r="E75" s="19"/>
      <c r="F75" s="20"/>
      <c r="G75" s="19"/>
      <c r="H75" s="19"/>
      <c r="I75" s="20"/>
      <c r="J75" s="19"/>
      <c r="K75" s="19"/>
    </row>
    <row r="76" spans="1:11" ht="14.25">
      <c r="A76" s="19"/>
      <c r="B76" s="31"/>
      <c r="C76" s="19"/>
      <c r="D76" s="19"/>
      <c r="E76" s="19"/>
      <c r="F76" s="20"/>
      <c r="G76" s="19"/>
      <c r="H76" s="19"/>
      <c r="I76" s="20"/>
      <c r="J76" s="19"/>
      <c r="K76" s="19"/>
    </row>
    <row r="77" spans="1:11" ht="14.25">
      <c r="A77" s="19"/>
      <c r="B77" s="31"/>
      <c r="C77" s="19"/>
      <c r="D77" s="19"/>
      <c r="E77" s="19"/>
      <c r="F77" s="20"/>
      <c r="G77" s="19"/>
      <c r="H77" s="19"/>
      <c r="I77" s="20"/>
      <c r="J77" s="19"/>
      <c r="K77" s="19"/>
    </row>
    <row r="78" spans="1:11" ht="14.25">
      <c r="A78" s="19"/>
      <c r="B78" s="31"/>
      <c r="C78" s="19"/>
      <c r="D78" s="19"/>
      <c r="E78" s="19"/>
      <c r="F78" s="20"/>
      <c r="G78" s="19"/>
      <c r="H78" s="19"/>
      <c r="I78" s="20"/>
      <c r="J78" s="19"/>
      <c r="K78" s="19"/>
    </row>
    <row r="79" spans="1:11" ht="14.25">
      <c r="A79" s="19"/>
      <c r="B79" s="31"/>
      <c r="C79" s="19"/>
      <c r="D79" s="19"/>
      <c r="E79" s="19"/>
      <c r="F79" s="20"/>
      <c r="G79" s="19"/>
      <c r="H79" s="19"/>
      <c r="I79" s="20"/>
      <c r="J79" s="19"/>
      <c r="K79" s="19"/>
    </row>
    <row r="80" spans="1:11" ht="14.25">
      <c r="A80" s="19"/>
      <c r="B80" s="31"/>
      <c r="C80" s="19"/>
      <c r="D80" s="19"/>
      <c r="E80" s="19"/>
      <c r="F80" s="20"/>
      <c r="G80" s="19"/>
      <c r="H80" s="19"/>
      <c r="I80" s="20"/>
      <c r="J80" s="19"/>
      <c r="K80" s="19"/>
    </row>
    <row r="81" spans="1:11" ht="14.25">
      <c r="A81" s="19"/>
      <c r="B81" s="31"/>
      <c r="C81" s="19"/>
      <c r="D81" s="19"/>
      <c r="E81" s="19"/>
      <c r="F81" s="20"/>
      <c r="G81" s="19"/>
      <c r="H81" s="19"/>
      <c r="I81" s="20"/>
      <c r="J81" s="19"/>
      <c r="K81" s="19"/>
    </row>
    <row r="82" spans="1:11" ht="14.25">
      <c r="A82" s="19"/>
      <c r="B82" s="31"/>
      <c r="C82" s="19"/>
      <c r="D82" s="19"/>
      <c r="E82" s="19"/>
      <c r="F82" s="20"/>
      <c r="G82" s="19"/>
      <c r="H82" s="19"/>
      <c r="I82" s="20"/>
      <c r="J82" s="19"/>
      <c r="K82" s="19"/>
    </row>
    <row r="83" spans="1:11" ht="14.25">
      <c r="A83" s="19"/>
      <c r="B83" s="31"/>
      <c r="C83" s="19"/>
      <c r="D83" s="19"/>
      <c r="E83" s="19"/>
      <c r="F83" s="20"/>
      <c r="G83" s="19"/>
      <c r="H83" s="19"/>
      <c r="I83" s="20"/>
      <c r="J83" s="19"/>
      <c r="K83" s="19"/>
    </row>
    <row r="84" spans="1:11" ht="14.25">
      <c r="A84" s="19"/>
      <c r="B84" s="31"/>
      <c r="C84" s="19"/>
      <c r="D84" s="19"/>
      <c r="E84" s="19"/>
      <c r="F84" s="20"/>
      <c r="G84" s="19"/>
      <c r="H84" s="19"/>
      <c r="I84" s="20"/>
      <c r="J84" s="19"/>
      <c r="K84" s="19"/>
    </row>
    <row r="85" spans="1:11" ht="14.25">
      <c r="A85" s="19"/>
      <c r="B85" s="31"/>
      <c r="C85" s="19"/>
      <c r="D85" s="19"/>
      <c r="E85" s="19"/>
      <c r="F85" s="20"/>
      <c r="G85" s="19"/>
      <c r="H85" s="19"/>
      <c r="I85" s="20"/>
      <c r="J85" s="19"/>
      <c r="K85" s="19"/>
    </row>
    <row r="86" spans="1:11" ht="14.25">
      <c r="A86" s="19"/>
      <c r="B86" s="31"/>
      <c r="C86" s="19"/>
      <c r="D86" s="19"/>
      <c r="E86" s="19"/>
      <c r="F86" s="20"/>
      <c r="G86" s="19"/>
      <c r="H86" s="19"/>
      <c r="I86" s="20"/>
      <c r="J86" s="19"/>
      <c r="K86" s="19"/>
    </row>
    <row r="87" spans="1:11" ht="14.25">
      <c r="A87" s="19"/>
      <c r="B87" s="31"/>
      <c r="C87" s="19"/>
      <c r="D87" s="19"/>
      <c r="E87" s="19"/>
      <c r="F87" s="20"/>
      <c r="G87" s="19"/>
      <c r="H87" s="19"/>
      <c r="I87" s="20"/>
      <c r="J87" s="19"/>
      <c r="K87" s="19"/>
    </row>
    <row r="88" spans="1:11" ht="14.25">
      <c r="A88" s="19"/>
      <c r="B88" s="31"/>
      <c r="C88" s="19"/>
      <c r="D88" s="19"/>
      <c r="E88" s="19"/>
      <c r="F88" s="20"/>
      <c r="G88" s="19"/>
      <c r="H88" s="19"/>
      <c r="I88" s="20"/>
      <c r="J88" s="19"/>
      <c r="K88" s="19"/>
    </row>
    <row r="89" spans="1:11" ht="14.25">
      <c r="A89" s="19"/>
      <c r="B89" s="31"/>
      <c r="C89" s="19"/>
      <c r="D89" s="19"/>
      <c r="E89" s="19"/>
      <c r="F89" s="20"/>
      <c r="G89" s="19"/>
      <c r="H89" s="19"/>
      <c r="I89" s="20"/>
      <c r="J89" s="19"/>
      <c r="K89" s="19"/>
    </row>
    <row r="90" spans="1:11" ht="14.25">
      <c r="A90" s="19"/>
      <c r="B90" s="31"/>
      <c r="C90" s="19"/>
      <c r="D90" s="19"/>
      <c r="E90" s="19"/>
      <c r="F90" s="20"/>
      <c r="G90" s="19"/>
      <c r="H90" s="19"/>
      <c r="I90" s="20"/>
      <c r="J90" s="19"/>
      <c r="K90" s="19"/>
    </row>
    <row r="91" spans="1:11" ht="14.25">
      <c r="A91" s="19"/>
      <c r="B91" s="31"/>
      <c r="C91" s="19"/>
      <c r="D91" s="19"/>
      <c r="E91" s="19"/>
      <c r="F91" s="20"/>
      <c r="G91" s="19"/>
      <c r="H91" s="19"/>
      <c r="I91" s="20"/>
      <c r="J91" s="19"/>
      <c r="K91" s="19"/>
    </row>
    <row r="92" spans="1:11" ht="14.25">
      <c r="A92" s="19"/>
      <c r="B92" s="31"/>
      <c r="C92" s="19"/>
      <c r="D92" s="19"/>
      <c r="E92" s="19"/>
      <c r="F92" s="20"/>
      <c r="G92" s="19"/>
      <c r="H92" s="19"/>
      <c r="I92" s="20"/>
      <c r="J92" s="19"/>
      <c r="K92" s="19"/>
    </row>
    <row r="93" spans="1:11" ht="14.25">
      <c r="A93" s="19"/>
      <c r="B93" s="31"/>
      <c r="C93" s="19"/>
      <c r="D93" s="19"/>
      <c r="E93" s="19"/>
      <c r="F93" s="20"/>
      <c r="G93" s="19"/>
      <c r="H93" s="19"/>
      <c r="I93" s="20"/>
      <c r="J93" s="19"/>
      <c r="K93" s="19"/>
    </row>
    <row r="94" spans="1:11" ht="14.25">
      <c r="A94" s="19"/>
      <c r="B94" s="31"/>
      <c r="C94" s="19"/>
      <c r="D94" s="19"/>
      <c r="E94" s="19"/>
      <c r="F94" s="20"/>
      <c r="G94" s="19"/>
      <c r="H94" s="19"/>
      <c r="I94" s="20"/>
      <c r="J94" s="19"/>
      <c r="K94" s="19"/>
    </row>
    <row r="95" spans="1:11" ht="14.25">
      <c r="A95" s="19"/>
      <c r="B95" s="31"/>
      <c r="C95" s="19"/>
      <c r="D95" s="19"/>
      <c r="E95" s="19"/>
      <c r="F95" s="20"/>
      <c r="G95" s="19"/>
      <c r="H95" s="19"/>
      <c r="I95" s="20"/>
      <c r="J95" s="19"/>
      <c r="K95" s="19"/>
    </row>
    <row r="96" spans="1:11" ht="14.25">
      <c r="A96" s="19"/>
      <c r="B96" s="31"/>
      <c r="C96" s="19"/>
      <c r="D96" s="19"/>
      <c r="E96" s="19"/>
      <c r="F96" s="20"/>
      <c r="G96" s="19"/>
      <c r="H96" s="19"/>
      <c r="I96" s="20"/>
      <c r="J96" s="19"/>
      <c r="K96" s="19"/>
    </row>
    <row r="97" spans="1:11" ht="14.25">
      <c r="A97" s="19"/>
      <c r="B97" s="31"/>
      <c r="C97" s="19"/>
      <c r="D97" s="19"/>
      <c r="E97" s="19"/>
      <c r="F97" s="20"/>
      <c r="G97" s="19"/>
      <c r="H97" s="19"/>
      <c r="I97" s="20"/>
      <c r="J97" s="19"/>
      <c r="K97" s="19"/>
    </row>
    <row r="98" spans="1:11" ht="14.25">
      <c r="A98" s="19"/>
      <c r="B98" s="31"/>
      <c r="C98" s="19"/>
      <c r="D98" s="19"/>
      <c r="E98" s="19"/>
      <c r="F98" s="20"/>
      <c r="G98" s="19"/>
      <c r="H98" s="19"/>
      <c r="I98" s="20"/>
      <c r="J98" s="19"/>
      <c r="K98" s="19"/>
    </row>
    <row r="99" spans="1:11" ht="14.25">
      <c r="A99" s="19"/>
      <c r="B99" s="31"/>
      <c r="C99" s="19"/>
      <c r="D99" s="19"/>
      <c r="E99" s="19"/>
      <c r="F99" s="20"/>
      <c r="G99" s="19"/>
      <c r="H99" s="19"/>
      <c r="I99" s="20"/>
      <c r="J99" s="19"/>
      <c r="K99" s="19"/>
    </row>
    <row r="100" spans="1:11" ht="14.25">
      <c r="A100" s="19"/>
      <c r="B100" s="31"/>
      <c r="C100" s="19"/>
      <c r="D100" s="19"/>
      <c r="E100" s="19"/>
      <c r="F100" s="20"/>
      <c r="G100" s="19"/>
      <c r="H100" s="19"/>
      <c r="I100" s="20"/>
      <c r="J100" s="19"/>
      <c r="K100" s="19"/>
    </row>
    <row r="101" spans="1:11" ht="14.25">
      <c r="A101" s="19"/>
      <c r="B101" s="31"/>
      <c r="C101" s="19"/>
      <c r="D101" s="19"/>
      <c r="E101" s="19"/>
      <c r="F101" s="20"/>
      <c r="G101" s="19"/>
      <c r="H101" s="19"/>
      <c r="I101" s="20"/>
      <c r="J101" s="19"/>
      <c r="K101" s="19"/>
    </row>
    <row r="102" spans="1:11" ht="14.25">
      <c r="A102" s="19"/>
      <c r="B102" s="31"/>
      <c r="C102" s="19"/>
      <c r="D102" s="19"/>
      <c r="E102" s="19"/>
      <c r="F102" s="20"/>
      <c r="G102" s="19"/>
      <c r="H102" s="19"/>
      <c r="I102" s="20"/>
      <c r="J102" s="19"/>
      <c r="K102" s="19"/>
    </row>
    <row r="103" spans="1:11" ht="14.25">
      <c r="A103" s="19"/>
      <c r="B103" s="31"/>
      <c r="C103" s="19"/>
      <c r="D103" s="19"/>
      <c r="E103" s="19"/>
      <c r="F103" s="20"/>
      <c r="G103" s="19"/>
      <c r="H103" s="19"/>
      <c r="I103" s="20"/>
      <c r="J103" s="19"/>
      <c r="K103" s="19"/>
    </row>
    <row r="104" spans="1:11" ht="14.25">
      <c r="A104" s="19"/>
      <c r="B104" s="31"/>
      <c r="C104" s="19"/>
      <c r="D104" s="19"/>
      <c r="E104" s="19"/>
      <c r="F104" s="20"/>
      <c r="G104" s="19"/>
      <c r="H104" s="19"/>
      <c r="I104" s="20"/>
      <c r="J104" s="19"/>
      <c r="K104" s="19"/>
    </row>
    <row r="105" spans="1:11" ht="14.25">
      <c r="A105" s="19"/>
      <c r="B105" s="31"/>
      <c r="C105" s="19"/>
      <c r="D105" s="19"/>
      <c r="E105" s="19"/>
      <c r="F105" s="20"/>
      <c r="G105" s="19"/>
      <c r="H105" s="19"/>
      <c r="I105" s="20"/>
      <c r="J105" s="19"/>
      <c r="K105" s="19"/>
    </row>
    <row r="106" spans="1:11" ht="14.25">
      <c r="A106" s="19"/>
      <c r="B106" s="31"/>
      <c r="C106" s="19"/>
      <c r="D106" s="19"/>
      <c r="E106" s="19"/>
      <c r="F106" s="20"/>
      <c r="G106" s="19"/>
      <c r="H106" s="19"/>
      <c r="I106" s="20"/>
      <c r="J106" s="19"/>
      <c r="K106" s="19"/>
    </row>
    <row r="107" spans="1:11" ht="14.25">
      <c r="A107" s="19"/>
      <c r="B107" s="31"/>
      <c r="C107" s="19"/>
      <c r="D107" s="19"/>
      <c r="E107" s="19"/>
      <c r="F107" s="20"/>
      <c r="G107" s="19"/>
      <c r="H107" s="19"/>
      <c r="I107" s="20"/>
      <c r="J107" s="19"/>
      <c r="K107" s="19"/>
    </row>
    <row r="108" spans="1:11" ht="14.25">
      <c r="A108" s="19"/>
      <c r="B108" s="31"/>
      <c r="C108" s="19"/>
      <c r="D108" s="19"/>
      <c r="E108" s="19"/>
      <c r="F108" s="20"/>
      <c r="G108" s="19"/>
      <c r="H108" s="19"/>
      <c r="I108" s="20"/>
      <c r="J108" s="19"/>
      <c r="K108" s="19"/>
    </row>
    <row r="109" spans="1:11" ht="14.25">
      <c r="A109" s="19"/>
      <c r="B109" s="31"/>
      <c r="C109" s="19"/>
      <c r="D109" s="19"/>
      <c r="E109" s="19"/>
      <c r="F109" s="20"/>
      <c r="G109" s="19"/>
      <c r="H109" s="19"/>
      <c r="I109" s="20"/>
      <c r="J109" s="19"/>
      <c r="K109" s="19"/>
    </row>
    <row r="110" spans="1:11" ht="14.25">
      <c r="A110" s="19"/>
      <c r="B110" s="31"/>
      <c r="C110" s="19"/>
      <c r="D110" s="19"/>
      <c r="E110" s="19"/>
      <c r="F110" s="20"/>
      <c r="G110" s="19"/>
      <c r="H110" s="19"/>
      <c r="I110" s="20"/>
      <c r="J110" s="19"/>
      <c r="K110" s="19"/>
    </row>
    <row r="111" spans="1:11" ht="14.25">
      <c r="A111" s="19"/>
      <c r="B111" s="31"/>
      <c r="C111" s="19"/>
      <c r="D111" s="19"/>
      <c r="E111" s="19"/>
      <c r="F111" s="20"/>
      <c r="G111" s="19"/>
      <c r="H111" s="19"/>
      <c r="I111" s="20"/>
      <c r="J111" s="19"/>
      <c r="K111" s="19"/>
    </row>
    <row r="112" spans="1:11" ht="14.25">
      <c r="A112" s="19"/>
      <c r="B112" s="31"/>
      <c r="C112" s="19"/>
      <c r="D112" s="19"/>
      <c r="E112" s="19"/>
      <c r="F112" s="20"/>
      <c r="G112" s="19"/>
      <c r="H112" s="19"/>
      <c r="I112" s="20"/>
      <c r="J112" s="19"/>
      <c r="K112" s="19"/>
    </row>
    <row r="113" spans="1:11" ht="14.25">
      <c r="A113" s="19"/>
      <c r="B113" s="31"/>
      <c r="C113" s="19"/>
      <c r="D113" s="19"/>
      <c r="E113" s="19"/>
      <c r="F113" s="20"/>
      <c r="G113" s="19"/>
      <c r="H113" s="19"/>
      <c r="I113" s="20"/>
      <c r="J113" s="19"/>
      <c r="K113" s="19"/>
    </row>
    <row r="114" spans="1:11" ht="14.25">
      <c r="A114" s="19"/>
      <c r="B114" s="31"/>
      <c r="C114" s="19"/>
      <c r="D114" s="19"/>
      <c r="E114" s="19"/>
      <c r="F114" s="20"/>
      <c r="G114" s="19"/>
      <c r="H114" s="19"/>
      <c r="I114" s="20"/>
      <c r="J114" s="19"/>
      <c r="K114" s="19"/>
    </row>
    <row r="115" spans="1:11" ht="14.25">
      <c r="A115" s="19"/>
      <c r="B115" s="31"/>
      <c r="C115" s="19"/>
      <c r="D115" s="19"/>
      <c r="E115" s="19"/>
      <c r="F115" s="20"/>
      <c r="G115" s="19"/>
      <c r="H115" s="19"/>
      <c r="I115" s="20"/>
      <c r="J115" s="19"/>
      <c r="K115" s="19"/>
    </row>
    <row r="116" spans="1:11" ht="14.25">
      <c r="A116" s="19"/>
      <c r="B116" s="31"/>
      <c r="C116" s="19"/>
      <c r="D116" s="19"/>
      <c r="E116" s="19"/>
      <c r="F116" s="20"/>
      <c r="G116" s="19"/>
      <c r="H116" s="19"/>
      <c r="I116" s="20"/>
      <c r="J116" s="19"/>
      <c r="K116" s="19"/>
    </row>
    <row r="117" spans="1:11" ht="14.25">
      <c r="A117" s="19"/>
      <c r="B117" s="31"/>
      <c r="C117" s="19"/>
      <c r="D117" s="19"/>
      <c r="E117" s="19"/>
      <c r="F117" s="20"/>
      <c r="G117" s="19"/>
      <c r="H117" s="19"/>
      <c r="I117" s="20"/>
      <c r="J117" s="19"/>
      <c r="K117" s="19"/>
    </row>
    <row r="118" spans="1:11" ht="14.25">
      <c r="A118" s="19"/>
      <c r="B118" s="31"/>
      <c r="C118" s="19"/>
      <c r="D118" s="19"/>
      <c r="E118" s="19"/>
      <c r="F118" s="20"/>
      <c r="G118" s="19"/>
      <c r="H118" s="19"/>
      <c r="I118" s="20"/>
      <c r="J118" s="19"/>
      <c r="K118" s="19"/>
    </row>
    <row r="119" spans="1:11" ht="14.25">
      <c r="A119" s="19"/>
      <c r="B119" s="31"/>
      <c r="C119" s="19"/>
      <c r="D119" s="19"/>
      <c r="E119" s="19"/>
      <c r="F119" s="20"/>
      <c r="G119" s="19"/>
      <c r="H119" s="19"/>
      <c r="I119" s="20"/>
      <c r="J119" s="19"/>
      <c r="K119" s="19"/>
    </row>
    <row r="120" spans="1:11" ht="14.25">
      <c r="A120" s="19"/>
      <c r="B120" s="31"/>
      <c r="C120" s="19"/>
      <c r="D120" s="19"/>
      <c r="E120" s="19"/>
      <c r="F120" s="20"/>
      <c r="G120" s="19"/>
      <c r="H120" s="19"/>
      <c r="I120" s="20"/>
      <c r="J120" s="19"/>
      <c r="K120" s="19"/>
    </row>
    <row r="121" spans="1:11" ht="14.25">
      <c r="A121" s="19"/>
      <c r="B121" s="31"/>
      <c r="C121" s="19"/>
      <c r="D121" s="19"/>
      <c r="E121" s="19"/>
      <c r="F121" s="20"/>
      <c r="G121" s="19"/>
      <c r="H121" s="19"/>
      <c r="I121" s="20"/>
      <c r="J121" s="19"/>
      <c r="K121" s="19"/>
    </row>
    <row r="122" spans="1:11" ht="14.25">
      <c r="A122" s="19"/>
      <c r="B122" s="31"/>
      <c r="C122" s="19"/>
      <c r="D122" s="19"/>
      <c r="E122" s="19"/>
      <c r="F122" s="20"/>
      <c r="G122" s="19"/>
      <c r="H122" s="19"/>
      <c r="I122" s="20"/>
      <c r="J122" s="19"/>
      <c r="K122" s="19"/>
    </row>
    <row r="123" spans="1:11" ht="14.25">
      <c r="A123" s="19"/>
      <c r="B123" s="31"/>
      <c r="C123" s="19"/>
      <c r="D123" s="19"/>
      <c r="E123" s="19"/>
      <c r="F123" s="20"/>
      <c r="G123" s="19"/>
      <c r="H123" s="19"/>
      <c r="I123" s="20"/>
      <c r="J123" s="19"/>
      <c r="K123" s="19"/>
    </row>
    <row r="124" spans="1:11" ht="14.25">
      <c r="A124" s="19"/>
      <c r="B124" s="31"/>
      <c r="C124" s="19"/>
      <c r="D124" s="19"/>
      <c r="E124" s="19"/>
      <c r="F124" s="20"/>
      <c r="G124" s="19"/>
      <c r="H124" s="19"/>
      <c r="I124" s="20"/>
      <c r="J124" s="19"/>
      <c r="K124" s="19"/>
    </row>
    <row r="125" spans="1:11" ht="14.25">
      <c r="A125" s="19"/>
      <c r="B125" s="31"/>
      <c r="C125" s="19"/>
      <c r="D125" s="19"/>
      <c r="E125" s="19"/>
      <c r="F125" s="20"/>
      <c r="G125" s="19"/>
      <c r="H125" s="19"/>
      <c r="I125" s="20"/>
      <c r="J125" s="19"/>
      <c r="K125" s="19"/>
    </row>
    <row r="126" spans="1:11" ht="14.25">
      <c r="A126" s="19"/>
      <c r="B126" s="31"/>
      <c r="C126" s="19"/>
      <c r="D126" s="19"/>
      <c r="E126" s="19"/>
      <c r="F126" s="20"/>
      <c r="G126" s="19"/>
      <c r="H126" s="19"/>
      <c r="I126" s="20"/>
      <c r="J126" s="19"/>
      <c r="K126" s="19"/>
    </row>
    <row r="127" spans="1:11" ht="14.25">
      <c r="A127" s="19"/>
      <c r="B127" s="31"/>
      <c r="C127" s="19"/>
      <c r="D127" s="19"/>
      <c r="E127" s="19"/>
      <c r="F127" s="20"/>
      <c r="G127" s="19"/>
      <c r="H127" s="19"/>
      <c r="I127" s="20"/>
      <c r="J127" s="19"/>
      <c r="K127" s="19"/>
    </row>
    <row r="128" spans="1:11" ht="14.25">
      <c r="A128" s="19"/>
      <c r="B128" s="31"/>
      <c r="C128" s="19"/>
      <c r="D128" s="19"/>
      <c r="E128" s="19"/>
      <c r="F128" s="20"/>
      <c r="G128" s="19"/>
      <c r="H128" s="19"/>
      <c r="I128" s="20"/>
      <c r="J128" s="19"/>
      <c r="K128" s="19"/>
    </row>
    <row r="129" spans="1:11" ht="14.25">
      <c r="A129" s="19"/>
      <c r="B129" s="31"/>
      <c r="C129" s="19"/>
      <c r="D129" s="19"/>
      <c r="E129" s="19"/>
      <c r="F129" s="20"/>
      <c r="G129" s="19"/>
      <c r="H129" s="19"/>
      <c r="I129" s="20"/>
      <c r="J129" s="19"/>
      <c r="K129" s="19"/>
    </row>
    <row r="130" spans="1:11" ht="14.25">
      <c r="A130" s="19"/>
      <c r="B130" s="31"/>
      <c r="C130" s="19"/>
      <c r="D130" s="19"/>
      <c r="E130" s="19"/>
      <c r="F130" s="20"/>
      <c r="G130" s="19"/>
      <c r="H130" s="19"/>
      <c r="I130" s="20"/>
      <c r="J130" s="19"/>
      <c r="K130" s="19"/>
    </row>
    <row r="131" spans="1:11" ht="14.25">
      <c r="A131" s="19"/>
      <c r="B131" s="31"/>
      <c r="C131" s="19"/>
      <c r="D131" s="19"/>
      <c r="E131" s="19"/>
      <c r="F131" s="20"/>
      <c r="G131" s="19"/>
      <c r="H131" s="19"/>
      <c r="I131" s="20"/>
      <c r="J131" s="19"/>
      <c r="K131" s="19"/>
    </row>
    <row r="132" spans="1:11" ht="14.25">
      <c r="A132" s="19"/>
      <c r="B132" s="31"/>
      <c r="C132" s="19"/>
      <c r="D132" s="19"/>
      <c r="E132" s="19"/>
      <c r="F132" s="20"/>
      <c r="G132" s="19"/>
      <c r="H132" s="19"/>
      <c r="I132" s="20"/>
      <c r="J132" s="19"/>
      <c r="K132" s="19"/>
    </row>
    <row r="133" spans="1:11" ht="14.25">
      <c r="A133" s="19"/>
      <c r="B133" s="31"/>
      <c r="C133" s="19"/>
      <c r="D133" s="19"/>
      <c r="E133" s="19"/>
      <c r="F133" s="20"/>
      <c r="G133" s="19"/>
      <c r="H133" s="19"/>
      <c r="I133" s="20"/>
      <c r="J133" s="19"/>
      <c r="K133" s="19"/>
    </row>
    <row r="134" spans="1:11" ht="14.25">
      <c r="A134" s="19"/>
      <c r="B134" s="31"/>
      <c r="C134" s="19"/>
      <c r="D134" s="19"/>
      <c r="E134" s="19"/>
      <c r="F134" s="20"/>
      <c r="G134" s="19"/>
      <c r="H134" s="19"/>
      <c r="I134" s="20"/>
      <c r="J134" s="19"/>
      <c r="K134" s="19"/>
    </row>
    <row r="135" spans="1:11" ht="14.25">
      <c r="A135" s="19"/>
      <c r="B135" s="31"/>
      <c r="C135" s="19"/>
      <c r="D135" s="19"/>
      <c r="E135" s="19"/>
      <c r="F135" s="20"/>
      <c r="G135" s="19"/>
      <c r="H135" s="19"/>
      <c r="I135" s="20"/>
      <c r="J135" s="19"/>
      <c r="K135" s="19"/>
    </row>
    <row r="136" spans="1:11" ht="14.25">
      <c r="A136" s="19"/>
      <c r="B136" s="31"/>
      <c r="C136" s="19"/>
      <c r="D136" s="19"/>
      <c r="E136" s="19"/>
      <c r="F136" s="20"/>
      <c r="G136" s="19"/>
      <c r="H136" s="19"/>
      <c r="I136" s="20"/>
      <c r="J136" s="19"/>
      <c r="K136" s="19"/>
    </row>
    <row r="137" spans="1:11" ht="14.25">
      <c r="A137" s="19"/>
      <c r="B137" s="31"/>
      <c r="C137" s="19"/>
      <c r="D137" s="19"/>
      <c r="E137" s="19"/>
      <c r="F137" s="20"/>
      <c r="G137" s="19"/>
      <c r="H137" s="19"/>
      <c r="I137" s="20"/>
      <c r="J137" s="19"/>
      <c r="K137" s="19"/>
    </row>
    <row r="138" spans="1:11" ht="14.25">
      <c r="A138" s="19"/>
      <c r="B138" s="31"/>
      <c r="C138" s="19"/>
      <c r="D138" s="19"/>
      <c r="E138" s="19"/>
      <c r="F138" s="20"/>
      <c r="G138" s="19"/>
      <c r="H138" s="19"/>
      <c r="I138" s="20"/>
      <c r="J138" s="19"/>
      <c r="K138" s="19"/>
    </row>
    <row r="139" spans="1:11" ht="14.25">
      <c r="A139" s="19"/>
      <c r="B139" s="31"/>
      <c r="C139" s="19"/>
      <c r="D139" s="19"/>
      <c r="E139" s="19"/>
      <c r="F139" s="20"/>
      <c r="G139" s="19"/>
      <c r="H139" s="19"/>
      <c r="I139" s="20"/>
      <c r="J139" s="19"/>
      <c r="K139" s="19"/>
    </row>
    <row r="140" spans="1:11" ht="14.25">
      <c r="A140" s="19"/>
      <c r="B140" s="31"/>
      <c r="C140" s="19"/>
      <c r="D140" s="19"/>
      <c r="E140" s="19"/>
      <c r="F140" s="20"/>
      <c r="G140" s="19"/>
      <c r="H140" s="19"/>
      <c r="I140" s="20"/>
      <c r="J140" s="19"/>
      <c r="K140" s="19"/>
    </row>
    <row r="141" spans="1:11" ht="14.25">
      <c r="A141" s="19"/>
      <c r="B141" s="31"/>
      <c r="C141" s="19"/>
      <c r="D141" s="19"/>
      <c r="E141" s="19"/>
      <c r="F141" s="20"/>
      <c r="G141" s="19"/>
      <c r="H141" s="19"/>
      <c r="I141" s="20"/>
      <c r="J141" s="19"/>
      <c r="K141" s="19"/>
    </row>
    <row r="142" spans="1:11" ht="14.25">
      <c r="A142" s="19"/>
      <c r="B142" s="31"/>
      <c r="C142" s="19"/>
      <c r="D142" s="19"/>
      <c r="E142" s="19"/>
      <c r="F142" s="20"/>
      <c r="G142" s="19"/>
      <c r="H142" s="19"/>
      <c r="I142" s="20"/>
      <c r="J142" s="19"/>
      <c r="K142" s="19"/>
    </row>
    <row r="143" spans="1:11" ht="14.25">
      <c r="A143" s="19"/>
      <c r="B143" s="31"/>
      <c r="C143" s="19"/>
      <c r="D143" s="19"/>
      <c r="E143" s="19"/>
      <c r="F143" s="20"/>
      <c r="G143" s="19"/>
      <c r="H143" s="19"/>
      <c r="I143" s="20"/>
      <c r="J143" s="19"/>
      <c r="K143" s="19"/>
    </row>
    <row r="144" spans="1:11" ht="14.25">
      <c r="A144" s="19"/>
      <c r="B144" s="31"/>
      <c r="C144" s="19"/>
      <c r="D144" s="19"/>
      <c r="E144" s="19"/>
      <c r="F144" s="20"/>
      <c r="G144" s="19"/>
      <c r="H144" s="19"/>
      <c r="I144" s="20"/>
      <c r="J144" s="19"/>
      <c r="K144" s="19"/>
    </row>
    <row r="145" spans="1:11" ht="14.25">
      <c r="A145" s="19"/>
      <c r="B145" s="31"/>
      <c r="C145" s="19"/>
      <c r="D145" s="19"/>
      <c r="E145" s="19"/>
      <c r="F145" s="20"/>
      <c r="G145" s="19"/>
      <c r="H145" s="19"/>
      <c r="I145" s="20"/>
      <c r="J145" s="19"/>
      <c r="K145" s="19"/>
    </row>
    <row r="146" spans="1:11" ht="14.25">
      <c r="A146" s="19"/>
      <c r="B146" s="31"/>
      <c r="C146" s="19"/>
      <c r="D146" s="19"/>
      <c r="E146" s="19"/>
      <c r="F146" s="20"/>
      <c r="G146" s="19"/>
      <c r="H146" s="19"/>
      <c r="I146" s="20"/>
      <c r="J146" s="19"/>
      <c r="K146" s="19"/>
    </row>
    <row r="147" spans="1:11" ht="14.25">
      <c r="A147" s="19"/>
      <c r="B147" s="31"/>
      <c r="C147" s="19"/>
      <c r="D147" s="19"/>
      <c r="E147" s="19"/>
      <c r="F147" s="20"/>
      <c r="G147" s="19"/>
      <c r="H147" s="19"/>
      <c r="I147" s="20"/>
      <c r="J147" s="19"/>
      <c r="K147" s="19"/>
    </row>
    <row r="148" spans="1:11" ht="14.25">
      <c r="A148" s="19"/>
      <c r="B148" s="31"/>
      <c r="C148" s="19"/>
      <c r="D148" s="19"/>
      <c r="E148" s="19"/>
      <c r="F148" s="20"/>
      <c r="G148" s="19"/>
      <c r="H148" s="19"/>
      <c r="I148" s="20"/>
      <c r="J148" s="19"/>
      <c r="K148" s="19"/>
    </row>
    <row r="149" spans="1:11" ht="14.25">
      <c r="A149" s="19"/>
      <c r="B149" s="31"/>
      <c r="C149" s="19"/>
      <c r="D149" s="19"/>
      <c r="E149" s="19"/>
      <c r="F149" s="20"/>
      <c r="G149" s="19"/>
      <c r="H149" s="19"/>
      <c r="I149" s="20"/>
      <c r="J149" s="19"/>
      <c r="K149" s="19"/>
    </row>
    <row r="150" spans="1:11" ht="14.25">
      <c r="A150" s="19"/>
      <c r="B150" s="31"/>
      <c r="C150" s="19"/>
      <c r="D150" s="19"/>
      <c r="E150" s="19"/>
      <c r="F150" s="20"/>
      <c r="G150" s="19"/>
      <c r="H150" s="19"/>
      <c r="I150" s="20"/>
      <c r="J150" s="19"/>
      <c r="K150" s="19"/>
    </row>
    <row r="151" spans="1:11" ht="14.25">
      <c r="A151" s="19"/>
      <c r="B151" s="31"/>
      <c r="C151" s="19"/>
      <c r="D151" s="19"/>
      <c r="E151" s="19"/>
      <c r="F151" s="20"/>
      <c r="G151" s="19"/>
      <c r="H151" s="19"/>
      <c r="I151" s="20"/>
      <c r="J151" s="19"/>
      <c r="K151" s="19"/>
    </row>
    <row r="152" spans="1:11" ht="14.25">
      <c r="A152" s="19"/>
      <c r="B152" s="31"/>
      <c r="C152" s="19"/>
      <c r="D152" s="19"/>
      <c r="E152" s="19"/>
      <c r="F152" s="20"/>
      <c r="G152" s="19"/>
      <c r="H152" s="19"/>
      <c r="I152" s="20"/>
      <c r="J152" s="19"/>
      <c r="K152" s="19"/>
    </row>
    <row r="153" spans="1:11" ht="14.25">
      <c r="A153" s="19"/>
      <c r="B153" s="31"/>
      <c r="C153" s="19"/>
      <c r="D153" s="19"/>
      <c r="E153" s="19"/>
      <c r="F153" s="20"/>
      <c r="G153" s="19"/>
      <c r="H153" s="19"/>
      <c r="I153" s="20"/>
      <c r="J153" s="19"/>
      <c r="K153" s="19"/>
    </row>
    <row r="154" spans="1:11" ht="14.25">
      <c r="A154" s="19"/>
      <c r="B154" s="31"/>
      <c r="C154" s="19"/>
      <c r="D154" s="19"/>
      <c r="E154" s="19"/>
      <c r="F154" s="20"/>
      <c r="G154" s="19"/>
      <c r="H154" s="19"/>
      <c r="I154" s="20"/>
      <c r="J154" s="19"/>
      <c r="K154" s="19"/>
    </row>
    <row r="155" spans="1:11" ht="14.25">
      <c r="A155" s="19"/>
      <c r="B155" s="31"/>
      <c r="C155" s="19"/>
      <c r="D155" s="19"/>
      <c r="E155" s="19"/>
      <c r="F155" s="20"/>
      <c r="G155" s="19"/>
      <c r="H155" s="19"/>
      <c r="I155" s="20"/>
      <c r="J155" s="19"/>
      <c r="K155" s="19"/>
    </row>
    <row r="156" spans="1:11" ht="14.25">
      <c r="A156" s="19"/>
      <c r="B156" s="31"/>
      <c r="C156" s="19"/>
      <c r="D156" s="19"/>
      <c r="E156" s="19"/>
      <c r="F156" s="20"/>
      <c r="G156" s="19"/>
      <c r="H156" s="19"/>
      <c r="I156" s="20"/>
      <c r="J156" s="19"/>
      <c r="K156" s="19"/>
    </row>
    <row r="157" spans="1:11" ht="14.25">
      <c r="A157" s="19"/>
      <c r="B157" s="31"/>
      <c r="C157" s="19"/>
      <c r="D157" s="19"/>
      <c r="E157" s="19"/>
      <c r="F157" s="20"/>
      <c r="G157" s="19"/>
      <c r="H157" s="19"/>
      <c r="I157" s="20"/>
      <c r="J157" s="19"/>
      <c r="K157" s="19"/>
    </row>
    <row r="158" spans="1:11" ht="14.25">
      <c r="A158" s="19"/>
      <c r="B158" s="31"/>
      <c r="C158" s="19"/>
      <c r="D158" s="19"/>
      <c r="E158" s="19"/>
      <c r="F158" s="20"/>
      <c r="G158" s="19"/>
      <c r="H158" s="19"/>
      <c r="I158" s="20"/>
      <c r="J158" s="19"/>
      <c r="K158" s="19"/>
    </row>
    <row r="159" spans="1:11" ht="14.25">
      <c r="A159" s="19"/>
      <c r="B159" s="31"/>
      <c r="C159" s="19"/>
      <c r="D159" s="19"/>
      <c r="E159" s="19"/>
      <c r="F159" s="20"/>
      <c r="G159" s="19"/>
      <c r="H159" s="19"/>
      <c r="I159" s="20"/>
      <c r="J159" s="19"/>
      <c r="K159" s="19"/>
    </row>
    <row r="160" spans="1:11" ht="14.25">
      <c r="A160" s="19"/>
      <c r="B160" s="31"/>
      <c r="C160" s="19"/>
      <c r="D160" s="19"/>
      <c r="E160" s="19"/>
      <c r="F160" s="20"/>
      <c r="G160" s="19"/>
      <c r="H160" s="19"/>
      <c r="I160" s="20"/>
      <c r="J160" s="19"/>
      <c r="K160" s="19"/>
    </row>
    <row r="161" spans="1:11" ht="14.25">
      <c r="A161" s="19"/>
      <c r="B161" s="31"/>
      <c r="C161" s="19"/>
      <c r="D161" s="19"/>
      <c r="E161" s="19"/>
      <c r="F161" s="20"/>
      <c r="G161" s="19"/>
      <c r="H161" s="19"/>
      <c r="I161" s="20"/>
      <c r="J161" s="19"/>
      <c r="K161" s="19"/>
    </row>
    <row r="162" spans="1:11" ht="14.25">
      <c r="A162" s="19"/>
      <c r="B162" s="31"/>
      <c r="C162" s="19"/>
      <c r="D162" s="19"/>
      <c r="E162" s="19"/>
      <c r="F162" s="20"/>
      <c r="G162" s="19"/>
      <c r="H162" s="19"/>
      <c r="I162" s="20"/>
      <c r="J162" s="19"/>
      <c r="K162" s="19"/>
    </row>
    <row r="163" spans="1:11" ht="14.25">
      <c r="A163" s="19"/>
      <c r="B163" s="31"/>
      <c r="C163" s="19"/>
      <c r="D163" s="19"/>
      <c r="E163" s="19"/>
      <c r="F163" s="20"/>
      <c r="G163" s="19"/>
      <c r="H163" s="19"/>
      <c r="I163" s="20"/>
      <c r="J163" s="19"/>
      <c r="K163" s="19"/>
    </row>
    <row r="164" spans="1:11" ht="14.25">
      <c r="A164" s="19"/>
      <c r="B164" s="31"/>
      <c r="C164" s="19"/>
      <c r="D164" s="19"/>
      <c r="E164" s="19"/>
      <c r="F164" s="20"/>
      <c r="G164" s="19"/>
      <c r="H164" s="19"/>
      <c r="I164" s="20"/>
      <c r="J164" s="19"/>
      <c r="K164" s="19"/>
    </row>
    <row r="165" spans="1:11" ht="14.25">
      <c r="A165" s="19"/>
      <c r="B165" s="31"/>
      <c r="C165" s="19"/>
      <c r="D165" s="19"/>
      <c r="E165" s="19"/>
      <c r="F165" s="20"/>
      <c r="G165" s="19"/>
      <c r="H165" s="19"/>
      <c r="I165" s="20"/>
      <c r="J165" s="19"/>
      <c r="K165" s="19"/>
    </row>
    <row r="166" spans="1:11" ht="14.25">
      <c r="A166" s="19"/>
      <c r="B166" s="31"/>
      <c r="C166" s="19"/>
      <c r="D166" s="19"/>
      <c r="E166" s="19"/>
      <c r="F166" s="20"/>
      <c r="G166" s="19"/>
      <c r="H166" s="19"/>
      <c r="I166" s="20"/>
      <c r="J166" s="19"/>
      <c r="K166" s="19"/>
    </row>
    <row r="167" spans="1:11" ht="14.25">
      <c r="A167" s="19"/>
      <c r="B167" s="31"/>
      <c r="C167" s="19"/>
      <c r="D167" s="19"/>
      <c r="E167" s="19"/>
      <c r="F167" s="20"/>
      <c r="G167" s="19"/>
      <c r="H167" s="19"/>
      <c r="I167" s="20"/>
      <c r="J167" s="19"/>
      <c r="K167" s="19"/>
    </row>
    <row r="168" spans="1:11" ht="14.25">
      <c r="A168" s="19"/>
      <c r="B168" s="31"/>
      <c r="C168" s="19"/>
      <c r="D168" s="19"/>
      <c r="E168" s="19"/>
      <c r="F168" s="20"/>
      <c r="G168" s="19"/>
      <c r="H168" s="19"/>
      <c r="I168" s="20"/>
      <c r="J168" s="19"/>
      <c r="K168" s="19"/>
    </row>
    <row r="169" spans="1:11" ht="14.25">
      <c r="A169" s="19"/>
      <c r="B169" s="31"/>
      <c r="C169" s="19"/>
      <c r="D169" s="19"/>
      <c r="E169" s="19"/>
      <c r="F169" s="20"/>
      <c r="G169" s="19"/>
      <c r="H169" s="19"/>
      <c r="I169" s="20"/>
      <c r="J169" s="19"/>
      <c r="K169" s="19"/>
    </row>
    <row r="170" spans="1:11" ht="14.25">
      <c r="A170" s="19"/>
      <c r="B170" s="31"/>
      <c r="C170" s="19"/>
      <c r="D170" s="19"/>
      <c r="E170" s="19"/>
      <c r="F170" s="20"/>
      <c r="G170" s="19"/>
      <c r="H170" s="19"/>
      <c r="I170" s="20"/>
      <c r="J170" s="19"/>
      <c r="K170" s="19"/>
    </row>
    <row r="171" spans="1:11" ht="14.25">
      <c r="A171" s="19"/>
      <c r="B171" s="31"/>
      <c r="C171" s="19"/>
      <c r="D171" s="19"/>
      <c r="E171" s="19"/>
      <c r="F171" s="20"/>
      <c r="G171" s="19"/>
      <c r="H171" s="19"/>
      <c r="I171" s="20"/>
      <c r="J171" s="19"/>
      <c r="K171" s="19"/>
    </row>
    <row r="172" spans="1:11" ht="14.25">
      <c r="A172" s="19"/>
      <c r="B172" s="31"/>
      <c r="C172" s="19"/>
      <c r="D172" s="19"/>
      <c r="E172" s="19"/>
      <c r="F172" s="20"/>
      <c r="G172" s="19"/>
      <c r="H172" s="19"/>
      <c r="I172" s="20"/>
      <c r="J172" s="19"/>
      <c r="K172" s="19"/>
    </row>
    <row r="173" spans="1:11" ht="14.25">
      <c r="A173" s="19"/>
      <c r="B173" s="31"/>
      <c r="C173" s="19"/>
      <c r="D173" s="19"/>
      <c r="E173" s="19"/>
      <c r="F173" s="20"/>
      <c r="G173" s="19"/>
      <c r="H173" s="19"/>
      <c r="I173" s="20"/>
      <c r="J173" s="19"/>
      <c r="K173" s="19"/>
    </row>
    <row r="174" spans="1:11" ht="14.25">
      <c r="A174" s="19"/>
      <c r="B174" s="31"/>
      <c r="C174" s="19"/>
      <c r="D174" s="19"/>
      <c r="E174" s="19"/>
      <c r="F174" s="20"/>
      <c r="G174" s="19"/>
      <c r="H174" s="19"/>
      <c r="I174" s="20"/>
      <c r="J174" s="19"/>
      <c r="K174" s="19"/>
    </row>
    <row r="175" spans="1:11" ht="14.25">
      <c r="A175" s="19"/>
      <c r="B175" s="31"/>
      <c r="C175" s="19"/>
      <c r="D175" s="19"/>
      <c r="E175" s="19"/>
      <c r="F175" s="20"/>
      <c r="G175" s="19"/>
      <c r="H175" s="19"/>
      <c r="I175" s="20"/>
      <c r="J175" s="19"/>
      <c r="K175" s="19"/>
    </row>
    <row r="176" spans="1:11" ht="14.25">
      <c r="A176" s="19"/>
      <c r="B176" s="31"/>
      <c r="C176" s="19"/>
      <c r="D176" s="19"/>
      <c r="E176" s="19"/>
      <c r="F176" s="20"/>
      <c r="G176" s="19"/>
      <c r="H176" s="19"/>
      <c r="I176" s="20"/>
      <c r="J176" s="19"/>
      <c r="K176" s="19"/>
    </row>
    <row r="177" spans="1:11" ht="14.25">
      <c r="A177" s="19"/>
      <c r="B177" s="31"/>
      <c r="C177" s="19"/>
      <c r="D177" s="19"/>
      <c r="E177" s="19"/>
      <c r="F177" s="20"/>
      <c r="G177" s="19"/>
      <c r="H177" s="19"/>
      <c r="I177" s="20"/>
      <c r="J177" s="19"/>
      <c r="K177" s="19"/>
    </row>
    <row r="178" spans="1:11" ht="14.25">
      <c r="A178" s="19"/>
      <c r="B178" s="31"/>
      <c r="C178" s="19"/>
      <c r="D178" s="19"/>
      <c r="E178" s="19"/>
      <c r="F178" s="20"/>
      <c r="G178" s="19"/>
      <c r="H178" s="19"/>
      <c r="I178" s="20"/>
      <c r="J178" s="19"/>
      <c r="K178" s="19"/>
    </row>
    <row r="179" spans="1:11" ht="14.25">
      <c r="A179" s="19"/>
      <c r="B179" s="31"/>
      <c r="C179" s="19"/>
      <c r="D179" s="19"/>
      <c r="E179" s="19"/>
      <c r="F179" s="20"/>
      <c r="G179" s="19"/>
      <c r="H179" s="19"/>
      <c r="I179" s="20"/>
      <c r="J179" s="19"/>
      <c r="K179" s="19"/>
    </row>
    <row r="180" spans="1:11" ht="14.25">
      <c r="A180" s="19"/>
      <c r="B180" s="31"/>
      <c r="C180" s="19"/>
      <c r="D180" s="19"/>
      <c r="E180" s="19"/>
      <c r="F180" s="20"/>
      <c r="G180" s="19"/>
      <c r="H180" s="19"/>
      <c r="I180" s="20"/>
      <c r="J180" s="19"/>
      <c r="K180" s="19"/>
    </row>
    <row r="181" spans="1:11" ht="14.25">
      <c r="A181" s="19"/>
      <c r="B181" s="31"/>
      <c r="C181" s="19"/>
      <c r="D181" s="19"/>
      <c r="E181" s="19"/>
      <c r="F181" s="20"/>
      <c r="G181" s="19"/>
      <c r="H181" s="19"/>
      <c r="I181" s="20"/>
      <c r="J181" s="19"/>
      <c r="K181" s="19"/>
    </row>
    <row r="182" spans="1:11" ht="14.25">
      <c r="A182" s="19"/>
      <c r="B182" s="31"/>
      <c r="C182" s="19"/>
      <c r="D182" s="19"/>
      <c r="E182" s="19"/>
      <c r="F182" s="20"/>
      <c r="G182" s="19"/>
      <c r="H182" s="19"/>
      <c r="I182" s="20"/>
      <c r="J182" s="19"/>
      <c r="K182" s="19"/>
    </row>
    <row r="183" spans="1:11" ht="14.25">
      <c r="A183" s="19"/>
      <c r="B183" s="31"/>
      <c r="C183" s="19"/>
      <c r="D183" s="19"/>
      <c r="E183" s="19"/>
      <c r="F183" s="20"/>
      <c r="G183" s="19"/>
      <c r="H183" s="19"/>
      <c r="I183" s="20"/>
      <c r="J183" s="19"/>
      <c r="K183" s="19"/>
    </row>
    <row r="184" spans="1:11" ht="14.25">
      <c r="A184" s="19"/>
      <c r="B184" s="31"/>
      <c r="C184" s="19"/>
      <c r="D184" s="19"/>
      <c r="E184" s="19"/>
      <c r="F184" s="20"/>
      <c r="G184" s="19"/>
      <c r="H184" s="19"/>
      <c r="I184" s="20"/>
      <c r="J184" s="19"/>
      <c r="K184" s="19"/>
    </row>
    <row r="185" spans="1:11" ht="14.25">
      <c r="A185" s="19"/>
      <c r="B185" s="31"/>
      <c r="C185" s="19"/>
      <c r="D185" s="19"/>
      <c r="E185" s="19"/>
      <c r="F185" s="20"/>
      <c r="G185" s="19"/>
      <c r="H185" s="19"/>
      <c r="I185" s="20"/>
      <c r="J185" s="19"/>
      <c r="K185" s="19"/>
    </row>
    <row r="186" spans="1:11" ht="14.25">
      <c r="A186" s="19"/>
      <c r="B186" s="31"/>
      <c r="C186" s="19"/>
      <c r="D186" s="19"/>
      <c r="E186" s="19"/>
      <c r="F186" s="20"/>
      <c r="G186" s="19"/>
      <c r="H186" s="19"/>
      <c r="I186" s="20"/>
      <c r="J186" s="19"/>
      <c r="K186" s="19"/>
    </row>
    <row r="187" spans="1:11" ht="14.25">
      <c r="A187" s="19"/>
      <c r="B187" s="31"/>
      <c r="C187" s="19"/>
      <c r="D187" s="19"/>
      <c r="E187" s="19"/>
      <c r="F187" s="20"/>
      <c r="G187" s="19"/>
      <c r="H187" s="19"/>
      <c r="I187" s="20"/>
      <c r="J187" s="19"/>
      <c r="K187" s="19"/>
    </row>
    <row r="188" spans="1:11" ht="14.25">
      <c r="A188" s="19"/>
      <c r="B188" s="31"/>
      <c r="C188" s="19"/>
      <c r="D188" s="19"/>
      <c r="E188" s="19"/>
      <c r="F188" s="20"/>
      <c r="G188" s="19"/>
      <c r="H188" s="19"/>
      <c r="I188" s="20"/>
      <c r="J188" s="19"/>
      <c r="K188" s="19"/>
    </row>
    <row r="189" spans="1:11" ht="14.25">
      <c r="A189" s="19"/>
      <c r="B189" s="31"/>
      <c r="C189" s="19"/>
      <c r="D189" s="19"/>
      <c r="E189" s="19"/>
      <c r="F189" s="20"/>
      <c r="G189" s="19"/>
      <c r="H189" s="19"/>
      <c r="I189" s="20"/>
      <c r="J189" s="19"/>
      <c r="K189" s="19"/>
    </row>
    <row r="190" spans="1:11" ht="14.25">
      <c r="A190" s="19"/>
      <c r="B190" s="31"/>
      <c r="C190" s="19"/>
      <c r="D190" s="19"/>
      <c r="E190" s="19"/>
      <c r="F190" s="20"/>
      <c r="G190" s="19"/>
      <c r="H190" s="19"/>
      <c r="I190" s="20"/>
      <c r="J190" s="19"/>
      <c r="K190" s="19"/>
    </row>
    <row r="191" spans="1:11" ht="14.25">
      <c r="A191" s="19"/>
      <c r="B191" s="31"/>
      <c r="C191" s="19"/>
      <c r="D191" s="19"/>
      <c r="E191" s="19"/>
      <c r="F191" s="20"/>
      <c r="G191" s="19"/>
      <c r="H191" s="19"/>
      <c r="I191" s="20"/>
      <c r="J191" s="19"/>
      <c r="K191" s="19"/>
    </row>
    <row r="192" spans="1:11" ht="14.25">
      <c r="A192" s="19"/>
      <c r="B192" s="31"/>
      <c r="C192" s="19"/>
      <c r="D192" s="19"/>
      <c r="E192" s="19"/>
      <c r="F192" s="20"/>
      <c r="G192" s="19"/>
      <c r="H192" s="19"/>
      <c r="I192" s="20"/>
      <c r="J192" s="19"/>
      <c r="K192" s="19"/>
    </row>
    <row r="193" spans="1:11" ht="14.25">
      <c r="A193" s="19"/>
      <c r="B193" s="31"/>
      <c r="C193" s="19"/>
      <c r="D193" s="19"/>
      <c r="E193" s="19"/>
      <c r="F193" s="20"/>
      <c r="G193" s="19"/>
      <c r="H193" s="19"/>
      <c r="I193" s="20"/>
      <c r="J193" s="19"/>
      <c r="K193" s="19"/>
    </row>
    <row r="194" spans="1:11" ht="14.25">
      <c r="A194" s="19"/>
      <c r="B194" s="31"/>
      <c r="C194" s="19"/>
      <c r="D194" s="19"/>
      <c r="E194" s="19"/>
      <c r="F194" s="20"/>
      <c r="G194" s="19"/>
      <c r="H194" s="19"/>
      <c r="I194" s="20"/>
      <c r="J194" s="19"/>
      <c r="K194" s="19"/>
    </row>
    <row r="195" spans="1:11" ht="14.25">
      <c r="A195" s="19"/>
      <c r="B195" s="31"/>
      <c r="C195" s="19"/>
      <c r="D195" s="19"/>
      <c r="E195" s="19"/>
      <c r="F195" s="20"/>
      <c r="G195" s="19"/>
      <c r="H195" s="19"/>
      <c r="I195" s="20"/>
      <c r="J195" s="19"/>
      <c r="K195" s="19"/>
    </row>
    <row r="196" spans="1:11" ht="14.25">
      <c r="A196" s="19"/>
      <c r="B196" s="31"/>
      <c r="C196" s="19"/>
      <c r="D196" s="19"/>
      <c r="E196" s="19"/>
      <c r="F196" s="20"/>
      <c r="G196" s="19"/>
      <c r="H196" s="19"/>
      <c r="I196" s="20"/>
      <c r="J196" s="19"/>
      <c r="K196" s="19"/>
    </row>
    <row r="197" spans="1:11" ht="14.25">
      <c r="A197" s="19"/>
      <c r="B197" s="31"/>
      <c r="C197" s="19"/>
      <c r="D197" s="19"/>
      <c r="E197" s="19"/>
      <c r="F197" s="20"/>
      <c r="G197" s="19"/>
      <c r="H197" s="19"/>
      <c r="I197" s="20"/>
      <c r="J197" s="19"/>
      <c r="K197" s="19"/>
    </row>
    <row r="198" spans="1:11" ht="14.25">
      <c r="A198" s="19"/>
      <c r="B198" s="31"/>
      <c r="C198" s="19"/>
      <c r="D198" s="19"/>
      <c r="E198" s="19"/>
      <c r="F198" s="20"/>
      <c r="G198" s="19"/>
      <c r="H198" s="19"/>
      <c r="I198" s="20"/>
      <c r="J198" s="19"/>
      <c r="K198" s="19"/>
    </row>
    <row r="199" spans="1:11" ht="14.25">
      <c r="A199" s="19"/>
      <c r="B199" s="31"/>
      <c r="C199" s="19"/>
      <c r="D199" s="19"/>
      <c r="E199" s="19"/>
      <c r="F199" s="20"/>
      <c r="G199" s="19"/>
      <c r="H199" s="19"/>
      <c r="I199" s="20"/>
      <c r="J199" s="19"/>
      <c r="K199" s="19"/>
    </row>
    <row r="200" spans="1:11" ht="14.25">
      <c r="A200" s="19"/>
      <c r="B200" s="31"/>
      <c r="C200" s="19"/>
      <c r="D200" s="19"/>
      <c r="E200" s="19"/>
      <c r="F200" s="20"/>
      <c r="G200" s="19"/>
      <c r="H200" s="19"/>
      <c r="I200" s="20"/>
      <c r="J200" s="19"/>
      <c r="K200" s="19"/>
    </row>
    <row r="201" spans="1:11" ht="14.25">
      <c r="A201" s="19"/>
      <c r="B201" s="31"/>
      <c r="C201" s="19"/>
      <c r="D201" s="19"/>
      <c r="E201" s="19"/>
      <c r="F201" s="20"/>
      <c r="G201" s="19"/>
      <c r="H201" s="19"/>
      <c r="I201" s="20"/>
      <c r="J201" s="19"/>
      <c r="K201" s="19"/>
    </row>
    <row r="202" spans="1:11" ht="14.25">
      <c r="A202" s="19"/>
      <c r="B202" s="31"/>
      <c r="C202" s="19"/>
      <c r="D202" s="19"/>
      <c r="E202" s="19"/>
      <c r="F202" s="20"/>
      <c r="G202" s="19"/>
      <c r="H202" s="19"/>
      <c r="I202" s="20"/>
      <c r="J202" s="19"/>
      <c r="K202" s="19"/>
    </row>
    <row r="203" spans="1:11" ht="14.25">
      <c r="A203" s="19"/>
      <c r="B203" s="31"/>
      <c r="C203" s="19"/>
      <c r="D203" s="19"/>
      <c r="E203" s="19"/>
      <c r="F203" s="20"/>
      <c r="G203" s="19"/>
      <c r="H203" s="19"/>
      <c r="I203" s="20"/>
      <c r="J203" s="19"/>
      <c r="K203" s="19"/>
    </row>
    <row r="204" spans="1:11" ht="14.25">
      <c r="A204" s="19"/>
      <c r="B204" s="31"/>
      <c r="C204" s="19"/>
      <c r="D204" s="19"/>
      <c r="E204" s="19"/>
      <c r="F204" s="20"/>
      <c r="G204" s="19"/>
      <c r="H204" s="19"/>
      <c r="I204" s="20"/>
      <c r="J204" s="19"/>
      <c r="K204" s="19"/>
    </row>
    <row r="205" spans="1:11" ht="14.25">
      <c r="A205" s="19"/>
      <c r="B205" s="31"/>
      <c r="C205" s="19"/>
      <c r="D205" s="19"/>
      <c r="E205" s="19"/>
      <c r="F205" s="20"/>
      <c r="G205" s="19"/>
      <c r="H205" s="19"/>
      <c r="I205" s="20"/>
      <c r="J205" s="19"/>
      <c r="K205" s="19"/>
    </row>
    <row r="206" spans="1:11" ht="14.25">
      <c r="A206" s="19"/>
      <c r="B206" s="31"/>
      <c r="C206" s="19"/>
      <c r="D206" s="19"/>
      <c r="E206" s="19"/>
      <c r="F206" s="20"/>
      <c r="G206" s="19"/>
      <c r="H206" s="19"/>
      <c r="I206" s="20"/>
      <c r="J206" s="19"/>
      <c r="K206" s="19"/>
    </row>
    <row r="207" spans="1:11" ht="14.25">
      <c r="A207" s="19"/>
      <c r="B207" s="31"/>
      <c r="C207" s="19"/>
      <c r="D207" s="19"/>
      <c r="E207" s="19"/>
      <c r="F207" s="20"/>
      <c r="G207" s="19"/>
      <c r="H207" s="19"/>
      <c r="I207" s="20"/>
      <c r="J207" s="19"/>
      <c r="K207" s="19"/>
    </row>
    <row r="208" spans="1:11" ht="14.25">
      <c r="A208" s="19"/>
      <c r="B208" s="31"/>
      <c r="C208" s="19"/>
      <c r="D208" s="19"/>
      <c r="E208" s="19"/>
      <c r="F208" s="20"/>
      <c r="G208" s="19"/>
      <c r="H208" s="19"/>
      <c r="I208" s="20"/>
      <c r="J208" s="19"/>
      <c r="K208" s="19"/>
    </row>
    <row r="209" spans="1:11" ht="14.25">
      <c r="A209" s="19"/>
      <c r="B209" s="31"/>
      <c r="C209" s="19"/>
      <c r="D209" s="19"/>
      <c r="E209" s="19"/>
      <c r="F209" s="20"/>
      <c r="G209" s="19"/>
      <c r="H209" s="19"/>
      <c r="I209" s="20"/>
      <c r="J209" s="19"/>
      <c r="K209" s="19"/>
    </row>
    <row r="210" spans="1:11" ht="14.25">
      <c r="A210" s="19"/>
      <c r="B210" s="31"/>
      <c r="C210" s="19"/>
      <c r="D210" s="19"/>
      <c r="E210" s="19"/>
      <c r="F210" s="20"/>
      <c r="G210" s="19"/>
      <c r="H210" s="19"/>
      <c r="I210" s="20"/>
      <c r="J210" s="19"/>
      <c r="K210" s="19"/>
    </row>
    <row r="211" spans="1:11" ht="14.25">
      <c r="A211" s="19"/>
      <c r="B211" s="31"/>
      <c r="C211" s="19"/>
      <c r="D211" s="19"/>
      <c r="E211" s="19"/>
      <c r="F211" s="20"/>
      <c r="G211" s="19"/>
      <c r="H211" s="19"/>
      <c r="I211" s="20"/>
      <c r="J211" s="19"/>
      <c r="K211" s="19"/>
    </row>
    <row r="212" spans="1:11" ht="14.25">
      <c r="A212" s="19"/>
      <c r="B212" s="31"/>
      <c r="C212" s="19"/>
      <c r="D212" s="19"/>
      <c r="E212" s="19"/>
      <c r="F212" s="20"/>
      <c r="G212" s="19"/>
      <c r="H212" s="19"/>
      <c r="I212" s="20"/>
      <c r="J212" s="19"/>
      <c r="K212" s="19"/>
    </row>
    <row r="213" spans="1:11" ht="14.25">
      <c r="A213" s="19"/>
      <c r="B213" s="31"/>
      <c r="C213" s="19"/>
      <c r="D213" s="19"/>
      <c r="E213" s="19"/>
      <c r="F213" s="20"/>
      <c r="G213" s="19"/>
      <c r="H213" s="19"/>
      <c r="I213" s="20"/>
      <c r="J213" s="19"/>
      <c r="K213" s="19"/>
    </row>
    <row r="214" spans="1:11" ht="14.25">
      <c r="A214" s="19"/>
      <c r="B214" s="31"/>
      <c r="C214" s="19"/>
      <c r="D214" s="19"/>
      <c r="E214" s="19"/>
      <c r="F214" s="20"/>
      <c r="G214" s="19"/>
      <c r="H214" s="19"/>
      <c r="I214" s="20"/>
      <c r="J214" s="19"/>
      <c r="K214" s="19"/>
    </row>
    <row r="215" spans="1:11" ht="14.25">
      <c r="A215" s="19"/>
      <c r="B215" s="31"/>
      <c r="C215" s="19"/>
      <c r="D215" s="19"/>
      <c r="E215" s="19"/>
      <c r="F215" s="20"/>
      <c r="G215" s="19"/>
      <c r="H215" s="19"/>
      <c r="I215" s="20"/>
      <c r="J215" s="19"/>
      <c r="K215" s="19"/>
    </row>
    <row r="216" spans="1:11" ht="14.25">
      <c r="A216" s="19"/>
      <c r="B216" s="31"/>
      <c r="C216" s="19"/>
      <c r="D216" s="19"/>
      <c r="E216" s="19"/>
      <c r="F216" s="20"/>
      <c r="G216" s="19"/>
      <c r="H216" s="19"/>
      <c r="I216" s="20"/>
      <c r="J216" s="19"/>
      <c r="K216" s="19"/>
    </row>
    <row r="217" spans="1:11" ht="14.25">
      <c r="A217" s="19"/>
      <c r="B217" s="31"/>
      <c r="C217" s="19"/>
      <c r="D217" s="19"/>
      <c r="E217" s="19"/>
      <c r="F217" s="20"/>
      <c r="G217" s="19"/>
      <c r="H217" s="19"/>
      <c r="I217" s="20"/>
      <c r="J217" s="19"/>
      <c r="K217" s="19"/>
    </row>
    <row r="218" spans="1:11" ht="14.25">
      <c r="A218" s="19"/>
      <c r="B218" s="31"/>
      <c r="C218" s="19"/>
      <c r="D218" s="19"/>
      <c r="E218" s="19"/>
      <c r="F218" s="20"/>
      <c r="G218" s="19"/>
      <c r="H218" s="19"/>
      <c r="I218" s="20"/>
      <c r="J218" s="19"/>
      <c r="K218" s="19"/>
    </row>
    <row r="219" spans="1:11" ht="14.25">
      <c r="A219" s="19"/>
      <c r="B219" s="31"/>
      <c r="C219" s="19"/>
      <c r="D219" s="19"/>
      <c r="E219" s="19"/>
      <c r="F219" s="20"/>
      <c r="G219" s="19"/>
      <c r="H219" s="19"/>
      <c r="I219" s="20"/>
      <c r="J219" s="19"/>
      <c r="K219" s="19"/>
    </row>
    <row r="220" spans="1:11" ht="14.25">
      <c r="A220" s="19"/>
      <c r="B220" s="31"/>
      <c r="C220" s="19"/>
      <c r="D220" s="19"/>
      <c r="E220" s="19"/>
      <c r="F220" s="20"/>
      <c r="G220" s="19"/>
      <c r="H220" s="19"/>
      <c r="I220" s="20"/>
      <c r="J220" s="19"/>
      <c r="K220" s="19"/>
    </row>
    <row r="221" spans="1:11" ht="14.25">
      <c r="A221" s="19"/>
      <c r="B221" s="31"/>
      <c r="C221" s="19"/>
      <c r="D221" s="19"/>
      <c r="E221" s="19"/>
      <c r="F221" s="20"/>
      <c r="G221" s="19"/>
      <c r="H221" s="19"/>
      <c r="I221" s="20"/>
      <c r="J221" s="19"/>
      <c r="K221" s="19"/>
    </row>
    <row r="222" spans="1:11" ht="14.25">
      <c r="A222" s="19"/>
      <c r="B222" s="31"/>
      <c r="C222" s="19"/>
      <c r="D222" s="19"/>
      <c r="E222" s="19"/>
      <c r="F222" s="20"/>
      <c r="G222" s="19"/>
      <c r="H222" s="19"/>
      <c r="I222" s="20"/>
      <c r="J222" s="19"/>
      <c r="K222" s="19"/>
    </row>
    <row r="223" spans="1:11" ht="14.25">
      <c r="A223" s="19"/>
      <c r="B223" s="31"/>
      <c r="C223" s="19"/>
      <c r="D223" s="19"/>
      <c r="E223" s="19"/>
      <c r="F223" s="20"/>
      <c r="G223" s="19"/>
      <c r="H223" s="19"/>
      <c r="I223" s="20"/>
      <c r="J223" s="19"/>
      <c r="K223" s="19"/>
    </row>
    <row r="224" spans="1:11" ht="14.25">
      <c r="A224" s="19"/>
      <c r="B224" s="31"/>
      <c r="C224" s="19"/>
      <c r="D224" s="19"/>
      <c r="E224" s="19"/>
      <c r="F224" s="20"/>
      <c r="G224" s="19"/>
      <c r="H224" s="19"/>
      <c r="I224" s="20"/>
      <c r="J224" s="19"/>
      <c r="K224" s="19"/>
    </row>
    <row r="225" spans="1:11" ht="14.25">
      <c r="A225" s="19"/>
      <c r="B225" s="31"/>
      <c r="C225" s="19"/>
      <c r="D225" s="19"/>
      <c r="E225" s="19"/>
      <c r="F225" s="20"/>
      <c r="G225" s="19"/>
      <c r="H225" s="19"/>
      <c r="I225" s="20"/>
      <c r="J225" s="19"/>
      <c r="K225" s="19"/>
    </row>
    <row r="226" spans="1:11" ht="14.25">
      <c r="A226" s="19"/>
      <c r="B226" s="31"/>
      <c r="C226" s="19"/>
      <c r="D226" s="19"/>
      <c r="E226" s="19"/>
      <c r="F226" s="20"/>
      <c r="G226" s="19"/>
      <c r="H226" s="19"/>
      <c r="I226" s="20"/>
      <c r="J226" s="19"/>
      <c r="K226" s="19"/>
    </row>
    <row r="227" spans="1:11" ht="14.25">
      <c r="A227" s="19"/>
      <c r="B227" s="31"/>
      <c r="C227" s="19"/>
      <c r="D227" s="19"/>
      <c r="E227" s="19"/>
      <c r="F227" s="20"/>
      <c r="G227" s="19"/>
      <c r="H227" s="19"/>
      <c r="I227" s="20"/>
      <c r="J227" s="19"/>
      <c r="K227" s="19"/>
    </row>
    <row r="228" spans="1:11" ht="14.25">
      <c r="A228" s="19"/>
      <c r="B228" s="31"/>
      <c r="C228" s="19"/>
      <c r="D228" s="19"/>
      <c r="E228" s="19"/>
      <c r="F228" s="20"/>
      <c r="G228" s="19"/>
      <c r="H228" s="19"/>
      <c r="I228" s="20"/>
      <c r="J228" s="19"/>
      <c r="K228" s="19"/>
    </row>
    <row r="229" spans="1:11" ht="14.25">
      <c r="A229" s="19"/>
      <c r="B229" s="31"/>
      <c r="C229" s="19"/>
      <c r="D229" s="19"/>
      <c r="E229" s="19"/>
      <c r="F229" s="20"/>
      <c r="G229" s="19"/>
      <c r="H229" s="19"/>
      <c r="I229" s="20"/>
      <c r="J229" s="19"/>
      <c r="K229" s="19"/>
    </row>
    <row r="230" spans="1:11" ht="14.25">
      <c r="A230" s="19"/>
      <c r="B230" s="31"/>
      <c r="C230" s="19"/>
      <c r="D230" s="19"/>
      <c r="E230" s="19"/>
      <c r="F230" s="20"/>
      <c r="G230" s="19"/>
      <c r="H230" s="19"/>
      <c r="I230" s="20"/>
      <c r="J230" s="19"/>
      <c r="K230" s="19"/>
    </row>
    <row r="231" spans="1:11" ht="14.25">
      <c r="A231" s="19"/>
      <c r="B231" s="31"/>
      <c r="C231" s="19"/>
      <c r="D231" s="19"/>
      <c r="E231" s="19"/>
      <c r="F231" s="20"/>
      <c r="G231" s="19"/>
      <c r="H231" s="19"/>
      <c r="I231" s="20"/>
      <c r="J231" s="19"/>
      <c r="K231" s="19"/>
    </row>
    <row r="232" spans="1:11" ht="14.25">
      <c r="A232" s="19"/>
      <c r="B232" s="31"/>
      <c r="C232" s="19"/>
      <c r="D232" s="19"/>
      <c r="E232" s="19"/>
      <c r="F232" s="20"/>
      <c r="G232" s="19"/>
      <c r="H232" s="19"/>
      <c r="I232" s="20"/>
      <c r="J232" s="19"/>
      <c r="K232" s="19"/>
    </row>
    <row r="233" spans="1:11" ht="14.25">
      <c r="A233" s="19"/>
      <c r="B233" s="31"/>
      <c r="C233" s="19"/>
      <c r="D233" s="19"/>
      <c r="E233" s="19"/>
      <c r="F233" s="20"/>
      <c r="G233" s="19"/>
      <c r="H233" s="19"/>
      <c r="I233" s="20"/>
      <c r="J233" s="19"/>
      <c r="K233" s="19"/>
    </row>
    <row r="234" spans="1:11" ht="14.25">
      <c r="A234" s="19"/>
      <c r="B234" s="31"/>
      <c r="C234" s="19"/>
      <c r="D234" s="19"/>
      <c r="E234" s="19"/>
      <c r="F234" s="20"/>
      <c r="G234" s="19"/>
      <c r="H234" s="19"/>
      <c r="I234" s="20"/>
      <c r="J234" s="19"/>
      <c r="K234" s="19"/>
    </row>
    <row r="235" spans="1:11" ht="14.25">
      <c r="A235" s="19"/>
      <c r="B235" s="31"/>
      <c r="C235" s="19"/>
      <c r="D235" s="19"/>
      <c r="E235" s="19"/>
      <c r="F235" s="20"/>
      <c r="G235" s="19"/>
      <c r="H235" s="19"/>
      <c r="I235" s="20"/>
      <c r="J235" s="19"/>
      <c r="K235" s="19"/>
    </row>
    <row r="236" spans="1:11" ht="14.25">
      <c r="A236" s="19"/>
      <c r="B236" s="31"/>
      <c r="C236" s="19"/>
      <c r="D236" s="19"/>
      <c r="E236" s="19"/>
      <c r="F236" s="20"/>
      <c r="G236" s="19"/>
      <c r="H236" s="19"/>
      <c r="I236" s="20"/>
      <c r="J236" s="19"/>
      <c r="K236" s="19"/>
    </row>
    <row r="237" spans="1:11" ht="14.25">
      <c r="A237" s="19"/>
      <c r="B237" s="31"/>
      <c r="C237" s="19"/>
      <c r="D237" s="19"/>
      <c r="E237" s="19"/>
      <c r="F237" s="20"/>
      <c r="G237" s="19"/>
      <c r="H237" s="19"/>
      <c r="I237" s="20"/>
      <c r="J237" s="19"/>
      <c r="K237" s="19"/>
    </row>
    <row r="238" spans="1:11" ht="14.25">
      <c r="A238" s="19"/>
      <c r="B238" s="31"/>
      <c r="C238" s="19"/>
      <c r="D238" s="19"/>
      <c r="E238" s="19"/>
      <c r="F238" s="20"/>
      <c r="G238" s="19"/>
      <c r="H238" s="19"/>
      <c r="I238" s="20"/>
      <c r="J238" s="19"/>
      <c r="K238" s="19"/>
    </row>
    <row r="239" spans="1:11" ht="14.25">
      <c r="A239" s="19"/>
      <c r="B239" s="31"/>
      <c r="C239" s="19"/>
      <c r="D239" s="19"/>
      <c r="E239" s="19"/>
      <c r="F239" s="20"/>
      <c r="G239" s="19"/>
      <c r="H239" s="19"/>
      <c r="I239" s="20"/>
      <c r="J239" s="19"/>
      <c r="K239" s="19"/>
    </row>
    <row r="240" spans="1:11" ht="14.25">
      <c r="A240" s="19"/>
      <c r="B240" s="31"/>
      <c r="C240" s="19"/>
      <c r="D240" s="19"/>
      <c r="E240" s="19"/>
      <c r="F240" s="20"/>
      <c r="G240" s="19"/>
      <c r="H240" s="19"/>
      <c r="I240" s="20"/>
      <c r="J240" s="19"/>
      <c r="K240" s="19"/>
    </row>
    <row r="241" spans="1:11" ht="14.25">
      <c r="A241" s="19"/>
      <c r="B241" s="31"/>
      <c r="C241" s="19"/>
      <c r="D241" s="19"/>
      <c r="E241" s="19"/>
      <c r="F241" s="20"/>
      <c r="G241" s="19"/>
      <c r="H241" s="19"/>
      <c r="I241" s="20"/>
      <c r="J241" s="19"/>
      <c r="K241" s="19"/>
    </row>
    <row r="242" spans="1:11" ht="14.25">
      <c r="A242" s="19"/>
      <c r="B242" s="31"/>
      <c r="C242" s="19"/>
      <c r="D242" s="19"/>
      <c r="E242" s="19"/>
      <c r="F242" s="20"/>
      <c r="G242" s="19"/>
      <c r="H242" s="19"/>
      <c r="I242" s="20"/>
      <c r="J242" s="19"/>
      <c r="K242" s="19"/>
    </row>
    <row r="243" spans="1:11" ht="14.25">
      <c r="A243" s="19"/>
      <c r="B243" s="31"/>
      <c r="C243" s="19"/>
      <c r="D243" s="19"/>
      <c r="E243" s="19"/>
      <c r="F243" s="20"/>
      <c r="G243" s="19"/>
      <c r="H243" s="19"/>
      <c r="I243" s="20"/>
      <c r="J243" s="19"/>
      <c r="K243" s="19"/>
    </row>
    <row r="244" spans="1:11" ht="14.25">
      <c r="A244" s="19"/>
      <c r="B244" s="31"/>
      <c r="C244" s="19"/>
      <c r="D244" s="19"/>
      <c r="E244" s="19"/>
      <c r="F244" s="20"/>
      <c r="G244" s="19"/>
      <c r="H244" s="19"/>
      <c r="I244" s="20"/>
      <c r="J244" s="19"/>
      <c r="K244" s="19"/>
    </row>
    <row r="245" spans="1:11" ht="14.25">
      <c r="A245" s="19"/>
      <c r="B245" s="31"/>
      <c r="C245" s="19"/>
      <c r="D245" s="19"/>
      <c r="E245" s="19"/>
      <c r="F245" s="20"/>
      <c r="G245" s="19"/>
      <c r="H245" s="19"/>
      <c r="I245" s="20"/>
      <c r="J245" s="19"/>
      <c r="K245" s="19"/>
    </row>
    <row r="246" spans="1:11" ht="14.25">
      <c r="A246" s="19"/>
      <c r="B246" s="31"/>
      <c r="C246" s="19"/>
      <c r="D246" s="19"/>
      <c r="E246" s="19"/>
      <c r="F246" s="20"/>
      <c r="G246" s="19"/>
      <c r="H246" s="19"/>
      <c r="I246" s="20"/>
      <c r="J246" s="19"/>
      <c r="K246" s="19"/>
    </row>
    <row r="247" spans="1:11" ht="14.25">
      <c r="A247" s="19"/>
      <c r="B247" s="31"/>
      <c r="C247" s="19"/>
      <c r="D247" s="19"/>
      <c r="E247" s="19"/>
      <c r="F247" s="20"/>
      <c r="G247" s="19"/>
      <c r="H247" s="19"/>
      <c r="I247" s="20"/>
      <c r="J247" s="19"/>
      <c r="K247" s="19"/>
    </row>
    <row r="248" spans="1:11" ht="14.25">
      <c r="A248" s="19"/>
      <c r="B248" s="31"/>
      <c r="C248" s="19"/>
      <c r="D248" s="19"/>
      <c r="E248" s="19"/>
      <c r="F248" s="20"/>
      <c r="G248" s="19"/>
      <c r="H248" s="19"/>
      <c r="I248" s="20"/>
      <c r="J248" s="19"/>
      <c r="K248" s="19"/>
    </row>
    <row r="249" spans="1:11" ht="14.25">
      <c r="A249" s="19"/>
      <c r="B249" s="31"/>
      <c r="C249" s="19"/>
      <c r="D249" s="19"/>
      <c r="E249" s="19"/>
      <c r="F249" s="20"/>
      <c r="G249" s="19"/>
      <c r="H249" s="19"/>
      <c r="I249" s="20"/>
      <c r="J249" s="19"/>
      <c r="K249" s="19"/>
    </row>
    <row r="250" spans="1:11" ht="14.25">
      <c r="A250" s="19"/>
      <c r="B250" s="31"/>
      <c r="C250" s="19"/>
      <c r="D250" s="19"/>
      <c r="E250" s="19"/>
      <c r="F250" s="20"/>
      <c r="G250" s="19"/>
      <c r="H250" s="19"/>
      <c r="I250" s="20"/>
      <c r="J250" s="19"/>
      <c r="K250" s="19"/>
    </row>
    <row r="251" spans="1:11" ht="14.25">
      <c r="A251" s="19"/>
      <c r="B251" s="31"/>
      <c r="C251" s="19"/>
      <c r="D251" s="19"/>
      <c r="E251" s="19"/>
      <c r="F251" s="20"/>
      <c r="G251" s="19"/>
      <c r="H251" s="19"/>
      <c r="I251" s="20"/>
      <c r="J251" s="19"/>
      <c r="K251" s="19"/>
    </row>
    <row r="252" spans="1:11" ht="14.25">
      <c r="A252" s="19"/>
      <c r="B252" s="31"/>
      <c r="C252" s="19"/>
      <c r="D252" s="19"/>
      <c r="E252" s="19"/>
      <c r="F252" s="20"/>
      <c r="G252" s="19"/>
      <c r="H252" s="19"/>
      <c r="I252" s="20"/>
      <c r="J252" s="19"/>
      <c r="K252" s="19"/>
    </row>
    <row r="253" spans="1:11" ht="14.25">
      <c r="A253" s="19"/>
      <c r="B253" s="31"/>
      <c r="C253" s="19"/>
      <c r="D253" s="19"/>
      <c r="E253" s="19"/>
      <c r="F253" s="20"/>
      <c r="G253" s="19"/>
      <c r="H253" s="19"/>
      <c r="I253" s="20"/>
      <c r="J253" s="19"/>
      <c r="K253" s="19"/>
    </row>
    <row r="254" spans="1:11" ht="14.25">
      <c r="A254" s="19"/>
      <c r="B254" s="31"/>
      <c r="C254" s="19"/>
      <c r="D254" s="19"/>
      <c r="E254" s="19"/>
      <c r="F254" s="20"/>
      <c r="G254" s="19"/>
      <c r="H254" s="19"/>
      <c r="I254" s="20"/>
      <c r="J254" s="19"/>
      <c r="K254" s="19"/>
    </row>
    <row r="255" spans="1:11" ht="14.25">
      <c r="A255" s="19"/>
      <c r="B255" s="31"/>
      <c r="C255" s="19"/>
      <c r="D255" s="19"/>
      <c r="E255" s="19"/>
      <c r="F255" s="20"/>
      <c r="G255" s="19"/>
      <c r="H255" s="19"/>
      <c r="I255" s="20"/>
      <c r="J255" s="19"/>
      <c r="K255" s="19"/>
    </row>
    <row r="256" spans="1:11" ht="14.25">
      <c r="A256" s="19"/>
      <c r="B256" s="31"/>
      <c r="C256" s="19"/>
      <c r="D256" s="19"/>
      <c r="E256" s="19"/>
      <c r="F256" s="20"/>
      <c r="G256" s="19"/>
      <c r="H256" s="19"/>
      <c r="I256" s="20"/>
      <c r="J256" s="19"/>
      <c r="K256" s="19"/>
    </row>
    <row r="257" spans="1:11" ht="14.25">
      <c r="A257" s="19"/>
      <c r="B257" s="31"/>
      <c r="C257" s="19"/>
      <c r="D257" s="19"/>
      <c r="E257" s="19"/>
      <c r="F257" s="20"/>
      <c r="G257" s="19"/>
      <c r="H257" s="19"/>
      <c r="I257" s="20"/>
      <c r="J257" s="19"/>
      <c r="K257" s="19"/>
    </row>
    <row r="258" spans="1:11" ht="14.25">
      <c r="A258" s="19"/>
      <c r="B258" s="31"/>
      <c r="C258" s="19"/>
      <c r="D258" s="19"/>
      <c r="E258" s="19"/>
      <c r="F258" s="20"/>
      <c r="G258" s="19"/>
      <c r="H258" s="19"/>
      <c r="I258" s="20"/>
      <c r="J258" s="19"/>
      <c r="K258" s="19"/>
    </row>
    <row r="259" spans="1:11" ht="14.25">
      <c r="A259" s="19"/>
      <c r="B259" s="31"/>
      <c r="C259" s="19"/>
      <c r="D259" s="19"/>
      <c r="E259" s="19"/>
      <c r="F259" s="20"/>
      <c r="G259" s="19"/>
      <c r="H259" s="19"/>
      <c r="I259" s="20"/>
      <c r="J259" s="19"/>
      <c r="K259" s="19"/>
    </row>
    <row r="260" spans="1:11" ht="14.25">
      <c r="A260" s="19"/>
      <c r="B260" s="31"/>
      <c r="C260" s="19"/>
      <c r="D260" s="19"/>
      <c r="E260" s="19"/>
      <c r="F260" s="20"/>
      <c r="G260" s="19"/>
      <c r="H260" s="19"/>
      <c r="I260" s="20"/>
      <c r="J260" s="19"/>
      <c r="K260" s="19"/>
    </row>
    <row r="261" spans="1:11" ht="14.25">
      <c r="A261" s="19"/>
      <c r="B261" s="31"/>
      <c r="C261" s="19"/>
      <c r="D261" s="19"/>
      <c r="E261" s="19"/>
      <c r="F261" s="20"/>
      <c r="G261" s="19"/>
      <c r="H261" s="19"/>
      <c r="I261" s="20"/>
      <c r="J261" s="19"/>
      <c r="K261" s="19"/>
    </row>
    <row r="262" spans="1:11" ht="14.25">
      <c r="A262" s="19"/>
      <c r="B262" s="31"/>
      <c r="C262" s="19"/>
      <c r="D262" s="19"/>
      <c r="E262" s="19"/>
      <c r="F262" s="20"/>
      <c r="G262" s="19"/>
      <c r="H262" s="19"/>
      <c r="I262" s="20"/>
      <c r="J262" s="19"/>
      <c r="K262" s="19"/>
    </row>
    <row r="263" spans="1:11" ht="14.25">
      <c r="A263" s="19"/>
      <c r="B263" s="31"/>
      <c r="C263" s="19"/>
      <c r="D263" s="19"/>
      <c r="E263" s="19"/>
      <c r="F263" s="20"/>
      <c r="G263" s="19"/>
      <c r="H263" s="19"/>
      <c r="I263" s="20"/>
      <c r="J263" s="19"/>
      <c r="K263" s="19"/>
    </row>
    <row r="264" spans="1:11" ht="14.25">
      <c r="A264" s="19"/>
      <c r="B264" s="31"/>
      <c r="C264" s="19"/>
      <c r="D264" s="19"/>
      <c r="E264" s="19"/>
      <c r="F264" s="20"/>
      <c r="G264" s="19"/>
      <c r="H264" s="19"/>
      <c r="I264" s="20"/>
      <c r="J264" s="19"/>
      <c r="K264" s="19"/>
    </row>
    <row r="265" spans="1:11" ht="14.25">
      <c r="A265" s="19"/>
      <c r="B265" s="31"/>
      <c r="C265" s="19"/>
      <c r="D265" s="19"/>
      <c r="E265" s="19"/>
      <c r="F265" s="20"/>
      <c r="G265" s="19"/>
      <c r="H265" s="19"/>
      <c r="I265" s="20"/>
      <c r="J265" s="19"/>
      <c r="K265" s="19"/>
    </row>
    <row r="266" spans="1:11" ht="14.25">
      <c r="A266" s="19"/>
      <c r="B266" s="31"/>
      <c r="C266" s="19"/>
      <c r="D266" s="19"/>
      <c r="E266" s="19"/>
      <c r="F266" s="20"/>
      <c r="G266" s="19"/>
      <c r="H266" s="19"/>
      <c r="I266" s="20"/>
      <c r="J266" s="19"/>
      <c r="K266" s="19"/>
    </row>
    <row r="267" spans="1:11" ht="14.25">
      <c r="A267" s="19"/>
      <c r="B267" s="31"/>
      <c r="C267" s="19"/>
      <c r="D267" s="19"/>
      <c r="E267" s="19"/>
      <c r="F267" s="20"/>
      <c r="G267" s="19"/>
      <c r="H267" s="19"/>
      <c r="I267" s="20"/>
      <c r="J267" s="19"/>
      <c r="K267" s="19"/>
    </row>
    <row r="268" spans="1:11" ht="14.25">
      <c r="A268" s="19"/>
      <c r="B268" s="31"/>
      <c r="C268" s="19"/>
      <c r="D268" s="19"/>
      <c r="E268" s="19"/>
      <c r="F268" s="20"/>
      <c r="G268" s="19"/>
      <c r="H268" s="19"/>
      <c r="I268" s="20"/>
      <c r="J268" s="19"/>
      <c r="K268" s="19"/>
    </row>
    <row r="269" spans="1:11" ht="14.25">
      <c r="A269" s="19"/>
      <c r="B269" s="31"/>
      <c r="C269" s="19"/>
      <c r="D269" s="19"/>
      <c r="E269" s="19"/>
      <c r="F269" s="20"/>
      <c r="G269" s="19"/>
      <c r="H269" s="19"/>
      <c r="I269" s="20"/>
      <c r="J269" s="19"/>
      <c r="K269" s="19"/>
    </row>
    <row r="270" spans="1:11" ht="14.25">
      <c r="A270" s="19"/>
      <c r="B270" s="31"/>
      <c r="C270" s="19"/>
      <c r="D270" s="19"/>
      <c r="E270" s="19"/>
      <c r="F270" s="20"/>
      <c r="G270" s="19"/>
      <c r="H270" s="19"/>
      <c r="I270" s="20"/>
      <c r="J270" s="19"/>
      <c r="K270" s="19"/>
    </row>
    <row r="271" spans="1:11" ht="14.25">
      <c r="A271" s="19"/>
      <c r="B271" s="31"/>
      <c r="C271" s="19"/>
      <c r="D271" s="19"/>
      <c r="E271" s="19"/>
      <c r="F271" s="20"/>
      <c r="G271" s="19"/>
      <c r="H271" s="19"/>
      <c r="I271" s="20"/>
      <c r="J271" s="19"/>
      <c r="K271" s="19"/>
    </row>
    <row r="272" spans="1:11" ht="14.25">
      <c r="A272" s="19"/>
      <c r="B272" s="31"/>
      <c r="C272" s="19"/>
      <c r="D272" s="19"/>
      <c r="E272" s="19"/>
      <c r="F272" s="20"/>
      <c r="G272" s="19"/>
      <c r="H272" s="19"/>
      <c r="I272" s="20"/>
      <c r="J272" s="19"/>
      <c r="K272" s="19"/>
    </row>
    <row r="273" spans="1:11" ht="14.25">
      <c r="A273" s="19"/>
      <c r="B273" s="31"/>
      <c r="C273" s="19"/>
      <c r="D273" s="19"/>
      <c r="E273" s="19"/>
      <c r="F273" s="20"/>
      <c r="G273" s="19"/>
      <c r="H273" s="19"/>
      <c r="I273" s="20"/>
      <c r="J273" s="19"/>
      <c r="K273" s="19"/>
    </row>
    <row r="274" spans="1:11" ht="14.25">
      <c r="A274" s="19"/>
      <c r="B274" s="31"/>
      <c r="C274" s="19"/>
      <c r="D274" s="19"/>
      <c r="E274" s="19"/>
      <c r="F274" s="20"/>
      <c r="G274" s="19"/>
      <c r="H274" s="19"/>
      <c r="I274" s="20"/>
      <c r="J274" s="19"/>
      <c r="K274" s="19"/>
    </row>
    <row r="275" spans="1:11" ht="14.25">
      <c r="A275" s="19"/>
      <c r="B275" s="31"/>
      <c r="C275" s="19"/>
      <c r="D275" s="19"/>
      <c r="E275" s="19"/>
      <c r="F275" s="20"/>
      <c r="G275" s="19"/>
      <c r="H275" s="19"/>
      <c r="I275" s="20"/>
      <c r="J275" s="19"/>
      <c r="K275" s="19"/>
    </row>
    <row r="276" spans="1:11" ht="14.25">
      <c r="A276" s="19"/>
      <c r="B276" s="31"/>
      <c r="C276" s="19"/>
      <c r="D276" s="19"/>
      <c r="E276" s="19"/>
      <c r="F276" s="20"/>
      <c r="G276" s="19"/>
      <c r="H276" s="19"/>
      <c r="I276" s="20"/>
      <c r="J276" s="19"/>
      <c r="K276" s="19"/>
    </row>
    <row r="277" spans="1:11" ht="14.25">
      <c r="A277" s="19"/>
      <c r="B277" s="31"/>
      <c r="C277" s="19"/>
      <c r="D277" s="19"/>
      <c r="E277" s="19"/>
      <c r="F277" s="20"/>
      <c r="G277" s="19"/>
      <c r="H277" s="19"/>
      <c r="I277" s="20"/>
      <c r="J277" s="19"/>
      <c r="K277" s="19"/>
    </row>
    <row r="278" spans="1:11" ht="14.25">
      <c r="A278" s="19"/>
      <c r="B278" s="31"/>
      <c r="C278" s="19"/>
      <c r="D278" s="19"/>
      <c r="E278" s="19"/>
      <c r="F278" s="20"/>
      <c r="G278" s="19"/>
      <c r="H278" s="19"/>
      <c r="I278" s="20"/>
      <c r="J278" s="19"/>
      <c r="K278" s="19"/>
    </row>
    <row r="279" spans="1:11" ht="14.25">
      <c r="A279" s="19"/>
      <c r="B279" s="31"/>
      <c r="C279" s="19"/>
      <c r="D279" s="19"/>
      <c r="E279" s="19"/>
      <c r="F279" s="20"/>
      <c r="G279" s="19"/>
      <c r="H279" s="19"/>
      <c r="I279" s="20"/>
      <c r="J279" s="19"/>
      <c r="K279" s="19"/>
    </row>
    <row r="280" spans="1:11" ht="14.25">
      <c r="A280" s="19"/>
      <c r="B280" s="31"/>
      <c r="C280" s="19"/>
      <c r="D280" s="19"/>
      <c r="E280" s="19"/>
      <c r="F280" s="20"/>
      <c r="G280" s="19"/>
      <c r="H280" s="19"/>
      <c r="I280" s="20"/>
      <c r="J280" s="19"/>
      <c r="K280" s="19"/>
    </row>
    <row r="281" spans="1:11" ht="14.25">
      <c r="A281" s="19"/>
      <c r="B281" s="31"/>
      <c r="C281" s="19"/>
      <c r="D281" s="19"/>
      <c r="E281" s="19"/>
      <c r="F281" s="20"/>
      <c r="G281" s="19"/>
      <c r="H281" s="19"/>
      <c r="I281" s="20"/>
      <c r="J281" s="19"/>
      <c r="K281" s="19"/>
    </row>
    <row r="282" spans="1:11" ht="14.25">
      <c r="A282" s="19"/>
      <c r="B282" s="31"/>
      <c r="C282" s="19"/>
      <c r="D282" s="19"/>
      <c r="E282" s="19"/>
      <c r="F282" s="20"/>
      <c r="G282" s="19"/>
      <c r="H282" s="19"/>
      <c r="I282" s="20"/>
      <c r="J282" s="19"/>
      <c r="K282" s="19"/>
    </row>
    <row r="283" spans="1:11" ht="14.25">
      <c r="A283" s="19"/>
      <c r="B283" s="31"/>
      <c r="C283" s="19"/>
      <c r="D283" s="19"/>
      <c r="E283" s="19"/>
      <c r="F283" s="20"/>
      <c r="G283" s="19"/>
      <c r="H283" s="19"/>
      <c r="I283" s="20"/>
      <c r="J283" s="19"/>
      <c r="K283" s="19"/>
    </row>
    <row r="284" spans="1:11" ht="14.25">
      <c r="A284" s="19"/>
      <c r="B284" s="31"/>
      <c r="C284" s="19"/>
      <c r="D284" s="19"/>
      <c r="E284" s="19"/>
      <c r="F284" s="20"/>
      <c r="G284" s="19"/>
      <c r="H284" s="19"/>
      <c r="I284" s="20"/>
      <c r="J284" s="19"/>
      <c r="K284" s="19"/>
    </row>
    <row r="285" spans="1:11" ht="14.25">
      <c r="A285" s="19"/>
      <c r="B285" s="31"/>
      <c r="C285" s="19"/>
      <c r="D285" s="19"/>
      <c r="E285" s="19"/>
      <c r="F285" s="20"/>
      <c r="G285" s="19"/>
      <c r="H285" s="19"/>
      <c r="I285" s="20"/>
      <c r="J285" s="19"/>
      <c r="K285" s="19"/>
    </row>
    <row r="286" spans="1:11" ht="14.25">
      <c r="A286" s="19"/>
      <c r="B286" s="31"/>
      <c r="C286" s="19"/>
      <c r="D286" s="19"/>
      <c r="E286" s="19"/>
      <c r="F286" s="20"/>
      <c r="G286" s="19"/>
      <c r="H286" s="19"/>
      <c r="I286" s="20"/>
      <c r="J286" s="19"/>
      <c r="K286" s="19"/>
    </row>
    <row r="287" spans="1:11" ht="14.25">
      <c r="A287" s="19"/>
      <c r="B287" s="31"/>
      <c r="C287" s="19"/>
      <c r="D287" s="19"/>
      <c r="E287" s="19"/>
      <c r="F287" s="20"/>
      <c r="G287" s="19"/>
      <c r="H287" s="19"/>
      <c r="I287" s="20"/>
      <c r="J287" s="19"/>
      <c r="K287" s="19"/>
    </row>
    <row r="288" spans="1:11" ht="14.25">
      <c r="A288" s="19"/>
      <c r="B288" s="31"/>
      <c r="C288" s="19"/>
      <c r="D288" s="19"/>
      <c r="E288" s="19"/>
      <c r="F288" s="20"/>
      <c r="G288" s="19"/>
      <c r="H288" s="19"/>
      <c r="I288" s="20"/>
      <c r="J288" s="19"/>
      <c r="K288" s="19"/>
    </row>
    <row r="289" spans="1:11" ht="14.25">
      <c r="A289" s="19"/>
      <c r="B289" s="31"/>
      <c r="C289" s="19"/>
      <c r="D289" s="19"/>
      <c r="E289" s="19"/>
      <c r="F289" s="20"/>
      <c r="G289" s="19"/>
      <c r="H289" s="19"/>
      <c r="I289" s="20"/>
      <c r="J289" s="19"/>
      <c r="K289" s="19"/>
    </row>
    <row r="290" spans="1:11" ht="14.25">
      <c r="A290" s="19"/>
      <c r="B290" s="31"/>
      <c r="C290" s="19"/>
      <c r="D290" s="19"/>
      <c r="E290" s="19"/>
      <c r="F290" s="20"/>
      <c r="G290" s="19"/>
      <c r="H290" s="19"/>
      <c r="I290" s="20"/>
      <c r="J290" s="19"/>
      <c r="K290" s="19"/>
    </row>
    <row r="291" spans="1:11" ht="14.25">
      <c r="A291" s="19"/>
      <c r="B291" s="31"/>
      <c r="C291" s="19"/>
      <c r="D291" s="19"/>
      <c r="E291" s="19"/>
      <c r="F291" s="20"/>
      <c r="G291" s="19"/>
      <c r="H291" s="19"/>
      <c r="I291" s="20"/>
      <c r="J291" s="19"/>
      <c r="K291" s="19"/>
    </row>
    <row r="292" spans="1:11" ht="14.25">
      <c r="A292" s="19"/>
      <c r="B292" s="31"/>
      <c r="C292" s="19"/>
      <c r="D292" s="19"/>
      <c r="E292" s="19"/>
      <c r="F292" s="20"/>
      <c r="G292" s="19"/>
      <c r="H292" s="19"/>
      <c r="I292" s="20"/>
      <c r="J292" s="19"/>
      <c r="K292" s="19"/>
    </row>
    <row r="293" spans="1:11" ht="14.25">
      <c r="A293" s="19"/>
      <c r="B293" s="31"/>
      <c r="C293" s="19"/>
      <c r="D293" s="19"/>
      <c r="E293" s="19"/>
      <c r="F293" s="20"/>
      <c r="G293" s="19"/>
      <c r="H293" s="19"/>
      <c r="I293" s="20"/>
      <c r="J293" s="19"/>
      <c r="K293" s="19"/>
    </row>
    <row r="294" spans="1:11" ht="14.25">
      <c r="A294" s="19"/>
      <c r="B294" s="31"/>
      <c r="C294" s="19"/>
      <c r="D294" s="19"/>
      <c r="E294" s="19"/>
      <c r="F294" s="20"/>
      <c r="G294" s="19"/>
      <c r="H294" s="19"/>
      <c r="I294" s="20"/>
      <c r="J294" s="19"/>
      <c r="K294" s="19"/>
    </row>
    <row r="295" spans="1:11" ht="14.25">
      <c r="A295" s="19"/>
      <c r="B295" s="31"/>
      <c r="C295" s="19"/>
      <c r="D295" s="19"/>
      <c r="E295" s="19"/>
      <c r="F295" s="20"/>
      <c r="G295" s="19"/>
      <c r="H295" s="19"/>
      <c r="I295" s="20"/>
      <c r="J295" s="19"/>
      <c r="K295" s="19"/>
    </row>
    <row r="296" spans="1:11" ht="14.25">
      <c r="A296" s="19"/>
      <c r="B296" s="31"/>
      <c r="C296" s="19"/>
      <c r="D296" s="19"/>
      <c r="E296" s="19"/>
      <c r="F296" s="20"/>
      <c r="G296" s="19"/>
      <c r="H296" s="19"/>
      <c r="I296" s="20"/>
      <c r="J296" s="19"/>
      <c r="K296" s="19"/>
    </row>
    <row r="297" spans="1:11" ht="14.25">
      <c r="A297" s="19"/>
      <c r="B297" s="31"/>
      <c r="C297" s="19"/>
      <c r="D297" s="19"/>
      <c r="E297" s="19"/>
      <c r="F297" s="20"/>
      <c r="G297" s="19"/>
      <c r="H297" s="19"/>
      <c r="I297" s="20"/>
      <c r="J297" s="19"/>
      <c r="K297" s="19"/>
    </row>
    <row r="298" spans="1:11" ht="14.25">
      <c r="A298" s="19"/>
      <c r="B298" s="31"/>
      <c r="C298" s="19"/>
      <c r="D298" s="19"/>
      <c r="E298" s="19"/>
      <c r="F298" s="20"/>
      <c r="G298" s="19"/>
      <c r="H298" s="19"/>
      <c r="I298" s="20"/>
      <c r="J298" s="19"/>
      <c r="K298" s="19"/>
    </row>
    <row r="299" spans="1:11" ht="14.25">
      <c r="A299" s="19"/>
      <c r="B299" s="31"/>
      <c r="C299" s="19"/>
      <c r="D299" s="19"/>
      <c r="E299" s="19"/>
      <c r="F299" s="20"/>
      <c r="G299" s="19"/>
      <c r="H299" s="19"/>
      <c r="I299" s="20"/>
      <c r="J299" s="19"/>
      <c r="K299" s="19"/>
    </row>
    <row r="300" spans="1:11" ht="14.25">
      <c r="A300" s="19"/>
      <c r="B300" s="31"/>
      <c r="C300" s="19"/>
      <c r="D300" s="19"/>
      <c r="E300" s="19"/>
      <c r="F300" s="20"/>
      <c r="G300" s="19"/>
      <c r="H300" s="19"/>
      <c r="I300" s="20"/>
      <c r="J300" s="19"/>
      <c r="K300" s="19"/>
    </row>
    <row r="301" spans="1:11" ht="14.25">
      <c r="A301" s="19"/>
      <c r="B301" s="31"/>
      <c r="C301" s="19"/>
      <c r="D301" s="19"/>
      <c r="E301" s="19"/>
      <c r="F301" s="20"/>
      <c r="G301" s="19"/>
      <c r="H301" s="19"/>
      <c r="I301" s="20"/>
      <c r="J301" s="19"/>
      <c r="K301" s="19"/>
    </row>
    <row r="302" spans="1:11" ht="14.25">
      <c r="A302" s="19"/>
      <c r="B302" s="31"/>
      <c r="C302" s="19"/>
      <c r="D302" s="19"/>
      <c r="E302" s="19"/>
      <c r="F302" s="20"/>
      <c r="G302" s="19"/>
      <c r="H302" s="19"/>
      <c r="I302" s="20"/>
      <c r="J302" s="19"/>
      <c r="K302" s="19"/>
    </row>
    <row r="303" spans="1:11" ht="14.25">
      <c r="A303" s="19"/>
      <c r="B303" s="31"/>
      <c r="C303" s="19"/>
      <c r="D303" s="19"/>
      <c r="E303" s="19"/>
      <c r="F303" s="20"/>
      <c r="G303" s="19"/>
      <c r="H303" s="19"/>
      <c r="I303" s="20"/>
      <c r="J303" s="19"/>
      <c r="K303" s="19"/>
    </row>
    <row r="304" spans="1:11" ht="14.25">
      <c r="A304" s="19"/>
      <c r="B304" s="31"/>
      <c r="C304" s="19"/>
      <c r="D304" s="19"/>
      <c r="E304" s="19"/>
      <c r="F304" s="20"/>
      <c r="G304" s="19"/>
      <c r="H304" s="19"/>
      <c r="I304" s="20"/>
      <c r="J304" s="19"/>
      <c r="K304" s="19"/>
    </row>
    <row r="305" spans="1:11" ht="14.25">
      <c r="A305" s="19"/>
      <c r="B305" s="31"/>
      <c r="C305" s="19"/>
      <c r="D305" s="19"/>
      <c r="E305" s="19"/>
      <c r="F305" s="20"/>
      <c r="G305" s="19"/>
      <c r="H305" s="19"/>
      <c r="I305" s="20"/>
      <c r="J305" s="19"/>
      <c r="K305" s="19"/>
    </row>
    <row r="306" spans="1:11" ht="14.25">
      <c r="A306" s="19"/>
      <c r="B306" s="31"/>
      <c r="C306" s="19"/>
      <c r="D306" s="19"/>
      <c r="E306" s="19"/>
      <c r="F306" s="20"/>
      <c r="G306" s="19"/>
      <c r="H306" s="19"/>
      <c r="I306" s="20"/>
      <c r="J306" s="19"/>
      <c r="K306" s="19"/>
    </row>
    <row r="307" spans="1:11" ht="14.25">
      <c r="A307" s="19"/>
      <c r="B307" s="31"/>
      <c r="C307" s="19"/>
      <c r="D307" s="19"/>
      <c r="E307" s="19"/>
      <c r="F307" s="20"/>
      <c r="G307" s="19"/>
      <c r="H307" s="19"/>
      <c r="I307" s="20"/>
      <c r="J307" s="19"/>
      <c r="K307" s="19"/>
    </row>
    <row r="308" spans="1:11" ht="14.25">
      <c r="A308" s="19"/>
      <c r="B308" s="31"/>
      <c r="C308" s="19"/>
      <c r="D308" s="19"/>
      <c r="E308" s="19"/>
      <c r="F308" s="20"/>
      <c r="G308" s="19"/>
      <c r="H308" s="19"/>
      <c r="I308" s="20"/>
      <c r="J308" s="19"/>
      <c r="K308" s="19"/>
    </row>
    <row r="309" spans="1:11" ht="14.25">
      <c r="A309" s="19"/>
      <c r="B309" s="31"/>
      <c r="C309" s="19"/>
      <c r="D309" s="19"/>
      <c r="E309" s="19"/>
      <c r="F309" s="20"/>
      <c r="G309" s="19"/>
      <c r="H309" s="19"/>
      <c r="I309" s="20"/>
      <c r="J309" s="19"/>
      <c r="K309" s="19"/>
    </row>
    <row r="310" spans="1:11" ht="14.25">
      <c r="A310" s="19"/>
      <c r="B310" s="31"/>
      <c r="C310" s="19"/>
      <c r="D310" s="19"/>
      <c r="E310" s="19"/>
      <c r="F310" s="20"/>
      <c r="G310" s="19"/>
      <c r="H310" s="19"/>
      <c r="I310" s="20"/>
      <c r="J310" s="19"/>
      <c r="K310" s="19"/>
    </row>
    <row r="311" spans="1:11" ht="14.25">
      <c r="A311" s="19"/>
      <c r="B311" s="31"/>
      <c r="C311" s="19"/>
      <c r="D311" s="19"/>
      <c r="E311" s="19"/>
      <c r="F311" s="20"/>
      <c r="G311" s="19"/>
      <c r="H311" s="19"/>
      <c r="I311" s="20"/>
      <c r="J311" s="19"/>
      <c r="K311" s="19"/>
    </row>
    <row r="312" spans="1:11" ht="14.25">
      <c r="A312" s="19"/>
      <c r="B312" s="31"/>
      <c r="C312" s="19"/>
      <c r="D312" s="19"/>
      <c r="E312" s="19"/>
      <c r="F312" s="20"/>
      <c r="G312" s="19"/>
      <c r="H312" s="19"/>
      <c r="I312" s="20"/>
      <c r="J312" s="19"/>
      <c r="K312" s="19"/>
    </row>
    <row r="313" spans="1:11" ht="14.25">
      <c r="A313" s="19"/>
      <c r="B313" s="31"/>
      <c r="C313" s="19"/>
      <c r="D313" s="19"/>
      <c r="E313" s="19"/>
      <c r="F313" s="20"/>
      <c r="G313" s="19"/>
      <c r="H313" s="19"/>
      <c r="I313" s="20"/>
      <c r="J313" s="19"/>
      <c r="K313" s="19"/>
    </row>
    <row r="314" spans="1:11" ht="14.25">
      <c r="A314" s="19"/>
      <c r="B314" s="31"/>
      <c r="C314" s="19"/>
      <c r="D314" s="19"/>
      <c r="E314" s="19"/>
      <c r="F314" s="20"/>
      <c r="G314" s="19"/>
      <c r="H314" s="19"/>
      <c r="I314" s="20"/>
      <c r="J314" s="19"/>
      <c r="K314" s="19"/>
    </row>
    <row r="315" spans="1:11" ht="14.25">
      <c r="A315" s="19"/>
      <c r="B315" s="31"/>
      <c r="C315" s="19"/>
      <c r="D315" s="19"/>
      <c r="E315" s="19"/>
      <c r="F315" s="20"/>
      <c r="G315" s="19"/>
      <c r="H315" s="19"/>
      <c r="I315" s="20"/>
      <c r="J315" s="19"/>
      <c r="K315" s="19"/>
    </row>
    <row r="316" spans="1:11" ht="14.25">
      <c r="A316" s="19"/>
      <c r="B316" s="31"/>
      <c r="C316" s="19"/>
      <c r="D316" s="19"/>
      <c r="E316" s="19"/>
      <c r="F316" s="20"/>
      <c r="G316" s="19"/>
      <c r="H316" s="19"/>
      <c r="I316" s="20"/>
      <c r="J316" s="19"/>
      <c r="K316" s="19"/>
    </row>
    <row r="317" spans="1:11" ht="14.25">
      <c r="A317" s="19"/>
      <c r="B317" s="31"/>
      <c r="C317" s="19"/>
      <c r="D317" s="19"/>
      <c r="E317" s="19"/>
      <c r="F317" s="20"/>
      <c r="G317" s="19"/>
      <c r="H317" s="19"/>
      <c r="I317" s="20"/>
      <c r="J317" s="19"/>
      <c r="K317" s="19"/>
    </row>
    <row r="318" spans="1:11" ht="14.25">
      <c r="A318" s="19"/>
      <c r="B318" s="31"/>
      <c r="C318" s="19"/>
      <c r="D318" s="19"/>
      <c r="E318" s="19"/>
      <c r="F318" s="20"/>
      <c r="G318" s="19"/>
      <c r="H318" s="19"/>
      <c r="I318" s="20"/>
      <c r="J318" s="19"/>
      <c r="K318" s="19"/>
    </row>
    <row r="319" spans="1:11" ht="14.25">
      <c r="A319" s="19"/>
      <c r="B319" s="31"/>
      <c r="C319" s="19"/>
      <c r="D319" s="19"/>
      <c r="E319" s="19"/>
      <c r="F319" s="20"/>
      <c r="G319" s="19"/>
      <c r="H319" s="19"/>
      <c r="I319" s="20"/>
      <c r="J319" s="19"/>
      <c r="K319" s="19"/>
    </row>
    <row r="320" spans="1:11" ht="14.25">
      <c r="A320" s="19"/>
      <c r="B320" s="31"/>
      <c r="C320" s="19"/>
      <c r="D320" s="19"/>
      <c r="E320" s="19"/>
      <c r="F320" s="20"/>
      <c r="G320" s="19"/>
      <c r="H320" s="19"/>
      <c r="I320" s="20"/>
      <c r="J320" s="19"/>
      <c r="K320" s="19"/>
    </row>
    <row r="321" spans="1:11" ht="14.25">
      <c r="A321" s="19"/>
      <c r="B321" s="31"/>
      <c r="C321" s="19"/>
      <c r="D321" s="19"/>
      <c r="E321" s="19"/>
      <c r="F321" s="20"/>
      <c r="G321" s="19"/>
      <c r="H321" s="19"/>
      <c r="I321" s="20"/>
      <c r="J321" s="19"/>
      <c r="K321" s="19"/>
    </row>
    <row r="322" spans="1:11" ht="13.9">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9" priority="11" stopIfTrue="1" operator="lessThanOrEqual">
      <formula>-0.1</formula>
    </cfRule>
    <cfRule type="expression" dxfId="38" priority="12">
      <formula>AND(ISNUMBER(F2), F2&gt;=0.1)</formula>
    </cfRule>
  </conditionalFormatting>
  <conditionalFormatting sqref="F4:F80 I4:I80">
    <cfRule type="cellIs" dxfId="37" priority="1" stopIfTrue="1" operator="lessThanOrEqual">
      <formula>-0.1</formula>
    </cfRule>
    <cfRule type="expression" dxfId="36" priority="2">
      <formula>AND(ISNUMBER(F4), F4&gt;=0.1)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2"/>
  <sheetViews>
    <sheetView zoomScale="50" zoomScaleNormal="50" workbookViewId="0">
      <pane xSplit="2" ySplit="3" topLeftCell="C6" activePane="bottomRight" state="frozen"/>
      <selection pane="bottomRight" activeCell="T9" sqref="T9"/>
      <selection pane="bottomLeft" activeCell="J4" activeCellId="3" sqref="C4:C10 D4:D10 G4:G10 J4:Q10"/>
      <selection pane="topRight" activeCell="J4" activeCellId="3" sqref="C4:C10 D4:D10 G4:G10 J4:Q10"/>
    </sheetView>
  </sheetViews>
  <sheetFormatPr defaultRowHeight="13.5"/>
  <cols>
    <col min="1" max="1" width="35.85546875" bestFit="1" customWidth="1"/>
    <col min="2" max="2" width="8.42578125" style="32"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7" ht="19.5" customHeight="1">
      <c r="A1" s="111" t="str" cm="1">
        <f t="array" ref="A1">portfolio</f>
        <v>GoodFinch</v>
      </c>
      <c r="B1" s="111"/>
      <c r="C1" s="111"/>
      <c r="D1" s="112" t="s">
        <v>25</v>
      </c>
      <c r="E1" s="112"/>
      <c r="F1" s="112"/>
      <c r="G1" s="110" t="s">
        <v>26</v>
      </c>
      <c r="H1" s="110"/>
      <c r="I1" s="110"/>
      <c r="J1" s="4"/>
      <c r="K1" s="4"/>
    </row>
    <row r="2" spans="1:17" ht="19.5" customHeight="1">
      <c r="A2" s="113" t="s">
        <v>2</v>
      </c>
      <c r="B2" s="113"/>
      <c r="C2" s="5">
        <f>SUM(C4:C80)</f>
        <v>0</v>
      </c>
      <c r="D2" s="5">
        <f>SUM(D4:D80)</f>
        <v>0</v>
      </c>
      <c r="E2" s="5">
        <f>C2-D2</f>
        <v>0</v>
      </c>
      <c r="F2" s="6">
        <f>IFERROR(E2/D2, 0)</f>
        <v>0</v>
      </c>
      <c r="G2" s="5">
        <f>SUM(G4:G80)</f>
        <v>0</v>
      </c>
      <c r="H2" s="7">
        <f>C2-G2</f>
        <v>0</v>
      </c>
      <c r="I2" s="6">
        <f>IFERROR(H2/G2, 0)</f>
        <v>0</v>
      </c>
      <c r="J2" s="24"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8" t="s">
        <v>3</v>
      </c>
      <c r="B3" s="8" t="s">
        <v>4</v>
      </c>
      <c r="C3" s="21" t="s">
        <v>5</v>
      </c>
      <c r="D3" s="33" t="s">
        <v>6</v>
      </c>
      <c r="E3" s="33" t="s">
        <v>7</v>
      </c>
      <c r="F3" s="34" t="s">
        <v>8</v>
      </c>
      <c r="G3" s="35" t="s">
        <v>9</v>
      </c>
      <c r="H3" s="36" t="s">
        <v>7</v>
      </c>
      <c r="I3" s="37" t="s">
        <v>8</v>
      </c>
      <c r="J3" s="23" t="s">
        <v>21</v>
      </c>
      <c r="K3" s="23" t="s">
        <v>22</v>
      </c>
    </row>
    <row r="4" spans="1:17" ht="15.75">
      <c r="A4" s="30" t="str" cm="1">
        <f t="array" ref="A4:A45">Sites[Site]</f>
        <v>AZ: Tempe - ASU - Farmer</v>
      </c>
      <c r="B4" s="27" t="str" cm="1">
        <f t="array" ref="B4:B45">Sites[State]</f>
        <v>AZ</v>
      </c>
      <c r="C4" s="22"/>
      <c r="D4" s="12"/>
      <c r="E4" s="12" t="str">
        <f>IF(AND(ISNUMBER(C4),ISNUMBER(D4)), C4-D4, "")</f>
        <v/>
      </c>
      <c r="F4" s="13" t="str">
        <f>IFERROR(E4/D4, "")</f>
        <v/>
      </c>
      <c r="G4" s="14"/>
      <c r="H4" s="14" t="str">
        <f>IF(AND(ISNUMBER(C4),ISNUMBER(G4)), C4-G4, "")</f>
        <v/>
      </c>
      <c r="I4" s="15" t="str">
        <f>IFERROR(H4/G4, "")</f>
        <v/>
      </c>
      <c r="J4" s="39"/>
      <c r="K4" s="39"/>
    </row>
    <row r="5" spans="1:17" ht="141" customHeight="1">
      <c r="A5" s="28" t="str">
        <v>AZ: Tempe - ASU - Fulton</v>
      </c>
      <c r="B5" s="29" t="str">
        <v>AZ</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61"/>
      <c r="L5" s="66"/>
      <c r="M5" s="66"/>
      <c r="N5" s="66"/>
    </row>
    <row r="6" spans="1:17" ht="98.25" customHeight="1">
      <c r="A6" s="26" t="str">
        <v>AZ: Superior - JFK Elementary</v>
      </c>
      <c r="B6" s="27" t="str">
        <v>AZ</v>
      </c>
      <c r="C6" s="22"/>
      <c r="D6" s="12"/>
      <c r="E6" s="12" t="str">
        <f t="shared" si="0"/>
        <v/>
      </c>
      <c r="F6" s="13" t="str">
        <f t="shared" ref="F6:F8" si="3">IFERROR(E6/D6, "")</f>
        <v/>
      </c>
      <c r="G6" s="14"/>
      <c r="H6" s="14" t="str">
        <f t="shared" si="1"/>
        <v/>
      </c>
      <c r="I6" s="15" t="str">
        <f t="shared" si="2"/>
        <v/>
      </c>
      <c r="J6" s="39"/>
      <c r="K6" s="59"/>
      <c r="L6" s="62"/>
      <c r="M6" s="69"/>
      <c r="N6" s="69"/>
      <c r="O6" s="69"/>
      <c r="P6" s="69"/>
      <c r="Q6" s="69"/>
    </row>
    <row r="7" spans="1:17" ht="78.75" customHeight="1">
      <c r="A7" s="28" t="str">
        <v>AZ: Tempe - ASU - Noble</v>
      </c>
      <c r="B7" s="29" t="str">
        <v>AZ</v>
      </c>
      <c r="C7" s="11"/>
      <c r="D7" s="16"/>
      <c r="E7" s="16" t="str">
        <f t="shared" si="0"/>
        <v/>
      </c>
      <c r="F7" s="17" t="str">
        <f t="shared" si="3"/>
        <v/>
      </c>
      <c r="G7" s="67"/>
      <c r="H7" s="18" t="str">
        <f t="shared" si="1"/>
        <v/>
      </c>
      <c r="I7" s="17" t="str">
        <f t="shared" si="2"/>
        <v/>
      </c>
      <c r="J7" s="40"/>
      <c r="K7" s="61"/>
      <c r="L7" s="62"/>
      <c r="M7" s="62"/>
      <c r="N7" s="69"/>
      <c r="O7" s="69"/>
      <c r="P7" s="69"/>
      <c r="Q7" s="69"/>
    </row>
    <row r="8" spans="1:17" ht="142.5" customHeight="1">
      <c r="A8" s="26" t="str">
        <v>AZ: Tempe - ASU - Parking #3</v>
      </c>
      <c r="B8" s="27" t="str">
        <v>AZ</v>
      </c>
      <c r="C8" s="22"/>
      <c r="D8" s="12"/>
      <c r="E8" s="12" t="str">
        <f t="shared" si="0"/>
        <v/>
      </c>
      <c r="F8" s="13" t="str">
        <f t="shared" si="3"/>
        <v/>
      </c>
      <c r="G8" s="68"/>
      <c r="H8" s="14" t="str">
        <f t="shared" si="1"/>
        <v/>
      </c>
      <c r="I8" s="15" t="str">
        <f t="shared" si="2"/>
        <v/>
      </c>
      <c r="J8" s="39"/>
      <c r="K8" s="59"/>
      <c r="L8" s="62"/>
      <c r="M8" s="62"/>
      <c r="N8" s="62"/>
      <c r="O8" s="69"/>
      <c r="P8" s="69"/>
      <c r="Q8" s="69"/>
    </row>
    <row r="9" spans="1:17" ht="300.75" customHeight="1">
      <c r="A9" s="28" t="str">
        <v>AZ: Tempe - ASU - PE East</v>
      </c>
      <c r="B9" s="29" t="str">
        <v>AZ</v>
      </c>
      <c r="C9" s="11"/>
      <c r="D9" s="16"/>
      <c r="E9" s="16" t="str">
        <f t="shared" ref="E9:E45" si="4">IF(AND(ISNUMBER(C9),ISNUMBER(D9)), C9-D9, "")</f>
        <v/>
      </c>
      <c r="F9" s="17" t="str">
        <f t="shared" ref="F9:F45" si="5">IFERROR(E9/D9, "")</f>
        <v/>
      </c>
      <c r="G9" s="101"/>
      <c r="H9" s="18" t="str">
        <f t="shared" ref="H9:H45" si="6">IF(AND(ISNUMBER(C9),ISNUMBER(G9)), C9-G9, "")</f>
        <v/>
      </c>
      <c r="I9" s="17" t="str">
        <f t="shared" ref="I9:I45" si="7">IFERROR(H9/G9, "")</f>
        <v/>
      </c>
      <c r="J9" s="40"/>
      <c r="K9" s="61"/>
      <c r="L9" s="62"/>
      <c r="M9" s="62"/>
      <c r="N9" s="62"/>
      <c r="O9" s="62"/>
      <c r="P9" s="62"/>
      <c r="Q9" s="69"/>
    </row>
    <row r="10" spans="1:17" ht="220.5" customHeight="1">
      <c r="A10" s="26" t="str">
        <v>AZ: Tempe - ASU - Schwada</v>
      </c>
      <c r="B10" s="27" t="str">
        <v>AZ</v>
      </c>
      <c r="C10" s="73"/>
      <c r="D10" s="12"/>
      <c r="E10" s="12" t="str">
        <f t="shared" si="4"/>
        <v/>
      </c>
      <c r="F10" s="74" t="str">
        <f t="shared" si="5"/>
        <v/>
      </c>
      <c r="G10" s="102"/>
      <c r="H10" s="75" t="str">
        <f t="shared" si="6"/>
        <v/>
      </c>
      <c r="I10" s="76" t="str">
        <f t="shared" si="7"/>
        <v/>
      </c>
      <c r="J10" s="77"/>
      <c r="K10" s="81"/>
      <c r="L10" s="62"/>
      <c r="M10" s="62"/>
      <c r="N10" s="62"/>
      <c r="O10" s="69"/>
      <c r="P10" s="69"/>
      <c r="Q10" s="69"/>
    </row>
    <row r="11" spans="1:17" ht="15.75">
      <c r="A11" s="28" t="str">
        <v>AZ: Phoenix - Starshine Academy</v>
      </c>
      <c r="B11" s="29" t="str">
        <v>AZ</v>
      </c>
      <c r="C11" s="100"/>
      <c r="D11" s="16"/>
      <c r="E11" s="16" t="str">
        <f t="shared" si="4"/>
        <v/>
      </c>
      <c r="F11" s="99" t="str">
        <f t="shared" si="5"/>
        <v/>
      </c>
      <c r="G11" s="101"/>
      <c r="H11" s="80" t="str">
        <f t="shared" si="6"/>
        <v/>
      </c>
      <c r="I11" s="99" t="str">
        <f t="shared" si="7"/>
        <v/>
      </c>
      <c r="J11" s="40"/>
      <c r="K11" s="61"/>
    </row>
    <row r="12" spans="1:17" ht="15.75">
      <c r="A12" s="26" t="str">
        <v>AZ: Yuma Airport</v>
      </c>
      <c r="B12" s="27" t="str">
        <v>AZ</v>
      </c>
      <c r="C12" s="73"/>
      <c r="D12" s="12"/>
      <c r="E12" s="12" t="str">
        <f t="shared" si="4"/>
        <v/>
      </c>
      <c r="F12" s="74" t="str">
        <f t="shared" si="5"/>
        <v/>
      </c>
      <c r="G12" s="102"/>
      <c r="H12" s="75" t="str">
        <f t="shared" si="6"/>
        <v/>
      </c>
      <c r="I12" s="76" t="str">
        <f t="shared" si="7"/>
        <v/>
      </c>
      <c r="J12" s="77"/>
      <c r="K12" s="81"/>
    </row>
    <row r="13" spans="1:17" ht="15.75">
      <c r="A13" s="28" t="str">
        <v>AZ: Globe - Gila CC</v>
      </c>
      <c r="B13" s="29" t="str">
        <v>AZ</v>
      </c>
      <c r="C13" s="100"/>
      <c r="D13" s="16"/>
      <c r="E13" s="16" t="str">
        <f t="shared" si="4"/>
        <v/>
      </c>
      <c r="F13" s="99" t="str">
        <f t="shared" si="5"/>
        <v/>
      </c>
      <c r="G13" s="101"/>
      <c r="H13" s="80" t="str">
        <f t="shared" si="6"/>
        <v/>
      </c>
      <c r="I13" s="99" t="str">
        <f t="shared" si="7"/>
        <v/>
      </c>
      <c r="J13" s="40"/>
      <c r="K13" s="61"/>
    </row>
    <row r="14" spans="1:17" ht="15.75">
      <c r="A14" s="26" t="str">
        <v>AZ: Payson - Gila CC</v>
      </c>
      <c r="B14" s="27" t="str">
        <v>AZ</v>
      </c>
      <c r="C14" s="73"/>
      <c r="D14" s="12"/>
      <c r="E14" s="12" t="str">
        <f t="shared" si="4"/>
        <v/>
      </c>
      <c r="F14" s="74" t="str">
        <f t="shared" si="5"/>
        <v/>
      </c>
      <c r="G14" s="102"/>
      <c r="H14" s="75" t="str">
        <f t="shared" si="6"/>
        <v/>
      </c>
      <c r="I14" s="76" t="str">
        <f t="shared" si="7"/>
        <v/>
      </c>
      <c r="J14" s="77"/>
      <c r="K14" s="81"/>
    </row>
    <row r="15" spans="1:17" ht="15.75">
      <c r="A15" s="28" t="str">
        <v>AZ: Mesa - Sequoia Charter School</v>
      </c>
      <c r="B15" s="29" t="str">
        <v>AZ</v>
      </c>
      <c r="C15" s="100"/>
      <c r="D15" s="16"/>
      <c r="E15" s="16" t="str">
        <f t="shared" si="4"/>
        <v/>
      </c>
      <c r="F15" s="99" t="str">
        <f t="shared" si="5"/>
        <v/>
      </c>
      <c r="G15" s="101"/>
      <c r="H15" s="80" t="str">
        <f t="shared" si="6"/>
        <v/>
      </c>
      <c r="I15" s="99" t="str">
        <f t="shared" si="7"/>
        <v/>
      </c>
      <c r="J15" s="40"/>
      <c r="K15" s="61"/>
    </row>
    <row r="16" spans="1:17" ht="15.75">
      <c r="A16" s="26" t="str">
        <v>AZ: Tempe - SCNM</v>
      </c>
      <c r="B16" s="27" t="str">
        <v>AZ</v>
      </c>
      <c r="C16" s="73"/>
      <c r="D16" s="12"/>
      <c r="E16" s="12" t="str">
        <f t="shared" si="4"/>
        <v/>
      </c>
      <c r="F16" s="74" t="str">
        <f t="shared" si="5"/>
        <v/>
      </c>
      <c r="G16" s="102"/>
      <c r="H16" s="75" t="str">
        <f t="shared" si="6"/>
        <v/>
      </c>
      <c r="I16" s="76" t="str">
        <f t="shared" si="7"/>
        <v/>
      </c>
      <c r="J16" s="77"/>
      <c r="K16" s="81"/>
    </row>
    <row r="17" spans="1:11" ht="15.75">
      <c r="A17" s="28" t="str">
        <v>DE: Newark - Clayton Hall</v>
      </c>
      <c r="B17" s="29" t="str">
        <v>DE</v>
      </c>
      <c r="C17" s="100"/>
      <c r="D17" s="16"/>
      <c r="E17" s="16" t="str">
        <f t="shared" si="4"/>
        <v/>
      </c>
      <c r="F17" s="99" t="str">
        <f t="shared" si="5"/>
        <v/>
      </c>
      <c r="G17" s="101"/>
      <c r="H17" s="80" t="str">
        <f t="shared" si="6"/>
        <v/>
      </c>
      <c r="I17" s="99" t="str">
        <f t="shared" si="7"/>
        <v/>
      </c>
      <c r="J17" s="40"/>
      <c r="K17" s="61"/>
    </row>
    <row r="18" spans="1:11" ht="15.75">
      <c r="A18" s="26" t="str">
        <v>DE: Newark - UOD Field House</v>
      </c>
      <c r="B18" s="27" t="str">
        <v>DE</v>
      </c>
      <c r="C18" s="73"/>
      <c r="D18" s="12"/>
      <c r="E18" s="12" t="str">
        <f t="shared" si="4"/>
        <v/>
      </c>
      <c r="F18" s="74" t="str">
        <f t="shared" si="5"/>
        <v/>
      </c>
      <c r="G18" s="102"/>
      <c r="H18" s="75" t="str">
        <f t="shared" si="6"/>
        <v/>
      </c>
      <c r="I18" s="76" t="str">
        <f t="shared" si="7"/>
        <v/>
      </c>
      <c r="J18" s="77"/>
      <c r="K18" s="81"/>
    </row>
    <row r="19" spans="1:11" ht="15.75">
      <c r="A19" s="28" t="str">
        <v>DE: Newark - UOD 461 Wyoming</v>
      </c>
      <c r="B19" s="29" t="str">
        <v>DE</v>
      </c>
      <c r="C19" s="100"/>
      <c r="D19" s="16"/>
      <c r="E19" s="16" t="str">
        <f t="shared" si="4"/>
        <v/>
      </c>
      <c r="F19" s="99" t="str">
        <f t="shared" si="5"/>
        <v/>
      </c>
      <c r="G19" s="101"/>
      <c r="H19" s="80" t="str">
        <f t="shared" si="6"/>
        <v/>
      </c>
      <c r="I19" s="99" t="str">
        <f t="shared" si="7"/>
        <v/>
      </c>
      <c r="J19" s="40"/>
      <c r="K19" s="61"/>
    </row>
    <row r="20" spans="1:11" ht="15.75">
      <c r="A20" s="26" t="str">
        <v>HI: Waipahu - 94-246 Leoku St - E.F.G.</v>
      </c>
      <c r="B20" s="27" t="str">
        <v>HI</v>
      </c>
      <c r="C20" s="73"/>
      <c r="D20" s="12"/>
      <c r="E20" s="12" t="str">
        <f t="shared" si="4"/>
        <v/>
      </c>
      <c r="F20" s="74" t="str">
        <f t="shared" si="5"/>
        <v/>
      </c>
      <c r="G20" s="102"/>
      <c r="H20" s="75" t="str">
        <f t="shared" si="6"/>
        <v/>
      </c>
      <c r="I20" s="76" t="str">
        <f t="shared" si="7"/>
        <v/>
      </c>
      <c r="J20" s="77"/>
      <c r="K20" s="81"/>
    </row>
    <row r="21" spans="1:11" ht="15.75">
      <c r="A21" s="28" t="str">
        <v>HI: Waipahu - 94-099 Waipahu St - PV</v>
      </c>
      <c r="B21" s="29" t="str">
        <v>HI</v>
      </c>
      <c r="C21" s="100"/>
      <c r="D21" s="16"/>
      <c r="E21" s="16" t="str">
        <f t="shared" si="4"/>
        <v/>
      </c>
      <c r="F21" s="99" t="str">
        <f t="shared" si="5"/>
        <v/>
      </c>
      <c r="G21" s="101"/>
      <c r="H21" s="80" t="str">
        <f t="shared" si="6"/>
        <v/>
      </c>
      <c r="I21" s="99" t="str">
        <f t="shared" si="7"/>
        <v/>
      </c>
      <c r="J21" s="40"/>
      <c r="K21" s="61"/>
    </row>
    <row r="22" spans="1:11" ht="15.75">
      <c r="A22" s="26" t="str">
        <v>MD: Presston - Bird-in-Hand</v>
      </c>
      <c r="B22" s="27" t="str">
        <v>MD</v>
      </c>
      <c r="C22" s="73"/>
      <c r="D22" s="12"/>
      <c r="E22" s="12" t="str">
        <f t="shared" si="4"/>
        <v/>
      </c>
      <c r="F22" s="74" t="str">
        <f t="shared" si="5"/>
        <v/>
      </c>
      <c r="G22" s="102"/>
      <c r="H22" s="75" t="str">
        <f t="shared" si="6"/>
        <v/>
      </c>
      <c r="I22" s="76" t="str">
        <f t="shared" si="7"/>
        <v/>
      </c>
      <c r="J22" s="77"/>
      <c r="K22" s="81"/>
    </row>
    <row r="23" spans="1:11" ht="15.75">
      <c r="A23" s="28" t="str">
        <v>MD: Easton - Shortall</v>
      </c>
      <c r="B23" s="29" t="str">
        <v>MD</v>
      </c>
      <c r="C23" s="100"/>
      <c r="D23" s="16"/>
      <c r="E23" s="16" t="str">
        <f t="shared" si="4"/>
        <v/>
      </c>
      <c r="F23" s="99" t="str">
        <f t="shared" si="5"/>
        <v/>
      </c>
      <c r="G23" s="101"/>
      <c r="H23" s="80" t="str">
        <f t="shared" si="6"/>
        <v/>
      </c>
      <c r="I23" s="99" t="str">
        <f t="shared" si="7"/>
        <v/>
      </c>
      <c r="J23" s="40"/>
      <c r="K23" s="61"/>
    </row>
    <row r="24" spans="1:11" ht="15.75">
      <c r="A24" s="26" t="str">
        <v>MA: Boston - Seaport Solar</v>
      </c>
      <c r="B24" s="27" t="str">
        <v>MA</v>
      </c>
      <c r="C24" s="73"/>
      <c r="D24" s="12"/>
      <c r="E24" s="12" t="str">
        <f t="shared" si="4"/>
        <v/>
      </c>
      <c r="F24" s="74" t="str">
        <f t="shared" si="5"/>
        <v/>
      </c>
      <c r="G24" s="102"/>
      <c r="H24" s="75" t="str">
        <f t="shared" si="6"/>
        <v/>
      </c>
      <c r="I24" s="76" t="str">
        <f t="shared" si="7"/>
        <v/>
      </c>
      <c r="J24" s="77"/>
      <c r="K24" s="81"/>
    </row>
    <row r="25" spans="1:11" ht="15.75">
      <c r="A25" s="28" t="str">
        <v>MA: Dedham - Sprague Street</v>
      </c>
      <c r="B25" s="29" t="str">
        <v>MA</v>
      </c>
      <c r="C25" s="100"/>
      <c r="D25" s="16"/>
      <c r="E25" s="16" t="str">
        <f t="shared" si="4"/>
        <v/>
      </c>
      <c r="F25" s="99" t="str">
        <f t="shared" si="5"/>
        <v/>
      </c>
      <c r="G25" s="101"/>
      <c r="H25" s="80" t="str">
        <f t="shared" si="6"/>
        <v/>
      </c>
      <c r="I25" s="99" t="str">
        <f t="shared" si="7"/>
        <v/>
      </c>
      <c r="J25" s="40"/>
      <c r="K25" s="61"/>
    </row>
    <row r="26" spans="1:11" ht="15.75">
      <c r="A26" s="26" t="str">
        <v>MA: Boston - Summer Street</v>
      </c>
      <c r="B26" s="27" t="str">
        <v>MA</v>
      </c>
      <c r="C26" s="73"/>
      <c r="D26" s="12"/>
      <c r="E26" s="12" t="str">
        <f t="shared" si="4"/>
        <v/>
      </c>
      <c r="F26" s="74" t="str">
        <f t="shared" si="5"/>
        <v/>
      </c>
      <c r="G26" s="102"/>
      <c r="H26" s="75" t="str">
        <f t="shared" si="6"/>
        <v/>
      </c>
      <c r="I26" s="76" t="str">
        <f t="shared" si="7"/>
        <v/>
      </c>
      <c r="J26" s="77"/>
      <c r="K26" s="81"/>
    </row>
    <row r="27" spans="1:11" ht="15.75">
      <c r="A27" s="28" t="str">
        <v>MA: Leominster - Spectro Coatings</v>
      </c>
      <c r="B27" s="29" t="str">
        <v>MA</v>
      </c>
      <c r="C27" s="100"/>
      <c r="D27" s="16"/>
      <c r="E27" s="16" t="str">
        <f t="shared" si="4"/>
        <v/>
      </c>
      <c r="F27" s="99" t="str">
        <f t="shared" si="5"/>
        <v/>
      </c>
      <c r="G27" s="101"/>
      <c r="H27" s="80" t="str">
        <f t="shared" si="6"/>
        <v/>
      </c>
      <c r="I27" s="99" t="str">
        <f t="shared" si="7"/>
        <v/>
      </c>
      <c r="J27" s="40"/>
      <c r="K27" s="61"/>
    </row>
    <row r="28" spans="1:11" ht="15.75">
      <c r="A28" s="26" t="str">
        <v>MA: Braintree - RCAB</v>
      </c>
      <c r="B28" s="27" t="str">
        <v>MA</v>
      </c>
      <c r="C28" s="73"/>
      <c r="D28" s="12"/>
      <c r="E28" s="12" t="str">
        <f t="shared" si="4"/>
        <v/>
      </c>
      <c r="F28" s="74" t="str">
        <f t="shared" si="5"/>
        <v/>
      </c>
      <c r="G28" s="102"/>
      <c r="H28" s="75" t="str">
        <f t="shared" si="6"/>
        <v/>
      </c>
      <c r="I28" s="76" t="str">
        <f t="shared" si="7"/>
        <v/>
      </c>
      <c r="J28" s="77"/>
      <c r="K28" s="81"/>
    </row>
    <row r="29" spans="1:11" ht="15.75">
      <c r="A29" s="28" t="str">
        <v>NH: Rochester - Portland Street</v>
      </c>
      <c r="B29" s="29" t="str">
        <v>NH</v>
      </c>
      <c r="C29" s="100"/>
      <c r="D29" s="16"/>
      <c r="E29" s="16" t="str">
        <f t="shared" si="4"/>
        <v/>
      </c>
      <c r="F29" s="99" t="str">
        <f t="shared" si="5"/>
        <v/>
      </c>
      <c r="G29" s="101"/>
      <c r="H29" s="80" t="str">
        <f t="shared" si="6"/>
        <v/>
      </c>
      <c r="I29" s="99" t="str">
        <f t="shared" si="7"/>
        <v/>
      </c>
      <c r="J29" s="40"/>
      <c r="K29" s="61"/>
    </row>
    <row r="30" spans="1:11" ht="15.75">
      <c r="A30" s="26" t="str">
        <v>NH: Portsmouth - Portsmouth HS</v>
      </c>
      <c r="B30" s="27" t="str">
        <v>NH</v>
      </c>
      <c r="C30" s="73"/>
      <c r="D30" s="12"/>
      <c r="E30" s="12" t="str">
        <f t="shared" si="4"/>
        <v/>
      </c>
      <c r="F30" s="74" t="str">
        <f t="shared" si="5"/>
        <v/>
      </c>
      <c r="G30" s="102"/>
      <c r="H30" s="75" t="str">
        <f t="shared" si="6"/>
        <v/>
      </c>
      <c r="I30" s="76" t="str">
        <f t="shared" si="7"/>
        <v/>
      </c>
      <c r="J30" s="77"/>
      <c r="K30" s="81"/>
    </row>
    <row r="31" spans="1:11" ht="15.75">
      <c r="A31" s="28" t="str">
        <v>NH: Portsmouth - Portsmouth WTP</v>
      </c>
      <c r="B31" s="29" t="str">
        <v>NH</v>
      </c>
      <c r="C31" s="100"/>
      <c r="D31" s="16"/>
      <c r="E31" s="16" t="str">
        <f t="shared" si="4"/>
        <v/>
      </c>
      <c r="F31" s="99" t="str">
        <f t="shared" si="5"/>
        <v/>
      </c>
      <c r="G31" s="101"/>
      <c r="H31" s="80" t="str">
        <f t="shared" si="6"/>
        <v/>
      </c>
      <c r="I31" s="99" t="str">
        <f t="shared" si="7"/>
        <v/>
      </c>
      <c r="J31" s="40"/>
      <c r="K31" s="61"/>
    </row>
    <row r="32" spans="1:11" ht="15.75">
      <c r="A32" s="26" t="str">
        <v>NH: Rochester - Rochester MS</v>
      </c>
      <c r="B32" s="27" t="str">
        <v>NH</v>
      </c>
      <c r="C32" s="73"/>
      <c r="D32" s="12"/>
      <c r="E32" s="12" t="str">
        <f t="shared" si="4"/>
        <v/>
      </c>
      <c r="F32" s="74" t="str">
        <f t="shared" si="5"/>
        <v/>
      </c>
      <c r="G32" s="102"/>
      <c r="H32" s="75" t="str">
        <f t="shared" si="6"/>
        <v/>
      </c>
      <c r="I32" s="76" t="str">
        <f t="shared" si="7"/>
        <v/>
      </c>
      <c r="J32" s="77"/>
      <c r="K32" s="81"/>
    </row>
    <row r="33" spans="1:11" ht="15.75">
      <c r="A33" s="28" t="str">
        <v>NH Rochester - Spaulding HS</v>
      </c>
      <c r="B33" s="29" t="str">
        <v>NH</v>
      </c>
      <c r="C33" s="100"/>
      <c r="D33" s="16"/>
      <c r="E33" s="16" t="str">
        <f t="shared" si="4"/>
        <v/>
      </c>
      <c r="F33" s="99" t="str">
        <f t="shared" si="5"/>
        <v/>
      </c>
      <c r="G33" s="101"/>
      <c r="H33" s="80" t="str">
        <f t="shared" si="6"/>
        <v/>
      </c>
      <c r="I33" s="99" t="str">
        <f t="shared" si="7"/>
        <v/>
      </c>
      <c r="J33" s="40"/>
      <c r="K33" s="61"/>
    </row>
    <row r="34" spans="1:11" ht="15.75">
      <c r="A34" s="26" t="str">
        <v>NH: Rochester - McClelland ES</v>
      </c>
      <c r="B34" s="27" t="str">
        <v>NH</v>
      </c>
      <c r="C34" s="73"/>
      <c r="D34" s="12"/>
      <c r="E34" s="12" t="str">
        <f t="shared" si="4"/>
        <v/>
      </c>
      <c r="F34" s="74" t="str">
        <f t="shared" si="5"/>
        <v/>
      </c>
      <c r="G34" s="102"/>
      <c r="H34" s="75" t="str">
        <f t="shared" si="6"/>
        <v/>
      </c>
      <c r="I34" s="76" t="str">
        <f t="shared" si="7"/>
        <v/>
      </c>
      <c r="J34" s="77"/>
      <c r="K34" s="81"/>
    </row>
    <row r="35" spans="1:11" ht="15.75">
      <c r="A35" s="28" t="str">
        <v>NH: Rochester - Brock St Vocational</v>
      </c>
      <c r="B35" s="29" t="str">
        <v>NH</v>
      </c>
      <c r="C35" s="100"/>
      <c r="D35" s="16"/>
      <c r="E35" s="16" t="str">
        <f t="shared" si="4"/>
        <v/>
      </c>
      <c r="F35" s="99" t="str">
        <f t="shared" si="5"/>
        <v/>
      </c>
      <c r="G35" s="101"/>
      <c r="H35" s="80" t="str">
        <f t="shared" si="6"/>
        <v/>
      </c>
      <c r="I35" s="99" t="str">
        <f t="shared" si="7"/>
        <v/>
      </c>
      <c r="J35" s="40"/>
      <c r="K35" s="61"/>
    </row>
    <row r="36" spans="1:11" ht="15.75">
      <c r="A36" s="26" t="str">
        <v>OH: Cleveland - CV Kinsman</v>
      </c>
      <c r="B36" s="27" t="str">
        <v>OH</v>
      </c>
      <c r="C36" s="73"/>
      <c r="D36" s="12"/>
      <c r="E36" s="12" t="str">
        <f t="shared" si="4"/>
        <v/>
      </c>
      <c r="F36" s="74" t="str">
        <f t="shared" si="5"/>
        <v/>
      </c>
      <c r="G36" s="102"/>
      <c r="H36" s="75" t="str">
        <f t="shared" si="6"/>
        <v/>
      </c>
      <c r="I36" s="76" t="str">
        <f t="shared" si="7"/>
        <v/>
      </c>
      <c r="J36" s="77"/>
      <c r="K36" s="81"/>
    </row>
    <row r="37" spans="1:11" ht="15.75">
      <c r="A37" s="28" t="str">
        <v>OH: Cleveland - CV Wooster</v>
      </c>
      <c r="B37" s="29" t="str">
        <v>OH</v>
      </c>
      <c r="C37" s="100"/>
      <c r="D37" s="16"/>
      <c r="E37" s="16" t="str">
        <f t="shared" si="4"/>
        <v/>
      </c>
      <c r="F37" s="99" t="str">
        <f t="shared" si="5"/>
        <v/>
      </c>
      <c r="G37" s="101"/>
      <c r="H37" s="80" t="str">
        <f t="shared" si="6"/>
        <v/>
      </c>
      <c r="I37" s="99" t="str">
        <f t="shared" si="7"/>
        <v/>
      </c>
      <c r="J37" s="40"/>
      <c r="K37" s="61"/>
    </row>
    <row r="38" spans="1:11" ht="15.75">
      <c r="A38" s="26" t="str">
        <v>PR: Aguadilla - Coca Cola</v>
      </c>
      <c r="B38" s="27" t="str">
        <v>PR</v>
      </c>
      <c r="C38" s="73"/>
      <c r="D38" s="12"/>
      <c r="E38" s="12" t="str">
        <f t="shared" si="4"/>
        <v/>
      </c>
      <c r="F38" s="74" t="str">
        <f t="shared" si="5"/>
        <v/>
      </c>
      <c r="G38" s="102"/>
      <c r="H38" s="75" t="str">
        <f t="shared" si="6"/>
        <v/>
      </c>
      <c r="I38" s="76" t="str">
        <f t="shared" si="7"/>
        <v/>
      </c>
      <c r="J38" s="77"/>
      <c r="K38" s="81"/>
    </row>
    <row r="39" spans="1:11" ht="15.75">
      <c r="A39" s="28" t="str">
        <v>PR: Bayamon - Coca Cola</v>
      </c>
      <c r="B39" s="29" t="str">
        <v>PR</v>
      </c>
      <c r="C39" s="100"/>
      <c r="D39" s="16"/>
      <c r="E39" s="16" t="str">
        <f t="shared" si="4"/>
        <v/>
      </c>
      <c r="F39" s="99" t="str">
        <f t="shared" si="5"/>
        <v/>
      </c>
      <c r="G39" s="101"/>
      <c r="H39" s="80" t="str">
        <f t="shared" si="6"/>
        <v/>
      </c>
      <c r="I39" s="99" t="str">
        <f t="shared" si="7"/>
        <v/>
      </c>
      <c r="J39" s="40"/>
      <c r="K39" s="61"/>
    </row>
    <row r="40" spans="1:11" ht="15.75">
      <c r="A40" s="26" t="str">
        <v>PR: Carolina - St. Francis</v>
      </c>
      <c r="B40" s="27" t="str">
        <v>PR</v>
      </c>
      <c r="C40" s="73"/>
      <c r="D40" s="12"/>
      <c r="E40" s="12" t="str">
        <f t="shared" si="4"/>
        <v/>
      </c>
      <c r="F40" s="74" t="str">
        <f t="shared" si="5"/>
        <v/>
      </c>
      <c r="G40" s="102"/>
      <c r="H40" s="75" t="str">
        <f t="shared" si="6"/>
        <v/>
      </c>
      <c r="I40" s="76" t="str">
        <f t="shared" si="7"/>
        <v/>
      </c>
      <c r="J40" s="77"/>
      <c r="K40" s="81"/>
    </row>
    <row r="41" spans="1:11" ht="15.75">
      <c r="A41" s="28" t="str">
        <v>DC: Washington - Essex Condominium</v>
      </c>
      <c r="B41" s="29" t="str">
        <v>DC</v>
      </c>
      <c r="C41" s="100"/>
      <c r="D41" s="16"/>
      <c r="E41" s="16" t="str">
        <f t="shared" si="4"/>
        <v/>
      </c>
      <c r="F41" s="99" t="str">
        <f t="shared" si="5"/>
        <v/>
      </c>
      <c r="G41" s="101"/>
      <c r="H41" s="80" t="str">
        <f t="shared" si="6"/>
        <v/>
      </c>
      <c r="I41" s="99" t="str">
        <f t="shared" si="7"/>
        <v/>
      </c>
      <c r="J41" s="40"/>
      <c r="K41" s="61"/>
    </row>
    <row r="42" spans="1:11" ht="15.75">
      <c r="A42" s="26" t="str">
        <v>DC: Chevy Chase -Sinai</v>
      </c>
      <c r="B42" s="27" t="str">
        <v>DC</v>
      </c>
      <c r="C42" s="73"/>
      <c r="D42" s="12"/>
      <c r="E42" s="12" t="str">
        <f t="shared" si="4"/>
        <v/>
      </c>
      <c r="F42" s="74" t="str">
        <f t="shared" si="5"/>
        <v/>
      </c>
      <c r="G42" s="102"/>
      <c r="H42" s="75" t="str">
        <f t="shared" si="6"/>
        <v/>
      </c>
      <c r="I42" s="76" t="str">
        <f t="shared" si="7"/>
        <v/>
      </c>
      <c r="J42" s="77"/>
      <c r="K42" s="81"/>
    </row>
    <row r="43" spans="1:11" ht="15.75">
      <c r="A43" s="28" t="str">
        <v>DC: Washington - Weinberg 1</v>
      </c>
      <c r="B43" s="29" t="str">
        <v>DC</v>
      </c>
      <c r="C43" s="100"/>
      <c r="D43" s="16"/>
      <c r="E43" s="16" t="str">
        <f t="shared" si="4"/>
        <v/>
      </c>
      <c r="F43" s="99" t="str">
        <f t="shared" si="5"/>
        <v/>
      </c>
      <c r="G43" s="101"/>
      <c r="H43" s="80" t="str">
        <f t="shared" si="6"/>
        <v/>
      </c>
      <c r="I43" s="99" t="str">
        <f t="shared" si="7"/>
        <v/>
      </c>
      <c r="J43" s="40"/>
      <c r="K43" s="61"/>
    </row>
    <row r="44" spans="1:11" ht="15.75">
      <c r="A44" s="26" t="str">
        <v>DC: Washington - Weinberg 2</v>
      </c>
      <c r="B44" s="27" t="str">
        <v>DC</v>
      </c>
      <c r="C44" s="73"/>
      <c r="D44" s="12"/>
      <c r="E44" s="12" t="str">
        <f t="shared" si="4"/>
        <v/>
      </c>
      <c r="F44" s="74" t="str">
        <f t="shared" si="5"/>
        <v/>
      </c>
      <c r="G44" s="102"/>
      <c r="H44" s="75" t="str">
        <f t="shared" si="6"/>
        <v/>
      </c>
      <c r="I44" s="76" t="str">
        <f t="shared" si="7"/>
        <v/>
      </c>
      <c r="J44" s="77"/>
      <c r="K44" s="81"/>
    </row>
    <row r="45" spans="1:11" ht="15.75">
      <c r="A45" s="28" t="str">
        <v>DC: Washington - Weinberg 3</v>
      </c>
      <c r="B45" s="29" t="str">
        <v>DC</v>
      </c>
      <c r="C45" s="100"/>
      <c r="D45" s="16"/>
      <c r="E45" s="16" t="str">
        <f t="shared" si="4"/>
        <v/>
      </c>
      <c r="F45" s="99" t="str">
        <f t="shared" si="5"/>
        <v/>
      </c>
      <c r="G45" s="101"/>
      <c r="H45" s="80" t="str">
        <f t="shared" si="6"/>
        <v/>
      </c>
      <c r="I45" s="99" t="str">
        <f t="shared" si="7"/>
        <v/>
      </c>
      <c r="J45" s="40"/>
      <c r="K45" s="61"/>
    </row>
    <row r="46" spans="1:11" ht="14.25">
      <c r="A46" s="19"/>
      <c r="B46" s="31"/>
      <c r="C46" s="19"/>
      <c r="D46" s="19"/>
      <c r="E46" s="19"/>
      <c r="F46" s="20"/>
      <c r="G46" s="19"/>
      <c r="H46" s="19"/>
      <c r="I46" s="20"/>
      <c r="J46" s="19"/>
      <c r="K46" s="19"/>
    </row>
    <row r="47" spans="1:11" ht="14.25">
      <c r="A47" s="19"/>
      <c r="B47" s="31"/>
      <c r="C47" s="19"/>
      <c r="D47" s="19"/>
      <c r="E47" s="19"/>
      <c r="F47" s="20"/>
      <c r="G47" s="19"/>
      <c r="H47" s="19"/>
      <c r="I47" s="20"/>
      <c r="J47" s="19"/>
      <c r="K47" s="19"/>
    </row>
    <row r="48" spans="1:11" ht="14.25">
      <c r="A48" s="19"/>
      <c r="B48" s="31"/>
      <c r="C48" s="19"/>
      <c r="D48" s="19"/>
      <c r="E48" s="19"/>
      <c r="F48" s="20"/>
      <c r="G48" s="19"/>
      <c r="H48" s="19"/>
      <c r="I48" s="20"/>
      <c r="J48" s="19"/>
      <c r="K48" s="19"/>
    </row>
    <row r="49" spans="1:11" ht="14.25">
      <c r="A49" s="19"/>
      <c r="B49" s="31"/>
      <c r="C49" s="19"/>
      <c r="D49" s="19"/>
      <c r="E49" s="19"/>
      <c r="F49" s="20"/>
      <c r="G49" s="19"/>
      <c r="H49" s="19"/>
      <c r="I49" s="20"/>
      <c r="J49" s="19"/>
      <c r="K49" s="19"/>
    </row>
    <row r="50" spans="1:11" ht="14.25">
      <c r="A50" s="19"/>
      <c r="B50" s="31"/>
      <c r="C50" s="19"/>
      <c r="D50" s="19"/>
      <c r="E50" s="19"/>
      <c r="F50" s="20"/>
      <c r="G50" s="19"/>
      <c r="H50" s="19"/>
      <c r="I50" s="20"/>
      <c r="J50" s="19"/>
      <c r="K50" s="19"/>
    </row>
    <row r="51" spans="1:11" ht="14.25">
      <c r="A51" s="19"/>
      <c r="B51" s="31"/>
      <c r="C51" s="19"/>
      <c r="D51" s="19"/>
      <c r="E51" s="19"/>
      <c r="F51" s="20"/>
      <c r="G51" s="19"/>
      <c r="H51" s="19"/>
      <c r="I51" s="20"/>
      <c r="J51" s="19"/>
      <c r="K51" s="19"/>
    </row>
    <row r="52" spans="1:11" ht="14.25">
      <c r="A52" s="19"/>
      <c r="B52" s="31"/>
      <c r="C52" s="19"/>
      <c r="D52" s="19"/>
      <c r="E52" s="19"/>
      <c r="F52" s="20"/>
      <c r="G52" s="19"/>
      <c r="H52" s="19"/>
      <c r="I52" s="20"/>
      <c r="J52" s="19"/>
      <c r="K52" s="19"/>
    </row>
    <row r="53" spans="1:11" ht="14.25">
      <c r="A53" s="19"/>
      <c r="B53" s="31"/>
      <c r="C53" s="19"/>
      <c r="D53" s="19"/>
      <c r="E53" s="19"/>
      <c r="F53" s="20"/>
      <c r="G53" s="19"/>
      <c r="H53" s="19"/>
      <c r="I53" s="20"/>
      <c r="J53" s="19"/>
      <c r="K53" s="19"/>
    </row>
    <row r="54" spans="1:11" ht="14.25">
      <c r="A54" s="19"/>
      <c r="B54" s="31"/>
      <c r="C54" s="19"/>
      <c r="D54" s="19"/>
      <c r="E54" s="19"/>
      <c r="F54" s="20"/>
      <c r="G54" s="19"/>
      <c r="H54" s="19"/>
      <c r="I54" s="20"/>
      <c r="J54" s="19"/>
      <c r="K54" s="19"/>
    </row>
    <row r="55" spans="1:11" ht="14.25">
      <c r="A55" s="19"/>
      <c r="B55" s="31"/>
      <c r="C55" s="19"/>
      <c r="D55" s="19"/>
      <c r="E55" s="19"/>
      <c r="F55" s="20"/>
      <c r="G55" s="19"/>
      <c r="H55" s="19"/>
      <c r="I55" s="20"/>
      <c r="J55" s="19"/>
      <c r="K55" s="19"/>
    </row>
    <row r="56" spans="1:11" ht="14.25">
      <c r="A56" s="19"/>
      <c r="B56" s="31"/>
      <c r="C56" s="19"/>
      <c r="D56" s="19"/>
      <c r="E56" s="19"/>
      <c r="F56" s="20"/>
      <c r="G56" s="19"/>
      <c r="H56" s="19"/>
      <c r="I56" s="20"/>
      <c r="J56" s="19"/>
      <c r="K56" s="19"/>
    </row>
    <row r="57" spans="1:11" ht="14.25">
      <c r="A57" s="19"/>
      <c r="B57" s="31"/>
      <c r="C57" s="19"/>
      <c r="D57" s="19"/>
      <c r="E57" s="19"/>
      <c r="F57" s="20"/>
      <c r="G57" s="19"/>
      <c r="H57" s="19"/>
      <c r="I57" s="20"/>
      <c r="J57" s="19"/>
      <c r="K57" s="19"/>
    </row>
    <row r="58" spans="1:11" ht="14.25">
      <c r="A58" s="19"/>
      <c r="B58" s="31"/>
      <c r="C58" s="19"/>
      <c r="D58" s="19"/>
      <c r="E58" s="19"/>
      <c r="F58" s="20"/>
      <c r="G58" s="19"/>
      <c r="H58" s="19"/>
      <c r="I58" s="20"/>
      <c r="J58" s="19"/>
      <c r="K58" s="19"/>
    </row>
    <row r="59" spans="1:11" ht="14.25">
      <c r="A59" s="19"/>
      <c r="B59" s="31"/>
      <c r="C59" s="19"/>
      <c r="D59" s="19"/>
      <c r="E59" s="19"/>
      <c r="F59" s="20"/>
      <c r="G59" s="19"/>
      <c r="H59" s="19"/>
      <c r="I59" s="20"/>
      <c r="J59" s="19"/>
      <c r="K59" s="19"/>
    </row>
    <row r="60" spans="1:11" ht="14.25">
      <c r="A60" s="19"/>
      <c r="B60" s="31"/>
      <c r="C60" s="19"/>
      <c r="D60" s="19"/>
      <c r="E60" s="19"/>
      <c r="F60" s="20"/>
      <c r="G60" s="19"/>
      <c r="H60" s="19"/>
      <c r="I60" s="20"/>
      <c r="J60" s="19"/>
      <c r="K60" s="19"/>
    </row>
    <row r="61" spans="1:11" ht="14.25">
      <c r="A61" s="19"/>
      <c r="B61" s="31"/>
      <c r="C61" s="19"/>
      <c r="D61" s="19"/>
      <c r="E61" s="19"/>
      <c r="F61" s="20"/>
      <c r="G61" s="19"/>
      <c r="H61" s="19"/>
      <c r="I61" s="20"/>
      <c r="J61" s="19"/>
      <c r="K61" s="19"/>
    </row>
    <row r="62" spans="1:11" ht="14.25">
      <c r="A62" s="19"/>
      <c r="B62" s="31"/>
      <c r="C62" s="19"/>
      <c r="D62" s="19"/>
      <c r="E62" s="19"/>
      <c r="F62" s="20"/>
      <c r="G62" s="19"/>
      <c r="H62" s="19"/>
      <c r="I62" s="20"/>
      <c r="J62" s="19"/>
      <c r="K62" s="19"/>
    </row>
    <row r="63" spans="1:11" ht="14.25">
      <c r="A63" s="19"/>
      <c r="B63" s="31"/>
      <c r="C63" s="19"/>
      <c r="D63" s="19"/>
      <c r="E63" s="19"/>
      <c r="F63" s="20"/>
      <c r="G63" s="19"/>
      <c r="H63" s="19"/>
      <c r="I63" s="20"/>
      <c r="J63" s="19"/>
      <c r="K63" s="19"/>
    </row>
    <row r="64" spans="1:11" ht="14.25">
      <c r="A64" s="19"/>
      <c r="B64" s="31"/>
      <c r="C64" s="19"/>
      <c r="D64" s="19"/>
      <c r="E64" s="19"/>
      <c r="F64" s="20"/>
      <c r="G64" s="19"/>
      <c r="H64" s="19"/>
      <c r="I64" s="20"/>
      <c r="J64" s="19"/>
      <c r="K64" s="19"/>
    </row>
    <row r="65" spans="1:11" ht="14.25">
      <c r="A65" s="19"/>
      <c r="B65" s="31"/>
      <c r="C65" s="19"/>
      <c r="D65" s="19"/>
      <c r="E65" s="19"/>
      <c r="F65" s="20"/>
      <c r="G65" s="19"/>
      <c r="H65" s="19"/>
      <c r="I65" s="20"/>
      <c r="J65" s="19"/>
      <c r="K65" s="19"/>
    </row>
    <row r="66" spans="1:11" ht="14.25">
      <c r="A66" s="19"/>
      <c r="B66" s="31"/>
      <c r="C66" s="19"/>
      <c r="D66" s="19"/>
      <c r="E66" s="19"/>
      <c r="F66" s="20"/>
      <c r="G66" s="19"/>
      <c r="H66" s="19"/>
      <c r="I66" s="20"/>
      <c r="J66" s="19"/>
      <c r="K66" s="19"/>
    </row>
    <row r="67" spans="1:11" ht="14.25">
      <c r="A67" s="19"/>
      <c r="B67" s="31"/>
      <c r="C67" s="19"/>
      <c r="D67" s="19"/>
      <c r="E67" s="19"/>
      <c r="F67" s="20"/>
      <c r="G67" s="19"/>
      <c r="H67" s="19"/>
      <c r="I67" s="20"/>
      <c r="J67" s="19"/>
      <c r="K67" s="19"/>
    </row>
    <row r="68" spans="1:11" ht="14.25">
      <c r="A68" s="19"/>
      <c r="B68" s="31"/>
      <c r="C68" s="19"/>
      <c r="D68" s="19"/>
      <c r="E68" s="19"/>
      <c r="F68" s="20"/>
      <c r="G68" s="19"/>
      <c r="H68" s="19"/>
      <c r="I68" s="20"/>
      <c r="J68" s="19"/>
      <c r="K68" s="19"/>
    </row>
    <row r="69" spans="1:11" ht="14.25">
      <c r="A69" s="19"/>
      <c r="B69" s="31"/>
      <c r="C69" s="19"/>
      <c r="D69" s="19"/>
      <c r="E69" s="19"/>
      <c r="F69" s="20"/>
      <c r="G69" s="19"/>
      <c r="H69" s="19"/>
      <c r="I69" s="20"/>
      <c r="J69" s="19"/>
      <c r="K69" s="19"/>
    </row>
    <row r="70" spans="1:11" ht="14.25">
      <c r="A70" s="19"/>
      <c r="B70" s="31"/>
      <c r="C70" s="19"/>
      <c r="D70" s="19"/>
      <c r="E70" s="19"/>
      <c r="F70" s="20"/>
      <c r="G70" s="19"/>
      <c r="H70" s="19"/>
      <c r="I70" s="20"/>
      <c r="J70" s="19"/>
      <c r="K70" s="19"/>
    </row>
    <row r="71" spans="1:11" ht="14.25">
      <c r="A71" s="19"/>
      <c r="B71" s="31"/>
      <c r="C71" s="19"/>
      <c r="D71" s="19"/>
      <c r="E71" s="19"/>
      <c r="F71" s="20"/>
      <c r="G71" s="19"/>
      <c r="H71" s="19"/>
      <c r="I71" s="20"/>
      <c r="J71" s="19"/>
      <c r="K71" s="19"/>
    </row>
    <row r="72" spans="1:11" ht="14.25">
      <c r="A72" s="19"/>
      <c r="B72" s="31"/>
      <c r="C72" s="19"/>
      <c r="D72" s="19"/>
      <c r="E72" s="19"/>
      <c r="F72" s="20"/>
      <c r="G72" s="19"/>
      <c r="H72" s="19"/>
      <c r="I72" s="20"/>
      <c r="J72" s="19"/>
      <c r="K72" s="19"/>
    </row>
    <row r="73" spans="1:11" ht="14.25">
      <c r="A73" s="19"/>
      <c r="B73" s="31"/>
      <c r="C73" s="19"/>
      <c r="D73" s="19"/>
      <c r="E73" s="19"/>
      <c r="F73" s="20"/>
      <c r="G73" s="19"/>
      <c r="H73" s="19"/>
      <c r="I73" s="20"/>
      <c r="J73" s="19"/>
      <c r="K73" s="19"/>
    </row>
    <row r="74" spans="1:11" ht="14.25">
      <c r="A74" s="19"/>
      <c r="B74" s="31"/>
      <c r="C74" s="19"/>
      <c r="D74" s="19"/>
      <c r="E74" s="19"/>
      <c r="F74" s="20"/>
      <c r="G74" s="19"/>
      <c r="H74" s="19"/>
      <c r="I74" s="20"/>
      <c r="J74" s="19"/>
      <c r="K74" s="19"/>
    </row>
    <row r="75" spans="1:11" ht="14.25">
      <c r="A75" s="19"/>
      <c r="B75" s="31"/>
      <c r="C75" s="19"/>
      <c r="D75" s="19"/>
      <c r="E75" s="19"/>
      <c r="F75" s="20"/>
      <c r="G75" s="19"/>
      <c r="H75" s="19"/>
      <c r="I75" s="20"/>
      <c r="J75" s="19"/>
      <c r="K75" s="19"/>
    </row>
    <row r="76" spans="1:11" ht="14.25">
      <c r="A76" s="19"/>
      <c r="B76" s="31"/>
      <c r="C76" s="19"/>
      <c r="D76" s="19"/>
      <c r="E76" s="19"/>
      <c r="F76" s="20"/>
      <c r="G76" s="19"/>
      <c r="H76" s="19"/>
      <c r="I76" s="20"/>
      <c r="J76" s="19"/>
      <c r="K76" s="19"/>
    </row>
    <row r="77" spans="1:11" ht="14.25">
      <c r="A77" s="19"/>
      <c r="B77" s="31"/>
      <c r="C77" s="19"/>
      <c r="D77" s="19"/>
      <c r="E77" s="19"/>
      <c r="F77" s="20"/>
      <c r="G77" s="19"/>
      <c r="H77" s="19"/>
      <c r="I77" s="20"/>
      <c r="J77" s="19"/>
      <c r="K77" s="19"/>
    </row>
    <row r="78" spans="1:11" ht="14.25">
      <c r="A78" s="19"/>
      <c r="B78" s="31"/>
      <c r="C78" s="19"/>
      <c r="D78" s="19"/>
      <c r="E78" s="19"/>
      <c r="F78" s="20"/>
      <c r="G78" s="19"/>
      <c r="H78" s="19"/>
      <c r="I78" s="20"/>
      <c r="J78" s="19"/>
      <c r="K78" s="19"/>
    </row>
    <row r="79" spans="1:11" ht="14.25">
      <c r="A79" s="19"/>
      <c r="B79" s="31"/>
      <c r="C79" s="19"/>
      <c r="D79" s="19"/>
      <c r="E79" s="19"/>
      <c r="F79" s="20"/>
      <c r="G79" s="19"/>
      <c r="H79" s="19"/>
      <c r="I79" s="20"/>
      <c r="J79" s="19"/>
      <c r="K79" s="19"/>
    </row>
    <row r="80" spans="1:11" ht="14.25">
      <c r="A80" s="19"/>
      <c r="B80" s="31"/>
      <c r="C80" s="19"/>
      <c r="D80" s="19"/>
      <c r="E80" s="19"/>
      <c r="F80" s="20"/>
      <c r="G80" s="19"/>
      <c r="H80" s="19"/>
      <c r="I80" s="20"/>
      <c r="J80" s="19"/>
      <c r="K80" s="19"/>
    </row>
    <row r="81" spans="1:11" ht="14.25">
      <c r="A81" s="19"/>
      <c r="B81" s="31"/>
      <c r="C81" s="19"/>
      <c r="D81" s="19"/>
      <c r="E81" s="19"/>
      <c r="F81" s="20"/>
      <c r="G81" s="19"/>
      <c r="H81" s="19"/>
      <c r="I81" s="20"/>
      <c r="J81" s="19"/>
      <c r="K81" s="19"/>
    </row>
    <row r="82" spans="1:11" ht="14.25">
      <c r="A82" s="19"/>
      <c r="B82" s="31"/>
      <c r="C82" s="19"/>
      <c r="D82" s="19"/>
      <c r="E82" s="19"/>
      <c r="F82" s="20"/>
      <c r="G82" s="19"/>
      <c r="H82" s="19"/>
      <c r="I82" s="20"/>
      <c r="J82" s="19"/>
      <c r="K82" s="19"/>
    </row>
    <row r="83" spans="1:11" ht="14.25">
      <c r="A83" s="19"/>
      <c r="B83" s="31"/>
      <c r="C83" s="19"/>
      <c r="D83" s="19"/>
      <c r="E83" s="19"/>
      <c r="F83" s="20"/>
      <c r="G83" s="19"/>
      <c r="H83" s="19"/>
      <c r="I83" s="20"/>
      <c r="J83" s="19"/>
      <c r="K83" s="19"/>
    </row>
    <row r="84" spans="1:11" ht="14.25">
      <c r="A84" s="19"/>
      <c r="B84" s="31"/>
      <c r="C84" s="19"/>
      <c r="D84" s="19"/>
      <c r="E84" s="19"/>
      <c r="F84" s="20"/>
      <c r="G84" s="19"/>
      <c r="H84" s="19"/>
      <c r="I84" s="20"/>
      <c r="J84" s="19"/>
      <c r="K84" s="19"/>
    </row>
    <row r="85" spans="1:11" ht="14.25">
      <c r="A85" s="19"/>
      <c r="B85" s="31"/>
      <c r="C85" s="19"/>
      <c r="D85" s="19"/>
      <c r="E85" s="19"/>
      <c r="F85" s="20"/>
      <c r="G85" s="19"/>
      <c r="H85" s="19"/>
      <c r="I85" s="20"/>
      <c r="J85" s="19"/>
      <c r="K85" s="19"/>
    </row>
    <row r="86" spans="1:11" ht="14.25">
      <c r="A86" s="19"/>
      <c r="B86" s="31"/>
      <c r="C86" s="19"/>
      <c r="D86" s="19"/>
      <c r="E86" s="19"/>
      <c r="F86" s="20"/>
      <c r="G86" s="19"/>
      <c r="H86" s="19"/>
      <c r="I86" s="20"/>
      <c r="J86" s="19"/>
      <c r="K86" s="19"/>
    </row>
    <row r="87" spans="1:11" ht="14.25">
      <c r="A87" s="19"/>
      <c r="B87" s="31"/>
      <c r="C87" s="19"/>
      <c r="D87" s="19"/>
      <c r="E87" s="19"/>
      <c r="F87" s="20"/>
      <c r="G87" s="19"/>
      <c r="H87" s="19"/>
      <c r="I87" s="20"/>
      <c r="J87" s="19"/>
      <c r="K87" s="19"/>
    </row>
    <row r="88" spans="1:11" ht="14.25">
      <c r="A88" s="19"/>
      <c r="B88" s="31"/>
      <c r="C88" s="19"/>
      <c r="D88" s="19"/>
      <c r="E88" s="19"/>
      <c r="F88" s="20"/>
      <c r="G88" s="19"/>
      <c r="H88" s="19"/>
      <c r="I88" s="20"/>
      <c r="J88" s="19"/>
      <c r="K88" s="19"/>
    </row>
    <row r="89" spans="1:11" ht="14.25">
      <c r="A89" s="19"/>
      <c r="B89" s="31"/>
      <c r="C89" s="19"/>
      <c r="D89" s="19"/>
      <c r="E89" s="19"/>
      <c r="F89" s="20"/>
      <c r="G89" s="19"/>
      <c r="H89" s="19"/>
      <c r="I89" s="20"/>
      <c r="J89" s="19"/>
      <c r="K89" s="19"/>
    </row>
    <row r="90" spans="1:11" ht="14.25">
      <c r="A90" s="19"/>
      <c r="B90" s="31"/>
      <c r="C90" s="19"/>
      <c r="D90" s="19"/>
      <c r="E90" s="19"/>
      <c r="F90" s="20"/>
      <c r="G90" s="19"/>
      <c r="H90" s="19"/>
      <c r="I90" s="20"/>
      <c r="J90" s="19"/>
      <c r="K90" s="19"/>
    </row>
    <row r="91" spans="1:11" ht="14.25">
      <c r="A91" s="19"/>
      <c r="B91" s="31"/>
      <c r="C91" s="19"/>
      <c r="D91" s="19"/>
      <c r="E91" s="19"/>
      <c r="F91" s="20"/>
      <c r="G91" s="19"/>
      <c r="H91" s="19"/>
      <c r="I91" s="20"/>
      <c r="J91" s="19"/>
      <c r="K91" s="19"/>
    </row>
    <row r="92" spans="1:11" ht="14.25">
      <c r="A92" s="19"/>
      <c r="B92" s="31"/>
      <c r="C92" s="19"/>
      <c r="D92" s="19"/>
      <c r="E92" s="19"/>
      <c r="F92" s="20"/>
      <c r="G92" s="19"/>
      <c r="H92" s="19"/>
      <c r="I92" s="20"/>
      <c r="J92" s="19"/>
      <c r="K92" s="19"/>
    </row>
    <row r="93" spans="1:11" ht="14.25">
      <c r="A93" s="19"/>
      <c r="B93" s="31"/>
      <c r="C93" s="19"/>
      <c r="D93" s="19"/>
      <c r="E93" s="19"/>
      <c r="F93" s="20"/>
      <c r="G93" s="19"/>
      <c r="H93" s="19"/>
      <c r="I93" s="20"/>
      <c r="J93" s="19"/>
      <c r="K93" s="19"/>
    </row>
    <row r="94" spans="1:11" ht="14.25">
      <c r="A94" s="19"/>
      <c r="B94" s="31"/>
      <c r="C94" s="19"/>
      <c r="D94" s="19"/>
      <c r="E94" s="19"/>
      <c r="F94" s="20"/>
      <c r="G94" s="19"/>
      <c r="H94" s="19"/>
      <c r="I94" s="20"/>
      <c r="J94" s="19"/>
      <c r="K94" s="19"/>
    </row>
    <row r="95" spans="1:11" ht="14.25">
      <c r="A95" s="19"/>
      <c r="B95" s="31"/>
      <c r="C95" s="19"/>
      <c r="D95" s="19"/>
      <c r="E95" s="19"/>
      <c r="F95" s="20"/>
      <c r="G95" s="19"/>
      <c r="H95" s="19"/>
      <c r="I95" s="20"/>
      <c r="J95" s="19"/>
      <c r="K95" s="19"/>
    </row>
    <row r="96" spans="1:11" ht="14.25">
      <c r="A96" s="19"/>
      <c r="B96" s="31"/>
      <c r="C96" s="19"/>
      <c r="D96" s="19"/>
      <c r="E96" s="19"/>
      <c r="F96" s="20"/>
      <c r="G96" s="19"/>
      <c r="H96" s="19"/>
      <c r="I96" s="20"/>
      <c r="J96" s="19"/>
      <c r="K96" s="19"/>
    </row>
    <row r="97" spans="1:11" ht="14.25">
      <c r="A97" s="19"/>
      <c r="B97" s="31"/>
      <c r="C97" s="19"/>
      <c r="D97" s="19"/>
      <c r="E97" s="19"/>
      <c r="F97" s="20"/>
      <c r="G97" s="19"/>
      <c r="H97" s="19"/>
      <c r="I97" s="20"/>
      <c r="J97" s="19"/>
      <c r="K97" s="19"/>
    </row>
    <row r="98" spans="1:11" ht="14.25">
      <c r="A98" s="19"/>
      <c r="B98" s="31"/>
      <c r="C98" s="19"/>
      <c r="D98" s="19"/>
      <c r="E98" s="19"/>
      <c r="F98" s="20"/>
      <c r="G98" s="19"/>
      <c r="H98" s="19"/>
      <c r="I98" s="20"/>
      <c r="J98" s="19"/>
      <c r="K98" s="19"/>
    </row>
    <row r="99" spans="1:11" ht="14.25">
      <c r="A99" s="19"/>
      <c r="B99" s="31"/>
      <c r="C99" s="19"/>
      <c r="D99" s="19"/>
      <c r="E99" s="19"/>
      <c r="F99" s="20"/>
      <c r="G99" s="19"/>
      <c r="H99" s="19"/>
      <c r="I99" s="20"/>
      <c r="J99" s="19"/>
      <c r="K99" s="19"/>
    </row>
    <row r="100" spans="1:11" ht="14.25">
      <c r="A100" s="19"/>
      <c r="B100" s="31"/>
      <c r="C100" s="19"/>
      <c r="D100" s="19"/>
      <c r="E100" s="19"/>
      <c r="F100" s="20"/>
      <c r="G100" s="19"/>
      <c r="H100" s="19"/>
      <c r="I100" s="20"/>
      <c r="J100" s="19"/>
      <c r="K100" s="19"/>
    </row>
    <row r="101" spans="1:11" ht="14.25">
      <c r="A101" s="19"/>
      <c r="B101" s="31"/>
      <c r="C101" s="19"/>
      <c r="D101" s="19"/>
      <c r="E101" s="19"/>
      <c r="F101" s="20"/>
      <c r="G101" s="19"/>
      <c r="H101" s="19"/>
      <c r="I101" s="20"/>
      <c r="J101" s="19"/>
      <c r="K101" s="19"/>
    </row>
    <row r="102" spans="1:11" ht="14.25">
      <c r="A102" s="19"/>
      <c r="B102" s="31"/>
      <c r="C102" s="19"/>
      <c r="D102" s="19"/>
      <c r="E102" s="19"/>
      <c r="F102" s="20"/>
      <c r="G102" s="19"/>
      <c r="H102" s="19"/>
      <c r="I102" s="20"/>
      <c r="J102" s="19"/>
      <c r="K102" s="19"/>
    </row>
    <row r="103" spans="1:11" ht="14.25">
      <c r="A103" s="19"/>
      <c r="B103" s="31"/>
      <c r="C103" s="19"/>
      <c r="D103" s="19"/>
      <c r="E103" s="19"/>
      <c r="F103" s="20"/>
      <c r="G103" s="19"/>
      <c r="H103" s="19"/>
      <c r="I103" s="20"/>
      <c r="J103" s="19"/>
      <c r="K103" s="19"/>
    </row>
    <row r="104" spans="1:11" ht="14.25">
      <c r="A104" s="19"/>
      <c r="B104" s="31"/>
      <c r="C104" s="19"/>
      <c r="D104" s="19"/>
      <c r="E104" s="19"/>
      <c r="F104" s="20"/>
      <c r="G104" s="19"/>
      <c r="H104" s="19"/>
      <c r="I104" s="20"/>
      <c r="J104" s="19"/>
      <c r="K104" s="19"/>
    </row>
    <row r="105" spans="1:11" ht="14.25">
      <c r="A105" s="19"/>
      <c r="B105" s="31"/>
      <c r="C105" s="19"/>
      <c r="D105" s="19"/>
      <c r="E105" s="19"/>
      <c r="F105" s="20"/>
      <c r="G105" s="19"/>
      <c r="H105" s="19"/>
      <c r="I105" s="20"/>
      <c r="J105" s="19"/>
      <c r="K105" s="19"/>
    </row>
    <row r="106" spans="1:11" ht="14.25">
      <c r="A106" s="19"/>
      <c r="B106" s="31"/>
      <c r="C106" s="19"/>
      <c r="D106" s="19"/>
      <c r="E106" s="19"/>
      <c r="F106" s="20"/>
      <c r="G106" s="19"/>
      <c r="H106" s="19"/>
      <c r="I106" s="20"/>
      <c r="J106" s="19"/>
      <c r="K106" s="19"/>
    </row>
    <row r="107" spans="1:11" ht="14.25">
      <c r="A107" s="19"/>
      <c r="B107" s="31"/>
      <c r="C107" s="19"/>
      <c r="D107" s="19"/>
      <c r="E107" s="19"/>
      <c r="F107" s="20"/>
      <c r="G107" s="19"/>
      <c r="H107" s="19"/>
      <c r="I107" s="20"/>
      <c r="J107" s="19"/>
      <c r="K107" s="19"/>
    </row>
    <row r="108" spans="1:11" ht="14.25">
      <c r="A108" s="19"/>
      <c r="B108" s="31"/>
      <c r="C108" s="19"/>
      <c r="D108" s="19"/>
      <c r="E108" s="19"/>
      <c r="F108" s="20"/>
      <c r="G108" s="19"/>
      <c r="H108" s="19"/>
      <c r="I108" s="20"/>
      <c r="J108" s="19"/>
      <c r="K108" s="19"/>
    </row>
    <row r="109" spans="1:11" ht="14.25">
      <c r="A109" s="19"/>
      <c r="B109" s="31"/>
      <c r="C109" s="19"/>
      <c r="D109" s="19"/>
      <c r="E109" s="19"/>
      <c r="F109" s="20"/>
      <c r="G109" s="19"/>
      <c r="H109" s="19"/>
      <c r="I109" s="20"/>
      <c r="J109" s="19"/>
      <c r="K109" s="19"/>
    </row>
    <row r="110" spans="1:11" ht="14.25">
      <c r="A110" s="19"/>
      <c r="B110" s="31"/>
      <c r="C110" s="19"/>
      <c r="D110" s="19"/>
      <c r="E110" s="19"/>
      <c r="F110" s="20"/>
      <c r="G110" s="19"/>
      <c r="H110" s="19"/>
      <c r="I110" s="20"/>
      <c r="J110" s="19"/>
      <c r="K110" s="19"/>
    </row>
    <row r="111" spans="1:11" ht="14.25">
      <c r="A111" s="19"/>
      <c r="B111" s="31"/>
      <c r="C111" s="19"/>
      <c r="D111" s="19"/>
      <c r="E111" s="19"/>
      <c r="F111" s="20"/>
      <c r="G111" s="19"/>
      <c r="H111" s="19"/>
      <c r="I111" s="20"/>
      <c r="J111" s="19"/>
      <c r="K111" s="19"/>
    </row>
    <row r="112" spans="1:11" ht="14.25">
      <c r="A112" s="19"/>
      <c r="B112" s="31"/>
      <c r="C112" s="19"/>
      <c r="D112" s="19"/>
      <c r="E112" s="19"/>
      <c r="F112" s="20"/>
      <c r="G112" s="19"/>
      <c r="H112" s="19"/>
      <c r="I112" s="20"/>
      <c r="J112" s="19"/>
      <c r="K112" s="19"/>
    </row>
    <row r="113" spans="1:11" ht="14.25">
      <c r="A113" s="19"/>
      <c r="B113" s="31"/>
      <c r="C113" s="19"/>
      <c r="D113" s="19"/>
      <c r="E113" s="19"/>
      <c r="F113" s="20"/>
      <c r="G113" s="19"/>
      <c r="H113" s="19"/>
      <c r="I113" s="20"/>
      <c r="J113" s="19"/>
      <c r="K113" s="19"/>
    </row>
    <row r="114" spans="1:11" ht="14.25">
      <c r="A114" s="19"/>
      <c r="B114" s="31"/>
      <c r="C114" s="19"/>
      <c r="D114" s="19"/>
      <c r="E114" s="19"/>
      <c r="F114" s="20"/>
      <c r="G114" s="19"/>
      <c r="H114" s="19"/>
      <c r="I114" s="20"/>
      <c r="J114" s="19"/>
      <c r="K114" s="19"/>
    </row>
    <row r="115" spans="1:11" ht="14.25">
      <c r="A115" s="19"/>
      <c r="B115" s="31"/>
      <c r="C115" s="19"/>
      <c r="D115" s="19"/>
      <c r="E115" s="19"/>
      <c r="F115" s="20"/>
      <c r="G115" s="19"/>
      <c r="H115" s="19"/>
      <c r="I115" s="20"/>
      <c r="J115" s="19"/>
      <c r="K115" s="19"/>
    </row>
    <row r="116" spans="1:11" ht="14.25">
      <c r="A116" s="19"/>
      <c r="B116" s="31"/>
      <c r="C116" s="19"/>
      <c r="D116" s="19"/>
      <c r="E116" s="19"/>
      <c r="F116" s="20"/>
      <c r="G116" s="19"/>
      <c r="H116" s="19"/>
      <c r="I116" s="20"/>
      <c r="J116" s="19"/>
      <c r="K116" s="19"/>
    </row>
    <row r="117" spans="1:11" ht="14.25">
      <c r="A117" s="19"/>
      <c r="B117" s="31"/>
      <c r="C117" s="19"/>
      <c r="D117" s="19"/>
      <c r="E117" s="19"/>
      <c r="F117" s="20"/>
      <c r="G117" s="19"/>
      <c r="H117" s="19"/>
      <c r="I117" s="20"/>
      <c r="J117" s="19"/>
      <c r="K117" s="19"/>
    </row>
    <row r="118" spans="1:11" ht="14.25">
      <c r="A118" s="19"/>
      <c r="B118" s="31"/>
      <c r="C118" s="19"/>
      <c r="D118" s="19"/>
      <c r="E118" s="19"/>
      <c r="F118" s="20"/>
      <c r="G118" s="19"/>
      <c r="H118" s="19"/>
      <c r="I118" s="20"/>
      <c r="J118" s="19"/>
      <c r="K118" s="19"/>
    </row>
    <row r="119" spans="1:11" ht="14.25">
      <c r="A119" s="19"/>
      <c r="B119" s="31"/>
      <c r="C119" s="19"/>
      <c r="D119" s="19"/>
      <c r="E119" s="19"/>
      <c r="F119" s="20"/>
      <c r="G119" s="19"/>
      <c r="H119" s="19"/>
      <c r="I119" s="20"/>
      <c r="J119" s="19"/>
      <c r="K119" s="19"/>
    </row>
    <row r="120" spans="1:11" ht="14.25">
      <c r="A120" s="19"/>
      <c r="B120" s="31"/>
      <c r="C120" s="19"/>
      <c r="D120" s="19"/>
      <c r="E120" s="19"/>
      <c r="F120" s="20"/>
      <c r="G120" s="19"/>
      <c r="H120" s="19"/>
      <c r="I120" s="20"/>
      <c r="J120" s="19"/>
      <c r="K120" s="19"/>
    </row>
    <row r="121" spans="1:11" ht="14.25">
      <c r="A121" s="19"/>
      <c r="B121" s="31"/>
      <c r="C121" s="19"/>
      <c r="D121" s="19"/>
      <c r="E121" s="19"/>
      <c r="F121" s="20"/>
      <c r="G121" s="19"/>
      <c r="H121" s="19"/>
      <c r="I121" s="20"/>
      <c r="J121" s="19"/>
      <c r="K121" s="19"/>
    </row>
    <row r="122" spans="1:11" ht="14.25">
      <c r="A122" s="19"/>
      <c r="B122" s="31"/>
      <c r="C122" s="19"/>
      <c r="D122" s="19"/>
      <c r="E122" s="19"/>
      <c r="F122" s="20"/>
      <c r="G122" s="19"/>
      <c r="H122" s="19"/>
      <c r="I122" s="20"/>
      <c r="J122" s="19"/>
      <c r="K122" s="19"/>
    </row>
    <row r="123" spans="1:11" ht="14.25">
      <c r="A123" s="19"/>
      <c r="B123" s="31"/>
      <c r="C123" s="19"/>
      <c r="D123" s="19"/>
      <c r="E123" s="19"/>
      <c r="F123" s="20"/>
      <c r="G123" s="19"/>
      <c r="H123" s="19"/>
      <c r="I123" s="20"/>
      <c r="J123" s="19"/>
      <c r="K123" s="19"/>
    </row>
    <row r="124" spans="1:11" ht="14.25">
      <c r="A124" s="19"/>
      <c r="B124" s="31"/>
      <c r="C124" s="19"/>
      <c r="D124" s="19"/>
      <c r="E124" s="19"/>
      <c r="F124" s="20"/>
      <c r="G124" s="19"/>
      <c r="H124" s="19"/>
      <c r="I124" s="20"/>
      <c r="J124" s="19"/>
      <c r="K124" s="19"/>
    </row>
    <row r="125" spans="1:11" ht="14.25">
      <c r="A125" s="19"/>
      <c r="B125" s="31"/>
      <c r="C125" s="19"/>
      <c r="D125" s="19"/>
      <c r="E125" s="19"/>
      <c r="F125" s="20"/>
      <c r="G125" s="19"/>
      <c r="H125" s="19"/>
      <c r="I125" s="20"/>
      <c r="J125" s="19"/>
      <c r="K125" s="19"/>
    </row>
    <row r="126" spans="1:11" ht="14.25">
      <c r="A126" s="19"/>
      <c r="B126" s="31"/>
      <c r="C126" s="19"/>
      <c r="D126" s="19"/>
      <c r="E126" s="19"/>
      <c r="F126" s="20"/>
      <c r="G126" s="19"/>
      <c r="H126" s="19"/>
      <c r="I126" s="20"/>
      <c r="J126" s="19"/>
      <c r="K126" s="19"/>
    </row>
    <row r="127" spans="1:11" ht="14.25">
      <c r="A127" s="19"/>
      <c r="B127" s="31"/>
      <c r="C127" s="19"/>
      <c r="D127" s="19"/>
      <c r="E127" s="19"/>
      <c r="F127" s="20"/>
      <c r="G127" s="19"/>
      <c r="H127" s="19"/>
      <c r="I127" s="20"/>
      <c r="J127" s="19"/>
      <c r="K127" s="19"/>
    </row>
    <row r="128" spans="1:11" ht="14.25">
      <c r="A128" s="19"/>
      <c r="B128" s="31"/>
      <c r="C128" s="19"/>
      <c r="D128" s="19"/>
      <c r="E128" s="19"/>
      <c r="F128" s="20"/>
      <c r="G128" s="19"/>
      <c r="H128" s="19"/>
      <c r="I128" s="20"/>
      <c r="J128" s="19"/>
      <c r="K128" s="19"/>
    </row>
    <row r="129" spans="1:11" ht="14.25">
      <c r="A129" s="19"/>
      <c r="B129" s="31"/>
      <c r="C129" s="19"/>
      <c r="D129" s="19"/>
      <c r="E129" s="19"/>
      <c r="F129" s="20"/>
      <c r="G129" s="19"/>
      <c r="H129" s="19"/>
      <c r="I129" s="20"/>
      <c r="J129" s="19"/>
      <c r="K129" s="19"/>
    </row>
    <row r="130" spans="1:11" ht="14.25">
      <c r="A130" s="19"/>
      <c r="B130" s="31"/>
      <c r="C130" s="19"/>
      <c r="D130" s="19"/>
      <c r="E130" s="19"/>
      <c r="F130" s="20"/>
      <c r="G130" s="19"/>
      <c r="H130" s="19"/>
      <c r="I130" s="20"/>
      <c r="J130" s="19"/>
      <c r="K130" s="19"/>
    </row>
    <row r="131" spans="1:11" ht="14.25">
      <c r="A131" s="19"/>
      <c r="B131" s="31"/>
      <c r="C131" s="19"/>
      <c r="D131" s="19"/>
      <c r="E131" s="19"/>
      <c r="F131" s="20"/>
      <c r="G131" s="19"/>
      <c r="H131" s="19"/>
      <c r="I131" s="20"/>
      <c r="J131" s="19"/>
      <c r="K131" s="19"/>
    </row>
    <row r="132" spans="1:11" ht="14.25">
      <c r="A132" s="19"/>
      <c r="B132" s="31"/>
      <c r="C132" s="19"/>
      <c r="D132" s="19"/>
      <c r="E132" s="19"/>
      <c r="F132" s="20"/>
      <c r="G132" s="19"/>
      <c r="H132" s="19"/>
      <c r="I132" s="20"/>
      <c r="J132" s="19"/>
      <c r="K132" s="19"/>
    </row>
    <row r="133" spans="1:11" ht="14.25">
      <c r="A133" s="19"/>
      <c r="B133" s="31"/>
      <c r="C133" s="19"/>
      <c r="D133" s="19"/>
      <c r="E133" s="19"/>
      <c r="F133" s="20"/>
      <c r="G133" s="19"/>
      <c r="H133" s="19"/>
      <c r="I133" s="20"/>
      <c r="J133" s="19"/>
      <c r="K133" s="19"/>
    </row>
    <row r="134" spans="1:11" ht="14.25">
      <c r="A134" s="19"/>
      <c r="B134" s="31"/>
      <c r="C134" s="19"/>
      <c r="D134" s="19"/>
      <c r="E134" s="19"/>
      <c r="F134" s="20"/>
      <c r="G134" s="19"/>
      <c r="H134" s="19"/>
      <c r="I134" s="20"/>
      <c r="J134" s="19"/>
      <c r="K134" s="19"/>
    </row>
    <row r="135" spans="1:11" ht="14.25">
      <c r="A135" s="19"/>
      <c r="B135" s="31"/>
      <c r="C135" s="19"/>
      <c r="D135" s="19"/>
      <c r="E135" s="19"/>
      <c r="F135" s="20"/>
      <c r="G135" s="19"/>
      <c r="H135" s="19"/>
      <c r="I135" s="20"/>
      <c r="J135" s="19"/>
      <c r="K135" s="19"/>
    </row>
    <row r="136" spans="1:11" ht="14.25">
      <c r="A136" s="19"/>
      <c r="B136" s="31"/>
      <c r="C136" s="19"/>
      <c r="D136" s="19"/>
      <c r="E136" s="19"/>
      <c r="F136" s="20"/>
      <c r="G136" s="19"/>
      <c r="H136" s="19"/>
      <c r="I136" s="20"/>
      <c r="J136" s="19"/>
      <c r="K136" s="19"/>
    </row>
    <row r="137" spans="1:11" ht="14.25">
      <c r="A137" s="19"/>
      <c r="B137" s="31"/>
      <c r="C137" s="19"/>
      <c r="D137" s="19"/>
      <c r="E137" s="19"/>
      <c r="F137" s="20"/>
      <c r="G137" s="19"/>
      <c r="H137" s="19"/>
      <c r="I137" s="20"/>
      <c r="J137" s="19"/>
      <c r="K137" s="19"/>
    </row>
    <row r="138" spans="1:11" ht="14.25">
      <c r="A138" s="19"/>
      <c r="B138" s="31"/>
      <c r="C138" s="19"/>
      <c r="D138" s="19"/>
      <c r="E138" s="19"/>
      <c r="F138" s="20"/>
      <c r="G138" s="19"/>
      <c r="H138" s="19"/>
      <c r="I138" s="20"/>
      <c r="J138" s="19"/>
      <c r="K138" s="19"/>
    </row>
    <row r="139" spans="1:11" ht="14.25">
      <c r="A139" s="19"/>
      <c r="B139" s="31"/>
      <c r="C139" s="19"/>
      <c r="D139" s="19"/>
      <c r="E139" s="19"/>
      <c r="F139" s="20"/>
      <c r="G139" s="19"/>
      <c r="H139" s="19"/>
      <c r="I139" s="20"/>
      <c r="J139" s="19"/>
      <c r="K139" s="19"/>
    </row>
    <row r="140" spans="1:11" ht="14.25">
      <c r="A140" s="19"/>
      <c r="B140" s="31"/>
      <c r="C140" s="19"/>
      <c r="D140" s="19"/>
      <c r="E140" s="19"/>
      <c r="F140" s="20"/>
      <c r="G140" s="19"/>
      <c r="H140" s="19"/>
      <c r="I140" s="20"/>
      <c r="J140" s="19"/>
      <c r="K140" s="19"/>
    </row>
    <row r="141" spans="1:11" ht="14.25">
      <c r="A141" s="19"/>
      <c r="B141" s="31"/>
      <c r="C141" s="19"/>
      <c r="D141" s="19"/>
      <c r="E141" s="19"/>
      <c r="F141" s="20"/>
      <c r="G141" s="19"/>
      <c r="H141" s="19"/>
      <c r="I141" s="20"/>
      <c r="J141" s="19"/>
      <c r="K141" s="19"/>
    </row>
    <row r="142" spans="1:11" ht="14.25">
      <c r="A142" s="19"/>
      <c r="B142" s="31"/>
      <c r="C142" s="19"/>
      <c r="D142" s="19"/>
      <c r="E142" s="19"/>
      <c r="F142" s="20"/>
      <c r="G142" s="19"/>
      <c r="H142" s="19"/>
      <c r="I142" s="20"/>
      <c r="J142" s="19"/>
      <c r="K142" s="19"/>
    </row>
    <row r="143" spans="1:11" ht="14.25">
      <c r="A143" s="19"/>
      <c r="B143" s="31"/>
      <c r="C143" s="19"/>
      <c r="D143" s="19"/>
      <c r="E143" s="19"/>
      <c r="F143" s="20"/>
      <c r="G143" s="19"/>
      <c r="H143" s="19"/>
      <c r="I143" s="20"/>
      <c r="J143" s="19"/>
      <c r="K143" s="19"/>
    </row>
    <row r="144" spans="1:11" ht="14.25">
      <c r="A144" s="19"/>
      <c r="B144" s="31"/>
      <c r="C144" s="19"/>
      <c r="D144" s="19"/>
      <c r="E144" s="19"/>
      <c r="F144" s="20"/>
      <c r="G144" s="19"/>
      <c r="H144" s="19"/>
      <c r="I144" s="20"/>
      <c r="J144" s="19"/>
      <c r="K144" s="19"/>
    </row>
    <row r="145" spans="1:11" ht="14.25">
      <c r="A145" s="19"/>
      <c r="B145" s="31"/>
      <c r="C145" s="19"/>
      <c r="D145" s="19"/>
      <c r="E145" s="19"/>
      <c r="F145" s="20"/>
      <c r="G145" s="19"/>
      <c r="H145" s="19"/>
      <c r="I145" s="20"/>
      <c r="J145" s="19"/>
      <c r="K145" s="19"/>
    </row>
    <row r="146" spans="1:11" ht="14.25">
      <c r="A146" s="19"/>
      <c r="B146" s="31"/>
      <c r="C146" s="19"/>
      <c r="D146" s="19"/>
      <c r="E146" s="19"/>
      <c r="F146" s="20"/>
      <c r="G146" s="19"/>
      <c r="H146" s="19"/>
      <c r="I146" s="20"/>
      <c r="J146" s="19"/>
      <c r="K146" s="19"/>
    </row>
    <row r="147" spans="1:11" ht="14.25">
      <c r="A147" s="19"/>
      <c r="B147" s="31"/>
      <c r="C147" s="19"/>
      <c r="D147" s="19"/>
      <c r="E147" s="19"/>
      <c r="F147" s="20"/>
      <c r="G147" s="19"/>
      <c r="H147" s="19"/>
      <c r="I147" s="20"/>
      <c r="J147" s="19"/>
      <c r="K147" s="19"/>
    </row>
    <row r="148" spans="1:11" ht="14.25">
      <c r="A148" s="19"/>
      <c r="B148" s="31"/>
      <c r="C148" s="19"/>
      <c r="D148" s="19"/>
      <c r="E148" s="19"/>
      <c r="F148" s="20"/>
      <c r="G148" s="19"/>
      <c r="H148" s="19"/>
      <c r="I148" s="20"/>
      <c r="J148" s="19"/>
      <c r="K148" s="19"/>
    </row>
    <row r="149" spans="1:11" ht="14.25">
      <c r="A149" s="19"/>
      <c r="B149" s="31"/>
      <c r="C149" s="19"/>
      <c r="D149" s="19"/>
      <c r="E149" s="19"/>
      <c r="F149" s="20"/>
      <c r="G149" s="19"/>
      <c r="H149" s="19"/>
      <c r="I149" s="20"/>
      <c r="J149" s="19"/>
      <c r="K149" s="19"/>
    </row>
    <row r="150" spans="1:11" ht="14.25">
      <c r="A150" s="19"/>
      <c r="B150" s="31"/>
      <c r="C150" s="19"/>
      <c r="D150" s="19"/>
      <c r="E150" s="19"/>
      <c r="F150" s="20"/>
      <c r="G150" s="19"/>
      <c r="H150" s="19"/>
      <c r="I150" s="20"/>
      <c r="J150" s="19"/>
      <c r="K150" s="19"/>
    </row>
    <row r="151" spans="1:11" ht="14.25">
      <c r="A151" s="19"/>
      <c r="B151" s="31"/>
      <c r="C151" s="19"/>
      <c r="D151" s="19"/>
      <c r="E151" s="19"/>
      <c r="F151" s="20"/>
      <c r="G151" s="19"/>
      <c r="H151" s="19"/>
      <c r="I151" s="20"/>
      <c r="J151" s="19"/>
      <c r="K151" s="19"/>
    </row>
    <row r="152" spans="1:11" ht="14.25">
      <c r="A152" s="19"/>
      <c r="B152" s="31"/>
      <c r="C152" s="19"/>
      <c r="D152" s="19"/>
      <c r="E152" s="19"/>
      <c r="F152" s="20"/>
      <c r="G152" s="19"/>
      <c r="H152" s="19"/>
      <c r="I152" s="20"/>
      <c r="J152" s="19"/>
      <c r="K152" s="19"/>
    </row>
    <row r="153" spans="1:11" ht="14.25">
      <c r="A153" s="19"/>
      <c r="B153" s="31"/>
      <c r="C153" s="19"/>
      <c r="D153" s="19"/>
      <c r="E153" s="19"/>
      <c r="F153" s="20"/>
      <c r="G153" s="19"/>
      <c r="H153" s="19"/>
      <c r="I153" s="20"/>
      <c r="J153" s="19"/>
      <c r="K153" s="19"/>
    </row>
    <row r="154" spans="1:11" ht="14.25">
      <c r="A154" s="19"/>
      <c r="B154" s="31"/>
      <c r="C154" s="19"/>
      <c r="D154" s="19"/>
      <c r="E154" s="19"/>
      <c r="F154" s="20"/>
      <c r="G154" s="19"/>
      <c r="H154" s="19"/>
      <c r="I154" s="20"/>
      <c r="J154" s="19"/>
      <c r="K154" s="19"/>
    </row>
    <row r="155" spans="1:11" ht="14.25">
      <c r="A155" s="19"/>
      <c r="B155" s="31"/>
      <c r="C155" s="19"/>
      <c r="D155" s="19"/>
      <c r="E155" s="19"/>
      <c r="F155" s="20"/>
      <c r="G155" s="19"/>
      <c r="H155" s="19"/>
      <c r="I155" s="20"/>
      <c r="J155" s="19"/>
      <c r="K155" s="19"/>
    </row>
    <row r="156" spans="1:11" ht="14.25">
      <c r="A156" s="19"/>
      <c r="B156" s="31"/>
      <c r="C156" s="19"/>
      <c r="D156" s="19"/>
      <c r="E156" s="19"/>
      <c r="F156" s="20"/>
      <c r="G156" s="19"/>
      <c r="H156" s="19"/>
      <c r="I156" s="20"/>
      <c r="J156" s="19"/>
      <c r="K156" s="19"/>
    </row>
    <row r="157" spans="1:11" ht="14.25">
      <c r="A157" s="19"/>
      <c r="B157" s="31"/>
      <c r="C157" s="19"/>
      <c r="D157" s="19"/>
      <c r="E157" s="19"/>
      <c r="F157" s="20"/>
      <c r="G157" s="19"/>
      <c r="H157" s="19"/>
      <c r="I157" s="20"/>
      <c r="J157" s="19"/>
      <c r="K157" s="19"/>
    </row>
    <row r="158" spans="1:11" ht="14.25">
      <c r="A158" s="19"/>
      <c r="B158" s="31"/>
      <c r="C158" s="19"/>
      <c r="D158" s="19"/>
      <c r="E158" s="19"/>
      <c r="F158" s="20"/>
      <c r="G158" s="19"/>
      <c r="H158" s="19"/>
      <c r="I158" s="20"/>
      <c r="J158" s="19"/>
      <c r="K158" s="19"/>
    </row>
    <row r="159" spans="1:11" ht="14.25">
      <c r="A159" s="19"/>
      <c r="B159" s="31"/>
      <c r="C159" s="19"/>
      <c r="D159" s="19"/>
      <c r="E159" s="19"/>
      <c r="F159" s="20"/>
      <c r="G159" s="19"/>
      <c r="H159" s="19"/>
      <c r="I159" s="20"/>
      <c r="J159" s="19"/>
      <c r="K159" s="19"/>
    </row>
    <row r="160" spans="1:11" ht="14.25">
      <c r="A160" s="19"/>
      <c r="B160" s="31"/>
      <c r="C160" s="19"/>
      <c r="D160" s="19"/>
      <c r="E160" s="19"/>
      <c r="F160" s="20"/>
      <c r="G160" s="19"/>
      <c r="H160" s="19"/>
      <c r="I160" s="20"/>
      <c r="J160" s="19"/>
      <c r="K160" s="19"/>
    </row>
    <row r="161" spans="1:11" ht="14.25">
      <c r="A161" s="19"/>
      <c r="B161" s="31"/>
      <c r="C161" s="19"/>
      <c r="D161" s="19"/>
      <c r="E161" s="19"/>
      <c r="F161" s="20"/>
      <c r="G161" s="19"/>
      <c r="H161" s="19"/>
      <c r="I161" s="20"/>
      <c r="J161" s="19"/>
      <c r="K161" s="19"/>
    </row>
    <row r="162" spans="1:11" ht="14.25">
      <c r="A162" s="19"/>
      <c r="B162" s="31"/>
      <c r="C162" s="19"/>
      <c r="D162" s="19"/>
      <c r="E162" s="19"/>
      <c r="F162" s="20"/>
      <c r="G162" s="19"/>
      <c r="H162" s="19"/>
      <c r="I162" s="20"/>
      <c r="J162" s="19"/>
      <c r="K162" s="19"/>
    </row>
    <row r="163" spans="1:11" ht="14.25">
      <c r="A163" s="19"/>
      <c r="B163" s="31"/>
      <c r="C163" s="19"/>
      <c r="D163" s="19"/>
      <c r="E163" s="19"/>
      <c r="F163" s="20"/>
      <c r="G163" s="19"/>
      <c r="H163" s="19"/>
      <c r="I163" s="20"/>
      <c r="J163" s="19"/>
      <c r="K163" s="19"/>
    </row>
    <row r="164" spans="1:11" ht="14.25">
      <c r="A164" s="19"/>
      <c r="B164" s="31"/>
      <c r="C164" s="19"/>
      <c r="D164" s="19"/>
      <c r="E164" s="19"/>
      <c r="F164" s="20"/>
      <c r="G164" s="19"/>
      <c r="H164" s="19"/>
      <c r="I164" s="20"/>
      <c r="J164" s="19"/>
      <c r="K164" s="19"/>
    </row>
    <row r="165" spans="1:11" ht="14.25">
      <c r="A165" s="19"/>
      <c r="B165" s="31"/>
      <c r="C165" s="19"/>
      <c r="D165" s="19"/>
      <c r="E165" s="19"/>
      <c r="F165" s="20"/>
      <c r="G165" s="19"/>
      <c r="H165" s="19"/>
      <c r="I165" s="20"/>
      <c r="J165" s="19"/>
      <c r="K165" s="19"/>
    </row>
    <row r="166" spans="1:11" ht="14.25">
      <c r="A166" s="19"/>
      <c r="B166" s="31"/>
      <c r="C166" s="19"/>
      <c r="D166" s="19"/>
      <c r="E166" s="19"/>
      <c r="F166" s="20"/>
      <c r="G166" s="19"/>
      <c r="H166" s="19"/>
      <c r="I166" s="20"/>
      <c r="J166" s="19"/>
      <c r="K166" s="19"/>
    </row>
    <row r="167" spans="1:11" ht="14.25">
      <c r="A167" s="19"/>
      <c r="B167" s="31"/>
      <c r="C167" s="19"/>
      <c r="D167" s="19"/>
      <c r="E167" s="19"/>
      <c r="F167" s="20"/>
      <c r="G167" s="19"/>
      <c r="H167" s="19"/>
      <c r="I167" s="20"/>
      <c r="J167" s="19"/>
      <c r="K167" s="19"/>
    </row>
    <row r="168" spans="1:11" ht="14.25">
      <c r="A168" s="19"/>
      <c r="B168" s="31"/>
      <c r="C168" s="19"/>
      <c r="D168" s="19"/>
      <c r="E168" s="19"/>
      <c r="F168" s="20"/>
      <c r="G168" s="19"/>
      <c r="H168" s="19"/>
      <c r="I168" s="20"/>
      <c r="J168" s="19"/>
      <c r="K168" s="19"/>
    </row>
    <row r="169" spans="1:11" ht="14.25">
      <c r="A169" s="19"/>
      <c r="B169" s="31"/>
      <c r="C169" s="19"/>
      <c r="D169" s="19"/>
      <c r="E169" s="19"/>
      <c r="F169" s="20"/>
      <c r="G169" s="19"/>
      <c r="H169" s="19"/>
      <c r="I169" s="20"/>
      <c r="J169" s="19"/>
      <c r="K169" s="19"/>
    </row>
    <row r="170" spans="1:11" ht="14.25">
      <c r="A170" s="19"/>
      <c r="B170" s="31"/>
      <c r="C170" s="19"/>
      <c r="D170" s="19"/>
      <c r="E170" s="19"/>
      <c r="F170" s="20"/>
      <c r="G170" s="19"/>
      <c r="H170" s="19"/>
      <c r="I170" s="20"/>
      <c r="J170" s="19"/>
      <c r="K170" s="19"/>
    </row>
    <row r="171" spans="1:11" ht="14.25">
      <c r="A171" s="19"/>
      <c r="B171" s="31"/>
      <c r="C171" s="19"/>
      <c r="D171" s="19"/>
      <c r="E171" s="19"/>
      <c r="F171" s="20"/>
      <c r="G171" s="19"/>
      <c r="H171" s="19"/>
      <c r="I171" s="20"/>
      <c r="J171" s="19"/>
      <c r="K171" s="19"/>
    </row>
    <row r="172" spans="1:11" ht="14.25">
      <c r="A172" s="19"/>
      <c r="B172" s="31"/>
      <c r="C172" s="19"/>
      <c r="D172" s="19"/>
      <c r="E172" s="19"/>
      <c r="F172" s="20"/>
      <c r="G172" s="19"/>
      <c r="H172" s="19"/>
      <c r="I172" s="20"/>
      <c r="J172" s="19"/>
      <c r="K172" s="19"/>
    </row>
    <row r="173" spans="1:11" ht="14.25">
      <c r="A173" s="19"/>
      <c r="B173" s="31"/>
      <c r="C173" s="19"/>
      <c r="D173" s="19"/>
      <c r="E173" s="19"/>
      <c r="F173" s="20"/>
      <c r="G173" s="19"/>
      <c r="H173" s="19"/>
      <c r="I173" s="20"/>
      <c r="J173" s="19"/>
      <c r="K173" s="19"/>
    </row>
    <row r="174" spans="1:11" ht="14.25">
      <c r="A174" s="19"/>
      <c r="B174" s="31"/>
      <c r="C174" s="19"/>
      <c r="D174" s="19"/>
      <c r="E174" s="19"/>
      <c r="F174" s="20"/>
      <c r="G174" s="19"/>
      <c r="H174" s="19"/>
      <c r="I174" s="20"/>
      <c r="J174" s="19"/>
      <c r="K174" s="19"/>
    </row>
    <row r="175" spans="1:11" ht="14.25">
      <c r="A175" s="19"/>
      <c r="B175" s="31"/>
      <c r="C175" s="19"/>
      <c r="D175" s="19"/>
      <c r="E175" s="19"/>
      <c r="F175" s="20"/>
      <c r="G175" s="19"/>
      <c r="H175" s="19"/>
      <c r="I175" s="20"/>
      <c r="J175" s="19"/>
      <c r="K175" s="19"/>
    </row>
    <row r="176" spans="1:11" ht="14.25">
      <c r="A176" s="19"/>
      <c r="B176" s="31"/>
      <c r="C176" s="19"/>
      <c r="D176" s="19"/>
      <c r="E176" s="19"/>
      <c r="F176" s="20"/>
      <c r="G176" s="19"/>
      <c r="H176" s="19"/>
      <c r="I176" s="20"/>
      <c r="J176" s="19"/>
      <c r="K176" s="19"/>
    </row>
    <row r="177" spans="1:11" ht="14.25">
      <c r="A177" s="19"/>
      <c r="B177" s="31"/>
      <c r="C177" s="19"/>
      <c r="D177" s="19"/>
      <c r="E177" s="19"/>
      <c r="F177" s="20"/>
      <c r="G177" s="19"/>
      <c r="H177" s="19"/>
      <c r="I177" s="20"/>
      <c r="J177" s="19"/>
      <c r="K177" s="19"/>
    </row>
    <row r="178" spans="1:11" ht="14.25">
      <c r="A178" s="19"/>
      <c r="B178" s="31"/>
      <c r="C178" s="19"/>
      <c r="D178" s="19"/>
      <c r="E178" s="19"/>
      <c r="F178" s="20"/>
      <c r="G178" s="19"/>
      <c r="H178" s="19"/>
      <c r="I178" s="20"/>
      <c r="J178" s="19"/>
      <c r="K178" s="19"/>
    </row>
    <row r="179" spans="1:11" ht="14.25">
      <c r="A179" s="19"/>
      <c r="B179" s="31"/>
      <c r="C179" s="19"/>
      <c r="D179" s="19"/>
      <c r="E179" s="19"/>
      <c r="F179" s="20"/>
      <c r="G179" s="19"/>
      <c r="H179" s="19"/>
      <c r="I179" s="20"/>
      <c r="J179" s="19"/>
      <c r="K179" s="19"/>
    </row>
    <row r="180" spans="1:11" ht="14.25">
      <c r="A180" s="19"/>
      <c r="B180" s="31"/>
      <c r="C180" s="19"/>
      <c r="D180" s="19"/>
      <c r="E180" s="19"/>
      <c r="F180" s="20"/>
      <c r="G180" s="19"/>
      <c r="H180" s="19"/>
      <c r="I180" s="20"/>
      <c r="J180" s="19"/>
      <c r="K180" s="19"/>
    </row>
    <row r="181" spans="1:11" ht="14.25">
      <c r="A181" s="19"/>
      <c r="B181" s="31"/>
      <c r="C181" s="19"/>
      <c r="D181" s="19"/>
      <c r="E181" s="19"/>
      <c r="F181" s="20"/>
      <c r="G181" s="19"/>
      <c r="H181" s="19"/>
      <c r="I181" s="20"/>
      <c r="J181" s="19"/>
      <c r="K181" s="19"/>
    </row>
    <row r="182" spans="1:11" ht="14.25">
      <c r="A182" s="19"/>
      <c r="B182" s="31"/>
      <c r="C182" s="19"/>
      <c r="D182" s="19"/>
      <c r="E182" s="19"/>
      <c r="F182" s="20"/>
      <c r="G182" s="19"/>
      <c r="H182" s="19"/>
      <c r="I182" s="20"/>
      <c r="J182" s="19"/>
      <c r="K182" s="19"/>
    </row>
    <row r="183" spans="1:11" ht="14.25">
      <c r="A183" s="19"/>
      <c r="B183" s="31"/>
      <c r="C183" s="19"/>
      <c r="D183" s="19"/>
      <c r="E183" s="19"/>
      <c r="F183" s="20"/>
      <c r="G183" s="19"/>
      <c r="H183" s="19"/>
      <c r="I183" s="20"/>
      <c r="J183" s="19"/>
      <c r="K183" s="19"/>
    </row>
    <row r="184" spans="1:11" ht="14.25">
      <c r="A184" s="19"/>
      <c r="B184" s="31"/>
      <c r="C184" s="19"/>
      <c r="D184" s="19"/>
      <c r="E184" s="19"/>
      <c r="F184" s="20"/>
      <c r="G184" s="19"/>
      <c r="H184" s="19"/>
      <c r="I184" s="20"/>
      <c r="J184" s="19"/>
      <c r="K184" s="19"/>
    </row>
    <row r="185" spans="1:11" ht="14.25">
      <c r="A185" s="19"/>
      <c r="B185" s="31"/>
      <c r="C185" s="19"/>
      <c r="D185" s="19"/>
      <c r="E185" s="19"/>
      <c r="F185" s="20"/>
      <c r="G185" s="19"/>
      <c r="H185" s="19"/>
      <c r="I185" s="20"/>
      <c r="J185" s="19"/>
      <c r="K185" s="19"/>
    </row>
    <row r="186" spans="1:11" ht="14.25">
      <c r="A186" s="19"/>
      <c r="B186" s="31"/>
      <c r="C186" s="19"/>
      <c r="D186" s="19"/>
      <c r="E186" s="19"/>
      <c r="F186" s="20"/>
      <c r="G186" s="19"/>
      <c r="H186" s="19"/>
      <c r="I186" s="20"/>
      <c r="J186" s="19"/>
      <c r="K186" s="19"/>
    </row>
    <row r="187" spans="1:11" ht="14.25">
      <c r="A187" s="19"/>
      <c r="B187" s="31"/>
      <c r="C187" s="19"/>
      <c r="D187" s="19"/>
      <c r="E187" s="19"/>
      <c r="F187" s="20"/>
      <c r="G187" s="19"/>
      <c r="H187" s="19"/>
      <c r="I187" s="20"/>
      <c r="J187" s="19"/>
      <c r="K187" s="19"/>
    </row>
    <row r="188" spans="1:11" ht="14.25">
      <c r="A188" s="19"/>
      <c r="B188" s="31"/>
      <c r="C188" s="19"/>
      <c r="D188" s="19"/>
      <c r="E188" s="19"/>
      <c r="F188" s="20"/>
      <c r="G188" s="19"/>
      <c r="H188" s="19"/>
      <c r="I188" s="20"/>
      <c r="J188" s="19"/>
      <c r="K188" s="19"/>
    </row>
    <row r="189" spans="1:11" ht="14.25">
      <c r="A189" s="19"/>
      <c r="B189" s="31"/>
      <c r="C189" s="19"/>
      <c r="D189" s="19"/>
      <c r="E189" s="19"/>
      <c r="F189" s="20"/>
      <c r="G189" s="19"/>
      <c r="H189" s="19"/>
      <c r="I189" s="20"/>
      <c r="J189" s="19"/>
      <c r="K189" s="19"/>
    </row>
    <row r="190" spans="1:11" ht="14.25">
      <c r="A190" s="19"/>
      <c r="B190" s="31"/>
      <c r="C190" s="19"/>
      <c r="D190" s="19"/>
      <c r="E190" s="19"/>
      <c r="F190" s="20"/>
      <c r="G190" s="19"/>
      <c r="H190" s="19"/>
      <c r="I190" s="20"/>
      <c r="J190" s="19"/>
      <c r="K190" s="19"/>
    </row>
    <row r="191" spans="1:11" ht="14.25">
      <c r="A191" s="19"/>
      <c r="B191" s="31"/>
      <c r="C191" s="19"/>
      <c r="D191" s="19"/>
      <c r="E191" s="19"/>
      <c r="F191" s="20"/>
      <c r="G191" s="19"/>
      <c r="H191" s="19"/>
      <c r="I191" s="20"/>
      <c r="J191" s="19"/>
      <c r="K191" s="19"/>
    </row>
    <row r="192" spans="1:11" ht="14.25">
      <c r="A192" s="19"/>
      <c r="B192" s="31"/>
      <c r="C192" s="19"/>
      <c r="D192" s="19"/>
      <c r="E192" s="19"/>
      <c r="F192" s="20"/>
      <c r="G192" s="19"/>
      <c r="H192" s="19"/>
      <c r="I192" s="20"/>
      <c r="J192" s="19"/>
      <c r="K192" s="19"/>
    </row>
    <row r="193" spans="1:11" ht="14.25">
      <c r="A193" s="19"/>
      <c r="B193" s="31"/>
      <c r="C193" s="19"/>
      <c r="D193" s="19"/>
      <c r="E193" s="19"/>
      <c r="F193" s="20"/>
      <c r="G193" s="19"/>
      <c r="H193" s="19"/>
      <c r="I193" s="20"/>
      <c r="J193" s="19"/>
      <c r="K193" s="19"/>
    </row>
    <row r="194" spans="1:11" ht="14.25">
      <c r="A194" s="19"/>
      <c r="B194" s="31"/>
      <c r="C194" s="19"/>
      <c r="D194" s="19"/>
      <c r="E194" s="19"/>
      <c r="F194" s="20"/>
      <c r="G194" s="19"/>
      <c r="H194" s="19"/>
      <c r="I194" s="20"/>
      <c r="J194" s="19"/>
      <c r="K194" s="19"/>
    </row>
    <row r="195" spans="1:11" ht="14.25">
      <c r="A195" s="19"/>
      <c r="B195" s="31"/>
      <c r="C195" s="19"/>
      <c r="D195" s="19"/>
      <c r="E195" s="19"/>
      <c r="F195" s="20"/>
      <c r="G195" s="19"/>
      <c r="H195" s="19"/>
      <c r="I195" s="20"/>
      <c r="J195" s="19"/>
      <c r="K195" s="19"/>
    </row>
    <row r="196" spans="1:11" ht="14.25">
      <c r="A196" s="19"/>
      <c r="B196" s="31"/>
      <c r="C196" s="19"/>
      <c r="D196" s="19"/>
      <c r="E196" s="19"/>
      <c r="F196" s="20"/>
      <c r="G196" s="19"/>
      <c r="H196" s="19"/>
      <c r="I196" s="20"/>
      <c r="J196" s="19"/>
      <c r="K196" s="19"/>
    </row>
    <row r="197" spans="1:11" ht="14.25">
      <c r="A197" s="19"/>
      <c r="B197" s="31"/>
      <c r="C197" s="19"/>
      <c r="D197" s="19"/>
      <c r="E197" s="19"/>
      <c r="F197" s="20"/>
      <c r="G197" s="19"/>
      <c r="H197" s="19"/>
      <c r="I197" s="20"/>
      <c r="J197" s="19"/>
      <c r="K197" s="19"/>
    </row>
    <row r="198" spans="1:11" ht="14.25">
      <c r="A198" s="19"/>
      <c r="B198" s="31"/>
      <c r="C198" s="19"/>
      <c r="D198" s="19"/>
      <c r="E198" s="19"/>
      <c r="F198" s="20"/>
      <c r="G198" s="19"/>
      <c r="H198" s="19"/>
      <c r="I198" s="20"/>
      <c r="J198" s="19"/>
      <c r="K198" s="19"/>
    </row>
    <row r="199" spans="1:11" ht="14.25">
      <c r="A199" s="19"/>
      <c r="B199" s="31"/>
      <c r="C199" s="19"/>
      <c r="D199" s="19"/>
      <c r="E199" s="19"/>
      <c r="F199" s="20"/>
      <c r="G199" s="19"/>
      <c r="H199" s="19"/>
      <c r="I199" s="20"/>
      <c r="J199" s="19"/>
      <c r="K199" s="19"/>
    </row>
    <row r="200" spans="1:11" ht="14.25">
      <c r="A200" s="19"/>
      <c r="B200" s="31"/>
      <c r="C200" s="19"/>
      <c r="D200" s="19"/>
      <c r="E200" s="19"/>
      <c r="F200" s="20"/>
      <c r="G200" s="19"/>
      <c r="H200" s="19"/>
      <c r="I200" s="20"/>
      <c r="J200" s="19"/>
      <c r="K200" s="19"/>
    </row>
    <row r="201" spans="1:11" ht="14.25">
      <c r="A201" s="19"/>
      <c r="B201" s="31"/>
      <c r="C201" s="19"/>
      <c r="D201" s="19"/>
      <c r="E201" s="19"/>
      <c r="F201" s="20"/>
      <c r="G201" s="19"/>
      <c r="H201" s="19"/>
      <c r="I201" s="20"/>
      <c r="J201" s="19"/>
      <c r="K201" s="19"/>
    </row>
    <row r="202" spans="1:11" ht="14.25">
      <c r="A202" s="19"/>
      <c r="B202" s="31"/>
      <c r="C202" s="19"/>
      <c r="D202" s="19"/>
      <c r="E202" s="19"/>
      <c r="F202" s="20"/>
      <c r="G202" s="19"/>
      <c r="H202" s="19"/>
      <c r="I202" s="20"/>
      <c r="J202" s="19"/>
      <c r="K202" s="19"/>
    </row>
    <row r="203" spans="1:11" ht="14.25">
      <c r="A203" s="19"/>
      <c r="B203" s="31"/>
      <c r="C203" s="19"/>
      <c r="D203" s="19"/>
      <c r="E203" s="19"/>
      <c r="F203" s="20"/>
      <c r="G203" s="19"/>
      <c r="H203" s="19"/>
      <c r="I203" s="20"/>
      <c r="J203" s="19"/>
      <c r="K203" s="19"/>
    </row>
    <row r="204" spans="1:11" ht="14.25">
      <c r="A204" s="19"/>
      <c r="B204" s="31"/>
      <c r="C204" s="19"/>
      <c r="D204" s="19"/>
      <c r="E204" s="19"/>
      <c r="F204" s="20"/>
      <c r="G204" s="19"/>
      <c r="H204" s="19"/>
      <c r="I204" s="20"/>
      <c r="J204" s="19"/>
      <c r="K204" s="19"/>
    </row>
    <row r="205" spans="1:11" ht="14.25">
      <c r="A205" s="19"/>
      <c r="B205" s="31"/>
      <c r="C205" s="19"/>
      <c r="D205" s="19"/>
      <c r="E205" s="19"/>
      <c r="F205" s="20"/>
      <c r="G205" s="19"/>
      <c r="H205" s="19"/>
      <c r="I205" s="20"/>
      <c r="J205" s="19"/>
      <c r="K205" s="19"/>
    </row>
    <row r="206" spans="1:11" ht="14.25">
      <c r="A206" s="19"/>
      <c r="B206" s="31"/>
      <c r="C206" s="19"/>
      <c r="D206" s="19"/>
      <c r="E206" s="19"/>
      <c r="F206" s="20"/>
      <c r="G206" s="19"/>
      <c r="H206" s="19"/>
      <c r="I206" s="20"/>
      <c r="J206" s="19"/>
      <c r="K206" s="19"/>
    </row>
    <row r="207" spans="1:11" ht="14.25">
      <c r="A207" s="19"/>
      <c r="B207" s="31"/>
      <c r="C207" s="19"/>
      <c r="D207" s="19"/>
      <c r="E207" s="19"/>
      <c r="F207" s="20"/>
      <c r="G207" s="19"/>
      <c r="H207" s="19"/>
      <c r="I207" s="20"/>
      <c r="J207" s="19"/>
      <c r="K207" s="19"/>
    </row>
    <row r="208" spans="1:11" ht="14.25">
      <c r="A208" s="19"/>
      <c r="B208" s="31"/>
      <c r="C208" s="19"/>
      <c r="D208" s="19"/>
      <c r="E208" s="19"/>
      <c r="F208" s="20"/>
      <c r="G208" s="19"/>
      <c r="H208" s="19"/>
      <c r="I208" s="20"/>
      <c r="J208" s="19"/>
      <c r="K208" s="19"/>
    </row>
    <row r="209" spans="1:11" ht="14.25">
      <c r="A209" s="19"/>
      <c r="B209" s="31"/>
      <c r="C209" s="19"/>
      <c r="D209" s="19"/>
      <c r="E209" s="19"/>
      <c r="F209" s="20"/>
      <c r="G209" s="19"/>
      <c r="H209" s="19"/>
      <c r="I209" s="20"/>
      <c r="J209" s="19"/>
      <c r="K209" s="19"/>
    </row>
    <row r="210" spans="1:11" ht="14.25">
      <c r="A210" s="19"/>
      <c r="B210" s="31"/>
      <c r="C210" s="19"/>
      <c r="D210" s="19"/>
      <c r="E210" s="19"/>
      <c r="F210" s="20"/>
      <c r="G210" s="19"/>
      <c r="H210" s="19"/>
      <c r="I210" s="20"/>
      <c r="J210" s="19"/>
      <c r="K210" s="19"/>
    </row>
    <row r="211" spans="1:11" ht="14.25">
      <c r="A211" s="19"/>
      <c r="B211" s="31"/>
      <c r="C211" s="19"/>
      <c r="D211" s="19"/>
      <c r="E211" s="19"/>
      <c r="F211" s="20"/>
      <c r="G211" s="19"/>
      <c r="H211" s="19"/>
      <c r="I211" s="20"/>
      <c r="J211" s="19"/>
      <c r="K211" s="19"/>
    </row>
    <row r="212" spans="1:11" ht="14.25">
      <c r="A212" s="19"/>
      <c r="B212" s="31"/>
      <c r="C212" s="19"/>
      <c r="D212" s="19"/>
      <c r="E212" s="19"/>
      <c r="F212" s="20"/>
      <c r="G212" s="19"/>
      <c r="H212" s="19"/>
      <c r="I212" s="20"/>
      <c r="J212" s="19"/>
      <c r="K212" s="19"/>
    </row>
    <row r="213" spans="1:11" ht="14.25">
      <c r="A213" s="19"/>
      <c r="B213" s="31"/>
      <c r="C213" s="19"/>
      <c r="D213" s="19"/>
      <c r="E213" s="19"/>
      <c r="F213" s="20"/>
      <c r="G213" s="19"/>
      <c r="H213" s="19"/>
      <c r="I213" s="20"/>
      <c r="J213" s="19"/>
      <c r="K213" s="19"/>
    </row>
    <row r="214" spans="1:11" ht="14.25">
      <c r="A214" s="19"/>
      <c r="B214" s="31"/>
      <c r="C214" s="19"/>
      <c r="D214" s="19"/>
      <c r="E214" s="19"/>
      <c r="F214" s="20"/>
      <c r="G214" s="19"/>
      <c r="H214" s="19"/>
      <c r="I214" s="20"/>
      <c r="J214" s="19"/>
      <c r="K214" s="19"/>
    </row>
    <row r="215" spans="1:11" ht="14.25">
      <c r="A215" s="19"/>
      <c r="B215" s="31"/>
      <c r="C215" s="19"/>
      <c r="D215" s="19"/>
      <c r="E215" s="19"/>
      <c r="F215" s="20"/>
      <c r="G215" s="19"/>
      <c r="H215" s="19"/>
      <c r="I215" s="20"/>
      <c r="J215" s="19"/>
      <c r="K215" s="19"/>
    </row>
    <row r="216" spans="1:11" ht="14.25">
      <c r="A216" s="19"/>
      <c r="B216" s="31"/>
      <c r="C216" s="19"/>
      <c r="D216" s="19"/>
      <c r="E216" s="19"/>
      <c r="F216" s="20"/>
      <c r="G216" s="19"/>
      <c r="H216" s="19"/>
      <c r="I216" s="20"/>
      <c r="J216" s="19"/>
      <c r="K216" s="19"/>
    </row>
    <row r="217" spans="1:11" ht="14.25">
      <c r="A217" s="19"/>
      <c r="B217" s="31"/>
      <c r="C217" s="19"/>
      <c r="D217" s="19"/>
      <c r="E217" s="19"/>
      <c r="F217" s="20"/>
      <c r="G217" s="19"/>
      <c r="H217" s="19"/>
      <c r="I217" s="20"/>
      <c r="J217" s="19"/>
      <c r="K217" s="19"/>
    </row>
    <row r="218" spans="1:11" ht="14.25">
      <c r="A218" s="19"/>
      <c r="B218" s="31"/>
      <c r="C218" s="19"/>
      <c r="D218" s="19"/>
      <c r="E218" s="19"/>
      <c r="F218" s="20"/>
      <c r="G218" s="19"/>
      <c r="H218" s="19"/>
      <c r="I218" s="20"/>
      <c r="J218" s="19"/>
      <c r="K218" s="19"/>
    </row>
    <row r="219" spans="1:11" ht="14.25">
      <c r="A219" s="19"/>
      <c r="B219" s="31"/>
      <c r="C219" s="19"/>
      <c r="D219" s="19"/>
      <c r="E219" s="19"/>
      <c r="F219" s="20"/>
      <c r="G219" s="19"/>
      <c r="H219" s="19"/>
      <c r="I219" s="20"/>
      <c r="J219" s="19"/>
      <c r="K219" s="19"/>
    </row>
    <row r="220" spans="1:11" ht="14.25">
      <c r="A220" s="19"/>
      <c r="B220" s="31"/>
      <c r="C220" s="19"/>
      <c r="D220" s="19"/>
      <c r="E220" s="19"/>
      <c r="F220" s="20"/>
      <c r="G220" s="19"/>
      <c r="H220" s="19"/>
      <c r="I220" s="20"/>
      <c r="J220" s="19"/>
      <c r="K220" s="19"/>
    </row>
    <row r="221" spans="1:11" ht="14.25">
      <c r="A221" s="19"/>
      <c r="B221" s="31"/>
      <c r="C221" s="19"/>
      <c r="D221" s="19"/>
      <c r="E221" s="19"/>
      <c r="F221" s="20"/>
      <c r="G221" s="19"/>
      <c r="H221" s="19"/>
      <c r="I221" s="20"/>
      <c r="J221" s="19"/>
      <c r="K221" s="19"/>
    </row>
    <row r="222" spans="1:11" ht="14.25">
      <c r="A222" s="19"/>
      <c r="B222" s="31"/>
      <c r="C222" s="19"/>
      <c r="D222" s="19"/>
      <c r="E222" s="19"/>
      <c r="F222" s="20"/>
      <c r="G222" s="19"/>
      <c r="H222" s="19"/>
      <c r="I222" s="20"/>
      <c r="J222" s="19"/>
      <c r="K222" s="19"/>
    </row>
    <row r="223" spans="1:11" ht="14.25">
      <c r="A223" s="19"/>
      <c r="B223" s="31"/>
      <c r="C223" s="19"/>
      <c r="D223" s="19"/>
      <c r="E223" s="19"/>
      <c r="F223" s="20"/>
      <c r="G223" s="19"/>
      <c r="H223" s="19"/>
      <c r="I223" s="20"/>
      <c r="J223" s="19"/>
      <c r="K223" s="19"/>
    </row>
    <row r="224" spans="1:11" ht="14.25">
      <c r="A224" s="19"/>
      <c r="B224" s="31"/>
      <c r="C224" s="19"/>
      <c r="D224" s="19"/>
      <c r="E224" s="19"/>
      <c r="F224" s="20"/>
      <c r="G224" s="19"/>
      <c r="H224" s="19"/>
      <c r="I224" s="20"/>
      <c r="J224" s="19"/>
      <c r="K224" s="19"/>
    </row>
    <row r="225" spans="1:11" ht="14.25">
      <c r="A225" s="19"/>
      <c r="B225" s="31"/>
      <c r="C225" s="19"/>
      <c r="D225" s="19"/>
      <c r="E225" s="19"/>
      <c r="F225" s="20"/>
      <c r="G225" s="19"/>
      <c r="H225" s="19"/>
      <c r="I225" s="20"/>
      <c r="J225" s="19"/>
      <c r="K225" s="19"/>
    </row>
    <row r="226" spans="1:11" ht="14.25">
      <c r="A226" s="19"/>
      <c r="B226" s="31"/>
      <c r="C226" s="19"/>
      <c r="D226" s="19"/>
      <c r="E226" s="19"/>
      <c r="F226" s="20"/>
      <c r="G226" s="19"/>
      <c r="H226" s="19"/>
      <c r="I226" s="20"/>
      <c r="J226" s="19"/>
      <c r="K226" s="19"/>
    </row>
    <row r="227" spans="1:11" ht="14.25">
      <c r="A227" s="19"/>
      <c r="B227" s="31"/>
      <c r="C227" s="19"/>
      <c r="D227" s="19"/>
      <c r="E227" s="19"/>
      <c r="F227" s="20"/>
      <c r="G227" s="19"/>
      <c r="H227" s="19"/>
      <c r="I227" s="20"/>
      <c r="J227" s="19"/>
      <c r="K227" s="19"/>
    </row>
    <row r="228" spans="1:11" ht="14.25">
      <c r="A228" s="19"/>
      <c r="B228" s="31"/>
      <c r="C228" s="19"/>
      <c r="D228" s="19"/>
      <c r="E228" s="19"/>
      <c r="F228" s="20"/>
      <c r="G228" s="19"/>
      <c r="H228" s="19"/>
      <c r="I228" s="20"/>
      <c r="J228" s="19"/>
      <c r="K228" s="19"/>
    </row>
    <row r="229" spans="1:11" ht="14.25">
      <c r="A229" s="19"/>
      <c r="B229" s="31"/>
      <c r="C229" s="19"/>
      <c r="D229" s="19"/>
      <c r="E229" s="19"/>
      <c r="F229" s="20"/>
      <c r="G229" s="19"/>
      <c r="H229" s="19"/>
      <c r="I229" s="20"/>
      <c r="J229" s="19"/>
      <c r="K229" s="19"/>
    </row>
    <row r="230" spans="1:11" ht="14.25">
      <c r="A230" s="19"/>
      <c r="B230" s="31"/>
      <c r="C230" s="19"/>
      <c r="D230" s="19"/>
      <c r="E230" s="19"/>
      <c r="F230" s="20"/>
      <c r="G230" s="19"/>
      <c r="H230" s="19"/>
      <c r="I230" s="20"/>
      <c r="J230" s="19"/>
      <c r="K230" s="19"/>
    </row>
    <row r="231" spans="1:11" ht="14.25">
      <c r="A231" s="19"/>
      <c r="B231" s="31"/>
      <c r="C231" s="19"/>
      <c r="D231" s="19"/>
      <c r="E231" s="19"/>
      <c r="F231" s="20"/>
      <c r="G231" s="19"/>
      <c r="H231" s="19"/>
      <c r="I231" s="20"/>
      <c r="J231" s="19"/>
      <c r="K231" s="19"/>
    </row>
    <row r="232" spans="1:11" ht="14.25">
      <c r="A232" s="19"/>
      <c r="B232" s="31"/>
      <c r="C232" s="19"/>
      <c r="D232" s="19"/>
      <c r="E232" s="19"/>
      <c r="F232" s="20"/>
      <c r="G232" s="19"/>
      <c r="H232" s="19"/>
      <c r="I232" s="20"/>
      <c r="J232" s="19"/>
      <c r="K232" s="19"/>
    </row>
    <row r="233" spans="1:11" ht="14.25">
      <c r="A233" s="19"/>
      <c r="B233" s="31"/>
      <c r="C233" s="19"/>
      <c r="D233" s="19"/>
      <c r="E233" s="19"/>
      <c r="F233" s="20"/>
      <c r="G233" s="19"/>
      <c r="H233" s="19"/>
      <c r="I233" s="20"/>
      <c r="J233" s="19"/>
      <c r="K233" s="19"/>
    </row>
    <row r="234" spans="1:11" ht="14.25">
      <c r="A234" s="19"/>
      <c r="B234" s="31"/>
      <c r="C234" s="19"/>
      <c r="D234" s="19"/>
      <c r="E234" s="19"/>
      <c r="F234" s="20"/>
      <c r="G234" s="19"/>
      <c r="H234" s="19"/>
      <c r="I234" s="20"/>
      <c r="J234" s="19"/>
      <c r="K234" s="19"/>
    </row>
    <row r="235" spans="1:11" ht="14.25">
      <c r="A235" s="19"/>
      <c r="B235" s="31"/>
      <c r="C235" s="19"/>
      <c r="D235" s="19"/>
      <c r="E235" s="19"/>
      <c r="F235" s="20"/>
      <c r="G235" s="19"/>
      <c r="H235" s="19"/>
      <c r="I235" s="20"/>
      <c r="J235" s="19"/>
      <c r="K235" s="19"/>
    </row>
    <row r="236" spans="1:11" ht="14.25">
      <c r="A236" s="19"/>
      <c r="B236" s="31"/>
      <c r="C236" s="19"/>
      <c r="D236" s="19"/>
      <c r="E236" s="19"/>
      <c r="F236" s="20"/>
      <c r="G236" s="19"/>
      <c r="H236" s="19"/>
      <c r="I236" s="20"/>
      <c r="J236" s="19"/>
      <c r="K236" s="19"/>
    </row>
    <row r="237" spans="1:11" ht="14.25">
      <c r="A237" s="19"/>
      <c r="B237" s="31"/>
      <c r="C237" s="19"/>
      <c r="D237" s="19"/>
      <c r="E237" s="19"/>
      <c r="F237" s="20"/>
      <c r="G237" s="19"/>
      <c r="H237" s="19"/>
      <c r="I237" s="20"/>
      <c r="J237" s="19"/>
      <c r="K237" s="19"/>
    </row>
    <row r="238" spans="1:11" ht="14.25">
      <c r="A238" s="19"/>
      <c r="B238" s="31"/>
      <c r="C238" s="19"/>
      <c r="D238" s="19"/>
      <c r="E238" s="19"/>
      <c r="F238" s="20"/>
      <c r="G238" s="19"/>
      <c r="H238" s="19"/>
      <c r="I238" s="20"/>
      <c r="J238" s="19"/>
      <c r="K238" s="19"/>
    </row>
    <row r="239" spans="1:11" ht="14.25">
      <c r="A239" s="19"/>
      <c r="B239" s="31"/>
      <c r="C239" s="19"/>
      <c r="D239" s="19"/>
      <c r="E239" s="19"/>
      <c r="F239" s="20"/>
      <c r="G239" s="19"/>
      <c r="H239" s="19"/>
      <c r="I239" s="20"/>
      <c r="J239" s="19"/>
      <c r="K239" s="19"/>
    </row>
    <row r="240" spans="1:11" ht="14.25">
      <c r="A240" s="19"/>
      <c r="B240" s="31"/>
      <c r="C240" s="19"/>
      <c r="D240" s="19"/>
      <c r="E240" s="19"/>
      <c r="F240" s="20"/>
      <c r="G240" s="19"/>
      <c r="H240" s="19"/>
      <c r="I240" s="20"/>
      <c r="J240" s="19"/>
      <c r="K240" s="19"/>
    </row>
    <row r="241" spans="1:11" ht="14.25">
      <c r="A241" s="19"/>
      <c r="B241" s="31"/>
      <c r="C241" s="19"/>
      <c r="D241" s="19"/>
      <c r="E241" s="19"/>
      <c r="F241" s="20"/>
      <c r="G241" s="19"/>
      <c r="H241" s="19"/>
      <c r="I241" s="20"/>
      <c r="J241" s="19"/>
      <c r="K241" s="19"/>
    </row>
    <row r="242" spans="1:11" ht="14.25">
      <c r="A242" s="19"/>
      <c r="B242" s="31"/>
      <c r="C242" s="19"/>
      <c r="D242" s="19"/>
      <c r="E242" s="19"/>
      <c r="F242" s="20"/>
      <c r="G242" s="19"/>
      <c r="H242" s="19"/>
      <c r="I242" s="20"/>
      <c r="J242" s="19"/>
      <c r="K242" s="19"/>
    </row>
    <row r="243" spans="1:11" ht="14.25">
      <c r="A243" s="19"/>
      <c r="B243" s="31"/>
      <c r="C243" s="19"/>
      <c r="D243" s="19"/>
      <c r="E243" s="19"/>
      <c r="F243" s="20"/>
      <c r="G243" s="19"/>
      <c r="H243" s="19"/>
      <c r="I243" s="20"/>
      <c r="J243" s="19"/>
      <c r="K243" s="19"/>
    </row>
    <row r="244" spans="1:11" ht="14.25">
      <c r="A244" s="19"/>
      <c r="B244" s="31"/>
      <c r="C244" s="19"/>
      <c r="D244" s="19"/>
      <c r="E244" s="19"/>
      <c r="F244" s="20"/>
      <c r="G244" s="19"/>
      <c r="H244" s="19"/>
      <c r="I244" s="20"/>
      <c r="J244" s="19"/>
      <c r="K244" s="19"/>
    </row>
    <row r="245" spans="1:11" ht="14.25">
      <c r="A245" s="19"/>
      <c r="B245" s="31"/>
      <c r="C245" s="19"/>
      <c r="D245" s="19"/>
      <c r="E245" s="19"/>
      <c r="F245" s="20"/>
      <c r="G245" s="19"/>
      <c r="H245" s="19"/>
      <c r="I245" s="20"/>
      <c r="J245" s="19"/>
      <c r="K245" s="19"/>
    </row>
    <row r="246" spans="1:11" ht="14.25">
      <c r="A246" s="19"/>
      <c r="B246" s="31"/>
      <c r="C246" s="19"/>
      <c r="D246" s="19"/>
      <c r="E246" s="19"/>
      <c r="F246" s="20"/>
      <c r="G246" s="19"/>
      <c r="H246" s="19"/>
      <c r="I246" s="20"/>
      <c r="J246" s="19"/>
      <c r="K246" s="19"/>
    </row>
    <row r="247" spans="1:11" ht="14.25">
      <c r="A247" s="19"/>
      <c r="B247" s="31"/>
      <c r="C247" s="19"/>
      <c r="D247" s="19"/>
      <c r="E247" s="19"/>
      <c r="F247" s="20"/>
      <c r="G247" s="19"/>
      <c r="H247" s="19"/>
      <c r="I247" s="20"/>
      <c r="J247" s="19"/>
      <c r="K247" s="19"/>
    </row>
    <row r="248" spans="1:11" ht="14.25">
      <c r="A248" s="19"/>
      <c r="B248" s="31"/>
      <c r="C248" s="19"/>
      <c r="D248" s="19"/>
      <c r="E248" s="19"/>
      <c r="F248" s="20"/>
      <c r="G248" s="19"/>
      <c r="H248" s="19"/>
      <c r="I248" s="20"/>
      <c r="J248" s="19"/>
      <c r="K248" s="19"/>
    </row>
    <row r="249" spans="1:11" ht="14.25">
      <c r="A249" s="19"/>
      <c r="B249" s="31"/>
      <c r="C249" s="19"/>
      <c r="D249" s="19"/>
      <c r="E249" s="19"/>
      <c r="F249" s="20"/>
      <c r="G249" s="19"/>
      <c r="H249" s="19"/>
      <c r="I249" s="20"/>
      <c r="J249" s="19"/>
      <c r="K249" s="19"/>
    </row>
    <row r="250" spans="1:11" ht="14.25">
      <c r="A250" s="19"/>
      <c r="B250" s="31"/>
      <c r="C250" s="19"/>
      <c r="D250" s="19"/>
      <c r="E250" s="19"/>
      <c r="F250" s="20"/>
      <c r="G250" s="19"/>
      <c r="H250" s="19"/>
      <c r="I250" s="20"/>
      <c r="J250" s="19"/>
      <c r="K250" s="19"/>
    </row>
    <row r="251" spans="1:11" ht="14.25">
      <c r="A251" s="19"/>
      <c r="B251" s="31"/>
      <c r="C251" s="19"/>
      <c r="D251" s="19"/>
      <c r="E251" s="19"/>
      <c r="F251" s="20"/>
      <c r="G251" s="19"/>
      <c r="H251" s="19"/>
      <c r="I251" s="20"/>
      <c r="J251" s="19"/>
      <c r="K251" s="19"/>
    </row>
    <row r="252" spans="1:11" ht="14.25">
      <c r="A252" s="19"/>
      <c r="B252" s="31"/>
      <c r="C252" s="19"/>
      <c r="D252" s="19"/>
      <c r="E252" s="19"/>
      <c r="F252" s="20"/>
      <c r="G252" s="19"/>
      <c r="H252" s="19"/>
      <c r="I252" s="20"/>
      <c r="J252" s="19"/>
      <c r="K252" s="19"/>
    </row>
    <row r="253" spans="1:11" ht="14.25">
      <c r="A253" s="19"/>
      <c r="B253" s="31"/>
      <c r="C253" s="19"/>
      <c r="D253" s="19"/>
      <c r="E253" s="19"/>
      <c r="F253" s="20"/>
      <c r="G253" s="19"/>
      <c r="H253" s="19"/>
      <c r="I253" s="20"/>
      <c r="J253" s="19"/>
      <c r="K253" s="19"/>
    </row>
    <row r="254" spans="1:11" ht="14.25">
      <c r="A254" s="19"/>
      <c r="B254" s="31"/>
      <c r="C254" s="19"/>
      <c r="D254" s="19"/>
      <c r="E254" s="19"/>
      <c r="F254" s="20"/>
      <c r="G254" s="19"/>
      <c r="H254" s="19"/>
      <c r="I254" s="20"/>
      <c r="J254" s="19"/>
      <c r="K254" s="19"/>
    </row>
    <row r="255" spans="1:11" ht="14.25">
      <c r="A255" s="19"/>
      <c r="B255" s="31"/>
      <c r="C255" s="19"/>
      <c r="D255" s="19"/>
      <c r="E255" s="19"/>
      <c r="F255" s="20"/>
      <c r="G255" s="19"/>
      <c r="H255" s="19"/>
      <c r="I255" s="20"/>
      <c r="J255" s="19"/>
      <c r="K255" s="19"/>
    </row>
    <row r="256" spans="1:11" ht="14.25">
      <c r="A256" s="19"/>
      <c r="B256" s="31"/>
      <c r="C256" s="19"/>
      <c r="D256" s="19"/>
      <c r="E256" s="19"/>
      <c r="F256" s="20"/>
      <c r="G256" s="19"/>
      <c r="H256" s="19"/>
      <c r="I256" s="20"/>
      <c r="J256" s="19"/>
      <c r="K256" s="19"/>
    </row>
    <row r="257" spans="1:11" ht="14.25">
      <c r="A257" s="19"/>
      <c r="B257" s="31"/>
      <c r="C257" s="19"/>
      <c r="D257" s="19"/>
      <c r="E257" s="19"/>
      <c r="F257" s="20"/>
      <c r="G257" s="19"/>
      <c r="H257" s="19"/>
      <c r="I257" s="20"/>
      <c r="J257" s="19"/>
      <c r="K257" s="19"/>
    </row>
    <row r="258" spans="1:11" ht="14.25">
      <c r="A258" s="19"/>
      <c r="B258" s="31"/>
      <c r="C258" s="19"/>
      <c r="D258" s="19"/>
      <c r="E258" s="19"/>
      <c r="F258" s="20"/>
      <c r="G258" s="19"/>
      <c r="H258" s="19"/>
      <c r="I258" s="20"/>
      <c r="J258" s="19"/>
      <c r="K258" s="19"/>
    </row>
    <row r="259" spans="1:11" ht="14.25">
      <c r="A259" s="19"/>
      <c r="B259" s="31"/>
      <c r="C259" s="19"/>
      <c r="D259" s="19"/>
      <c r="E259" s="19"/>
      <c r="F259" s="20"/>
      <c r="G259" s="19"/>
      <c r="H259" s="19"/>
      <c r="I259" s="20"/>
      <c r="J259" s="19"/>
      <c r="K259" s="19"/>
    </row>
    <row r="260" spans="1:11" ht="14.25">
      <c r="A260" s="19"/>
      <c r="B260" s="31"/>
      <c r="C260" s="19"/>
      <c r="D260" s="19"/>
      <c r="E260" s="19"/>
      <c r="F260" s="20"/>
      <c r="G260" s="19"/>
      <c r="H260" s="19"/>
      <c r="I260" s="20"/>
      <c r="J260" s="19"/>
      <c r="K260" s="19"/>
    </row>
    <row r="261" spans="1:11" ht="14.25">
      <c r="A261" s="19"/>
      <c r="B261" s="31"/>
      <c r="C261" s="19"/>
      <c r="D261" s="19"/>
      <c r="E261" s="19"/>
      <c r="F261" s="20"/>
      <c r="G261" s="19"/>
      <c r="H261" s="19"/>
      <c r="I261" s="20"/>
      <c r="J261" s="19"/>
      <c r="K261" s="19"/>
    </row>
    <row r="262" spans="1:11" ht="14.25">
      <c r="A262" s="19"/>
      <c r="B262" s="31"/>
      <c r="C262" s="19"/>
      <c r="D262" s="19"/>
      <c r="E262" s="19"/>
      <c r="F262" s="20"/>
      <c r="G262" s="19"/>
      <c r="H262" s="19"/>
      <c r="I262" s="20"/>
      <c r="J262" s="19"/>
      <c r="K262" s="19"/>
    </row>
    <row r="263" spans="1:11" ht="14.25">
      <c r="A263" s="19"/>
      <c r="B263" s="31"/>
      <c r="C263" s="19"/>
      <c r="D263" s="19"/>
      <c r="E263" s="19"/>
      <c r="F263" s="20"/>
      <c r="G263" s="19"/>
      <c r="H263" s="19"/>
      <c r="I263" s="20"/>
      <c r="J263" s="19"/>
      <c r="K263" s="19"/>
    </row>
    <row r="264" spans="1:11" ht="14.25">
      <c r="A264" s="19"/>
      <c r="B264" s="31"/>
      <c r="C264" s="19"/>
      <c r="D264" s="19"/>
      <c r="E264" s="19"/>
      <c r="F264" s="20"/>
      <c r="G264" s="19"/>
      <c r="H264" s="19"/>
      <c r="I264" s="20"/>
      <c r="J264" s="19"/>
      <c r="K264" s="19"/>
    </row>
    <row r="265" spans="1:11" ht="14.25">
      <c r="A265" s="19"/>
      <c r="B265" s="31"/>
      <c r="C265" s="19"/>
      <c r="D265" s="19"/>
      <c r="E265" s="19"/>
      <c r="F265" s="20"/>
      <c r="G265" s="19"/>
      <c r="H265" s="19"/>
      <c r="I265" s="20"/>
      <c r="J265" s="19"/>
      <c r="K265" s="19"/>
    </row>
    <row r="266" spans="1:11" ht="14.25">
      <c r="A266" s="19"/>
      <c r="B266" s="31"/>
      <c r="C266" s="19"/>
      <c r="D266" s="19"/>
      <c r="E266" s="19"/>
      <c r="F266" s="20"/>
      <c r="G266" s="19"/>
      <c r="H266" s="19"/>
      <c r="I266" s="20"/>
      <c r="J266" s="19"/>
      <c r="K266" s="19"/>
    </row>
    <row r="267" spans="1:11" ht="14.25">
      <c r="A267" s="19"/>
      <c r="B267" s="31"/>
      <c r="C267" s="19"/>
      <c r="D267" s="19"/>
      <c r="E267" s="19"/>
      <c r="F267" s="20"/>
      <c r="G267" s="19"/>
      <c r="H267" s="19"/>
      <c r="I267" s="20"/>
      <c r="J267" s="19"/>
      <c r="K267" s="19"/>
    </row>
    <row r="268" spans="1:11" ht="14.25">
      <c r="A268" s="19"/>
      <c r="B268" s="31"/>
      <c r="C268" s="19"/>
      <c r="D268" s="19"/>
      <c r="E268" s="19"/>
      <c r="F268" s="20"/>
      <c r="G268" s="19"/>
      <c r="H268" s="19"/>
      <c r="I268" s="20"/>
      <c r="J268" s="19"/>
      <c r="K268" s="19"/>
    </row>
    <row r="269" spans="1:11" ht="14.25">
      <c r="A269" s="19"/>
      <c r="B269" s="31"/>
      <c r="C269" s="19"/>
      <c r="D269" s="19"/>
      <c r="E269" s="19"/>
      <c r="F269" s="20"/>
      <c r="G269" s="19"/>
      <c r="H269" s="19"/>
      <c r="I269" s="20"/>
      <c r="J269" s="19"/>
      <c r="K269" s="19"/>
    </row>
    <row r="270" spans="1:11" ht="14.25">
      <c r="A270" s="19"/>
      <c r="B270" s="31"/>
      <c r="C270" s="19"/>
      <c r="D270" s="19"/>
      <c r="E270" s="19"/>
      <c r="F270" s="20"/>
      <c r="G270" s="19"/>
      <c r="H270" s="19"/>
      <c r="I270" s="20"/>
      <c r="J270" s="19"/>
      <c r="K270" s="19"/>
    </row>
    <row r="271" spans="1:11" ht="14.25">
      <c r="A271" s="19"/>
      <c r="B271" s="31"/>
      <c r="C271" s="19"/>
      <c r="D271" s="19"/>
      <c r="E271" s="19"/>
      <c r="F271" s="20"/>
      <c r="G271" s="19"/>
      <c r="H271" s="19"/>
      <c r="I271" s="20"/>
      <c r="J271" s="19"/>
      <c r="K271" s="19"/>
    </row>
    <row r="272" spans="1:11" ht="14.25">
      <c r="A272" s="19"/>
      <c r="B272" s="31"/>
      <c r="C272" s="19"/>
      <c r="D272" s="19"/>
      <c r="E272" s="19"/>
      <c r="F272" s="20"/>
      <c r="G272" s="19"/>
      <c r="H272" s="19"/>
      <c r="I272" s="20"/>
      <c r="J272" s="19"/>
      <c r="K272" s="19"/>
    </row>
    <row r="273" spans="1:11" ht="14.25">
      <c r="A273" s="19"/>
      <c r="B273" s="31"/>
      <c r="C273" s="19"/>
      <c r="D273" s="19"/>
      <c r="E273" s="19"/>
      <c r="F273" s="20"/>
      <c r="G273" s="19"/>
      <c r="H273" s="19"/>
      <c r="I273" s="20"/>
      <c r="J273" s="19"/>
      <c r="K273" s="19"/>
    </row>
    <row r="274" spans="1:11" ht="14.25">
      <c r="A274" s="19"/>
      <c r="B274" s="31"/>
      <c r="C274" s="19"/>
      <c r="D274" s="19"/>
      <c r="E274" s="19"/>
      <c r="F274" s="20"/>
      <c r="G274" s="19"/>
      <c r="H274" s="19"/>
      <c r="I274" s="20"/>
      <c r="J274" s="19"/>
      <c r="K274" s="19"/>
    </row>
    <row r="275" spans="1:11" ht="14.25">
      <c r="A275" s="19"/>
      <c r="B275" s="31"/>
      <c r="C275" s="19"/>
      <c r="D275" s="19"/>
      <c r="E275" s="19"/>
      <c r="F275" s="20"/>
      <c r="G275" s="19"/>
      <c r="H275" s="19"/>
      <c r="I275" s="20"/>
      <c r="J275" s="19"/>
      <c r="K275" s="19"/>
    </row>
    <row r="276" spans="1:11" ht="14.25">
      <c r="A276" s="19"/>
      <c r="B276" s="31"/>
      <c r="C276" s="19"/>
      <c r="D276" s="19"/>
      <c r="E276" s="19"/>
      <c r="F276" s="20"/>
      <c r="G276" s="19"/>
      <c r="H276" s="19"/>
      <c r="I276" s="20"/>
      <c r="J276" s="19"/>
      <c r="K276" s="19"/>
    </row>
    <row r="277" spans="1:11" ht="14.25">
      <c r="A277" s="19"/>
      <c r="B277" s="31"/>
      <c r="C277" s="19"/>
      <c r="D277" s="19"/>
      <c r="E277" s="19"/>
      <c r="F277" s="20"/>
      <c r="G277" s="19"/>
      <c r="H277" s="19"/>
      <c r="I277" s="20"/>
      <c r="J277" s="19"/>
      <c r="K277" s="19"/>
    </row>
    <row r="278" spans="1:11" ht="14.25">
      <c r="A278" s="19"/>
      <c r="B278" s="31"/>
      <c r="C278" s="19"/>
      <c r="D278" s="19"/>
      <c r="E278" s="19"/>
      <c r="F278" s="20"/>
      <c r="G278" s="19"/>
      <c r="H278" s="19"/>
      <c r="I278" s="20"/>
      <c r="J278" s="19"/>
      <c r="K278" s="19"/>
    </row>
    <row r="279" spans="1:11" ht="14.25">
      <c r="A279" s="19"/>
      <c r="B279" s="31"/>
      <c r="C279" s="19"/>
      <c r="D279" s="19"/>
      <c r="E279" s="19"/>
      <c r="F279" s="20"/>
      <c r="G279" s="19"/>
      <c r="H279" s="19"/>
      <c r="I279" s="20"/>
      <c r="J279" s="19"/>
      <c r="K279" s="19"/>
    </row>
    <row r="280" spans="1:11" ht="14.25">
      <c r="A280" s="19"/>
      <c r="B280" s="31"/>
      <c r="C280" s="19"/>
      <c r="D280" s="19"/>
      <c r="E280" s="19"/>
      <c r="F280" s="20"/>
      <c r="G280" s="19"/>
      <c r="H280" s="19"/>
      <c r="I280" s="20"/>
      <c r="J280" s="19"/>
      <c r="K280" s="19"/>
    </row>
    <row r="281" spans="1:11" ht="14.25">
      <c r="A281" s="19"/>
      <c r="B281" s="31"/>
      <c r="C281" s="19"/>
      <c r="D281" s="19"/>
      <c r="E281" s="19"/>
      <c r="F281" s="20"/>
      <c r="G281" s="19"/>
      <c r="H281" s="19"/>
      <c r="I281" s="20"/>
      <c r="J281" s="19"/>
      <c r="K281" s="19"/>
    </row>
    <row r="282" spans="1:11" ht="14.25">
      <c r="A282" s="19"/>
      <c r="B282" s="31"/>
      <c r="C282" s="19"/>
      <c r="D282" s="19"/>
      <c r="E282" s="19"/>
      <c r="F282" s="20"/>
      <c r="G282" s="19"/>
      <c r="H282" s="19"/>
      <c r="I282" s="20"/>
      <c r="J282" s="19"/>
      <c r="K282" s="19"/>
    </row>
    <row r="283" spans="1:11" ht="14.25">
      <c r="A283" s="19"/>
      <c r="B283" s="31"/>
      <c r="C283" s="19"/>
      <c r="D283" s="19"/>
      <c r="E283" s="19"/>
      <c r="F283" s="20"/>
      <c r="G283" s="19"/>
      <c r="H283" s="19"/>
      <c r="I283" s="20"/>
      <c r="J283" s="19"/>
      <c r="K283" s="19"/>
    </row>
    <row r="284" spans="1:11" ht="14.25">
      <c r="A284" s="19"/>
      <c r="B284" s="31"/>
      <c r="C284" s="19"/>
      <c r="D284" s="19"/>
      <c r="E284" s="19"/>
      <c r="F284" s="20"/>
      <c r="G284" s="19"/>
      <c r="H284" s="19"/>
      <c r="I284" s="20"/>
      <c r="J284" s="19"/>
      <c r="K284" s="19"/>
    </row>
    <row r="285" spans="1:11" ht="14.25">
      <c r="A285" s="19"/>
      <c r="B285" s="31"/>
      <c r="C285" s="19"/>
      <c r="D285" s="19"/>
      <c r="E285" s="19"/>
      <c r="F285" s="20"/>
      <c r="G285" s="19"/>
      <c r="H285" s="19"/>
      <c r="I285" s="20"/>
      <c r="J285" s="19"/>
      <c r="K285" s="19"/>
    </row>
    <row r="286" spans="1:11" ht="14.25">
      <c r="A286" s="19"/>
      <c r="B286" s="31"/>
      <c r="C286" s="19"/>
      <c r="D286" s="19"/>
      <c r="E286" s="19"/>
      <c r="F286" s="20"/>
      <c r="G286" s="19"/>
      <c r="H286" s="19"/>
      <c r="I286" s="20"/>
      <c r="J286" s="19"/>
      <c r="K286" s="19"/>
    </row>
    <row r="287" spans="1:11" ht="14.25">
      <c r="A287" s="19"/>
      <c r="B287" s="31"/>
      <c r="C287" s="19"/>
      <c r="D287" s="19"/>
      <c r="E287" s="19"/>
      <c r="F287" s="20"/>
      <c r="G287" s="19"/>
      <c r="H287" s="19"/>
      <c r="I287" s="20"/>
      <c r="J287" s="19"/>
      <c r="K287" s="19"/>
    </row>
    <row r="288" spans="1:11" ht="14.25">
      <c r="A288" s="19"/>
      <c r="B288" s="31"/>
      <c r="C288" s="19"/>
      <c r="D288" s="19"/>
      <c r="E288" s="19"/>
      <c r="F288" s="20"/>
      <c r="G288" s="19"/>
      <c r="H288" s="19"/>
      <c r="I288" s="20"/>
      <c r="J288" s="19"/>
      <c r="K288" s="19"/>
    </row>
    <row r="289" spans="1:11" ht="14.25">
      <c r="A289" s="19"/>
      <c r="B289" s="31"/>
      <c r="C289" s="19"/>
      <c r="D289" s="19"/>
      <c r="E289" s="19"/>
      <c r="F289" s="20"/>
      <c r="G289" s="19"/>
      <c r="H289" s="19"/>
      <c r="I289" s="20"/>
      <c r="J289" s="19"/>
      <c r="K289" s="19"/>
    </row>
    <row r="290" spans="1:11" ht="14.25">
      <c r="A290" s="19"/>
      <c r="B290" s="31"/>
      <c r="C290" s="19"/>
      <c r="D290" s="19"/>
      <c r="E290" s="19"/>
      <c r="F290" s="20"/>
      <c r="G290" s="19"/>
      <c r="H290" s="19"/>
      <c r="I290" s="20"/>
      <c r="J290" s="19"/>
      <c r="K290" s="19"/>
    </row>
    <row r="291" spans="1:11" ht="14.25">
      <c r="A291" s="19"/>
      <c r="B291" s="31"/>
      <c r="C291" s="19"/>
      <c r="D291" s="19"/>
      <c r="E291" s="19"/>
      <c r="F291" s="20"/>
      <c r="G291" s="19"/>
      <c r="H291" s="19"/>
      <c r="I291" s="20"/>
      <c r="J291" s="19"/>
      <c r="K291" s="19"/>
    </row>
    <row r="292" spans="1:11" ht="14.25">
      <c r="A292" s="19"/>
      <c r="B292" s="31"/>
      <c r="C292" s="19"/>
      <c r="D292" s="19"/>
      <c r="E292" s="19"/>
      <c r="F292" s="20"/>
      <c r="G292" s="19"/>
      <c r="H292" s="19"/>
      <c r="I292" s="20"/>
      <c r="J292" s="19"/>
      <c r="K292" s="19"/>
    </row>
    <row r="293" spans="1:11" ht="14.25">
      <c r="A293" s="19"/>
      <c r="B293" s="31"/>
      <c r="C293" s="19"/>
      <c r="D293" s="19"/>
      <c r="E293" s="19"/>
      <c r="F293" s="20"/>
      <c r="G293" s="19"/>
      <c r="H293" s="19"/>
      <c r="I293" s="20"/>
      <c r="J293" s="19"/>
      <c r="K293" s="19"/>
    </row>
    <row r="294" spans="1:11" ht="14.25">
      <c r="A294" s="19"/>
      <c r="B294" s="31"/>
      <c r="C294" s="19"/>
      <c r="D294" s="19"/>
      <c r="E294" s="19"/>
      <c r="F294" s="20"/>
      <c r="G294" s="19"/>
      <c r="H294" s="19"/>
      <c r="I294" s="20"/>
      <c r="J294" s="19"/>
      <c r="K294" s="19"/>
    </row>
    <row r="295" spans="1:11" ht="14.25">
      <c r="A295" s="19"/>
      <c r="B295" s="31"/>
      <c r="C295" s="19"/>
      <c r="D295" s="19"/>
      <c r="E295" s="19"/>
      <c r="F295" s="20"/>
      <c r="G295" s="19"/>
      <c r="H295" s="19"/>
      <c r="I295" s="20"/>
      <c r="J295" s="19"/>
      <c r="K295" s="19"/>
    </row>
    <row r="296" spans="1:11" ht="14.25">
      <c r="A296" s="19"/>
      <c r="B296" s="31"/>
      <c r="C296" s="19"/>
      <c r="D296" s="19"/>
      <c r="E296" s="19"/>
      <c r="F296" s="20"/>
      <c r="G296" s="19"/>
      <c r="H296" s="19"/>
      <c r="I296" s="20"/>
      <c r="J296" s="19"/>
      <c r="K296" s="19"/>
    </row>
    <row r="297" spans="1:11" ht="14.25">
      <c r="A297" s="19"/>
      <c r="B297" s="31"/>
      <c r="C297" s="19"/>
      <c r="D297" s="19"/>
      <c r="E297" s="19"/>
      <c r="F297" s="20"/>
      <c r="G297" s="19"/>
      <c r="H297" s="19"/>
      <c r="I297" s="20"/>
      <c r="J297" s="19"/>
      <c r="K297" s="19"/>
    </row>
    <row r="298" spans="1:11" ht="14.25">
      <c r="A298" s="19"/>
      <c r="B298" s="31"/>
      <c r="C298" s="19"/>
      <c r="D298" s="19"/>
      <c r="E298" s="19"/>
      <c r="F298" s="20"/>
      <c r="G298" s="19"/>
      <c r="H298" s="19"/>
      <c r="I298" s="20"/>
      <c r="J298" s="19"/>
      <c r="K298" s="19"/>
    </row>
    <row r="299" spans="1:11" ht="14.25">
      <c r="A299" s="19"/>
      <c r="B299" s="31"/>
      <c r="C299" s="19"/>
      <c r="D299" s="19"/>
      <c r="E299" s="19"/>
      <c r="F299" s="20"/>
      <c r="G299" s="19"/>
      <c r="H299" s="19"/>
      <c r="I299" s="20"/>
      <c r="J299" s="19"/>
      <c r="K299" s="19"/>
    </row>
    <row r="300" spans="1:11" ht="14.25">
      <c r="A300" s="19"/>
      <c r="B300" s="31"/>
      <c r="C300" s="19"/>
      <c r="D300" s="19"/>
      <c r="E300" s="19"/>
      <c r="F300" s="20"/>
      <c r="G300" s="19"/>
      <c r="H300" s="19"/>
      <c r="I300" s="20"/>
      <c r="J300" s="19"/>
      <c r="K300" s="19"/>
    </row>
    <row r="301" spans="1:11" ht="14.25">
      <c r="A301" s="19"/>
      <c r="B301" s="31"/>
      <c r="C301" s="19"/>
      <c r="D301" s="19"/>
      <c r="E301" s="19"/>
      <c r="F301" s="20"/>
      <c r="G301" s="19"/>
      <c r="H301" s="19"/>
      <c r="I301" s="20"/>
      <c r="J301" s="19"/>
      <c r="K301" s="19"/>
    </row>
    <row r="302" spans="1:11" ht="14.25">
      <c r="A302" s="19"/>
      <c r="B302" s="31"/>
      <c r="C302" s="19"/>
      <c r="D302" s="19"/>
      <c r="E302" s="19"/>
      <c r="F302" s="20"/>
      <c r="G302" s="19"/>
      <c r="H302" s="19"/>
      <c r="I302" s="20"/>
      <c r="J302" s="19"/>
      <c r="K302" s="19"/>
    </row>
    <row r="303" spans="1:11" ht="14.25">
      <c r="A303" s="19"/>
      <c r="B303" s="31"/>
      <c r="C303" s="19"/>
      <c r="D303" s="19"/>
      <c r="E303" s="19"/>
      <c r="F303" s="20"/>
      <c r="G303" s="19"/>
      <c r="H303" s="19"/>
      <c r="I303" s="20"/>
      <c r="J303" s="19"/>
      <c r="K303" s="19"/>
    </row>
    <row r="304" spans="1:11" ht="14.25">
      <c r="A304" s="19"/>
      <c r="B304" s="31"/>
      <c r="C304" s="19"/>
      <c r="D304" s="19"/>
      <c r="E304" s="19"/>
      <c r="F304" s="20"/>
      <c r="G304" s="19"/>
      <c r="H304" s="19"/>
      <c r="I304" s="20"/>
      <c r="J304" s="19"/>
      <c r="K304" s="19"/>
    </row>
    <row r="305" spans="1:11" ht="14.25">
      <c r="A305" s="19"/>
      <c r="B305" s="31"/>
      <c r="C305" s="19"/>
      <c r="D305" s="19"/>
      <c r="E305" s="19"/>
      <c r="F305" s="20"/>
      <c r="G305" s="19"/>
      <c r="H305" s="19"/>
      <c r="I305" s="20"/>
      <c r="J305" s="19"/>
      <c r="K305" s="19"/>
    </row>
    <row r="306" spans="1:11" ht="14.25">
      <c r="A306" s="19"/>
      <c r="B306" s="31"/>
      <c r="C306" s="19"/>
      <c r="D306" s="19"/>
      <c r="E306" s="19"/>
      <c r="F306" s="20"/>
      <c r="G306" s="19"/>
      <c r="H306" s="19"/>
      <c r="I306" s="20"/>
      <c r="J306" s="19"/>
      <c r="K306" s="19"/>
    </row>
    <row r="307" spans="1:11" ht="14.25">
      <c r="A307" s="19"/>
      <c r="B307" s="31"/>
      <c r="C307" s="19"/>
      <c r="D307" s="19"/>
      <c r="E307" s="19"/>
      <c r="F307" s="20"/>
      <c r="G307" s="19"/>
      <c r="H307" s="19"/>
      <c r="I307" s="20"/>
      <c r="J307" s="19"/>
      <c r="K307" s="19"/>
    </row>
    <row r="308" spans="1:11" ht="14.25">
      <c r="A308" s="19"/>
      <c r="B308" s="31"/>
      <c r="C308" s="19"/>
      <c r="D308" s="19"/>
      <c r="E308" s="19"/>
      <c r="F308" s="20"/>
      <c r="G308" s="19"/>
      <c r="H308" s="19"/>
      <c r="I308" s="20"/>
      <c r="J308" s="19"/>
      <c r="K308" s="19"/>
    </row>
    <row r="309" spans="1:11" ht="14.25">
      <c r="A309" s="19"/>
      <c r="B309" s="31"/>
      <c r="C309" s="19"/>
      <c r="D309" s="19"/>
      <c r="E309" s="19"/>
      <c r="F309" s="20"/>
      <c r="G309" s="19"/>
      <c r="H309" s="19"/>
      <c r="I309" s="20"/>
      <c r="J309" s="19"/>
      <c r="K309" s="19"/>
    </row>
    <row r="310" spans="1:11" ht="14.25">
      <c r="A310" s="19"/>
      <c r="B310" s="31"/>
      <c r="C310" s="19"/>
      <c r="D310" s="19"/>
      <c r="E310" s="19"/>
      <c r="F310" s="20"/>
      <c r="G310" s="19"/>
      <c r="H310" s="19"/>
      <c r="I310" s="20"/>
      <c r="J310" s="19"/>
      <c r="K310" s="19"/>
    </row>
    <row r="311" spans="1:11" ht="14.25">
      <c r="A311" s="19"/>
      <c r="B311" s="31"/>
      <c r="C311" s="19"/>
      <c r="D311" s="19"/>
      <c r="E311" s="19"/>
      <c r="F311" s="20"/>
      <c r="G311" s="19"/>
      <c r="H311" s="19"/>
      <c r="I311" s="20"/>
      <c r="J311" s="19"/>
      <c r="K311" s="19"/>
    </row>
    <row r="312" spans="1:11" ht="14.25">
      <c r="A312" s="19"/>
      <c r="B312" s="31"/>
      <c r="C312" s="19"/>
      <c r="D312" s="19"/>
      <c r="E312" s="19"/>
      <c r="F312" s="20"/>
      <c r="G312" s="19"/>
      <c r="H312" s="19"/>
      <c r="I312" s="20"/>
      <c r="J312" s="19"/>
      <c r="K312" s="19"/>
    </row>
    <row r="313" spans="1:11" ht="14.25">
      <c r="A313" s="19"/>
      <c r="B313" s="31"/>
      <c r="C313" s="19"/>
      <c r="D313" s="19"/>
      <c r="E313" s="19"/>
      <c r="F313" s="20"/>
      <c r="G313" s="19"/>
      <c r="H313" s="19"/>
      <c r="I313" s="20"/>
      <c r="J313" s="19"/>
      <c r="K313" s="19"/>
    </row>
    <row r="314" spans="1:11" ht="14.25">
      <c r="A314" s="19"/>
      <c r="B314" s="31"/>
      <c r="C314" s="19"/>
      <c r="D314" s="19"/>
      <c r="E314" s="19"/>
      <c r="F314" s="20"/>
      <c r="G314" s="19"/>
      <c r="H314" s="19"/>
      <c r="I314" s="20"/>
      <c r="J314" s="19"/>
      <c r="K314" s="19"/>
    </row>
    <row r="315" spans="1:11" ht="14.25">
      <c r="A315" s="19"/>
      <c r="B315" s="31"/>
      <c r="C315" s="19"/>
      <c r="D315" s="19"/>
      <c r="E315" s="19"/>
      <c r="F315" s="20"/>
      <c r="G315" s="19"/>
      <c r="H315" s="19"/>
      <c r="I315" s="20"/>
      <c r="J315" s="19"/>
      <c r="K315" s="19"/>
    </row>
    <row r="316" spans="1:11" ht="14.25">
      <c r="A316" s="19"/>
      <c r="B316" s="31"/>
      <c r="C316" s="19"/>
      <c r="D316" s="19"/>
      <c r="E316" s="19"/>
      <c r="F316" s="20"/>
      <c r="G316" s="19"/>
      <c r="H316" s="19"/>
      <c r="I316" s="20"/>
      <c r="J316" s="19"/>
      <c r="K316" s="19"/>
    </row>
    <row r="317" spans="1:11" ht="14.25">
      <c r="A317" s="19"/>
      <c r="B317" s="31"/>
      <c r="C317" s="19"/>
      <c r="D317" s="19"/>
      <c r="E317" s="19"/>
      <c r="F317" s="20"/>
      <c r="G317" s="19"/>
      <c r="H317" s="19"/>
      <c r="I317" s="20"/>
      <c r="J317" s="19"/>
      <c r="K317" s="19"/>
    </row>
    <row r="318" spans="1:11" ht="14.25">
      <c r="A318" s="19"/>
      <c r="B318" s="31"/>
      <c r="C318" s="19"/>
      <c r="D318" s="19"/>
      <c r="E318" s="19"/>
      <c r="F318" s="20"/>
      <c r="G318" s="19"/>
      <c r="H318" s="19"/>
      <c r="I318" s="20"/>
      <c r="J318" s="19"/>
      <c r="K318" s="19"/>
    </row>
    <row r="319" spans="1:11" ht="14.25">
      <c r="A319" s="19"/>
      <c r="B319" s="31"/>
      <c r="C319" s="19"/>
      <c r="D319" s="19"/>
      <c r="E319" s="19"/>
      <c r="F319" s="20"/>
      <c r="G319" s="19"/>
      <c r="H319" s="19"/>
      <c r="I319" s="20"/>
      <c r="J319" s="19"/>
      <c r="K319" s="19"/>
    </row>
    <row r="320" spans="1:11" ht="14.25">
      <c r="A320" s="19"/>
      <c r="B320" s="31"/>
      <c r="C320" s="19"/>
      <c r="D320" s="19"/>
      <c r="E320" s="19"/>
      <c r="F320" s="20"/>
      <c r="G320" s="19"/>
      <c r="H320" s="19"/>
      <c r="I320" s="20"/>
      <c r="J320" s="19"/>
      <c r="K320" s="19"/>
    </row>
    <row r="321" spans="1:11" ht="14.25">
      <c r="A321" s="19"/>
      <c r="B321" s="31"/>
      <c r="C321" s="19"/>
      <c r="D321" s="19"/>
      <c r="E321" s="19"/>
      <c r="F321" s="20"/>
      <c r="G321" s="19"/>
      <c r="H321" s="19"/>
      <c r="I321" s="20"/>
      <c r="J321" s="19"/>
      <c r="K321" s="19"/>
    </row>
    <row r="322" spans="1:11" ht="13.9">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5" priority="7" stopIfTrue="1" operator="lessThanOrEqual">
      <formula>-0.1</formula>
    </cfRule>
    <cfRule type="expression" dxfId="34" priority="8">
      <formula>AND(ISNUMBER(F2), F2&gt;=0.1)</formula>
    </cfRule>
  </conditionalFormatting>
  <conditionalFormatting sqref="F4:F80 I4:I80">
    <cfRule type="cellIs" dxfId="33" priority="1" stopIfTrue="1" operator="lessThanOrEqual">
      <formula>-0.1</formula>
    </cfRule>
    <cfRule type="expression" dxfId="32" priority="2">
      <formula>AND(ISNUMBER(F4), F4&gt;=0.1)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P322"/>
  <sheetViews>
    <sheetView zoomScale="70" zoomScaleNormal="70" workbookViewId="0">
      <pane xSplit="2" ySplit="3" topLeftCell="C4" activePane="bottomRight" state="frozen"/>
      <selection pane="bottomRight" activeCell="J4" activeCellId="3" sqref="C4:C10 D4:D10 G4:G10 J4:Q10"/>
      <selection pane="bottomLeft" activeCell="J4" activeCellId="3" sqref="C4:C10 D4:D10 G4:G10 J4:Q10"/>
      <selection pane="topRight" activeCell="J4" activeCellId="3" sqref="C4:C10 D4:D10 G4:G10 J4:Q10"/>
    </sheetView>
  </sheetViews>
  <sheetFormatPr defaultRowHeight="13.5"/>
  <cols>
    <col min="1" max="1" width="35.85546875" bestFit="1" customWidth="1"/>
    <col min="2" max="2" width="8.42578125" style="32"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 min="12" max="16" width="8.85546875" style="69"/>
  </cols>
  <sheetData>
    <row r="1" spans="1:15" ht="19.5" customHeight="1">
      <c r="A1" s="111" t="str" cm="1">
        <f t="array" ref="A1">portfolio</f>
        <v>GoodFinch</v>
      </c>
      <c r="B1" s="111"/>
      <c r="C1" s="111"/>
      <c r="D1" s="112" t="s">
        <v>27</v>
      </c>
      <c r="E1" s="112"/>
      <c r="F1" s="112"/>
      <c r="G1" s="110" t="s">
        <v>28</v>
      </c>
      <c r="H1" s="110"/>
      <c r="I1" s="110"/>
      <c r="J1" s="4"/>
      <c r="K1" s="4"/>
    </row>
    <row r="2" spans="1:15" ht="19.5" customHeight="1">
      <c r="A2" s="113" t="s">
        <v>2</v>
      </c>
      <c r="B2" s="113"/>
      <c r="C2" s="5">
        <f>SUM(C4:C80)</f>
        <v>0</v>
      </c>
      <c r="D2" s="5">
        <f>SUM(D4:D80)</f>
        <v>0</v>
      </c>
      <c r="E2" s="5">
        <f>C2-D2</f>
        <v>0</v>
      </c>
      <c r="F2" s="6">
        <f>IFERROR(E2/D2, 0)</f>
        <v>0</v>
      </c>
      <c r="G2" s="5">
        <f>SUM(G4:G80)</f>
        <v>0</v>
      </c>
      <c r="H2" s="7">
        <f>C2-G2</f>
        <v>0</v>
      </c>
      <c r="I2" s="6">
        <f>IFERROR(H2/G2, 0)</f>
        <v>0</v>
      </c>
      <c r="J2" s="24"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8" t="s">
        <v>3</v>
      </c>
      <c r="B3" s="8" t="s">
        <v>4</v>
      </c>
      <c r="C3" s="53" t="s">
        <v>5</v>
      </c>
      <c r="D3" s="33" t="s">
        <v>6</v>
      </c>
      <c r="E3" s="33" t="s">
        <v>7</v>
      </c>
      <c r="F3" s="34" t="s">
        <v>8</v>
      </c>
      <c r="G3" s="35" t="s">
        <v>9</v>
      </c>
      <c r="H3" s="36" t="s">
        <v>7</v>
      </c>
      <c r="I3" s="37" t="s">
        <v>8</v>
      </c>
      <c r="J3" s="23" t="s">
        <v>21</v>
      </c>
      <c r="K3" s="23" t="s">
        <v>22</v>
      </c>
    </row>
    <row r="4" spans="1:15" ht="15.75">
      <c r="A4" s="65" t="str" cm="1">
        <f t="array" ref="A4:A45">Sites[Site]</f>
        <v>AZ: Tempe - ASU - Farmer</v>
      </c>
      <c r="B4" s="27" t="str" cm="1">
        <f t="array" ref="B4:B45">Sites[State]</f>
        <v>AZ</v>
      </c>
      <c r="C4" s="22"/>
      <c r="D4" s="12"/>
      <c r="E4" s="12" t="str">
        <f>IF(AND(ISNUMBER(C4),ISNUMBER(D4)), C4-D4, "")</f>
        <v/>
      </c>
      <c r="F4" s="13" t="str">
        <f>IFERROR(E4/D4, "")</f>
        <v/>
      </c>
      <c r="G4" s="14"/>
      <c r="H4" s="14" t="str">
        <f>IF(AND(ISNUMBER(C4),ISNUMBER(G4)), C4-G4, "")</f>
        <v/>
      </c>
      <c r="I4" s="15" t="str">
        <f>IFERROR(H4/G4, "")</f>
        <v/>
      </c>
      <c r="J4" s="39"/>
      <c r="K4" s="39"/>
    </row>
    <row r="5" spans="1:15" ht="15.75">
      <c r="A5" s="28" t="str">
        <v>AZ: Tempe - ASU - Fulton</v>
      </c>
      <c r="B5" s="29" t="str">
        <v>AZ</v>
      </c>
      <c r="C5" s="11"/>
      <c r="D5" s="16"/>
      <c r="E5" s="16" t="str">
        <f t="shared" ref="E5:E10" si="0">IF(AND(ISNUMBER(C5),ISNUMBER(D5)), C5-D5, "")</f>
        <v/>
      </c>
      <c r="F5" s="17" t="str">
        <f>IFERROR(E5/D5, "")</f>
        <v/>
      </c>
      <c r="G5" s="18"/>
      <c r="H5" s="18" t="str">
        <f t="shared" ref="H5:H10" si="1">IF(AND(ISNUMBER(C5),ISNUMBER(G5)), C5-G5, "")</f>
        <v/>
      </c>
      <c r="I5" s="17" t="str">
        <f t="shared" ref="I5:I10" si="2">IFERROR(H5/G5, "")</f>
        <v/>
      </c>
      <c r="J5" s="52"/>
      <c r="K5" s="60"/>
      <c r="L5" s="62"/>
      <c r="M5" s="62"/>
    </row>
    <row r="6" spans="1:15" ht="46.5" customHeight="1">
      <c r="A6" s="26" t="str">
        <v>AZ: Superior - JFK Elementary</v>
      </c>
      <c r="B6" s="27" t="str">
        <v>AZ</v>
      </c>
      <c r="C6" s="22"/>
      <c r="D6" s="12"/>
      <c r="E6" s="12" t="str">
        <f t="shared" si="0"/>
        <v/>
      </c>
      <c r="F6" s="13" t="str">
        <f t="shared" ref="F6:F10" si="3">IFERROR(E6/D6, "")</f>
        <v/>
      </c>
      <c r="G6" s="14"/>
      <c r="H6" s="14" t="str">
        <f t="shared" si="1"/>
        <v/>
      </c>
      <c r="I6" s="15" t="str">
        <f t="shared" si="2"/>
        <v/>
      </c>
      <c r="J6" s="71"/>
      <c r="K6" s="72"/>
    </row>
    <row r="7" spans="1:15" ht="15.75">
      <c r="A7" s="28" t="str">
        <v>AZ: Tempe - ASU - Noble</v>
      </c>
      <c r="B7" s="29" t="str">
        <v>AZ</v>
      </c>
      <c r="C7" s="11"/>
      <c r="D7" s="16"/>
      <c r="E7" s="16" t="str">
        <f t="shared" si="0"/>
        <v/>
      </c>
      <c r="F7" s="17" t="str">
        <f t="shared" si="3"/>
        <v/>
      </c>
      <c r="G7" s="67"/>
      <c r="H7" s="18" t="str">
        <f t="shared" si="1"/>
        <v/>
      </c>
      <c r="I7" s="17" t="str">
        <f t="shared" si="2"/>
        <v/>
      </c>
      <c r="J7" s="70"/>
      <c r="K7" s="60"/>
    </row>
    <row r="8" spans="1:15" ht="150" customHeight="1">
      <c r="A8" s="26" t="str">
        <v>AZ: Tempe - ASU - Parking #3</v>
      </c>
      <c r="B8" s="27" t="str">
        <v>AZ</v>
      </c>
      <c r="C8" s="22"/>
      <c r="D8" s="12"/>
      <c r="E8" s="12" t="str">
        <f t="shared" si="0"/>
        <v/>
      </c>
      <c r="F8" s="13" t="str">
        <f t="shared" si="3"/>
        <v/>
      </c>
      <c r="G8" s="68"/>
      <c r="H8" s="14" t="str">
        <f t="shared" si="1"/>
        <v/>
      </c>
      <c r="I8" s="15" t="str">
        <f t="shared" si="2"/>
        <v/>
      </c>
      <c r="J8" s="71"/>
      <c r="K8" s="72"/>
      <c r="L8" s="62"/>
      <c r="M8" s="62"/>
      <c r="N8" s="62"/>
      <c r="O8" s="62"/>
    </row>
    <row r="9" spans="1:15" ht="15.75">
      <c r="A9" s="28" t="str">
        <v>AZ: Tempe - ASU - PE East</v>
      </c>
      <c r="B9" s="29" t="str">
        <v>AZ</v>
      </c>
      <c r="C9" s="11"/>
      <c r="D9" s="16"/>
      <c r="E9" s="16" t="str">
        <f t="shared" si="0"/>
        <v/>
      </c>
      <c r="F9" s="17" t="str">
        <f t="shared" si="3"/>
        <v/>
      </c>
      <c r="G9" s="18"/>
      <c r="H9" s="18" t="str">
        <f t="shared" si="1"/>
        <v/>
      </c>
      <c r="I9" s="17" t="str">
        <f t="shared" si="2"/>
        <v/>
      </c>
      <c r="J9" s="52"/>
      <c r="K9" s="60"/>
      <c r="L9" s="62"/>
      <c r="M9" s="62"/>
    </row>
    <row r="10" spans="1:15" ht="120" customHeight="1">
      <c r="A10" s="26" t="str">
        <v>AZ: Tempe - ASU - Schwada</v>
      </c>
      <c r="B10" s="27" t="str">
        <v>AZ</v>
      </c>
      <c r="C10" s="22"/>
      <c r="D10" s="12"/>
      <c r="E10" s="12" t="str">
        <f t="shared" si="0"/>
        <v/>
      </c>
      <c r="F10" s="13" t="str">
        <f t="shared" si="3"/>
        <v/>
      </c>
      <c r="G10" s="14"/>
      <c r="H10" s="14" t="str">
        <f t="shared" si="1"/>
        <v/>
      </c>
      <c r="I10" s="15" t="str">
        <f t="shared" si="2"/>
        <v/>
      </c>
      <c r="J10" s="71"/>
      <c r="K10" s="72"/>
      <c r="L10" s="62"/>
    </row>
    <row r="11" spans="1:15" ht="15.75">
      <c r="A11" s="28" t="str">
        <v>AZ: Phoenix - Starshine Academy</v>
      </c>
      <c r="B11" s="29" t="str">
        <v>AZ</v>
      </c>
      <c r="C11" s="100"/>
      <c r="D11" s="16"/>
      <c r="E11" s="16" t="str">
        <f t="shared" ref="E11:E45" si="4">IF(AND(ISNUMBER(C11),ISNUMBER(D11)), C11-D11, "")</f>
        <v/>
      </c>
      <c r="F11" s="99" t="str">
        <f t="shared" ref="F11:F45" si="5">IFERROR(E11/D11, "")</f>
        <v/>
      </c>
      <c r="G11" s="80"/>
      <c r="H11" s="80" t="str">
        <f t="shared" ref="H11:H45" si="6">IF(AND(ISNUMBER(C11),ISNUMBER(G11)), C11-G11, "")</f>
        <v/>
      </c>
      <c r="I11" s="99" t="str">
        <f t="shared" ref="I11:I45" si="7">IFERROR(H11/G11, "")</f>
        <v/>
      </c>
      <c r="J11" s="52"/>
      <c r="K11" s="60"/>
    </row>
    <row r="12" spans="1:15" ht="15.75">
      <c r="A12" s="26" t="str">
        <v>AZ: Yuma Airport</v>
      </c>
      <c r="B12" s="27" t="str">
        <v>AZ</v>
      </c>
      <c r="C12" s="73"/>
      <c r="D12" s="12"/>
      <c r="E12" s="12" t="str">
        <f t="shared" si="4"/>
        <v/>
      </c>
      <c r="F12" s="74" t="str">
        <f t="shared" si="5"/>
        <v/>
      </c>
      <c r="G12" s="75"/>
      <c r="H12" s="75" t="str">
        <f t="shared" si="6"/>
        <v/>
      </c>
      <c r="I12" s="76" t="str">
        <f t="shared" si="7"/>
        <v/>
      </c>
      <c r="J12" s="103"/>
      <c r="K12" s="104"/>
    </row>
    <row r="13" spans="1:15" ht="15.75">
      <c r="A13" s="28" t="str">
        <v>AZ: Globe - Gila CC</v>
      </c>
      <c r="B13" s="29" t="str">
        <v>AZ</v>
      </c>
      <c r="C13" s="100"/>
      <c r="D13" s="16"/>
      <c r="E13" s="16" t="str">
        <f t="shared" si="4"/>
        <v/>
      </c>
      <c r="F13" s="99" t="str">
        <f t="shared" si="5"/>
        <v/>
      </c>
      <c r="G13" s="80"/>
      <c r="H13" s="80" t="str">
        <f t="shared" si="6"/>
        <v/>
      </c>
      <c r="I13" s="99" t="str">
        <f t="shared" si="7"/>
        <v/>
      </c>
      <c r="J13" s="52"/>
      <c r="K13" s="60"/>
    </row>
    <row r="14" spans="1:15" ht="15.75">
      <c r="A14" s="26" t="str">
        <v>AZ: Payson - Gila CC</v>
      </c>
      <c r="B14" s="27" t="str">
        <v>AZ</v>
      </c>
      <c r="C14" s="73"/>
      <c r="D14" s="12"/>
      <c r="E14" s="12" t="str">
        <f t="shared" si="4"/>
        <v/>
      </c>
      <c r="F14" s="74" t="str">
        <f t="shared" si="5"/>
        <v/>
      </c>
      <c r="G14" s="75"/>
      <c r="H14" s="75" t="str">
        <f t="shared" si="6"/>
        <v/>
      </c>
      <c r="I14" s="76" t="str">
        <f t="shared" si="7"/>
        <v/>
      </c>
      <c r="J14" s="103"/>
      <c r="K14" s="104"/>
    </row>
    <row r="15" spans="1:15" ht="15.75">
      <c r="A15" s="28" t="str">
        <v>AZ: Mesa - Sequoia Charter School</v>
      </c>
      <c r="B15" s="29" t="str">
        <v>AZ</v>
      </c>
      <c r="C15" s="100"/>
      <c r="D15" s="16"/>
      <c r="E15" s="16" t="str">
        <f t="shared" si="4"/>
        <v/>
      </c>
      <c r="F15" s="99" t="str">
        <f t="shared" si="5"/>
        <v/>
      </c>
      <c r="G15" s="80"/>
      <c r="H15" s="80" t="str">
        <f t="shared" si="6"/>
        <v/>
      </c>
      <c r="I15" s="99" t="str">
        <f t="shared" si="7"/>
        <v/>
      </c>
      <c r="J15" s="52"/>
      <c r="K15" s="60"/>
    </row>
    <row r="16" spans="1:15" ht="15.75">
      <c r="A16" s="26" t="str">
        <v>AZ: Tempe - SCNM</v>
      </c>
      <c r="B16" s="27" t="str">
        <v>AZ</v>
      </c>
      <c r="C16" s="73"/>
      <c r="D16" s="12"/>
      <c r="E16" s="12" t="str">
        <f t="shared" si="4"/>
        <v/>
      </c>
      <c r="F16" s="74" t="str">
        <f t="shared" si="5"/>
        <v/>
      </c>
      <c r="G16" s="75"/>
      <c r="H16" s="75" t="str">
        <f t="shared" si="6"/>
        <v/>
      </c>
      <c r="I16" s="76" t="str">
        <f t="shared" si="7"/>
        <v/>
      </c>
      <c r="J16" s="103"/>
      <c r="K16" s="104"/>
    </row>
    <row r="17" spans="1:11" ht="15.75">
      <c r="A17" s="28" t="str">
        <v>DE: Newark - Clayton Hall</v>
      </c>
      <c r="B17" s="29" t="str">
        <v>DE</v>
      </c>
      <c r="C17" s="100"/>
      <c r="D17" s="16"/>
      <c r="E17" s="16" t="str">
        <f t="shared" si="4"/>
        <v/>
      </c>
      <c r="F17" s="99" t="str">
        <f t="shared" si="5"/>
        <v/>
      </c>
      <c r="G17" s="80"/>
      <c r="H17" s="80" t="str">
        <f t="shared" si="6"/>
        <v/>
      </c>
      <c r="I17" s="99" t="str">
        <f t="shared" si="7"/>
        <v/>
      </c>
      <c r="J17" s="52"/>
      <c r="K17" s="60"/>
    </row>
    <row r="18" spans="1:11" ht="15.75">
      <c r="A18" s="26" t="str">
        <v>DE: Newark - UOD Field House</v>
      </c>
      <c r="B18" s="27" t="str">
        <v>DE</v>
      </c>
      <c r="C18" s="73"/>
      <c r="D18" s="12"/>
      <c r="E18" s="12" t="str">
        <f t="shared" si="4"/>
        <v/>
      </c>
      <c r="F18" s="74" t="str">
        <f t="shared" si="5"/>
        <v/>
      </c>
      <c r="G18" s="75"/>
      <c r="H18" s="75" t="str">
        <f t="shared" si="6"/>
        <v/>
      </c>
      <c r="I18" s="76" t="str">
        <f t="shared" si="7"/>
        <v/>
      </c>
      <c r="J18" s="103"/>
      <c r="K18" s="104"/>
    </row>
    <row r="19" spans="1:11" ht="15.75">
      <c r="A19" s="28" t="str">
        <v>DE: Newark - UOD 461 Wyoming</v>
      </c>
      <c r="B19" s="29" t="str">
        <v>DE</v>
      </c>
      <c r="C19" s="100"/>
      <c r="D19" s="16"/>
      <c r="E19" s="16" t="str">
        <f t="shared" si="4"/>
        <v/>
      </c>
      <c r="F19" s="99" t="str">
        <f t="shared" si="5"/>
        <v/>
      </c>
      <c r="G19" s="80"/>
      <c r="H19" s="80" t="str">
        <f t="shared" si="6"/>
        <v/>
      </c>
      <c r="I19" s="99" t="str">
        <f t="shared" si="7"/>
        <v/>
      </c>
      <c r="J19" s="52"/>
      <c r="K19" s="60"/>
    </row>
    <row r="20" spans="1:11" ht="15.75">
      <c r="A20" s="26" t="str">
        <v>HI: Waipahu - 94-246 Leoku St - E.F.G.</v>
      </c>
      <c r="B20" s="27" t="str">
        <v>HI</v>
      </c>
      <c r="C20" s="73"/>
      <c r="D20" s="12"/>
      <c r="E20" s="12" t="str">
        <f t="shared" si="4"/>
        <v/>
      </c>
      <c r="F20" s="74" t="str">
        <f t="shared" si="5"/>
        <v/>
      </c>
      <c r="G20" s="75"/>
      <c r="H20" s="75" t="str">
        <f t="shared" si="6"/>
        <v/>
      </c>
      <c r="I20" s="76" t="str">
        <f t="shared" si="7"/>
        <v/>
      </c>
      <c r="J20" s="103"/>
      <c r="K20" s="104"/>
    </row>
    <row r="21" spans="1:11" ht="15.75">
      <c r="A21" s="28" t="str">
        <v>HI: Waipahu - 94-099 Waipahu St - PV</v>
      </c>
      <c r="B21" s="29" t="str">
        <v>HI</v>
      </c>
      <c r="C21" s="100"/>
      <c r="D21" s="16"/>
      <c r="E21" s="16" t="str">
        <f t="shared" si="4"/>
        <v/>
      </c>
      <c r="F21" s="99" t="str">
        <f t="shared" si="5"/>
        <v/>
      </c>
      <c r="G21" s="80"/>
      <c r="H21" s="80" t="str">
        <f t="shared" si="6"/>
        <v/>
      </c>
      <c r="I21" s="99" t="str">
        <f t="shared" si="7"/>
        <v/>
      </c>
      <c r="J21" s="52"/>
      <c r="K21" s="60"/>
    </row>
    <row r="22" spans="1:11" ht="15.75">
      <c r="A22" s="26" t="str">
        <v>MD: Presston - Bird-in-Hand</v>
      </c>
      <c r="B22" s="27" t="str">
        <v>MD</v>
      </c>
      <c r="C22" s="73"/>
      <c r="D22" s="12"/>
      <c r="E22" s="12" t="str">
        <f t="shared" si="4"/>
        <v/>
      </c>
      <c r="F22" s="74" t="str">
        <f t="shared" si="5"/>
        <v/>
      </c>
      <c r="G22" s="75"/>
      <c r="H22" s="75" t="str">
        <f t="shared" si="6"/>
        <v/>
      </c>
      <c r="I22" s="76" t="str">
        <f t="shared" si="7"/>
        <v/>
      </c>
      <c r="J22" s="103"/>
      <c r="K22" s="104"/>
    </row>
    <row r="23" spans="1:11" ht="15.75">
      <c r="A23" s="28" t="str">
        <v>MD: Easton - Shortall</v>
      </c>
      <c r="B23" s="29" t="str">
        <v>MD</v>
      </c>
      <c r="C23" s="100"/>
      <c r="D23" s="16"/>
      <c r="E23" s="16" t="str">
        <f t="shared" si="4"/>
        <v/>
      </c>
      <c r="F23" s="99" t="str">
        <f t="shared" si="5"/>
        <v/>
      </c>
      <c r="G23" s="80"/>
      <c r="H23" s="80" t="str">
        <f t="shared" si="6"/>
        <v/>
      </c>
      <c r="I23" s="99" t="str">
        <f t="shared" si="7"/>
        <v/>
      </c>
      <c r="J23" s="52"/>
      <c r="K23" s="60"/>
    </row>
    <row r="24" spans="1:11" ht="15.75">
      <c r="A24" s="26" t="str">
        <v>MA: Boston - Seaport Solar</v>
      </c>
      <c r="B24" s="27" t="str">
        <v>MA</v>
      </c>
      <c r="C24" s="73"/>
      <c r="D24" s="12"/>
      <c r="E24" s="12" t="str">
        <f t="shared" si="4"/>
        <v/>
      </c>
      <c r="F24" s="74" t="str">
        <f t="shared" si="5"/>
        <v/>
      </c>
      <c r="G24" s="75"/>
      <c r="H24" s="75" t="str">
        <f t="shared" si="6"/>
        <v/>
      </c>
      <c r="I24" s="76" t="str">
        <f t="shared" si="7"/>
        <v/>
      </c>
      <c r="J24" s="103"/>
      <c r="K24" s="104"/>
    </row>
    <row r="25" spans="1:11" ht="15.75">
      <c r="A25" s="28" t="str">
        <v>MA: Dedham - Sprague Street</v>
      </c>
      <c r="B25" s="29" t="str">
        <v>MA</v>
      </c>
      <c r="C25" s="100"/>
      <c r="D25" s="16"/>
      <c r="E25" s="16" t="str">
        <f t="shared" si="4"/>
        <v/>
      </c>
      <c r="F25" s="99" t="str">
        <f t="shared" si="5"/>
        <v/>
      </c>
      <c r="G25" s="80"/>
      <c r="H25" s="80" t="str">
        <f t="shared" si="6"/>
        <v/>
      </c>
      <c r="I25" s="99" t="str">
        <f t="shared" si="7"/>
        <v/>
      </c>
      <c r="J25" s="52"/>
      <c r="K25" s="60"/>
    </row>
    <row r="26" spans="1:11" ht="15.75">
      <c r="A26" s="26" t="str">
        <v>MA: Boston - Summer Street</v>
      </c>
      <c r="B26" s="27" t="str">
        <v>MA</v>
      </c>
      <c r="C26" s="73"/>
      <c r="D26" s="12"/>
      <c r="E26" s="12" t="str">
        <f t="shared" si="4"/>
        <v/>
      </c>
      <c r="F26" s="74" t="str">
        <f t="shared" si="5"/>
        <v/>
      </c>
      <c r="G26" s="75"/>
      <c r="H26" s="75" t="str">
        <f t="shared" si="6"/>
        <v/>
      </c>
      <c r="I26" s="76" t="str">
        <f t="shared" si="7"/>
        <v/>
      </c>
      <c r="J26" s="103"/>
      <c r="K26" s="104"/>
    </row>
    <row r="27" spans="1:11" ht="15.75">
      <c r="A27" s="28" t="str">
        <v>MA: Leominster - Spectro Coatings</v>
      </c>
      <c r="B27" s="29" t="str">
        <v>MA</v>
      </c>
      <c r="C27" s="100"/>
      <c r="D27" s="16"/>
      <c r="E27" s="16" t="str">
        <f t="shared" si="4"/>
        <v/>
      </c>
      <c r="F27" s="99" t="str">
        <f t="shared" si="5"/>
        <v/>
      </c>
      <c r="G27" s="80"/>
      <c r="H27" s="80" t="str">
        <f t="shared" si="6"/>
        <v/>
      </c>
      <c r="I27" s="99" t="str">
        <f t="shared" si="7"/>
        <v/>
      </c>
      <c r="J27" s="52"/>
      <c r="K27" s="60"/>
    </row>
    <row r="28" spans="1:11" ht="15.75">
      <c r="A28" s="26" t="str">
        <v>MA: Braintree - RCAB</v>
      </c>
      <c r="B28" s="27" t="str">
        <v>MA</v>
      </c>
      <c r="C28" s="73"/>
      <c r="D28" s="12"/>
      <c r="E28" s="12" t="str">
        <f t="shared" si="4"/>
        <v/>
      </c>
      <c r="F28" s="74" t="str">
        <f t="shared" si="5"/>
        <v/>
      </c>
      <c r="G28" s="75"/>
      <c r="H28" s="75" t="str">
        <f t="shared" si="6"/>
        <v/>
      </c>
      <c r="I28" s="76" t="str">
        <f t="shared" si="7"/>
        <v/>
      </c>
      <c r="J28" s="103"/>
      <c r="K28" s="104"/>
    </row>
    <row r="29" spans="1:11" ht="15.75">
      <c r="A29" s="28" t="str">
        <v>NH: Rochester - Portland Street</v>
      </c>
      <c r="B29" s="29" t="str">
        <v>NH</v>
      </c>
      <c r="C29" s="100"/>
      <c r="D29" s="16"/>
      <c r="E29" s="16" t="str">
        <f t="shared" si="4"/>
        <v/>
      </c>
      <c r="F29" s="99" t="str">
        <f t="shared" si="5"/>
        <v/>
      </c>
      <c r="G29" s="80"/>
      <c r="H29" s="80" t="str">
        <f t="shared" si="6"/>
        <v/>
      </c>
      <c r="I29" s="99" t="str">
        <f t="shared" si="7"/>
        <v/>
      </c>
      <c r="J29" s="52"/>
      <c r="K29" s="60"/>
    </row>
    <row r="30" spans="1:11" ht="15.75">
      <c r="A30" s="26" t="str">
        <v>NH: Portsmouth - Portsmouth HS</v>
      </c>
      <c r="B30" s="27" t="str">
        <v>NH</v>
      </c>
      <c r="C30" s="73"/>
      <c r="D30" s="12"/>
      <c r="E30" s="12" t="str">
        <f t="shared" si="4"/>
        <v/>
      </c>
      <c r="F30" s="74" t="str">
        <f t="shared" si="5"/>
        <v/>
      </c>
      <c r="G30" s="75"/>
      <c r="H30" s="75" t="str">
        <f t="shared" si="6"/>
        <v/>
      </c>
      <c r="I30" s="76" t="str">
        <f t="shared" si="7"/>
        <v/>
      </c>
      <c r="J30" s="103"/>
      <c r="K30" s="104"/>
    </row>
    <row r="31" spans="1:11" ht="15.75">
      <c r="A31" s="28" t="str">
        <v>NH: Portsmouth - Portsmouth WTP</v>
      </c>
      <c r="B31" s="29" t="str">
        <v>NH</v>
      </c>
      <c r="C31" s="100"/>
      <c r="D31" s="16"/>
      <c r="E31" s="16" t="str">
        <f t="shared" si="4"/>
        <v/>
      </c>
      <c r="F31" s="99" t="str">
        <f t="shared" si="5"/>
        <v/>
      </c>
      <c r="G31" s="80"/>
      <c r="H31" s="80" t="str">
        <f t="shared" si="6"/>
        <v/>
      </c>
      <c r="I31" s="99" t="str">
        <f t="shared" si="7"/>
        <v/>
      </c>
      <c r="J31" s="52"/>
      <c r="K31" s="60"/>
    </row>
    <row r="32" spans="1:11" ht="15.75">
      <c r="A32" s="26" t="str">
        <v>NH: Rochester - Rochester MS</v>
      </c>
      <c r="B32" s="27" t="str">
        <v>NH</v>
      </c>
      <c r="C32" s="73"/>
      <c r="D32" s="12"/>
      <c r="E32" s="12" t="str">
        <f t="shared" si="4"/>
        <v/>
      </c>
      <c r="F32" s="74" t="str">
        <f t="shared" si="5"/>
        <v/>
      </c>
      <c r="G32" s="75"/>
      <c r="H32" s="75" t="str">
        <f t="shared" si="6"/>
        <v/>
      </c>
      <c r="I32" s="76" t="str">
        <f t="shared" si="7"/>
        <v/>
      </c>
      <c r="J32" s="103"/>
      <c r="K32" s="104"/>
    </row>
    <row r="33" spans="1:11" ht="15.75">
      <c r="A33" s="28" t="str">
        <v>NH Rochester - Spaulding HS</v>
      </c>
      <c r="B33" s="29" t="str">
        <v>NH</v>
      </c>
      <c r="C33" s="100"/>
      <c r="D33" s="16"/>
      <c r="E33" s="16" t="str">
        <f t="shared" si="4"/>
        <v/>
      </c>
      <c r="F33" s="99" t="str">
        <f t="shared" si="5"/>
        <v/>
      </c>
      <c r="G33" s="80"/>
      <c r="H33" s="80" t="str">
        <f t="shared" si="6"/>
        <v/>
      </c>
      <c r="I33" s="99" t="str">
        <f t="shared" si="7"/>
        <v/>
      </c>
      <c r="J33" s="52"/>
      <c r="K33" s="60"/>
    </row>
    <row r="34" spans="1:11" ht="15.75">
      <c r="A34" s="26" t="str">
        <v>NH: Rochester - McClelland ES</v>
      </c>
      <c r="B34" s="27" t="str">
        <v>NH</v>
      </c>
      <c r="C34" s="73"/>
      <c r="D34" s="12"/>
      <c r="E34" s="12" t="str">
        <f t="shared" si="4"/>
        <v/>
      </c>
      <c r="F34" s="74" t="str">
        <f t="shared" si="5"/>
        <v/>
      </c>
      <c r="G34" s="75"/>
      <c r="H34" s="75" t="str">
        <f t="shared" si="6"/>
        <v/>
      </c>
      <c r="I34" s="76" t="str">
        <f t="shared" si="7"/>
        <v/>
      </c>
      <c r="J34" s="103"/>
      <c r="K34" s="104"/>
    </row>
    <row r="35" spans="1:11" ht="15.75">
      <c r="A35" s="28" t="str">
        <v>NH: Rochester - Brock St Vocational</v>
      </c>
      <c r="B35" s="29" t="str">
        <v>NH</v>
      </c>
      <c r="C35" s="100"/>
      <c r="D35" s="16"/>
      <c r="E35" s="16" t="str">
        <f t="shared" si="4"/>
        <v/>
      </c>
      <c r="F35" s="99" t="str">
        <f t="shared" si="5"/>
        <v/>
      </c>
      <c r="G35" s="80"/>
      <c r="H35" s="80" t="str">
        <f t="shared" si="6"/>
        <v/>
      </c>
      <c r="I35" s="99" t="str">
        <f t="shared" si="7"/>
        <v/>
      </c>
      <c r="J35" s="52"/>
      <c r="K35" s="60"/>
    </row>
    <row r="36" spans="1:11" ht="15.75">
      <c r="A36" s="26" t="str">
        <v>OH: Cleveland - CV Kinsman</v>
      </c>
      <c r="B36" s="27" t="str">
        <v>OH</v>
      </c>
      <c r="C36" s="73"/>
      <c r="D36" s="12"/>
      <c r="E36" s="12" t="str">
        <f t="shared" si="4"/>
        <v/>
      </c>
      <c r="F36" s="74" t="str">
        <f t="shared" si="5"/>
        <v/>
      </c>
      <c r="G36" s="75"/>
      <c r="H36" s="75" t="str">
        <f t="shared" si="6"/>
        <v/>
      </c>
      <c r="I36" s="76" t="str">
        <f t="shared" si="7"/>
        <v/>
      </c>
      <c r="J36" s="103"/>
      <c r="K36" s="104"/>
    </row>
    <row r="37" spans="1:11" ht="15.75">
      <c r="A37" s="28" t="str">
        <v>OH: Cleveland - CV Wooster</v>
      </c>
      <c r="B37" s="29" t="str">
        <v>OH</v>
      </c>
      <c r="C37" s="100"/>
      <c r="D37" s="16"/>
      <c r="E37" s="16" t="str">
        <f t="shared" si="4"/>
        <v/>
      </c>
      <c r="F37" s="99" t="str">
        <f t="shared" si="5"/>
        <v/>
      </c>
      <c r="G37" s="80"/>
      <c r="H37" s="80" t="str">
        <f t="shared" si="6"/>
        <v/>
      </c>
      <c r="I37" s="99" t="str">
        <f t="shared" si="7"/>
        <v/>
      </c>
      <c r="J37" s="52"/>
      <c r="K37" s="60"/>
    </row>
    <row r="38" spans="1:11" ht="15.75">
      <c r="A38" s="26" t="str">
        <v>PR: Aguadilla - Coca Cola</v>
      </c>
      <c r="B38" s="27" t="str">
        <v>PR</v>
      </c>
      <c r="C38" s="73"/>
      <c r="D38" s="12"/>
      <c r="E38" s="12" t="str">
        <f t="shared" si="4"/>
        <v/>
      </c>
      <c r="F38" s="74" t="str">
        <f t="shared" si="5"/>
        <v/>
      </c>
      <c r="G38" s="75"/>
      <c r="H38" s="75" t="str">
        <f t="shared" si="6"/>
        <v/>
      </c>
      <c r="I38" s="76" t="str">
        <f t="shared" si="7"/>
        <v/>
      </c>
      <c r="J38" s="103"/>
      <c r="K38" s="104"/>
    </row>
    <row r="39" spans="1:11" ht="15.75">
      <c r="A39" s="28" t="str">
        <v>PR: Bayamon - Coca Cola</v>
      </c>
      <c r="B39" s="29" t="str">
        <v>PR</v>
      </c>
      <c r="C39" s="100"/>
      <c r="D39" s="16"/>
      <c r="E39" s="16" t="str">
        <f t="shared" si="4"/>
        <v/>
      </c>
      <c r="F39" s="99" t="str">
        <f t="shared" si="5"/>
        <v/>
      </c>
      <c r="G39" s="80"/>
      <c r="H39" s="80" t="str">
        <f t="shared" si="6"/>
        <v/>
      </c>
      <c r="I39" s="99" t="str">
        <f t="shared" si="7"/>
        <v/>
      </c>
      <c r="J39" s="52"/>
      <c r="K39" s="60"/>
    </row>
    <row r="40" spans="1:11" ht="15.75">
      <c r="A40" s="26" t="str">
        <v>PR: Carolina - St. Francis</v>
      </c>
      <c r="B40" s="27" t="str">
        <v>PR</v>
      </c>
      <c r="C40" s="73"/>
      <c r="D40" s="12"/>
      <c r="E40" s="12" t="str">
        <f t="shared" si="4"/>
        <v/>
      </c>
      <c r="F40" s="74" t="str">
        <f t="shared" si="5"/>
        <v/>
      </c>
      <c r="G40" s="75"/>
      <c r="H40" s="75" t="str">
        <f t="shared" si="6"/>
        <v/>
      </c>
      <c r="I40" s="76" t="str">
        <f t="shared" si="7"/>
        <v/>
      </c>
      <c r="J40" s="103"/>
      <c r="K40" s="104"/>
    </row>
    <row r="41" spans="1:11" ht="15.75">
      <c r="A41" s="28" t="str">
        <v>DC: Washington - Essex Condominium</v>
      </c>
      <c r="B41" s="29" t="str">
        <v>DC</v>
      </c>
      <c r="C41" s="100"/>
      <c r="D41" s="16"/>
      <c r="E41" s="16" t="str">
        <f t="shared" si="4"/>
        <v/>
      </c>
      <c r="F41" s="99" t="str">
        <f t="shared" si="5"/>
        <v/>
      </c>
      <c r="G41" s="80"/>
      <c r="H41" s="80" t="str">
        <f t="shared" si="6"/>
        <v/>
      </c>
      <c r="I41" s="99" t="str">
        <f t="shared" si="7"/>
        <v/>
      </c>
      <c r="J41" s="52"/>
      <c r="K41" s="60"/>
    </row>
    <row r="42" spans="1:11" ht="15.75">
      <c r="A42" s="26" t="str">
        <v>DC: Chevy Chase -Sinai</v>
      </c>
      <c r="B42" s="27" t="str">
        <v>DC</v>
      </c>
      <c r="C42" s="73"/>
      <c r="D42" s="12"/>
      <c r="E42" s="12" t="str">
        <f t="shared" si="4"/>
        <v/>
      </c>
      <c r="F42" s="74" t="str">
        <f t="shared" si="5"/>
        <v/>
      </c>
      <c r="G42" s="75"/>
      <c r="H42" s="75" t="str">
        <f t="shared" si="6"/>
        <v/>
      </c>
      <c r="I42" s="76" t="str">
        <f t="shared" si="7"/>
        <v/>
      </c>
      <c r="J42" s="103"/>
      <c r="K42" s="104"/>
    </row>
    <row r="43" spans="1:11" ht="15.75">
      <c r="A43" s="28" t="str">
        <v>DC: Washington - Weinberg 1</v>
      </c>
      <c r="B43" s="29" t="str">
        <v>DC</v>
      </c>
      <c r="C43" s="100"/>
      <c r="D43" s="16"/>
      <c r="E43" s="16" t="str">
        <f t="shared" si="4"/>
        <v/>
      </c>
      <c r="F43" s="99" t="str">
        <f t="shared" si="5"/>
        <v/>
      </c>
      <c r="G43" s="80"/>
      <c r="H43" s="80" t="str">
        <f t="shared" si="6"/>
        <v/>
      </c>
      <c r="I43" s="99" t="str">
        <f t="shared" si="7"/>
        <v/>
      </c>
      <c r="J43" s="52"/>
      <c r="K43" s="60"/>
    </row>
    <row r="44" spans="1:11" ht="15.75">
      <c r="A44" s="26" t="str">
        <v>DC: Washington - Weinberg 2</v>
      </c>
      <c r="B44" s="27" t="str">
        <v>DC</v>
      </c>
      <c r="C44" s="73"/>
      <c r="D44" s="12"/>
      <c r="E44" s="12" t="str">
        <f t="shared" si="4"/>
        <v/>
      </c>
      <c r="F44" s="74" t="str">
        <f t="shared" si="5"/>
        <v/>
      </c>
      <c r="G44" s="75"/>
      <c r="H44" s="75" t="str">
        <f t="shared" si="6"/>
        <v/>
      </c>
      <c r="I44" s="76" t="str">
        <f t="shared" si="7"/>
        <v/>
      </c>
      <c r="J44" s="103"/>
      <c r="K44" s="104"/>
    </row>
    <row r="45" spans="1:11" ht="15.75">
      <c r="A45" s="28" t="str">
        <v>DC: Washington - Weinberg 3</v>
      </c>
      <c r="B45" s="29" t="str">
        <v>DC</v>
      </c>
      <c r="C45" s="100"/>
      <c r="D45" s="16"/>
      <c r="E45" s="16" t="str">
        <f t="shared" si="4"/>
        <v/>
      </c>
      <c r="F45" s="99" t="str">
        <f t="shared" si="5"/>
        <v/>
      </c>
      <c r="G45" s="80"/>
      <c r="H45" s="80" t="str">
        <f t="shared" si="6"/>
        <v/>
      </c>
      <c r="I45" s="99" t="str">
        <f t="shared" si="7"/>
        <v/>
      </c>
      <c r="J45" s="52"/>
      <c r="K45" s="60"/>
    </row>
    <row r="46" spans="1:11" ht="14.25">
      <c r="A46" s="19"/>
      <c r="B46" s="31"/>
      <c r="C46" s="19"/>
      <c r="D46" s="19"/>
      <c r="E46" s="19"/>
      <c r="F46" s="20"/>
      <c r="G46" s="19"/>
      <c r="H46" s="19"/>
      <c r="I46" s="20"/>
      <c r="J46" s="19"/>
      <c r="K46" s="19"/>
    </row>
    <row r="47" spans="1:11" ht="14.25">
      <c r="A47" s="19"/>
      <c r="B47" s="31"/>
      <c r="C47" s="19"/>
      <c r="D47" s="19"/>
      <c r="E47" s="19"/>
      <c r="F47" s="20"/>
      <c r="G47" s="19"/>
      <c r="H47" s="19"/>
      <c r="I47" s="20"/>
      <c r="J47" s="19"/>
      <c r="K47" s="19"/>
    </row>
    <row r="48" spans="1:11" ht="14.25">
      <c r="A48" s="19"/>
      <c r="B48" s="31"/>
      <c r="C48" s="19"/>
      <c r="D48" s="19"/>
      <c r="E48" s="19"/>
      <c r="F48" s="20"/>
      <c r="G48" s="19"/>
      <c r="H48" s="19"/>
      <c r="I48" s="20"/>
      <c r="J48" s="19"/>
      <c r="K48" s="19"/>
    </row>
    <row r="49" spans="1:11" ht="14.25">
      <c r="A49" s="19"/>
      <c r="B49" s="31"/>
      <c r="C49" s="19"/>
      <c r="D49" s="19"/>
      <c r="E49" s="19"/>
      <c r="F49" s="20"/>
      <c r="G49" s="19"/>
      <c r="H49" s="19"/>
      <c r="I49" s="20"/>
      <c r="J49" s="19"/>
      <c r="K49" s="19"/>
    </row>
    <row r="50" spans="1:11" ht="14.25">
      <c r="A50" s="19"/>
      <c r="B50" s="31"/>
      <c r="C50" s="19"/>
      <c r="D50" s="19"/>
      <c r="E50" s="19"/>
      <c r="F50" s="20"/>
      <c r="G50" s="19"/>
      <c r="H50" s="19"/>
      <c r="I50" s="20"/>
      <c r="J50" s="19"/>
      <c r="K50" s="19"/>
    </row>
    <row r="51" spans="1:11" ht="14.25">
      <c r="A51" s="19"/>
      <c r="B51" s="31"/>
      <c r="C51" s="19"/>
      <c r="D51" s="19"/>
      <c r="E51" s="19"/>
      <c r="F51" s="20"/>
      <c r="G51" s="19"/>
      <c r="H51" s="19"/>
      <c r="I51" s="20"/>
      <c r="J51" s="19"/>
      <c r="K51" s="19"/>
    </row>
    <row r="52" spans="1:11" ht="14.25">
      <c r="A52" s="19"/>
      <c r="B52" s="31"/>
      <c r="C52" s="19"/>
      <c r="D52" s="19"/>
      <c r="E52" s="19"/>
      <c r="F52" s="20"/>
      <c r="G52" s="19"/>
      <c r="H52" s="19"/>
      <c r="I52" s="20"/>
      <c r="J52" s="19"/>
      <c r="K52" s="19"/>
    </row>
    <row r="53" spans="1:11" ht="14.25">
      <c r="A53" s="19"/>
      <c r="B53" s="31"/>
      <c r="C53" s="19"/>
      <c r="D53" s="19"/>
      <c r="E53" s="19"/>
      <c r="F53" s="20"/>
      <c r="G53" s="19"/>
      <c r="H53" s="19"/>
      <c r="I53" s="20"/>
      <c r="J53" s="19"/>
      <c r="K53" s="19"/>
    </row>
    <row r="54" spans="1:11" ht="14.25">
      <c r="A54" s="19"/>
      <c r="B54" s="31"/>
      <c r="C54" s="19"/>
      <c r="D54" s="19"/>
      <c r="E54" s="19"/>
      <c r="F54" s="20"/>
      <c r="G54" s="19"/>
      <c r="H54" s="19"/>
      <c r="I54" s="20"/>
      <c r="J54" s="19"/>
      <c r="K54" s="19"/>
    </row>
    <row r="55" spans="1:11" ht="14.25">
      <c r="A55" s="19"/>
      <c r="B55" s="31"/>
      <c r="C55" s="19"/>
      <c r="D55" s="19"/>
      <c r="E55" s="19"/>
      <c r="F55" s="20"/>
      <c r="G55" s="19"/>
      <c r="H55" s="19"/>
      <c r="I55" s="20"/>
      <c r="J55" s="19"/>
      <c r="K55" s="19"/>
    </row>
    <row r="56" spans="1:11" ht="14.25">
      <c r="A56" s="19"/>
      <c r="B56" s="31"/>
      <c r="C56" s="19"/>
      <c r="D56" s="19"/>
      <c r="E56" s="19"/>
      <c r="F56" s="20"/>
      <c r="G56" s="19"/>
      <c r="H56" s="19"/>
      <c r="I56" s="20"/>
      <c r="J56" s="19"/>
      <c r="K56" s="19"/>
    </row>
    <row r="57" spans="1:11" ht="14.25">
      <c r="A57" s="19"/>
      <c r="B57" s="31"/>
      <c r="C57" s="19"/>
      <c r="D57" s="19"/>
      <c r="E57" s="19"/>
      <c r="F57" s="20"/>
      <c r="G57" s="19"/>
      <c r="H57" s="19"/>
      <c r="I57" s="20"/>
      <c r="J57" s="19"/>
      <c r="K57" s="19"/>
    </row>
    <row r="58" spans="1:11" ht="14.25">
      <c r="A58" s="19"/>
      <c r="B58" s="31"/>
      <c r="C58" s="19"/>
      <c r="D58" s="19"/>
      <c r="E58" s="19"/>
      <c r="F58" s="20"/>
      <c r="G58" s="19"/>
      <c r="H58" s="19"/>
      <c r="I58" s="20"/>
      <c r="J58" s="19"/>
      <c r="K58" s="19"/>
    </row>
    <row r="59" spans="1:11" ht="14.25">
      <c r="A59" s="19"/>
      <c r="B59" s="31"/>
      <c r="C59" s="19"/>
      <c r="D59" s="19"/>
      <c r="E59" s="19"/>
      <c r="F59" s="20"/>
      <c r="G59" s="19"/>
      <c r="H59" s="19"/>
      <c r="I59" s="20"/>
      <c r="J59" s="19"/>
      <c r="K59" s="19"/>
    </row>
    <row r="60" spans="1:11" ht="14.25">
      <c r="A60" s="19"/>
      <c r="B60" s="31"/>
      <c r="C60" s="19"/>
      <c r="D60" s="19"/>
      <c r="E60" s="19"/>
      <c r="F60" s="20"/>
      <c r="G60" s="19"/>
      <c r="H60" s="19"/>
      <c r="I60" s="20"/>
      <c r="J60" s="19"/>
      <c r="K60" s="19"/>
    </row>
    <row r="61" spans="1:11" ht="14.25">
      <c r="A61" s="19"/>
      <c r="B61" s="31"/>
      <c r="C61" s="19"/>
      <c r="D61" s="19"/>
      <c r="E61" s="19"/>
      <c r="F61" s="20"/>
      <c r="G61" s="19"/>
      <c r="H61" s="19"/>
      <c r="I61" s="20"/>
      <c r="J61" s="19"/>
      <c r="K61" s="19"/>
    </row>
    <row r="62" spans="1:11" ht="14.25">
      <c r="A62" s="19"/>
      <c r="B62" s="31"/>
      <c r="C62" s="19"/>
      <c r="D62" s="19"/>
      <c r="E62" s="19"/>
      <c r="F62" s="20"/>
      <c r="G62" s="19"/>
      <c r="H62" s="19"/>
      <c r="I62" s="20"/>
      <c r="J62" s="19"/>
      <c r="K62" s="19"/>
    </row>
    <row r="63" spans="1:11" ht="14.25">
      <c r="A63" s="19"/>
      <c r="B63" s="31"/>
      <c r="C63" s="19"/>
      <c r="D63" s="19"/>
      <c r="E63" s="19"/>
      <c r="F63" s="20"/>
      <c r="G63" s="19"/>
      <c r="H63" s="19"/>
      <c r="I63" s="20"/>
      <c r="J63" s="19"/>
      <c r="K63" s="19"/>
    </row>
    <row r="64" spans="1:11" ht="14.25">
      <c r="A64" s="19"/>
      <c r="B64" s="31"/>
      <c r="C64" s="19"/>
      <c r="D64" s="19"/>
      <c r="E64" s="19"/>
      <c r="F64" s="20"/>
      <c r="G64" s="19"/>
      <c r="H64" s="19"/>
      <c r="I64" s="20"/>
      <c r="J64" s="19"/>
      <c r="K64" s="19"/>
    </row>
    <row r="65" spans="1:11" ht="14.25">
      <c r="A65" s="19"/>
      <c r="B65" s="31"/>
      <c r="C65" s="19"/>
      <c r="D65" s="19"/>
      <c r="E65" s="19"/>
      <c r="F65" s="20"/>
      <c r="G65" s="19"/>
      <c r="H65" s="19"/>
      <c r="I65" s="20"/>
      <c r="J65" s="19"/>
      <c r="K65" s="19"/>
    </row>
    <row r="66" spans="1:11" ht="14.25">
      <c r="A66" s="19"/>
      <c r="B66" s="31"/>
      <c r="C66" s="19"/>
      <c r="D66" s="19"/>
      <c r="E66" s="19"/>
      <c r="F66" s="20"/>
      <c r="G66" s="19"/>
      <c r="H66" s="19"/>
      <c r="I66" s="20"/>
      <c r="J66" s="19"/>
      <c r="K66" s="19"/>
    </row>
    <row r="67" spans="1:11" ht="14.25">
      <c r="A67" s="19"/>
      <c r="B67" s="31"/>
      <c r="C67" s="19"/>
      <c r="D67" s="19"/>
      <c r="E67" s="19"/>
      <c r="F67" s="20"/>
      <c r="G67" s="19"/>
      <c r="H67" s="19"/>
      <c r="I67" s="20"/>
      <c r="J67" s="19"/>
      <c r="K67" s="19"/>
    </row>
    <row r="68" spans="1:11" ht="14.25">
      <c r="A68" s="19"/>
      <c r="B68" s="31"/>
      <c r="C68" s="19"/>
      <c r="D68" s="19"/>
      <c r="E68" s="19"/>
      <c r="F68" s="20"/>
      <c r="G68" s="19"/>
      <c r="H68" s="19"/>
      <c r="I68" s="20"/>
      <c r="J68" s="19"/>
      <c r="K68" s="19"/>
    </row>
    <row r="69" spans="1:11" ht="14.25">
      <c r="A69" s="19"/>
      <c r="B69" s="31"/>
      <c r="C69" s="19"/>
      <c r="D69" s="19"/>
      <c r="E69" s="19"/>
      <c r="F69" s="20"/>
      <c r="G69" s="19"/>
      <c r="H69" s="19"/>
      <c r="I69" s="20"/>
      <c r="J69" s="19"/>
      <c r="K69" s="19"/>
    </row>
    <row r="70" spans="1:11" ht="14.25">
      <c r="A70" s="19"/>
      <c r="B70" s="31"/>
      <c r="C70" s="19"/>
      <c r="D70" s="19"/>
      <c r="E70" s="19"/>
      <c r="F70" s="20"/>
      <c r="G70" s="19"/>
      <c r="H70" s="19"/>
      <c r="I70" s="20"/>
      <c r="J70" s="19"/>
      <c r="K70" s="19"/>
    </row>
    <row r="71" spans="1:11" ht="14.25">
      <c r="A71" s="19"/>
      <c r="B71" s="31"/>
      <c r="C71" s="19"/>
      <c r="D71" s="19"/>
      <c r="E71" s="19"/>
      <c r="F71" s="20"/>
      <c r="G71" s="19"/>
      <c r="H71" s="19"/>
      <c r="I71" s="20"/>
      <c r="J71" s="19"/>
      <c r="K71" s="19"/>
    </row>
    <row r="72" spans="1:11" ht="14.25">
      <c r="A72" s="19"/>
      <c r="B72" s="31"/>
      <c r="C72" s="19"/>
      <c r="D72" s="19"/>
      <c r="E72" s="19"/>
      <c r="F72" s="20"/>
      <c r="G72" s="19"/>
      <c r="H72" s="19"/>
      <c r="I72" s="20"/>
      <c r="J72" s="19"/>
      <c r="K72" s="19"/>
    </row>
    <row r="73" spans="1:11" ht="14.25">
      <c r="A73" s="19"/>
      <c r="B73" s="31"/>
      <c r="C73" s="19"/>
      <c r="D73" s="19"/>
      <c r="E73" s="19"/>
      <c r="F73" s="20"/>
      <c r="G73" s="19"/>
      <c r="H73" s="19"/>
      <c r="I73" s="20"/>
      <c r="J73" s="19"/>
      <c r="K73" s="19"/>
    </row>
    <row r="74" spans="1:11" ht="14.25">
      <c r="A74" s="19"/>
      <c r="B74" s="31"/>
      <c r="C74" s="19"/>
      <c r="D74" s="19"/>
      <c r="E74" s="19"/>
      <c r="F74" s="20"/>
      <c r="G74" s="19"/>
      <c r="H74" s="19"/>
      <c r="I74" s="20"/>
      <c r="J74" s="19"/>
      <c r="K74" s="19"/>
    </row>
    <row r="75" spans="1:11" ht="14.25">
      <c r="A75" s="19"/>
      <c r="B75" s="31"/>
      <c r="C75" s="19"/>
      <c r="D75" s="19"/>
      <c r="E75" s="19"/>
      <c r="F75" s="20"/>
      <c r="G75" s="19"/>
      <c r="H75" s="19"/>
      <c r="I75" s="20"/>
      <c r="J75" s="19"/>
      <c r="K75" s="19"/>
    </row>
    <row r="76" spans="1:11" ht="14.25">
      <c r="A76" s="19"/>
      <c r="B76" s="31"/>
      <c r="C76" s="19"/>
      <c r="D76" s="19"/>
      <c r="E76" s="19"/>
      <c r="F76" s="20"/>
      <c r="G76" s="19"/>
      <c r="H76" s="19"/>
      <c r="I76" s="20"/>
      <c r="J76" s="19"/>
      <c r="K76" s="19"/>
    </row>
    <row r="77" spans="1:11" ht="14.25">
      <c r="A77" s="19"/>
      <c r="B77" s="31"/>
      <c r="C77" s="19"/>
      <c r="D77" s="19"/>
      <c r="E77" s="19"/>
      <c r="F77" s="20"/>
      <c r="G77" s="19"/>
      <c r="H77" s="19"/>
      <c r="I77" s="20"/>
      <c r="J77" s="19"/>
      <c r="K77" s="19"/>
    </row>
    <row r="78" spans="1:11" ht="14.25">
      <c r="A78" s="19"/>
      <c r="B78" s="31"/>
      <c r="C78" s="19"/>
      <c r="D78" s="19"/>
      <c r="E78" s="19"/>
      <c r="F78" s="20"/>
      <c r="G78" s="19"/>
      <c r="H78" s="19"/>
      <c r="I78" s="20"/>
      <c r="J78" s="19"/>
      <c r="K78" s="19"/>
    </row>
    <row r="79" spans="1:11" ht="14.25">
      <c r="A79" s="19"/>
      <c r="B79" s="31"/>
      <c r="C79" s="19"/>
      <c r="D79" s="19"/>
      <c r="E79" s="19"/>
      <c r="F79" s="20"/>
      <c r="G79" s="19"/>
      <c r="H79" s="19"/>
      <c r="I79" s="20"/>
      <c r="J79" s="19"/>
      <c r="K79" s="19"/>
    </row>
    <row r="80" spans="1:11" ht="14.25">
      <c r="A80" s="19"/>
      <c r="B80" s="31"/>
      <c r="C80" s="19"/>
      <c r="D80" s="19"/>
      <c r="E80" s="19"/>
      <c r="F80" s="20"/>
      <c r="G80" s="19"/>
      <c r="H80" s="19"/>
      <c r="I80" s="20"/>
      <c r="J80" s="19"/>
      <c r="K80" s="19"/>
    </row>
    <row r="81" spans="1:11" ht="14.25">
      <c r="A81" s="19"/>
      <c r="B81" s="31"/>
      <c r="C81" s="19"/>
      <c r="D81" s="19"/>
      <c r="E81" s="19"/>
      <c r="F81" s="20"/>
      <c r="G81" s="19"/>
      <c r="H81" s="19"/>
      <c r="I81" s="20"/>
      <c r="J81" s="19"/>
      <c r="K81" s="19"/>
    </row>
    <row r="82" spans="1:11" ht="14.25">
      <c r="A82" s="19"/>
      <c r="B82" s="31"/>
      <c r="C82" s="19"/>
      <c r="D82" s="19"/>
      <c r="E82" s="19"/>
      <c r="F82" s="20"/>
      <c r="G82" s="19"/>
      <c r="H82" s="19"/>
      <c r="I82" s="20"/>
      <c r="J82" s="19"/>
      <c r="K82" s="19"/>
    </row>
    <row r="83" spans="1:11" ht="14.25">
      <c r="A83" s="19"/>
      <c r="B83" s="31"/>
      <c r="C83" s="19"/>
      <c r="D83" s="19"/>
      <c r="E83" s="19"/>
      <c r="F83" s="20"/>
      <c r="G83" s="19"/>
      <c r="H83" s="19"/>
      <c r="I83" s="20"/>
      <c r="J83" s="19"/>
      <c r="K83" s="19"/>
    </row>
    <row r="84" spans="1:11" ht="14.25">
      <c r="A84" s="19"/>
      <c r="B84" s="31"/>
      <c r="C84" s="19"/>
      <c r="D84" s="19"/>
      <c r="E84" s="19"/>
      <c r="F84" s="20"/>
      <c r="G84" s="19"/>
      <c r="H84" s="19"/>
      <c r="I84" s="20"/>
      <c r="J84" s="19"/>
      <c r="K84" s="19"/>
    </row>
    <row r="85" spans="1:11" ht="14.25">
      <c r="A85" s="19"/>
      <c r="B85" s="31"/>
      <c r="C85" s="19"/>
      <c r="D85" s="19"/>
      <c r="E85" s="19"/>
      <c r="F85" s="20"/>
      <c r="G85" s="19"/>
      <c r="H85" s="19"/>
      <c r="I85" s="20"/>
      <c r="J85" s="19"/>
      <c r="K85" s="19"/>
    </row>
    <row r="86" spans="1:11" ht="14.25">
      <c r="A86" s="19"/>
      <c r="B86" s="31"/>
      <c r="C86" s="19"/>
      <c r="D86" s="19"/>
      <c r="E86" s="19"/>
      <c r="F86" s="20"/>
      <c r="G86" s="19"/>
      <c r="H86" s="19"/>
      <c r="I86" s="20"/>
      <c r="J86" s="19"/>
      <c r="K86" s="19"/>
    </row>
    <row r="87" spans="1:11" ht="14.25">
      <c r="A87" s="19"/>
      <c r="B87" s="31"/>
      <c r="C87" s="19"/>
      <c r="D87" s="19"/>
      <c r="E87" s="19"/>
      <c r="F87" s="20"/>
      <c r="G87" s="19"/>
      <c r="H87" s="19"/>
      <c r="I87" s="20"/>
      <c r="J87" s="19"/>
      <c r="K87" s="19"/>
    </row>
    <row r="88" spans="1:11" ht="14.25">
      <c r="A88" s="19"/>
      <c r="B88" s="31"/>
      <c r="C88" s="19"/>
      <c r="D88" s="19"/>
      <c r="E88" s="19"/>
      <c r="F88" s="20"/>
      <c r="G88" s="19"/>
      <c r="H88" s="19"/>
      <c r="I88" s="20"/>
      <c r="J88" s="19"/>
      <c r="K88" s="19"/>
    </row>
    <row r="89" spans="1:11" ht="14.25">
      <c r="A89" s="19"/>
      <c r="B89" s="31"/>
      <c r="C89" s="19"/>
      <c r="D89" s="19"/>
      <c r="E89" s="19"/>
      <c r="F89" s="20"/>
      <c r="G89" s="19"/>
      <c r="H89" s="19"/>
      <c r="I89" s="20"/>
      <c r="J89" s="19"/>
      <c r="K89" s="19"/>
    </row>
    <row r="90" spans="1:11" ht="14.25">
      <c r="A90" s="19"/>
      <c r="B90" s="31"/>
      <c r="C90" s="19"/>
      <c r="D90" s="19"/>
      <c r="E90" s="19"/>
      <c r="F90" s="20"/>
      <c r="G90" s="19"/>
      <c r="H90" s="19"/>
      <c r="I90" s="20"/>
      <c r="J90" s="19"/>
      <c r="K90" s="19"/>
    </row>
    <row r="91" spans="1:11" ht="14.25">
      <c r="A91" s="19"/>
      <c r="B91" s="31"/>
      <c r="C91" s="19"/>
      <c r="D91" s="19"/>
      <c r="E91" s="19"/>
      <c r="F91" s="20"/>
      <c r="G91" s="19"/>
      <c r="H91" s="19"/>
      <c r="I91" s="20"/>
      <c r="J91" s="19"/>
      <c r="K91" s="19"/>
    </row>
    <row r="92" spans="1:11" ht="14.25">
      <c r="A92" s="19"/>
      <c r="B92" s="31"/>
      <c r="C92" s="19"/>
      <c r="D92" s="19"/>
      <c r="E92" s="19"/>
      <c r="F92" s="20"/>
      <c r="G92" s="19"/>
      <c r="H92" s="19"/>
      <c r="I92" s="20"/>
      <c r="J92" s="19"/>
      <c r="K92" s="19"/>
    </row>
    <row r="93" spans="1:11" ht="14.25">
      <c r="A93" s="19"/>
      <c r="B93" s="31"/>
      <c r="C93" s="19"/>
      <c r="D93" s="19"/>
      <c r="E93" s="19"/>
      <c r="F93" s="20"/>
      <c r="G93" s="19"/>
      <c r="H93" s="19"/>
      <c r="I93" s="20"/>
      <c r="J93" s="19"/>
      <c r="K93" s="19"/>
    </row>
    <row r="94" spans="1:11" ht="14.25">
      <c r="A94" s="19"/>
      <c r="B94" s="31"/>
      <c r="C94" s="19"/>
      <c r="D94" s="19"/>
      <c r="E94" s="19"/>
      <c r="F94" s="20"/>
      <c r="G94" s="19"/>
      <c r="H94" s="19"/>
      <c r="I94" s="20"/>
      <c r="J94" s="19"/>
      <c r="K94" s="19"/>
    </row>
    <row r="95" spans="1:11" ht="14.25">
      <c r="A95" s="19"/>
      <c r="B95" s="31"/>
      <c r="C95" s="19"/>
      <c r="D95" s="19"/>
      <c r="E95" s="19"/>
      <c r="F95" s="20"/>
      <c r="G95" s="19"/>
      <c r="H95" s="19"/>
      <c r="I95" s="20"/>
      <c r="J95" s="19"/>
      <c r="K95" s="19"/>
    </row>
    <row r="96" spans="1:11" ht="14.25">
      <c r="A96" s="19"/>
      <c r="B96" s="31"/>
      <c r="C96" s="19"/>
      <c r="D96" s="19"/>
      <c r="E96" s="19"/>
      <c r="F96" s="20"/>
      <c r="G96" s="19"/>
      <c r="H96" s="19"/>
      <c r="I96" s="20"/>
      <c r="J96" s="19"/>
      <c r="K96" s="19"/>
    </row>
    <row r="97" spans="1:11" ht="14.25">
      <c r="A97" s="19"/>
      <c r="B97" s="31"/>
      <c r="C97" s="19"/>
      <c r="D97" s="19"/>
      <c r="E97" s="19"/>
      <c r="F97" s="20"/>
      <c r="G97" s="19"/>
      <c r="H97" s="19"/>
      <c r="I97" s="20"/>
      <c r="J97" s="19"/>
      <c r="K97" s="19"/>
    </row>
    <row r="98" spans="1:11" ht="14.25">
      <c r="A98" s="19"/>
      <c r="B98" s="31"/>
      <c r="C98" s="19"/>
      <c r="D98" s="19"/>
      <c r="E98" s="19"/>
      <c r="F98" s="20"/>
      <c r="G98" s="19"/>
      <c r="H98" s="19"/>
      <c r="I98" s="20"/>
      <c r="J98" s="19"/>
      <c r="K98" s="19"/>
    </row>
    <row r="99" spans="1:11" ht="14.25">
      <c r="A99" s="19"/>
      <c r="B99" s="31"/>
      <c r="C99" s="19"/>
      <c r="D99" s="19"/>
      <c r="E99" s="19"/>
      <c r="F99" s="20"/>
      <c r="G99" s="19"/>
      <c r="H99" s="19"/>
      <c r="I99" s="20"/>
      <c r="J99" s="19"/>
      <c r="K99" s="19"/>
    </row>
    <row r="100" spans="1:11" ht="14.25">
      <c r="A100" s="19"/>
      <c r="B100" s="31"/>
      <c r="C100" s="19"/>
      <c r="D100" s="19"/>
      <c r="E100" s="19"/>
      <c r="F100" s="20"/>
      <c r="G100" s="19"/>
      <c r="H100" s="19"/>
      <c r="I100" s="20"/>
      <c r="J100" s="19"/>
      <c r="K100" s="19"/>
    </row>
    <row r="101" spans="1:11" ht="14.25">
      <c r="A101" s="19"/>
      <c r="B101" s="31"/>
      <c r="C101" s="19"/>
      <c r="D101" s="19"/>
      <c r="E101" s="19"/>
      <c r="F101" s="20"/>
      <c r="G101" s="19"/>
      <c r="H101" s="19"/>
      <c r="I101" s="20"/>
      <c r="J101" s="19"/>
      <c r="K101" s="19"/>
    </row>
    <row r="102" spans="1:11" ht="14.25">
      <c r="A102" s="19"/>
      <c r="B102" s="31"/>
      <c r="C102" s="19"/>
      <c r="D102" s="19"/>
      <c r="E102" s="19"/>
      <c r="F102" s="20"/>
      <c r="G102" s="19"/>
      <c r="H102" s="19"/>
      <c r="I102" s="20"/>
      <c r="J102" s="19"/>
      <c r="K102" s="19"/>
    </row>
    <row r="103" spans="1:11" ht="14.25">
      <c r="A103" s="19"/>
      <c r="B103" s="31"/>
      <c r="C103" s="19"/>
      <c r="D103" s="19"/>
      <c r="E103" s="19"/>
      <c r="F103" s="20"/>
      <c r="G103" s="19"/>
      <c r="H103" s="19"/>
      <c r="I103" s="20"/>
      <c r="J103" s="19"/>
      <c r="K103" s="19"/>
    </row>
    <row r="104" spans="1:11" ht="14.25">
      <c r="A104" s="19"/>
      <c r="B104" s="31"/>
      <c r="C104" s="19"/>
      <c r="D104" s="19"/>
      <c r="E104" s="19"/>
      <c r="F104" s="20"/>
      <c r="G104" s="19"/>
      <c r="H104" s="19"/>
      <c r="I104" s="20"/>
      <c r="J104" s="19"/>
      <c r="K104" s="19"/>
    </row>
    <row r="105" spans="1:11" ht="14.25">
      <c r="A105" s="19"/>
      <c r="B105" s="31"/>
      <c r="C105" s="19"/>
      <c r="D105" s="19"/>
      <c r="E105" s="19"/>
      <c r="F105" s="20"/>
      <c r="G105" s="19"/>
      <c r="H105" s="19"/>
      <c r="I105" s="20"/>
      <c r="J105" s="19"/>
      <c r="K105" s="19"/>
    </row>
    <row r="106" spans="1:11" ht="14.25">
      <c r="A106" s="19"/>
      <c r="B106" s="31"/>
      <c r="C106" s="19"/>
      <c r="D106" s="19"/>
      <c r="E106" s="19"/>
      <c r="F106" s="20"/>
      <c r="G106" s="19"/>
      <c r="H106" s="19"/>
      <c r="I106" s="20"/>
      <c r="J106" s="19"/>
      <c r="K106" s="19"/>
    </row>
    <row r="107" spans="1:11" ht="14.25">
      <c r="A107" s="19"/>
      <c r="B107" s="31"/>
      <c r="C107" s="19"/>
      <c r="D107" s="19"/>
      <c r="E107" s="19"/>
      <c r="F107" s="20"/>
      <c r="G107" s="19"/>
      <c r="H107" s="19"/>
      <c r="I107" s="20"/>
      <c r="J107" s="19"/>
      <c r="K107" s="19"/>
    </row>
    <row r="108" spans="1:11" ht="14.25">
      <c r="A108" s="19"/>
      <c r="B108" s="31"/>
      <c r="C108" s="19"/>
      <c r="D108" s="19"/>
      <c r="E108" s="19"/>
      <c r="F108" s="20"/>
      <c r="G108" s="19"/>
      <c r="H108" s="19"/>
      <c r="I108" s="20"/>
      <c r="J108" s="19"/>
      <c r="K108" s="19"/>
    </row>
    <row r="109" spans="1:11" ht="14.25">
      <c r="A109" s="19"/>
      <c r="B109" s="31"/>
      <c r="C109" s="19"/>
      <c r="D109" s="19"/>
      <c r="E109" s="19"/>
      <c r="F109" s="20"/>
      <c r="G109" s="19"/>
      <c r="H109" s="19"/>
      <c r="I109" s="20"/>
      <c r="J109" s="19"/>
      <c r="K109" s="19"/>
    </row>
    <row r="110" spans="1:11" ht="14.25">
      <c r="A110" s="19"/>
      <c r="B110" s="31"/>
      <c r="C110" s="19"/>
      <c r="D110" s="19"/>
      <c r="E110" s="19"/>
      <c r="F110" s="20"/>
      <c r="G110" s="19"/>
      <c r="H110" s="19"/>
      <c r="I110" s="20"/>
      <c r="J110" s="19"/>
      <c r="K110" s="19"/>
    </row>
    <row r="111" spans="1:11" ht="14.25">
      <c r="A111" s="19"/>
      <c r="B111" s="31"/>
      <c r="C111" s="19"/>
      <c r="D111" s="19"/>
      <c r="E111" s="19"/>
      <c r="F111" s="20"/>
      <c r="G111" s="19"/>
      <c r="H111" s="19"/>
      <c r="I111" s="20"/>
      <c r="J111" s="19"/>
      <c r="K111" s="19"/>
    </row>
    <row r="112" spans="1:11" ht="14.25">
      <c r="A112" s="19"/>
      <c r="B112" s="31"/>
      <c r="C112" s="19"/>
      <c r="D112" s="19"/>
      <c r="E112" s="19"/>
      <c r="F112" s="20"/>
      <c r="G112" s="19"/>
      <c r="H112" s="19"/>
      <c r="I112" s="20"/>
      <c r="J112" s="19"/>
      <c r="K112" s="19"/>
    </row>
    <row r="113" spans="1:11" ht="14.25">
      <c r="A113" s="19"/>
      <c r="B113" s="31"/>
      <c r="C113" s="19"/>
      <c r="D113" s="19"/>
      <c r="E113" s="19"/>
      <c r="F113" s="20"/>
      <c r="G113" s="19"/>
      <c r="H113" s="19"/>
      <c r="I113" s="20"/>
      <c r="J113" s="19"/>
      <c r="K113" s="19"/>
    </row>
    <row r="114" spans="1:11" ht="14.25">
      <c r="A114" s="19"/>
      <c r="B114" s="31"/>
      <c r="C114" s="19"/>
      <c r="D114" s="19"/>
      <c r="E114" s="19"/>
      <c r="F114" s="20"/>
      <c r="G114" s="19"/>
      <c r="H114" s="19"/>
      <c r="I114" s="20"/>
      <c r="J114" s="19"/>
      <c r="K114" s="19"/>
    </row>
    <row r="115" spans="1:11" ht="14.25">
      <c r="A115" s="19"/>
      <c r="B115" s="31"/>
      <c r="C115" s="19"/>
      <c r="D115" s="19"/>
      <c r="E115" s="19"/>
      <c r="F115" s="20"/>
      <c r="G115" s="19"/>
      <c r="H115" s="19"/>
      <c r="I115" s="20"/>
      <c r="J115" s="19"/>
      <c r="K115" s="19"/>
    </row>
    <row r="116" spans="1:11" ht="14.25">
      <c r="A116" s="19"/>
      <c r="B116" s="31"/>
      <c r="C116" s="19"/>
      <c r="D116" s="19"/>
      <c r="E116" s="19"/>
      <c r="F116" s="20"/>
      <c r="G116" s="19"/>
      <c r="H116" s="19"/>
      <c r="I116" s="20"/>
      <c r="J116" s="19"/>
      <c r="K116" s="19"/>
    </row>
    <row r="117" spans="1:11" ht="14.25">
      <c r="A117" s="19"/>
      <c r="B117" s="31"/>
      <c r="C117" s="19"/>
      <c r="D117" s="19"/>
      <c r="E117" s="19"/>
      <c r="F117" s="20"/>
      <c r="G117" s="19"/>
      <c r="H117" s="19"/>
      <c r="I117" s="20"/>
      <c r="J117" s="19"/>
      <c r="K117" s="19"/>
    </row>
    <row r="118" spans="1:11" ht="14.25">
      <c r="A118" s="19"/>
      <c r="B118" s="31"/>
      <c r="C118" s="19"/>
      <c r="D118" s="19"/>
      <c r="E118" s="19"/>
      <c r="F118" s="20"/>
      <c r="G118" s="19"/>
      <c r="H118" s="19"/>
      <c r="I118" s="20"/>
      <c r="J118" s="19"/>
      <c r="K118" s="19"/>
    </row>
    <row r="119" spans="1:11" ht="14.25">
      <c r="A119" s="19"/>
      <c r="B119" s="31"/>
      <c r="C119" s="19"/>
      <c r="D119" s="19"/>
      <c r="E119" s="19"/>
      <c r="F119" s="20"/>
      <c r="G119" s="19"/>
      <c r="H119" s="19"/>
      <c r="I119" s="20"/>
      <c r="J119" s="19"/>
      <c r="K119" s="19"/>
    </row>
    <row r="120" spans="1:11" ht="14.25">
      <c r="A120" s="19"/>
      <c r="B120" s="31"/>
      <c r="C120" s="19"/>
      <c r="D120" s="19"/>
      <c r="E120" s="19"/>
      <c r="F120" s="20"/>
      <c r="G120" s="19"/>
      <c r="H120" s="19"/>
      <c r="I120" s="20"/>
      <c r="J120" s="19"/>
      <c r="K120" s="19"/>
    </row>
    <row r="121" spans="1:11" ht="14.25">
      <c r="A121" s="19"/>
      <c r="B121" s="31"/>
      <c r="C121" s="19"/>
      <c r="D121" s="19"/>
      <c r="E121" s="19"/>
      <c r="F121" s="20"/>
      <c r="G121" s="19"/>
      <c r="H121" s="19"/>
      <c r="I121" s="20"/>
      <c r="J121" s="19"/>
      <c r="K121" s="19"/>
    </row>
    <row r="122" spans="1:11" ht="14.25">
      <c r="A122" s="19"/>
      <c r="B122" s="31"/>
      <c r="C122" s="19"/>
      <c r="D122" s="19"/>
      <c r="E122" s="19"/>
      <c r="F122" s="20"/>
      <c r="G122" s="19"/>
      <c r="H122" s="19"/>
      <c r="I122" s="20"/>
      <c r="J122" s="19"/>
      <c r="K122" s="19"/>
    </row>
    <row r="123" spans="1:11" ht="14.25">
      <c r="A123" s="19"/>
      <c r="B123" s="31"/>
      <c r="C123" s="19"/>
      <c r="D123" s="19"/>
      <c r="E123" s="19"/>
      <c r="F123" s="20"/>
      <c r="G123" s="19"/>
      <c r="H123" s="19"/>
      <c r="I123" s="20"/>
      <c r="J123" s="19"/>
      <c r="K123" s="19"/>
    </row>
    <row r="124" spans="1:11" ht="14.25">
      <c r="A124" s="19"/>
      <c r="B124" s="31"/>
      <c r="C124" s="19"/>
      <c r="D124" s="19"/>
      <c r="E124" s="19"/>
      <c r="F124" s="20"/>
      <c r="G124" s="19"/>
      <c r="H124" s="19"/>
      <c r="I124" s="20"/>
      <c r="J124" s="19"/>
      <c r="K124" s="19"/>
    </row>
    <row r="125" spans="1:11" ht="14.25">
      <c r="A125" s="19"/>
      <c r="B125" s="31"/>
      <c r="C125" s="19"/>
      <c r="D125" s="19"/>
      <c r="E125" s="19"/>
      <c r="F125" s="20"/>
      <c r="G125" s="19"/>
      <c r="H125" s="19"/>
      <c r="I125" s="20"/>
      <c r="J125" s="19"/>
      <c r="K125" s="19"/>
    </row>
    <row r="126" spans="1:11" ht="14.25">
      <c r="A126" s="19"/>
      <c r="B126" s="31"/>
      <c r="C126" s="19"/>
      <c r="D126" s="19"/>
      <c r="E126" s="19"/>
      <c r="F126" s="20"/>
      <c r="G126" s="19"/>
      <c r="H126" s="19"/>
      <c r="I126" s="20"/>
      <c r="J126" s="19"/>
      <c r="K126" s="19"/>
    </row>
    <row r="127" spans="1:11" ht="14.25">
      <c r="A127" s="19"/>
      <c r="B127" s="31"/>
      <c r="C127" s="19"/>
      <c r="D127" s="19"/>
      <c r="E127" s="19"/>
      <c r="F127" s="20"/>
      <c r="G127" s="19"/>
      <c r="H127" s="19"/>
      <c r="I127" s="20"/>
      <c r="J127" s="19"/>
      <c r="K127" s="19"/>
    </row>
    <row r="128" spans="1:11" ht="14.25">
      <c r="A128" s="19"/>
      <c r="B128" s="31"/>
      <c r="C128" s="19"/>
      <c r="D128" s="19"/>
      <c r="E128" s="19"/>
      <c r="F128" s="20"/>
      <c r="G128" s="19"/>
      <c r="H128" s="19"/>
      <c r="I128" s="20"/>
      <c r="J128" s="19"/>
      <c r="K128" s="19"/>
    </row>
    <row r="129" spans="1:11" ht="14.25">
      <c r="A129" s="19"/>
      <c r="B129" s="31"/>
      <c r="C129" s="19"/>
      <c r="D129" s="19"/>
      <c r="E129" s="19"/>
      <c r="F129" s="20"/>
      <c r="G129" s="19"/>
      <c r="H129" s="19"/>
      <c r="I129" s="20"/>
      <c r="J129" s="19"/>
      <c r="K129" s="19"/>
    </row>
    <row r="130" spans="1:11" ht="14.25">
      <c r="A130" s="19"/>
      <c r="B130" s="31"/>
      <c r="C130" s="19"/>
      <c r="D130" s="19"/>
      <c r="E130" s="19"/>
      <c r="F130" s="20"/>
      <c r="G130" s="19"/>
      <c r="H130" s="19"/>
      <c r="I130" s="20"/>
      <c r="J130" s="19"/>
      <c r="K130" s="19"/>
    </row>
    <row r="131" spans="1:11" ht="14.25">
      <c r="A131" s="19"/>
      <c r="B131" s="31"/>
      <c r="C131" s="19"/>
      <c r="D131" s="19"/>
      <c r="E131" s="19"/>
      <c r="F131" s="20"/>
      <c r="G131" s="19"/>
      <c r="H131" s="19"/>
      <c r="I131" s="20"/>
      <c r="J131" s="19"/>
      <c r="K131" s="19"/>
    </row>
    <row r="132" spans="1:11" ht="14.25">
      <c r="A132" s="19"/>
      <c r="B132" s="31"/>
      <c r="C132" s="19"/>
      <c r="D132" s="19"/>
      <c r="E132" s="19"/>
      <c r="F132" s="20"/>
      <c r="G132" s="19"/>
      <c r="H132" s="19"/>
      <c r="I132" s="20"/>
      <c r="J132" s="19"/>
      <c r="K132" s="19"/>
    </row>
    <row r="133" spans="1:11" ht="14.25">
      <c r="A133" s="19"/>
      <c r="B133" s="31"/>
      <c r="C133" s="19"/>
      <c r="D133" s="19"/>
      <c r="E133" s="19"/>
      <c r="F133" s="20"/>
      <c r="G133" s="19"/>
      <c r="H133" s="19"/>
      <c r="I133" s="20"/>
      <c r="J133" s="19"/>
      <c r="K133" s="19"/>
    </row>
    <row r="134" spans="1:11" ht="14.25">
      <c r="A134" s="19"/>
      <c r="B134" s="31"/>
      <c r="C134" s="19"/>
      <c r="D134" s="19"/>
      <c r="E134" s="19"/>
      <c r="F134" s="20"/>
      <c r="G134" s="19"/>
      <c r="H134" s="19"/>
      <c r="I134" s="20"/>
      <c r="J134" s="19"/>
      <c r="K134" s="19"/>
    </row>
    <row r="135" spans="1:11" ht="14.25">
      <c r="A135" s="19"/>
      <c r="B135" s="31"/>
      <c r="C135" s="19"/>
      <c r="D135" s="19"/>
      <c r="E135" s="19"/>
      <c r="F135" s="20"/>
      <c r="G135" s="19"/>
      <c r="H135" s="19"/>
      <c r="I135" s="20"/>
      <c r="J135" s="19"/>
      <c r="K135" s="19"/>
    </row>
    <row r="136" spans="1:11" ht="14.25">
      <c r="A136" s="19"/>
      <c r="B136" s="31"/>
      <c r="C136" s="19"/>
      <c r="D136" s="19"/>
      <c r="E136" s="19"/>
      <c r="F136" s="20"/>
      <c r="G136" s="19"/>
      <c r="H136" s="19"/>
      <c r="I136" s="20"/>
      <c r="J136" s="19"/>
      <c r="K136" s="19"/>
    </row>
    <row r="137" spans="1:11" ht="14.25">
      <c r="A137" s="19"/>
      <c r="B137" s="31"/>
      <c r="C137" s="19"/>
      <c r="D137" s="19"/>
      <c r="E137" s="19"/>
      <c r="F137" s="20"/>
      <c r="G137" s="19"/>
      <c r="H137" s="19"/>
      <c r="I137" s="20"/>
      <c r="J137" s="19"/>
      <c r="K137" s="19"/>
    </row>
    <row r="138" spans="1:11" ht="14.25">
      <c r="A138" s="19"/>
      <c r="B138" s="31"/>
      <c r="C138" s="19"/>
      <c r="D138" s="19"/>
      <c r="E138" s="19"/>
      <c r="F138" s="20"/>
      <c r="G138" s="19"/>
      <c r="H138" s="19"/>
      <c r="I138" s="20"/>
      <c r="J138" s="19"/>
      <c r="K138" s="19"/>
    </row>
    <row r="139" spans="1:11" ht="14.25">
      <c r="A139" s="19"/>
      <c r="B139" s="31"/>
      <c r="C139" s="19"/>
      <c r="D139" s="19"/>
      <c r="E139" s="19"/>
      <c r="F139" s="20"/>
      <c r="G139" s="19"/>
      <c r="H139" s="19"/>
      <c r="I139" s="20"/>
      <c r="J139" s="19"/>
      <c r="K139" s="19"/>
    </row>
    <row r="140" spans="1:11" ht="14.25">
      <c r="A140" s="19"/>
      <c r="B140" s="31"/>
      <c r="C140" s="19"/>
      <c r="D140" s="19"/>
      <c r="E140" s="19"/>
      <c r="F140" s="20"/>
      <c r="G140" s="19"/>
      <c r="H140" s="19"/>
      <c r="I140" s="20"/>
      <c r="J140" s="19"/>
      <c r="K140" s="19"/>
    </row>
    <row r="141" spans="1:11" ht="14.25">
      <c r="A141" s="19"/>
      <c r="B141" s="31"/>
      <c r="C141" s="19"/>
      <c r="D141" s="19"/>
      <c r="E141" s="19"/>
      <c r="F141" s="20"/>
      <c r="G141" s="19"/>
      <c r="H141" s="19"/>
      <c r="I141" s="20"/>
      <c r="J141" s="19"/>
      <c r="K141" s="19"/>
    </row>
    <row r="142" spans="1:11" ht="14.25">
      <c r="A142" s="19"/>
      <c r="B142" s="31"/>
      <c r="C142" s="19"/>
      <c r="D142" s="19"/>
      <c r="E142" s="19"/>
      <c r="F142" s="20"/>
      <c r="G142" s="19"/>
      <c r="H142" s="19"/>
      <c r="I142" s="20"/>
      <c r="J142" s="19"/>
      <c r="K142" s="19"/>
    </row>
    <row r="143" spans="1:11" ht="14.25">
      <c r="A143" s="19"/>
      <c r="B143" s="31"/>
      <c r="C143" s="19"/>
      <c r="D143" s="19"/>
      <c r="E143" s="19"/>
      <c r="F143" s="20"/>
      <c r="G143" s="19"/>
      <c r="H143" s="19"/>
      <c r="I143" s="20"/>
      <c r="J143" s="19"/>
      <c r="K143" s="19"/>
    </row>
    <row r="144" spans="1:11" ht="14.25">
      <c r="A144" s="19"/>
      <c r="B144" s="31"/>
      <c r="C144" s="19"/>
      <c r="D144" s="19"/>
      <c r="E144" s="19"/>
      <c r="F144" s="20"/>
      <c r="G144" s="19"/>
      <c r="H144" s="19"/>
      <c r="I144" s="20"/>
      <c r="J144" s="19"/>
      <c r="K144" s="19"/>
    </row>
    <row r="145" spans="1:11" ht="14.25">
      <c r="A145" s="19"/>
      <c r="B145" s="31"/>
      <c r="C145" s="19"/>
      <c r="D145" s="19"/>
      <c r="E145" s="19"/>
      <c r="F145" s="20"/>
      <c r="G145" s="19"/>
      <c r="H145" s="19"/>
      <c r="I145" s="20"/>
      <c r="J145" s="19"/>
      <c r="K145" s="19"/>
    </row>
    <row r="146" spans="1:11" ht="14.25">
      <c r="A146" s="19"/>
      <c r="B146" s="31"/>
      <c r="C146" s="19"/>
      <c r="D146" s="19"/>
      <c r="E146" s="19"/>
      <c r="F146" s="20"/>
      <c r="G146" s="19"/>
      <c r="H146" s="19"/>
      <c r="I146" s="20"/>
      <c r="J146" s="19"/>
      <c r="K146" s="19"/>
    </row>
    <row r="147" spans="1:11" ht="14.25">
      <c r="A147" s="19"/>
      <c r="B147" s="31"/>
      <c r="C147" s="19"/>
      <c r="D147" s="19"/>
      <c r="E147" s="19"/>
      <c r="F147" s="20"/>
      <c r="G147" s="19"/>
      <c r="H147" s="19"/>
      <c r="I147" s="20"/>
      <c r="J147" s="19"/>
      <c r="K147" s="19"/>
    </row>
    <row r="148" spans="1:11" ht="14.25">
      <c r="A148" s="19"/>
      <c r="B148" s="31"/>
      <c r="C148" s="19"/>
      <c r="D148" s="19"/>
      <c r="E148" s="19"/>
      <c r="F148" s="20"/>
      <c r="G148" s="19"/>
      <c r="H148" s="19"/>
      <c r="I148" s="20"/>
      <c r="J148" s="19"/>
      <c r="K148" s="19"/>
    </row>
    <row r="149" spans="1:11" ht="14.25">
      <c r="A149" s="19"/>
      <c r="B149" s="31"/>
      <c r="C149" s="19"/>
      <c r="D149" s="19"/>
      <c r="E149" s="19"/>
      <c r="F149" s="20"/>
      <c r="G149" s="19"/>
      <c r="H149" s="19"/>
      <c r="I149" s="20"/>
      <c r="J149" s="19"/>
      <c r="K149" s="19"/>
    </row>
    <row r="150" spans="1:11" ht="14.25">
      <c r="A150" s="19"/>
      <c r="B150" s="31"/>
      <c r="C150" s="19"/>
      <c r="D150" s="19"/>
      <c r="E150" s="19"/>
      <c r="F150" s="20"/>
      <c r="G150" s="19"/>
      <c r="H150" s="19"/>
      <c r="I150" s="20"/>
      <c r="J150" s="19"/>
      <c r="K150" s="19"/>
    </row>
    <row r="151" spans="1:11" ht="14.25">
      <c r="A151" s="19"/>
      <c r="B151" s="31"/>
      <c r="C151" s="19"/>
      <c r="D151" s="19"/>
      <c r="E151" s="19"/>
      <c r="F151" s="20"/>
      <c r="G151" s="19"/>
      <c r="H151" s="19"/>
      <c r="I151" s="20"/>
      <c r="J151" s="19"/>
      <c r="K151" s="19"/>
    </row>
    <row r="152" spans="1:11" ht="14.25">
      <c r="A152" s="19"/>
      <c r="B152" s="31"/>
      <c r="C152" s="19"/>
      <c r="D152" s="19"/>
      <c r="E152" s="19"/>
      <c r="F152" s="20"/>
      <c r="G152" s="19"/>
      <c r="H152" s="19"/>
      <c r="I152" s="20"/>
      <c r="J152" s="19"/>
      <c r="K152" s="19"/>
    </row>
    <row r="153" spans="1:11" ht="14.25">
      <c r="A153" s="19"/>
      <c r="B153" s="31"/>
      <c r="C153" s="19"/>
      <c r="D153" s="19"/>
      <c r="E153" s="19"/>
      <c r="F153" s="20"/>
      <c r="G153" s="19"/>
      <c r="H153" s="19"/>
      <c r="I153" s="20"/>
      <c r="J153" s="19"/>
      <c r="K153" s="19"/>
    </row>
    <row r="154" spans="1:11" ht="14.25">
      <c r="A154" s="19"/>
      <c r="B154" s="31"/>
      <c r="C154" s="19"/>
      <c r="D154" s="19"/>
      <c r="E154" s="19"/>
      <c r="F154" s="20"/>
      <c r="G154" s="19"/>
      <c r="H154" s="19"/>
      <c r="I154" s="20"/>
      <c r="J154" s="19"/>
      <c r="K154" s="19"/>
    </row>
    <row r="155" spans="1:11" ht="14.25">
      <c r="A155" s="19"/>
      <c r="B155" s="31"/>
      <c r="C155" s="19"/>
      <c r="D155" s="19"/>
      <c r="E155" s="19"/>
      <c r="F155" s="20"/>
      <c r="G155" s="19"/>
      <c r="H155" s="19"/>
      <c r="I155" s="20"/>
      <c r="J155" s="19"/>
      <c r="K155" s="19"/>
    </row>
    <row r="156" spans="1:11" ht="14.25">
      <c r="A156" s="19"/>
      <c r="B156" s="31"/>
      <c r="C156" s="19"/>
      <c r="D156" s="19"/>
      <c r="E156" s="19"/>
      <c r="F156" s="20"/>
      <c r="G156" s="19"/>
      <c r="H156" s="19"/>
      <c r="I156" s="20"/>
      <c r="J156" s="19"/>
      <c r="K156" s="19"/>
    </row>
    <row r="157" spans="1:11" ht="14.25">
      <c r="A157" s="19"/>
      <c r="B157" s="31"/>
      <c r="C157" s="19"/>
      <c r="D157" s="19"/>
      <c r="E157" s="19"/>
      <c r="F157" s="20"/>
      <c r="G157" s="19"/>
      <c r="H157" s="19"/>
      <c r="I157" s="20"/>
      <c r="J157" s="19"/>
      <c r="K157" s="19"/>
    </row>
    <row r="158" spans="1:11" ht="14.25">
      <c r="A158" s="19"/>
      <c r="B158" s="31"/>
      <c r="C158" s="19"/>
      <c r="D158" s="19"/>
      <c r="E158" s="19"/>
      <c r="F158" s="20"/>
      <c r="G158" s="19"/>
      <c r="H158" s="19"/>
      <c r="I158" s="20"/>
      <c r="J158" s="19"/>
      <c r="K158" s="19"/>
    </row>
    <row r="159" spans="1:11" ht="14.25">
      <c r="A159" s="19"/>
      <c r="B159" s="31"/>
      <c r="C159" s="19"/>
      <c r="D159" s="19"/>
      <c r="E159" s="19"/>
      <c r="F159" s="20"/>
      <c r="G159" s="19"/>
      <c r="H159" s="19"/>
      <c r="I159" s="20"/>
      <c r="J159" s="19"/>
      <c r="K159" s="19"/>
    </row>
    <row r="160" spans="1:11" ht="14.25">
      <c r="A160" s="19"/>
      <c r="B160" s="31"/>
      <c r="C160" s="19"/>
      <c r="D160" s="19"/>
      <c r="E160" s="19"/>
      <c r="F160" s="20"/>
      <c r="G160" s="19"/>
      <c r="H160" s="19"/>
      <c r="I160" s="20"/>
      <c r="J160" s="19"/>
      <c r="K160" s="19"/>
    </row>
    <row r="161" spans="1:11" ht="14.25">
      <c r="A161" s="19"/>
      <c r="B161" s="31"/>
      <c r="C161" s="19"/>
      <c r="D161" s="19"/>
      <c r="E161" s="19"/>
      <c r="F161" s="20"/>
      <c r="G161" s="19"/>
      <c r="H161" s="19"/>
      <c r="I161" s="20"/>
      <c r="J161" s="19"/>
      <c r="K161" s="19"/>
    </row>
    <row r="162" spans="1:11" ht="14.25">
      <c r="A162" s="19"/>
      <c r="B162" s="31"/>
      <c r="C162" s="19"/>
      <c r="D162" s="19"/>
      <c r="E162" s="19"/>
      <c r="F162" s="20"/>
      <c r="G162" s="19"/>
      <c r="H162" s="19"/>
      <c r="I162" s="20"/>
      <c r="J162" s="19"/>
      <c r="K162" s="19"/>
    </row>
    <row r="163" spans="1:11" ht="14.25">
      <c r="A163" s="19"/>
      <c r="B163" s="31"/>
      <c r="C163" s="19"/>
      <c r="D163" s="19"/>
      <c r="E163" s="19"/>
      <c r="F163" s="20"/>
      <c r="G163" s="19"/>
      <c r="H163" s="19"/>
      <c r="I163" s="20"/>
      <c r="J163" s="19"/>
      <c r="K163" s="19"/>
    </row>
    <row r="164" spans="1:11" ht="14.25">
      <c r="A164" s="19"/>
      <c r="B164" s="31"/>
      <c r="C164" s="19"/>
      <c r="D164" s="19"/>
      <c r="E164" s="19"/>
      <c r="F164" s="20"/>
      <c r="G164" s="19"/>
      <c r="H164" s="19"/>
      <c r="I164" s="20"/>
      <c r="J164" s="19"/>
      <c r="K164" s="19"/>
    </row>
    <row r="165" spans="1:11" ht="14.25">
      <c r="A165" s="19"/>
      <c r="B165" s="31"/>
      <c r="C165" s="19"/>
      <c r="D165" s="19"/>
      <c r="E165" s="19"/>
      <c r="F165" s="20"/>
      <c r="G165" s="19"/>
      <c r="H165" s="19"/>
      <c r="I165" s="20"/>
      <c r="J165" s="19"/>
      <c r="K165" s="19"/>
    </row>
    <row r="166" spans="1:11" ht="14.25">
      <c r="A166" s="19"/>
      <c r="B166" s="31"/>
      <c r="C166" s="19"/>
      <c r="D166" s="19"/>
      <c r="E166" s="19"/>
      <c r="F166" s="20"/>
      <c r="G166" s="19"/>
      <c r="H166" s="19"/>
      <c r="I166" s="20"/>
      <c r="J166" s="19"/>
      <c r="K166" s="19"/>
    </row>
    <row r="167" spans="1:11" ht="14.25">
      <c r="A167" s="19"/>
      <c r="B167" s="31"/>
      <c r="C167" s="19"/>
      <c r="D167" s="19"/>
      <c r="E167" s="19"/>
      <c r="F167" s="20"/>
      <c r="G167" s="19"/>
      <c r="H167" s="19"/>
      <c r="I167" s="20"/>
      <c r="J167" s="19"/>
      <c r="K167" s="19"/>
    </row>
    <row r="168" spans="1:11" ht="14.25">
      <c r="A168" s="19"/>
      <c r="B168" s="31"/>
      <c r="C168" s="19"/>
      <c r="D168" s="19"/>
      <c r="E168" s="19"/>
      <c r="F168" s="20"/>
      <c r="G168" s="19"/>
      <c r="H168" s="19"/>
      <c r="I168" s="20"/>
      <c r="J168" s="19"/>
      <c r="K168" s="19"/>
    </row>
    <row r="169" spans="1:11" ht="14.25">
      <c r="A169" s="19"/>
      <c r="B169" s="31"/>
      <c r="C169" s="19"/>
      <c r="D169" s="19"/>
      <c r="E169" s="19"/>
      <c r="F169" s="20"/>
      <c r="G169" s="19"/>
      <c r="H169" s="19"/>
      <c r="I169" s="20"/>
      <c r="J169" s="19"/>
      <c r="K169" s="19"/>
    </row>
    <row r="170" spans="1:11" ht="14.25">
      <c r="A170" s="19"/>
      <c r="B170" s="31"/>
      <c r="C170" s="19"/>
      <c r="D170" s="19"/>
      <c r="E170" s="19"/>
      <c r="F170" s="20"/>
      <c r="G170" s="19"/>
      <c r="H170" s="19"/>
      <c r="I170" s="20"/>
      <c r="J170" s="19"/>
      <c r="K170" s="19"/>
    </row>
    <row r="171" spans="1:11" ht="14.25">
      <c r="A171" s="19"/>
      <c r="B171" s="31"/>
      <c r="C171" s="19"/>
      <c r="D171" s="19"/>
      <c r="E171" s="19"/>
      <c r="F171" s="20"/>
      <c r="G171" s="19"/>
      <c r="H171" s="19"/>
      <c r="I171" s="20"/>
      <c r="J171" s="19"/>
      <c r="K171" s="19"/>
    </row>
    <row r="172" spans="1:11" ht="14.25">
      <c r="A172" s="19"/>
      <c r="B172" s="31"/>
      <c r="C172" s="19"/>
      <c r="D172" s="19"/>
      <c r="E172" s="19"/>
      <c r="F172" s="20"/>
      <c r="G172" s="19"/>
      <c r="H172" s="19"/>
      <c r="I172" s="20"/>
      <c r="J172" s="19"/>
      <c r="K172" s="19"/>
    </row>
    <row r="173" spans="1:11" ht="14.25">
      <c r="A173" s="19"/>
      <c r="B173" s="31"/>
      <c r="C173" s="19"/>
      <c r="D173" s="19"/>
      <c r="E173" s="19"/>
      <c r="F173" s="20"/>
      <c r="G173" s="19"/>
      <c r="H173" s="19"/>
      <c r="I173" s="20"/>
      <c r="J173" s="19"/>
      <c r="K173" s="19"/>
    </row>
    <row r="174" spans="1:11" ht="14.25">
      <c r="A174" s="19"/>
      <c r="B174" s="31"/>
      <c r="C174" s="19"/>
      <c r="D174" s="19"/>
      <c r="E174" s="19"/>
      <c r="F174" s="20"/>
      <c r="G174" s="19"/>
      <c r="H174" s="19"/>
      <c r="I174" s="20"/>
      <c r="J174" s="19"/>
      <c r="K174" s="19"/>
    </row>
    <row r="175" spans="1:11" ht="14.25">
      <c r="A175" s="19"/>
      <c r="B175" s="31"/>
      <c r="C175" s="19"/>
      <c r="D175" s="19"/>
      <c r="E175" s="19"/>
      <c r="F175" s="20"/>
      <c r="G175" s="19"/>
      <c r="H175" s="19"/>
      <c r="I175" s="20"/>
      <c r="J175" s="19"/>
      <c r="K175" s="19"/>
    </row>
    <row r="176" spans="1:11" ht="14.25">
      <c r="A176" s="19"/>
      <c r="B176" s="31"/>
      <c r="C176" s="19"/>
      <c r="D176" s="19"/>
      <c r="E176" s="19"/>
      <c r="F176" s="20"/>
      <c r="G176" s="19"/>
      <c r="H176" s="19"/>
      <c r="I176" s="20"/>
      <c r="J176" s="19"/>
      <c r="K176" s="19"/>
    </row>
    <row r="177" spans="1:11" ht="14.25">
      <c r="A177" s="19"/>
      <c r="B177" s="31"/>
      <c r="C177" s="19"/>
      <c r="D177" s="19"/>
      <c r="E177" s="19"/>
      <c r="F177" s="20"/>
      <c r="G177" s="19"/>
      <c r="H177" s="19"/>
      <c r="I177" s="20"/>
      <c r="J177" s="19"/>
      <c r="K177" s="19"/>
    </row>
    <row r="178" spans="1:11" ht="14.25">
      <c r="A178" s="19"/>
      <c r="B178" s="31"/>
      <c r="C178" s="19"/>
      <c r="D178" s="19"/>
      <c r="E178" s="19"/>
      <c r="F178" s="20"/>
      <c r="G178" s="19"/>
      <c r="H178" s="19"/>
      <c r="I178" s="20"/>
      <c r="J178" s="19"/>
      <c r="K178" s="19"/>
    </row>
    <row r="179" spans="1:11" ht="14.25">
      <c r="A179" s="19"/>
      <c r="B179" s="31"/>
      <c r="C179" s="19"/>
      <c r="D179" s="19"/>
      <c r="E179" s="19"/>
      <c r="F179" s="20"/>
      <c r="G179" s="19"/>
      <c r="H179" s="19"/>
      <c r="I179" s="20"/>
      <c r="J179" s="19"/>
      <c r="K179" s="19"/>
    </row>
    <row r="180" spans="1:11" ht="14.25">
      <c r="A180" s="19"/>
      <c r="B180" s="31"/>
      <c r="C180" s="19"/>
      <c r="D180" s="19"/>
      <c r="E180" s="19"/>
      <c r="F180" s="20"/>
      <c r="G180" s="19"/>
      <c r="H180" s="19"/>
      <c r="I180" s="20"/>
      <c r="J180" s="19"/>
      <c r="K180" s="19"/>
    </row>
    <row r="181" spans="1:11" ht="14.25">
      <c r="A181" s="19"/>
      <c r="B181" s="31"/>
      <c r="C181" s="19"/>
      <c r="D181" s="19"/>
      <c r="E181" s="19"/>
      <c r="F181" s="20"/>
      <c r="G181" s="19"/>
      <c r="H181" s="19"/>
      <c r="I181" s="20"/>
      <c r="J181" s="19"/>
      <c r="K181" s="19"/>
    </row>
    <row r="182" spans="1:11" ht="14.25">
      <c r="A182" s="19"/>
      <c r="B182" s="31"/>
      <c r="C182" s="19"/>
      <c r="D182" s="19"/>
      <c r="E182" s="19"/>
      <c r="F182" s="20"/>
      <c r="G182" s="19"/>
      <c r="H182" s="19"/>
      <c r="I182" s="20"/>
      <c r="J182" s="19"/>
      <c r="K182" s="19"/>
    </row>
    <row r="183" spans="1:11" ht="14.25">
      <c r="A183" s="19"/>
      <c r="B183" s="31"/>
      <c r="C183" s="19"/>
      <c r="D183" s="19"/>
      <c r="E183" s="19"/>
      <c r="F183" s="20"/>
      <c r="G183" s="19"/>
      <c r="H183" s="19"/>
      <c r="I183" s="20"/>
      <c r="J183" s="19"/>
      <c r="K183" s="19"/>
    </row>
    <row r="184" spans="1:11" ht="14.25">
      <c r="A184" s="19"/>
      <c r="B184" s="31"/>
      <c r="C184" s="19"/>
      <c r="D184" s="19"/>
      <c r="E184" s="19"/>
      <c r="F184" s="20"/>
      <c r="G184" s="19"/>
      <c r="H184" s="19"/>
      <c r="I184" s="20"/>
      <c r="J184" s="19"/>
      <c r="K184" s="19"/>
    </row>
    <row r="185" spans="1:11" ht="14.25">
      <c r="A185" s="19"/>
      <c r="B185" s="31"/>
      <c r="C185" s="19"/>
      <c r="D185" s="19"/>
      <c r="E185" s="19"/>
      <c r="F185" s="20"/>
      <c r="G185" s="19"/>
      <c r="H185" s="19"/>
      <c r="I185" s="20"/>
      <c r="J185" s="19"/>
      <c r="K185" s="19"/>
    </row>
    <row r="186" spans="1:11" ht="14.25">
      <c r="A186" s="19"/>
      <c r="B186" s="31"/>
      <c r="C186" s="19"/>
      <c r="D186" s="19"/>
      <c r="E186" s="19"/>
      <c r="F186" s="20"/>
      <c r="G186" s="19"/>
      <c r="H186" s="19"/>
      <c r="I186" s="20"/>
      <c r="J186" s="19"/>
      <c r="K186" s="19"/>
    </row>
    <row r="187" spans="1:11" ht="14.25">
      <c r="A187" s="19"/>
      <c r="B187" s="31"/>
      <c r="C187" s="19"/>
      <c r="D187" s="19"/>
      <c r="E187" s="19"/>
      <c r="F187" s="20"/>
      <c r="G187" s="19"/>
      <c r="H187" s="19"/>
      <c r="I187" s="20"/>
      <c r="J187" s="19"/>
      <c r="K187" s="19"/>
    </row>
    <row r="188" spans="1:11" ht="14.25">
      <c r="A188" s="19"/>
      <c r="B188" s="31"/>
      <c r="C188" s="19"/>
      <c r="D188" s="19"/>
      <c r="E188" s="19"/>
      <c r="F188" s="20"/>
      <c r="G188" s="19"/>
      <c r="H188" s="19"/>
      <c r="I188" s="20"/>
      <c r="J188" s="19"/>
      <c r="K188" s="19"/>
    </row>
    <row r="189" spans="1:11" ht="14.25">
      <c r="A189" s="19"/>
      <c r="B189" s="31"/>
      <c r="C189" s="19"/>
      <c r="D189" s="19"/>
      <c r="E189" s="19"/>
      <c r="F189" s="20"/>
      <c r="G189" s="19"/>
      <c r="H189" s="19"/>
      <c r="I189" s="20"/>
      <c r="J189" s="19"/>
      <c r="K189" s="19"/>
    </row>
    <row r="190" spans="1:11" ht="14.25">
      <c r="A190" s="19"/>
      <c r="B190" s="31"/>
      <c r="C190" s="19"/>
      <c r="D190" s="19"/>
      <c r="E190" s="19"/>
      <c r="F190" s="20"/>
      <c r="G190" s="19"/>
      <c r="H190" s="19"/>
      <c r="I190" s="20"/>
      <c r="J190" s="19"/>
      <c r="K190" s="19"/>
    </row>
    <row r="191" spans="1:11" ht="14.25">
      <c r="A191" s="19"/>
      <c r="B191" s="31"/>
      <c r="C191" s="19"/>
      <c r="D191" s="19"/>
      <c r="E191" s="19"/>
      <c r="F191" s="20"/>
      <c r="G191" s="19"/>
      <c r="H191" s="19"/>
      <c r="I191" s="20"/>
      <c r="J191" s="19"/>
      <c r="K191" s="19"/>
    </row>
    <row r="192" spans="1:11" ht="14.25">
      <c r="A192" s="19"/>
      <c r="B192" s="31"/>
      <c r="C192" s="19"/>
      <c r="D192" s="19"/>
      <c r="E192" s="19"/>
      <c r="F192" s="20"/>
      <c r="G192" s="19"/>
      <c r="H192" s="19"/>
      <c r="I192" s="20"/>
      <c r="J192" s="19"/>
      <c r="K192" s="19"/>
    </row>
    <row r="193" spans="1:11" ht="14.25">
      <c r="A193" s="19"/>
      <c r="B193" s="31"/>
      <c r="C193" s="19"/>
      <c r="D193" s="19"/>
      <c r="E193" s="19"/>
      <c r="F193" s="20"/>
      <c r="G193" s="19"/>
      <c r="H193" s="19"/>
      <c r="I193" s="20"/>
      <c r="J193" s="19"/>
      <c r="K193" s="19"/>
    </row>
    <row r="194" spans="1:11" ht="14.25">
      <c r="A194" s="19"/>
      <c r="B194" s="31"/>
      <c r="C194" s="19"/>
      <c r="D194" s="19"/>
      <c r="E194" s="19"/>
      <c r="F194" s="20"/>
      <c r="G194" s="19"/>
      <c r="H194" s="19"/>
      <c r="I194" s="20"/>
      <c r="J194" s="19"/>
      <c r="K194" s="19"/>
    </row>
    <row r="195" spans="1:11" ht="14.25">
      <c r="A195" s="19"/>
      <c r="B195" s="31"/>
      <c r="C195" s="19"/>
      <c r="D195" s="19"/>
      <c r="E195" s="19"/>
      <c r="F195" s="20"/>
      <c r="G195" s="19"/>
      <c r="H195" s="19"/>
      <c r="I195" s="20"/>
      <c r="J195" s="19"/>
      <c r="K195" s="19"/>
    </row>
    <row r="196" spans="1:11" ht="14.25">
      <c r="A196" s="19"/>
      <c r="B196" s="31"/>
      <c r="C196" s="19"/>
      <c r="D196" s="19"/>
      <c r="E196" s="19"/>
      <c r="F196" s="20"/>
      <c r="G196" s="19"/>
      <c r="H196" s="19"/>
      <c r="I196" s="20"/>
      <c r="J196" s="19"/>
      <c r="K196" s="19"/>
    </row>
    <row r="197" spans="1:11" ht="14.25">
      <c r="A197" s="19"/>
      <c r="B197" s="31"/>
      <c r="C197" s="19"/>
      <c r="D197" s="19"/>
      <c r="E197" s="19"/>
      <c r="F197" s="20"/>
      <c r="G197" s="19"/>
      <c r="H197" s="19"/>
      <c r="I197" s="20"/>
      <c r="J197" s="19"/>
      <c r="K197" s="19"/>
    </row>
    <row r="198" spans="1:11" ht="14.25">
      <c r="A198" s="19"/>
      <c r="B198" s="31"/>
      <c r="C198" s="19"/>
      <c r="D198" s="19"/>
      <c r="E198" s="19"/>
      <c r="F198" s="20"/>
      <c r="G198" s="19"/>
      <c r="H198" s="19"/>
      <c r="I198" s="20"/>
      <c r="J198" s="19"/>
      <c r="K198" s="19"/>
    </row>
    <row r="199" spans="1:11" ht="14.25">
      <c r="A199" s="19"/>
      <c r="B199" s="31"/>
      <c r="C199" s="19"/>
      <c r="D199" s="19"/>
      <c r="E199" s="19"/>
      <c r="F199" s="20"/>
      <c r="G199" s="19"/>
      <c r="H199" s="19"/>
      <c r="I199" s="20"/>
      <c r="J199" s="19"/>
      <c r="K199" s="19"/>
    </row>
    <row r="200" spans="1:11" ht="14.25">
      <c r="A200" s="19"/>
      <c r="B200" s="31"/>
      <c r="C200" s="19"/>
      <c r="D200" s="19"/>
      <c r="E200" s="19"/>
      <c r="F200" s="20"/>
      <c r="G200" s="19"/>
      <c r="H200" s="19"/>
      <c r="I200" s="20"/>
      <c r="J200" s="19"/>
      <c r="K200" s="19"/>
    </row>
    <row r="201" spans="1:11" ht="14.25">
      <c r="A201" s="19"/>
      <c r="B201" s="31"/>
      <c r="C201" s="19"/>
      <c r="D201" s="19"/>
      <c r="E201" s="19"/>
      <c r="F201" s="20"/>
      <c r="G201" s="19"/>
      <c r="H201" s="19"/>
      <c r="I201" s="20"/>
      <c r="J201" s="19"/>
      <c r="K201" s="19"/>
    </row>
    <row r="202" spans="1:11" ht="14.25">
      <c r="A202" s="19"/>
      <c r="B202" s="31"/>
      <c r="C202" s="19"/>
      <c r="D202" s="19"/>
      <c r="E202" s="19"/>
      <c r="F202" s="20"/>
      <c r="G202" s="19"/>
      <c r="H202" s="19"/>
      <c r="I202" s="20"/>
      <c r="J202" s="19"/>
      <c r="K202" s="19"/>
    </row>
    <row r="203" spans="1:11" ht="14.25">
      <c r="A203" s="19"/>
      <c r="B203" s="31"/>
      <c r="C203" s="19"/>
      <c r="D203" s="19"/>
      <c r="E203" s="19"/>
      <c r="F203" s="20"/>
      <c r="G203" s="19"/>
      <c r="H203" s="19"/>
      <c r="I203" s="20"/>
      <c r="J203" s="19"/>
      <c r="K203" s="19"/>
    </row>
    <row r="204" spans="1:11" ht="14.25">
      <c r="A204" s="19"/>
      <c r="B204" s="31"/>
      <c r="C204" s="19"/>
      <c r="D204" s="19"/>
      <c r="E204" s="19"/>
      <c r="F204" s="20"/>
      <c r="G204" s="19"/>
      <c r="H204" s="19"/>
      <c r="I204" s="20"/>
      <c r="J204" s="19"/>
      <c r="K204" s="19"/>
    </row>
    <row r="205" spans="1:11" ht="14.25">
      <c r="A205" s="19"/>
      <c r="B205" s="31"/>
      <c r="C205" s="19"/>
      <c r="D205" s="19"/>
      <c r="E205" s="19"/>
      <c r="F205" s="20"/>
      <c r="G205" s="19"/>
      <c r="H205" s="19"/>
      <c r="I205" s="20"/>
      <c r="J205" s="19"/>
      <c r="K205" s="19"/>
    </row>
    <row r="206" spans="1:11" ht="14.25">
      <c r="A206" s="19"/>
      <c r="B206" s="31"/>
      <c r="C206" s="19"/>
      <c r="D206" s="19"/>
      <c r="E206" s="19"/>
      <c r="F206" s="20"/>
      <c r="G206" s="19"/>
      <c r="H206" s="19"/>
      <c r="I206" s="20"/>
      <c r="J206" s="19"/>
      <c r="K206" s="19"/>
    </row>
    <row r="207" spans="1:11" ht="14.25">
      <c r="A207" s="19"/>
      <c r="B207" s="31"/>
      <c r="C207" s="19"/>
      <c r="D207" s="19"/>
      <c r="E207" s="19"/>
      <c r="F207" s="20"/>
      <c r="G207" s="19"/>
      <c r="H207" s="19"/>
      <c r="I207" s="20"/>
      <c r="J207" s="19"/>
      <c r="K207" s="19"/>
    </row>
    <row r="208" spans="1:11" ht="14.25">
      <c r="A208" s="19"/>
      <c r="B208" s="31"/>
      <c r="C208" s="19"/>
      <c r="D208" s="19"/>
      <c r="E208" s="19"/>
      <c r="F208" s="20"/>
      <c r="G208" s="19"/>
      <c r="H208" s="19"/>
      <c r="I208" s="20"/>
      <c r="J208" s="19"/>
      <c r="K208" s="19"/>
    </row>
    <row r="209" spans="1:11" ht="14.25">
      <c r="A209" s="19"/>
      <c r="B209" s="31"/>
      <c r="C209" s="19"/>
      <c r="D209" s="19"/>
      <c r="E209" s="19"/>
      <c r="F209" s="20"/>
      <c r="G209" s="19"/>
      <c r="H209" s="19"/>
      <c r="I209" s="20"/>
      <c r="J209" s="19"/>
      <c r="K209" s="19"/>
    </row>
    <row r="210" spans="1:11" ht="14.25">
      <c r="A210" s="19"/>
      <c r="B210" s="31"/>
      <c r="C210" s="19"/>
      <c r="D210" s="19"/>
      <c r="E210" s="19"/>
      <c r="F210" s="20"/>
      <c r="G210" s="19"/>
      <c r="H210" s="19"/>
      <c r="I210" s="20"/>
      <c r="J210" s="19"/>
      <c r="K210" s="19"/>
    </row>
    <row r="211" spans="1:11" ht="14.25">
      <c r="A211" s="19"/>
      <c r="B211" s="31"/>
      <c r="C211" s="19"/>
      <c r="D211" s="19"/>
      <c r="E211" s="19"/>
      <c r="F211" s="20"/>
      <c r="G211" s="19"/>
      <c r="H211" s="19"/>
      <c r="I211" s="20"/>
      <c r="J211" s="19"/>
      <c r="K211" s="19"/>
    </row>
    <row r="212" spans="1:11" ht="14.25">
      <c r="A212" s="19"/>
      <c r="B212" s="31"/>
      <c r="C212" s="19"/>
      <c r="D212" s="19"/>
      <c r="E212" s="19"/>
      <c r="F212" s="20"/>
      <c r="G212" s="19"/>
      <c r="H212" s="19"/>
      <c r="I212" s="20"/>
      <c r="J212" s="19"/>
      <c r="K212" s="19"/>
    </row>
    <row r="213" spans="1:11" ht="14.25">
      <c r="A213" s="19"/>
      <c r="B213" s="31"/>
      <c r="C213" s="19"/>
      <c r="D213" s="19"/>
      <c r="E213" s="19"/>
      <c r="F213" s="20"/>
      <c r="G213" s="19"/>
      <c r="H213" s="19"/>
      <c r="I213" s="20"/>
      <c r="J213" s="19"/>
      <c r="K213" s="19"/>
    </row>
    <row r="214" spans="1:11" ht="14.25">
      <c r="A214" s="19"/>
      <c r="B214" s="31"/>
      <c r="C214" s="19"/>
      <c r="D214" s="19"/>
      <c r="E214" s="19"/>
      <c r="F214" s="20"/>
      <c r="G214" s="19"/>
      <c r="H214" s="19"/>
      <c r="I214" s="20"/>
      <c r="J214" s="19"/>
      <c r="K214" s="19"/>
    </row>
    <row r="215" spans="1:11" ht="14.25">
      <c r="A215" s="19"/>
      <c r="B215" s="31"/>
      <c r="C215" s="19"/>
      <c r="D215" s="19"/>
      <c r="E215" s="19"/>
      <c r="F215" s="20"/>
      <c r="G215" s="19"/>
      <c r="H215" s="19"/>
      <c r="I215" s="20"/>
      <c r="J215" s="19"/>
      <c r="K215" s="19"/>
    </row>
    <row r="216" spans="1:11" ht="14.25">
      <c r="A216" s="19"/>
      <c r="B216" s="31"/>
      <c r="C216" s="19"/>
      <c r="D216" s="19"/>
      <c r="E216" s="19"/>
      <c r="F216" s="20"/>
      <c r="G216" s="19"/>
      <c r="H216" s="19"/>
      <c r="I216" s="20"/>
      <c r="J216" s="19"/>
      <c r="K216" s="19"/>
    </row>
    <row r="217" spans="1:11" ht="14.25">
      <c r="A217" s="19"/>
      <c r="B217" s="31"/>
      <c r="C217" s="19"/>
      <c r="D217" s="19"/>
      <c r="E217" s="19"/>
      <c r="F217" s="20"/>
      <c r="G217" s="19"/>
      <c r="H217" s="19"/>
      <c r="I217" s="20"/>
      <c r="J217" s="19"/>
      <c r="K217" s="19"/>
    </row>
    <row r="218" spans="1:11" ht="14.25">
      <c r="A218" s="19"/>
      <c r="B218" s="31"/>
      <c r="C218" s="19"/>
      <c r="D218" s="19"/>
      <c r="E218" s="19"/>
      <c r="F218" s="20"/>
      <c r="G218" s="19"/>
      <c r="H218" s="19"/>
      <c r="I218" s="20"/>
      <c r="J218" s="19"/>
      <c r="K218" s="19"/>
    </row>
    <row r="219" spans="1:11" ht="14.25">
      <c r="A219" s="19"/>
      <c r="B219" s="31"/>
      <c r="C219" s="19"/>
      <c r="D219" s="19"/>
      <c r="E219" s="19"/>
      <c r="F219" s="20"/>
      <c r="G219" s="19"/>
      <c r="H219" s="19"/>
      <c r="I219" s="20"/>
      <c r="J219" s="19"/>
      <c r="K219" s="19"/>
    </row>
    <row r="220" spans="1:11" ht="14.25">
      <c r="A220" s="19"/>
      <c r="B220" s="31"/>
      <c r="C220" s="19"/>
      <c r="D220" s="19"/>
      <c r="E220" s="19"/>
      <c r="F220" s="20"/>
      <c r="G220" s="19"/>
      <c r="H220" s="19"/>
      <c r="I220" s="20"/>
      <c r="J220" s="19"/>
      <c r="K220" s="19"/>
    </row>
    <row r="221" spans="1:11" ht="14.25">
      <c r="A221" s="19"/>
      <c r="B221" s="31"/>
      <c r="C221" s="19"/>
      <c r="D221" s="19"/>
      <c r="E221" s="19"/>
      <c r="F221" s="20"/>
      <c r="G221" s="19"/>
      <c r="H221" s="19"/>
      <c r="I221" s="20"/>
      <c r="J221" s="19"/>
      <c r="K221" s="19"/>
    </row>
    <row r="222" spans="1:11" ht="14.25">
      <c r="A222" s="19"/>
      <c r="B222" s="31"/>
      <c r="C222" s="19"/>
      <c r="D222" s="19"/>
      <c r="E222" s="19"/>
      <c r="F222" s="20"/>
      <c r="G222" s="19"/>
      <c r="H222" s="19"/>
      <c r="I222" s="20"/>
      <c r="J222" s="19"/>
      <c r="K222" s="19"/>
    </row>
    <row r="223" spans="1:11" ht="14.25">
      <c r="A223" s="19"/>
      <c r="B223" s="31"/>
      <c r="C223" s="19"/>
      <c r="D223" s="19"/>
      <c r="E223" s="19"/>
      <c r="F223" s="20"/>
      <c r="G223" s="19"/>
      <c r="H223" s="19"/>
      <c r="I223" s="20"/>
      <c r="J223" s="19"/>
      <c r="K223" s="19"/>
    </row>
    <row r="224" spans="1:11" ht="14.25">
      <c r="A224" s="19"/>
      <c r="B224" s="31"/>
      <c r="C224" s="19"/>
      <c r="D224" s="19"/>
      <c r="E224" s="19"/>
      <c r="F224" s="20"/>
      <c r="G224" s="19"/>
      <c r="H224" s="19"/>
      <c r="I224" s="20"/>
      <c r="J224" s="19"/>
      <c r="K224" s="19"/>
    </row>
    <row r="225" spans="1:11" ht="14.25">
      <c r="A225" s="19"/>
      <c r="B225" s="31"/>
      <c r="C225" s="19"/>
      <c r="D225" s="19"/>
      <c r="E225" s="19"/>
      <c r="F225" s="20"/>
      <c r="G225" s="19"/>
      <c r="H225" s="19"/>
      <c r="I225" s="20"/>
      <c r="J225" s="19"/>
      <c r="K225" s="19"/>
    </row>
    <row r="226" spans="1:11" ht="14.25">
      <c r="A226" s="19"/>
      <c r="B226" s="31"/>
      <c r="C226" s="19"/>
      <c r="D226" s="19"/>
      <c r="E226" s="19"/>
      <c r="F226" s="20"/>
      <c r="G226" s="19"/>
      <c r="H226" s="19"/>
      <c r="I226" s="20"/>
      <c r="J226" s="19"/>
      <c r="K226" s="19"/>
    </row>
    <row r="227" spans="1:11" ht="14.25">
      <c r="A227" s="19"/>
      <c r="B227" s="31"/>
      <c r="C227" s="19"/>
      <c r="D227" s="19"/>
      <c r="E227" s="19"/>
      <c r="F227" s="20"/>
      <c r="G227" s="19"/>
      <c r="H227" s="19"/>
      <c r="I227" s="20"/>
      <c r="J227" s="19"/>
      <c r="K227" s="19"/>
    </row>
    <row r="228" spans="1:11" ht="14.25">
      <c r="A228" s="19"/>
      <c r="B228" s="31"/>
      <c r="C228" s="19"/>
      <c r="D228" s="19"/>
      <c r="E228" s="19"/>
      <c r="F228" s="20"/>
      <c r="G228" s="19"/>
      <c r="H228" s="19"/>
      <c r="I228" s="20"/>
      <c r="J228" s="19"/>
      <c r="K228" s="19"/>
    </row>
    <row r="229" spans="1:11" ht="14.25">
      <c r="A229" s="19"/>
      <c r="B229" s="31"/>
      <c r="C229" s="19"/>
      <c r="D229" s="19"/>
      <c r="E229" s="19"/>
      <c r="F229" s="20"/>
      <c r="G229" s="19"/>
      <c r="H229" s="19"/>
      <c r="I229" s="20"/>
      <c r="J229" s="19"/>
      <c r="K229" s="19"/>
    </row>
    <row r="230" spans="1:11" ht="14.25">
      <c r="A230" s="19"/>
      <c r="B230" s="31"/>
      <c r="C230" s="19"/>
      <c r="D230" s="19"/>
      <c r="E230" s="19"/>
      <c r="F230" s="20"/>
      <c r="G230" s="19"/>
      <c r="H230" s="19"/>
      <c r="I230" s="20"/>
      <c r="J230" s="19"/>
      <c r="K230" s="19"/>
    </row>
    <row r="231" spans="1:11" ht="14.25">
      <c r="A231" s="19"/>
      <c r="B231" s="31"/>
      <c r="C231" s="19"/>
      <c r="D231" s="19"/>
      <c r="E231" s="19"/>
      <c r="F231" s="20"/>
      <c r="G231" s="19"/>
      <c r="H231" s="19"/>
      <c r="I231" s="20"/>
      <c r="J231" s="19"/>
      <c r="K231" s="19"/>
    </row>
    <row r="232" spans="1:11" ht="14.25">
      <c r="A232" s="19"/>
      <c r="B232" s="31"/>
      <c r="C232" s="19"/>
      <c r="D232" s="19"/>
      <c r="E232" s="19"/>
      <c r="F232" s="20"/>
      <c r="G232" s="19"/>
      <c r="H232" s="19"/>
      <c r="I232" s="20"/>
      <c r="J232" s="19"/>
      <c r="K232" s="19"/>
    </row>
    <row r="233" spans="1:11" ht="14.25">
      <c r="A233" s="19"/>
      <c r="B233" s="31"/>
      <c r="C233" s="19"/>
      <c r="D233" s="19"/>
      <c r="E233" s="19"/>
      <c r="F233" s="20"/>
      <c r="G233" s="19"/>
      <c r="H233" s="19"/>
      <c r="I233" s="20"/>
      <c r="J233" s="19"/>
      <c r="K233" s="19"/>
    </row>
    <row r="234" spans="1:11" ht="14.25">
      <c r="A234" s="19"/>
      <c r="B234" s="31"/>
      <c r="C234" s="19"/>
      <c r="D234" s="19"/>
      <c r="E234" s="19"/>
      <c r="F234" s="20"/>
      <c r="G234" s="19"/>
      <c r="H234" s="19"/>
      <c r="I234" s="20"/>
      <c r="J234" s="19"/>
      <c r="K234" s="19"/>
    </row>
    <row r="235" spans="1:11" ht="14.25">
      <c r="A235" s="19"/>
      <c r="B235" s="31"/>
      <c r="C235" s="19"/>
      <c r="D235" s="19"/>
      <c r="E235" s="19"/>
      <c r="F235" s="20"/>
      <c r="G235" s="19"/>
      <c r="H235" s="19"/>
      <c r="I235" s="20"/>
      <c r="J235" s="19"/>
      <c r="K235" s="19"/>
    </row>
    <row r="236" spans="1:11" ht="14.25">
      <c r="A236" s="19"/>
      <c r="B236" s="31"/>
      <c r="C236" s="19"/>
      <c r="D236" s="19"/>
      <c r="E236" s="19"/>
      <c r="F236" s="20"/>
      <c r="G236" s="19"/>
      <c r="H236" s="19"/>
      <c r="I236" s="20"/>
      <c r="J236" s="19"/>
      <c r="K236" s="19"/>
    </row>
    <row r="237" spans="1:11" ht="14.25">
      <c r="A237" s="19"/>
      <c r="B237" s="31"/>
      <c r="C237" s="19"/>
      <c r="D237" s="19"/>
      <c r="E237" s="19"/>
      <c r="F237" s="20"/>
      <c r="G237" s="19"/>
      <c r="H237" s="19"/>
      <c r="I237" s="20"/>
      <c r="J237" s="19"/>
      <c r="K237" s="19"/>
    </row>
    <row r="238" spans="1:11" ht="14.25">
      <c r="A238" s="19"/>
      <c r="B238" s="31"/>
      <c r="C238" s="19"/>
      <c r="D238" s="19"/>
      <c r="E238" s="19"/>
      <c r="F238" s="20"/>
      <c r="G238" s="19"/>
      <c r="H238" s="19"/>
      <c r="I238" s="20"/>
      <c r="J238" s="19"/>
      <c r="K238" s="19"/>
    </row>
    <row r="239" spans="1:11" ht="14.25">
      <c r="A239" s="19"/>
      <c r="B239" s="31"/>
      <c r="C239" s="19"/>
      <c r="D239" s="19"/>
      <c r="E239" s="19"/>
      <c r="F239" s="20"/>
      <c r="G239" s="19"/>
      <c r="H239" s="19"/>
      <c r="I239" s="20"/>
      <c r="J239" s="19"/>
      <c r="K239" s="19"/>
    </row>
    <row r="240" spans="1:11" ht="14.25">
      <c r="A240" s="19"/>
      <c r="B240" s="31"/>
      <c r="C240" s="19"/>
      <c r="D240" s="19"/>
      <c r="E240" s="19"/>
      <c r="F240" s="20"/>
      <c r="G240" s="19"/>
      <c r="H240" s="19"/>
      <c r="I240" s="20"/>
      <c r="J240" s="19"/>
      <c r="K240" s="19"/>
    </row>
    <row r="241" spans="1:11" ht="14.25">
      <c r="A241" s="19"/>
      <c r="B241" s="31"/>
      <c r="C241" s="19"/>
      <c r="D241" s="19"/>
      <c r="E241" s="19"/>
      <c r="F241" s="20"/>
      <c r="G241" s="19"/>
      <c r="H241" s="19"/>
      <c r="I241" s="20"/>
      <c r="J241" s="19"/>
      <c r="K241" s="19"/>
    </row>
    <row r="242" spans="1:11" ht="14.25">
      <c r="A242" s="19"/>
      <c r="B242" s="31"/>
      <c r="C242" s="19"/>
      <c r="D242" s="19"/>
      <c r="E242" s="19"/>
      <c r="F242" s="20"/>
      <c r="G242" s="19"/>
      <c r="H242" s="19"/>
      <c r="I242" s="20"/>
      <c r="J242" s="19"/>
      <c r="K242" s="19"/>
    </row>
    <row r="243" spans="1:11" ht="14.25">
      <c r="A243" s="19"/>
      <c r="B243" s="31"/>
      <c r="C243" s="19"/>
      <c r="D243" s="19"/>
      <c r="E243" s="19"/>
      <c r="F243" s="20"/>
      <c r="G243" s="19"/>
      <c r="H243" s="19"/>
      <c r="I243" s="20"/>
      <c r="J243" s="19"/>
      <c r="K243" s="19"/>
    </row>
    <row r="244" spans="1:11" ht="14.25">
      <c r="A244" s="19"/>
      <c r="B244" s="31"/>
      <c r="C244" s="19"/>
      <c r="D244" s="19"/>
      <c r="E244" s="19"/>
      <c r="F244" s="20"/>
      <c r="G244" s="19"/>
      <c r="H244" s="19"/>
      <c r="I244" s="20"/>
      <c r="J244" s="19"/>
      <c r="K244" s="19"/>
    </row>
    <row r="245" spans="1:11" ht="14.25">
      <c r="A245" s="19"/>
      <c r="B245" s="31"/>
      <c r="C245" s="19"/>
      <c r="D245" s="19"/>
      <c r="E245" s="19"/>
      <c r="F245" s="20"/>
      <c r="G245" s="19"/>
      <c r="H245" s="19"/>
      <c r="I245" s="20"/>
      <c r="J245" s="19"/>
      <c r="K245" s="19"/>
    </row>
    <row r="246" spans="1:11" ht="14.25">
      <c r="A246" s="19"/>
      <c r="B246" s="31"/>
      <c r="C246" s="19"/>
      <c r="D246" s="19"/>
      <c r="E246" s="19"/>
      <c r="F246" s="20"/>
      <c r="G246" s="19"/>
      <c r="H246" s="19"/>
      <c r="I246" s="20"/>
      <c r="J246" s="19"/>
      <c r="K246" s="19"/>
    </row>
    <row r="247" spans="1:11" ht="14.25">
      <c r="A247" s="19"/>
      <c r="B247" s="31"/>
      <c r="C247" s="19"/>
      <c r="D247" s="19"/>
      <c r="E247" s="19"/>
      <c r="F247" s="20"/>
      <c r="G247" s="19"/>
      <c r="H247" s="19"/>
      <c r="I247" s="20"/>
      <c r="J247" s="19"/>
      <c r="K247" s="19"/>
    </row>
    <row r="248" spans="1:11" ht="14.25">
      <c r="A248" s="19"/>
      <c r="B248" s="31"/>
      <c r="C248" s="19"/>
      <c r="D248" s="19"/>
      <c r="E248" s="19"/>
      <c r="F248" s="20"/>
      <c r="G248" s="19"/>
      <c r="H248" s="19"/>
      <c r="I248" s="20"/>
      <c r="J248" s="19"/>
      <c r="K248" s="19"/>
    </row>
    <row r="249" spans="1:11" ht="14.25">
      <c r="A249" s="19"/>
      <c r="B249" s="31"/>
      <c r="C249" s="19"/>
      <c r="D249" s="19"/>
      <c r="E249" s="19"/>
      <c r="F249" s="20"/>
      <c r="G249" s="19"/>
      <c r="H249" s="19"/>
      <c r="I249" s="20"/>
      <c r="J249" s="19"/>
      <c r="K249" s="19"/>
    </row>
    <row r="250" spans="1:11" ht="14.25">
      <c r="A250" s="19"/>
      <c r="B250" s="31"/>
      <c r="C250" s="19"/>
      <c r="D250" s="19"/>
      <c r="E250" s="19"/>
      <c r="F250" s="20"/>
      <c r="G250" s="19"/>
      <c r="H250" s="19"/>
      <c r="I250" s="20"/>
      <c r="J250" s="19"/>
      <c r="K250" s="19"/>
    </row>
    <row r="251" spans="1:11" ht="14.25">
      <c r="A251" s="19"/>
      <c r="B251" s="31"/>
      <c r="C251" s="19"/>
      <c r="D251" s="19"/>
      <c r="E251" s="19"/>
      <c r="F251" s="20"/>
      <c r="G251" s="19"/>
      <c r="H251" s="19"/>
      <c r="I251" s="20"/>
      <c r="J251" s="19"/>
      <c r="K251" s="19"/>
    </row>
    <row r="252" spans="1:11" ht="14.25">
      <c r="A252" s="19"/>
      <c r="B252" s="31"/>
      <c r="C252" s="19"/>
      <c r="D252" s="19"/>
      <c r="E252" s="19"/>
      <c r="F252" s="20"/>
      <c r="G252" s="19"/>
      <c r="H252" s="19"/>
      <c r="I252" s="20"/>
      <c r="J252" s="19"/>
      <c r="K252" s="19"/>
    </row>
    <row r="253" spans="1:11" ht="14.25">
      <c r="A253" s="19"/>
      <c r="B253" s="31"/>
      <c r="C253" s="19"/>
      <c r="D253" s="19"/>
      <c r="E253" s="19"/>
      <c r="F253" s="20"/>
      <c r="G253" s="19"/>
      <c r="H253" s="19"/>
      <c r="I253" s="20"/>
      <c r="J253" s="19"/>
      <c r="K253" s="19"/>
    </row>
    <row r="254" spans="1:11" ht="14.25">
      <c r="A254" s="19"/>
      <c r="B254" s="31"/>
      <c r="C254" s="19"/>
      <c r="D254" s="19"/>
      <c r="E254" s="19"/>
      <c r="F254" s="20"/>
      <c r="G254" s="19"/>
      <c r="H254" s="19"/>
      <c r="I254" s="20"/>
      <c r="J254" s="19"/>
      <c r="K254" s="19"/>
    </row>
    <row r="255" spans="1:11" ht="14.25">
      <c r="A255" s="19"/>
      <c r="B255" s="31"/>
      <c r="C255" s="19"/>
      <c r="D255" s="19"/>
      <c r="E255" s="19"/>
      <c r="F255" s="20"/>
      <c r="G255" s="19"/>
      <c r="H255" s="19"/>
      <c r="I255" s="20"/>
      <c r="J255" s="19"/>
      <c r="K255" s="19"/>
    </row>
    <row r="256" spans="1:11" ht="14.25">
      <c r="A256" s="19"/>
      <c r="B256" s="31"/>
      <c r="C256" s="19"/>
      <c r="D256" s="19"/>
      <c r="E256" s="19"/>
      <c r="F256" s="20"/>
      <c r="G256" s="19"/>
      <c r="H256" s="19"/>
      <c r="I256" s="20"/>
      <c r="J256" s="19"/>
      <c r="K256" s="19"/>
    </row>
    <row r="257" spans="1:11" ht="14.25">
      <c r="A257" s="19"/>
      <c r="B257" s="31"/>
      <c r="C257" s="19"/>
      <c r="D257" s="19"/>
      <c r="E257" s="19"/>
      <c r="F257" s="20"/>
      <c r="G257" s="19"/>
      <c r="H257" s="19"/>
      <c r="I257" s="20"/>
      <c r="J257" s="19"/>
      <c r="K257" s="19"/>
    </row>
    <row r="258" spans="1:11" ht="14.25">
      <c r="A258" s="19"/>
      <c r="B258" s="31"/>
      <c r="C258" s="19"/>
      <c r="D258" s="19"/>
      <c r="E258" s="19"/>
      <c r="F258" s="20"/>
      <c r="G258" s="19"/>
      <c r="H258" s="19"/>
      <c r="I258" s="20"/>
      <c r="J258" s="19"/>
      <c r="K258" s="19"/>
    </row>
    <row r="259" spans="1:11" ht="14.25">
      <c r="A259" s="19"/>
      <c r="B259" s="31"/>
      <c r="C259" s="19"/>
      <c r="D259" s="19"/>
      <c r="E259" s="19"/>
      <c r="F259" s="20"/>
      <c r="G259" s="19"/>
      <c r="H259" s="19"/>
      <c r="I259" s="20"/>
      <c r="J259" s="19"/>
      <c r="K259" s="19"/>
    </row>
    <row r="260" spans="1:11" ht="14.25">
      <c r="A260" s="19"/>
      <c r="B260" s="31"/>
      <c r="C260" s="19"/>
      <c r="D260" s="19"/>
      <c r="E260" s="19"/>
      <c r="F260" s="20"/>
      <c r="G260" s="19"/>
      <c r="H260" s="19"/>
      <c r="I260" s="20"/>
      <c r="J260" s="19"/>
      <c r="K260" s="19"/>
    </row>
    <row r="261" spans="1:11" ht="14.25">
      <c r="A261" s="19"/>
      <c r="B261" s="31"/>
      <c r="C261" s="19"/>
      <c r="D261" s="19"/>
      <c r="E261" s="19"/>
      <c r="F261" s="20"/>
      <c r="G261" s="19"/>
      <c r="H261" s="19"/>
      <c r="I261" s="20"/>
      <c r="J261" s="19"/>
      <c r="K261" s="19"/>
    </row>
    <row r="262" spans="1:11" ht="14.25">
      <c r="A262" s="19"/>
      <c r="B262" s="31"/>
      <c r="C262" s="19"/>
      <c r="D262" s="19"/>
      <c r="E262" s="19"/>
      <c r="F262" s="20"/>
      <c r="G262" s="19"/>
      <c r="H262" s="19"/>
      <c r="I262" s="20"/>
      <c r="J262" s="19"/>
      <c r="K262" s="19"/>
    </row>
    <row r="263" spans="1:11" ht="14.25">
      <c r="A263" s="19"/>
      <c r="B263" s="31"/>
      <c r="C263" s="19"/>
      <c r="D263" s="19"/>
      <c r="E263" s="19"/>
      <c r="F263" s="20"/>
      <c r="G263" s="19"/>
      <c r="H263" s="19"/>
      <c r="I263" s="20"/>
      <c r="J263" s="19"/>
      <c r="K263" s="19"/>
    </row>
    <row r="264" spans="1:11" ht="14.25">
      <c r="A264" s="19"/>
      <c r="B264" s="31"/>
      <c r="C264" s="19"/>
      <c r="D264" s="19"/>
      <c r="E264" s="19"/>
      <c r="F264" s="20"/>
      <c r="G264" s="19"/>
      <c r="H264" s="19"/>
      <c r="I264" s="20"/>
      <c r="J264" s="19"/>
      <c r="K264" s="19"/>
    </row>
    <row r="265" spans="1:11" ht="14.25">
      <c r="A265" s="19"/>
      <c r="B265" s="31"/>
      <c r="C265" s="19"/>
      <c r="D265" s="19"/>
      <c r="E265" s="19"/>
      <c r="F265" s="20"/>
      <c r="G265" s="19"/>
      <c r="H265" s="19"/>
      <c r="I265" s="20"/>
      <c r="J265" s="19"/>
      <c r="K265" s="19"/>
    </row>
    <row r="266" spans="1:11" ht="14.25">
      <c r="A266" s="19"/>
      <c r="B266" s="31"/>
      <c r="C266" s="19"/>
      <c r="D266" s="19"/>
      <c r="E266" s="19"/>
      <c r="F266" s="20"/>
      <c r="G266" s="19"/>
      <c r="H266" s="19"/>
      <c r="I266" s="20"/>
      <c r="J266" s="19"/>
      <c r="K266" s="19"/>
    </row>
    <row r="267" spans="1:11" ht="14.25">
      <c r="A267" s="19"/>
      <c r="B267" s="31"/>
      <c r="C267" s="19"/>
      <c r="D267" s="19"/>
      <c r="E267" s="19"/>
      <c r="F267" s="20"/>
      <c r="G267" s="19"/>
      <c r="H267" s="19"/>
      <c r="I267" s="20"/>
      <c r="J267" s="19"/>
      <c r="K267" s="19"/>
    </row>
    <row r="268" spans="1:11" ht="14.25">
      <c r="A268" s="19"/>
      <c r="B268" s="31"/>
      <c r="C268" s="19"/>
      <c r="D268" s="19"/>
      <c r="E268" s="19"/>
      <c r="F268" s="20"/>
      <c r="G268" s="19"/>
      <c r="H268" s="19"/>
      <c r="I268" s="20"/>
      <c r="J268" s="19"/>
      <c r="K268" s="19"/>
    </row>
    <row r="269" spans="1:11" ht="14.25">
      <c r="A269" s="19"/>
      <c r="B269" s="31"/>
      <c r="C269" s="19"/>
      <c r="D269" s="19"/>
      <c r="E269" s="19"/>
      <c r="F269" s="20"/>
      <c r="G269" s="19"/>
      <c r="H269" s="19"/>
      <c r="I269" s="20"/>
      <c r="J269" s="19"/>
      <c r="K269" s="19"/>
    </row>
    <row r="270" spans="1:11" ht="14.25">
      <c r="A270" s="19"/>
      <c r="B270" s="31"/>
      <c r="C270" s="19"/>
      <c r="D270" s="19"/>
      <c r="E270" s="19"/>
      <c r="F270" s="20"/>
      <c r="G270" s="19"/>
      <c r="H270" s="19"/>
      <c r="I270" s="20"/>
      <c r="J270" s="19"/>
      <c r="K270" s="19"/>
    </row>
    <row r="271" spans="1:11" ht="14.25">
      <c r="A271" s="19"/>
      <c r="B271" s="31"/>
      <c r="C271" s="19"/>
      <c r="D271" s="19"/>
      <c r="E271" s="19"/>
      <c r="F271" s="20"/>
      <c r="G271" s="19"/>
      <c r="H271" s="19"/>
      <c r="I271" s="20"/>
      <c r="J271" s="19"/>
      <c r="K271" s="19"/>
    </row>
    <row r="272" spans="1:11" ht="14.25">
      <c r="A272" s="19"/>
      <c r="B272" s="31"/>
      <c r="C272" s="19"/>
      <c r="D272" s="19"/>
      <c r="E272" s="19"/>
      <c r="F272" s="20"/>
      <c r="G272" s="19"/>
      <c r="H272" s="19"/>
      <c r="I272" s="20"/>
      <c r="J272" s="19"/>
      <c r="K272" s="19"/>
    </row>
    <row r="273" spans="1:11" ht="14.25">
      <c r="A273" s="19"/>
      <c r="B273" s="31"/>
      <c r="C273" s="19"/>
      <c r="D273" s="19"/>
      <c r="E273" s="19"/>
      <c r="F273" s="20"/>
      <c r="G273" s="19"/>
      <c r="H273" s="19"/>
      <c r="I273" s="20"/>
      <c r="J273" s="19"/>
      <c r="K273" s="19"/>
    </row>
    <row r="274" spans="1:11" ht="14.25">
      <c r="A274" s="19"/>
      <c r="B274" s="31"/>
      <c r="C274" s="19"/>
      <c r="D274" s="19"/>
      <c r="E274" s="19"/>
      <c r="F274" s="20"/>
      <c r="G274" s="19"/>
      <c r="H274" s="19"/>
      <c r="I274" s="20"/>
      <c r="J274" s="19"/>
      <c r="K274" s="19"/>
    </row>
    <row r="275" spans="1:11" ht="14.25">
      <c r="A275" s="19"/>
      <c r="B275" s="31"/>
      <c r="C275" s="19"/>
      <c r="D275" s="19"/>
      <c r="E275" s="19"/>
      <c r="F275" s="20"/>
      <c r="G275" s="19"/>
      <c r="H275" s="19"/>
      <c r="I275" s="20"/>
      <c r="J275" s="19"/>
      <c r="K275" s="19"/>
    </row>
    <row r="276" spans="1:11" ht="14.25">
      <c r="A276" s="19"/>
      <c r="B276" s="31"/>
      <c r="C276" s="19"/>
      <c r="D276" s="19"/>
      <c r="E276" s="19"/>
      <c r="F276" s="20"/>
      <c r="G276" s="19"/>
      <c r="H276" s="19"/>
      <c r="I276" s="20"/>
      <c r="J276" s="19"/>
      <c r="K276" s="19"/>
    </row>
    <row r="277" spans="1:11" ht="14.25">
      <c r="A277" s="19"/>
      <c r="B277" s="31"/>
      <c r="C277" s="19"/>
      <c r="D277" s="19"/>
      <c r="E277" s="19"/>
      <c r="F277" s="20"/>
      <c r="G277" s="19"/>
      <c r="H277" s="19"/>
      <c r="I277" s="20"/>
      <c r="J277" s="19"/>
      <c r="K277" s="19"/>
    </row>
    <row r="278" spans="1:11" ht="14.25">
      <c r="A278" s="19"/>
      <c r="B278" s="31"/>
      <c r="C278" s="19"/>
      <c r="D278" s="19"/>
      <c r="E278" s="19"/>
      <c r="F278" s="20"/>
      <c r="G278" s="19"/>
      <c r="H278" s="19"/>
      <c r="I278" s="20"/>
      <c r="J278" s="19"/>
      <c r="K278" s="19"/>
    </row>
    <row r="279" spans="1:11" ht="14.25">
      <c r="A279" s="19"/>
      <c r="B279" s="31"/>
      <c r="C279" s="19"/>
      <c r="D279" s="19"/>
      <c r="E279" s="19"/>
      <c r="F279" s="20"/>
      <c r="G279" s="19"/>
      <c r="H279" s="19"/>
      <c r="I279" s="20"/>
      <c r="J279" s="19"/>
      <c r="K279" s="19"/>
    </row>
    <row r="280" spans="1:11" ht="14.25">
      <c r="A280" s="19"/>
      <c r="B280" s="31"/>
      <c r="C280" s="19"/>
      <c r="D280" s="19"/>
      <c r="E280" s="19"/>
      <c r="F280" s="20"/>
      <c r="G280" s="19"/>
      <c r="H280" s="19"/>
      <c r="I280" s="20"/>
      <c r="J280" s="19"/>
      <c r="K280" s="19"/>
    </row>
    <row r="281" spans="1:11" ht="14.25">
      <c r="A281" s="19"/>
      <c r="B281" s="31"/>
      <c r="C281" s="19"/>
      <c r="D281" s="19"/>
      <c r="E281" s="19"/>
      <c r="F281" s="20"/>
      <c r="G281" s="19"/>
      <c r="H281" s="19"/>
      <c r="I281" s="20"/>
      <c r="J281" s="19"/>
      <c r="K281" s="19"/>
    </row>
    <row r="282" spans="1:11" ht="14.25">
      <c r="A282" s="19"/>
      <c r="B282" s="31"/>
      <c r="C282" s="19"/>
      <c r="D282" s="19"/>
      <c r="E282" s="19"/>
      <c r="F282" s="20"/>
      <c r="G282" s="19"/>
      <c r="H282" s="19"/>
      <c r="I282" s="20"/>
      <c r="J282" s="19"/>
      <c r="K282" s="19"/>
    </row>
    <row r="283" spans="1:11" ht="14.25">
      <c r="A283" s="19"/>
      <c r="B283" s="31"/>
      <c r="C283" s="19"/>
      <c r="D283" s="19"/>
      <c r="E283" s="19"/>
      <c r="F283" s="20"/>
      <c r="G283" s="19"/>
      <c r="H283" s="19"/>
      <c r="I283" s="20"/>
      <c r="J283" s="19"/>
      <c r="K283" s="19"/>
    </row>
    <row r="284" spans="1:11" ht="14.25">
      <c r="A284" s="19"/>
      <c r="B284" s="31"/>
      <c r="C284" s="19"/>
      <c r="D284" s="19"/>
      <c r="E284" s="19"/>
      <c r="F284" s="20"/>
      <c r="G284" s="19"/>
      <c r="H284" s="19"/>
      <c r="I284" s="20"/>
      <c r="J284" s="19"/>
      <c r="K284" s="19"/>
    </row>
    <row r="285" spans="1:11" ht="14.25">
      <c r="A285" s="19"/>
      <c r="B285" s="31"/>
      <c r="C285" s="19"/>
      <c r="D285" s="19"/>
      <c r="E285" s="19"/>
      <c r="F285" s="20"/>
      <c r="G285" s="19"/>
      <c r="H285" s="19"/>
      <c r="I285" s="20"/>
      <c r="J285" s="19"/>
      <c r="K285" s="19"/>
    </row>
    <row r="286" spans="1:11" ht="14.25">
      <c r="A286" s="19"/>
      <c r="B286" s="31"/>
      <c r="C286" s="19"/>
      <c r="D286" s="19"/>
      <c r="E286" s="19"/>
      <c r="F286" s="20"/>
      <c r="G286" s="19"/>
      <c r="H286" s="19"/>
      <c r="I286" s="20"/>
      <c r="J286" s="19"/>
      <c r="K286" s="19"/>
    </row>
    <row r="287" spans="1:11" ht="14.25">
      <c r="A287" s="19"/>
      <c r="B287" s="31"/>
      <c r="C287" s="19"/>
      <c r="D287" s="19"/>
      <c r="E287" s="19"/>
      <c r="F287" s="20"/>
      <c r="G287" s="19"/>
      <c r="H287" s="19"/>
      <c r="I287" s="20"/>
      <c r="J287" s="19"/>
      <c r="K287" s="19"/>
    </row>
    <row r="288" spans="1:11" ht="14.25">
      <c r="A288" s="19"/>
      <c r="B288" s="31"/>
      <c r="C288" s="19"/>
      <c r="D288" s="19"/>
      <c r="E288" s="19"/>
      <c r="F288" s="20"/>
      <c r="G288" s="19"/>
      <c r="H288" s="19"/>
      <c r="I288" s="20"/>
      <c r="J288" s="19"/>
      <c r="K288" s="19"/>
    </row>
    <row r="289" spans="1:11" ht="14.25">
      <c r="A289" s="19"/>
      <c r="B289" s="31"/>
      <c r="C289" s="19"/>
      <c r="D289" s="19"/>
      <c r="E289" s="19"/>
      <c r="F289" s="20"/>
      <c r="G289" s="19"/>
      <c r="H289" s="19"/>
      <c r="I289" s="20"/>
      <c r="J289" s="19"/>
      <c r="K289" s="19"/>
    </row>
    <row r="290" spans="1:11" ht="14.25">
      <c r="A290" s="19"/>
      <c r="B290" s="31"/>
      <c r="C290" s="19"/>
      <c r="D290" s="19"/>
      <c r="E290" s="19"/>
      <c r="F290" s="20"/>
      <c r="G290" s="19"/>
      <c r="H290" s="19"/>
      <c r="I290" s="20"/>
      <c r="J290" s="19"/>
      <c r="K290" s="19"/>
    </row>
    <row r="291" spans="1:11" ht="14.25">
      <c r="A291" s="19"/>
      <c r="B291" s="31"/>
      <c r="C291" s="19"/>
      <c r="D291" s="19"/>
      <c r="E291" s="19"/>
      <c r="F291" s="20"/>
      <c r="G291" s="19"/>
      <c r="H291" s="19"/>
      <c r="I291" s="20"/>
      <c r="J291" s="19"/>
      <c r="K291" s="19"/>
    </row>
    <row r="292" spans="1:11" ht="14.25">
      <c r="A292" s="19"/>
      <c r="B292" s="31"/>
      <c r="C292" s="19"/>
      <c r="D292" s="19"/>
      <c r="E292" s="19"/>
      <c r="F292" s="20"/>
      <c r="G292" s="19"/>
      <c r="H292" s="19"/>
      <c r="I292" s="20"/>
      <c r="J292" s="19"/>
      <c r="K292" s="19"/>
    </row>
    <row r="293" spans="1:11" ht="14.25">
      <c r="A293" s="19"/>
      <c r="B293" s="31"/>
      <c r="C293" s="19"/>
      <c r="D293" s="19"/>
      <c r="E293" s="19"/>
      <c r="F293" s="20"/>
      <c r="G293" s="19"/>
      <c r="H293" s="19"/>
      <c r="I293" s="20"/>
      <c r="J293" s="19"/>
      <c r="K293" s="19"/>
    </row>
    <row r="294" spans="1:11" ht="14.25">
      <c r="A294" s="19"/>
      <c r="B294" s="31"/>
      <c r="C294" s="19"/>
      <c r="D294" s="19"/>
      <c r="E294" s="19"/>
      <c r="F294" s="20"/>
      <c r="G294" s="19"/>
      <c r="H294" s="19"/>
      <c r="I294" s="20"/>
      <c r="J294" s="19"/>
      <c r="K294" s="19"/>
    </row>
    <row r="295" spans="1:11" ht="14.25">
      <c r="A295" s="19"/>
      <c r="B295" s="31"/>
      <c r="C295" s="19"/>
      <c r="D295" s="19"/>
      <c r="E295" s="19"/>
      <c r="F295" s="20"/>
      <c r="G295" s="19"/>
      <c r="H295" s="19"/>
      <c r="I295" s="20"/>
      <c r="J295" s="19"/>
      <c r="K295" s="19"/>
    </row>
    <row r="296" spans="1:11" ht="14.25">
      <c r="A296" s="19"/>
      <c r="B296" s="31"/>
      <c r="C296" s="19"/>
      <c r="D296" s="19"/>
      <c r="E296" s="19"/>
      <c r="F296" s="20"/>
      <c r="G296" s="19"/>
      <c r="H296" s="19"/>
      <c r="I296" s="20"/>
      <c r="J296" s="19"/>
      <c r="K296" s="19"/>
    </row>
    <row r="297" spans="1:11" ht="14.25">
      <c r="A297" s="19"/>
      <c r="B297" s="31"/>
      <c r="C297" s="19"/>
      <c r="D297" s="19"/>
      <c r="E297" s="19"/>
      <c r="F297" s="20"/>
      <c r="G297" s="19"/>
      <c r="H297" s="19"/>
      <c r="I297" s="20"/>
      <c r="J297" s="19"/>
      <c r="K297" s="19"/>
    </row>
    <row r="298" spans="1:11" ht="14.25">
      <c r="A298" s="19"/>
      <c r="B298" s="31"/>
      <c r="C298" s="19"/>
      <c r="D298" s="19"/>
      <c r="E298" s="19"/>
      <c r="F298" s="20"/>
      <c r="G298" s="19"/>
      <c r="H298" s="19"/>
      <c r="I298" s="20"/>
      <c r="J298" s="19"/>
      <c r="K298" s="19"/>
    </row>
    <row r="299" spans="1:11" ht="14.25">
      <c r="A299" s="19"/>
      <c r="B299" s="31"/>
      <c r="C299" s="19"/>
      <c r="D299" s="19"/>
      <c r="E299" s="19"/>
      <c r="F299" s="20"/>
      <c r="G299" s="19"/>
      <c r="H299" s="19"/>
      <c r="I299" s="20"/>
      <c r="J299" s="19"/>
      <c r="K299" s="19"/>
    </row>
    <row r="300" spans="1:11" ht="14.25">
      <c r="A300" s="19"/>
      <c r="B300" s="31"/>
      <c r="C300" s="19"/>
      <c r="D300" s="19"/>
      <c r="E300" s="19"/>
      <c r="F300" s="20"/>
      <c r="G300" s="19"/>
      <c r="H300" s="19"/>
      <c r="I300" s="20"/>
      <c r="J300" s="19"/>
      <c r="K300" s="19"/>
    </row>
    <row r="301" spans="1:11" ht="14.25">
      <c r="A301" s="19"/>
      <c r="B301" s="31"/>
      <c r="C301" s="19"/>
      <c r="D301" s="19"/>
      <c r="E301" s="19"/>
      <c r="F301" s="20"/>
      <c r="G301" s="19"/>
      <c r="H301" s="19"/>
      <c r="I301" s="20"/>
      <c r="J301" s="19"/>
      <c r="K301" s="19"/>
    </row>
    <row r="302" spans="1:11" ht="14.25">
      <c r="A302" s="19"/>
      <c r="B302" s="31"/>
      <c r="C302" s="19"/>
      <c r="D302" s="19"/>
      <c r="E302" s="19"/>
      <c r="F302" s="20"/>
      <c r="G302" s="19"/>
      <c r="H302" s="19"/>
      <c r="I302" s="20"/>
      <c r="J302" s="19"/>
      <c r="K302" s="19"/>
    </row>
    <row r="303" spans="1:11" ht="14.25">
      <c r="A303" s="19"/>
      <c r="B303" s="31"/>
      <c r="C303" s="19"/>
      <c r="D303" s="19"/>
      <c r="E303" s="19"/>
      <c r="F303" s="20"/>
      <c r="G303" s="19"/>
      <c r="H303" s="19"/>
      <c r="I303" s="20"/>
      <c r="J303" s="19"/>
      <c r="K303" s="19"/>
    </row>
    <row r="304" spans="1:11" ht="14.25">
      <c r="A304" s="19"/>
      <c r="B304" s="31"/>
      <c r="C304" s="19"/>
      <c r="D304" s="19"/>
      <c r="E304" s="19"/>
      <c r="F304" s="20"/>
      <c r="G304" s="19"/>
      <c r="H304" s="19"/>
      <c r="I304" s="20"/>
      <c r="J304" s="19"/>
      <c r="K304" s="19"/>
    </row>
    <row r="305" spans="1:11" ht="14.25">
      <c r="A305" s="19"/>
      <c r="B305" s="31"/>
      <c r="C305" s="19"/>
      <c r="D305" s="19"/>
      <c r="E305" s="19"/>
      <c r="F305" s="20"/>
      <c r="G305" s="19"/>
      <c r="H305" s="19"/>
      <c r="I305" s="20"/>
      <c r="J305" s="19"/>
      <c r="K305" s="19"/>
    </row>
    <row r="306" spans="1:11" ht="14.25">
      <c r="A306" s="19"/>
      <c r="B306" s="31"/>
      <c r="C306" s="19"/>
      <c r="D306" s="19"/>
      <c r="E306" s="19"/>
      <c r="F306" s="20"/>
      <c r="G306" s="19"/>
      <c r="H306" s="19"/>
      <c r="I306" s="20"/>
      <c r="J306" s="19"/>
      <c r="K306" s="19"/>
    </row>
    <row r="307" spans="1:11" ht="14.25">
      <c r="A307" s="19"/>
      <c r="B307" s="31"/>
      <c r="C307" s="19"/>
      <c r="D307" s="19"/>
      <c r="E307" s="19"/>
      <c r="F307" s="20"/>
      <c r="G307" s="19"/>
      <c r="H307" s="19"/>
      <c r="I307" s="20"/>
      <c r="J307" s="19"/>
      <c r="K307" s="19"/>
    </row>
    <row r="308" spans="1:11" ht="14.25">
      <c r="A308" s="19"/>
      <c r="B308" s="31"/>
      <c r="C308" s="19"/>
      <c r="D308" s="19"/>
      <c r="E308" s="19"/>
      <c r="F308" s="20"/>
      <c r="G308" s="19"/>
      <c r="H308" s="19"/>
      <c r="I308" s="20"/>
      <c r="J308" s="19"/>
      <c r="K308" s="19"/>
    </row>
    <row r="309" spans="1:11" ht="14.25">
      <c r="A309" s="19"/>
      <c r="B309" s="31"/>
      <c r="C309" s="19"/>
      <c r="D309" s="19"/>
      <c r="E309" s="19"/>
      <c r="F309" s="20"/>
      <c r="G309" s="19"/>
      <c r="H309" s="19"/>
      <c r="I309" s="20"/>
      <c r="J309" s="19"/>
      <c r="K309" s="19"/>
    </row>
    <row r="310" spans="1:11" ht="14.25">
      <c r="A310" s="19"/>
      <c r="B310" s="31"/>
      <c r="C310" s="19"/>
      <c r="D310" s="19"/>
      <c r="E310" s="19"/>
      <c r="F310" s="20"/>
      <c r="G310" s="19"/>
      <c r="H310" s="19"/>
      <c r="I310" s="20"/>
      <c r="J310" s="19"/>
      <c r="K310" s="19"/>
    </row>
    <row r="311" spans="1:11" ht="14.25">
      <c r="A311" s="19"/>
      <c r="B311" s="31"/>
      <c r="C311" s="19"/>
      <c r="D311" s="19"/>
      <c r="E311" s="19"/>
      <c r="F311" s="20"/>
      <c r="G311" s="19"/>
      <c r="H311" s="19"/>
      <c r="I311" s="20"/>
      <c r="J311" s="19"/>
      <c r="K311" s="19"/>
    </row>
    <row r="312" spans="1:11" ht="14.25">
      <c r="A312" s="19"/>
      <c r="B312" s="31"/>
      <c r="C312" s="19"/>
      <c r="D312" s="19"/>
      <c r="E312" s="19"/>
      <c r="F312" s="20"/>
      <c r="G312" s="19"/>
      <c r="H312" s="19"/>
      <c r="I312" s="20"/>
      <c r="J312" s="19"/>
      <c r="K312" s="19"/>
    </row>
    <row r="313" spans="1:11" ht="14.25">
      <c r="A313" s="19"/>
      <c r="B313" s="31"/>
      <c r="C313" s="19"/>
      <c r="D313" s="19"/>
      <c r="E313" s="19"/>
      <c r="F313" s="20"/>
      <c r="G313" s="19"/>
      <c r="H313" s="19"/>
      <c r="I313" s="20"/>
      <c r="J313" s="19"/>
      <c r="K313" s="19"/>
    </row>
    <row r="314" spans="1:11" ht="14.25">
      <c r="A314" s="19"/>
      <c r="B314" s="31"/>
      <c r="C314" s="19"/>
      <c r="D314" s="19"/>
      <c r="E314" s="19"/>
      <c r="F314" s="20"/>
      <c r="G314" s="19"/>
      <c r="H314" s="19"/>
      <c r="I314" s="20"/>
      <c r="J314" s="19"/>
      <c r="K314" s="19"/>
    </row>
    <row r="315" spans="1:11" ht="14.25">
      <c r="A315" s="19"/>
      <c r="B315" s="31"/>
      <c r="C315" s="19"/>
      <c r="D315" s="19"/>
      <c r="E315" s="19"/>
      <c r="F315" s="20"/>
      <c r="G315" s="19"/>
      <c r="H315" s="19"/>
      <c r="I315" s="20"/>
      <c r="J315" s="19"/>
      <c r="K315" s="19"/>
    </row>
    <row r="316" spans="1:11" ht="14.25">
      <c r="A316" s="19"/>
      <c r="B316" s="31"/>
      <c r="C316" s="19"/>
      <c r="D316" s="19"/>
      <c r="E316" s="19"/>
      <c r="F316" s="20"/>
      <c r="G316" s="19"/>
      <c r="H316" s="19"/>
      <c r="I316" s="20"/>
      <c r="J316" s="19"/>
      <c r="K316" s="19"/>
    </row>
    <row r="317" spans="1:11" ht="14.25">
      <c r="A317" s="19"/>
      <c r="B317" s="31"/>
      <c r="C317" s="19"/>
      <c r="D317" s="19"/>
      <c r="E317" s="19"/>
      <c r="F317" s="20"/>
      <c r="G317" s="19"/>
      <c r="H317" s="19"/>
      <c r="I317" s="20"/>
      <c r="J317" s="19"/>
      <c r="K317" s="19"/>
    </row>
    <row r="318" spans="1:11" ht="14.25">
      <c r="A318" s="19"/>
      <c r="B318" s="31"/>
      <c r="C318" s="19"/>
      <c r="D318" s="19"/>
      <c r="E318" s="19"/>
      <c r="F318" s="20"/>
      <c r="G318" s="19"/>
      <c r="H318" s="19"/>
      <c r="I318" s="20"/>
      <c r="J318" s="19"/>
      <c r="K318" s="19"/>
    </row>
    <row r="319" spans="1:11" ht="14.25">
      <c r="A319" s="19"/>
      <c r="B319" s="31"/>
      <c r="C319" s="19"/>
      <c r="D319" s="19"/>
      <c r="E319" s="19"/>
      <c r="F319" s="20"/>
      <c r="G319" s="19"/>
      <c r="H319" s="19"/>
      <c r="I319" s="20"/>
      <c r="J319" s="19"/>
      <c r="K319" s="19"/>
    </row>
    <row r="320" spans="1:11" ht="14.25">
      <c r="A320" s="19"/>
      <c r="B320" s="31"/>
      <c r="C320" s="19"/>
      <c r="D320" s="19"/>
      <c r="E320" s="19"/>
      <c r="F320" s="20"/>
      <c r="G320" s="19"/>
      <c r="H320" s="19"/>
      <c r="I320" s="20"/>
      <c r="J320" s="19"/>
      <c r="K320" s="19"/>
    </row>
    <row r="321" spans="1:11" ht="14.25">
      <c r="A321" s="19"/>
      <c r="B321" s="31"/>
      <c r="C321" s="19"/>
      <c r="D321" s="19"/>
      <c r="E321" s="19"/>
      <c r="F321" s="20"/>
      <c r="G321" s="19"/>
      <c r="H321" s="19"/>
      <c r="I321" s="20"/>
      <c r="J321" s="19"/>
      <c r="K321" s="19"/>
    </row>
    <row r="322" spans="1:11" ht="13.9">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1" priority="5" stopIfTrue="1" operator="lessThanOrEqual">
      <formula>-0.1</formula>
    </cfRule>
    <cfRule type="expression" dxfId="30" priority="6">
      <formula>AND(ISNUMBER(F2), F2&gt;=0.1)</formula>
    </cfRule>
  </conditionalFormatting>
  <conditionalFormatting sqref="F4:F80 I4:I80">
    <cfRule type="cellIs" dxfId="29" priority="1" stopIfTrue="1" operator="lessThanOrEqual">
      <formula>-0.1</formula>
    </cfRule>
    <cfRule type="expression" dxfId="28" priority="2">
      <formula>AND(ISNUMBER(F4), F4&gt;=0.1)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N322"/>
  <sheetViews>
    <sheetView zoomScale="80" zoomScaleNormal="80" workbookViewId="0">
      <pane xSplit="2" ySplit="3" topLeftCell="C4" activePane="bottomRight" state="frozen"/>
      <selection pane="bottomRight" activeCell="J4" activeCellId="3" sqref="C4:C10 D4:D10 G4:G10 J4:Q10"/>
      <selection pane="bottomLeft" activeCell="J4" activeCellId="3" sqref="C4:C10 D4:D10 G4:G10 J4:Q10"/>
      <selection pane="topRight" activeCell="J4" activeCellId="3" sqref="C4:C10 D4:D10 G4:G10 J4:Q10"/>
    </sheetView>
  </sheetViews>
  <sheetFormatPr defaultRowHeight="13.5"/>
  <cols>
    <col min="1" max="1" width="35.85546875" bestFit="1" customWidth="1"/>
    <col min="2" max="2" width="8.42578125" style="32"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4" ht="19.5" customHeight="1">
      <c r="A1" s="111" t="str" cm="1">
        <f t="array" ref="A1">portfolio</f>
        <v>GoodFinch</v>
      </c>
      <c r="B1" s="111"/>
      <c r="C1" s="111"/>
      <c r="D1" s="112" t="s">
        <v>29</v>
      </c>
      <c r="E1" s="112"/>
      <c r="F1" s="112"/>
      <c r="G1" s="110" t="s">
        <v>30</v>
      </c>
      <c r="H1" s="110"/>
      <c r="I1" s="110"/>
      <c r="J1" s="4"/>
      <c r="K1" s="4"/>
    </row>
    <row r="2" spans="1:14" ht="19.5" customHeight="1">
      <c r="A2" s="113" t="s">
        <v>2</v>
      </c>
      <c r="B2" s="113"/>
      <c r="C2" s="5">
        <f>SUM(C4:C80)</f>
        <v>0</v>
      </c>
      <c r="D2" s="5">
        <f>SUM(D4:D80)</f>
        <v>0</v>
      </c>
      <c r="E2" s="5">
        <f>C2-D2</f>
        <v>0</v>
      </c>
      <c r="F2" s="6">
        <f>IFERROR(E2/D2, 0)</f>
        <v>0</v>
      </c>
      <c r="G2" s="5">
        <f>SUM(G4:G80)</f>
        <v>0</v>
      </c>
      <c r="H2" s="7">
        <f>C2-G2</f>
        <v>0</v>
      </c>
      <c r="I2" s="6">
        <f>IFERROR(H2/G2, 0)</f>
        <v>0</v>
      </c>
      <c r="J2" s="24"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1" t="s">
        <v>5</v>
      </c>
      <c r="D3" s="33" t="s">
        <v>6</v>
      </c>
      <c r="E3" s="33" t="s">
        <v>7</v>
      </c>
      <c r="F3" s="34" t="s">
        <v>8</v>
      </c>
      <c r="G3" s="35" t="s">
        <v>9</v>
      </c>
      <c r="H3" s="36" t="s">
        <v>7</v>
      </c>
      <c r="I3" s="37" t="s">
        <v>8</v>
      </c>
      <c r="J3" s="23" t="s">
        <v>21</v>
      </c>
      <c r="K3" s="23" t="s">
        <v>22</v>
      </c>
    </row>
    <row r="4" spans="1:14" ht="15.75">
      <c r="A4" s="30" t="str" cm="1">
        <f t="array" ref="A4:A45">Sites[Site]</f>
        <v>AZ: Tempe - ASU - Farmer</v>
      </c>
      <c r="B4" s="27" t="str" cm="1">
        <f t="array" ref="B4:B45">Sites[State]</f>
        <v>AZ</v>
      </c>
      <c r="C4" s="22"/>
      <c r="D4" s="12"/>
      <c r="E4" s="12" t="str">
        <f>IF(AND(ISNUMBER(C4),ISNUMBER(D4)), C4-D4, "")</f>
        <v/>
      </c>
      <c r="F4" s="13" t="str">
        <f>IFERROR(E4/D4, "")</f>
        <v/>
      </c>
      <c r="G4" s="14"/>
      <c r="H4" s="14" t="str">
        <f>IF(AND(ISNUMBER(C4),ISNUMBER(G4)), C4-G4, "")</f>
        <v/>
      </c>
      <c r="I4" s="15" t="str">
        <f>IFERROR(H4/G4, "")</f>
        <v/>
      </c>
      <c r="J4" s="39"/>
      <c r="K4" s="59"/>
    </row>
    <row r="5" spans="1:14" ht="15.75">
      <c r="A5" s="28" t="str">
        <v>AZ: Tempe - ASU - Fulton</v>
      </c>
      <c r="B5" s="29" t="str">
        <v>AZ</v>
      </c>
      <c r="C5" s="11"/>
      <c r="D5" s="16"/>
      <c r="E5" s="16" t="str">
        <f t="shared" ref="E5:E6" si="0">IF(AND(ISNUMBER(C5),ISNUMBER(D5)), C5-D5, "")</f>
        <v/>
      </c>
      <c r="F5" s="17" t="str">
        <f>IFERROR(E5/D5, "")</f>
        <v/>
      </c>
      <c r="G5" s="78"/>
      <c r="H5" s="18" t="str">
        <f t="shared" ref="H5:H6" si="1">IF(AND(ISNUMBER(C5),ISNUMBER(G5)), C5-G5, "")</f>
        <v/>
      </c>
      <c r="I5" s="17" t="str">
        <f t="shared" ref="I5:I6" si="2">IFERROR(H5/G5, "")</f>
        <v/>
      </c>
      <c r="J5" s="40"/>
      <c r="K5" s="60"/>
    </row>
    <row r="6" spans="1:14" ht="15.75">
      <c r="A6" s="26" t="str">
        <v>AZ: Superior - JFK Elementary</v>
      </c>
      <c r="B6" s="27" t="str">
        <v>AZ</v>
      </c>
      <c r="C6" s="22"/>
      <c r="D6" s="12"/>
      <c r="E6" s="12" t="str">
        <f t="shared" si="0"/>
        <v/>
      </c>
      <c r="F6" s="13" t="str">
        <f t="shared" ref="F6" si="3">IFERROR(E6/D6, "")</f>
        <v/>
      </c>
      <c r="G6" s="14"/>
      <c r="H6" s="14" t="str">
        <f t="shared" si="1"/>
        <v/>
      </c>
      <c r="I6" s="15" t="str">
        <f t="shared" si="2"/>
        <v/>
      </c>
      <c r="J6" s="39"/>
      <c r="K6" s="59"/>
    </row>
    <row r="7" spans="1:14" ht="15.75">
      <c r="A7" s="28" t="str">
        <v>AZ: Tempe - ASU - Noble</v>
      </c>
      <c r="B7" s="29" t="str">
        <v>AZ</v>
      </c>
      <c r="C7" s="11"/>
      <c r="D7" s="16"/>
      <c r="E7" s="16" t="str">
        <f t="shared" ref="E7:E45" si="4">IF(AND(ISNUMBER(C7),ISNUMBER(D7)), C7-D7, "")</f>
        <v/>
      </c>
      <c r="F7" s="17" t="str">
        <f t="shared" ref="F7:F45" si="5">IFERROR(E7/D7, "")</f>
        <v/>
      </c>
      <c r="G7" s="78"/>
      <c r="H7" s="18" t="str">
        <f t="shared" ref="H7:H45" si="6">IF(AND(ISNUMBER(C7),ISNUMBER(G7)), C7-G7, "")</f>
        <v/>
      </c>
      <c r="I7" s="17" t="str">
        <f t="shared" ref="I7:I45" si="7">IFERROR(H7/G7, "")</f>
        <v/>
      </c>
      <c r="J7" s="40"/>
      <c r="K7" s="41"/>
    </row>
    <row r="8" spans="1:14" ht="15.75">
      <c r="A8" s="26" t="str">
        <v>AZ: Tempe - ASU - Parking #3</v>
      </c>
      <c r="B8" s="27" t="str">
        <v>AZ</v>
      </c>
      <c r="C8" s="22"/>
      <c r="D8" s="12"/>
      <c r="E8" s="12" t="str">
        <f t="shared" si="4"/>
        <v/>
      </c>
      <c r="F8" s="13" t="str">
        <f t="shared" si="5"/>
        <v/>
      </c>
      <c r="G8" s="79"/>
      <c r="H8" s="14" t="str">
        <f t="shared" si="6"/>
        <v/>
      </c>
      <c r="I8" s="15" t="str">
        <f t="shared" si="7"/>
        <v/>
      </c>
      <c r="J8" s="39"/>
      <c r="K8" s="59"/>
      <c r="L8" s="63"/>
      <c r="M8" s="63"/>
      <c r="N8" s="63"/>
    </row>
    <row r="9" spans="1:14" ht="15.75">
      <c r="A9" s="28" t="str">
        <v>AZ: Tempe - ASU - PE East</v>
      </c>
      <c r="B9" s="29" t="str">
        <v>AZ</v>
      </c>
      <c r="C9" s="11"/>
      <c r="D9" s="16"/>
      <c r="E9" s="16" t="str">
        <f t="shared" si="4"/>
        <v/>
      </c>
      <c r="F9" s="17" t="str">
        <f t="shared" si="5"/>
        <v/>
      </c>
      <c r="G9" s="18"/>
      <c r="H9" s="18" t="str">
        <f t="shared" si="6"/>
        <v/>
      </c>
      <c r="I9" s="17" t="str">
        <f t="shared" si="7"/>
        <v/>
      </c>
      <c r="J9" s="40"/>
      <c r="K9" s="60"/>
      <c r="L9" s="63"/>
    </row>
    <row r="10" spans="1:14" ht="15.75">
      <c r="A10" s="26" t="str">
        <v>AZ: Tempe - ASU - Schwada</v>
      </c>
      <c r="B10" s="27" t="str">
        <v>AZ</v>
      </c>
      <c r="C10" s="73"/>
      <c r="D10" s="12"/>
      <c r="E10" s="12" t="str">
        <f t="shared" si="4"/>
        <v/>
      </c>
      <c r="F10" s="74" t="str">
        <f t="shared" si="5"/>
        <v/>
      </c>
      <c r="G10" s="75"/>
      <c r="H10" s="75" t="str">
        <f t="shared" si="6"/>
        <v/>
      </c>
      <c r="I10" s="76" t="str">
        <f t="shared" si="7"/>
        <v/>
      </c>
      <c r="J10" s="77"/>
      <c r="K10" s="81"/>
    </row>
    <row r="11" spans="1:14" ht="15.75">
      <c r="A11" s="28" t="str">
        <v>AZ: Phoenix - Starshine Academy</v>
      </c>
      <c r="B11" s="29" t="str">
        <v>AZ</v>
      </c>
      <c r="C11" s="100"/>
      <c r="D11" s="16"/>
      <c r="E11" s="16" t="str">
        <f t="shared" si="4"/>
        <v/>
      </c>
      <c r="F11" s="99" t="str">
        <f t="shared" si="5"/>
        <v/>
      </c>
      <c r="G11" s="80"/>
      <c r="H11" s="80" t="str">
        <f t="shared" si="6"/>
        <v/>
      </c>
      <c r="I11" s="99" t="str">
        <f t="shared" si="7"/>
        <v/>
      </c>
      <c r="J11" s="40"/>
      <c r="K11" s="60"/>
    </row>
    <row r="12" spans="1:14" ht="15.75">
      <c r="A12" s="26" t="str">
        <v>AZ: Yuma Airport</v>
      </c>
      <c r="B12" s="27" t="str">
        <v>AZ</v>
      </c>
      <c r="C12" s="73"/>
      <c r="D12" s="12"/>
      <c r="E12" s="12" t="str">
        <f t="shared" si="4"/>
        <v/>
      </c>
      <c r="F12" s="74" t="str">
        <f t="shared" si="5"/>
        <v/>
      </c>
      <c r="G12" s="75"/>
      <c r="H12" s="75" t="str">
        <f t="shared" si="6"/>
        <v/>
      </c>
      <c r="I12" s="76" t="str">
        <f t="shared" si="7"/>
        <v/>
      </c>
      <c r="J12" s="77"/>
      <c r="K12" s="81"/>
    </row>
    <row r="13" spans="1:14" ht="15.75">
      <c r="A13" s="28" t="str">
        <v>AZ: Globe - Gila CC</v>
      </c>
      <c r="B13" s="29" t="str">
        <v>AZ</v>
      </c>
      <c r="C13" s="100"/>
      <c r="D13" s="16"/>
      <c r="E13" s="16" t="str">
        <f t="shared" si="4"/>
        <v/>
      </c>
      <c r="F13" s="99" t="str">
        <f t="shared" si="5"/>
        <v/>
      </c>
      <c r="G13" s="80"/>
      <c r="H13" s="80" t="str">
        <f t="shared" si="6"/>
        <v/>
      </c>
      <c r="I13" s="99" t="str">
        <f t="shared" si="7"/>
        <v/>
      </c>
      <c r="J13" s="40"/>
      <c r="K13" s="60"/>
    </row>
    <row r="14" spans="1:14" ht="15.75">
      <c r="A14" s="26" t="str">
        <v>AZ: Payson - Gila CC</v>
      </c>
      <c r="B14" s="27" t="str">
        <v>AZ</v>
      </c>
      <c r="C14" s="73"/>
      <c r="D14" s="12"/>
      <c r="E14" s="12" t="str">
        <f t="shared" si="4"/>
        <v/>
      </c>
      <c r="F14" s="74" t="str">
        <f t="shared" si="5"/>
        <v/>
      </c>
      <c r="G14" s="75"/>
      <c r="H14" s="75" t="str">
        <f t="shared" si="6"/>
        <v/>
      </c>
      <c r="I14" s="76" t="str">
        <f t="shared" si="7"/>
        <v/>
      </c>
      <c r="J14" s="77"/>
      <c r="K14" s="81"/>
    </row>
    <row r="15" spans="1:14" ht="15.75">
      <c r="A15" s="28" t="str">
        <v>AZ: Mesa - Sequoia Charter School</v>
      </c>
      <c r="B15" s="29" t="str">
        <v>AZ</v>
      </c>
      <c r="C15" s="100"/>
      <c r="D15" s="16"/>
      <c r="E15" s="16" t="str">
        <f t="shared" si="4"/>
        <v/>
      </c>
      <c r="F15" s="99" t="str">
        <f t="shared" si="5"/>
        <v/>
      </c>
      <c r="G15" s="80"/>
      <c r="H15" s="80" t="str">
        <f t="shared" si="6"/>
        <v/>
      </c>
      <c r="I15" s="99" t="str">
        <f t="shared" si="7"/>
        <v/>
      </c>
      <c r="J15" s="40"/>
      <c r="K15" s="60"/>
    </row>
    <row r="16" spans="1:14" ht="15.75">
      <c r="A16" s="26" t="str">
        <v>AZ: Tempe - SCNM</v>
      </c>
      <c r="B16" s="27" t="str">
        <v>AZ</v>
      </c>
      <c r="C16" s="73"/>
      <c r="D16" s="12"/>
      <c r="E16" s="12" t="str">
        <f t="shared" si="4"/>
        <v/>
      </c>
      <c r="F16" s="74" t="str">
        <f t="shared" si="5"/>
        <v/>
      </c>
      <c r="G16" s="75"/>
      <c r="H16" s="75" t="str">
        <f t="shared" si="6"/>
        <v/>
      </c>
      <c r="I16" s="76" t="str">
        <f t="shared" si="7"/>
        <v/>
      </c>
      <c r="J16" s="77"/>
      <c r="K16" s="81"/>
    </row>
    <row r="17" spans="1:11" ht="15.75">
      <c r="A17" s="28" t="str">
        <v>DE: Newark - Clayton Hall</v>
      </c>
      <c r="B17" s="29" t="str">
        <v>DE</v>
      </c>
      <c r="C17" s="100"/>
      <c r="D17" s="16"/>
      <c r="E17" s="16" t="str">
        <f t="shared" si="4"/>
        <v/>
      </c>
      <c r="F17" s="99" t="str">
        <f t="shared" si="5"/>
        <v/>
      </c>
      <c r="G17" s="80"/>
      <c r="H17" s="80" t="str">
        <f t="shared" si="6"/>
        <v/>
      </c>
      <c r="I17" s="99" t="str">
        <f t="shared" si="7"/>
        <v/>
      </c>
      <c r="J17" s="40"/>
      <c r="K17" s="60"/>
    </row>
    <row r="18" spans="1:11" ht="15.75">
      <c r="A18" s="26" t="str">
        <v>DE: Newark - UOD Field House</v>
      </c>
      <c r="B18" s="27" t="str">
        <v>DE</v>
      </c>
      <c r="C18" s="73"/>
      <c r="D18" s="12"/>
      <c r="E18" s="12" t="str">
        <f t="shared" si="4"/>
        <v/>
      </c>
      <c r="F18" s="74" t="str">
        <f t="shared" si="5"/>
        <v/>
      </c>
      <c r="G18" s="75"/>
      <c r="H18" s="75" t="str">
        <f t="shared" si="6"/>
        <v/>
      </c>
      <c r="I18" s="76" t="str">
        <f t="shared" si="7"/>
        <v/>
      </c>
      <c r="J18" s="77"/>
      <c r="K18" s="81"/>
    </row>
    <row r="19" spans="1:11" ht="15.75">
      <c r="A19" s="28" t="str">
        <v>DE: Newark - UOD 461 Wyoming</v>
      </c>
      <c r="B19" s="29" t="str">
        <v>DE</v>
      </c>
      <c r="C19" s="100"/>
      <c r="D19" s="16"/>
      <c r="E19" s="16" t="str">
        <f t="shared" si="4"/>
        <v/>
      </c>
      <c r="F19" s="99" t="str">
        <f t="shared" si="5"/>
        <v/>
      </c>
      <c r="G19" s="80"/>
      <c r="H19" s="80" t="str">
        <f t="shared" si="6"/>
        <v/>
      </c>
      <c r="I19" s="99" t="str">
        <f t="shared" si="7"/>
        <v/>
      </c>
      <c r="J19" s="40"/>
      <c r="K19" s="60"/>
    </row>
    <row r="20" spans="1:11" ht="15.75">
      <c r="A20" s="26" t="str">
        <v>HI: Waipahu - 94-246 Leoku St - E.F.G.</v>
      </c>
      <c r="B20" s="27" t="str">
        <v>HI</v>
      </c>
      <c r="C20" s="73"/>
      <c r="D20" s="12"/>
      <c r="E20" s="12" t="str">
        <f t="shared" si="4"/>
        <v/>
      </c>
      <c r="F20" s="74" t="str">
        <f t="shared" si="5"/>
        <v/>
      </c>
      <c r="G20" s="75"/>
      <c r="H20" s="75" t="str">
        <f t="shared" si="6"/>
        <v/>
      </c>
      <c r="I20" s="76" t="str">
        <f t="shared" si="7"/>
        <v/>
      </c>
      <c r="J20" s="77"/>
      <c r="K20" s="81"/>
    </row>
    <row r="21" spans="1:11" ht="15.75">
      <c r="A21" s="28" t="str">
        <v>HI: Waipahu - 94-099 Waipahu St - PV</v>
      </c>
      <c r="B21" s="29" t="str">
        <v>HI</v>
      </c>
      <c r="C21" s="100"/>
      <c r="D21" s="16"/>
      <c r="E21" s="16" t="str">
        <f t="shared" si="4"/>
        <v/>
      </c>
      <c r="F21" s="99" t="str">
        <f t="shared" si="5"/>
        <v/>
      </c>
      <c r="G21" s="80"/>
      <c r="H21" s="80" t="str">
        <f t="shared" si="6"/>
        <v/>
      </c>
      <c r="I21" s="99" t="str">
        <f t="shared" si="7"/>
        <v/>
      </c>
      <c r="J21" s="40"/>
      <c r="K21" s="60"/>
    </row>
    <row r="22" spans="1:11" ht="15.75">
      <c r="A22" s="26" t="str">
        <v>MD: Presston - Bird-in-Hand</v>
      </c>
      <c r="B22" s="27" t="str">
        <v>MD</v>
      </c>
      <c r="C22" s="73"/>
      <c r="D22" s="12"/>
      <c r="E22" s="12" t="str">
        <f t="shared" si="4"/>
        <v/>
      </c>
      <c r="F22" s="74" t="str">
        <f t="shared" si="5"/>
        <v/>
      </c>
      <c r="G22" s="75"/>
      <c r="H22" s="75" t="str">
        <f t="shared" si="6"/>
        <v/>
      </c>
      <c r="I22" s="76" t="str">
        <f t="shared" si="7"/>
        <v/>
      </c>
      <c r="J22" s="77"/>
      <c r="K22" s="81"/>
    </row>
    <row r="23" spans="1:11" ht="15.75">
      <c r="A23" s="28" t="str">
        <v>MD: Easton - Shortall</v>
      </c>
      <c r="B23" s="29" t="str">
        <v>MD</v>
      </c>
      <c r="C23" s="100"/>
      <c r="D23" s="16"/>
      <c r="E23" s="16" t="str">
        <f t="shared" si="4"/>
        <v/>
      </c>
      <c r="F23" s="99" t="str">
        <f t="shared" si="5"/>
        <v/>
      </c>
      <c r="G23" s="80"/>
      <c r="H23" s="80" t="str">
        <f t="shared" si="6"/>
        <v/>
      </c>
      <c r="I23" s="99" t="str">
        <f t="shared" si="7"/>
        <v/>
      </c>
      <c r="J23" s="40"/>
      <c r="K23" s="60"/>
    </row>
    <row r="24" spans="1:11" ht="15.75">
      <c r="A24" s="26" t="str">
        <v>MA: Boston - Seaport Solar</v>
      </c>
      <c r="B24" s="27" t="str">
        <v>MA</v>
      </c>
      <c r="C24" s="73"/>
      <c r="D24" s="12"/>
      <c r="E24" s="12" t="str">
        <f t="shared" si="4"/>
        <v/>
      </c>
      <c r="F24" s="74" t="str">
        <f t="shared" si="5"/>
        <v/>
      </c>
      <c r="G24" s="75"/>
      <c r="H24" s="75" t="str">
        <f t="shared" si="6"/>
        <v/>
      </c>
      <c r="I24" s="76" t="str">
        <f t="shared" si="7"/>
        <v/>
      </c>
      <c r="J24" s="77"/>
      <c r="K24" s="81"/>
    </row>
    <row r="25" spans="1:11" ht="15.75">
      <c r="A25" s="28" t="str">
        <v>MA: Dedham - Sprague Street</v>
      </c>
      <c r="B25" s="29" t="str">
        <v>MA</v>
      </c>
      <c r="C25" s="100"/>
      <c r="D25" s="16"/>
      <c r="E25" s="16" t="str">
        <f t="shared" si="4"/>
        <v/>
      </c>
      <c r="F25" s="99" t="str">
        <f t="shared" si="5"/>
        <v/>
      </c>
      <c r="G25" s="80"/>
      <c r="H25" s="80" t="str">
        <f t="shared" si="6"/>
        <v/>
      </c>
      <c r="I25" s="99" t="str">
        <f t="shared" si="7"/>
        <v/>
      </c>
      <c r="J25" s="40"/>
      <c r="K25" s="60"/>
    </row>
    <row r="26" spans="1:11" ht="15.75">
      <c r="A26" s="26" t="str">
        <v>MA: Boston - Summer Street</v>
      </c>
      <c r="B26" s="27" t="str">
        <v>MA</v>
      </c>
      <c r="C26" s="73"/>
      <c r="D26" s="12"/>
      <c r="E26" s="12" t="str">
        <f t="shared" si="4"/>
        <v/>
      </c>
      <c r="F26" s="74" t="str">
        <f t="shared" si="5"/>
        <v/>
      </c>
      <c r="G26" s="75"/>
      <c r="H26" s="75" t="str">
        <f t="shared" si="6"/>
        <v/>
      </c>
      <c r="I26" s="76" t="str">
        <f t="shared" si="7"/>
        <v/>
      </c>
      <c r="J26" s="77"/>
      <c r="K26" s="81"/>
    </row>
    <row r="27" spans="1:11" ht="15.75">
      <c r="A27" s="28" t="str">
        <v>MA: Leominster - Spectro Coatings</v>
      </c>
      <c r="B27" s="29" t="str">
        <v>MA</v>
      </c>
      <c r="C27" s="100"/>
      <c r="D27" s="16"/>
      <c r="E27" s="16" t="str">
        <f t="shared" si="4"/>
        <v/>
      </c>
      <c r="F27" s="99" t="str">
        <f t="shared" si="5"/>
        <v/>
      </c>
      <c r="G27" s="80"/>
      <c r="H27" s="80" t="str">
        <f t="shared" si="6"/>
        <v/>
      </c>
      <c r="I27" s="99" t="str">
        <f t="shared" si="7"/>
        <v/>
      </c>
      <c r="J27" s="40"/>
      <c r="K27" s="60"/>
    </row>
    <row r="28" spans="1:11" ht="15.75">
      <c r="A28" s="26" t="str">
        <v>MA: Braintree - RCAB</v>
      </c>
      <c r="B28" s="27" t="str">
        <v>MA</v>
      </c>
      <c r="C28" s="73"/>
      <c r="D28" s="12"/>
      <c r="E28" s="12" t="str">
        <f t="shared" si="4"/>
        <v/>
      </c>
      <c r="F28" s="74" t="str">
        <f t="shared" si="5"/>
        <v/>
      </c>
      <c r="G28" s="75"/>
      <c r="H28" s="75" t="str">
        <f t="shared" si="6"/>
        <v/>
      </c>
      <c r="I28" s="76" t="str">
        <f t="shared" si="7"/>
        <v/>
      </c>
      <c r="J28" s="77"/>
      <c r="K28" s="81"/>
    </row>
    <row r="29" spans="1:11" ht="15.75">
      <c r="A29" s="28" t="str">
        <v>NH: Rochester - Portland Street</v>
      </c>
      <c r="B29" s="29" t="str">
        <v>NH</v>
      </c>
      <c r="C29" s="100"/>
      <c r="D29" s="16"/>
      <c r="E29" s="16" t="str">
        <f t="shared" si="4"/>
        <v/>
      </c>
      <c r="F29" s="99" t="str">
        <f t="shared" si="5"/>
        <v/>
      </c>
      <c r="G29" s="80"/>
      <c r="H29" s="80" t="str">
        <f t="shared" si="6"/>
        <v/>
      </c>
      <c r="I29" s="99" t="str">
        <f t="shared" si="7"/>
        <v/>
      </c>
      <c r="J29" s="40"/>
      <c r="K29" s="60"/>
    </row>
    <row r="30" spans="1:11" ht="15.75">
      <c r="A30" s="26" t="str">
        <v>NH: Portsmouth - Portsmouth HS</v>
      </c>
      <c r="B30" s="27" t="str">
        <v>NH</v>
      </c>
      <c r="C30" s="73"/>
      <c r="D30" s="12"/>
      <c r="E30" s="12" t="str">
        <f t="shared" si="4"/>
        <v/>
      </c>
      <c r="F30" s="74" t="str">
        <f t="shared" si="5"/>
        <v/>
      </c>
      <c r="G30" s="75"/>
      <c r="H30" s="75" t="str">
        <f t="shared" si="6"/>
        <v/>
      </c>
      <c r="I30" s="76" t="str">
        <f t="shared" si="7"/>
        <v/>
      </c>
      <c r="J30" s="77"/>
      <c r="K30" s="81"/>
    </row>
    <row r="31" spans="1:11" ht="15.75">
      <c r="A31" s="28" t="str">
        <v>NH: Portsmouth - Portsmouth WTP</v>
      </c>
      <c r="B31" s="29" t="str">
        <v>NH</v>
      </c>
      <c r="C31" s="100"/>
      <c r="D31" s="16"/>
      <c r="E31" s="16" t="str">
        <f t="shared" si="4"/>
        <v/>
      </c>
      <c r="F31" s="99" t="str">
        <f t="shared" si="5"/>
        <v/>
      </c>
      <c r="G31" s="80"/>
      <c r="H31" s="80" t="str">
        <f t="shared" si="6"/>
        <v/>
      </c>
      <c r="I31" s="99" t="str">
        <f t="shared" si="7"/>
        <v/>
      </c>
      <c r="J31" s="40"/>
      <c r="K31" s="60"/>
    </row>
    <row r="32" spans="1:11" ht="15.75">
      <c r="A32" s="26" t="str">
        <v>NH: Rochester - Rochester MS</v>
      </c>
      <c r="B32" s="27" t="str">
        <v>NH</v>
      </c>
      <c r="C32" s="73"/>
      <c r="D32" s="12"/>
      <c r="E32" s="12" t="str">
        <f t="shared" si="4"/>
        <v/>
      </c>
      <c r="F32" s="74" t="str">
        <f t="shared" si="5"/>
        <v/>
      </c>
      <c r="G32" s="75"/>
      <c r="H32" s="75" t="str">
        <f t="shared" si="6"/>
        <v/>
      </c>
      <c r="I32" s="76" t="str">
        <f t="shared" si="7"/>
        <v/>
      </c>
      <c r="J32" s="77"/>
      <c r="K32" s="81"/>
    </row>
    <row r="33" spans="1:11" ht="15.75">
      <c r="A33" s="28" t="str">
        <v>NH Rochester - Spaulding HS</v>
      </c>
      <c r="B33" s="29" t="str">
        <v>NH</v>
      </c>
      <c r="C33" s="100"/>
      <c r="D33" s="16"/>
      <c r="E33" s="16" t="str">
        <f t="shared" si="4"/>
        <v/>
      </c>
      <c r="F33" s="99" t="str">
        <f t="shared" si="5"/>
        <v/>
      </c>
      <c r="G33" s="80"/>
      <c r="H33" s="80" t="str">
        <f t="shared" si="6"/>
        <v/>
      </c>
      <c r="I33" s="99" t="str">
        <f t="shared" si="7"/>
        <v/>
      </c>
      <c r="J33" s="40"/>
      <c r="K33" s="60"/>
    </row>
    <row r="34" spans="1:11" ht="15.75">
      <c r="A34" s="26" t="str">
        <v>NH: Rochester - McClelland ES</v>
      </c>
      <c r="B34" s="27" t="str">
        <v>NH</v>
      </c>
      <c r="C34" s="73"/>
      <c r="D34" s="12"/>
      <c r="E34" s="12" t="str">
        <f t="shared" si="4"/>
        <v/>
      </c>
      <c r="F34" s="74" t="str">
        <f t="shared" si="5"/>
        <v/>
      </c>
      <c r="G34" s="75"/>
      <c r="H34" s="75" t="str">
        <f t="shared" si="6"/>
        <v/>
      </c>
      <c r="I34" s="76" t="str">
        <f t="shared" si="7"/>
        <v/>
      </c>
      <c r="J34" s="77"/>
      <c r="K34" s="81"/>
    </row>
    <row r="35" spans="1:11" ht="15.75">
      <c r="A35" s="28" t="str">
        <v>NH: Rochester - Brock St Vocational</v>
      </c>
      <c r="B35" s="29" t="str">
        <v>NH</v>
      </c>
      <c r="C35" s="100"/>
      <c r="D35" s="16"/>
      <c r="E35" s="16" t="str">
        <f t="shared" si="4"/>
        <v/>
      </c>
      <c r="F35" s="99" t="str">
        <f t="shared" si="5"/>
        <v/>
      </c>
      <c r="G35" s="80"/>
      <c r="H35" s="80" t="str">
        <f t="shared" si="6"/>
        <v/>
      </c>
      <c r="I35" s="99" t="str">
        <f t="shared" si="7"/>
        <v/>
      </c>
      <c r="J35" s="40"/>
      <c r="K35" s="60"/>
    </row>
    <row r="36" spans="1:11" ht="15.75">
      <c r="A36" s="26" t="str">
        <v>OH: Cleveland - CV Kinsman</v>
      </c>
      <c r="B36" s="27" t="str">
        <v>OH</v>
      </c>
      <c r="C36" s="73"/>
      <c r="D36" s="12"/>
      <c r="E36" s="12" t="str">
        <f t="shared" si="4"/>
        <v/>
      </c>
      <c r="F36" s="74" t="str">
        <f t="shared" si="5"/>
        <v/>
      </c>
      <c r="G36" s="75"/>
      <c r="H36" s="75" t="str">
        <f t="shared" si="6"/>
        <v/>
      </c>
      <c r="I36" s="76" t="str">
        <f t="shared" si="7"/>
        <v/>
      </c>
      <c r="J36" s="77"/>
      <c r="K36" s="81"/>
    </row>
    <row r="37" spans="1:11" ht="15.75">
      <c r="A37" s="28" t="str">
        <v>OH: Cleveland - CV Wooster</v>
      </c>
      <c r="B37" s="29" t="str">
        <v>OH</v>
      </c>
      <c r="C37" s="100"/>
      <c r="D37" s="16"/>
      <c r="E37" s="16" t="str">
        <f t="shared" si="4"/>
        <v/>
      </c>
      <c r="F37" s="99" t="str">
        <f t="shared" si="5"/>
        <v/>
      </c>
      <c r="G37" s="80"/>
      <c r="H37" s="80" t="str">
        <f t="shared" si="6"/>
        <v/>
      </c>
      <c r="I37" s="99" t="str">
        <f t="shared" si="7"/>
        <v/>
      </c>
      <c r="J37" s="40"/>
      <c r="K37" s="60"/>
    </row>
    <row r="38" spans="1:11" ht="15.75">
      <c r="A38" s="26" t="str">
        <v>PR: Aguadilla - Coca Cola</v>
      </c>
      <c r="B38" s="27" t="str">
        <v>PR</v>
      </c>
      <c r="C38" s="73"/>
      <c r="D38" s="12"/>
      <c r="E38" s="12" t="str">
        <f t="shared" si="4"/>
        <v/>
      </c>
      <c r="F38" s="74" t="str">
        <f t="shared" si="5"/>
        <v/>
      </c>
      <c r="G38" s="75"/>
      <c r="H38" s="75" t="str">
        <f t="shared" si="6"/>
        <v/>
      </c>
      <c r="I38" s="76" t="str">
        <f t="shared" si="7"/>
        <v/>
      </c>
      <c r="J38" s="77"/>
      <c r="K38" s="81"/>
    </row>
    <row r="39" spans="1:11" ht="15.75">
      <c r="A39" s="28" t="str">
        <v>PR: Bayamon - Coca Cola</v>
      </c>
      <c r="B39" s="29" t="str">
        <v>PR</v>
      </c>
      <c r="C39" s="100"/>
      <c r="D39" s="16"/>
      <c r="E39" s="16" t="str">
        <f t="shared" si="4"/>
        <v/>
      </c>
      <c r="F39" s="99" t="str">
        <f t="shared" si="5"/>
        <v/>
      </c>
      <c r="G39" s="80"/>
      <c r="H39" s="80" t="str">
        <f t="shared" si="6"/>
        <v/>
      </c>
      <c r="I39" s="99" t="str">
        <f t="shared" si="7"/>
        <v/>
      </c>
      <c r="J39" s="40"/>
      <c r="K39" s="60"/>
    </row>
    <row r="40" spans="1:11" ht="15.75">
      <c r="A40" s="26" t="str">
        <v>PR: Carolina - St. Francis</v>
      </c>
      <c r="B40" s="27" t="str">
        <v>PR</v>
      </c>
      <c r="C40" s="73"/>
      <c r="D40" s="12"/>
      <c r="E40" s="12" t="str">
        <f t="shared" si="4"/>
        <v/>
      </c>
      <c r="F40" s="74" t="str">
        <f t="shared" si="5"/>
        <v/>
      </c>
      <c r="G40" s="75"/>
      <c r="H40" s="75" t="str">
        <f t="shared" si="6"/>
        <v/>
      </c>
      <c r="I40" s="76" t="str">
        <f t="shared" si="7"/>
        <v/>
      </c>
      <c r="J40" s="77"/>
      <c r="K40" s="81"/>
    </row>
    <row r="41" spans="1:11" ht="15.75">
      <c r="A41" s="28" t="str">
        <v>DC: Washington - Essex Condominium</v>
      </c>
      <c r="B41" s="29" t="str">
        <v>DC</v>
      </c>
      <c r="C41" s="100"/>
      <c r="D41" s="16"/>
      <c r="E41" s="16" t="str">
        <f t="shared" si="4"/>
        <v/>
      </c>
      <c r="F41" s="99" t="str">
        <f t="shared" si="5"/>
        <v/>
      </c>
      <c r="G41" s="80"/>
      <c r="H41" s="80" t="str">
        <f t="shared" si="6"/>
        <v/>
      </c>
      <c r="I41" s="99" t="str">
        <f t="shared" si="7"/>
        <v/>
      </c>
      <c r="J41" s="40"/>
      <c r="K41" s="60"/>
    </row>
    <row r="42" spans="1:11" ht="15.75">
      <c r="A42" s="26" t="str">
        <v>DC: Chevy Chase -Sinai</v>
      </c>
      <c r="B42" s="27" t="str">
        <v>DC</v>
      </c>
      <c r="C42" s="73"/>
      <c r="D42" s="12"/>
      <c r="E42" s="12" t="str">
        <f t="shared" si="4"/>
        <v/>
      </c>
      <c r="F42" s="74" t="str">
        <f t="shared" si="5"/>
        <v/>
      </c>
      <c r="G42" s="75"/>
      <c r="H42" s="75" t="str">
        <f t="shared" si="6"/>
        <v/>
      </c>
      <c r="I42" s="76" t="str">
        <f t="shared" si="7"/>
        <v/>
      </c>
      <c r="J42" s="77"/>
      <c r="K42" s="81"/>
    </row>
    <row r="43" spans="1:11" ht="15.75">
      <c r="A43" s="28" t="str">
        <v>DC: Washington - Weinberg 1</v>
      </c>
      <c r="B43" s="29" t="str">
        <v>DC</v>
      </c>
      <c r="C43" s="100"/>
      <c r="D43" s="16"/>
      <c r="E43" s="16" t="str">
        <f t="shared" si="4"/>
        <v/>
      </c>
      <c r="F43" s="99" t="str">
        <f t="shared" si="5"/>
        <v/>
      </c>
      <c r="G43" s="80"/>
      <c r="H43" s="80" t="str">
        <f t="shared" si="6"/>
        <v/>
      </c>
      <c r="I43" s="99" t="str">
        <f t="shared" si="7"/>
        <v/>
      </c>
      <c r="J43" s="40"/>
      <c r="K43" s="60"/>
    </row>
    <row r="44" spans="1:11" ht="15.75">
      <c r="A44" s="26" t="str">
        <v>DC: Washington - Weinberg 2</v>
      </c>
      <c r="B44" s="27" t="str">
        <v>DC</v>
      </c>
      <c r="C44" s="73"/>
      <c r="D44" s="12"/>
      <c r="E44" s="12" t="str">
        <f t="shared" si="4"/>
        <v/>
      </c>
      <c r="F44" s="74" t="str">
        <f t="shared" si="5"/>
        <v/>
      </c>
      <c r="G44" s="75"/>
      <c r="H44" s="75" t="str">
        <f t="shared" si="6"/>
        <v/>
      </c>
      <c r="I44" s="76" t="str">
        <f t="shared" si="7"/>
        <v/>
      </c>
      <c r="J44" s="77"/>
      <c r="K44" s="81"/>
    </row>
    <row r="45" spans="1:11" ht="15.75">
      <c r="A45" s="28" t="str">
        <v>DC: Washington - Weinberg 3</v>
      </c>
      <c r="B45" s="29" t="str">
        <v>DC</v>
      </c>
      <c r="C45" s="100"/>
      <c r="D45" s="16"/>
      <c r="E45" s="16" t="str">
        <f t="shared" si="4"/>
        <v/>
      </c>
      <c r="F45" s="99" t="str">
        <f t="shared" si="5"/>
        <v/>
      </c>
      <c r="G45" s="80"/>
      <c r="H45" s="80" t="str">
        <f t="shared" si="6"/>
        <v/>
      </c>
      <c r="I45" s="99" t="str">
        <f t="shared" si="7"/>
        <v/>
      </c>
      <c r="J45" s="40"/>
      <c r="K45" s="60"/>
    </row>
    <row r="46" spans="1:11" ht="14.25">
      <c r="A46" s="19"/>
      <c r="B46" s="31"/>
      <c r="C46" s="19"/>
      <c r="D46" s="19"/>
      <c r="E46" s="19"/>
      <c r="F46" s="20"/>
      <c r="G46" s="19"/>
      <c r="H46" s="19"/>
      <c r="I46" s="20"/>
      <c r="J46" s="19"/>
      <c r="K46" s="19"/>
    </row>
    <row r="47" spans="1:11" ht="14.25">
      <c r="A47" s="19"/>
      <c r="B47" s="31"/>
      <c r="C47" s="19"/>
      <c r="D47" s="19"/>
      <c r="E47" s="19"/>
      <c r="F47" s="20"/>
      <c r="G47" s="19"/>
      <c r="H47" s="19"/>
      <c r="I47" s="20"/>
      <c r="J47" s="19"/>
      <c r="K47" s="19"/>
    </row>
    <row r="48" spans="1:11" ht="14.25">
      <c r="A48" s="19"/>
      <c r="B48" s="31"/>
      <c r="C48" s="19"/>
      <c r="D48" s="19"/>
      <c r="E48" s="19"/>
      <c r="F48" s="20"/>
      <c r="G48" s="19"/>
      <c r="H48" s="19"/>
      <c r="I48" s="20"/>
      <c r="J48" s="19"/>
      <c r="K48" s="19"/>
    </row>
    <row r="49" spans="1:11" ht="14.25">
      <c r="A49" s="19"/>
      <c r="B49" s="31"/>
      <c r="C49" s="19"/>
      <c r="D49" s="19"/>
      <c r="E49" s="19"/>
      <c r="F49" s="20"/>
      <c r="G49" s="19"/>
      <c r="H49" s="19"/>
      <c r="I49" s="20"/>
      <c r="J49" s="19"/>
      <c r="K49" s="19"/>
    </row>
    <row r="50" spans="1:11" ht="14.25">
      <c r="A50" s="19"/>
      <c r="B50" s="31"/>
      <c r="C50" s="19"/>
      <c r="D50" s="19"/>
      <c r="E50" s="19"/>
      <c r="F50" s="20"/>
      <c r="G50" s="19"/>
      <c r="H50" s="19"/>
      <c r="I50" s="20"/>
      <c r="J50" s="19"/>
      <c r="K50" s="19"/>
    </row>
    <row r="51" spans="1:11" ht="14.25">
      <c r="A51" s="19"/>
      <c r="B51" s="31"/>
      <c r="C51" s="19"/>
      <c r="D51" s="19"/>
      <c r="E51" s="19"/>
      <c r="F51" s="20"/>
      <c r="G51" s="19"/>
      <c r="H51" s="19"/>
      <c r="I51" s="20"/>
      <c r="J51" s="19"/>
      <c r="K51" s="19"/>
    </row>
    <row r="52" spans="1:11" ht="14.25">
      <c r="A52" s="19"/>
      <c r="B52" s="31"/>
      <c r="C52" s="19"/>
      <c r="D52" s="19"/>
      <c r="E52" s="19"/>
      <c r="F52" s="20"/>
      <c r="G52" s="19"/>
      <c r="H52" s="19"/>
      <c r="I52" s="20"/>
      <c r="J52" s="19"/>
      <c r="K52" s="19"/>
    </row>
    <row r="53" spans="1:11" ht="14.25">
      <c r="A53" s="19"/>
      <c r="B53" s="31"/>
      <c r="C53" s="19"/>
      <c r="D53" s="19"/>
      <c r="E53" s="19"/>
      <c r="F53" s="20"/>
      <c r="G53" s="19"/>
      <c r="H53" s="19"/>
      <c r="I53" s="20"/>
      <c r="J53" s="19"/>
      <c r="K53" s="19"/>
    </row>
    <row r="54" spans="1:11" ht="14.25">
      <c r="A54" s="19"/>
      <c r="B54" s="31"/>
      <c r="C54" s="19"/>
      <c r="D54" s="19"/>
      <c r="E54" s="19"/>
      <c r="F54" s="20"/>
      <c r="G54" s="19"/>
      <c r="H54" s="19"/>
      <c r="I54" s="20"/>
      <c r="J54" s="19"/>
      <c r="K54" s="19"/>
    </row>
    <row r="55" spans="1:11" ht="14.25">
      <c r="A55" s="19"/>
      <c r="B55" s="31"/>
      <c r="C55" s="19"/>
      <c r="D55" s="19"/>
      <c r="E55" s="19"/>
      <c r="F55" s="20"/>
      <c r="G55" s="19"/>
      <c r="H55" s="19"/>
      <c r="I55" s="20"/>
      <c r="J55" s="19"/>
      <c r="K55" s="19"/>
    </row>
    <row r="56" spans="1:11" ht="14.25">
      <c r="A56" s="19"/>
      <c r="B56" s="31"/>
      <c r="C56" s="19"/>
      <c r="D56" s="19"/>
      <c r="E56" s="19"/>
      <c r="F56" s="20"/>
      <c r="G56" s="19"/>
      <c r="H56" s="19"/>
      <c r="I56" s="20"/>
      <c r="J56" s="19"/>
      <c r="K56" s="19"/>
    </row>
    <row r="57" spans="1:11" ht="14.25">
      <c r="A57" s="19"/>
      <c r="B57" s="31"/>
      <c r="C57" s="19"/>
      <c r="D57" s="19"/>
      <c r="E57" s="19"/>
      <c r="F57" s="20"/>
      <c r="G57" s="19"/>
      <c r="H57" s="19"/>
      <c r="I57" s="20"/>
      <c r="J57" s="19"/>
      <c r="K57" s="19"/>
    </row>
    <row r="58" spans="1:11" ht="14.25">
      <c r="A58" s="19"/>
      <c r="B58" s="31"/>
      <c r="C58" s="19"/>
      <c r="D58" s="19"/>
      <c r="E58" s="19"/>
      <c r="F58" s="20"/>
      <c r="G58" s="19"/>
      <c r="H58" s="19"/>
      <c r="I58" s="20"/>
      <c r="J58" s="19"/>
      <c r="K58" s="19"/>
    </row>
    <row r="59" spans="1:11" ht="14.25">
      <c r="A59" s="19"/>
      <c r="B59" s="31"/>
      <c r="C59" s="19"/>
      <c r="D59" s="19"/>
      <c r="E59" s="19"/>
      <c r="F59" s="20"/>
      <c r="G59" s="19"/>
      <c r="H59" s="19"/>
      <c r="I59" s="20"/>
      <c r="J59" s="19"/>
      <c r="K59" s="19"/>
    </row>
    <row r="60" spans="1:11" ht="14.25">
      <c r="A60" s="19"/>
      <c r="B60" s="31"/>
      <c r="C60" s="19"/>
      <c r="D60" s="19"/>
      <c r="E60" s="19"/>
      <c r="F60" s="20"/>
      <c r="G60" s="19"/>
      <c r="H60" s="19"/>
      <c r="I60" s="20"/>
      <c r="J60" s="19"/>
      <c r="K60" s="19"/>
    </row>
    <row r="61" spans="1:11" ht="14.25">
      <c r="A61" s="19"/>
      <c r="B61" s="31"/>
      <c r="C61" s="19"/>
      <c r="D61" s="19"/>
      <c r="E61" s="19"/>
      <c r="F61" s="20"/>
      <c r="G61" s="19"/>
      <c r="H61" s="19"/>
      <c r="I61" s="20"/>
      <c r="J61" s="19"/>
      <c r="K61" s="19"/>
    </row>
    <row r="62" spans="1:11" ht="14.25">
      <c r="A62" s="19"/>
      <c r="B62" s="31"/>
      <c r="C62" s="19"/>
      <c r="D62" s="19"/>
      <c r="E62" s="19"/>
      <c r="F62" s="20"/>
      <c r="G62" s="19"/>
      <c r="H62" s="19"/>
      <c r="I62" s="20"/>
      <c r="J62" s="19"/>
      <c r="K62" s="19"/>
    </row>
    <row r="63" spans="1:11" ht="14.25">
      <c r="A63" s="19"/>
      <c r="B63" s="31"/>
      <c r="C63" s="19"/>
      <c r="D63" s="19"/>
      <c r="E63" s="19"/>
      <c r="F63" s="20"/>
      <c r="G63" s="19"/>
      <c r="H63" s="19"/>
      <c r="I63" s="20"/>
      <c r="J63" s="19"/>
      <c r="K63" s="19"/>
    </row>
    <row r="64" spans="1:11" ht="14.25">
      <c r="A64" s="19"/>
      <c r="B64" s="31"/>
      <c r="C64" s="19"/>
      <c r="D64" s="19"/>
      <c r="E64" s="19"/>
      <c r="F64" s="20"/>
      <c r="G64" s="19"/>
      <c r="H64" s="19"/>
      <c r="I64" s="20"/>
      <c r="J64" s="19"/>
      <c r="K64" s="19"/>
    </row>
    <row r="65" spans="1:11" ht="14.25">
      <c r="A65" s="19"/>
      <c r="B65" s="31"/>
      <c r="C65" s="19"/>
      <c r="D65" s="19"/>
      <c r="E65" s="19"/>
      <c r="F65" s="20"/>
      <c r="G65" s="19"/>
      <c r="H65" s="19"/>
      <c r="I65" s="20"/>
      <c r="J65" s="19"/>
      <c r="K65" s="19"/>
    </row>
    <row r="66" spans="1:11" ht="14.25">
      <c r="A66" s="19"/>
      <c r="B66" s="31"/>
      <c r="C66" s="19"/>
      <c r="D66" s="19"/>
      <c r="E66" s="19"/>
      <c r="F66" s="20"/>
      <c r="G66" s="19"/>
      <c r="H66" s="19"/>
      <c r="I66" s="20"/>
      <c r="J66" s="19"/>
      <c r="K66" s="19"/>
    </row>
    <row r="67" spans="1:11" ht="14.25">
      <c r="A67" s="19"/>
      <c r="B67" s="31"/>
      <c r="C67" s="19"/>
      <c r="D67" s="19"/>
      <c r="E67" s="19"/>
      <c r="F67" s="20"/>
      <c r="G67" s="19"/>
      <c r="H67" s="19"/>
      <c r="I67" s="20"/>
      <c r="J67" s="19"/>
      <c r="K67" s="19"/>
    </row>
    <row r="68" spans="1:11" ht="14.25">
      <c r="A68" s="19"/>
      <c r="B68" s="31"/>
      <c r="C68" s="19"/>
      <c r="D68" s="19"/>
      <c r="E68" s="19"/>
      <c r="F68" s="20"/>
      <c r="G68" s="19"/>
      <c r="H68" s="19"/>
      <c r="I68" s="20"/>
      <c r="J68" s="19"/>
      <c r="K68" s="19"/>
    </row>
    <row r="69" spans="1:11" ht="14.25">
      <c r="A69" s="19"/>
      <c r="B69" s="31"/>
      <c r="C69" s="19"/>
      <c r="D69" s="19"/>
      <c r="E69" s="19"/>
      <c r="F69" s="20"/>
      <c r="G69" s="19"/>
      <c r="H69" s="19"/>
      <c r="I69" s="20"/>
      <c r="J69" s="19"/>
      <c r="K69" s="19"/>
    </row>
    <row r="70" spans="1:11" ht="14.25">
      <c r="A70" s="19"/>
      <c r="B70" s="31"/>
      <c r="C70" s="19"/>
      <c r="D70" s="19"/>
      <c r="E70" s="19"/>
      <c r="F70" s="20"/>
      <c r="G70" s="19"/>
      <c r="H70" s="19"/>
      <c r="I70" s="20"/>
      <c r="J70" s="19"/>
      <c r="K70" s="19"/>
    </row>
    <row r="71" spans="1:11" ht="14.25">
      <c r="A71" s="19"/>
      <c r="B71" s="31"/>
      <c r="C71" s="19"/>
      <c r="D71" s="19"/>
      <c r="E71" s="19"/>
      <c r="F71" s="20"/>
      <c r="G71" s="19"/>
      <c r="H71" s="19"/>
      <c r="I71" s="20"/>
      <c r="J71" s="19"/>
      <c r="K71" s="19"/>
    </row>
    <row r="72" spans="1:11" ht="14.25">
      <c r="A72" s="19"/>
      <c r="B72" s="31"/>
      <c r="C72" s="19"/>
      <c r="D72" s="19"/>
      <c r="E72" s="19"/>
      <c r="F72" s="20"/>
      <c r="G72" s="19"/>
      <c r="H72" s="19"/>
      <c r="I72" s="20"/>
      <c r="J72" s="19"/>
      <c r="K72" s="19"/>
    </row>
    <row r="73" spans="1:11" ht="14.25">
      <c r="A73" s="19"/>
      <c r="B73" s="31"/>
      <c r="C73" s="19"/>
      <c r="D73" s="19"/>
      <c r="E73" s="19"/>
      <c r="F73" s="20"/>
      <c r="G73" s="19"/>
      <c r="H73" s="19"/>
      <c r="I73" s="20"/>
      <c r="J73" s="19"/>
      <c r="K73" s="19"/>
    </row>
    <row r="74" spans="1:11" ht="14.25">
      <c r="A74" s="19"/>
      <c r="B74" s="31"/>
      <c r="C74" s="19"/>
      <c r="D74" s="19"/>
      <c r="E74" s="19"/>
      <c r="F74" s="20"/>
      <c r="G74" s="19"/>
      <c r="H74" s="19"/>
      <c r="I74" s="20"/>
      <c r="J74" s="19"/>
      <c r="K74" s="19"/>
    </row>
    <row r="75" spans="1:11" ht="14.25">
      <c r="A75" s="19"/>
      <c r="B75" s="31"/>
      <c r="C75" s="19"/>
      <c r="D75" s="19"/>
      <c r="E75" s="19"/>
      <c r="F75" s="20"/>
      <c r="G75" s="19"/>
      <c r="H75" s="19"/>
      <c r="I75" s="20"/>
      <c r="J75" s="19"/>
      <c r="K75" s="19"/>
    </row>
    <row r="76" spans="1:11" ht="14.25">
      <c r="A76" s="19"/>
      <c r="B76" s="31"/>
      <c r="C76" s="19"/>
      <c r="D76" s="19"/>
      <c r="E76" s="19"/>
      <c r="F76" s="20"/>
      <c r="G76" s="19"/>
      <c r="H76" s="19"/>
      <c r="I76" s="20"/>
      <c r="J76" s="19"/>
      <c r="K76" s="19"/>
    </row>
    <row r="77" spans="1:11" ht="14.25">
      <c r="A77" s="19"/>
      <c r="B77" s="31"/>
      <c r="C77" s="19"/>
      <c r="D77" s="19"/>
      <c r="E77" s="19"/>
      <c r="F77" s="20"/>
      <c r="G77" s="19"/>
      <c r="H77" s="19"/>
      <c r="I77" s="20"/>
      <c r="J77" s="19"/>
      <c r="K77" s="19"/>
    </row>
    <row r="78" spans="1:11" ht="14.25">
      <c r="A78" s="19"/>
      <c r="B78" s="31"/>
      <c r="C78" s="19"/>
      <c r="D78" s="19"/>
      <c r="E78" s="19"/>
      <c r="F78" s="20"/>
      <c r="G78" s="19"/>
      <c r="H78" s="19"/>
      <c r="I78" s="20"/>
      <c r="J78" s="19"/>
      <c r="K78" s="19"/>
    </row>
    <row r="79" spans="1:11" ht="14.25">
      <c r="A79" s="19"/>
      <c r="B79" s="31"/>
      <c r="C79" s="19"/>
      <c r="D79" s="19"/>
      <c r="E79" s="19"/>
      <c r="F79" s="20"/>
      <c r="G79" s="19"/>
      <c r="H79" s="19"/>
      <c r="I79" s="20"/>
      <c r="J79" s="19"/>
      <c r="K79" s="19"/>
    </row>
    <row r="80" spans="1:11" ht="14.25">
      <c r="A80" s="19"/>
      <c r="B80" s="31"/>
      <c r="C80" s="19"/>
      <c r="D80" s="19"/>
      <c r="E80" s="19"/>
      <c r="F80" s="20"/>
      <c r="G80" s="19"/>
      <c r="H80" s="19"/>
      <c r="I80" s="20"/>
      <c r="J80" s="19"/>
      <c r="K80" s="19"/>
    </row>
    <row r="81" spans="1:11" ht="14.25">
      <c r="A81" s="19"/>
      <c r="B81" s="31"/>
      <c r="C81" s="19"/>
      <c r="D81" s="19"/>
      <c r="E81" s="19"/>
      <c r="F81" s="20"/>
      <c r="G81" s="19"/>
      <c r="H81" s="19"/>
      <c r="I81" s="20"/>
      <c r="J81" s="19"/>
      <c r="K81" s="19"/>
    </row>
    <row r="82" spans="1:11" ht="14.25">
      <c r="A82" s="19"/>
      <c r="B82" s="31"/>
      <c r="C82" s="19"/>
      <c r="D82" s="19"/>
      <c r="E82" s="19"/>
      <c r="F82" s="20"/>
      <c r="G82" s="19"/>
      <c r="H82" s="19"/>
      <c r="I82" s="20"/>
      <c r="J82" s="19"/>
      <c r="K82" s="19"/>
    </row>
    <row r="83" spans="1:11" ht="14.25">
      <c r="A83" s="19"/>
      <c r="B83" s="31"/>
      <c r="C83" s="19"/>
      <c r="D83" s="19"/>
      <c r="E83" s="19"/>
      <c r="F83" s="20"/>
      <c r="G83" s="19"/>
      <c r="H83" s="19"/>
      <c r="I83" s="20"/>
      <c r="J83" s="19"/>
      <c r="K83" s="19"/>
    </row>
    <row r="84" spans="1:11" ht="14.25">
      <c r="A84" s="19"/>
      <c r="B84" s="31"/>
      <c r="C84" s="19"/>
      <c r="D84" s="19"/>
      <c r="E84" s="19"/>
      <c r="F84" s="20"/>
      <c r="G84" s="19"/>
      <c r="H84" s="19"/>
      <c r="I84" s="20"/>
      <c r="J84" s="19"/>
      <c r="K84" s="19"/>
    </row>
    <row r="85" spans="1:11" ht="14.25">
      <c r="A85" s="19"/>
      <c r="B85" s="31"/>
      <c r="C85" s="19"/>
      <c r="D85" s="19"/>
      <c r="E85" s="19"/>
      <c r="F85" s="20"/>
      <c r="G85" s="19"/>
      <c r="H85" s="19"/>
      <c r="I85" s="20"/>
      <c r="J85" s="19"/>
      <c r="K85" s="19"/>
    </row>
    <row r="86" spans="1:11" ht="14.25">
      <c r="A86" s="19"/>
      <c r="B86" s="31"/>
      <c r="C86" s="19"/>
      <c r="D86" s="19"/>
      <c r="E86" s="19"/>
      <c r="F86" s="20"/>
      <c r="G86" s="19"/>
      <c r="H86" s="19"/>
      <c r="I86" s="20"/>
      <c r="J86" s="19"/>
      <c r="K86" s="19"/>
    </row>
    <row r="87" spans="1:11" ht="14.25">
      <c r="A87" s="19"/>
      <c r="B87" s="31"/>
      <c r="C87" s="19"/>
      <c r="D87" s="19"/>
      <c r="E87" s="19"/>
      <c r="F87" s="20"/>
      <c r="G87" s="19"/>
      <c r="H87" s="19"/>
      <c r="I87" s="20"/>
      <c r="J87" s="19"/>
      <c r="K87" s="19"/>
    </row>
    <row r="88" spans="1:11" ht="14.25">
      <c r="A88" s="19"/>
      <c r="B88" s="31"/>
      <c r="C88" s="19"/>
      <c r="D88" s="19"/>
      <c r="E88" s="19"/>
      <c r="F88" s="20"/>
      <c r="G88" s="19"/>
      <c r="H88" s="19"/>
      <c r="I88" s="20"/>
      <c r="J88" s="19"/>
      <c r="K88" s="19"/>
    </row>
    <row r="89" spans="1:11" ht="14.25">
      <c r="A89" s="19"/>
      <c r="B89" s="31"/>
      <c r="C89" s="19"/>
      <c r="D89" s="19"/>
      <c r="E89" s="19"/>
      <c r="F89" s="20"/>
      <c r="G89" s="19"/>
      <c r="H89" s="19"/>
      <c r="I89" s="20"/>
      <c r="J89" s="19"/>
      <c r="K89" s="19"/>
    </row>
    <row r="90" spans="1:11" ht="14.25">
      <c r="A90" s="19"/>
      <c r="B90" s="31"/>
      <c r="C90" s="19"/>
      <c r="D90" s="19"/>
      <c r="E90" s="19"/>
      <c r="F90" s="20"/>
      <c r="G90" s="19"/>
      <c r="H90" s="19"/>
      <c r="I90" s="20"/>
      <c r="J90" s="19"/>
      <c r="K90" s="19"/>
    </row>
    <row r="91" spans="1:11" ht="14.25">
      <c r="A91" s="19"/>
      <c r="B91" s="31"/>
      <c r="C91" s="19"/>
      <c r="D91" s="19"/>
      <c r="E91" s="19"/>
      <c r="F91" s="20"/>
      <c r="G91" s="19"/>
      <c r="H91" s="19"/>
      <c r="I91" s="20"/>
      <c r="J91" s="19"/>
      <c r="K91" s="19"/>
    </row>
    <row r="92" spans="1:11" ht="14.25">
      <c r="A92" s="19"/>
      <c r="B92" s="31"/>
      <c r="C92" s="19"/>
      <c r="D92" s="19"/>
      <c r="E92" s="19"/>
      <c r="F92" s="20"/>
      <c r="G92" s="19"/>
      <c r="H92" s="19"/>
      <c r="I92" s="20"/>
      <c r="J92" s="19"/>
      <c r="K92" s="19"/>
    </row>
    <row r="93" spans="1:11" ht="14.25">
      <c r="A93" s="19"/>
      <c r="B93" s="31"/>
      <c r="C93" s="19"/>
      <c r="D93" s="19"/>
      <c r="E93" s="19"/>
      <c r="F93" s="20"/>
      <c r="G93" s="19"/>
      <c r="H93" s="19"/>
      <c r="I93" s="20"/>
      <c r="J93" s="19"/>
      <c r="K93" s="19"/>
    </row>
    <row r="94" spans="1:11" ht="14.25">
      <c r="A94" s="19"/>
      <c r="B94" s="31"/>
      <c r="C94" s="19"/>
      <c r="D94" s="19"/>
      <c r="E94" s="19"/>
      <c r="F94" s="20"/>
      <c r="G94" s="19"/>
      <c r="H94" s="19"/>
      <c r="I94" s="20"/>
      <c r="J94" s="19"/>
      <c r="K94" s="19"/>
    </row>
    <row r="95" spans="1:11" ht="14.25">
      <c r="A95" s="19"/>
      <c r="B95" s="31"/>
      <c r="C95" s="19"/>
      <c r="D95" s="19"/>
      <c r="E95" s="19"/>
      <c r="F95" s="20"/>
      <c r="G95" s="19"/>
      <c r="H95" s="19"/>
      <c r="I95" s="20"/>
      <c r="J95" s="19"/>
      <c r="K95" s="19"/>
    </row>
    <row r="96" spans="1:11" ht="14.25">
      <c r="A96" s="19"/>
      <c r="B96" s="31"/>
      <c r="C96" s="19"/>
      <c r="D96" s="19"/>
      <c r="E96" s="19"/>
      <c r="F96" s="20"/>
      <c r="G96" s="19"/>
      <c r="H96" s="19"/>
      <c r="I96" s="20"/>
      <c r="J96" s="19"/>
      <c r="K96" s="19"/>
    </row>
    <row r="97" spans="1:11" ht="14.25">
      <c r="A97" s="19"/>
      <c r="B97" s="31"/>
      <c r="C97" s="19"/>
      <c r="D97" s="19"/>
      <c r="E97" s="19"/>
      <c r="F97" s="20"/>
      <c r="G97" s="19"/>
      <c r="H97" s="19"/>
      <c r="I97" s="20"/>
      <c r="J97" s="19"/>
      <c r="K97" s="19"/>
    </row>
    <row r="98" spans="1:11" ht="14.25">
      <c r="A98" s="19"/>
      <c r="B98" s="31"/>
      <c r="C98" s="19"/>
      <c r="D98" s="19"/>
      <c r="E98" s="19"/>
      <c r="F98" s="20"/>
      <c r="G98" s="19"/>
      <c r="H98" s="19"/>
      <c r="I98" s="20"/>
      <c r="J98" s="19"/>
      <c r="K98" s="19"/>
    </row>
    <row r="99" spans="1:11" ht="14.25">
      <c r="A99" s="19"/>
      <c r="B99" s="31"/>
      <c r="C99" s="19"/>
      <c r="D99" s="19"/>
      <c r="E99" s="19"/>
      <c r="F99" s="20"/>
      <c r="G99" s="19"/>
      <c r="H99" s="19"/>
      <c r="I99" s="20"/>
      <c r="J99" s="19"/>
      <c r="K99" s="19"/>
    </row>
    <row r="100" spans="1:11" ht="14.25">
      <c r="A100" s="19"/>
      <c r="B100" s="31"/>
      <c r="C100" s="19"/>
      <c r="D100" s="19"/>
      <c r="E100" s="19"/>
      <c r="F100" s="20"/>
      <c r="G100" s="19"/>
      <c r="H100" s="19"/>
      <c r="I100" s="20"/>
      <c r="J100" s="19"/>
      <c r="K100" s="19"/>
    </row>
    <row r="101" spans="1:11" ht="14.25">
      <c r="A101" s="19"/>
      <c r="B101" s="31"/>
      <c r="C101" s="19"/>
      <c r="D101" s="19"/>
      <c r="E101" s="19"/>
      <c r="F101" s="20"/>
      <c r="G101" s="19"/>
      <c r="H101" s="19"/>
      <c r="I101" s="20"/>
      <c r="J101" s="19"/>
      <c r="K101" s="19"/>
    </row>
    <row r="102" spans="1:11" ht="14.25">
      <c r="A102" s="19"/>
      <c r="B102" s="31"/>
      <c r="C102" s="19"/>
      <c r="D102" s="19"/>
      <c r="E102" s="19"/>
      <c r="F102" s="20"/>
      <c r="G102" s="19"/>
      <c r="H102" s="19"/>
      <c r="I102" s="20"/>
      <c r="J102" s="19"/>
      <c r="K102" s="19"/>
    </row>
    <row r="103" spans="1:11" ht="14.25">
      <c r="A103" s="19"/>
      <c r="B103" s="31"/>
      <c r="C103" s="19"/>
      <c r="D103" s="19"/>
      <c r="E103" s="19"/>
      <c r="F103" s="20"/>
      <c r="G103" s="19"/>
      <c r="H103" s="19"/>
      <c r="I103" s="20"/>
      <c r="J103" s="19"/>
      <c r="K103" s="19"/>
    </row>
    <row r="104" spans="1:11" ht="14.25">
      <c r="A104" s="19"/>
      <c r="B104" s="31"/>
      <c r="C104" s="19"/>
      <c r="D104" s="19"/>
      <c r="E104" s="19"/>
      <c r="F104" s="20"/>
      <c r="G104" s="19"/>
      <c r="H104" s="19"/>
      <c r="I104" s="20"/>
      <c r="J104" s="19"/>
      <c r="K104" s="19"/>
    </row>
    <row r="105" spans="1:11" ht="14.25">
      <c r="A105" s="19"/>
      <c r="B105" s="31"/>
      <c r="C105" s="19"/>
      <c r="D105" s="19"/>
      <c r="E105" s="19"/>
      <c r="F105" s="20"/>
      <c r="G105" s="19"/>
      <c r="H105" s="19"/>
      <c r="I105" s="20"/>
      <c r="J105" s="19"/>
      <c r="K105" s="19"/>
    </row>
    <row r="106" spans="1:11" ht="14.25">
      <c r="A106" s="19"/>
      <c r="B106" s="31"/>
      <c r="C106" s="19"/>
      <c r="D106" s="19"/>
      <c r="E106" s="19"/>
      <c r="F106" s="20"/>
      <c r="G106" s="19"/>
      <c r="H106" s="19"/>
      <c r="I106" s="20"/>
      <c r="J106" s="19"/>
      <c r="K106" s="19"/>
    </row>
    <row r="107" spans="1:11" ht="14.25">
      <c r="A107" s="19"/>
      <c r="B107" s="31"/>
      <c r="C107" s="19"/>
      <c r="D107" s="19"/>
      <c r="E107" s="19"/>
      <c r="F107" s="20"/>
      <c r="G107" s="19"/>
      <c r="H107" s="19"/>
      <c r="I107" s="20"/>
      <c r="J107" s="19"/>
      <c r="K107" s="19"/>
    </row>
    <row r="108" spans="1:11" ht="14.25">
      <c r="A108" s="19"/>
      <c r="B108" s="31"/>
      <c r="C108" s="19"/>
      <c r="D108" s="19"/>
      <c r="E108" s="19"/>
      <c r="F108" s="20"/>
      <c r="G108" s="19"/>
      <c r="H108" s="19"/>
      <c r="I108" s="20"/>
      <c r="J108" s="19"/>
      <c r="K108" s="19"/>
    </row>
    <row r="109" spans="1:11" ht="14.25">
      <c r="A109" s="19"/>
      <c r="B109" s="31"/>
      <c r="C109" s="19"/>
      <c r="D109" s="19"/>
      <c r="E109" s="19"/>
      <c r="F109" s="20"/>
      <c r="G109" s="19"/>
      <c r="H109" s="19"/>
      <c r="I109" s="20"/>
      <c r="J109" s="19"/>
      <c r="K109" s="19"/>
    </row>
    <row r="110" spans="1:11" ht="14.25">
      <c r="A110" s="19"/>
      <c r="B110" s="31"/>
      <c r="C110" s="19"/>
      <c r="D110" s="19"/>
      <c r="E110" s="19"/>
      <c r="F110" s="20"/>
      <c r="G110" s="19"/>
      <c r="H110" s="19"/>
      <c r="I110" s="20"/>
      <c r="J110" s="19"/>
      <c r="K110" s="19"/>
    </row>
    <row r="111" spans="1:11" ht="14.25">
      <c r="A111" s="19"/>
      <c r="B111" s="31"/>
      <c r="C111" s="19"/>
      <c r="D111" s="19"/>
      <c r="E111" s="19"/>
      <c r="F111" s="20"/>
      <c r="G111" s="19"/>
      <c r="H111" s="19"/>
      <c r="I111" s="20"/>
      <c r="J111" s="19"/>
      <c r="K111" s="19"/>
    </row>
    <row r="112" spans="1:11" ht="14.25">
      <c r="A112" s="19"/>
      <c r="B112" s="31"/>
      <c r="C112" s="19"/>
      <c r="D112" s="19"/>
      <c r="E112" s="19"/>
      <c r="F112" s="20"/>
      <c r="G112" s="19"/>
      <c r="H112" s="19"/>
      <c r="I112" s="20"/>
      <c r="J112" s="19"/>
      <c r="K112" s="19"/>
    </row>
    <row r="113" spans="1:11" ht="14.25">
      <c r="A113" s="19"/>
      <c r="B113" s="31"/>
      <c r="C113" s="19"/>
      <c r="D113" s="19"/>
      <c r="E113" s="19"/>
      <c r="F113" s="20"/>
      <c r="G113" s="19"/>
      <c r="H113" s="19"/>
      <c r="I113" s="20"/>
      <c r="J113" s="19"/>
      <c r="K113" s="19"/>
    </row>
    <row r="114" spans="1:11" ht="14.25">
      <c r="A114" s="19"/>
      <c r="B114" s="31"/>
      <c r="C114" s="19"/>
      <c r="D114" s="19"/>
      <c r="E114" s="19"/>
      <c r="F114" s="20"/>
      <c r="G114" s="19"/>
      <c r="H114" s="19"/>
      <c r="I114" s="20"/>
      <c r="J114" s="19"/>
      <c r="K114" s="19"/>
    </row>
    <row r="115" spans="1:11" ht="14.25">
      <c r="A115" s="19"/>
      <c r="B115" s="31"/>
      <c r="C115" s="19"/>
      <c r="D115" s="19"/>
      <c r="E115" s="19"/>
      <c r="F115" s="20"/>
      <c r="G115" s="19"/>
      <c r="H115" s="19"/>
      <c r="I115" s="20"/>
      <c r="J115" s="19"/>
      <c r="K115" s="19"/>
    </row>
    <row r="116" spans="1:11" ht="14.25">
      <c r="A116" s="19"/>
      <c r="B116" s="31"/>
      <c r="C116" s="19"/>
      <c r="D116" s="19"/>
      <c r="E116" s="19"/>
      <c r="F116" s="20"/>
      <c r="G116" s="19"/>
      <c r="H116" s="19"/>
      <c r="I116" s="20"/>
      <c r="J116" s="19"/>
      <c r="K116" s="19"/>
    </row>
    <row r="117" spans="1:11" ht="14.25">
      <c r="A117" s="19"/>
      <c r="B117" s="31"/>
      <c r="C117" s="19"/>
      <c r="D117" s="19"/>
      <c r="E117" s="19"/>
      <c r="F117" s="20"/>
      <c r="G117" s="19"/>
      <c r="H117" s="19"/>
      <c r="I117" s="20"/>
      <c r="J117" s="19"/>
      <c r="K117" s="19"/>
    </row>
    <row r="118" spans="1:11" ht="14.25">
      <c r="A118" s="19"/>
      <c r="B118" s="31"/>
      <c r="C118" s="19"/>
      <c r="D118" s="19"/>
      <c r="E118" s="19"/>
      <c r="F118" s="20"/>
      <c r="G118" s="19"/>
      <c r="H118" s="19"/>
      <c r="I118" s="20"/>
      <c r="J118" s="19"/>
      <c r="K118" s="19"/>
    </row>
    <row r="119" spans="1:11" ht="14.25">
      <c r="A119" s="19"/>
      <c r="B119" s="31"/>
      <c r="C119" s="19"/>
      <c r="D119" s="19"/>
      <c r="E119" s="19"/>
      <c r="F119" s="20"/>
      <c r="G119" s="19"/>
      <c r="H119" s="19"/>
      <c r="I119" s="20"/>
      <c r="J119" s="19"/>
      <c r="K119" s="19"/>
    </row>
    <row r="120" spans="1:11" ht="14.25">
      <c r="A120" s="19"/>
      <c r="B120" s="31"/>
      <c r="C120" s="19"/>
      <c r="D120" s="19"/>
      <c r="E120" s="19"/>
      <c r="F120" s="20"/>
      <c r="G120" s="19"/>
      <c r="H120" s="19"/>
      <c r="I120" s="20"/>
      <c r="J120" s="19"/>
      <c r="K120" s="19"/>
    </row>
    <row r="121" spans="1:11" ht="14.25">
      <c r="A121" s="19"/>
      <c r="B121" s="31"/>
      <c r="C121" s="19"/>
      <c r="D121" s="19"/>
      <c r="E121" s="19"/>
      <c r="F121" s="20"/>
      <c r="G121" s="19"/>
      <c r="H121" s="19"/>
      <c r="I121" s="20"/>
      <c r="J121" s="19"/>
      <c r="K121" s="19"/>
    </row>
    <row r="122" spans="1:11" ht="14.25">
      <c r="A122" s="19"/>
      <c r="B122" s="31"/>
      <c r="C122" s="19"/>
      <c r="D122" s="19"/>
      <c r="E122" s="19"/>
      <c r="F122" s="20"/>
      <c r="G122" s="19"/>
      <c r="H122" s="19"/>
      <c r="I122" s="20"/>
      <c r="J122" s="19"/>
      <c r="K122" s="19"/>
    </row>
    <row r="123" spans="1:11" ht="14.25">
      <c r="A123" s="19"/>
      <c r="B123" s="31"/>
      <c r="C123" s="19"/>
      <c r="D123" s="19"/>
      <c r="E123" s="19"/>
      <c r="F123" s="20"/>
      <c r="G123" s="19"/>
      <c r="H123" s="19"/>
      <c r="I123" s="20"/>
      <c r="J123" s="19"/>
      <c r="K123" s="19"/>
    </row>
    <row r="124" spans="1:11" ht="14.25">
      <c r="A124" s="19"/>
      <c r="B124" s="31"/>
      <c r="C124" s="19"/>
      <c r="D124" s="19"/>
      <c r="E124" s="19"/>
      <c r="F124" s="20"/>
      <c r="G124" s="19"/>
      <c r="H124" s="19"/>
      <c r="I124" s="20"/>
      <c r="J124" s="19"/>
      <c r="K124" s="19"/>
    </row>
    <row r="125" spans="1:11" ht="14.25">
      <c r="A125" s="19"/>
      <c r="B125" s="31"/>
      <c r="C125" s="19"/>
      <c r="D125" s="19"/>
      <c r="E125" s="19"/>
      <c r="F125" s="20"/>
      <c r="G125" s="19"/>
      <c r="H125" s="19"/>
      <c r="I125" s="20"/>
      <c r="J125" s="19"/>
      <c r="K125" s="19"/>
    </row>
    <row r="126" spans="1:11" ht="14.25">
      <c r="A126" s="19"/>
      <c r="B126" s="31"/>
      <c r="C126" s="19"/>
      <c r="D126" s="19"/>
      <c r="E126" s="19"/>
      <c r="F126" s="20"/>
      <c r="G126" s="19"/>
      <c r="H126" s="19"/>
      <c r="I126" s="20"/>
      <c r="J126" s="19"/>
      <c r="K126" s="19"/>
    </row>
    <row r="127" spans="1:11" ht="14.25">
      <c r="A127" s="19"/>
      <c r="B127" s="31"/>
      <c r="C127" s="19"/>
      <c r="D127" s="19"/>
      <c r="E127" s="19"/>
      <c r="F127" s="20"/>
      <c r="G127" s="19"/>
      <c r="H127" s="19"/>
      <c r="I127" s="20"/>
      <c r="J127" s="19"/>
      <c r="K127" s="19"/>
    </row>
    <row r="128" spans="1:11" ht="14.25">
      <c r="A128" s="19"/>
      <c r="B128" s="31"/>
      <c r="C128" s="19"/>
      <c r="D128" s="19"/>
      <c r="E128" s="19"/>
      <c r="F128" s="20"/>
      <c r="G128" s="19"/>
      <c r="H128" s="19"/>
      <c r="I128" s="20"/>
      <c r="J128" s="19"/>
      <c r="K128" s="19"/>
    </row>
    <row r="129" spans="1:11" ht="14.25">
      <c r="A129" s="19"/>
      <c r="B129" s="31"/>
      <c r="C129" s="19"/>
      <c r="D129" s="19"/>
      <c r="E129" s="19"/>
      <c r="F129" s="20"/>
      <c r="G129" s="19"/>
      <c r="H129" s="19"/>
      <c r="I129" s="20"/>
      <c r="J129" s="19"/>
      <c r="K129" s="19"/>
    </row>
    <row r="130" spans="1:11" ht="14.25">
      <c r="A130" s="19"/>
      <c r="B130" s="31"/>
      <c r="C130" s="19"/>
      <c r="D130" s="19"/>
      <c r="E130" s="19"/>
      <c r="F130" s="20"/>
      <c r="G130" s="19"/>
      <c r="H130" s="19"/>
      <c r="I130" s="20"/>
      <c r="J130" s="19"/>
      <c r="K130" s="19"/>
    </row>
    <row r="131" spans="1:11" ht="14.25">
      <c r="A131" s="19"/>
      <c r="B131" s="31"/>
      <c r="C131" s="19"/>
      <c r="D131" s="19"/>
      <c r="E131" s="19"/>
      <c r="F131" s="20"/>
      <c r="G131" s="19"/>
      <c r="H131" s="19"/>
      <c r="I131" s="20"/>
      <c r="J131" s="19"/>
      <c r="K131" s="19"/>
    </row>
    <row r="132" spans="1:11" ht="14.25">
      <c r="A132" s="19"/>
      <c r="B132" s="31"/>
      <c r="C132" s="19"/>
      <c r="D132" s="19"/>
      <c r="E132" s="19"/>
      <c r="F132" s="20"/>
      <c r="G132" s="19"/>
      <c r="H132" s="19"/>
      <c r="I132" s="20"/>
      <c r="J132" s="19"/>
      <c r="K132" s="19"/>
    </row>
    <row r="133" spans="1:11" ht="14.25">
      <c r="A133" s="19"/>
      <c r="B133" s="31"/>
      <c r="C133" s="19"/>
      <c r="D133" s="19"/>
      <c r="E133" s="19"/>
      <c r="F133" s="20"/>
      <c r="G133" s="19"/>
      <c r="H133" s="19"/>
      <c r="I133" s="20"/>
      <c r="J133" s="19"/>
      <c r="K133" s="19"/>
    </row>
    <row r="134" spans="1:11" ht="14.25">
      <c r="A134" s="19"/>
      <c r="B134" s="31"/>
      <c r="C134" s="19"/>
      <c r="D134" s="19"/>
      <c r="E134" s="19"/>
      <c r="F134" s="20"/>
      <c r="G134" s="19"/>
      <c r="H134" s="19"/>
      <c r="I134" s="20"/>
      <c r="J134" s="19"/>
      <c r="K134" s="19"/>
    </row>
    <row r="135" spans="1:11" ht="14.25">
      <c r="A135" s="19"/>
      <c r="B135" s="31"/>
      <c r="C135" s="19"/>
      <c r="D135" s="19"/>
      <c r="E135" s="19"/>
      <c r="F135" s="20"/>
      <c r="G135" s="19"/>
      <c r="H135" s="19"/>
      <c r="I135" s="20"/>
      <c r="J135" s="19"/>
      <c r="K135" s="19"/>
    </row>
    <row r="136" spans="1:11" ht="14.25">
      <c r="A136" s="19"/>
      <c r="B136" s="31"/>
      <c r="C136" s="19"/>
      <c r="D136" s="19"/>
      <c r="E136" s="19"/>
      <c r="F136" s="20"/>
      <c r="G136" s="19"/>
      <c r="H136" s="19"/>
      <c r="I136" s="20"/>
      <c r="J136" s="19"/>
      <c r="K136" s="19"/>
    </row>
    <row r="137" spans="1:11" ht="14.25">
      <c r="A137" s="19"/>
      <c r="B137" s="31"/>
      <c r="C137" s="19"/>
      <c r="D137" s="19"/>
      <c r="E137" s="19"/>
      <c r="F137" s="20"/>
      <c r="G137" s="19"/>
      <c r="H137" s="19"/>
      <c r="I137" s="20"/>
      <c r="J137" s="19"/>
      <c r="K137" s="19"/>
    </row>
    <row r="138" spans="1:11" ht="14.25">
      <c r="A138" s="19"/>
      <c r="B138" s="31"/>
      <c r="C138" s="19"/>
      <c r="D138" s="19"/>
      <c r="E138" s="19"/>
      <c r="F138" s="20"/>
      <c r="G138" s="19"/>
      <c r="H138" s="19"/>
      <c r="I138" s="20"/>
      <c r="J138" s="19"/>
      <c r="K138" s="19"/>
    </row>
    <row r="139" spans="1:11" ht="14.25">
      <c r="A139" s="19"/>
      <c r="B139" s="31"/>
      <c r="C139" s="19"/>
      <c r="D139" s="19"/>
      <c r="E139" s="19"/>
      <c r="F139" s="20"/>
      <c r="G139" s="19"/>
      <c r="H139" s="19"/>
      <c r="I139" s="20"/>
      <c r="J139" s="19"/>
      <c r="K139" s="19"/>
    </row>
    <row r="140" spans="1:11" ht="14.25">
      <c r="A140" s="19"/>
      <c r="B140" s="31"/>
      <c r="C140" s="19"/>
      <c r="D140" s="19"/>
      <c r="E140" s="19"/>
      <c r="F140" s="20"/>
      <c r="G140" s="19"/>
      <c r="H140" s="19"/>
      <c r="I140" s="20"/>
      <c r="J140" s="19"/>
      <c r="K140" s="19"/>
    </row>
    <row r="141" spans="1:11" ht="14.25">
      <c r="A141" s="19"/>
      <c r="B141" s="31"/>
      <c r="C141" s="19"/>
      <c r="D141" s="19"/>
      <c r="E141" s="19"/>
      <c r="F141" s="20"/>
      <c r="G141" s="19"/>
      <c r="H141" s="19"/>
      <c r="I141" s="20"/>
      <c r="J141" s="19"/>
      <c r="K141" s="19"/>
    </row>
    <row r="142" spans="1:11" ht="14.25">
      <c r="A142" s="19"/>
      <c r="B142" s="31"/>
      <c r="C142" s="19"/>
      <c r="D142" s="19"/>
      <c r="E142" s="19"/>
      <c r="F142" s="20"/>
      <c r="G142" s="19"/>
      <c r="H142" s="19"/>
      <c r="I142" s="20"/>
      <c r="J142" s="19"/>
      <c r="K142" s="19"/>
    </row>
    <row r="143" spans="1:11" ht="14.25">
      <c r="A143" s="19"/>
      <c r="B143" s="31"/>
      <c r="C143" s="19"/>
      <c r="D143" s="19"/>
      <c r="E143" s="19"/>
      <c r="F143" s="20"/>
      <c r="G143" s="19"/>
      <c r="H143" s="19"/>
      <c r="I143" s="20"/>
      <c r="J143" s="19"/>
      <c r="K143" s="19"/>
    </row>
    <row r="144" spans="1:11" ht="14.25">
      <c r="A144" s="19"/>
      <c r="B144" s="31"/>
      <c r="C144" s="19"/>
      <c r="D144" s="19"/>
      <c r="E144" s="19"/>
      <c r="F144" s="20"/>
      <c r="G144" s="19"/>
      <c r="H144" s="19"/>
      <c r="I144" s="20"/>
      <c r="J144" s="19"/>
      <c r="K144" s="19"/>
    </row>
    <row r="145" spans="1:11" ht="14.25">
      <c r="A145" s="19"/>
      <c r="B145" s="31"/>
      <c r="C145" s="19"/>
      <c r="D145" s="19"/>
      <c r="E145" s="19"/>
      <c r="F145" s="20"/>
      <c r="G145" s="19"/>
      <c r="H145" s="19"/>
      <c r="I145" s="20"/>
      <c r="J145" s="19"/>
      <c r="K145" s="19"/>
    </row>
    <row r="146" spans="1:11" ht="14.25">
      <c r="A146" s="19"/>
      <c r="B146" s="31"/>
      <c r="C146" s="19"/>
      <c r="D146" s="19"/>
      <c r="E146" s="19"/>
      <c r="F146" s="20"/>
      <c r="G146" s="19"/>
      <c r="H146" s="19"/>
      <c r="I146" s="20"/>
      <c r="J146" s="19"/>
      <c r="K146" s="19"/>
    </row>
    <row r="147" spans="1:11" ht="14.25">
      <c r="A147" s="19"/>
      <c r="B147" s="31"/>
      <c r="C147" s="19"/>
      <c r="D147" s="19"/>
      <c r="E147" s="19"/>
      <c r="F147" s="20"/>
      <c r="G147" s="19"/>
      <c r="H147" s="19"/>
      <c r="I147" s="20"/>
      <c r="J147" s="19"/>
      <c r="K147" s="19"/>
    </row>
    <row r="148" spans="1:11" ht="14.25">
      <c r="A148" s="19"/>
      <c r="B148" s="31"/>
      <c r="C148" s="19"/>
      <c r="D148" s="19"/>
      <c r="E148" s="19"/>
      <c r="F148" s="20"/>
      <c r="G148" s="19"/>
      <c r="H148" s="19"/>
      <c r="I148" s="20"/>
      <c r="J148" s="19"/>
      <c r="K148" s="19"/>
    </row>
    <row r="149" spans="1:11" ht="14.25">
      <c r="A149" s="19"/>
      <c r="B149" s="31"/>
      <c r="C149" s="19"/>
      <c r="D149" s="19"/>
      <c r="E149" s="19"/>
      <c r="F149" s="20"/>
      <c r="G149" s="19"/>
      <c r="H149" s="19"/>
      <c r="I149" s="20"/>
      <c r="J149" s="19"/>
      <c r="K149" s="19"/>
    </row>
    <row r="150" spans="1:11" ht="14.25">
      <c r="A150" s="19"/>
      <c r="B150" s="31"/>
      <c r="C150" s="19"/>
      <c r="D150" s="19"/>
      <c r="E150" s="19"/>
      <c r="F150" s="20"/>
      <c r="G150" s="19"/>
      <c r="H150" s="19"/>
      <c r="I150" s="20"/>
      <c r="J150" s="19"/>
      <c r="K150" s="19"/>
    </row>
    <row r="151" spans="1:11" ht="14.25">
      <c r="A151" s="19"/>
      <c r="B151" s="31"/>
      <c r="C151" s="19"/>
      <c r="D151" s="19"/>
      <c r="E151" s="19"/>
      <c r="F151" s="20"/>
      <c r="G151" s="19"/>
      <c r="H151" s="19"/>
      <c r="I151" s="20"/>
      <c r="J151" s="19"/>
      <c r="K151" s="19"/>
    </row>
    <row r="152" spans="1:11" ht="14.25">
      <c r="A152" s="19"/>
      <c r="B152" s="31"/>
      <c r="C152" s="19"/>
      <c r="D152" s="19"/>
      <c r="E152" s="19"/>
      <c r="F152" s="20"/>
      <c r="G152" s="19"/>
      <c r="H152" s="19"/>
      <c r="I152" s="20"/>
      <c r="J152" s="19"/>
      <c r="K152" s="19"/>
    </row>
    <row r="153" spans="1:11" ht="14.25">
      <c r="A153" s="19"/>
      <c r="B153" s="31"/>
      <c r="C153" s="19"/>
      <c r="D153" s="19"/>
      <c r="E153" s="19"/>
      <c r="F153" s="20"/>
      <c r="G153" s="19"/>
      <c r="H153" s="19"/>
      <c r="I153" s="20"/>
      <c r="J153" s="19"/>
      <c r="K153" s="19"/>
    </row>
    <row r="154" spans="1:11" ht="14.25">
      <c r="A154" s="19"/>
      <c r="B154" s="31"/>
      <c r="C154" s="19"/>
      <c r="D154" s="19"/>
      <c r="E154" s="19"/>
      <c r="F154" s="20"/>
      <c r="G154" s="19"/>
      <c r="H154" s="19"/>
      <c r="I154" s="20"/>
      <c r="J154" s="19"/>
      <c r="K154" s="19"/>
    </row>
    <row r="155" spans="1:11" ht="14.25">
      <c r="A155" s="19"/>
      <c r="B155" s="31"/>
      <c r="C155" s="19"/>
      <c r="D155" s="19"/>
      <c r="E155" s="19"/>
      <c r="F155" s="20"/>
      <c r="G155" s="19"/>
      <c r="H155" s="19"/>
      <c r="I155" s="20"/>
      <c r="J155" s="19"/>
      <c r="K155" s="19"/>
    </row>
    <row r="156" spans="1:11" ht="14.25">
      <c r="A156" s="19"/>
      <c r="B156" s="31"/>
      <c r="C156" s="19"/>
      <c r="D156" s="19"/>
      <c r="E156" s="19"/>
      <c r="F156" s="20"/>
      <c r="G156" s="19"/>
      <c r="H156" s="19"/>
      <c r="I156" s="20"/>
      <c r="J156" s="19"/>
      <c r="K156" s="19"/>
    </row>
    <row r="157" spans="1:11" ht="14.25">
      <c r="A157" s="19"/>
      <c r="B157" s="31"/>
      <c r="C157" s="19"/>
      <c r="D157" s="19"/>
      <c r="E157" s="19"/>
      <c r="F157" s="20"/>
      <c r="G157" s="19"/>
      <c r="H157" s="19"/>
      <c r="I157" s="20"/>
      <c r="J157" s="19"/>
      <c r="K157" s="19"/>
    </row>
    <row r="158" spans="1:11" ht="14.25">
      <c r="A158" s="19"/>
      <c r="B158" s="31"/>
      <c r="C158" s="19"/>
      <c r="D158" s="19"/>
      <c r="E158" s="19"/>
      <c r="F158" s="20"/>
      <c r="G158" s="19"/>
      <c r="H158" s="19"/>
      <c r="I158" s="20"/>
      <c r="J158" s="19"/>
      <c r="K158" s="19"/>
    </row>
    <row r="159" spans="1:11" ht="14.25">
      <c r="A159" s="19"/>
      <c r="B159" s="31"/>
      <c r="C159" s="19"/>
      <c r="D159" s="19"/>
      <c r="E159" s="19"/>
      <c r="F159" s="20"/>
      <c r="G159" s="19"/>
      <c r="H159" s="19"/>
      <c r="I159" s="20"/>
      <c r="J159" s="19"/>
      <c r="K159" s="19"/>
    </row>
    <row r="160" spans="1:11" ht="14.25">
      <c r="A160" s="19"/>
      <c r="B160" s="31"/>
      <c r="C160" s="19"/>
      <c r="D160" s="19"/>
      <c r="E160" s="19"/>
      <c r="F160" s="20"/>
      <c r="G160" s="19"/>
      <c r="H160" s="19"/>
      <c r="I160" s="20"/>
      <c r="J160" s="19"/>
      <c r="K160" s="19"/>
    </row>
    <row r="161" spans="1:11" ht="14.25">
      <c r="A161" s="19"/>
      <c r="B161" s="31"/>
      <c r="C161" s="19"/>
      <c r="D161" s="19"/>
      <c r="E161" s="19"/>
      <c r="F161" s="20"/>
      <c r="G161" s="19"/>
      <c r="H161" s="19"/>
      <c r="I161" s="20"/>
      <c r="J161" s="19"/>
      <c r="K161" s="19"/>
    </row>
    <row r="162" spans="1:11" ht="14.25">
      <c r="A162" s="19"/>
      <c r="B162" s="31"/>
      <c r="C162" s="19"/>
      <c r="D162" s="19"/>
      <c r="E162" s="19"/>
      <c r="F162" s="20"/>
      <c r="G162" s="19"/>
      <c r="H162" s="19"/>
      <c r="I162" s="20"/>
      <c r="J162" s="19"/>
      <c r="K162" s="19"/>
    </row>
    <row r="163" spans="1:11" ht="14.25">
      <c r="A163" s="19"/>
      <c r="B163" s="31"/>
      <c r="C163" s="19"/>
      <c r="D163" s="19"/>
      <c r="E163" s="19"/>
      <c r="F163" s="20"/>
      <c r="G163" s="19"/>
      <c r="H163" s="19"/>
      <c r="I163" s="20"/>
      <c r="J163" s="19"/>
      <c r="K163" s="19"/>
    </row>
    <row r="164" spans="1:11" ht="14.25">
      <c r="A164" s="19"/>
      <c r="B164" s="31"/>
      <c r="C164" s="19"/>
      <c r="D164" s="19"/>
      <c r="E164" s="19"/>
      <c r="F164" s="20"/>
      <c r="G164" s="19"/>
      <c r="H164" s="19"/>
      <c r="I164" s="20"/>
      <c r="J164" s="19"/>
      <c r="K164" s="19"/>
    </row>
    <row r="165" spans="1:11" ht="14.25">
      <c r="A165" s="19"/>
      <c r="B165" s="31"/>
      <c r="C165" s="19"/>
      <c r="D165" s="19"/>
      <c r="E165" s="19"/>
      <c r="F165" s="20"/>
      <c r="G165" s="19"/>
      <c r="H165" s="19"/>
      <c r="I165" s="20"/>
      <c r="J165" s="19"/>
      <c r="K165" s="19"/>
    </row>
    <row r="166" spans="1:11" ht="14.25">
      <c r="A166" s="19"/>
      <c r="B166" s="31"/>
      <c r="C166" s="19"/>
      <c r="D166" s="19"/>
      <c r="E166" s="19"/>
      <c r="F166" s="20"/>
      <c r="G166" s="19"/>
      <c r="H166" s="19"/>
      <c r="I166" s="20"/>
      <c r="J166" s="19"/>
      <c r="K166" s="19"/>
    </row>
    <row r="167" spans="1:11" ht="14.25">
      <c r="A167" s="19"/>
      <c r="B167" s="31"/>
      <c r="C167" s="19"/>
      <c r="D167" s="19"/>
      <c r="E167" s="19"/>
      <c r="F167" s="20"/>
      <c r="G167" s="19"/>
      <c r="H167" s="19"/>
      <c r="I167" s="20"/>
      <c r="J167" s="19"/>
      <c r="K167" s="19"/>
    </row>
    <row r="168" spans="1:11" ht="14.25">
      <c r="A168" s="19"/>
      <c r="B168" s="31"/>
      <c r="C168" s="19"/>
      <c r="D168" s="19"/>
      <c r="E168" s="19"/>
      <c r="F168" s="20"/>
      <c r="G168" s="19"/>
      <c r="H168" s="19"/>
      <c r="I168" s="20"/>
      <c r="J168" s="19"/>
      <c r="K168" s="19"/>
    </row>
    <row r="169" spans="1:11" ht="14.25">
      <c r="A169" s="19"/>
      <c r="B169" s="31"/>
      <c r="C169" s="19"/>
      <c r="D169" s="19"/>
      <c r="E169" s="19"/>
      <c r="F169" s="20"/>
      <c r="G169" s="19"/>
      <c r="H169" s="19"/>
      <c r="I169" s="20"/>
      <c r="J169" s="19"/>
      <c r="K169" s="19"/>
    </row>
    <row r="170" spans="1:11" ht="14.25">
      <c r="A170" s="19"/>
      <c r="B170" s="31"/>
      <c r="C170" s="19"/>
      <c r="D170" s="19"/>
      <c r="E170" s="19"/>
      <c r="F170" s="20"/>
      <c r="G170" s="19"/>
      <c r="H170" s="19"/>
      <c r="I170" s="20"/>
      <c r="J170" s="19"/>
      <c r="K170" s="19"/>
    </row>
    <row r="171" spans="1:11" ht="14.25">
      <c r="A171" s="19"/>
      <c r="B171" s="31"/>
      <c r="C171" s="19"/>
      <c r="D171" s="19"/>
      <c r="E171" s="19"/>
      <c r="F171" s="20"/>
      <c r="G171" s="19"/>
      <c r="H171" s="19"/>
      <c r="I171" s="20"/>
      <c r="J171" s="19"/>
      <c r="K171" s="19"/>
    </row>
    <row r="172" spans="1:11" ht="14.25">
      <c r="A172" s="19"/>
      <c r="B172" s="31"/>
      <c r="C172" s="19"/>
      <c r="D172" s="19"/>
      <c r="E172" s="19"/>
      <c r="F172" s="20"/>
      <c r="G172" s="19"/>
      <c r="H172" s="19"/>
      <c r="I172" s="20"/>
      <c r="J172" s="19"/>
      <c r="K172" s="19"/>
    </row>
    <row r="173" spans="1:11" ht="14.25">
      <c r="A173" s="19"/>
      <c r="B173" s="31"/>
      <c r="C173" s="19"/>
      <c r="D173" s="19"/>
      <c r="E173" s="19"/>
      <c r="F173" s="20"/>
      <c r="G173" s="19"/>
      <c r="H173" s="19"/>
      <c r="I173" s="20"/>
      <c r="J173" s="19"/>
      <c r="K173" s="19"/>
    </row>
    <row r="174" spans="1:11" ht="14.25">
      <c r="A174" s="19"/>
      <c r="B174" s="31"/>
      <c r="C174" s="19"/>
      <c r="D174" s="19"/>
      <c r="E174" s="19"/>
      <c r="F174" s="20"/>
      <c r="G174" s="19"/>
      <c r="H174" s="19"/>
      <c r="I174" s="20"/>
      <c r="J174" s="19"/>
      <c r="K174" s="19"/>
    </row>
    <row r="175" spans="1:11" ht="14.25">
      <c r="A175" s="19"/>
      <c r="B175" s="31"/>
      <c r="C175" s="19"/>
      <c r="D175" s="19"/>
      <c r="E175" s="19"/>
      <c r="F175" s="20"/>
      <c r="G175" s="19"/>
      <c r="H175" s="19"/>
      <c r="I175" s="20"/>
      <c r="J175" s="19"/>
      <c r="K175" s="19"/>
    </row>
    <row r="176" spans="1:11" ht="14.25">
      <c r="A176" s="19"/>
      <c r="B176" s="31"/>
      <c r="C176" s="19"/>
      <c r="D176" s="19"/>
      <c r="E176" s="19"/>
      <c r="F176" s="20"/>
      <c r="G176" s="19"/>
      <c r="H176" s="19"/>
      <c r="I176" s="20"/>
      <c r="J176" s="19"/>
      <c r="K176" s="19"/>
    </row>
    <row r="177" spans="1:11" ht="14.25">
      <c r="A177" s="19"/>
      <c r="B177" s="31"/>
      <c r="C177" s="19"/>
      <c r="D177" s="19"/>
      <c r="E177" s="19"/>
      <c r="F177" s="20"/>
      <c r="G177" s="19"/>
      <c r="H177" s="19"/>
      <c r="I177" s="20"/>
      <c r="J177" s="19"/>
      <c r="K177" s="19"/>
    </row>
    <row r="178" spans="1:11" ht="14.25">
      <c r="A178" s="19"/>
      <c r="B178" s="31"/>
      <c r="C178" s="19"/>
      <c r="D178" s="19"/>
      <c r="E178" s="19"/>
      <c r="F178" s="20"/>
      <c r="G178" s="19"/>
      <c r="H178" s="19"/>
      <c r="I178" s="20"/>
      <c r="J178" s="19"/>
      <c r="K178" s="19"/>
    </row>
    <row r="179" spans="1:11" ht="14.25">
      <c r="A179" s="19"/>
      <c r="B179" s="31"/>
      <c r="C179" s="19"/>
      <c r="D179" s="19"/>
      <c r="E179" s="19"/>
      <c r="F179" s="20"/>
      <c r="G179" s="19"/>
      <c r="H179" s="19"/>
      <c r="I179" s="20"/>
      <c r="J179" s="19"/>
      <c r="K179" s="19"/>
    </row>
    <row r="180" spans="1:11" ht="14.25">
      <c r="A180" s="19"/>
      <c r="B180" s="31"/>
      <c r="C180" s="19"/>
      <c r="D180" s="19"/>
      <c r="E180" s="19"/>
      <c r="F180" s="20"/>
      <c r="G180" s="19"/>
      <c r="H180" s="19"/>
      <c r="I180" s="20"/>
      <c r="J180" s="19"/>
      <c r="K180" s="19"/>
    </row>
    <row r="181" spans="1:11" ht="14.25">
      <c r="A181" s="19"/>
      <c r="B181" s="31"/>
      <c r="C181" s="19"/>
      <c r="D181" s="19"/>
      <c r="E181" s="19"/>
      <c r="F181" s="20"/>
      <c r="G181" s="19"/>
      <c r="H181" s="19"/>
      <c r="I181" s="20"/>
      <c r="J181" s="19"/>
      <c r="K181" s="19"/>
    </row>
    <row r="182" spans="1:11" ht="14.25">
      <c r="A182" s="19"/>
      <c r="B182" s="31"/>
      <c r="C182" s="19"/>
      <c r="D182" s="19"/>
      <c r="E182" s="19"/>
      <c r="F182" s="20"/>
      <c r="G182" s="19"/>
      <c r="H182" s="19"/>
      <c r="I182" s="20"/>
      <c r="J182" s="19"/>
      <c r="K182" s="19"/>
    </row>
    <row r="183" spans="1:11" ht="14.25">
      <c r="A183" s="19"/>
      <c r="B183" s="31"/>
      <c r="C183" s="19"/>
      <c r="D183" s="19"/>
      <c r="E183" s="19"/>
      <c r="F183" s="20"/>
      <c r="G183" s="19"/>
      <c r="H183" s="19"/>
      <c r="I183" s="20"/>
      <c r="J183" s="19"/>
      <c r="K183" s="19"/>
    </row>
    <row r="184" spans="1:11" ht="14.25">
      <c r="A184" s="19"/>
      <c r="B184" s="31"/>
      <c r="C184" s="19"/>
      <c r="D184" s="19"/>
      <c r="E184" s="19"/>
      <c r="F184" s="20"/>
      <c r="G184" s="19"/>
      <c r="H184" s="19"/>
      <c r="I184" s="20"/>
      <c r="J184" s="19"/>
      <c r="K184" s="19"/>
    </row>
    <row r="185" spans="1:11" ht="14.25">
      <c r="A185" s="19"/>
      <c r="B185" s="31"/>
      <c r="C185" s="19"/>
      <c r="D185" s="19"/>
      <c r="E185" s="19"/>
      <c r="F185" s="20"/>
      <c r="G185" s="19"/>
      <c r="H185" s="19"/>
      <c r="I185" s="20"/>
      <c r="J185" s="19"/>
      <c r="K185" s="19"/>
    </row>
    <row r="186" spans="1:11" ht="14.25">
      <c r="A186" s="19"/>
      <c r="B186" s="31"/>
      <c r="C186" s="19"/>
      <c r="D186" s="19"/>
      <c r="E186" s="19"/>
      <c r="F186" s="20"/>
      <c r="G186" s="19"/>
      <c r="H186" s="19"/>
      <c r="I186" s="20"/>
      <c r="J186" s="19"/>
      <c r="K186" s="19"/>
    </row>
    <row r="187" spans="1:11" ht="14.25">
      <c r="A187" s="19"/>
      <c r="B187" s="31"/>
      <c r="C187" s="19"/>
      <c r="D187" s="19"/>
      <c r="E187" s="19"/>
      <c r="F187" s="20"/>
      <c r="G187" s="19"/>
      <c r="H187" s="19"/>
      <c r="I187" s="20"/>
      <c r="J187" s="19"/>
      <c r="K187" s="19"/>
    </row>
    <row r="188" spans="1:11" ht="14.25">
      <c r="A188" s="19"/>
      <c r="B188" s="31"/>
      <c r="C188" s="19"/>
      <c r="D188" s="19"/>
      <c r="E188" s="19"/>
      <c r="F188" s="20"/>
      <c r="G188" s="19"/>
      <c r="H188" s="19"/>
      <c r="I188" s="20"/>
      <c r="J188" s="19"/>
      <c r="K188" s="19"/>
    </row>
    <row r="189" spans="1:11" ht="14.25">
      <c r="A189" s="19"/>
      <c r="B189" s="31"/>
      <c r="C189" s="19"/>
      <c r="D189" s="19"/>
      <c r="E189" s="19"/>
      <c r="F189" s="20"/>
      <c r="G189" s="19"/>
      <c r="H189" s="19"/>
      <c r="I189" s="20"/>
      <c r="J189" s="19"/>
      <c r="K189" s="19"/>
    </row>
    <row r="190" spans="1:11" ht="14.25">
      <c r="A190" s="19"/>
      <c r="B190" s="31"/>
      <c r="C190" s="19"/>
      <c r="D190" s="19"/>
      <c r="E190" s="19"/>
      <c r="F190" s="20"/>
      <c r="G190" s="19"/>
      <c r="H190" s="19"/>
      <c r="I190" s="20"/>
      <c r="J190" s="19"/>
      <c r="K190" s="19"/>
    </row>
    <row r="191" spans="1:11" ht="14.25">
      <c r="A191" s="19"/>
      <c r="B191" s="31"/>
      <c r="C191" s="19"/>
      <c r="D191" s="19"/>
      <c r="E191" s="19"/>
      <c r="F191" s="20"/>
      <c r="G191" s="19"/>
      <c r="H191" s="19"/>
      <c r="I191" s="20"/>
      <c r="J191" s="19"/>
      <c r="K191" s="19"/>
    </row>
    <row r="192" spans="1:11" ht="14.25">
      <c r="A192" s="19"/>
      <c r="B192" s="31"/>
      <c r="C192" s="19"/>
      <c r="D192" s="19"/>
      <c r="E192" s="19"/>
      <c r="F192" s="20"/>
      <c r="G192" s="19"/>
      <c r="H192" s="19"/>
      <c r="I192" s="20"/>
      <c r="J192" s="19"/>
      <c r="K192" s="19"/>
    </row>
    <row r="193" spans="1:11" ht="14.25">
      <c r="A193" s="19"/>
      <c r="B193" s="31"/>
      <c r="C193" s="19"/>
      <c r="D193" s="19"/>
      <c r="E193" s="19"/>
      <c r="F193" s="20"/>
      <c r="G193" s="19"/>
      <c r="H193" s="19"/>
      <c r="I193" s="20"/>
      <c r="J193" s="19"/>
      <c r="K193" s="19"/>
    </row>
    <row r="194" spans="1:11" ht="14.25">
      <c r="A194" s="19"/>
      <c r="B194" s="31"/>
      <c r="C194" s="19"/>
      <c r="D194" s="19"/>
      <c r="E194" s="19"/>
      <c r="F194" s="20"/>
      <c r="G194" s="19"/>
      <c r="H194" s="19"/>
      <c r="I194" s="20"/>
      <c r="J194" s="19"/>
      <c r="K194" s="19"/>
    </row>
    <row r="195" spans="1:11" ht="14.25">
      <c r="A195" s="19"/>
      <c r="B195" s="31"/>
      <c r="C195" s="19"/>
      <c r="D195" s="19"/>
      <c r="E195" s="19"/>
      <c r="F195" s="20"/>
      <c r="G195" s="19"/>
      <c r="H195" s="19"/>
      <c r="I195" s="20"/>
      <c r="J195" s="19"/>
      <c r="K195" s="19"/>
    </row>
    <row r="196" spans="1:11" ht="14.25">
      <c r="A196" s="19"/>
      <c r="B196" s="31"/>
      <c r="C196" s="19"/>
      <c r="D196" s="19"/>
      <c r="E196" s="19"/>
      <c r="F196" s="20"/>
      <c r="G196" s="19"/>
      <c r="H196" s="19"/>
      <c r="I196" s="20"/>
      <c r="J196" s="19"/>
      <c r="K196" s="19"/>
    </row>
    <row r="197" spans="1:11" ht="14.25">
      <c r="A197" s="19"/>
      <c r="B197" s="31"/>
      <c r="C197" s="19"/>
      <c r="D197" s="19"/>
      <c r="E197" s="19"/>
      <c r="F197" s="20"/>
      <c r="G197" s="19"/>
      <c r="H197" s="19"/>
      <c r="I197" s="20"/>
      <c r="J197" s="19"/>
      <c r="K197" s="19"/>
    </row>
    <row r="198" spans="1:11" ht="14.25">
      <c r="A198" s="19"/>
      <c r="B198" s="31"/>
      <c r="C198" s="19"/>
      <c r="D198" s="19"/>
      <c r="E198" s="19"/>
      <c r="F198" s="20"/>
      <c r="G198" s="19"/>
      <c r="H198" s="19"/>
      <c r="I198" s="20"/>
      <c r="J198" s="19"/>
      <c r="K198" s="19"/>
    </row>
    <row r="199" spans="1:11" ht="14.25">
      <c r="A199" s="19"/>
      <c r="B199" s="31"/>
      <c r="C199" s="19"/>
      <c r="D199" s="19"/>
      <c r="E199" s="19"/>
      <c r="F199" s="20"/>
      <c r="G199" s="19"/>
      <c r="H199" s="19"/>
      <c r="I199" s="20"/>
      <c r="J199" s="19"/>
      <c r="K199" s="19"/>
    </row>
    <row r="200" spans="1:11" ht="14.25">
      <c r="A200" s="19"/>
      <c r="B200" s="31"/>
      <c r="C200" s="19"/>
      <c r="D200" s="19"/>
      <c r="E200" s="19"/>
      <c r="F200" s="20"/>
      <c r="G200" s="19"/>
      <c r="H200" s="19"/>
      <c r="I200" s="20"/>
      <c r="J200" s="19"/>
      <c r="K200" s="19"/>
    </row>
    <row r="201" spans="1:11" ht="14.25">
      <c r="A201" s="19"/>
      <c r="B201" s="31"/>
      <c r="C201" s="19"/>
      <c r="D201" s="19"/>
      <c r="E201" s="19"/>
      <c r="F201" s="20"/>
      <c r="G201" s="19"/>
      <c r="H201" s="19"/>
      <c r="I201" s="20"/>
      <c r="J201" s="19"/>
      <c r="K201" s="19"/>
    </row>
    <row r="202" spans="1:11" ht="14.25">
      <c r="A202" s="19"/>
      <c r="B202" s="31"/>
      <c r="C202" s="19"/>
      <c r="D202" s="19"/>
      <c r="E202" s="19"/>
      <c r="F202" s="20"/>
      <c r="G202" s="19"/>
      <c r="H202" s="19"/>
      <c r="I202" s="20"/>
      <c r="J202" s="19"/>
      <c r="K202" s="19"/>
    </row>
    <row r="203" spans="1:11" ht="14.25">
      <c r="A203" s="19"/>
      <c r="B203" s="31"/>
      <c r="C203" s="19"/>
      <c r="D203" s="19"/>
      <c r="E203" s="19"/>
      <c r="F203" s="20"/>
      <c r="G203" s="19"/>
      <c r="H203" s="19"/>
      <c r="I203" s="20"/>
      <c r="J203" s="19"/>
      <c r="K203" s="19"/>
    </row>
    <row r="204" spans="1:11" ht="14.25">
      <c r="A204" s="19"/>
      <c r="B204" s="31"/>
      <c r="C204" s="19"/>
      <c r="D204" s="19"/>
      <c r="E204" s="19"/>
      <c r="F204" s="20"/>
      <c r="G204" s="19"/>
      <c r="H204" s="19"/>
      <c r="I204" s="20"/>
      <c r="J204" s="19"/>
      <c r="K204" s="19"/>
    </row>
    <row r="205" spans="1:11" ht="14.25">
      <c r="A205" s="19"/>
      <c r="B205" s="31"/>
      <c r="C205" s="19"/>
      <c r="D205" s="19"/>
      <c r="E205" s="19"/>
      <c r="F205" s="20"/>
      <c r="G205" s="19"/>
      <c r="H205" s="19"/>
      <c r="I205" s="20"/>
      <c r="J205" s="19"/>
      <c r="K205" s="19"/>
    </row>
    <row r="206" spans="1:11" ht="14.25">
      <c r="A206" s="19"/>
      <c r="B206" s="31"/>
      <c r="C206" s="19"/>
      <c r="D206" s="19"/>
      <c r="E206" s="19"/>
      <c r="F206" s="20"/>
      <c r="G206" s="19"/>
      <c r="H206" s="19"/>
      <c r="I206" s="20"/>
      <c r="J206" s="19"/>
      <c r="K206" s="19"/>
    </row>
    <row r="207" spans="1:11" ht="14.25">
      <c r="A207" s="19"/>
      <c r="B207" s="31"/>
      <c r="C207" s="19"/>
      <c r="D207" s="19"/>
      <c r="E207" s="19"/>
      <c r="F207" s="20"/>
      <c r="G207" s="19"/>
      <c r="H207" s="19"/>
      <c r="I207" s="20"/>
      <c r="J207" s="19"/>
      <c r="K207" s="19"/>
    </row>
    <row r="208" spans="1:11" ht="14.25">
      <c r="A208" s="19"/>
      <c r="B208" s="31"/>
      <c r="C208" s="19"/>
      <c r="D208" s="19"/>
      <c r="E208" s="19"/>
      <c r="F208" s="20"/>
      <c r="G208" s="19"/>
      <c r="H208" s="19"/>
      <c r="I208" s="20"/>
      <c r="J208" s="19"/>
      <c r="K208" s="19"/>
    </row>
    <row r="209" spans="1:11" ht="14.25">
      <c r="A209" s="19"/>
      <c r="B209" s="31"/>
      <c r="C209" s="19"/>
      <c r="D209" s="19"/>
      <c r="E209" s="19"/>
      <c r="F209" s="20"/>
      <c r="G209" s="19"/>
      <c r="H209" s="19"/>
      <c r="I209" s="20"/>
      <c r="J209" s="19"/>
      <c r="K209" s="19"/>
    </row>
    <row r="210" spans="1:11" ht="14.25">
      <c r="A210" s="19"/>
      <c r="B210" s="31"/>
      <c r="C210" s="19"/>
      <c r="D210" s="19"/>
      <c r="E210" s="19"/>
      <c r="F210" s="20"/>
      <c r="G210" s="19"/>
      <c r="H210" s="19"/>
      <c r="I210" s="20"/>
      <c r="J210" s="19"/>
      <c r="K210" s="19"/>
    </row>
    <row r="211" spans="1:11" ht="14.25">
      <c r="A211" s="19"/>
      <c r="B211" s="31"/>
      <c r="C211" s="19"/>
      <c r="D211" s="19"/>
      <c r="E211" s="19"/>
      <c r="F211" s="20"/>
      <c r="G211" s="19"/>
      <c r="H211" s="19"/>
      <c r="I211" s="20"/>
      <c r="J211" s="19"/>
      <c r="K211" s="19"/>
    </row>
    <row r="212" spans="1:11" ht="14.25">
      <c r="A212" s="19"/>
      <c r="B212" s="31"/>
      <c r="C212" s="19"/>
      <c r="D212" s="19"/>
      <c r="E212" s="19"/>
      <c r="F212" s="20"/>
      <c r="G212" s="19"/>
      <c r="H212" s="19"/>
      <c r="I212" s="20"/>
      <c r="J212" s="19"/>
      <c r="K212" s="19"/>
    </row>
    <row r="213" spans="1:11" ht="14.25">
      <c r="A213" s="19"/>
      <c r="B213" s="31"/>
      <c r="C213" s="19"/>
      <c r="D213" s="19"/>
      <c r="E213" s="19"/>
      <c r="F213" s="20"/>
      <c r="G213" s="19"/>
      <c r="H213" s="19"/>
      <c r="I213" s="20"/>
      <c r="J213" s="19"/>
      <c r="K213" s="19"/>
    </row>
    <row r="214" spans="1:11" ht="14.25">
      <c r="A214" s="19"/>
      <c r="B214" s="31"/>
      <c r="C214" s="19"/>
      <c r="D214" s="19"/>
      <c r="E214" s="19"/>
      <c r="F214" s="20"/>
      <c r="G214" s="19"/>
      <c r="H214" s="19"/>
      <c r="I214" s="20"/>
      <c r="J214" s="19"/>
      <c r="K214" s="19"/>
    </row>
    <row r="215" spans="1:11" ht="14.25">
      <c r="A215" s="19"/>
      <c r="B215" s="31"/>
      <c r="C215" s="19"/>
      <c r="D215" s="19"/>
      <c r="E215" s="19"/>
      <c r="F215" s="20"/>
      <c r="G215" s="19"/>
      <c r="H215" s="19"/>
      <c r="I215" s="20"/>
      <c r="J215" s="19"/>
      <c r="K215" s="19"/>
    </row>
    <row r="216" spans="1:11" ht="14.25">
      <c r="A216" s="19"/>
      <c r="B216" s="31"/>
      <c r="C216" s="19"/>
      <c r="D216" s="19"/>
      <c r="E216" s="19"/>
      <c r="F216" s="20"/>
      <c r="G216" s="19"/>
      <c r="H216" s="19"/>
      <c r="I216" s="20"/>
      <c r="J216" s="19"/>
      <c r="K216" s="19"/>
    </row>
    <row r="217" spans="1:11" ht="14.25">
      <c r="A217" s="19"/>
      <c r="B217" s="31"/>
      <c r="C217" s="19"/>
      <c r="D217" s="19"/>
      <c r="E217" s="19"/>
      <c r="F217" s="20"/>
      <c r="G217" s="19"/>
      <c r="H217" s="19"/>
      <c r="I217" s="20"/>
      <c r="J217" s="19"/>
      <c r="K217" s="19"/>
    </row>
    <row r="218" spans="1:11" ht="14.25">
      <c r="A218" s="19"/>
      <c r="B218" s="31"/>
      <c r="C218" s="19"/>
      <c r="D218" s="19"/>
      <c r="E218" s="19"/>
      <c r="F218" s="20"/>
      <c r="G218" s="19"/>
      <c r="H218" s="19"/>
      <c r="I218" s="20"/>
      <c r="J218" s="19"/>
      <c r="K218" s="19"/>
    </row>
    <row r="219" spans="1:11" ht="14.25">
      <c r="A219" s="19"/>
      <c r="B219" s="31"/>
      <c r="C219" s="19"/>
      <c r="D219" s="19"/>
      <c r="E219" s="19"/>
      <c r="F219" s="20"/>
      <c r="G219" s="19"/>
      <c r="H219" s="19"/>
      <c r="I219" s="20"/>
      <c r="J219" s="19"/>
      <c r="K219" s="19"/>
    </row>
    <row r="220" spans="1:11" ht="14.25">
      <c r="A220" s="19"/>
      <c r="B220" s="31"/>
      <c r="C220" s="19"/>
      <c r="D220" s="19"/>
      <c r="E220" s="19"/>
      <c r="F220" s="20"/>
      <c r="G220" s="19"/>
      <c r="H220" s="19"/>
      <c r="I220" s="20"/>
      <c r="J220" s="19"/>
      <c r="K220" s="19"/>
    </row>
    <row r="221" spans="1:11" ht="14.25">
      <c r="A221" s="19"/>
      <c r="B221" s="31"/>
      <c r="C221" s="19"/>
      <c r="D221" s="19"/>
      <c r="E221" s="19"/>
      <c r="F221" s="20"/>
      <c r="G221" s="19"/>
      <c r="H221" s="19"/>
      <c r="I221" s="20"/>
      <c r="J221" s="19"/>
      <c r="K221" s="19"/>
    </row>
    <row r="222" spans="1:11" ht="14.25">
      <c r="A222" s="19"/>
      <c r="B222" s="31"/>
      <c r="C222" s="19"/>
      <c r="D222" s="19"/>
      <c r="E222" s="19"/>
      <c r="F222" s="20"/>
      <c r="G222" s="19"/>
      <c r="H222" s="19"/>
      <c r="I222" s="20"/>
      <c r="J222" s="19"/>
      <c r="K222" s="19"/>
    </row>
    <row r="223" spans="1:11" ht="14.25">
      <c r="A223" s="19"/>
      <c r="B223" s="31"/>
      <c r="C223" s="19"/>
      <c r="D223" s="19"/>
      <c r="E223" s="19"/>
      <c r="F223" s="20"/>
      <c r="G223" s="19"/>
      <c r="H223" s="19"/>
      <c r="I223" s="20"/>
      <c r="J223" s="19"/>
      <c r="K223" s="19"/>
    </row>
    <row r="224" spans="1:11" ht="14.25">
      <c r="A224" s="19"/>
      <c r="B224" s="31"/>
      <c r="C224" s="19"/>
      <c r="D224" s="19"/>
      <c r="E224" s="19"/>
      <c r="F224" s="20"/>
      <c r="G224" s="19"/>
      <c r="H224" s="19"/>
      <c r="I224" s="20"/>
      <c r="J224" s="19"/>
      <c r="K224" s="19"/>
    </row>
    <row r="225" spans="1:11" ht="14.25">
      <c r="A225" s="19"/>
      <c r="B225" s="31"/>
      <c r="C225" s="19"/>
      <c r="D225" s="19"/>
      <c r="E225" s="19"/>
      <c r="F225" s="20"/>
      <c r="G225" s="19"/>
      <c r="H225" s="19"/>
      <c r="I225" s="20"/>
      <c r="J225" s="19"/>
      <c r="K225" s="19"/>
    </row>
    <row r="226" spans="1:11" ht="14.25">
      <c r="A226" s="19"/>
      <c r="B226" s="31"/>
      <c r="C226" s="19"/>
      <c r="D226" s="19"/>
      <c r="E226" s="19"/>
      <c r="F226" s="20"/>
      <c r="G226" s="19"/>
      <c r="H226" s="19"/>
      <c r="I226" s="20"/>
      <c r="J226" s="19"/>
      <c r="K226" s="19"/>
    </row>
    <row r="227" spans="1:11" ht="14.25">
      <c r="A227" s="19"/>
      <c r="B227" s="31"/>
      <c r="C227" s="19"/>
      <c r="D227" s="19"/>
      <c r="E227" s="19"/>
      <c r="F227" s="20"/>
      <c r="G227" s="19"/>
      <c r="H227" s="19"/>
      <c r="I227" s="20"/>
      <c r="J227" s="19"/>
      <c r="K227" s="19"/>
    </row>
    <row r="228" spans="1:11" ht="14.25">
      <c r="A228" s="19"/>
      <c r="B228" s="31"/>
      <c r="C228" s="19"/>
      <c r="D228" s="19"/>
      <c r="E228" s="19"/>
      <c r="F228" s="20"/>
      <c r="G228" s="19"/>
      <c r="H228" s="19"/>
      <c r="I228" s="20"/>
      <c r="J228" s="19"/>
      <c r="K228" s="19"/>
    </row>
    <row r="229" spans="1:11" ht="14.25">
      <c r="A229" s="19"/>
      <c r="B229" s="31"/>
      <c r="C229" s="19"/>
      <c r="D229" s="19"/>
      <c r="E229" s="19"/>
      <c r="F229" s="20"/>
      <c r="G229" s="19"/>
      <c r="H229" s="19"/>
      <c r="I229" s="20"/>
      <c r="J229" s="19"/>
      <c r="K229" s="19"/>
    </row>
    <row r="230" spans="1:11" ht="14.25">
      <c r="A230" s="19"/>
      <c r="B230" s="31"/>
      <c r="C230" s="19"/>
      <c r="D230" s="19"/>
      <c r="E230" s="19"/>
      <c r="F230" s="20"/>
      <c r="G230" s="19"/>
      <c r="H230" s="19"/>
      <c r="I230" s="20"/>
      <c r="J230" s="19"/>
      <c r="K230" s="19"/>
    </row>
    <row r="231" spans="1:11" ht="14.25">
      <c r="A231" s="19"/>
      <c r="B231" s="31"/>
      <c r="C231" s="19"/>
      <c r="D231" s="19"/>
      <c r="E231" s="19"/>
      <c r="F231" s="20"/>
      <c r="G231" s="19"/>
      <c r="H231" s="19"/>
      <c r="I231" s="20"/>
      <c r="J231" s="19"/>
      <c r="K231" s="19"/>
    </row>
    <row r="232" spans="1:11" ht="14.25">
      <c r="A232" s="19"/>
      <c r="B232" s="31"/>
      <c r="C232" s="19"/>
      <c r="D232" s="19"/>
      <c r="E232" s="19"/>
      <c r="F232" s="20"/>
      <c r="G232" s="19"/>
      <c r="H232" s="19"/>
      <c r="I232" s="20"/>
      <c r="J232" s="19"/>
      <c r="K232" s="19"/>
    </row>
    <row r="233" spans="1:11" ht="14.25">
      <c r="A233" s="19"/>
      <c r="B233" s="31"/>
      <c r="C233" s="19"/>
      <c r="D233" s="19"/>
      <c r="E233" s="19"/>
      <c r="F233" s="20"/>
      <c r="G233" s="19"/>
      <c r="H233" s="19"/>
      <c r="I233" s="20"/>
      <c r="J233" s="19"/>
      <c r="K233" s="19"/>
    </row>
    <row r="234" spans="1:11" ht="14.25">
      <c r="A234" s="19"/>
      <c r="B234" s="31"/>
      <c r="C234" s="19"/>
      <c r="D234" s="19"/>
      <c r="E234" s="19"/>
      <c r="F234" s="20"/>
      <c r="G234" s="19"/>
      <c r="H234" s="19"/>
      <c r="I234" s="20"/>
      <c r="J234" s="19"/>
      <c r="K234" s="19"/>
    </row>
    <row r="235" spans="1:11" ht="14.25">
      <c r="A235" s="19"/>
      <c r="B235" s="31"/>
      <c r="C235" s="19"/>
      <c r="D235" s="19"/>
      <c r="E235" s="19"/>
      <c r="F235" s="20"/>
      <c r="G235" s="19"/>
      <c r="H235" s="19"/>
      <c r="I235" s="20"/>
      <c r="J235" s="19"/>
      <c r="K235" s="19"/>
    </row>
    <row r="236" spans="1:11" ht="14.25">
      <c r="A236" s="19"/>
      <c r="B236" s="31"/>
      <c r="C236" s="19"/>
      <c r="D236" s="19"/>
      <c r="E236" s="19"/>
      <c r="F236" s="20"/>
      <c r="G236" s="19"/>
      <c r="H236" s="19"/>
      <c r="I236" s="20"/>
      <c r="J236" s="19"/>
      <c r="K236" s="19"/>
    </row>
    <row r="237" spans="1:11" ht="14.25">
      <c r="A237" s="19"/>
      <c r="B237" s="31"/>
      <c r="C237" s="19"/>
      <c r="D237" s="19"/>
      <c r="E237" s="19"/>
      <c r="F237" s="20"/>
      <c r="G237" s="19"/>
      <c r="H237" s="19"/>
      <c r="I237" s="20"/>
      <c r="J237" s="19"/>
      <c r="K237" s="19"/>
    </row>
    <row r="238" spans="1:11" ht="14.25">
      <c r="A238" s="19"/>
      <c r="B238" s="31"/>
      <c r="C238" s="19"/>
      <c r="D238" s="19"/>
      <c r="E238" s="19"/>
      <c r="F238" s="20"/>
      <c r="G238" s="19"/>
      <c r="H238" s="19"/>
      <c r="I238" s="20"/>
      <c r="J238" s="19"/>
      <c r="K238" s="19"/>
    </row>
    <row r="239" spans="1:11" ht="14.25">
      <c r="A239" s="19"/>
      <c r="B239" s="31"/>
      <c r="C239" s="19"/>
      <c r="D239" s="19"/>
      <c r="E239" s="19"/>
      <c r="F239" s="20"/>
      <c r="G239" s="19"/>
      <c r="H239" s="19"/>
      <c r="I239" s="20"/>
      <c r="J239" s="19"/>
      <c r="K239" s="19"/>
    </row>
    <row r="240" spans="1:11" ht="14.25">
      <c r="A240" s="19"/>
      <c r="B240" s="31"/>
      <c r="C240" s="19"/>
      <c r="D240" s="19"/>
      <c r="E240" s="19"/>
      <c r="F240" s="20"/>
      <c r="G240" s="19"/>
      <c r="H240" s="19"/>
      <c r="I240" s="20"/>
      <c r="J240" s="19"/>
      <c r="K240" s="19"/>
    </row>
    <row r="241" spans="1:11" ht="14.25">
      <c r="A241" s="19"/>
      <c r="B241" s="31"/>
      <c r="C241" s="19"/>
      <c r="D241" s="19"/>
      <c r="E241" s="19"/>
      <c r="F241" s="20"/>
      <c r="G241" s="19"/>
      <c r="H241" s="19"/>
      <c r="I241" s="20"/>
      <c r="J241" s="19"/>
      <c r="K241" s="19"/>
    </row>
    <row r="242" spans="1:11" ht="14.25">
      <c r="A242" s="19"/>
      <c r="B242" s="31"/>
      <c r="C242" s="19"/>
      <c r="D242" s="19"/>
      <c r="E242" s="19"/>
      <c r="F242" s="20"/>
      <c r="G242" s="19"/>
      <c r="H242" s="19"/>
      <c r="I242" s="20"/>
      <c r="J242" s="19"/>
      <c r="K242" s="19"/>
    </row>
    <row r="243" spans="1:11" ht="14.25">
      <c r="A243" s="19"/>
      <c r="B243" s="31"/>
      <c r="C243" s="19"/>
      <c r="D243" s="19"/>
      <c r="E243" s="19"/>
      <c r="F243" s="20"/>
      <c r="G243" s="19"/>
      <c r="H243" s="19"/>
      <c r="I243" s="20"/>
      <c r="J243" s="19"/>
      <c r="K243" s="19"/>
    </row>
    <row r="244" spans="1:11" ht="14.25">
      <c r="A244" s="19"/>
      <c r="B244" s="31"/>
      <c r="C244" s="19"/>
      <c r="D244" s="19"/>
      <c r="E244" s="19"/>
      <c r="F244" s="20"/>
      <c r="G244" s="19"/>
      <c r="H244" s="19"/>
      <c r="I244" s="20"/>
      <c r="J244" s="19"/>
      <c r="K244" s="19"/>
    </row>
    <row r="245" spans="1:11" ht="14.25">
      <c r="A245" s="19"/>
      <c r="B245" s="31"/>
      <c r="C245" s="19"/>
      <c r="D245" s="19"/>
      <c r="E245" s="19"/>
      <c r="F245" s="20"/>
      <c r="G245" s="19"/>
      <c r="H245" s="19"/>
      <c r="I245" s="20"/>
      <c r="J245" s="19"/>
      <c r="K245" s="19"/>
    </row>
    <row r="246" spans="1:11" ht="14.25">
      <c r="A246" s="19"/>
      <c r="B246" s="31"/>
      <c r="C246" s="19"/>
      <c r="D246" s="19"/>
      <c r="E246" s="19"/>
      <c r="F246" s="20"/>
      <c r="G246" s="19"/>
      <c r="H246" s="19"/>
      <c r="I246" s="20"/>
      <c r="J246" s="19"/>
      <c r="K246" s="19"/>
    </row>
    <row r="247" spans="1:11" ht="14.25">
      <c r="A247" s="19"/>
      <c r="B247" s="31"/>
      <c r="C247" s="19"/>
      <c r="D247" s="19"/>
      <c r="E247" s="19"/>
      <c r="F247" s="20"/>
      <c r="G247" s="19"/>
      <c r="H247" s="19"/>
      <c r="I247" s="20"/>
      <c r="J247" s="19"/>
      <c r="K247" s="19"/>
    </row>
    <row r="248" spans="1:11" ht="14.25">
      <c r="A248" s="19"/>
      <c r="B248" s="31"/>
      <c r="C248" s="19"/>
      <c r="D248" s="19"/>
      <c r="E248" s="19"/>
      <c r="F248" s="20"/>
      <c r="G248" s="19"/>
      <c r="H248" s="19"/>
      <c r="I248" s="20"/>
      <c r="J248" s="19"/>
      <c r="K248" s="19"/>
    </row>
    <row r="249" spans="1:11" ht="14.25">
      <c r="A249" s="19"/>
      <c r="B249" s="31"/>
      <c r="C249" s="19"/>
      <c r="D249" s="19"/>
      <c r="E249" s="19"/>
      <c r="F249" s="20"/>
      <c r="G249" s="19"/>
      <c r="H249" s="19"/>
      <c r="I249" s="20"/>
      <c r="J249" s="19"/>
      <c r="K249" s="19"/>
    </row>
    <row r="250" spans="1:11" ht="14.25">
      <c r="A250" s="19"/>
      <c r="B250" s="31"/>
      <c r="C250" s="19"/>
      <c r="D250" s="19"/>
      <c r="E250" s="19"/>
      <c r="F250" s="20"/>
      <c r="G250" s="19"/>
      <c r="H250" s="19"/>
      <c r="I250" s="20"/>
      <c r="J250" s="19"/>
      <c r="K250" s="19"/>
    </row>
    <row r="251" spans="1:11" ht="14.25">
      <c r="A251" s="19"/>
      <c r="B251" s="31"/>
      <c r="C251" s="19"/>
      <c r="D251" s="19"/>
      <c r="E251" s="19"/>
      <c r="F251" s="20"/>
      <c r="G251" s="19"/>
      <c r="H251" s="19"/>
      <c r="I251" s="20"/>
      <c r="J251" s="19"/>
      <c r="K251" s="19"/>
    </row>
    <row r="252" spans="1:11" ht="14.25">
      <c r="A252" s="19"/>
      <c r="B252" s="31"/>
      <c r="C252" s="19"/>
      <c r="D252" s="19"/>
      <c r="E252" s="19"/>
      <c r="F252" s="20"/>
      <c r="G252" s="19"/>
      <c r="H252" s="19"/>
      <c r="I252" s="20"/>
      <c r="J252" s="19"/>
      <c r="K252" s="19"/>
    </row>
    <row r="253" spans="1:11" ht="14.25">
      <c r="A253" s="19"/>
      <c r="B253" s="31"/>
      <c r="C253" s="19"/>
      <c r="D253" s="19"/>
      <c r="E253" s="19"/>
      <c r="F253" s="20"/>
      <c r="G253" s="19"/>
      <c r="H253" s="19"/>
      <c r="I253" s="20"/>
      <c r="J253" s="19"/>
      <c r="K253" s="19"/>
    </row>
    <row r="254" spans="1:11" ht="14.25">
      <c r="A254" s="19"/>
      <c r="B254" s="31"/>
      <c r="C254" s="19"/>
      <c r="D254" s="19"/>
      <c r="E254" s="19"/>
      <c r="F254" s="20"/>
      <c r="G254" s="19"/>
      <c r="H254" s="19"/>
      <c r="I254" s="20"/>
      <c r="J254" s="19"/>
      <c r="K254" s="19"/>
    </row>
    <row r="255" spans="1:11" ht="14.25">
      <c r="A255" s="19"/>
      <c r="B255" s="31"/>
      <c r="C255" s="19"/>
      <c r="D255" s="19"/>
      <c r="E255" s="19"/>
      <c r="F255" s="20"/>
      <c r="G255" s="19"/>
      <c r="H255" s="19"/>
      <c r="I255" s="20"/>
      <c r="J255" s="19"/>
      <c r="K255" s="19"/>
    </row>
    <row r="256" spans="1:11" ht="14.25">
      <c r="A256" s="19"/>
      <c r="B256" s="31"/>
      <c r="C256" s="19"/>
      <c r="D256" s="19"/>
      <c r="E256" s="19"/>
      <c r="F256" s="20"/>
      <c r="G256" s="19"/>
      <c r="H256" s="19"/>
      <c r="I256" s="20"/>
      <c r="J256" s="19"/>
      <c r="K256" s="19"/>
    </row>
    <row r="257" spans="1:11" ht="14.25">
      <c r="A257" s="19"/>
      <c r="B257" s="31"/>
      <c r="C257" s="19"/>
      <c r="D257" s="19"/>
      <c r="E257" s="19"/>
      <c r="F257" s="20"/>
      <c r="G257" s="19"/>
      <c r="H257" s="19"/>
      <c r="I257" s="20"/>
      <c r="J257" s="19"/>
      <c r="K257" s="19"/>
    </row>
    <row r="258" spans="1:11" ht="14.25">
      <c r="A258" s="19"/>
      <c r="B258" s="31"/>
      <c r="C258" s="19"/>
      <c r="D258" s="19"/>
      <c r="E258" s="19"/>
      <c r="F258" s="20"/>
      <c r="G258" s="19"/>
      <c r="H258" s="19"/>
      <c r="I258" s="20"/>
      <c r="J258" s="19"/>
      <c r="K258" s="19"/>
    </row>
    <row r="259" spans="1:11" ht="14.25">
      <c r="A259" s="19"/>
      <c r="B259" s="31"/>
      <c r="C259" s="19"/>
      <c r="D259" s="19"/>
      <c r="E259" s="19"/>
      <c r="F259" s="20"/>
      <c r="G259" s="19"/>
      <c r="H259" s="19"/>
      <c r="I259" s="20"/>
      <c r="J259" s="19"/>
      <c r="K259" s="19"/>
    </row>
    <row r="260" spans="1:11" ht="14.25">
      <c r="A260" s="19"/>
      <c r="B260" s="31"/>
      <c r="C260" s="19"/>
      <c r="D260" s="19"/>
      <c r="E260" s="19"/>
      <c r="F260" s="20"/>
      <c r="G260" s="19"/>
      <c r="H260" s="19"/>
      <c r="I260" s="20"/>
      <c r="J260" s="19"/>
      <c r="K260" s="19"/>
    </row>
    <row r="261" spans="1:11" ht="14.25">
      <c r="A261" s="19"/>
      <c r="B261" s="31"/>
      <c r="C261" s="19"/>
      <c r="D261" s="19"/>
      <c r="E261" s="19"/>
      <c r="F261" s="20"/>
      <c r="G261" s="19"/>
      <c r="H261" s="19"/>
      <c r="I261" s="20"/>
      <c r="J261" s="19"/>
      <c r="K261" s="19"/>
    </row>
    <row r="262" spans="1:11" ht="14.25">
      <c r="A262" s="19"/>
      <c r="B262" s="31"/>
      <c r="C262" s="19"/>
      <c r="D262" s="19"/>
      <c r="E262" s="19"/>
      <c r="F262" s="20"/>
      <c r="G262" s="19"/>
      <c r="H262" s="19"/>
      <c r="I262" s="20"/>
      <c r="J262" s="19"/>
      <c r="K262" s="19"/>
    </row>
    <row r="263" spans="1:11" ht="14.25">
      <c r="A263" s="19"/>
      <c r="B263" s="31"/>
      <c r="C263" s="19"/>
      <c r="D263" s="19"/>
      <c r="E263" s="19"/>
      <c r="F263" s="20"/>
      <c r="G263" s="19"/>
      <c r="H263" s="19"/>
      <c r="I263" s="20"/>
      <c r="J263" s="19"/>
      <c r="K263" s="19"/>
    </row>
    <row r="264" spans="1:11" ht="14.25">
      <c r="A264" s="19"/>
      <c r="B264" s="31"/>
      <c r="C264" s="19"/>
      <c r="D264" s="19"/>
      <c r="E264" s="19"/>
      <c r="F264" s="20"/>
      <c r="G264" s="19"/>
      <c r="H264" s="19"/>
      <c r="I264" s="20"/>
      <c r="J264" s="19"/>
      <c r="K264" s="19"/>
    </row>
    <row r="265" spans="1:11" ht="14.25">
      <c r="A265" s="19"/>
      <c r="B265" s="31"/>
      <c r="C265" s="19"/>
      <c r="D265" s="19"/>
      <c r="E265" s="19"/>
      <c r="F265" s="20"/>
      <c r="G265" s="19"/>
      <c r="H265" s="19"/>
      <c r="I265" s="20"/>
      <c r="J265" s="19"/>
      <c r="K265" s="19"/>
    </row>
    <row r="266" spans="1:11" ht="14.25">
      <c r="A266" s="19"/>
      <c r="B266" s="31"/>
      <c r="C266" s="19"/>
      <c r="D266" s="19"/>
      <c r="E266" s="19"/>
      <c r="F266" s="20"/>
      <c r="G266" s="19"/>
      <c r="H266" s="19"/>
      <c r="I266" s="20"/>
      <c r="J266" s="19"/>
      <c r="K266" s="19"/>
    </row>
    <row r="267" spans="1:11" ht="14.25">
      <c r="A267" s="19"/>
      <c r="B267" s="31"/>
      <c r="C267" s="19"/>
      <c r="D267" s="19"/>
      <c r="E267" s="19"/>
      <c r="F267" s="20"/>
      <c r="G267" s="19"/>
      <c r="H267" s="19"/>
      <c r="I267" s="20"/>
      <c r="J267" s="19"/>
      <c r="K267" s="19"/>
    </row>
    <row r="268" spans="1:11" ht="14.25">
      <c r="A268" s="19"/>
      <c r="B268" s="31"/>
      <c r="C268" s="19"/>
      <c r="D268" s="19"/>
      <c r="E268" s="19"/>
      <c r="F268" s="20"/>
      <c r="G268" s="19"/>
      <c r="H268" s="19"/>
      <c r="I268" s="20"/>
      <c r="J268" s="19"/>
      <c r="K268" s="19"/>
    </row>
    <row r="269" spans="1:11" ht="14.25">
      <c r="A269" s="19"/>
      <c r="B269" s="31"/>
      <c r="C269" s="19"/>
      <c r="D269" s="19"/>
      <c r="E269" s="19"/>
      <c r="F269" s="20"/>
      <c r="G269" s="19"/>
      <c r="H269" s="19"/>
      <c r="I269" s="20"/>
      <c r="J269" s="19"/>
      <c r="K269" s="19"/>
    </row>
    <row r="270" spans="1:11" ht="14.25">
      <c r="A270" s="19"/>
      <c r="B270" s="31"/>
      <c r="C270" s="19"/>
      <c r="D270" s="19"/>
      <c r="E270" s="19"/>
      <c r="F270" s="20"/>
      <c r="G270" s="19"/>
      <c r="H270" s="19"/>
      <c r="I270" s="20"/>
      <c r="J270" s="19"/>
      <c r="K270" s="19"/>
    </row>
    <row r="271" spans="1:11" ht="14.25">
      <c r="A271" s="19"/>
      <c r="B271" s="31"/>
      <c r="C271" s="19"/>
      <c r="D271" s="19"/>
      <c r="E271" s="19"/>
      <c r="F271" s="20"/>
      <c r="G271" s="19"/>
      <c r="H271" s="19"/>
      <c r="I271" s="20"/>
      <c r="J271" s="19"/>
      <c r="K271" s="19"/>
    </row>
    <row r="272" spans="1:11" ht="14.25">
      <c r="A272" s="19"/>
      <c r="B272" s="31"/>
      <c r="C272" s="19"/>
      <c r="D272" s="19"/>
      <c r="E272" s="19"/>
      <c r="F272" s="20"/>
      <c r="G272" s="19"/>
      <c r="H272" s="19"/>
      <c r="I272" s="20"/>
      <c r="J272" s="19"/>
      <c r="K272" s="19"/>
    </row>
    <row r="273" spans="1:11" ht="14.25">
      <c r="A273" s="19"/>
      <c r="B273" s="31"/>
      <c r="C273" s="19"/>
      <c r="D273" s="19"/>
      <c r="E273" s="19"/>
      <c r="F273" s="20"/>
      <c r="G273" s="19"/>
      <c r="H273" s="19"/>
      <c r="I273" s="20"/>
      <c r="J273" s="19"/>
      <c r="K273" s="19"/>
    </row>
    <row r="274" spans="1:11" ht="14.25">
      <c r="A274" s="19"/>
      <c r="B274" s="31"/>
      <c r="C274" s="19"/>
      <c r="D274" s="19"/>
      <c r="E274" s="19"/>
      <c r="F274" s="20"/>
      <c r="G274" s="19"/>
      <c r="H274" s="19"/>
      <c r="I274" s="20"/>
      <c r="J274" s="19"/>
      <c r="K274" s="19"/>
    </row>
    <row r="275" spans="1:11" ht="14.25">
      <c r="A275" s="19"/>
      <c r="B275" s="31"/>
      <c r="C275" s="19"/>
      <c r="D275" s="19"/>
      <c r="E275" s="19"/>
      <c r="F275" s="20"/>
      <c r="G275" s="19"/>
      <c r="H275" s="19"/>
      <c r="I275" s="20"/>
      <c r="J275" s="19"/>
      <c r="K275" s="19"/>
    </row>
    <row r="276" spans="1:11" ht="14.25">
      <c r="A276" s="19"/>
      <c r="B276" s="31"/>
      <c r="C276" s="19"/>
      <c r="D276" s="19"/>
      <c r="E276" s="19"/>
      <c r="F276" s="20"/>
      <c r="G276" s="19"/>
      <c r="H276" s="19"/>
      <c r="I276" s="20"/>
      <c r="J276" s="19"/>
      <c r="K276" s="19"/>
    </row>
    <row r="277" spans="1:11" ht="14.25">
      <c r="A277" s="19"/>
      <c r="B277" s="31"/>
      <c r="C277" s="19"/>
      <c r="D277" s="19"/>
      <c r="E277" s="19"/>
      <c r="F277" s="20"/>
      <c r="G277" s="19"/>
      <c r="H277" s="19"/>
      <c r="I277" s="20"/>
      <c r="J277" s="19"/>
      <c r="K277" s="19"/>
    </row>
    <row r="278" spans="1:11" ht="14.25">
      <c r="A278" s="19"/>
      <c r="B278" s="31"/>
      <c r="C278" s="19"/>
      <c r="D278" s="19"/>
      <c r="E278" s="19"/>
      <c r="F278" s="20"/>
      <c r="G278" s="19"/>
      <c r="H278" s="19"/>
      <c r="I278" s="20"/>
      <c r="J278" s="19"/>
      <c r="K278" s="19"/>
    </row>
    <row r="279" spans="1:11" ht="14.25">
      <c r="A279" s="19"/>
      <c r="B279" s="31"/>
      <c r="C279" s="19"/>
      <c r="D279" s="19"/>
      <c r="E279" s="19"/>
      <c r="F279" s="20"/>
      <c r="G279" s="19"/>
      <c r="H279" s="19"/>
      <c r="I279" s="20"/>
      <c r="J279" s="19"/>
      <c r="K279" s="19"/>
    </row>
    <row r="280" spans="1:11" ht="14.25">
      <c r="A280" s="19"/>
      <c r="B280" s="31"/>
      <c r="C280" s="19"/>
      <c r="D280" s="19"/>
      <c r="E280" s="19"/>
      <c r="F280" s="20"/>
      <c r="G280" s="19"/>
      <c r="H280" s="19"/>
      <c r="I280" s="20"/>
      <c r="J280" s="19"/>
      <c r="K280" s="19"/>
    </row>
    <row r="281" spans="1:11" ht="14.25">
      <c r="A281" s="19"/>
      <c r="B281" s="31"/>
      <c r="C281" s="19"/>
      <c r="D281" s="19"/>
      <c r="E281" s="19"/>
      <c r="F281" s="20"/>
      <c r="G281" s="19"/>
      <c r="H281" s="19"/>
      <c r="I281" s="20"/>
      <c r="J281" s="19"/>
      <c r="K281" s="19"/>
    </row>
    <row r="282" spans="1:11" ht="14.25">
      <c r="A282" s="19"/>
      <c r="B282" s="31"/>
      <c r="C282" s="19"/>
      <c r="D282" s="19"/>
      <c r="E282" s="19"/>
      <c r="F282" s="20"/>
      <c r="G282" s="19"/>
      <c r="H282" s="19"/>
      <c r="I282" s="20"/>
      <c r="J282" s="19"/>
      <c r="K282" s="19"/>
    </row>
    <row r="283" spans="1:11" ht="14.25">
      <c r="A283" s="19"/>
      <c r="B283" s="31"/>
      <c r="C283" s="19"/>
      <c r="D283" s="19"/>
      <c r="E283" s="19"/>
      <c r="F283" s="20"/>
      <c r="G283" s="19"/>
      <c r="H283" s="19"/>
      <c r="I283" s="20"/>
      <c r="J283" s="19"/>
      <c r="K283" s="19"/>
    </row>
    <row r="284" spans="1:11" ht="14.25">
      <c r="A284" s="19"/>
      <c r="B284" s="31"/>
      <c r="C284" s="19"/>
      <c r="D284" s="19"/>
      <c r="E284" s="19"/>
      <c r="F284" s="20"/>
      <c r="G284" s="19"/>
      <c r="H284" s="19"/>
      <c r="I284" s="20"/>
      <c r="J284" s="19"/>
      <c r="K284" s="19"/>
    </row>
    <row r="285" spans="1:11" ht="14.25">
      <c r="A285" s="19"/>
      <c r="B285" s="31"/>
      <c r="C285" s="19"/>
      <c r="D285" s="19"/>
      <c r="E285" s="19"/>
      <c r="F285" s="20"/>
      <c r="G285" s="19"/>
      <c r="H285" s="19"/>
      <c r="I285" s="20"/>
      <c r="J285" s="19"/>
      <c r="K285" s="19"/>
    </row>
    <row r="286" spans="1:11" ht="14.25">
      <c r="A286" s="19"/>
      <c r="B286" s="31"/>
      <c r="C286" s="19"/>
      <c r="D286" s="19"/>
      <c r="E286" s="19"/>
      <c r="F286" s="20"/>
      <c r="G286" s="19"/>
      <c r="H286" s="19"/>
      <c r="I286" s="20"/>
      <c r="J286" s="19"/>
      <c r="K286" s="19"/>
    </row>
    <row r="287" spans="1:11" ht="14.25">
      <c r="A287" s="19"/>
      <c r="B287" s="31"/>
      <c r="C287" s="19"/>
      <c r="D287" s="19"/>
      <c r="E287" s="19"/>
      <c r="F287" s="20"/>
      <c r="G287" s="19"/>
      <c r="H287" s="19"/>
      <c r="I287" s="20"/>
      <c r="J287" s="19"/>
      <c r="K287" s="19"/>
    </row>
    <row r="288" spans="1:11" ht="14.25">
      <c r="A288" s="19"/>
      <c r="B288" s="31"/>
      <c r="C288" s="19"/>
      <c r="D288" s="19"/>
      <c r="E288" s="19"/>
      <c r="F288" s="20"/>
      <c r="G288" s="19"/>
      <c r="H288" s="19"/>
      <c r="I288" s="20"/>
      <c r="J288" s="19"/>
      <c r="K288" s="19"/>
    </row>
    <row r="289" spans="1:11" ht="14.25">
      <c r="A289" s="19"/>
      <c r="B289" s="31"/>
      <c r="C289" s="19"/>
      <c r="D289" s="19"/>
      <c r="E289" s="19"/>
      <c r="F289" s="20"/>
      <c r="G289" s="19"/>
      <c r="H289" s="19"/>
      <c r="I289" s="20"/>
      <c r="J289" s="19"/>
      <c r="K289" s="19"/>
    </row>
    <row r="290" spans="1:11" ht="14.25">
      <c r="A290" s="19"/>
      <c r="B290" s="31"/>
      <c r="C290" s="19"/>
      <c r="D290" s="19"/>
      <c r="E290" s="19"/>
      <c r="F290" s="20"/>
      <c r="G290" s="19"/>
      <c r="H290" s="19"/>
      <c r="I290" s="20"/>
      <c r="J290" s="19"/>
      <c r="K290" s="19"/>
    </row>
    <row r="291" spans="1:11" ht="14.25">
      <c r="A291" s="19"/>
      <c r="B291" s="31"/>
      <c r="C291" s="19"/>
      <c r="D291" s="19"/>
      <c r="E291" s="19"/>
      <c r="F291" s="20"/>
      <c r="G291" s="19"/>
      <c r="H291" s="19"/>
      <c r="I291" s="20"/>
      <c r="J291" s="19"/>
      <c r="K291" s="19"/>
    </row>
    <row r="292" spans="1:11" ht="14.25">
      <c r="A292" s="19"/>
      <c r="B292" s="31"/>
      <c r="C292" s="19"/>
      <c r="D292" s="19"/>
      <c r="E292" s="19"/>
      <c r="F292" s="20"/>
      <c r="G292" s="19"/>
      <c r="H292" s="19"/>
      <c r="I292" s="20"/>
      <c r="J292" s="19"/>
      <c r="K292" s="19"/>
    </row>
    <row r="293" spans="1:11" ht="14.25">
      <c r="A293" s="19"/>
      <c r="B293" s="31"/>
      <c r="C293" s="19"/>
      <c r="D293" s="19"/>
      <c r="E293" s="19"/>
      <c r="F293" s="20"/>
      <c r="G293" s="19"/>
      <c r="H293" s="19"/>
      <c r="I293" s="20"/>
      <c r="J293" s="19"/>
      <c r="K293" s="19"/>
    </row>
    <row r="294" spans="1:11" ht="14.25">
      <c r="A294" s="19"/>
      <c r="B294" s="31"/>
      <c r="C294" s="19"/>
      <c r="D294" s="19"/>
      <c r="E294" s="19"/>
      <c r="F294" s="20"/>
      <c r="G294" s="19"/>
      <c r="H294" s="19"/>
      <c r="I294" s="20"/>
      <c r="J294" s="19"/>
      <c r="K294" s="19"/>
    </row>
    <row r="295" spans="1:11" ht="14.25">
      <c r="A295" s="19"/>
      <c r="B295" s="31"/>
      <c r="C295" s="19"/>
      <c r="D295" s="19"/>
      <c r="E295" s="19"/>
      <c r="F295" s="20"/>
      <c r="G295" s="19"/>
      <c r="H295" s="19"/>
      <c r="I295" s="20"/>
      <c r="J295" s="19"/>
      <c r="K295" s="19"/>
    </row>
    <row r="296" spans="1:11" ht="14.25">
      <c r="A296" s="19"/>
      <c r="B296" s="31"/>
      <c r="C296" s="19"/>
      <c r="D296" s="19"/>
      <c r="E296" s="19"/>
      <c r="F296" s="20"/>
      <c r="G296" s="19"/>
      <c r="H296" s="19"/>
      <c r="I296" s="20"/>
      <c r="J296" s="19"/>
      <c r="K296" s="19"/>
    </row>
    <row r="297" spans="1:11" ht="14.25">
      <c r="A297" s="19"/>
      <c r="B297" s="31"/>
      <c r="C297" s="19"/>
      <c r="D297" s="19"/>
      <c r="E297" s="19"/>
      <c r="F297" s="20"/>
      <c r="G297" s="19"/>
      <c r="H297" s="19"/>
      <c r="I297" s="20"/>
      <c r="J297" s="19"/>
      <c r="K297" s="19"/>
    </row>
    <row r="298" spans="1:11" ht="14.25">
      <c r="A298" s="19"/>
      <c r="B298" s="31"/>
      <c r="C298" s="19"/>
      <c r="D298" s="19"/>
      <c r="E298" s="19"/>
      <c r="F298" s="20"/>
      <c r="G298" s="19"/>
      <c r="H298" s="19"/>
      <c r="I298" s="20"/>
      <c r="J298" s="19"/>
      <c r="K298" s="19"/>
    </row>
    <row r="299" spans="1:11" ht="14.25">
      <c r="A299" s="19"/>
      <c r="B299" s="31"/>
      <c r="C299" s="19"/>
      <c r="D299" s="19"/>
      <c r="E299" s="19"/>
      <c r="F299" s="20"/>
      <c r="G299" s="19"/>
      <c r="H299" s="19"/>
      <c r="I299" s="20"/>
      <c r="J299" s="19"/>
      <c r="K299" s="19"/>
    </row>
    <row r="300" spans="1:11" ht="14.25">
      <c r="A300" s="19"/>
      <c r="B300" s="31"/>
      <c r="C300" s="19"/>
      <c r="D300" s="19"/>
      <c r="E300" s="19"/>
      <c r="F300" s="20"/>
      <c r="G300" s="19"/>
      <c r="H300" s="19"/>
      <c r="I300" s="20"/>
      <c r="J300" s="19"/>
      <c r="K300" s="19"/>
    </row>
    <row r="301" spans="1:11" ht="14.25">
      <c r="A301" s="19"/>
      <c r="B301" s="31"/>
      <c r="C301" s="19"/>
      <c r="D301" s="19"/>
      <c r="E301" s="19"/>
      <c r="F301" s="20"/>
      <c r="G301" s="19"/>
      <c r="H301" s="19"/>
      <c r="I301" s="20"/>
      <c r="J301" s="19"/>
      <c r="K301" s="19"/>
    </row>
    <row r="302" spans="1:11" ht="14.25">
      <c r="A302" s="19"/>
      <c r="B302" s="31"/>
      <c r="C302" s="19"/>
      <c r="D302" s="19"/>
      <c r="E302" s="19"/>
      <c r="F302" s="20"/>
      <c r="G302" s="19"/>
      <c r="H302" s="19"/>
      <c r="I302" s="20"/>
      <c r="J302" s="19"/>
      <c r="K302" s="19"/>
    </row>
    <row r="303" spans="1:11" ht="14.25">
      <c r="A303" s="19"/>
      <c r="B303" s="31"/>
      <c r="C303" s="19"/>
      <c r="D303" s="19"/>
      <c r="E303" s="19"/>
      <c r="F303" s="20"/>
      <c r="G303" s="19"/>
      <c r="H303" s="19"/>
      <c r="I303" s="20"/>
      <c r="J303" s="19"/>
      <c r="K303" s="19"/>
    </row>
    <row r="304" spans="1:11" ht="14.25">
      <c r="A304" s="19"/>
      <c r="B304" s="31"/>
      <c r="C304" s="19"/>
      <c r="D304" s="19"/>
      <c r="E304" s="19"/>
      <c r="F304" s="20"/>
      <c r="G304" s="19"/>
      <c r="H304" s="19"/>
      <c r="I304" s="20"/>
      <c r="J304" s="19"/>
      <c r="K304" s="19"/>
    </row>
    <row r="305" spans="1:11" ht="14.25">
      <c r="A305" s="19"/>
      <c r="B305" s="31"/>
      <c r="C305" s="19"/>
      <c r="D305" s="19"/>
      <c r="E305" s="19"/>
      <c r="F305" s="20"/>
      <c r="G305" s="19"/>
      <c r="H305" s="19"/>
      <c r="I305" s="20"/>
      <c r="J305" s="19"/>
      <c r="K305" s="19"/>
    </row>
    <row r="306" spans="1:11" ht="14.25">
      <c r="A306" s="19"/>
      <c r="B306" s="31"/>
      <c r="C306" s="19"/>
      <c r="D306" s="19"/>
      <c r="E306" s="19"/>
      <c r="F306" s="20"/>
      <c r="G306" s="19"/>
      <c r="H306" s="19"/>
      <c r="I306" s="20"/>
      <c r="J306" s="19"/>
      <c r="K306" s="19"/>
    </row>
    <row r="307" spans="1:11" ht="14.25">
      <c r="A307" s="19"/>
      <c r="B307" s="31"/>
      <c r="C307" s="19"/>
      <c r="D307" s="19"/>
      <c r="E307" s="19"/>
      <c r="F307" s="20"/>
      <c r="G307" s="19"/>
      <c r="H307" s="19"/>
      <c r="I307" s="20"/>
      <c r="J307" s="19"/>
      <c r="K307" s="19"/>
    </row>
    <row r="308" spans="1:11" ht="14.25">
      <c r="A308" s="19"/>
      <c r="B308" s="31"/>
      <c r="C308" s="19"/>
      <c r="D308" s="19"/>
      <c r="E308" s="19"/>
      <c r="F308" s="20"/>
      <c r="G308" s="19"/>
      <c r="H308" s="19"/>
      <c r="I308" s="20"/>
      <c r="J308" s="19"/>
      <c r="K308" s="19"/>
    </row>
    <row r="309" spans="1:11" ht="14.25">
      <c r="A309" s="19"/>
      <c r="B309" s="31"/>
      <c r="C309" s="19"/>
      <c r="D309" s="19"/>
      <c r="E309" s="19"/>
      <c r="F309" s="20"/>
      <c r="G309" s="19"/>
      <c r="H309" s="19"/>
      <c r="I309" s="20"/>
      <c r="J309" s="19"/>
      <c r="K309" s="19"/>
    </row>
    <row r="310" spans="1:11" ht="14.25">
      <c r="A310" s="19"/>
      <c r="B310" s="31"/>
      <c r="C310" s="19"/>
      <c r="D310" s="19"/>
      <c r="E310" s="19"/>
      <c r="F310" s="20"/>
      <c r="G310" s="19"/>
      <c r="H310" s="19"/>
      <c r="I310" s="20"/>
      <c r="J310" s="19"/>
      <c r="K310" s="19"/>
    </row>
    <row r="311" spans="1:11" ht="14.25">
      <c r="A311" s="19"/>
      <c r="B311" s="31"/>
      <c r="C311" s="19"/>
      <c r="D311" s="19"/>
      <c r="E311" s="19"/>
      <c r="F311" s="20"/>
      <c r="G311" s="19"/>
      <c r="H311" s="19"/>
      <c r="I311" s="20"/>
      <c r="J311" s="19"/>
      <c r="K311" s="19"/>
    </row>
    <row r="312" spans="1:11" ht="14.25">
      <c r="A312" s="19"/>
      <c r="B312" s="31"/>
      <c r="C312" s="19"/>
      <c r="D312" s="19"/>
      <c r="E312" s="19"/>
      <c r="F312" s="20"/>
      <c r="G312" s="19"/>
      <c r="H312" s="19"/>
      <c r="I312" s="20"/>
      <c r="J312" s="19"/>
      <c r="K312" s="19"/>
    </row>
    <row r="313" spans="1:11" ht="14.25">
      <c r="A313" s="19"/>
      <c r="B313" s="31"/>
      <c r="C313" s="19"/>
      <c r="D313" s="19"/>
      <c r="E313" s="19"/>
      <c r="F313" s="20"/>
      <c r="G313" s="19"/>
      <c r="H313" s="19"/>
      <c r="I313" s="20"/>
      <c r="J313" s="19"/>
      <c r="K313" s="19"/>
    </row>
    <row r="314" spans="1:11" ht="14.25">
      <c r="A314" s="19"/>
      <c r="B314" s="31"/>
      <c r="C314" s="19"/>
      <c r="D314" s="19"/>
      <c r="E314" s="19"/>
      <c r="F314" s="20"/>
      <c r="G314" s="19"/>
      <c r="H314" s="19"/>
      <c r="I314" s="20"/>
      <c r="J314" s="19"/>
      <c r="K314" s="19"/>
    </row>
    <row r="315" spans="1:11" ht="14.25">
      <c r="A315" s="19"/>
      <c r="B315" s="31"/>
      <c r="C315" s="19"/>
      <c r="D315" s="19"/>
      <c r="E315" s="19"/>
      <c r="F315" s="20"/>
      <c r="G315" s="19"/>
      <c r="H315" s="19"/>
      <c r="I315" s="20"/>
      <c r="J315" s="19"/>
      <c r="K315" s="19"/>
    </row>
    <row r="316" spans="1:11" ht="14.25">
      <c r="A316" s="19"/>
      <c r="B316" s="31"/>
      <c r="C316" s="19"/>
      <c r="D316" s="19"/>
      <c r="E316" s="19"/>
      <c r="F316" s="20"/>
      <c r="G316" s="19"/>
      <c r="H316" s="19"/>
      <c r="I316" s="20"/>
      <c r="J316" s="19"/>
      <c r="K316" s="19"/>
    </row>
    <row r="317" spans="1:11" ht="14.25">
      <c r="A317" s="19"/>
      <c r="B317" s="31"/>
      <c r="C317" s="19"/>
      <c r="D317" s="19"/>
      <c r="E317" s="19"/>
      <c r="F317" s="20"/>
      <c r="G317" s="19"/>
      <c r="H317" s="19"/>
      <c r="I317" s="20"/>
      <c r="J317" s="19"/>
      <c r="K317" s="19"/>
    </row>
    <row r="318" spans="1:11" ht="14.25">
      <c r="A318" s="19"/>
      <c r="B318" s="31"/>
      <c r="C318" s="19"/>
      <c r="D318" s="19"/>
      <c r="E318" s="19"/>
      <c r="F318" s="20"/>
      <c r="G318" s="19"/>
      <c r="H318" s="19"/>
      <c r="I318" s="20"/>
      <c r="J318" s="19"/>
      <c r="K318" s="19"/>
    </row>
    <row r="319" spans="1:11" ht="14.25">
      <c r="A319" s="19"/>
      <c r="B319" s="31"/>
      <c r="C319" s="19"/>
      <c r="D319" s="19"/>
      <c r="E319" s="19"/>
      <c r="F319" s="20"/>
      <c r="G319" s="19"/>
      <c r="H319" s="19"/>
      <c r="I319" s="20"/>
      <c r="J319" s="19"/>
      <c r="K319" s="19"/>
    </row>
    <row r="320" spans="1:11" ht="14.25">
      <c r="A320" s="19"/>
      <c r="B320" s="31"/>
      <c r="C320" s="19"/>
      <c r="D320" s="19"/>
      <c r="E320" s="19"/>
      <c r="F320" s="20"/>
      <c r="G320" s="19"/>
      <c r="H320" s="19"/>
      <c r="I320" s="20"/>
      <c r="J320" s="19"/>
      <c r="K320" s="19"/>
    </row>
    <row r="321" spans="1:11" ht="14.25">
      <c r="A321" s="19"/>
      <c r="B321" s="31"/>
      <c r="C321" s="19"/>
      <c r="D321" s="19"/>
      <c r="E321" s="19"/>
      <c r="F321" s="20"/>
      <c r="G321" s="19"/>
      <c r="H321" s="19"/>
      <c r="I321" s="20"/>
      <c r="J321" s="19"/>
      <c r="K321" s="19"/>
    </row>
    <row r="322" spans="1:11" ht="13.9">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7" priority="5" stopIfTrue="1" operator="lessThanOrEqual">
      <formula>-0.1</formula>
    </cfRule>
    <cfRule type="expression" dxfId="26" priority="6">
      <formula>AND(ISNUMBER(F2), F2&gt;=0.1)</formula>
    </cfRule>
  </conditionalFormatting>
  <conditionalFormatting sqref="F4:F80 I4:I80">
    <cfRule type="cellIs" dxfId="25" priority="1" stopIfTrue="1" operator="lessThanOrEqual">
      <formula>-0.1</formula>
    </cfRule>
    <cfRule type="expression" dxfId="24" priority="2">
      <formula>AND(ISNUMBER(F4), F4&gt;=0.1)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22"/>
  <sheetViews>
    <sheetView workbookViewId="0">
      <pane xSplit="2" ySplit="3" topLeftCell="J4" activePane="bottomRight" state="frozen"/>
      <selection pane="bottomRight" activeCell="J4" sqref="J4:Q10"/>
      <selection pane="bottomLeft" activeCell="J4" activeCellId="3" sqref="C4:C10 D4:D10 G4:G10 J4:Q10"/>
      <selection pane="topRight" activeCell="J4" activeCellId="3" sqref="C4:C10 D4:D10 G4:G10 J4:Q10"/>
    </sheetView>
  </sheetViews>
  <sheetFormatPr defaultRowHeight="13.5"/>
  <cols>
    <col min="1" max="1" width="35.85546875" bestFit="1" customWidth="1"/>
    <col min="2" max="2" width="8.42578125" style="32"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 min="12" max="14" width="8.85546875" style="69"/>
  </cols>
  <sheetData>
    <row r="1" spans="1:14" ht="19.5" customHeight="1">
      <c r="A1" s="111" t="str" cm="1">
        <f t="array" ref="A1">portfolio</f>
        <v>GoodFinch</v>
      </c>
      <c r="B1" s="111"/>
      <c r="C1" s="111"/>
      <c r="D1" s="112" t="s">
        <v>31</v>
      </c>
      <c r="E1" s="112"/>
      <c r="F1" s="112"/>
      <c r="G1" s="110" t="s">
        <v>32</v>
      </c>
      <c r="H1" s="110"/>
      <c r="I1" s="110"/>
      <c r="J1" s="4"/>
      <c r="K1" s="4"/>
    </row>
    <row r="2" spans="1:14" ht="19.5" customHeight="1">
      <c r="A2" s="113" t="s">
        <v>2</v>
      </c>
      <c r="B2" s="113"/>
      <c r="C2" s="5">
        <f>SUM(C4:C80)</f>
        <v>0</v>
      </c>
      <c r="D2" s="5">
        <f>SUM(D4:D80)</f>
        <v>0</v>
      </c>
      <c r="E2" s="5">
        <f>C2-D2</f>
        <v>0</v>
      </c>
      <c r="F2" s="6">
        <f>IFERROR(E2/D2, 0)</f>
        <v>0</v>
      </c>
      <c r="G2" s="5">
        <f>SUM(G4:G80)</f>
        <v>0</v>
      </c>
      <c r="H2" s="7">
        <f>C2-G2</f>
        <v>0</v>
      </c>
      <c r="I2" s="6">
        <f>IFERROR(H2/G2, 0)</f>
        <v>0</v>
      </c>
      <c r="J2" s="24"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1" t="s">
        <v>5</v>
      </c>
      <c r="D3" s="33" t="s">
        <v>6</v>
      </c>
      <c r="E3" s="33" t="s">
        <v>7</v>
      </c>
      <c r="F3" s="34" t="s">
        <v>8</v>
      </c>
      <c r="G3" s="35" t="s">
        <v>9</v>
      </c>
      <c r="H3" s="36" t="s">
        <v>7</v>
      </c>
      <c r="I3" s="37" t="s">
        <v>8</v>
      </c>
      <c r="J3" s="23" t="s">
        <v>21</v>
      </c>
      <c r="K3" s="23" t="s">
        <v>22</v>
      </c>
    </row>
    <row r="4" spans="1:14" ht="15.75">
      <c r="A4" s="30" t="str" cm="1">
        <f t="array" ref="A4:A45">Sites[Site]</f>
        <v>AZ: Tempe - ASU - Farmer</v>
      </c>
      <c r="B4" s="27" t="str" cm="1">
        <f t="array" ref="B4:B45">Sites[State]</f>
        <v>AZ</v>
      </c>
      <c r="C4" s="22"/>
      <c r="D4" s="12"/>
      <c r="E4" s="12" t="str">
        <f>IF(AND(ISNUMBER(C4),ISNUMBER(D4)), C4-D4, "")</f>
        <v/>
      </c>
      <c r="F4" s="13" t="str">
        <f>IFERROR(E4/D4, "")</f>
        <v/>
      </c>
      <c r="G4" s="14"/>
      <c r="H4" s="14" t="str">
        <f>IF(AND(ISNUMBER(C4),ISNUMBER(G4)), C4-G4, "")</f>
        <v/>
      </c>
      <c r="I4" s="15" t="str">
        <f>IFERROR(H4/G4, "")</f>
        <v/>
      </c>
      <c r="J4" s="39"/>
      <c r="K4" s="39"/>
    </row>
    <row r="5" spans="1:14" ht="15.75">
      <c r="A5" s="28" t="str">
        <v>AZ: Tempe - ASU - Fulton</v>
      </c>
      <c r="B5" s="29" t="str">
        <v>AZ</v>
      </c>
      <c r="C5" s="11"/>
      <c r="D5" s="16"/>
      <c r="E5" s="16" t="str">
        <f t="shared" ref="E5:E10" si="0">IF(AND(ISNUMBER(C5),ISNUMBER(D5)), C5-D5, "")</f>
        <v/>
      </c>
      <c r="F5" s="17" t="str">
        <f>IFERROR(E5/D5, "")</f>
        <v/>
      </c>
      <c r="G5" s="18"/>
      <c r="H5" s="18" t="str">
        <f t="shared" ref="H5:H10" si="1">IF(AND(ISNUMBER(C5),ISNUMBER(G5)), C5-G5, "")</f>
        <v/>
      </c>
      <c r="I5" s="17" t="str">
        <f t="shared" ref="I5:I10" si="2">IFERROR(H5/G5, "")</f>
        <v/>
      </c>
      <c r="J5" s="40"/>
      <c r="K5" s="40"/>
    </row>
    <row r="6" spans="1:14" ht="15.75">
      <c r="A6" s="26" t="str">
        <v>AZ: Superior - JFK Elementary</v>
      </c>
      <c r="B6" s="27" t="str">
        <v>AZ</v>
      </c>
      <c r="C6" s="22"/>
      <c r="D6" s="12"/>
      <c r="E6" s="12" t="str">
        <f t="shared" si="0"/>
        <v/>
      </c>
      <c r="F6" s="13" t="str">
        <f t="shared" ref="F6:F10" si="3">IFERROR(E6/D6, "")</f>
        <v/>
      </c>
      <c r="G6" s="14"/>
      <c r="H6" s="14" t="str">
        <f t="shared" si="1"/>
        <v/>
      </c>
      <c r="I6" s="15" t="str">
        <f t="shared" si="2"/>
        <v/>
      </c>
      <c r="J6" s="39"/>
      <c r="K6" s="39"/>
    </row>
    <row r="7" spans="1:14" ht="15.75">
      <c r="A7" s="28" t="str">
        <v>AZ: Tempe - ASU - Noble</v>
      </c>
      <c r="B7" s="29" t="str">
        <v>AZ</v>
      </c>
      <c r="C7" s="11"/>
      <c r="D7" s="16"/>
      <c r="E7" s="16" t="str">
        <f t="shared" si="0"/>
        <v/>
      </c>
      <c r="F7" s="17" t="str">
        <f t="shared" si="3"/>
        <v/>
      </c>
      <c r="G7" s="67"/>
      <c r="H7" s="18" t="str">
        <f t="shared" si="1"/>
        <v/>
      </c>
      <c r="I7" s="17" t="str">
        <f t="shared" si="2"/>
        <v/>
      </c>
      <c r="J7" s="40"/>
      <c r="K7" s="41"/>
    </row>
    <row r="8" spans="1:14" ht="35.1" customHeight="1">
      <c r="A8" s="26" t="str">
        <v>AZ: Tempe - ASU - Parking #3</v>
      </c>
      <c r="B8" s="27" t="str">
        <v>AZ</v>
      </c>
      <c r="C8" s="22"/>
      <c r="D8" s="12"/>
      <c r="E8" s="12" t="str">
        <f t="shared" si="0"/>
        <v/>
      </c>
      <c r="F8" s="13" t="str">
        <f t="shared" si="3"/>
        <v/>
      </c>
      <c r="G8" s="68"/>
      <c r="H8" s="14" t="str">
        <f t="shared" si="1"/>
        <v/>
      </c>
      <c r="I8" s="15" t="str">
        <f t="shared" si="2"/>
        <v/>
      </c>
      <c r="J8" s="39"/>
      <c r="K8" s="59"/>
      <c r="L8" s="62"/>
    </row>
    <row r="9" spans="1:14" ht="15.75">
      <c r="A9" s="28" t="str">
        <v>AZ: Tempe - ASU - PE East</v>
      </c>
      <c r="B9" s="29" t="str">
        <v>AZ</v>
      </c>
      <c r="C9" s="11"/>
      <c r="D9" s="16"/>
      <c r="E9" s="16" t="str">
        <f t="shared" si="0"/>
        <v/>
      </c>
      <c r="F9" s="13" t="str">
        <f t="shared" si="3"/>
        <v/>
      </c>
      <c r="G9" s="18"/>
      <c r="H9" s="18" t="str">
        <f t="shared" si="1"/>
        <v/>
      </c>
      <c r="I9" s="17" t="str">
        <f t="shared" si="2"/>
        <v/>
      </c>
      <c r="J9" s="52"/>
      <c r="K9" s="60"/>
      <c r="L9" s="62"/>
      <c r="M9" s="62"/>
    </row>
    <row r="10" spans="1:14" ht="15.75">
      <c r="A10" s="26" t="str">
        <v>AZ: Tempe - ASU - Schwada</v>
      </c>
      <c r="B10" s="27" t="str">
        <v>AZ</v>
      </c>
      <c r="C10" s="22"/>
      <c r="D10" s="12"/>
      <c r="E10" s="12" t="str">
        <f t="shared" si="0"/>
        <v/>
      </c>
      <c r="F10" s="13" t="str">
        <f t="shared" si="3"/>
        <v/>
      </c>
      <c r="G10" s="14"/>
      <c r="H10" s="14" t="str">
        <f t="shared" si="1"/>
        <v/>
      </c>
      <c r="I10" s="15" t="str">
        <f t="shared" si="2"/>
        <v/>
      </c>
      <c r="J10" s="39"/>
      <c r="K10" s="59"/>
      <c r="L10" s="62"/>
      <c r="M10" s="62"/>
      <c r="N10" s="62"/>
    </row>
    <row r="11" spans="1:14" ht="15.75">
      <c r="A11" s="28" t="str">
        <v>AZ: Phoenix - Starshine Academy</v>
      </c>
      <c r="B11" s="29" t="str">
        <v>AZ</v>
      </c>
      <c r="C11" s="100"/>
      <c r="D11" s="16"/>
      <c r="E11" s="16" t="str">
        <f t="shared" ref="E11:E45" si="4">IF(AND(ISNUMBER(C11),ISNUMBER(D11)), C11-D11, "")</f>
        <v/>
      </c>
      <c r="F11" s="74" t="str">
        <f t="shared" ref="F11:F45" si="5">IFERROR(E11/D11, "")</f>
        <v/>
      </c>
      <c r="G11" s="80"/>
      <c r="H11" s="80" t="str">
        <f t="shared" ref="H11:H45" si="6">IF(AND(ISNUMBER(C11),ISNUMBER(G11)), C11-G11, "")</f>
        <v/>
      </c>
      <c r="I11" s="99" t="str">
        <f t="shared" ref="I11:I45" si="7">IFERROR(H11/G11, "")</f>
        <v/>
      </c>
      <c r="J11" s="52"/>
      <c r="K11" s="60"/>
    </row>
    <row r="12" spans="1:14" ht="15.75">
      <c r="A12" s="26" t="str">
        <v>AZ: Yuma Airport</v>
      </c>
      <c r="B12" s="27" t="str">
        <v>AZ</v>
      </c>
      <c r="C12" s="73"/>
      <c r="D12" s="12"/>
      <c r="E12" s="12" t="str">
        <f t="shared" si="4"/>
        <v/>
      </c>
      <c r="F12" s="74" t="str">
        <f t="shared" si="5"/>
        <v/>
      </c>
      <c r="G12" s="75"/>
      <c r="H12" s="75" t="str">
        <f t="shared" si="6"/>
        <v/>
      </c>
      <c r="I12" s="76" t="str">
        <f t="shared" si="7"/>
        <v/>
      </c>
      <c r="J12" s="77"/>
      <c r="K12" s="81"/>
    </row>
    <row r="13" spans="1:14" ht="15.75">
      <c r="A13" s="28" t="str">
        <v>AZ: Globe - Gila CC</v>
      </c>
      <c r="B13" s="29" t="str">
        <v>AZ</v>
      </c>
      <c r="C13" s="100"/>
      <c r="D13" s="16"/>
      <c r="E13" s="16" t="str">
        <f t="shared" si="4"/>
        <v/>
      </c>
      <c r="F13" s="74" t="str">
        <f t="shared" si="5"/>
        <v/>
      </c>
      <c r="G13" s="80"/>
      <c r="H13" s="80" t="str">
        <f t="shared" si="6"/>
        <v/>
      </c>
      <c r="I13" s="99" t="str">
        <f t="shared" si="7"/>
        <v/>
      </c>
      <c r="J13" s="52"/>
      <c r="K13" s="60"/>
    </row>
    <row r="14" spans="1:14" ht="15.75">
      <c r="A14" s="26" t="str">
        <v>AZ: Payson - Gila CC</v>
      </c>
      <c r="B14" s="27" t="str">
        <v>AZ</v>
      </c>
      <c r="C14" s="73"/>
      <c r="D14" s="12"/>
      <c r="E14" s="12" t="str">
        <f t="shared" si="4"/>
        <v/>
      </c>
      <c r="F14" s="74" t="str">
        <f t="shared" si="5"/>
        <v/>
      </c>
      <c r="G14" s="75"/>
      <c r="H14" s="75" t="str">
        <f t="shared" si="6"/>
        <v/>
      </c>
      <c r="I14" s="76" t="str">
        <f t="shared" si="7"/>
        <v/>
      </c>
      <c r="J14" s="77"/>
      <c r="K14" s="81"/>
    </row>
    <row r="15" spans="1:14" ht="15.75">
      <c r="A15" s="28" t="str">
        <v>AZ: Mesa - Sequoia Charter School</v>
      </c>
      <c r="B15" s="29" t="str">
        <v>AZ</v>
      </c>
      <c r="C15" s="100"/>
      <c r="D15" s="16"/>
      <c r="E15" s="16" t="str">
        <f t="shared" si="4"/>
        <v/>
      </c>
      <c r="F15" s="74" t="str">
        <f t="shared" si="5"/>
        <v/>
      </c>
      <c r="G15" s="80"/>
      <c r="H15" s="80" t="str">
        <f t="shared" si="6"/>
        <v/>
      </c>
      <c r="I15" s="99" t="str">
        <f t="shared" si="7"/>
        <v/>
      </c>
      <c r="J15" s="52"/>
      <c r="K15" s="60"/>
    </row>
    <row r="16" spans="1:14" ht="15.75">
      <c r="A16" s="26" t="str">
        <v>AZ: Tempe - SCNM</v>
      </c>
      <c r="B16" s="27" t="str">
        <v>AZ</v>
      </c>
      <c r="C16" s="73"/>
      <c r="D16" s="12"/>
      <c r="E16" s="12" t="str">
        <f t="shared" si="4"/>
        <v/>
      </c>
      <c r="F16" s="74" t="str">
        <f t="shared" si="5"/>
        <v/>
      </c>
      <c r="G16" s="75"/>
      <c r="H16" s="75" t="str">
        <f t="shared" si="6"/>
        <v/>
      </c>
      <c r="I16" s="76" t="str">
        <f t="shared" si="7"/>
        <v/>
      </c>
      <c r="J16" s="77"/>
      <c r="K16" s="81"/>
    </row>
    <row r="17" spans="1:11" ht="15.75">
      <c r="A17" s="28" t="str">
        <v>DE: Newark - Clayton Hall</v>
      </c>
      <c r="B17" s="29" t="str">
        <v>DE</v>
      </c>
      <c r="C17" s="100"/>
      <c r="D17" s="16"/>
      <c r="E17" s="16" t="str">
        <f t="shared" si="4"/>
        <v/>
      </c>
      <c r="F17" s="74" t="str">
        <f t="shared" si="5"/>
        <v/>
      </c>
      <c r="G17" s="80"/>
      <c r="H17" s="80" t="str">
        <f t="shared" si="6"/>
        <v/>
      </c>
      <c r="I17" s="99" t="str">
        <f t="shared" si="7"/>
        <v/>
      </c>
      <c r="J17" s="52"/>
      <c r="K17" s="60"/>
    </row>
    <row r="18" spans="1:11" ht="15.75">
      <c r="A18" s="26" t="str">
        <v>DE: Newark - UOD Field House</v>
      </c>
      <c r="B18" s="27" t="str">
        <v>DE</v>
      </c>
      <c r="C18" s="73"/>
      <c r="D18" s="12"/>
      <c r="E18" s="12" t="str">
        <f t="shared" si="4"/>
        <v/>
      </c>
      <c r="F18" s="74" t="str">
        <f t="shared" si="5"/>
        <v/>
      </c>
      <c r="G18" s="75"/>
      <c r="H18" s="75" t="str">
        <f t="shared" si="6"/>
        <v/>
      </c>
      <c r="I18" s="76" t="str">
        <f t="shared" si="7"/>
        <v/>
      </c>
      <c r="J18" s="77"/>
      <c r="K18" s="81"/>
    </row>
    <row r="19" spans="1:11" ht="15.75">
      <c r="A19" s="28" t="str">
        <v>DE: Newark - UOD 461 Wyoming</v>
      </c>
      <c r="B19" s="29" t="str">
        <v>DE</v>
      </c>
      <c r="C19" s="100"/>
      <c r="D19" s="16"/>
      <c r="E19" s="16" t="str">
        <f t="shared" si="4"/>
        <v/>
      </c>
      <c r="F19" s="74" t="str">
        <f t="shared" si="5"/>
        <v/>
      </c>
      <c r="G19" s="80"/>
      <c r="H19" s="80" t="str">
        <f t="shared" si="6"/>
        <v/>
      </c>
      <c r="I19" s="99" t="str">
        <f t="shared" si="7"/>
        <v/>
      </c>
      <c r="J19" s="52"/>
      <c r="K19" s="60"/>
    </row>
    <row r="20" spans="1:11" ht="15.75">
      <c r="A20" s="26" t="str">
        <v>HI: Waipahu - 94-246 Leoku St - E.F.G.</v>
      </c>
      <c r="B20" s="27" t="str">
        <v>HI</v>
      </c>
      <c r="C20" s="73"/>
      <c r="D20" s="12"/>
      <c r="E20" s="12" t="str">
        <f t="shared" si="4"/>
        <v/>
      </c>
      <c r="F20" s="74" t="str">
        <f t="shared" si="5"/>
        <v/>
      </c>
      <c r="G20" s="75"/>
      <c r="H20" s="75" t="str">
        <f t="shared" si="6"/>
        <v/>
      </c>
      <c r="I20" s="76" t="str">
        <f t="shared" si="7"/>
        <v/>
      </c>
      <c r="J20" s="77"/>
      <c r="K20" s="81"/>
    </row>
    <row r="21" spans="1:11" ht="15.75">
      <c r="A21" s="28" t="str">
        <v>HI: Waipahu - 94-099 Waipahu St - PV</v>
      </c>
      <c r="B21" s="29" t="str">
        <v>HI</v>
      </c>
      <c r="C21" s="100"/>
      <c r="D21" s="16"/>
      <c r="E21" s="16" t="str">
        <f t="shared" si="4"/>
        <v/>
      </c>
      <c r="F21" s="74" t="str">
        <f t="shared" si="5"/>
        <v/>
      </c>
      <c r="G21" s="80"/>
      <c r="H21" s="80" t="str">
        <f t="shared" si="6"/>
        <v/>
      </c>
      <c r="I21" s="99" t="str">
        <f t="shared" si="7"/>
        <v/>
      </c>
      <c r="J21" s="52"/>
      <c r="K21" s="60"/>
    </row>
    <row r="22" spans="1:11" ht="15.75">
      <c r="A22" s="26" t="str">
        <v>MD: Presston - Bird-in-Hand</v>
      </c>
      <c r="B22" s="27" t="str">
        <v>MD</v>
      </c>
      <c r="C22" s="73"/>
      <c r="D22" s="12"/>
      <c r="E22" s="12" t="str">
        <f t="shared" si="4"/>
        <v/>
      </c>
      <c r="F22" s="74" t="str">
        <f t="shared" si="5"/>
        <v/>
      </c>
      <c r="G22" s="75"/>
      <c r="H22" s="75" t="str">
        <f t="shared" si="6"/>
        <v/>
      </c>
      <c r="I22" s="76" t="str">
        <f t="shared" si="7"/>
        <v/>
      </c>
      <c r="J22" s="77"/>
      <c r="K22" s="81"/>
    </row>
    <row r="23" spans="1:11" ht="15.75">
      <c r="A23" s="28" t="str">
        <v>MD: Easton - Shortall</v>
      </c>
      <c r="B23" s="29" t="str">
        <v>MD</v>
      </c>
      <c r="C23" s="100"/>
      <c r="D23" s="16"/>
      <c r="E23" s="16" t="str">
        <f t="shared" si="4"/>
        <v/>
      </c>
      <c r="F23" s="74" t="str">
        <f t="shared" si="5"/>
        <v/>
      </c>
      <c r="G23" s="80"/>
      <c r="H23" s="80" t="str">
        <f t="shared" si="6"/>
        <v/>
      </c>
      <c r="I23" s="99" t="str">
        <f t="shared" si="7"/>
        <v/>
      </c>
      <c r="J23" s="52"/>
      <c r="K23" s="60"/>
    </row>
    <row r="24" spans="1:11" ht="15.75">
      <c r="A24" s="26" t="str">
        <v>MA: Boston - Seaport Solar</v>
      </c>
      <c r="B24" s="27" t="str">
        <v>MA</v>
      </c>
      <c r="C24" s="73"/>
      <c r="D24" s="12"/>
      <c r="E24" s="12" t="str">
        <f t="shared" si="4"/>
        <v/>
      </c>
      <c r="F24" s="74" t="str">
        <f t="shared" si="5"/>
        <v/>
      </c>
      <c r="G24" s="75"/>
      <c r="H24" s="75" t="str">
        <f t="shared" si="6"/>
        <v/>
      </c>
      <c r="I24" s="76" t="str">
        <f t="shared" si="7"/>
        <v/>
      </c>
      <c r="J24" s="77"/>
      <c r="K24" s="81"/>
    </row>
    <row r="25" spans="1:11" ht="15.75">
      <c r="A25" s="28" t="str">
        <v>MA: Dedham - Sprague Street</v>
      </c>
      <c r="B25" s="29" t="str">
        <v>MA</v>
      </c>
      <c r="C25" s="100"/>
      <c r="D25" s="16"/>
      <c r="E25" s="16" t="str">
        <f t="shared" si="4"/>
        <v/>
      </c>
      <c r="F25" s="74" t="str">
        <f t="shared" si="5"/>
        <v/>
      </c>
      <c r="G25" s="80"/>
      <c r="H25" s="80" t="str">
        <f t="shared" si="6"/>
        <v/>
      </c>
      <c r="I25" s="99" t="str">
        <f t="shared" si="7"/>
        <v/>
      </c>
      <c r="J25" s="52"/>
      <c r="K25" s="60"/>
    </row>
    <row r="26" spans="1:11" ht="15.75">
      <c r="A26" s="26" t="str">
        <v>MA: Boston - Summer Street</v>
      </c>
      <c r="B26" s="27" t="str">
        <v>MA</v>
      </c>
      <c r="C26" s="73"/>
      <c r="D26" s="12"/>
      <c r="E26" s="12" t="str">
        <f t="shared" si="4"/>
        <v/>
      </c>
      <c r="F26" s="74" t="str">
        <f t="shared" si="5"/>
        <v/>
      </c>
      <c r="G26" s="75"/>
      <c r="H26" s="75" t="str">
        <f t="shared" si="6"/>
        <v/>
      </c>
      <c r="I26" s="76" t="str">
        <f t="shared" si="7"/>
        <v/>
      </c>
      <c r="J26" s="77"/>
      <c r="K26" s="81"/>
    </row>
    <row r="27" spans="1:11" ht="15.75">
      <c r="A27" s="28" t="str">
        <v>MA: Leominster - Spectro Coatings</v>
      </c>
      <c r="B27" s="29" t="str">
        <v>MA</v>
      </c>
      <c r="C27" s="100"/>
      <c r="D27" s="16"/>
      <c r="E27" s="16" t="str">
        <f t="shared" si="4"/>
        <v/>
      </c>
      <c r="F27" s="74" t="str">
        <f t="shared" si="5"/>
        <v/>
      </c>
      <c r="G27" s="80"/>
      <c r="H27" s="80" t="str">
        <f t="shared" si="6"/>
        <v/>
      </c>
      <c r="I27" s="99" t="str">
        <f t="shared" si="7"/>
        <v/>
      </c>
      <c r="J27" s="52"/>
      <c r="K27" s="60"/>
    </row>
    <row r="28" spans="1:11" ht="15.75">
      <c r="A28" s="26" t="str">
        <v>MA: Braintree - RCAB</v>
      </c>
      <c r="B28" s="27" t="str">
        <v>MA</v>
      </c>
      <c r="C28" s="73"/>
      <c r="D28" s="12"/>
      <c r="E28" s="12" t="str">
        <f t="shared" si="4"/>
        <v/>
      </c>
      <c r="F28" s="74" t="str">
        <f t="shared" si="5"/>
        <v/>
      </c>
      <c r="G28" s="75"/>
      <c r="H28" s="75" t="str">
        <f t="shared" si="6"/>
        <v/>
      </c>
      <c r="I28" s="76" t="str">
        <f t="shared" si="7"/>
        <v/>
      </c>
      <c r="J28" s="77"/>
      <c r="K28" s="81"/>
    </row>
    <row r="29" spans="1:11" ht="15.75">
      <c r="A29" s="28" t="str">
        <v>NH: Rochester - Portland Street</v>
      </c>
      <c r="B29" s="29" t="str">
        <v>NH</v>
      </c>
      <c r="C29" s="100"/>
      <c r="D29" s="16"/>
      <c r="E29" s="16" t="str">
        <f t="shared" si="4"/>
        <v/>
      </c>
      <c r="F29" s="74" t="str">
        <f t="shared" si="5"/>
        <v/>
      </c>
      <c r="G29" s="80"/>
      <c r="H29" s="80" t="str">
        <f t="shared" si="6"/>
        <v/>
      </c>
      <c r="I29" s="99" t="str">
        <f t="shared" si="7"/>
        <v/>
      </c>
      <c r="J29" s="52"/>
      <c r="K29" s="60"/>
    </row>
    <row r="30" spans="1:11" ht="15.75">
      <c r="A30" s="26" t="str">
        <v>NH: Portsmouth - Portsmouth HS</v>
      </c>
      <c r="B30" s="27" t="str">
        <v>NH</v>
      </c>
      <c r="C30" s="73"/>
      <c r="D30" s="12"/>
      <c r="E30" s="12" t="str">
        <f t="shared" si="4"/>
        <v/>
      </c>
      <c r="F30" s="74" t="str">
        <f t="shared" si="5"/>
        <v/>
      </c>
      <c r="G30" s="75"/>
      <c r="H30" s="75" t="str">
        <f t="shared" si="6"/>
        <v/>
      </c>
      <c r="I30" s="76" t="str">
        <f t="shared" si="7"/>
        <v/>
      </c>
      <c r="J30" s="77"/>
      <c r="K30" s="81"/>
    </row>
    <row r="31" spans="1:11" ht="15.75">
      <c r="A31" s="28" t="str">
        <v>NH: Portsmouth - Portsmouth WTP</v>
      </c>
      <c r="B31" s="29" t="str">
        <v>NH</v>
      </c>
      <c r="C31" s="100"/>
      <c r="D31" s="16"/>
      <c r="E31" s="16" t="str">
        <f t="shared" si="4"/>
        <v/>
      </c>
      <c r="F31" s="74" t="str">
        <f t="shared" si="5"/>
        <v/>
      </c>
      <c r="G31" s="80"/>
      <c r="H31" s="80" t="str">
        <f t="shared" si="6"/>
        <v/>
      </c>
      <c r="I31" s="99" t="str">
        <f t="shared" si="7"/>
        <v/>
      </c>
      <c r="J31" s="52"/>
      <c r="K31" s="60"/>
    </row>
    <row r="32" spans="1:11" ht="15.75">
      <c r="A32" s="26" t="str">
        <v>NH: Rochester - Rochester MS</v>
      </c>
      <c r="B32" s="27" t="str">
        <v>NH</v>
      </c>
      <c r="C32" s="73"/>
      <c r="D32" s="12"/>
      <c r="E32" s="12" t="str">
        <f t="shared" si="4"/>
        <v/>
      </c>
      <c r="F32" s="74" t="str">
        <f t="shared" si="5"/>
        <v/>
      </c>
      <c r="G32" s="75"/>
      <c r="H32" s="75" t="str">
        <f t="shared" si="6"/>
        <v/>
      </c>
      <c r="I32" s="76" t="str">
        <f t="shared" si="7"/>
        <v/>
      </c>
      <c r="J32" s="77"/>
      <c r="K32" s="81"/>
    </row>
    <row r="33" spans="1:11" ht="15.75">
      <c r="A33" s="28" t="str">
        <v>NH Rochester - Spaulding HS</v>
      </c>
      <c r="B33" s="29" t="str">
        <v>NH</v>
      </c>
      <c r="C33" s="100"/>
      <c r="D33" s="16"/>
      <c r="E33" s="16" t="str">
        <f t="shared" si="4"/>
        <v/>
      </c>
      <c r="F33" s="74" t="str">
        <f t="shared" si="5"/>
        <v/>
      </c>
      <c r="G33" s="80"/>
      <c r="H33" s="80" t="str">
        <f t="shared" si="6"/>
        <v/>
      </c>
      <c r="I33" s="99" t="str">
        <f t="shared" si="7"/>
        <v/>
      </c>
      <c r="J33" s="52"/>
      <c r="K33" s="60"/>
    </row>
    <row r="34" spans="1:11" ht="15.75">
      <c r="A34" s="26" t="str">
        <v>NH: Rochester - McClelland ES</v>
      </c>
      <c r="B34" s="27" t="str">
        <v>NH</v>
      </c>
      <c r="C34" s="73"/>
      <c r="D34" s="12"/>
      <c r="E34" s="12" t="str">
        <f t="shared" si="4"/>
        <v/>
      </c>
      <c r="F34" s="74" t="str">
        <f t="shared" si="5"/>
        <v/>
      </c>
      <c r="G34" s="75"/>
      <c r="H34" s="75" t="str">
        <f t="shared" si="6"/>
        <v/>
      </c>
      <c r="I34" s="76" t="str">
        <f t="shared" si="7"/>
        <v/>
      </c>
      <c r="J34" s="77"/>
      <c r="K34" s="81"/>
    </row>
    <row r="35" spans="1:11" ht="15.75">
      <c r="A35" s="28" t="str">
        <v>NH: Rochester - Brock St Vocational</v>
      </c>
      <c r="B35" s="29" t="str">
        <v>NH</v>
      </c>
      <c r="C35" s="100"/>
      <c r="D35" s="16"/>
      <c r="E35" s="16" t="str">
        <f t="shared" si="4"/>
        <v/>
      </c>
      <c r="F35" s="74" t="str">
        <f t="shared" si="5"/>
        <v/>
      </c>
      <c r="G35" s="80"/>
      <c r="H35" s="80" t="str">
        <f t="shared" si="6"/>
        <v/>
      </c>
      <c r="I35" s="99" t="str">
        <f t="shared" si="7"/>
        <v/>
      </c>
      <c r="J35" s="52"/>
      <c r="K35" s="60"/>
    </row>
    <row r="36" spans="1:11" ht="15.75">
      <c r="A36" s="26" t="str">
        <v>OH: Cleveland - CV Kinsman</v>
      </c>
      <c r="B36" s="27" t="str">
        <v>OH</v>
      </c>
      <c r="C36" s="73"/>
      <c r="D36" s="12"/>
      <c r="E36" s="12" t="str">
        <f t="shared" si="4"/>
        <v/>
      </c>
      <c r="F36" s="74" t="str">
        <f t="shared" si="5"/>
        <v/>
      </c>
      <c r="G36" s="75"/>
      <c r="H36" s="75" t="str">
        <f t="shared" si="6"/>
        <v/>
      </c>
      <c r="I36" s="76" t="str">
        <f t="shared" si="7"/>
        <v/>
      </c>
      <c r="J36" s="77"/>
      <c r="K36" s="81"/>
    </row>
    <row r="37" spans="1:11" ht="15.75">
      <c r="A37" s="28" t="str">
        <v>OH: Cleveland - CV Wooster</v>
      </c>
      <c r="B37" s="29" t="str">
        <v>OH</v>
      </c>
      <c r="C37" s="100"/>
      <c r="D37" s="16"/>
      <c r="E37" s="16" t="str">
        <f t="shared" si="4"/>
        <v/>
      </c>
      <c r="F37" s="74" t="str">
        <f t="shared" si="5"/>
        <v/>
      </c>
      <c r="G37" s="80"/>
      <c r="H37" s="80" t="str">
        <f t="shared" si="6"/>
        <v/>
      </c>
      <c r="I37" s="99" t="str">
        <f t="shared" si="7"/>
        <v/>
      </c>
      <c r="J37" s="52"/>
      <c r="K37" s="60"/>
    </row>
    <row r="38" spans="1:11" ht="15.75">
      <c r="A38" s="26" t="str">
        <v>PR: Aguadilla - Coca Cola</v>
      </c>
      <c r="B38" s="27" t="str">
        <v>PR</v>
      </c>
      <c r="C38" s="73"/>
      <c r="D38" s="12"/>
      <c r="E38" s="12" t="str">
        <f t="shared" si="4"/>
        <v/>
      </c>
      <c r="F38" s="74" t="str">
        <f t="shared" si="5"/>
        <v/>
      </c>
      <c r="G38" s="75"/>
      <c r="H38" s="75" t="str">
        <f t="shared" si="6"/>
        <v/>
      </c>
      <c r="I38" s="76" t="str">
        <f t="shared" si="7"/>
        <v/>
      </c>
      <c r="J38" s="77"/>
      <c r="K38" s="81"/>
    </row>
    <row r="39" spans="1:11" ht="15.75">
      <c r="A39" s="28" t="str">
        <v>PR: Bayamon - Coca Cola</v>
      </c>
      <c r="B39" s="29" t="str">
        <v>PR</v>
      </c>
      <c r="C39" s="100"/>
      <c r="D39" s="16"/>
      <c r="E39" s="16" t="str">
        <f t="shared" si="4"/>
        <v/>
      </c>
      <c r="F39" s="74" t="str">
        <f t="shared" si="5"/>
        <v/>
      </c>
      <c r="G39" s="80"/>
      <c r="H39" s="80" t="str">
        <f t="shared" si="6"/>
        <v/>
      </c>
      <c r="I39" s="99" t="str">
        <f t="shared" si="7"/>
        <v/>
      </c>
      <c r="J39" s="52"/>
      <c r="K39" s="60"/>
    </row>
    <row r="40" spans="1:11" ht="15.75">
      <c r="A40" s="26" t="str">
        <v>PR: Carolina - St. Francis</v>
      </c>
      <c r="B40" s="27" t="str">
        <v>PR</v>
      </c>
      <c r="C40" s="73"/>
      <c r="D40" s="12"/>
      <c r="E40" s="12" t="str">
        <f t="shared" si="4"/>
        <v/>
      </c>
      <c r="F40" s="74" t="str">
        <f t="shared" si="5"/>
        <v/>
      </c>
      <c r="G40" s="75"/>
      <c r="H40" s="75" t="str">
        <f t="shared" si="6"/>
        <v/>
      </c>
      <c r="I40" s="76" t="str">
        <f t="shared" si="7"/>
        <v/>
      </c>
      <c r="J40" s="77"/>
      <c r="K40" s="81"/>
    </row>
    <row r="41" spans="1:11" ht="15.75">
      <c r="A41" s="28" t="str">
        <v>DC: Washington - Essex Condominium</v>
      </c>
      <c r="B41" s="29" t="str">
        <v>DC</v>
      </c>
      <c r="C41" s="100"/>
      <c r="D41" s="16"/>
      <c r="E41" s="16" t="str">
        <f t="shared" si="4"/>
        <v/>
      </c>
      <c r="F41" s="74" t="str">
        <f t="shared" si="5"/>
        <v/>
      </c>
      <c r="G41" s="80"/>
      <c r="H41" s="80" t="str">
        <f t="shared" si="6"/>
        <v/>
      </c>
      <c r="I41" s="99" t="str">
        <f t="shared" si="7"/>
        <v/>
      </c>
      <c r="J41" s="52"/>
      <c r="K41" s="60"/>
    </row>
    <row r="42" spans="1:11" ht="15.75">
      <c r="A42" s="26" t="str">
        <v>DC: Chevy Chase -Sinai</v>
      </c>
      <c r="B42" s="27" t="str">
        <v>DC</v>
      </c>
      <c r="C42" s="73"/>
      <c r="D42" s="12"/>
      <c r="E42" s="12" t="str">
        <f t="shared" si="4"/>
        <v/>
      </c>
      <c r="F42" s="74" t="str">
        <f t="shared" si="5"/>
        <v/>
      </c>
      <c r="G42" s="75"/>
      <c r="H42" s="75" t="str">
        <f t="shared" si="6"/>
        <v/>
      </c>
      <c r="I42" s="76" t="str">
        <f t="shared" si="7"/>
        <v/>
      </c>
      <c r="J42" s="77"/>
      <c r="K42" s="81"/>
    </row>
    <row r="43" spans="1:11" ht="15.75">
      <c r="A43" s="28" t="str">
        <v>DC: Washington - Weinberg 1</v>
      </c>
      <c r="B43" s="29" t="str">
        <v>DC</v>
      </c>
      <c r="C43" s="100"/>
      <c r="D43" s="16"/>
      <c r="E43" s="16" t="str">
        <f t="shared" si="4"/>
        <v/>
      </c>
      <c r="F43" s="74" t="str">
        <f t="shared" si="5"/>
        <v/>
      </c>
      <c r="G43" s="80"/>
      <c r="H43" s="80" t="str">
        <f t="shared" si="6"/>
        <v/>
      </c>
      <c r="I43" s="99" t="str">
        <f t="shared" si="7"/>
        <v/>
      </c>
      <c r="J43" s="52"/>
      <c r="K43" s="60"/>
    </row>
    <row r="44" spans="1:11" ht="15.75">
      <c r="A44" s="26" t="str">
        <v>DC: Washington - Weinberg 2</v>
      </c>
      <c r="B44" s="27" t="str">
        <v>DC</v>
      </c>
      <c r="C44" s="73"/>
      <c r="D44" s="12"/>
      <c r="E44" s="12" t="str">
        <f t="shared" si="4"/>
        <v/>
      </c>
      <c r="F44" s="74" t="str">
        <f t="shared" si="5"/>
        <v/>
      </c>
      <c r="G44" s="75"/>
      <c r="H44" s="75" t="str">
        <f t="shared" si="6"/>
        <v/>
      </c>
      <c r="I44" s="76" t="str">
        <f t="shared" si="7"/>
        <v/>
      </c>
      <c r="J44" s="77"/>
      <c r="K44" s="81"/>
    </row>
    <row r="45" spans="1:11" ht="15.75">
      <c r="A45" s="28" t="str">
        <v>DC: Washington - Weinberg 3</v>
      </c>
      <c r="B45" s="29" t="str">
        <v>DC</v>
      </c>
      <c r="C45" s="100"/>
      <c r="D45" s="16"/>
      <c r="E45" s="16" t="str">
        <f t="shared" si="4"/>
        <v/>
      </c>
      <c r="F45" s="74" t="str">
        <f t="shared" si="5"/>
        <v/>
      </c>
      <c r="G45" s="80"/>
      <c r="H45" s="80" t="str">
        <f t="shared" si="6"/>
        <v/>
      </c>
      <c r="I45" s="99" t="str">
        <f t="shared" si="7"/>
        <v/>
      </c>
      <c r="J45" s="52"/>
      <c r="K45" s="60"/>
    </row>
    <row r="46" spans="1:11" ht="14.25">
      <c r="A46" s="19"/>
      <c r="B46" s="31"/>
      <c r="C46" s="19"/>
      <c r="D46" s="19"/>
      <c r="E46" s="19"/>
      <c r="F46" s="20"/>
      <c r="G46" s="19"/>
      <c r="H46" s="19"/>
      <c r="I46" s="20"/>
      <c r="J46" s="19"/>
      <c r="K46" s="19"/>
    </row>
    <row r="47" spans="1:11" ht="14.25">
      <c r="A47" s="19"/>
      <c r="B47" s="31"/>
      <c r="C47" s="19"/>
      <c r="D47" s="19"/>
      <c r="E47" s="19"/>
      <c r="F47" s="20"/>
      <c r="G47" s="19"/>
      <c r="H47" s="19"/>
      <c r="I47" s="20"/>
      <c r="J47" s="19"/>
      <c r="K47" s="19"/>
    </row>
    <row r="48" spans="1:11" ht="14.25">
      <c r="A48" s="19"/>
      <c r="B48" s="31"/>
      <c r="C48" s="19"/>
      <c r="D48" s="19"/>
      <c r="E48" s="19"/>
      <c r="F48" s="20"/>
      <c r="G48" s="19"/>
      <c r="H48" s="19"/>
      <c r="I48" s="20"/>
      <c r="J48" s="19"/>
      <c r="K48" s="19"/>
    </row>
    <row r="49" spans="1:11" ht="14.25">
      <c r="A49" s="19"/>
      <c r="B49" s="31"/>
      <c r="C49" s="19"/>
      <c r="D49" s="19"/>
      <c r="E49" s="19"/>
      <c r="F49" s="20"/>
      <c r="G49" s="19"/>
      <c r="H49" s="19"/>
      <c r="I49" s="20"/>
      <c r="J49" s="19"/>
      <c r="K49" s="19"/>
    </row>
    <row r="50" spans="1:11" ht="14.25">
      <c r="A50" s="19"/>
      <c r="B50" s="31"/>
      <c r="C50" s="19"/>
      <c r="D50" s="19"/>
      <c r="E50" s="19"/>
      <c r="F50" s="20"/>
      <c r="G50" s="19"/>
      <c r="H50" s="19"/>
      <c r="I50" s="20"/>
      <c r="J50" s="19"/>
      <c r="K50" s="19"/>
    </row>
    <row r="51" spans="1:11" ht="14.25">
      <c r="A51" s="19"/>
      <c r="B51" s="31"/>
      <c r="C51" s="19"/>
      <c r="D51" s="19"/>
      <c r="E51" s="19"/>
      <c r="F51" s="20"/>
      <c r="G51" s="19"/>
      <c r="H51" s="19"/>
      <c r="I51" s="20"/>
      <c r="J51" s="19"/>
      <c r="K51" s="19"/>
    </row>
    <row r="52" spans="1:11" ht="14.25">
      <c r="A52" s="19"/>
      <c r="B52" s="31"/>
      <c r="C52" s="19"/>
      <c r="D52" s="19"/>
      <c r="E52" s="19"/>
      <c r="F52" s="20"/>
      <c r="G52" s="19"/>
      <c r="H52" s="19"/>
      <c r="I52" s="20"/>
      <c r="J52" s="19"/>
      <c r="K52" s="19"/>
    </row>
    <row r="53" spans="1:11" ht="14.25">
      <c r="A53" s="19"/>
      <c r="B53" s="31"/>
      <c r="C53" s="19"/>
      <c r="D53" s="19"/>
      <c r="E53" s="19"/>
      <c r="F53" s="20"/>
      <c r="G53" s="19"/>
      <c r="H53" s="19"/>
      <c r="I53" s="20"/>
      <c r="J53" s="19"/>
      <c r="K53" s="19"/>
    </row>
    <row r="54" spans="1:11" ht="14.25">
      <c r="A54" s="19"/>
      <c r="B54" s="31"/>
      <c r="C54" s="19"/>
      <c r="D54" s="19"/>
      <c r="E54" s="19"/>
      <c r="F54" s="20"/>
      <c r="G54" s="19"/>
      <c r="H54" s="19"/>
      <c r="I54" s="20"/>
      <c r="J54" s="19"/>
      <c r="K54" s="19"/>
    </row>
    <row r="55" spans="1:11" ht="14.25">
      <c r="A55" s="19"/>
      <c r="B55" s="31"/>
      <c r="C55" s="19"/>
      <c r="D55" s="19"/>
      <c r="E55" s="19"/>
      <c r="F55" s="20"/>
      <c r="G55" s="19"/>
      <c r="H55" s="19"/>
      <c r="I55" s="20"/>
      <c r="J55" s="19"/>
      <c r="K55" s="19"/>
    </row>
    <row r="56" spans="1:11" ht="14.25">
      <c r="A56" s="19"/>
      <c r="B56" s="31"/>
      <c r="C56" s="19"/>
      <c r="D56" s="19"/>
      <c r="E56" s="19"/>
      <c r="F56" s="20"/>
      <c r="G56" s="19"/>
      <c r="H56" s="19"/>
      <c r="I56" s="20"/>
      <c r="J56" s="19"/>
      <c r="K56" s="19"/>
    </row>
    <row r="57" spans="1:11" ht="14.25">
      <c r="A57" s="19"/>
      <c r="B57" s="31"/>
      <c r="C57" s="19"/>
      <c r="D57" s="19"/>
      <c r="E57" s="19"/>
      <c r="F57" s="20"/>
      <c r="G57" s="19"/>
      <c r="H57" s="19"/>
      <c r="I57" s="20"/>
      <c r="J57" s="19"/>
      <c r="K57" s="19"/>
    </row>
    <row r="58" spans="1:11" ht="14.25">
      <c r="A58" s="19"/>
      <c r="B58" s="31"/>
      <c r="C58" s="19"/>
      <c r="D58" s="19"/>
      <c r="E58" s="19"/>
      <c r="F58" s="20"/>
      <c r="G58" s="19"/>
      <c r="H58" s="19"/>
      <c r="I58" s="20"/>
      <c r="J58" s="19"/>
      <c r="K58" s="19"/>
    </row>
    <row r="59" spans="1:11" ht="14.25">
      <c r="A59" s="19"/>
      <c r="B59" s="31"/>
      <c r="C59" s="19"/>
      <c r="D59" s="19"/>
      <c r="E59" s="19"/>
      <c r="F59" s="20"/>
      <c r="G59" s="19"/>
      <c r="H59" s="19"/>
      <c r="I59" s="20"/>
      <c r="J59" s="19"/>
      <c r="K59" s="19"/>
    </row>
    <row r="60" spans="1:11" ht="14.25">
      <c r="A60" s="19"/>
      <c r="B60" s="31"/>
      <c r="C60" s="19"/>
      <c r="D60" s="19"/>
      <c r="E60" s="19"/>
      <c r="F60" s="20"/>
      <c r="G60" s="19"/>
      <c r="H60" s="19"/>
      <c r="I60" s="20"/>
      <c r="J60" s="19"/>
      <c r="K60" s="19"/>
    </row>
    <row r="61" spans="1:11" ht="14.25">
      <c r="A61" s="19"/>
      <c r="B61" s="31"/>
      <c r="C61" s="19"/>
      <c r="D61" s="19"/>
      <c r="E61" s="19"/>
      <c r="F61" s="20"/>
      <c r="G61" s="19"/>
      <c r="H61" s="19"/>
      <c r="I61" s="20"/>
      <c r="J61" s="19"/>
      <c r="K61" s="19"/>
    </row>
    <row r="62" spans="1:11" ht="14.25">
      <c r="A62" s="19"/>
      <c r="B62" s="31"/>
      <c r="C62" s="19"/>
      <c r="D62" s="19"/>
      <c r="E62" s="19"/>
      <c r="F62" s="20"/>
      <c r="G62" s="19"/>
      <c r="H62" s="19"/>
      <c r="I62" s="20"/>
      <c r="J62" s="19"/>
      <c r="K62" s="19"/>
    </row>
    <row r="63" spans="1:11" ht="14.25">
      <c r="A63" s="19"/>
      <c r="B63" s="31"/>
      <c r="C63" s="19"/>
      <c r="D63" s="19"/>
      <c r="E63" s="19"/>
      <c r="F63" s="20"/>
      <c r="G63" s="19"/>
      <c r="H63" s="19"/>
      <c r="I63" s="20"/>
      <c r="J63" s="19"/>
      <c r="K63" s="19"/>
    </row>
    <row r="64" spans="1:11" ht="14.25">
      <c r="A64" s="19"/>
      <c r="B64" s="31"/>
      <c r="C64" s="19"/>
      <c r="D64" s="19"/>
      <c r="E64" s="19"/>
      <c r="F64" s="20"/>
      <c r="G64" s="19"/>
      <c r="H64" s="19"/>
      <c r="I64" s="20"/>
      <c r="J64" s="19"/>
      <c r="K64" s="19"/>
    </row>
    <row r="65" spans="1:11" ht="14.25">
      <c r="A65" s="19"/>
      <c r="B65" s="31"/>
      <c r="C65" s="19"/>
      <c r="D65" s="19"/>
      <c r="E65" s="19"/>
      <c r="F65" s="20"/>
      <c r="G65" s="19"/>
      <c r="H65" s="19"/>
      <c r="I65" s="20"/>
      <c r="J65" s="19"/>
      <c r="K65" s="19"/>
    </row>
    <row r="66" spans="1:11" ht="14.25">
      <c r="A66" s="19"/>
      <c r="B66" s="31"/>
      <c r="C66" s="19"/>
      <c r="D66" s="19"/>
      <c r="E66" s="19"/>
      <c r="F66" s="20"/>
      <c r="G66" s="19"/>
      <c r="H66" s="19"/>
      <c r="I66" s="20"/>
      <c r="J66" s="19"/>
      <c r="K66" s="19"/>
    </row>
    <row r="67" spans="1:11" ht="14.25">
      <c r="A67" s="19"/>
      <c r="B67" s="31"/>
      <c r="C67" s="19"/>
      <c r="D67" s="19"/>
      <c r="E67" s="19"/>
      <c r="F67" s="20"/>
      <c r="G67" s="19"/>
      <c r="H67" s="19"/>
      <c r="I67" s="20"/>
      <c r="J67" s="19"/>
      <c r="K67" s="19"/>
    </row>
    <row r="68" spans="1:11" ht="14.25">
      <c r="A68" s="19"/>
      <c r="B68" s="31"/>
      <c r="C68" s="19"/>
      <c r="D68" s="19"/>
      <c r="E68" s="19"/>
      <c r="F68" s="20"/>
      <c r="G68" s="19"/>
      <c r="H68" s="19"/>
      <c r="I68" s="20"/>
      <c r="J68" s="19"/>
      <c r="K68" s="19"/>
    </row>
    <row r="69" spans="1:11" ht="14.25">
      <c r="A69" s="19"/>
      <c r="B69" s="31"/>
      <c r="C69" s="19"/>
      <c r="D69" s="19"/>
      <c r="E69" s="19"/>
      <c r="F69" s="20"/>
      <c r="G69" s="19"/>
      <c r="H69" s="19"/>
      <c r="I69" s="20"/>
      <c r="J69" s="19"/>
      <c r="K69" s="19"/>
    </row>
    <row r="70" spans="1:11" ht="14.25">
      <c r="A70" s="19"/>
      <c r="B70" s="31"/>
      <c r="C70" s="19"/>
      <c r="D70" s="19"/>
      <c r="E70" s="19"/>
      <c r="F70" s="20"/>
      <c r="G70" s="19"/>
      <c r="H70" s="19"/>
      <c r="I70" s="20"/>
      <c r="J70" s="19"/>
      <c r="K70" s="19"/>
    </row>
    <row r="71" spans="1:11" ht="14.25">
      <c r="A71" s="19"/>
      <c r="B71" s="31"/>
      <c r="C71" s="19"/>
      <c r="D71" s="19"/>
      <c r="E71" s="19"/>
      <c r="F71" s="20"/>
      <c r="G71" s="19"/>
      <c r="H71" s="19"/>
      <c r="I71" s="20"/>
      <c r="J71" s="19"/>
      <c r="K71" s="19"/>
    </row>
    <row r="72" spans="1:11" ht="14.25">
      <c r="A72" s="19"/>
      <c r="B72" s="31"/>
      <c r="C72" s="19"/>
      <c r="D72" s="19"/>
      <c r="E72" s="19"/>
      <c r="F72" s="20"/>
      <c r="G72" s="19"/>
      <c r="H72" s="19"/>
      <c r="I72" s="20"/>
      <c r="J72" s="19"/>
      <c r="K72" s="19"/>
    </row>
    <row r="73" spans="1:11" ht="14.25">
      <c r="A73" s="19"/>
      <c r="B73" s="31"/>
      <c r="C73" s="19"/>
      <c r="D73" s="19"/>
      <c r="E73" s="19"/>
      <c r="F73" s="20"/>
      <c r="G73" s="19"/>
      <c r="H73" s="19"/>
      <c r="I73" s="20"/>
      <c r="J73" s="19"/>
      <c r="K73" s="19"/>
    </row>
    <row r="74" spans="1:11" ht="14.25">
      <c r="A74" s="19"/>
      <c r="B74" s="31"/>
      <c r="C74" s="19"/>
      <c r="D74" s="19"/>
      <c r="E74" s="19"/>
      <c r="F74" s="20"/>
      <c r="G74" s="19"/>
      <c r="H74" s="19"/>
      <c r="I74" s="20"/>
      <c r="J74" s="19"/>
      <c r="K74" s="19"/>
    </row>
    <row r="75" spans="1:11" ht="14.25">
      <c r="A75" s="19"/>
      <c r="B75" s="31"/>
      <c r="C75" s="19"/>
      <c r="D75" s="19"/>
      <c r="E75" s="19"/>
      <c r="F75" s="20"/>
      <c r="G75" s="19"/>
      <c r="H75" s="19"/>
      <c r="I75" s="20"/>
      <c r="J75" s="19"/>
      <c r="K75" s="19"/>
    </row>
    <row r="76" spans="1:11" ht="14.25">
      <c r="A76" s="19"/>
      <c r="B76" s="31"/>
      <c r="C76" s="19"/>
      <c r="D76" s="19"/>
      <c r="E76" s="19"/>
      <c r="F76" s="20"/>
      <c r="G76" s="19"/>
      <c r="H76" s="19"/>
      <c r="I76" s="20"/>
      <c r="J76" s="19"/>
      <c r="K76" s="19"/>
    </row>
    <row r="77" spans="1:11" ht="14.25">
      <c r="A77" s="19"/>
      <c r="B77" s="31"/>
      <c r="C77" s="19"/>
      <c r="D77" s="19"/>
      <c r="E77" s="19"/>
      <c r="F77" s="20"/>
      <c r="G77" s="19"/>
      <c r="H77" s="19"/>
      <c r="I77" s="20"/>
      <c r="J77" s="19"/>
      <c r="K77" s="19"/>
    </row>
    <row r="78" spans="1:11" ht="14.25">
      <c r="A78" s="19"/>
      <c r="B78" s="31"/>
      <c r="C78" s="19"/>
      <c r="D78" s="19"/>
      <c r="E78" s="19"/>
      <c r="F78" s="20"/>
      <c r="G78" s="19"/>
      <c r="H78" s="19"/>
      <c r="I78" s="20"/>
      <c r="J78" s="19"/>
      <c r="K78" s="19"/>
    </row>
    <row r="79" spans="1:11" ht="14.25">
      <c r="A79" s="19"/>
      <c r="B79" s="31"/>
      <c r="C79" s="19"/>
      <c r="D79" s="19"/>
      <c r="E79" s="19"/>
      <c r="F79" s="20"/>
      <c r="G79" s="19"/>
      <c r="H79" s="19"/>
      <c r="I79" s="20"/>
      <c r="J79" s="19"/>
      <c r="K79" s="19"/>
    </row>
    <row r="80" spans="1:11" ht="14.25">
      <c r="A80" s="19"/>
      <c r="B80" s="31"/>
      <c r="C80" s="19"/>
      <c r="D80" s="19"/>
      <c r="E80" s="19"/>
      <c r="F80" s="20"/>
      <c r="G80" s="19"/>
      <c r="H80" s="19"/>
      <c r="I80" s="20"/>
      <c r="J80" s="19"/>
      <c r="K80" s="19"/>
    </row>
    <row r="81" spans="1:11" ht="14.25">
      <c r="A81" s="19"/>
      <c r="B81" s="31"/>
      <c r="C81" s="19"/>
      <c r="D81" s="19"/>
      <c r="E81" s="19"/>
      <c r="F81" s="20"/>
      <c r="G81" s="19"/>
      <c r="H81" s="19"/>
      <c r="I81" s="20"/>
      <c r="J81" s="19"/>
      <c r="K81" s="19"/>
    </row>
    <row r="82" spans="1:11" ht="14.25">
      <c r="A82" s="19"/>
      <c r="B82" s="31"/>
      <c r="C82" s="19"/>
      <c r="D82" s="19"/>
      <c r="E82" s="19"/>
      <c r="F82" s="20"/>
      <c r="G82" s="19"/>
      <c r="H82" s="19"/>
      <c r="I82" s="20"/>
      <c r="J82" s="19"/>
      <c r="K82" s="19"/>
    </row>
    <row r="83" spans="1:11" ht="14.25">
      <c r="A83" s="19"/>
      <c r="B83" s="31"/>
      <c r="C83" s="19"/>
      <c r="D83" s="19"/>
      <c r="E83" s="19"/>
      <c r="F83" s="20"/>
      <c r="G83" s="19"/>
      <c r="H83" s="19"/>
      <c r="I83" s="20"/>
      <c r="J83" s="19"/>
      <c r="K83" s="19"/>
    </row>
    <row r="84" spans="1:11" ht="14.25">
      <c r="A84" s="19"/>
      <c r="B84" s="31"/>
      <c r="C84" s="19"/>
      <c r="D84" s="19"/>
      <c r="E84" s="19"/>
      <c r="F84" s="20"/>
      <c r="G84" s="19"/>
      <c r="H84" s="19"/>
      <c r="I84" s="20"/>
      <c r="J84" s="19"/>
      <c r="K84" s="19"/>
    </row>
    <row r="85" spans="1:11" ht="14.25">
      <c r="A85" s="19"/>
      <c r="B85" s="31"/>
      <c r="C85" s="19"/>
      <c r="D85" s="19"/>
      <c r="E85" s="19"/>
      <c r="F85" s="20"/>
      <c r="G85" s="19"/>
      <c r="H85" s="19"/>
      <c r="I85" s="20"/>
      <c r="J85" s="19"/>
      <c r="K85" s="19"/>
    </row>
    <row r="86" spans="1:11" ht="14.25">
      <c r="A86" s="19"/>
      <c r="B86" s="31"/>
      <c r="C86" s="19"/>
      <c r="D86" s="19"/>
      <c r="E86" s="19"/>
      <c r="F86" s="20"/>
      <c r="G86" s="19"/>
      <c r="H86" s="19"/>
      <c r="I86" s="20"/>
      <c r="J86" s="19"/>
      <c r="K86" s="19"/>
    </row>
    <row r="87" spans="1:11" ht="14.25">
      <c r="A87" s="19"/>
      <c r="B87" s="31"/>
      <c r="C87" s="19"/>
      <c r="D87" s="19"/>
      <c r="E87" s="19"/>
      <c r="F87" s="20"/>
      <c r="G87" s="19"/>
      <c r="H87" s="19"/>
      <c r="I87" s="20"/>
      <c r="J87" s="19"/>
      <c r="K87" s="19"/>
    </row>
    <row r="88" spans="1:11" ht="14.25">
      <c r="A88" s="19"/>
      <c r="B88" s="31"/>
      <c r="C88" s="19"/>
      <c r="D88" s="19"/>
      <c r="E88" s="19"/>
      <c r="F88" s="20"/>
      <c r="G88" s="19"/>
      <c r="H88" s="19"/>
      <c r="I88" s="20"/>
      <c r="J88" s="19"/>
      <c r="K88" s="19"/>
    </row>
    <row r="89" spans="1:11" ht="14.25">
      <c r="A89" s="19"/>
      <c r="B89" s="31"/>
      <c r="C89" s="19"/>
      <c r="D89" s="19"/>
      <c r="E89" s="19"/>
      <c r="F89" s="20"/>
      <c r="G89" s="19"/>
      <c r="H89" s="19"/>
      <c r="I89" s="20"/>
      <c r="J89" s="19"/>
      <c r="K89" s="19"/>
    </row>
    <row r="90" spans="1:11" ht="14.25">
      <c r="A90" s="19"/>
      <c r="B90" s="31"/>
      <c r="C90" s="19"/>
      <c r="D90" s="19"/>
      <c r="E90" s="19"/>
      <c r="F90" s="20"/>
      <c r="G90" s="19"/>
      <c r="H90" s="19"/>
      <c r="I90" s="20"/>
      <c r="J90" s="19"/>
      <c r="K90" s="19"/>
    </row>
    <row r="91" spans="1:11" ht="14.25">
      <c r="A91" s="19"/>
      <c r="B91" s="31"/>
      <c r="C91" s="19"/>
      <c r="D91" s="19"/>
      <c r="E91" s="19"/>
      <c r="F91" s="20"/>
      <c r="G91" s="19"/>
      <c r="H91" s="19"/>
      <c r="I91" s="20"/>
      <c r="J91" s="19"/>
      <c r="K91" s="19"/>
    </row>
    <row r="92" spans="1:11" ht="14.25">
      <c r="A92" s="19"/>
      <c r="B92" s="31"/>
      <c r="C92" s="19"/>
      <c r="D92" s="19"/>
      <c r="E92" s="19"/>
      <c r="F92" s="20"/>
      <c r="G92" s="19"/>
      <c r="H92" s="19"/>
      <c r="I92" s="20"/>
      <c r="J92" s="19"/>
      <c r="K92" s="19"/>
    </row>
    <row r="93" spans="1:11" ht="14.25">
      <c r="A93" s="19"/>
      <c r="B93" s="31"/>
      <c r="C93" s="19"/>
      <c r="D93" s="19"/>
      <c r="E93" s="19"/>
      <c r="F93" s="20"/>
      <c r="G93" s="19"/>
      <c r="H93" s="19"/>
      <c r="I93" s="20"/>
      <c r="J93" s="19"/>
      <c r="K93" s="19"/>
    </row>
    <row r="94" spans="1:11" ht="14.25">
      <c r="A94" s="19"/>
      <c r="B94" s="31"/>
      <c r="C94" s="19"/>
      <c r="D94" s="19"/>
      <c r="E94" s="19"/>
      <c r="F94" s="20"/>
      <c r="G94" s="19"/>
      <c r="H94" s="19"/>
      <c r="I94" s="20"/>
      <c r="J94" s="19"/>
      <c r="K94" s="19"/>
    </row>
    <row r="95" spans="1:11" ht="14.25">
      <c r="A95" s="19"/>
      <c r="B95" s="31"/>
      <c r="C95" s="19"/>
      <c r="D95" s="19"/>
      <c r="E95" s="19"/>
      <c r="F95" s="20"/>
      <c r="G95" s="19"/>
      <c r="H95" s="19"/>
      <c r="I95" s="20"/>
      <c r="J95" s="19"/>
      <c r="K95" s="19"/>
    </row>
    <row r="96" spans="1:11" ht="14.25">
      <c r="A96" s="19"/>
      <c r="B96" s="31"/>
      <c r="C96" s="19"/>
      <c r="D96" s="19"/>
      <c r="E96" s="19"/>
      <c r="F96" s="20"/>
      <c r="G96" s="19"/>
      <c r="H96" s="19"/>
      <c r="I96" s="20"/>
      <c r="J96" s="19"/>
      <c r="K96" s="19"/>
    </row>
    <row r="97" spans="1:11" ht="14.25">
      <c r="A97" s="19"/>
      <c r="B97" s="31"/>
      <c r="C97" s="19"/>
      <c r="D97" s="19"/>
      <c r="E97" s="19"/>
      <c r="F97" s="20"/>
      <c r="G97" s="19"/>
      <c r="H97" s="19"/>
      <c r="I97" s="20"/>
      <c r="J97" s="19"/>
      <c r="K97" s="19"/>
    </row>
    <row r="98" spans="1:11" ht="14.25">
      <c r="A98" s="19"/>
      <c r="B98" s="31"/>
      <c r="C98" s="19"/>
      <c r="D98" s="19"/>
      <c r="E98" s="19"/>
      <c r="F98" s="20"/>
      <c r="G98" s="19"/>
      <c r="H98" s="19"/>
      <c r="I98" s="20"/>
      <c r="J98" s="19"/>
      <c r="K98" s="19"/>
    </row>
    <row r="99" spans="1:11" ht="14.25">
      <c r="A99" s="19"/>
      <c r="B99" s="31"/>
      <c r="C99" s="19"/>
      <c r="D99" s="19"/>
      <c r="E99" s="19"/>
      <c r="F99" s="20"/>
      <c r="G99" s="19"/>
      <c r="H99" s="19"/>
      <c r="I99" s="20"/>
      <c r="J99" s="19"/>
      <c r="K99" s="19"/>
    </row>
    <row r="100" spans="1:11" ht="14.25">
      <c r="A100" s="19"/>
      <c r="B100" s="31"/>
      <c r="C100" s="19"/>
      <c r="D100" s="19"/>
      <c r="E100" s="19"/>
      <c r="F100" s="20"/>
      <c r="G100" s="19"/>
      <c r="H100" s="19"/>
      <c r="I100" s="20"/>
      <c r="J100" s="19"/>
      <c r="K100" s="19"/>
    </row>
    <row r="101" spans="1:11" ht="14.25">
      <c r="A101" s="19"/>
      <c r="B101" s="31"/>
      <c r="C101" s="19"/>
      <c r="D101" s="19"/>
      <c r="E101" s="19"/>
      <c r="F101" s="20"/>
      <c r="G101" s="19"/>
      <c r="H101" s="19"/>
      <c r="I101" s="20"/>
      <c r="J101" s="19"/>
      <c r="K101" s="19"/>
    </row>
    <row r="102" spans="1:11" ht="14.25">
      <c r="A102" s="19"/>
      <c r="B102" s="31"/>
      <c r="C102" s="19"/>
      <c r="D102" s="19"/>
      <c r="E102" s="19"/>
      <c r="F102" s="20"/>
      <c r="G102" s="19"/>
      <c r="H102" s="19"/>
      <c r="I102" s="20"/>
      <c r="J102" s="19"/>
      <c r="K102" s="19"/>
    </row>
    <row r="103" spans="1:11" ht="14.25">
      <c r="A103" s="19"/>
      <c r="B103" s="31"/>
      <c r="C103" s="19"/>
      <c r="D103" s="19"/>
      <c r="E103" s="19"/>
      <c r="F103" s="20"/>
      <c r="G103" s="19"/>
      <c r="H103" s="19"/>
      <c r="I103" s="20"/>
      <c r="J103" s="19"/>
      <c r="K103" s="19"/>
    </row>
    <row r="104" spans="1:11" ht="14.25">
      <c r="A104" s="19"/>
      <c r="B104" s="31"/>
      <c r="C104" s="19"/>
      <c r="D104" s="19"/>
      <c r="E104" s="19"/>
      <c r="F104" s="20"/>
      <c r="G104" s="19"/>
      <c r="H104" s="19"/>
      <c r="I104" s="20"/>
      <c r="J104" s="19"/>
      <c r="K104" s="19"/>
    </row>
    <row r="105" spans="1:11" ht="14.25">
      <c r="A105" s="19"/>
      <c r="B105" s="31"/>
      <c r="C105" s="19"/>
      <c r="D105" s="19"/>
      <c r="E105" s="19"/>
      <c r="F105" s="20"/>
      <c r="G105" s="19"/>
      <c r="H105" s="19"/>
      <c r="I105" s="20"/>
      <c r="J105" s="19"/>
      <c r="K105" s="19"/>
    </row>
    <row r="106" spans="1:11" ht="14.25">
      <c r="A106" s="19"/>
      <c r="B106" s="31"/>
      <c r="C106" s="19"/>
      <c r="D106" s="19"/>
      <c r="E106" s="19"/>
      <c r="F106" s="20"/>
      <c r="G106" s="19"/>
      <c r="H106" s="19"/>
      <c r="I106" s="20"/>
      <c r="J106" s="19"/>
      <c r="K106" s="19"/>
    </row>
    <row r="107" spans="1:11" ht="14.25">
      <c r="A107" s="19"/>
      <c r="B107" s="31"/>
      <c r="C107" s="19"/>
      <c r="D107" s="19"/>
      <c r="E107" s="19"/>
      <c r="F107" s="20"/>
      <c r="G107" s="19"/>
      <c r="H107" s="19"/>
      <c r="I107" s="20"/>
      <c r="J107" s="19"/>
      <c r="K107" s="19"/>
    </row>
    <row r="108" spans="1:11" ht="14.25">
      <c r="A108" s="19"/>
      <c r="B108" s="31"/>
      <c r="C108" s="19"/>
      <c r="D108" s="19"/>
      <c r="E108" s="19"/>
      <c r="F108" s="20"/>
      <c r="G108" s="19"/>
      <c r="H108" s="19"/>
      <c r="I108" s="20"/>
      <c r="J108" s="19"/>
      <c r="K108" s="19"/>
    </row>
    <row r="109" spans="1:11" ht="14.25">
      <c r="A109" s="19"/>
      <c r="B109" s="31"/>
      <c r="C109" s="19"/>
      <c r="D109" s="19"/>
      <c r="E109" s="19"/>
      <c r="F109" s="20"/>
      <c r="G109" s="19"/>
      <c r="H109" s="19"/>
      <c r="I109" s="20"/>
      <c r="J109" s="19"/>
      <c r="K109" s="19"/>
    </row>
    <row r="110" spans="1:11" ht="14.25">
      <c r="A110" s="19"/>
      <c r="B110" s="31"/>
      <c r="C110" s="19"/>
      <c r="D110" s="19"/>
      <c r="E110" s="19"/>
      <c r="F110" s="20"/>
      <c r="G110" s="19"/>
      <c r="H110" s="19"/>
      <c r="I110" s="20"/>
      <c r="J110" s="19"/>
      <c r="K110" s="19"/>
    </row>
    <row r="111" spans="1:11" ht="14.25">
      <c r="A111" s="19"/>
      <c r="B111" s="31"/>
      <c r="C111" s="19"/>
      <c r="D111" s="19"/>
      <c r="E111" s="19"/>
      <c r="F111" s="20"/>
      <c r="G111" s="19"/>
      <c r="H111" s="19"/>
      <c r="I111" s="20"/>
      <c r="J111" s="19"/>
      <c r="K111" s="19"/>
    </row>
    <row r="112" spans="1:11" ht="14.25">
      <c r="A112" s="19"/>
      <c r="B112" s="31"/>
      <c r="C112" s="19"/>
      <c r="D112" s="19"/>
      <c r="E112" s="19"/>
      <c r="F112" s="20"/>
      <c r="G112" s="19"/>
      <c r="H112" s="19"/>
      <c r="I112" s="20"/>
      <c r="J112" s="19"/>
      <c r="K112" s="19"/>
    </row>
    <row r="113" spans="1:11" ht="14.25">
      <c r="A113" s="19"/>
      <c r="B113" s="31"/>
      <c r="C113" s="19"/>
      <c r="D113" s="19"/>
      <c r="E113" s="19"/>
      <c r="F113" s="20"/>
      <c r="G113" s="19"/>
      <c r="H113" s="19"/>
      <c r="I113" s="20"/>
      <c r="J113" s="19"/>
      <c r="K113" s="19"/>
    </row>
    <row r="114" spans="1:11" ht="14.25">
      <c r="A114" s="19"/>
      <c r="B114" s="31"/>
      <c r="C114" s="19"/>
      <c r="D114" s="19"/>
      <c r="E114" s="19"/>
      <c r="F114" s="20"/>
      <c r="G114" s="19"/>
      <c r="H114" s="19"/>
      <c r="I114" s="20"/>
      <c r="J114" s="19"/>
      <c r="K114" s="19"/>
    </row>
    <row r="115" spans="1:11" ht="14.25">
      <c r="A115" s="19"/>
      <c r="B115" s="31"/>
      <c r="C115" s="19"/>
      <c r="D115" s="19"/>
      <c r="E115" s="19"/>
      <c r="F115" s="20"/>
      <c r="G115" s="19"/>
      <c r="H115" s="19"/>
      <c r="I115" s="20"/>
      <c r="J115" s="19"/>
      <c r="K115" s="19"/>
    </row>
    <row r="116" spans="1:11" ht="14.25">
      <c r="A116" s="19"/>
      <c r="B116" s="31"/>
      <c r="C116" s="19"/>
      <c r="D116" s="19"/>
      <c r="E116" s="19"/>
      <c r="F116" s="20"/>
      <c r="G116" s="19"/>
      <c r="H116" s="19"/>
      <c r="I116" s="20"/>
      <c r="J116" s="19"/>
      <c r="K116" s="19"/>
    </row>
    <row r="117" spans="1:11" ht="14.25">
      <c r="A117" s="19"/>
      <c r="B117" s="31"/>
      <c r="C117" s="19"/>
      <c r="D117" s="19"/>
      <c r="E117" s="19"/>
      <c r="F117" s="20"/>
      <c r="G117" s="19"/>
      <c r="H117" s="19"/>
      <c r="I117" s="20"/>
      <c r="J117" s="19"/>
      <c r="K117" s="19"/>
    </row>
    <row r="118" spans="1:11" ht="14.25">
      <c r="A118" s="19"/>
      <c r="B118" s="31"/>
      <c r="C118" s="19"/>
      <c r="D118" s="19"/>
      <c r="E118" s="19"/>
      <c r="F118" s="20"/>
      <c r="G118" s="19"/>
      <c r="H118" s="19"/>
      <c r="I118" s="20"/>
      <c r="J118" s="19"/>
      <c r="K118" s="19"/>
    </row>
    <row r="119" spans="1:11" ht="14.25">
      <c r="A119" s="19"/>
      <c r="B119" s="31"/>
      <c r="C119" s="19"/>
      <c r="D119" s="19"/>
      <c r="E119" s="19"/>
      <c r="F119" s="20"/>
      <c r="G119" s="19"/>
      <c r="H119" s="19"/>
      <c r="I119" s="20"/>
      <c r="J119" s="19"/>
      <c r="K119" s="19"/>
    </row>
    <row r="120" spans="1:11" ht="14.25">
      <c r="A120" s="19"/>
      <c r="B120" s="31"/>
      <c r="C120" s="19"/>
      <c r="D120" s="19"/>
      <c r="E120" s="19"/>
      <c r="F120" s="20"/>
      <c r="G120" s="19"/>
      <c r="H120" s="19"/>
      <c r="I120" s="20"/>
      <c r="J120" s="19"/>
      <c r="K120" s="19"/>
    </row>
    <row r="121" spans="1:11" ht="14.25">
      <c r="A121" s="19"/>
      <c r="B121" s="31"/>
      <c r="C121" s="19"/>
      <c r="D121" s="19"/>
      <c r="E121" s="19"/>
      <c r="F121" s="20"/>
      <c r="G121" s="19"/>
      <c r="H121" s="19"/>
      <c r="I121" s="20"/>
      <c r="J121" s="19"/>
      <c r="K121" s="19"/>
    </row>
    <row r="122" spans="1:11" ht="14.25">
      <c r="A122" s="19"/>
      <c r="B122" s="31"/>
      <c r="C122" s="19"/>
      <c r="D122" s="19"/>
      <c r="E122" s="19"/>
      <c r="F122" s="20"/>
      <c r="G122" s="19"/>
      <c r="H122" s="19"/>
      <c r="I122" s="20"/>
      <c r="J122" s="19"/>
      <c r="K122" s="19"/>
    </row>
    <row r="123" spans="1:11" ht="14.25">
      <c r="A123" s="19"/>
      <c r="B123" s="31"/>
      <c r="C123" s="19"/>
      <c r="D123" s="19"/>
      <c r="E123" s="19"/>
      <c r="F123" s="20"/>
      <c r="G123" s="19"/>
      <c r="H123" s="19"/>
      <c r="I123" s="20"/>
      <c r="J123" s="19"/>
      <c r="K123" s="19"/>
    </row>
    <row r="124" spans="1:11" ht="14.25">
      <c r="A124" s="19"/>
      <c r="B124" s="31"/>
      <c r="C124" s="19"/>
      <c r="D124" s="19"/>
      <c r="E124" s="19"/>
      <c r="F124" s="20"/>
      <c r="G124" s="19"/>
      <c r="H124" s="19"/>
      <c r="I124" s="20"/>
      <c r="J124" s="19"/>
      <c r="K124" s="19"/>
    </row>
    <row r="125" spans="1:11" ht="14.25">
      <c r="A125" s="19"/>
      <c r="B125" s="31"/>
      <c r="C125" s="19"/>
      <c r="D125" s="19"/>
      <c r="E125" s="19"/>
      <c r="F125" s="20"/>
      <c r="G125" s="19"/>
      <c r="H125" s="19"/>
      <c r="I125" s="20"/>
      <c r="J125" s="19"/>
      <c r="K125" s="19"/>
    </row>
    <row r="126" spans="1:11" ht="14.25">
      <c r="A126" s="19"/>
      <c r="B126" s="31"/>
      <c r="C126" s="19"/>
      <c r="D126" s="19"/>
      <c r="E126" s="19"/>
      <c r="F126" s="20"/>
      <c r="G126" s="19"/>
      <c r="H126" s="19"/>
      <c r="I126" s="20"/>
      <c r="J126" s="19"/>
      <c r="K126" s="19"/>
    </row>
    <row r="127" spans="1:11" ht="14.25">
      <c r="A127" s="19"/>
      <c r="B127" s="31"/>
      <c r="C127" s="19"/>
      <c r="D127" s="19"/>
      <c r="E127" s="19"/>
      <c r="F127" s="20"/>
      <c r="G127" s="19"/>
      <c r="H127" s="19"/>
      <c r="I127" s="20"/>
      <c r="J127" s="19"/>
      <c r="K127" s="19"/>
    </row>
    <row r="128" spans="1:11" ht="14.25">
      <c r="A128" s="19"/>
      <c r="B128" s="31"/>
      <c r="C128" s="19"/>
      <c r="D128" s="19"/>
      <c r="E128" s="19"/>
      <c r="F128" s="20"/>
      <c r="G128" s="19"/>
      <c r="H128" s="19"/>
      <c r="I128" s="20"/>
      <c r="J128" s="19"/>
      <c r="K128" s="19"/>
    </row>
    <row r="129" spans="1:11" ht="14.25">
      <c r="A129" s="19"/>
      <c r="B129" s="31"/>
      <c r="C129" s="19"/>
      <c r="D129" s="19"/>
      <c r="E129" s="19"/>
      <c r="F129" s="20"/>
      <c r="G129" s="19"/>
      <c r="H129" s="19"/>
      <c r="I129" s="20"/>
      <c r="J129" s="19"/>
      <c r="K129" s="19"/>
    </row>
    <row r="130" spans="1:11" ht="14.25">
      <c r="A130" s="19"/>
      <c r="B130" s="31"/>
      <c r="C130" s="19"/>
      <c r="D130" s="19"/>
      <c r="E130" s="19"/>
      <c r="F130" s="20"/>
      <c r="G130" s="19"/>
      <c r="H130" s="19"/>
      <c r="I130" s="20"/>
      <c r="J130" s="19"/>
      <c r="K130" s="19"/>
    </row>
    <row r="131" spans="1:11" ht="14.25">
      <c r="A131" s="19"/>
      <c r="B131" s="31"/>
      <c r="C131" s="19"/>
      <c r="D131" s="19"/>
      <c r="E131" s="19"/>
      <c r="F131" s="20"/>
      <c r="G131" s="19"/>
      <c r="H131" s="19"/>
      <c r="I131" s="20"/>
      <c r="J131" s="19"/>
      <c r="K131" s="19"/>
    </row>
    <row r="132" spans="1:11" ht="14.25">
      <c r="A132" s="19"/>
      <c r="B132" s="31"/>
      <c r="C132" s="19"/>
      <c r="D132" s="19"/>
      <c r="E132" s="19"/>
      <c r="F132" s="20"/>
      <c r="G132" s="19"/>
      <c r="H132" s="19"/>
      <c r="I132" s="20"/>
      <c r="J132" s="19"/>
      <c r="K132" s="19"/>
    </row>
    <row r="133" spans="1:11" ht="14.25">
      <c r="A133" s="19"/>
      <c r="B133" s="31"/>
      <c r="C133" s="19"/>
      <c r="D133" s="19"/>
      <c r="E133" s="19"/>
      <c r="F133" s="20"/>
      <c r="G133" s="19"/>
      <c r="H133" s="19"/>
      <c r="I133" s="20"/>
      <c r="J133" s="19"/>
      <c r="K133" s="19"/>
    </row>
    <row r="134" spans="1:11" ht="14.25">
      <c r="A134" s="19"/>
      <c r="B134" s="31"/>
      <c r="C134" s="19"/>
      <c r="D134" s="19"/>
      <c r="E134" s="19"/>
      <c r="F134" s="20"/>
      <c r="G134" s="19"/>
      <c r="H134" s="19"/>
      <c r="I134" s="20"/>
      <c r="J134" s="19"/>
      <c r="K134" s="19"/>
    </row>
    <row r="135" spans="1:11" ht="14.25">
      <c r="A135" s="19"/>
      <c r="B135" s="31"/>
      <c r="C135" s="19"/>
      <c r="D135" s="19"/>
      <c r="E135" s="19"/>
      <c r="F135" s="20"/>
      <c r="G135" s="19"/>
      <c r="H135" s="19"/>
      <c r="I135" s="20"/>
      <c r="J135" s="19"/>
      <c r="K135" s="19"/>
    </row>
    <row r="136" spans="1:11" ht="14.25">
      <c r="A136" s="19"/>
      <c r="B136" s="31"/>
      <c r="C136" s="19"/>
      <c r="D136" s="19"/>
      <c r="E136" s="19"/>
      <c r="F136" s="20"/>
      <c r="G136" s="19"/>
      <c r="H136" s="19"/>
      <c r="I136" s="20"/>
      <c r="J136" s="19"/>
      <c r="K136" s="19"/>
    </row>
    <row r="137" spans="1:11" ht="14.25">
      <c r="A137" s="19"/>
      <c r="B137" s="31"/>
      <c r="C137" s="19"/>
      <c r="D137" s="19"/>
      <c r="E137" s="19"/>
      <c r="F137" s="20"/>
      <c r="G137" s="19"/>
      <c r="H137" s="19"/>
      <c r="I137" s="20"/>
      <c r="J137" s="19"/>
      <c r="K137" s="19"/>
    </row>
    <row r="138" spans="1:11" ht="14.25">
      <c r="A138" s="19"/>
      <c r="B138" s="31"/>
      <c r="C138" s="19"/>
      <c r="D138" s="19"/>
      <c r="E138" s="19"/>
      <c r="F138" s="20"/>
      <c r="G138" s="19"/>
      <c r="H138" s="19"/>
      <c r="I138" s="20"/>
      <c r="J138" s="19"/>
      <c r="K138" s="19"/>
    </row>
    <row r="139" spans="1:11" ht="14.25">
      <c r="A139" s="19"/>
      <c r="B139" s="31"/>
      <c r="C139" s="19"/>
      <c r="D139" s="19"/>
      <c r="E139" s="19"/>
      <c r="F139" s="20"/>
      <c r="G139" s="19"/>
      <c r="H139" s="19"/>
      <c r="I139" s="20"/>
      <c r="J139" s="19"/>
      <c r="K139" s="19"/>
    </row>
    <row r="140" spans="1:11" ht="14.25">
      <c r="A140" s="19"/>
      <c r="B140" s="31"/>
      <c r="C140" s="19"/>
      <c r="D140" s="19"/>
      <c r="E140" s="19"/>
      <c r="F140" s="20"/>
      <c r="G140" s="19"/>
      <c r="H140" s="19"/>
      <c r="I140" s="20"/>
      <c r="J140" s="19"/>
      <c r="K140" s="19"/>
    </row>
    <row r="141" spans="1:11" ht="14.25">
      <c r="A141" s="19"/>
      <c r="B141" s="31"/>
      <c r="C141" s="19"/>
      <c r="D141" s="19"/>
      <c r="E141" s="19"/>
      <c r="F141" s="20"/>
      <c r="G141" s="19"/>
      <c r="H141" s="19"/>
      <c r="I141" s="20"/>
      <c r="J141" s="19"/>
      <c r="K141" s="19"/>
    </row>
    <row r="142" spans="1:11" ht="14.25">
      <c r="A142" s="19"/>
      <c r="B142" s="31"/>
      <c r="C142" s="19"/>
      <c r="D142" s="19"/>
      <c r="E142" s="19"/>
      <c r="F142" s="20"/>
      <c r="G142" s="19"/>
      <c r="H142" s="19"/>
      <c r="I142" s="20"/>
      <c r="J142" s="19"/>
      <c r="K142" s="19"/>
    </row>
    <row r="143" spans="1:11" ht="14.25">
      <c r="A143" s="19"/>
      <c r="B143" s="31"/>
      <c r="C143" s="19"/>
      <c r="D143" s="19"/>
      <c r="E143" s="19"/>
      <c r="F143" s="20"/>
      <c r="G143" s="19"/>
      <c r="H143" s="19"/>
      <c r="I143" s="20"/>
      <c r="J143" s="19"/>
      <c r="K143" s="19"/>
    </row>
    <row r="144" spans="1:11" ht="14.25">
      <c r="A144" s="19"/>
      <c r="B144" s="31"/>
      <c r="C144" s="19"/>
      <c r="D144" s="19"/>
      <c r="E144" s="19"/>
      <c r="F144" s="20"/>
      <c r="G144" s="19"/>
      <c r="H144" s="19"/>
      <c r="I144" s="20"/>
      <c r="J144" s="19"/>
      <c r="K144" s="19"/>
    </row>
    <row r="145" spans="1:11" ht="14.25">
      <c r="A145" s="19"/>
      <c r="B145" s="31"/>
      <c r="C145" s="19"/>
      <c r="D145" s="19"/>
      <c r="E145" s="19"/>
      <c r="F145" s="20"/>
      <c r="G145" s="19"/>
      <c r="H145" s="19"/>
      <c r="I145" s="20"/>
      <c r="J145" s="19"/>
      <c r="K145" s="19"/>
    </row>
    <row r="146" spans="1:11" ht="14.25">
      <c r="A146" s="19"/>
      <c r="B146" s="31"/>
      <c r="C146" s="19"/>
      <c r="D146" s="19"/>
      <c r="E146" s="19"/>
      <c r="F146" s="20"/>
      <c r="G146" s="19"/>
      <c r="H146" s="19"/>
      <c r="I146" s="20"/>
      <c r="J146" s="19"/>
      <c r="K146" s="19"/>
    </row>
    <row r="147" spans="1:11" ht="14.25">
      <c r="A147" s="19"/>
      <c r="B147" s="31"/>
      <c r="C147" s="19"/>
      <c r="D147" s="19"/>
      <c r="E147" s="19"/>
      <c r="F147" s="20"/>
      <c r="G147" s="19"/>
      <c r="H147" s="19"/>
      <c r="I147" s="20"/>
      <c r="J147" s="19"/>
      <c r="K147" s="19"/>
    </row>
    <row r="148" spans="1:11" ht="14.25">
      <c r="A148" s="19"/>
      <c r="B148" s="31"/>
      <c r="C148" s="19"/>
      <c r="D148" s="19"/>
      <c r="E148" s="19"/>
      <c r="F148" s="20"/>
      <c r="G148" s="19"/>
      <c r="H148" s="19"/>
      <c r="I148" s="20"/>
      <c r="J148" s="19"/>
      <c r="K148" s="19"/>
    </row>
    <row r="149" spans="1:11" ht="14.25">
      <c r="A149" s="19"/>
      <c r="B149" s="31"/>
      <c r="C149" s="19"/>
      <c r="D149" s="19"/>
      <c r="E149" s="19"/>
      <c r="F149" s="20"/>
      <c r="G149" s="19"/>
      <c r="H149" s="19"/>
      <c r="I149" s="20"/>
      <c r="J149" s="19"/>
      <c r="K149" s="19"/>
    </row>
    <row r="150" spans="1:11" ht="14.25">
      <c r="A150" s="19"/>
      <c r="B150" s="31"/>
      <c r="C150" s="19"/>
      <c r="D150" s="19"/>
      <c r="E150" s="19"/>
      <c r="F150" s="20"/>
      <c r="G150" s="19"/>
      <c r="H150" s="19"/>
      <c r="I150" s="20"/>
      <c r="J150" s="19"/>
      <c r="K150" s="19"/>
    </row>
    <row r="151" spans="1:11" ht="14.25">
      <c r="A151" s="19"/>
      <c r="B151" s="31"/>
      <c r="C151" s="19"/>
      <c r="D151" s="19"/>
      <c r="E151" s="19"/>
      <c r="F151" s="20"/>
      <c r="G151" s="19"/>
      <c r="H151" s="19"/>
      <c r="I151" s="20"/>
      <c r="J151" s="19"/>
      <c r="K151" s="19"/>
    </row>
    <row r="152" spans="1:11" ht="14.25">
      <c r="A152" s="19"/>
      <c r="B152" s="31"/>
      <c r="C152" s="19"/>
      <c r="D152" s="19"/>
      <c r="E152" s="19"/>
      <c r="F152" s="20"/>
      <c r="G152" s="19"/>
      <c r="H152" s="19"/>
      <c r="I152" s="20"/>
      <c r="J152" s="19"/>
      <c r="K152" s="19"/>
    </row>
    <row r="153" spans="1:11" ht="14.25">
      <c r="A153" s="19"/>
      <c r="B153" s="31"/>
      <c r="C153" s="19"/>
      <c r="D153" s="19"/>
      <c r="E153" s="19"/>
      <c r="F153" s="20"/>
      <c r="G153" s="19"/>
      <c r="H153" s="19"/>
      <c r="I153" s="20"/>
      <c r="J153" s="19"/>
      <c r="K153" s="19"/>
    </row>
    <row r="154" spans="1:11" ht="14.25">
      <c r="A154" s="19"/>
      <c r="B154" s="31"/>
      <c r="C154" s="19"/>
      <c r="D154" s="19"/>
      <c r="E154" s="19"/>
      <c r="F154" s="20"/>
      <c r="G154" s="19"/>
      <c r="H154" s="19"/>
      <c r="I154" s="20"/>
      <c r="J154" s="19"/>
      <c r="K154" s="19"/>
    </row>
    <row r="155" spans="1:11" ht="14.25">
      <c r="A155" s="19"/>
      <c r="B155" s="31"/>
      <c r="C155" s="19"/>
      <c r="D155" s="19"/>
      <c r="E155" s="19"/>
      <c r="F155" s="20"/>
      <c r="G155" s="19"/>
      <c r="H155" s="19"/>
      <c r="I155" s="20"/>
      <c r="J155" s="19"/>
      <c r="K155" s="19"/>
    </row>
    <row r="156" spans="1:11" ht="14.25">
      <c r="A156" s="19"/>
      <c r="B156" s="31"/>
      <c r="C156" s="19"/>
      <c r="D156" s="19"/>
      <c r="E156" s="19"/>
      <c r="F156" s="20"/>
      <c r="G156" s="19"/>
      <c r="H156" s="19"/>
      <c r="I156" s="20"/>
      <c r="J156" s="19"/>
      <c r="K156" s="19"/>
    </row>
    <row r="157" spans="1:11" ht="14.25">
      <c r="A157" s="19"/>
      <c r="B157" s="31"/>
      <c r="C157" s="19"/>
      <c r="D157" s="19"/>
      <c r="E157" s="19"/>
      <c r="F157" s="20"/>
      <c r="G157" s="19"/>
      <c r="H157" s="19"/>
      <c r="I157" s="20"/>
      <c r="J157" s="19"/>
      <c r="K157" s="19"/>
    </row>
    <row r="158" spans="1:11" ht="14.25">
      <c r="A158" s="19"/>
      <c r="B158" s="31"/>
      <c r="C158" s="19"/>
      <c r="D158" s="19"/>
      <c r="E158" s="19"/>
      <c r="F158" s="20"/>
      <c r="G158" s="19"/>
      <c r="H158" s="19"/>
      <c r="I158" s="20"/>
      <c r="J158" s="19"/>
      <c r="K158" s="19"/>
    </row>
    <row r="159" spans="1:11" ht="14.25">
      <c r="A159" s="19"/>
      <c r="B159" s="31"/>
      <c r="C159" s="19"/>
      <c r="D159" s="19"/>
      <c r="E159" s="19"/>
      <c r="F159" s="20"/>
      <c r="G159" s="19"/>
      <c r="H159" s="19"/>
      <c r="I159" s="20"/>
      <c r="J159" s="19"/>
      <c r="K159" s="19"/>
    </row>
    <row r="160" spans="1:11" ht="14.25">
      <c r="A160" s="19"/>
      <c r="B160" s="31"/>
      <c r="C160" s="19"/>
      <c r="D160" s="19"/>
      <c r="E160" s="19"/>
      <c r="F160" s="20"/>
      <c r="G160" s="19"/>
      <c r="H160" s="19"/>
      <c r="I160" s="20"/>
      <c r="J160" s="19"/>
      <c r="K160" s="19"/>
    </row>
    <row r="161" spans="1:11" ht="14.25">
      <c r="A161" s="19"/>
      <c r="B161" s="31"/>
      <c r="C161" s="19"/>
      <c r="D161" s="19"/>
      <c r="E161" s="19"/>
      <c r="F161" s="20"/>
      <c r="G161" s="19"/>
      <c r="H161" s="19"/>
      <c r="I161" s="20"/>
      <c r="J161" s="19"/>
      <c r="K161" s="19"/>
    </row>
    <row r="162" spans="1:11" ht="14.25">
      <c r="A162" s="19"/>
      <c r="B162" s="31"/>
      <c r="C162" s="19"/>
      <c r="D162" s="19"/>
      <c r="E162" s="19"/>
      <c r="F162" s="20"/>
      <c r="G162" s="19"/>
      <c r="H162" s="19"/>
      <c r="I162" s="20"/>
      <c r="J162" s="19"/>
      <c r="K162" s="19"/>
    </row>
    <row r="163" spans="1:11" ht="14.25">
      <c r="A163" s="19"/>
      <c r="B163" s="31"/>
      <c r="C163" s="19"/>
      <c r="D163" s="19"/>
      <c r="E163" s="19"/>
      <c r="F163" s="20"/>
      <c r="G163" s="19"/>
      <c r="H163" s="19"/>
      <c r="I163" s="20"/>
      <c r="J163" s="19"/>
      <c r="K163" s="19"/>
    </row>
    <row r="164" spans="1:11" ht="14.25">
      <c r="A164" s="19"/>
      <c r="B164" s="31"/>
      <c r="C164" s="19"/>
      <c r="D164" s="19"/>
      <c r="E164" s="19"/>
      <c r="F164" s="20"/>
      <c r="G164" s="19"/>
      <c r="H164" s="19"/>
      <c r="I164" s="20"/>
      <c r="J164" s="19"/>
      <c r="K164" s="19"/>
    </row>
    <row r="165" spans="1:11" ht="14.25">
      <c r="A165" s="19"/>
      <c r="B165" s="31"/>
      <c r="C165" s="19"/>
      <c r="D165" s="19"/>
      <c r="E165" s="19"/>
      <c r="F165" s="20"/>
      <c r="G165" s="19"/>
      <c r="H165" s="19"/>
      <c r="I165" s="20"/>
      <c r="J165" s="19"/>
      <c r="K165" s="19"/>
    </row>
    <row r="166" spans="1:11" ht="14.25">
      <c r="A166" s="19"/>
      <c r="B166" s="31"/>
      <c r="C166" s="19"/>
      <c r="D166" s="19"/>
      <c r="E166" s="19"/>
      <c r="F166" s="20"/>
      <c r="G166" s="19"/>
      <c r="H166" s="19"/>
      <c r="I166" s="20"/>
      <c r="J166" s="19"/>
      <c r="K166" s="19"/>
    </row>
    <row r="167" spans="1:11" ht="14.25">
      <c r="A167" s="19"/>
      <c r="B167" s="31"/>
      <c r="C167" s="19"/>
      <c r="D167" s="19"/>
      <c r="E167" s="19"/>
      <c r="F167" s="20"/>
      <c r="G167" s="19"/>
      <c r="H167" s="19"/>
      <c r="I167" s="20"/>
      <c r="J167" s="19"/>
      <c r="K167" s="19"/>
    </row>
    <row r="168" spans="1:11" ht="14.25">
      <c r="A168" s="19"/>
      <c r="B168" s="31"/>
      <c r="C168" s="19"/>
      <c r="D168" s="19"/>
      <c r="E168" s="19"/>
      <c r="F168" s="20"/>
      <c r="G168" s="19"/>
      <c r="H168" s="19"/>
      <c r="I168" s="20"/>
      <c r="J168" s="19"/>
      <c r="K168" s="19"/>
    </row>
    <row r="169" spans="1:11" ht="14.25">
      <c r="A169" s="19"/>
      <c r="B169" s="31"/>
      <c r="C169" s="19"/>
      <c r="D169" s="19"/>
      <c r="E169" s="19"/>
      <c r="F169" s="20"/>
      <c r="G169" s="19"/>
      <c r="H169" s="19"/>
      <c r="I169" s="20"/>
      <c r="J169" s="19"/>
      <c r="K169" s="19"/>
    </row>
    <row r="170" spans="1:11" ht="14.25">
      <c r="A170" s="19"/>
      <c r="B170" s="31"/>
      <c r="C170" s="19"/>
      <c r="D170" s="19"/>
      <c r="E170" s="19"/>
      <c r="F170" s="20"/>
      <c r="G170" s="19"/>
      <c r="H170" s="19"/>
      <c r="I170" s="20"/>
      <c r="J170" s="19"/>
      <c r="K170" s="19"/>
    </row>
    <row r="171" spans="1:11" ht="14.25">
      <c r="A171" s="19"/>
      <c r="B171" s="31"/>
      <c r="C171" s="19"/>
      <c r="D171" s="19"/>
      <c r="E171" s="19"/>
      <c r="F171" s="20"/>
      <c r="G171" s="19"/>
      <c r="H171" s="19"/>
      <c r="I171" s="20"/>
      <c r="J171" s="19"/>
      <c r="K171" s="19"/>
    </row>
    <row r="172" spans="1:11" ht="14.25">
      <c r="A172" s="19"/>
      <c r="B172" s="31"/>
      <c r="C172" s="19"/>
      <c r="D172" s="19"/>
      <c r="E172" s="19"/>
      <c r="F172" s="20"/>
      <c r="G172" s="19"/>
      <c r="H172" s="19"/>
      <c r="I172" s="20"/>
      <c r="J172" s="19"/>
      <c r="K172" s="19"/>
    </row>
    <row r="173" spans="1:11" ht="14.25">
      <c r="A173" s="19"/>
      <c r="B173" s="31"/>
      <c r="C173" s="19"/>
      <c r="D173" s="19"/>
      <c r="E173" s="19"/>
      <c r="F173" s="20"/>
      <c r="G173" s="19"/>
      <c r="H173" s="19"/>
      <c r="I173" s="20"/>
      <c r="J173" s="19"/>
      <c r="K173" s="19"/>
    </row>
    <row r="174" spans="1:11" ht="14.25">
      <c r="A174" s="19"/>
      <c r="B174" s="31"/>
      <c r="C174" s="19"/>
      <c r="D174" s="19"/>
      <c r="E174" s="19"/>
      <c r="F174" s="20"/>
      <c r="G174" s="19"/>
      <c r="H174" s="19"/>
      <c r="I174" s="20"/>
      <c r="J174" s="19"/>
      <c r="K174" s="19"/>
    </row>
    <row r="175" spans="1:11" ht="14.25">
      <c r="A175" s="19"/>
      <c r="B175" s="31"/>
      <c r="C175" s="19"/>
      <c r="D175" s="19"/>
      <c r="E175" s="19"/>
      <c r="F175" s="20"/>
      <c r="G175" s="19"/>
      <c r="H175" s="19"/>
      <c r="I175" s="20"/>
      <c r="J175" s="19"/>
      <c r="K175" s="19"/>
    </row>
    <row r="176" spans="1:11" ht="14.25">
      <c r="A176" s="19"/>
      <c r="B176" s="31"/>
      <c r="C176" s="19"/>
      <c r="D176" s="19"/>
      <c r="E176" s="19"/>
      <c r="F176" s="20"/>
      <c r="G176" s="19"/>
      <c r="H176" s="19"/>
      <c r="I176" s="20"/>
      <c r="J176" s="19"/>
      <c r="K176" s="19"/>
    </row>
    <row r="177" spans="1:11" ht="14.25">
      <c r="A177" s="19"/>
      <c r="B177" s="31"/>
      <c r="C177" s="19"/>
      <c r="D177" s="19"/>
      <c r="E177" s="19"/>
      <c r="F177" s="20"/>
      <c r="G177" s="19"/>
      <c r="H177" s="19"/>
      <c r="I177" s="20"/>
      <c r="J177" s="19"/>
      <c r="K177" s="19"/>
    </row>
    <row r="178" spans="1:11" ht="14.25">
      <c r="A178" s="19"/>
      <c r="B178" s="31"/>
      <c r="C178" s="19"/>
      <c r="D178" s="19"/>
      <c r="E178" s="19"/>
      <c r="F178" s="20"/>
      <c r="G178" s="19"/>
      <c r="H178" s="19"/>
      <c r="I178" s="20"/>
      <c r="J178" s="19"/>
      <c r="K178" s="19"/>
    </row>
    <row r="179" spans="1:11" ht="14.25">
      <c r="A179" s="19"/>
      <c r="B179" s="31"/>
      <c r="C179" s="19"/>
      <c r="D179" s="19"/>
      <c r="E179" s="19"/>
      <c r="F179" s="20"/>
      <c r="G179" s="19"/>
      <c r="H179" s="19"/>
      <c r="I179" s="20"/>
      <c r="J179" s="19"/>
      <c r="K179" s="19"/>
    </row>
    <row r="180" spans="1:11" ht="14.25">
      <c r="A180" s="19"/>
      <c r="B180" s="31"/>
      <c r="C180" s="19"/>
      <c r="D180" s="19"/>
      <c r="E180" s="19"/>
      <c r="F180" s="20"/>
      <c r="G180" s="19"/>
      <c r="H180" s="19"/>
      <c r="I180" s="20"/>
      <c r="J180" s="19"/>
      <c r="K180" s="19"/>
    </row>
    <row r="181" spans="1:11" ht="14.25">
      <c r="A181" s="19"/>
      <c r="B181" s="31"/>
      <c r="C181" s="19"/>
      <c r="D181" s="19"/>
      <c r="E181" s="19"/>
      <c r="F181" s="20"/>
      <c r="G181" s="19"/>
      <c r="H181" s="19"/>
      <c r="I181" s="20"/>
      <c r="J181" s="19"/>
      <c r="K181" s="19"/>
    </row>
    <row r="182" spans="1:11" ht="14.25">
      <c r="A182" s="19"/>
      <c r="B182" s="31"/>
      <c r="C182" s="19"/>
      <c r="D182" s="19"/>
      <c r="E182" s="19"/>
      <c r="F182" s="20"/>
      <c r="G182" s="19"/>
      <c r="H182" s="19"/>
      <c r="I182" s="20"/>
      <c r="J182" s="19"/>
      <c r="K182" s="19"/>
    </row>
    <row r="183" spans="1:11" ht="14.25">
      <c r="A183" s="19"/>
      <c r="B183" s="31"/>
      <c r="C183" s="19"/>
      <c r="D183" s="19"/>
      <c r="E183" s="19"/>
      <c r="F183" s="20"/>
      <c r="G183" s="19"/>
      <c r="H183" s="19"/>
      <c r="I183" s="20"/>
      <c r="J183" s="19"/>
      <c r="K183" s="19"/>
    </row>
    <row r="184" spans="1:11" ht="14.25">
      <c r="A184" s="19"/>
      <c r="B184" s="31"/>
      <c r="C184" s="19"/>
      <c r="D184" s="19"/>
      <c r="E184" s="19"/>
      <c r="F184" s="20"/>
      <c r="G184" s="19"/>
      <c r="H184" s="19"/>
      <c r="I184" s="20"/>
      <c r="J184" s="19"/>
      <c r="K184" s="19"/>
    </row>
    <row r="185" spans="1:11" ht="14.25">
      <c r="A185" s="19"/>
      <c r="B185" s="31"/>
      <c r="C185" s="19"/>
      <c r="D185" s="19"/>
      <c r="E185" s="19"/>
      <c r="F185" s="20"/>
      <c r="G185" s="19"/>
      <c r="H185" s="19"/>
      <c r="I185" s="20"/>
      <c r="J185" s="19"/>
      <c r="K185" s="19"/>
    </row>
    <row r="186" spans="1:11" ht="14.25">
      <c r="A186" s="19"/>
      <c r="B186" s="31"/>
      <c r="C186" s="19"/>
      <c r="D186" s="19"/>
      <c r="E186" s="19"/>
      <c r="F186" s="20"/>
      <c r="G186" s="19"/>
      <c r="H186" s="19"/>
      <c r="I186" s="20"/>
      <c r="J186" s="19"/>
      <c r="K186" s="19"/>
    </row>
    <row r="187" spans="1:11" ht="14.25">
      <c r="A187" s="19"/>
      <c r="B187" s="31"/>
      <c r="C187" s="19"/>
      <c r="D187" s="19"/>
      <c r="E187" s="19"/>
      <c r="F187" s="20"/>
      <c r="G187" s="19"/>
      <c r="H187" s="19"/>
      <c r="I187" s="20"/>
      <c r="J187" s="19"/>
      <c r="K187" s="19"/>
    </row>
    <row r="188" spans="1:11" ht="14.25">
      <c r="A188" s="19"/>
      <c r="B188" s="31"/>
      <c r="C188" s="19"/>
      <c r="D188" s="19"/>
      <c r="E188" s="19"/>
      <c r="F188" s="20"/>
      <c r="G188" s="19"/>
      <c r="H188" s="19"/>
      <c r="I188" s="20"/>
      <c r="J188" s="19"/>
      <c r="K188" s="19"/>
    </row>
    <row r="189" spans="1:11" ht="14.25">
      <c r="A189" s="19"/>
      <c r="B189" s="31"/>
      <c r="C189" s="19"/>
      <c r="D189" s="19"/>
      <c r="E189" s="19"/>
      <c r="F189" s="20"/>
      <c r="G189" s="19"/>
      <c r="H189" s="19"/>
      <c r="I189" s="20"/>
      <c r="J189" s="19"/>
      <c r="K189" s="19"/>
    </row>
    <row r="190" spans="1:11" ht="14.25">
      <c r="A190" s="19"/>
      <c r="B190" s="31"/>
      <c r="C190" s="19"/>
      <c r="D190" s="19"/>
      <c r="E190" s="19"/>
      <c r="F190" s="20"/>
      <c r="G190" s="19"/>
      <c r="H190" s="19"/>
      <c r="I190" s="20"/>
      <c r="J190" s="19"/>
      <c r="K190" s="19"/>
    </row>
    <row r="191" spans="1:11" ht="14.25">
      <c r="A191" s="19"/>
      <c r="B191" s="31"/>
      <c r="C191" s="19"/>
      <c r="D191" s="19"/>
      <c r="E191" s="19"/>
      <c r="F191" s="20"/>
      <c r="G191" s="19"/>
      <c r="H191" s="19"/>
      <c r="I191" s="20"/>
      <c r="J191" s="19"/>
      <c r="K191" s="19"/>
    </row>
    <row r="192" spans="1:11" ht="14.25">
      <c r="A192" s="19"/>
      <c r="B192" s="31"/>
      <c r="C192" s="19"/>
      <c r="D192" s="19"/>
      <c r="E192" s="19"/>
      <c r="F192" s="20"/>
      <c r="G192" s="19"/>
      <c r="H192" s="19"/>
      <c r="I192" s="20"/>
      <c r="J192" s="19"/>
      <c r="K192" s="19"/>
    </row>
    <row r="193" spans="1:11" ht="14.25">
      <c r="A193" s="19"/>
      <c r="B193" s="31"/>
      <c r="C193" s="19"/>
      <c r="D193" s="19"/>
      <c r="E193" s="19"/>
      <c r="F193" s="20"/>
      <c r="G193" s="19"/>
      <c r="H193" s="19"/>
      <c r="I193" s="20"/>
      <c r="J193" s="19"/>
      <c r="K193" s="19"/>
    </row>
    <row r="194" spans="1:11" ht="14.25">
      <c r="A194" s="19"/>
      <c r="B194" s="31"/>
      <c r="C194" s="19"/>
      <c r="D194" s="19"/>
      <c r="E194" s="19"/>
      <c r="F194" s="20"/>
      <c r="G194" s="19"/>
      <c r="H194" s="19"/>
      <c r="I194" s="20"/>
      <c r="J194" s="19"/>
      <c r="K194" s="19"/>
    </row>
    <row r="195" spans="1:11" ht="14.25">
      <c r="A195" s="19"/>
      <c r="B195" s="31"/>
      <c r="C195" s="19"/>
      <c r="D195" s="19"/>
      <c r="E195" s="19"/>
      <c r="F195" s="20"/>
      <c r="G195" s="19"/>
      <c r="H195" s="19"/>
      <c r="I195" s="20"/>
      <c r="J195" s="19"/>
      <c r="K195" s="19"/>
    </row>
    <row r="196" spans="1:11" ht="14.25">
      <c r="A196" s="19"/>
      <c r="B196" s="31"/>
      <c r="C196" s="19"/>
      <c r="D196" s="19"/>
      <c r="E196" s="19"/>
      <c r="F196" s="20"/>
      <c r="G196" s="19"/>
      <c r="H196" s="19"/>
      <c r="I196" s="20"/>
      <c r="J196" s="19"/>
      <c r="K196" s="19"/>
    </row>
    <row r="197" spans="1:11" ht="14.25">
      <c r="A197" s="19"/>
      <c r="B197" s="31"/>
      <c r="C197" s="19"/>
      <c r="D197" s="19"/>
      <c r="E197" s="19"/>
      <c r="F197" s="20"/>
      <c r="G197" s="19"/>
      <c r="H197" s="19"/>
      <c r="I197" s="20"/>
      <c r="J197" s="19"/>
      <c r="K197" s="19"/>
    </row>
    <row r="198" spans="1:11" ht="14.25">
      <c r="A198" s="19"/>
      <c r="B198" s="31"/>
      <c r="C198" s="19"/>
      <c r="D198" s="19"/>
      <c r="E198" s="19"/>
      <c r="F198" s="20"/>
      <c r="G198" s="19"/>
      <c r="H198" s="19"/>
      <c r="I198" s="20"/>
      <c r="J198" s="19"/>
      <c r="K198" s="19"/>
    </row>
    <row r="199" spans="1:11" ht="14.25">
      <c r="A199" s="19"/>
      <c r="B199" s="31"/>
      <c r="C199" s="19"/>
      <c r="D199" s="19"/>
      <c r="E199" s="19"/>
      <c r="F199" s="20"/>
      <c r="G199" s="19"/>
      <c r="H199" s="19"/>
      <c r="I199" s="20"/>
      <c r="J199" s="19"/>
      <c r="K199" s="19"/>
    </row>
    <row r="200" spans="1:11" ht="14.25">
      <c r="A200" s="19"/>
      <c r="B200" s="31"/>
      <c r="C200" s="19"/>
      <c r="D200" s="19"/>
      <c r="E200" s="19"/>
      <c r="F200" s="20"/>
      <c r="G200" s="19"/>
      <c r="H200" s="19"/>
      <c r="I200" s="20"/>
      <c r="J200" s="19"/>
      <c r="K200" s="19"/>
    </row>
    <row r="201" spans="1:11" ht="14.25">
      <c r="A201" s="19"/>
      <c r="B201" s="31"/>
      <c r="C201" s="19"/>
      <c r="D201" s="19"/>
      <c r="E201" s="19"/>
      <c r="F201" s="20"/>
      <c r="G201" s="19"/>
      <c r="H201" s="19"/>
      <c r="I201" s="20"/>
      <c r="J201" s="19"/>
      <c r="K201" s="19"/>
    </row>
    <row r="202" spans="1:11" ht="14.25">
      <c r="A202" s="19"/>
      <c r="B202" s="31"/>
      <c r="C202" s="19"/>
      <c r="D202" s="19"/>
      <c r="E202" s="19"/>
      <c r="F202" s="20"/>
      <c r="G202" s="19"/>
      <c r="H202" s="19"/>
      <c r="I202" s="20"/>
      <c r="J202" s="19"/>
      <c r="K202" s="19"/>
    </row>
    <row r="203" spans="1:11" ht="14.25">
      <c r="A203" s="19"/>
      <c r="B203" s="31"/>
      <c r="C203" s="19"/>
      <c r="D203" s="19"/>
      <c r="E203" s="19"/>
      <c r="F203" s="20"/>
      <c r="G203" s="19"/>
      <c r="H203" s="19"/>
      <c r="I203" s="20"/>
      <c r="J203" s="19"/>
      <c r="K203" s="19"/>
    </row>
    <row r="204" spans="1:11" ht="14.25">
      <c r="A204" s="19"/>
      <c r="B204" s="31"/>
      <c r="C204" s="19"/>
      <c r="D204" s="19"/>
      <c r="E204" s="19"/>
      <c r="F204" s="20"/>
      <c r="G204" s="19"/>
      <c r="H204" s="19"/>
      <c r="I204" s="20"/>
      <c r="J204" s="19"/>
      <c r="K204" s="19"/>
    </row>
    <row r="205" spans="1:11" ht="14.25">
      <c r="A205" s="19"/>
      <c r="B205" s="31"/>
      <c r="C205" s="19"/>
      <c r="D205" s="19"/>
      <c r="E205" s="19"/>
      <c r="F205" s="20"/>
      <c r="G205" s="19"/>
      <c r="H205" s="19"/>
      <c r="I205" s="20"/>
      <c r="J205" s="19"/>
      <c r="K205" s="19"/>
    </row>
    <row r="206" spans="1:11" ht="14.25">
      <c r="A206" s="19"/>
      <c r="B206" s="31"/>
      <c r="C206" s="19"/>
      <c r="D206" s="19"/>
      <c r="E206" s="19"/>
      <c r="F206" s="20"/>
      <c r="G206" s="19"/>
      <c r="H206" s="19"/>
      <c r="I206" s="20"/>
      <c r="J206" s="19"/>
      <c r="K206" s="19"/>
    </row>
    <row r="207" spans="1:11" ht="14.25">
      <c r="A207" s="19"/>
      <c r="B207" s="31"/>
      <c r="C207" s="19"/>
      <c r="D207" s="19"/>
      <c r="E207" s="19"/>
      <c r="F207" s="20"/>
      <c r="G207" s="19"/>
      <c r="H207" s="19"/>
      <c r="I207" s="20"/>
      <c r="J207" s="19"/>
      <c r="K207" s="19"/>
    </row>
    <row r="208" spans="1:11" ht="14.25">
      <c r="A208" s="19"/>
      <c r="B208" s="31"/>
      <c r="C208" s="19"/>
      <c r="D208" s="19"/>
      <c r="E208" s="19"/>
      <c r="F208" s="20"/>
      <c r="G208" s="19"/>
      <c r="H208" s="19"/>
      <c r="I208" s="20"/>
      <c r="J208" s="19"/>
      <c r="K208" s="19"/>
    </row>
    <row r="209" spans="1:11" ht="14.25">
      <c r="A209" s="19"/>
      <c r="B209" s="31"/>
      <c r="C209" s="19"/>
      <c r="D209" s="19"/>
      <c r="E209" s="19"/>
      <c r="F209" s="20"/>
      <c r="G209" s="19"/>
      <c r="H209" s="19"/>
      <c r="I209" s="20"/>
      <c r="J209" s="19"/>
      <c r="K209" s="19"/>
    </row>
    <row r="210" spans="1:11" ht="14.25">
      <c r="A210" s="19"/>
      <c r="B210" s="31"/>
      <c r="C210" s="19"/>
      <c r="D210" s="19"/>
      <c r="E210" s="19"/>
      <c r="F210" s="20"/>
      <c r="G210" s="19"/>
      <c r="H210" s="19"/>
      <c r="I210" s="20"/>
      <c r="J210" s="19"/>
      <c r="K210" s="19"/>
    </row>
    <row r="211" spans="1:11" ht="14.25">
      <c r="A211" s="19"/>
      <c r="B211" s="31"/>
      <c r="C211" s="19"/>
      <c r="D211" s="19"/>
      <c r="E211" s="19"/>
      <c r="F211" s="20"/>
      <c r="G211" s="19"/>
      <c r="H211" s="19"/>
      <c r="I211" s="20"/>
      <c r="J211" s="19"/>
      <c r="K211" s="19"/>
    </row>
    <row r="212" spans="1:11" ht="14.25">
      <c r="A212" s="19"/>
      <c r="B212" s="31"/>
      <c r="C212" s="19"/>
      <c r="D212" s="19"/>
      <c r="E212" s="19"/>
      <c r="F212" s="20"/>
      <c r="G212" s="19"/>
      <c r="H212" s="19"/>
      <c r="I212" s="20"/>
      <c r="J212" s="19"/>
      <c r="K212" s="19"/>
    </row>
    <row r="213" spans="1:11" ht="14.25">
      <c r="A213" s="19"/>
      <c r="B213" s="31"/>
      <c r="C213" s="19"/>
      <c r="D213" s="19"/>
      <c r="E213" s="19"/>
      <c r="F213" s="20"/>
      <c r="G213" s="19"/>
      <c r="H213" s="19"/>
      <c r="I213" s="20"/>
      <c r="J213" s="19"/>
      <c r="K213" s="19"/>
    </row>
    <row r="214" spans="1:11" ht="14.25">
      <c r="A214" s="19"/>
      <c r="B214" s="31"/>
      <c r="C214" s="19"/>
      <c r="D214" s="19"/>
      <c r="E214" s="19"/>
      <c r="F214" s="20"/>
      <c r="G214" s="19"/>
      <c r="H214" s="19"/>
      <c r="I214" s="20"/>
      <c r="J214" s="19"/>
      <c r="K214" s="19"/>
    </row>
    <row r="215" spans="1:11" ht="14.25">
      <c r="A215" s="19"/>
      <c r="B215" s="31"/>
      <c r="C215" s="19"/>
      <c r="D215" s="19"/>
      <c r="E215" s="19"/>
      <c r="F215" s="20"/>
      <c r="G215" s="19"/>
      <c r="H215" s="19"/>
      <c r="I215" s="20"/>
      <c r="J215" s="19"/>
      <c r="K215" s="19"/>
    </row>
    <row r="216" spans="1:11" ht="14.25">
      <c r="A216" s="19"/>
      <c r="B216" s="31"/>
      <c r="C216" s="19"/>
      <c r="D216" s="19"/>
      <c r="E216" s="19"/>
      <c r="F216" s="20"/>
      <c r="G216" s="19"/>
      <c r="H216" s="19"/>
      <c r="I216" s="20"/>
      <c r="J216" s="19"/>
      <c r="K216" s="19"/>
    </row>
    <row r="217" spans="1:11" ht="14.25">
      <c r="A217" s="19"/>
      <c r="B217" s="31"/>
      <c r="C217" s="19"/>
      <c r="D217" s="19"/>
      <c r="E217" s="19"/>
      <c r="F217" s="20"/>
      <c r="G217" s="19"/>
      <c r="H217" s="19"/>
      <c r="I217" s="20"/>
      <c r="J217" s="19"/>
      <c r="K217" s="19"/>
    </row>
    <row r="218" spans="1:11" ht="14.25">
      <c r="A218" s="19"/>
      <c r="B218" s="31"/>
      <c r="C218" s="19"/>
      <c r="D218" s="19"/>
      <c r="E218" s="19"/>
      <c r="F218" s="20"/>
      <c r="G218" s="19"/>
      <c r="H218" s="19"/>
      <c r="I218" s="20"/>
      <c r="J218" s="19"/>
      <c r="K218" s="19"/>
    </row>
    <row r="219" spans="1:11" ht="14.25">
      <c r="A219" s="19"/>
      <c r="B219" s="31"/>
      <c r="C219" s="19"/>
      <c r="D219" s="19"/>
      <c r="E219" s="19"/>
      <c r="F219" s="20"/>
      <c r="G219" s="19"/>
      <c r="H219" s="19"/>
      <c r="I219" s="20"/>
      <c r="J219" s="19"/>
      <c r="K219" s="19"/>
    </row>
    <row r="220" spans="1:11" ht="14.25">
      <c r="A220" s="19"/>
      <c r="B220" s="31"/>
      <c r="C220" s="19"/>
      <c r="D220" s="19"/>
      <c r="E220" s="19"/>
      <c r="F220" s="20"/>
      <c r="G220" s="19"/>
      <c r="H220" s="19"/>
      <c r="I220" s="20"/>
      <c r="J220" s="19"/>
      <c r="K220" s="19"/>
    </row>
    <row r="221" spans="1:11" ht="14.25">
      <c r="A221" s="19"/>
      <c r="B221" s="31"/>
      <c r="C221" s="19"/>
      <c r="D221" s="19"/>
      <c r="E221" s="19"/>
      <c r="F221" s="20"/>
      <c r="G221" s="19"/>
      <c r="H221" s="19"/>
      <c r="I221" s="20"/>
      <c r="J221" s="19"/>
      <c r="K221" s="19"/>
    </row>
    <row r="222" spans="1:11" ht="14.25">
      <c r="A222" s="19"/>
      <c r="B222" s="31"/>
      <c r="C222" s="19"/>
      <c r="D222" s="19"/>
      <c r="E222" s="19"/>
      <c r="F222" s="20"/>
      <c r="G222" s="19"/>
      <c r="H222" s="19"/>
      <c r="I222" s="20"/>
      <c r="J222" s="19"/>
      <c r="K222" s="19"/>
    </row>
    <row r="223" spans="1:11" ht="14.25">
      <c r="A223" s="19"/>
      <c r="B223" s="31"/>
      <c r="C223" s="19"/>
      <c r="D223" s="19"/>
      <c r="E223" s="19"/>
      <c r="F223" s="20"/>
      <c r="G223" s="19"/>
      <c r="H223" s="19"/>
      <c r="I223" s="20"/>
      <c r="J223" s="19"/>
      <c r="K223" s="19"/>
    </row>
    <row r="224" spans="1:11" ht="14.25">
      <c r="A224" s="19"/>
      <c r="B224" s="31"/>
      <c r="C224" s="19"/>
      <c r="D224" s="19"/>
      <c r="E224" s="19"/>
      <c r="F224" s="20"/>
      <c r="G224" s="19"/>
      <c r="H224" s="19"/>
      <c r="I224" s="20"/>
      <c r="J224" s="19"/>
      <c r="K224" s="19"/>
    </row>
    <row r="225" spans="1:11" ht="14.25">
      <c r="A225" s="19"/>
      <c r="B225" s="31"/>
      <c r="C225" s="19"/>
      <c r="D225" s="19"/>
      <c r="E225" s="19"/>
      <c r="F225" s="20"/>
      <c r="G225" s="19"/>
      <c r="H225" s="19"/>
      <c r="I225" s="20"/>
      <c r="J225" s="19"/>
      <c r="K225" s="19"/>
    </row>
    <row r="226" spans="1:11" ht="14.25">
      <c r="A226" s="19"/>
      <c r="B226" s="31"/>
      <c r="C226" s="19"/>
      <c r="D226" s="19"/>
      <c r="E226" s="19"/>
      <c r="F226" s="20"/>
      <c r="G226" s="19"/>
      <c r="H226" s="19"/>
      <c r="I226" s="20"/>
      <c r="J226" s="19"/>
      <c r="K226" s="19"/>
    </row>
    <row r="227" spans="1:11" ht="14.25">
      <c r="A227" s="19"/>
      <c r="B227" s="31"/>
      <c r="C227" s="19"/>
      <c r="D227" s="19"/>
      <c r="E227" s="19"/>
      <c r="F227" s="20"/>
      <c r="G227" s="19"/>
      <c r="H227" s="19"/>
      <c r="I227" s="20"/>
      <c r="J227" s="19"/>
      <c r="K227" s="19"/>
    </row>
    <row r="228" spans="1:11" ht="14.25">
      <c r="A228" s="19"/>
      <c r="B228" s="31"/>
      <c r="C228" s="19"/>
      <c r="D228" s="19"/>
      <c r="E228" s="19"/>
      <c r="F228" s="20"/>
      <c r="G228" s="19"/>
      <c r="H228" s="19"/>
      <c r="I228" s="20"/>
      <c r="J228" s="19"/>
      <c r="K228" s="19"/>
    </row>
    <row r="229" spans="1:11" ht="14.25">
      <c r="A229" s="19"/>
      <c r="B229" s="31"/>
      <c r="C229" s="19"/>
      <c r="D229" s="19"/>
      <c r="E229" s="19"/>
      <c r="F229" s="20"/>
      <c r="G229" s="19"/>
      <c r="H229" s="19"/>
      <c r="I229" s="20"/>
      <c r="J229" s="19"/>
      <c r="K229" s="19"/>
    </row>
    <row r="230" spans="1:11" ht="14.25">
      <c r="A230" s="19"/>
      <c r="B230" s="31"/>
      <c r="C230" s="19"/>
      <c r="D230" s="19"/>
      <c r="E230" s="19"/>
      <c r="F230" s="20"/>
      <c r="G230" s="19"/>
      <c r="H230" s="19"/>
      <c r="I230" s="20"/>
      <c r="J230" s="19"/>
      <c r="K230" s="19"/>
    </row>
    <row r="231" spans="1:11" ht="14.25">
      <c r="A231" s="19"/>
      <c r="B231" s="31"/>
      <c r="C231" s="19"/>
      <c r="D231" s="19"/>
      <c r="E231" s="19"/>
      <c r="F231" s="20"/>
      <c r="G231" s="19"/>
      <c r="H231" s="19"/>
      <c r="I231" s="20"/>
      <c r="J231" s="19"/>
      <c r="K231" s="19"/>
    </row>
    <row r="232" spans="1:11" ht="14.25">
      <c r="A232" s="19"/>
      <c r="B232" s="31"/>
      <c r="C232" s="19"/>
      <c r="D232" s="19"/>
      <c r="E232" s="19"/>
      <c r="F232" s="20"/>
      <c r="G232" s="19"/>
      <c r="H232" s="19"/>
      <c r="I232" s="20"/>
      <c r="J232" s="19"/>
      <c r="K232" s="19"/>
    </row>
    <row r="233" spans="1:11" ht="14.25">
      <c r="A233" s="19"/>
      <c r="B233" s="31"/>
      <c r="C233" s="19"/>
      <c r="D233" s="19"/>
      <c r="E233" s="19"/>
      <c r="F233" s="20"/>
      <c r="G233" s="19"/>
      <c r="H233" s="19"/>
      <c r="I233" s="20"/>
      <c r="J233" s="19"/>
      <c r="K233" s="19"/>
    </row>
    <row r="234" spans="1:11" ht="14.25">
      <c r="A234" s="19"/>
      <c r="B234" s="31"/>
      <c r="C234" s="19"/>
      <c r="D234" s="19"/>
      <c r="E234" s="19"/>
      <c r="F234" s="20"/>
      <c r="G234" s="19"/>
      <c r="H234" s="19"/>
      <c r="I234" s="20"/>
      <c r="J234" s="19"/>
      <c r="K234" s="19"/>
    </row>
    <row r="235" spans="1:11" ht="14.25">
      <c r="A235" s="19"/>
      <c r="B235" s="31"/>
      <c r="C235" s="19"/>
      <c r="D235" s="19"/>
      <c r="E235" s="19"/>
      <c r="F235" s="20"/>
      <c r="G235" s="19"/>
      <c r="H235" s="19"/>
      <c r="I235" s="20"/>
      <c r="J235" s="19"/>
      <c r="K235" s="19"/>
    </row>
    <row r="236" spans="1:11" ht="14.25">
      <c r="A236" s="19"/>
      <c r="B236" s="31"/>
      <c r="C236" s="19"/>
      <c r="D236" s="19"/>
      <c r="E236" s="19"/>
      <c r="F236" s="20"/>
      <c r="G236" s="19"/>
      <c r="H236" s="19"/>
      <c r="I236" s="20"/>
      <c r="J236" s="19"/>
      <c r="K236" s="19"/>
    </row>
    <row r="237" spans="1:11" ht="14.25">
      <c r="A237" s="19"/>
      <c r="B237" s="31"/>
      <c r="C237" s="19"/>
      <c r="D237" s="19"/>
      <c r="E237" s="19"/>
      <c r="F237" s="20"/>
      <c r="G237" s="19"/>
      <c r="H237" s="19"/>
      <c r="I237" s="20"/>
      <c r="J237" s="19"/>
      <c r="K237" s="19"/>
    </row>
    <row r="238" spans="1:11" ht="14.25">
      <c r="A238" s="19"/>
      <c r="B238" s="31"/>
      <c r="C238" s="19"/>
      <c r="D238" s="19"/>
      <c r="E238" s="19"/>
      <c r="F238" s="20"/>
      <c r="G238" s="19"/>
      <c r="H238" s="19"/>
      <c r="I238" s="20"/>
      <c r="J238" s="19"/>
      <c r="K238" s="19"/>
    </row>
    <row r="239" spans="1:11" ht="14.25">
      <c r="A239" s="19"/>
      <c r="B239" s="31"/>
      <c r="C239" s="19"/>
      <c r="D239" s="19"/>
      <c r="E239" s="19"/>
      <c r="F239" s="20"/>
      <c r="G239" s="19"/>
      <c r="H239" s="19"/>
      <c r="I239" s="20"/>
      <c r="J239" s="19"/>
      <c r="K239" s="19"/>
    </row>
    <row r="240" spans="1:11" ht="14.25">
      <c r="A240" s="19"/>
      <c r="B240" s="31"/>
      <c r="C240" s="19"/>
      <c r="D240" s="19"/>
      <c r="E240" s="19"/>
      <c r="F240" s="20"/>
      <c r="G240" s="19"/>
      <c r="H240" s="19"/>
      <c r="I240" s="20"/>
      <c r="J240" s="19"/>
      <c r="K240" s="19"/>
    </row>
    <row r="241" spans="1:11" ht="14.25">
      <c r="A241" s="19"/>
      <c r="B241" s="31"/>
      <c r="C241" s="19"/>
      <c r="D241" s="19"/>
      <c r="E241" s="19"/>
      <c r="F241" s="20"/>
      <c r="G241" s="19"/>
      <c r="H241" s="19"/>
      <c r="I241" s="20"/>
      <c r="J241" s="19"/>
      <c r="K241" s="19"/>
    </row>
    <row r="242" spans="1:11" ht="14.25">
      <c r="A242" s="19"/>
      <c r="B242" s="31"/>
      <c r="C242" s="19"/>
      <c r="D242" s="19"/>
      <c r="E242" s="19"/>
      <c r="F242" s="20"/>
      <c r="G242" s="19"/>
      <c r="H242" s="19"/>
      <c r="I242" s="20"/>
      <c r="J242" s="19"/>
      <c r="K242" s="19"/>
    </row>
    <row r="243" spans="1:11" ht="14.25">
      <c r="A243" s="19"/>
      <c r="B243" s="31"/>
      <c r="C243" s="19"/>
      <c r="D243" s="19"/>
      <c r="E243" s="19"/>
      <c r="F243" s="20"/>
      <c r="G243" s="19"/>
      <c r="H243" s="19"/>
      <c r="I243" s="20"/>
      <c r="J243" s="19"/>
      <c r="K243" s="19"/>
    </row>
    <row r="244" spans="1:11" ht="14.25">
      <c r="A244" s="19"/>
      <c r="B244" s="31"/>
      <c r="C244" s="19"/>
      <c r="D244" s="19"/>
      <c r="E244" s="19"/>
      <c r="F244" s="20"/>
      <c r="G244" s="19"/>
      <c r="H244" s="19"/>
      <c r="I244" s="20"/>
      <c r="J244" s="19"/>
      <c r="K244" s="19"/>
    </row>
    <row r="245" spans="1:11" ht="14.25">
      <c r="A245" s="19"/>
      <c r="B245" s="31"/>
      <c r="C245" s="19"/>
      <c r="D245" s="19"/>
      <c r="E245" s="19"/>
      <c r="F245" s="20"/>
      <c r="G245" s="19"/>
      <c r="H245" s="19"/>
      <c r="I245" s="20"/>
      <c r="J245" s="19"/>
      <c r="K245" s="19"/>
    </row>
    <row r="246" spans="1:11" ht="14.25">
      <c r="A246" s="19"/>
      <c r="B246" s="31"/>
      <c r="C246" s="19"/>
      <c r="D246" s="19"/>
      <c r="E246" s="19"/>
      <c r="F246" s="20"/>
      <c r="G246" s="19"/>
      <c r="H246" s="19"/>
      <c r="I246" s="20"/>
      <c r="J246" s="19"/>
      <c r="K246" s="19"/>
    </row>
    <row r="247" spans="1:11" ht="14.25">
      <c r="A247" s="19"/>
      <c r="B247" s="31"/>
      <c r="C247" s="19"/>
      <c r="D247" s="19"/>
      <c r="E247" s="19"/>
      <c r="F247" s="20"/>
      <c r="G247" s="19"/>
      <c r="H247" s="19"/>
      <c r="I247" s="20"/>
      <c r="J247" s="19"/>
      <c r="K247" s="19"/>
    </row>
    <row r="248" spans="1:11" ht="14.25">
      <c r="A248" s="19"/>
      <c r="B248" s="31"/>
      <c r="C248" s="19"/>
      <c r="D248" s="19"/>
      <c r="E248" s="19"/>
      <c r="F248" s="20"/>
      <c r="G248" s="19"/>
      <c r="H248" s="19"/>
      <c r="I248" s="20"/>
      <c r="J248" s="19"/>
      <c r="K248" s="19"/>
    </row>
    <row r="249" spans="1:11" ht="14.25">
      <c r="A249" s="19"/>
      <c r="B249" s="31"/>
      <c r="C249" s="19"/>
      <c r="D249" s="19"/>
      <c r="E249" s="19"/>
      <c r="F249" s="20"/>
      <c r="G249" s="19"/>
      <c r="H249" s="19"/>
      <c r="I249" s="20"/>
      <c r="J249" s="19"/>
      <c r="K249" s="19"/>
    </row>
    <row r="250" spans="1:11" ht="14.25">
      <c r="A250" s="19"/>
      <c r="B250" s="31"/>
      <c r="C250" s="19"/>
      <c r="D250" s="19"/>
      <c r="E250" s="19"/>
      <c r="F250" s="20"/>
      <c r="G250" s="19"/>
      <c r="H250" s="19"/>
      <c r="I250" s="20"/>
      <c r="J250" s="19"/>
      <c r="K250" s="19"/>
    </row>
    <row r="251" spans="1:11" ht="14.25">
      <c r="A251" s="19"/>
      <c r="B251" s="31"/>
      <c r="C251" s="19"/>
      <c r="D251" s="19"/>
      <c r="E251" s="19"/>
      <c r="F251" s="20"/>
      <c r="G251" s="19"/>
      <c r="H251" s="19"/>
      <c r="I251" s="20"/>
      <c r="J251" s="19"/>
      <c r="K251" s="19"/>
    </row>
    <row r="252" spans="1:11" ht="14.25">
      <c r="A252" s="19"/>
      <c r="B252" s="31"/>
      <c r="C252" s="19"/>
      <c r="D252" s="19"/>
      <c r="E252" s="19"/>
      <c r="F252" s="20"/>
      <c r="G252" s="19"/>
      <c r="H252" s="19"/>
      <c r="I252" s="20"/>
      <c r="J252" s="19"/>
      <c r="K252" s="19"/>
    </row>
    <row r="253" spans="1:11" ht="14.25">
      <c r="A253" s="19"/>
      <c r="B253" s="31"/>
      <c r="C253" s="19"/>
      <c r="D253" s="19"/>
      <c r="E253" s="19"/>
      <c r="F253" s="20"/>
      <c r="G253" s="19"/>
      <c r="H253" s="19"/>
      <c r="I253" s="20"/>
      <c r="J253" s="19"/>
      <c r="K253" s="19"/>
    </row>
    <row r="254" spans="1:11" ht="14.25">
      <c r="A254" s="19"/>
      <c r="B254" s="31"/>
      <c r="C254" s="19"/>
      <c r="D254" s="19"/>
      <c r="E254" s="19"/>
      <c r="F254" s="20"/>
      <c r="G254" s="19"/>
      <c r="H254" s="19"/>
      <c r="I254" s="20"/>
      <c r="J254" s="19"/>
      <c r="K254" s="19"/>
    </row>
    <row r="255" spans="1:11" ht="14.25">
      <c r="A255" s="19"/>
      <c r="B255" s="31"/>
      <c r="C255" s="19"/>
      <c r="D255" s="19"/>
      <c r="E255" s="19"/>
      <c r="F255" s="20"/>
      <c r="G255" s="19"/>
      <c r="H255" s="19"/>
      <c r="I255" s="20"/>
      <c r="J255" s="19"/>
      <c r="K255" s="19"/>
    </row>
    <row r="256" spans="1:11" ht="14.25">
      <c r="A256" s="19"/>
      <c r="B256" s="31"/>
      <c r="C256" s="19"/>
      <c r="D256" s="19"/>
      <c r="E256" s="19"/>
      <c r="F256" s="20"/>
      <c r="G256" s="19"/>
      <c r="H256" s="19"/>
      <c r="I256" s="20"/>
      <c r="J256" s="19"/>
      <c r="K256" s="19"/>
    </row>
    <row r="257" spans="1:11" ht="14.25">
      <c r="A257" s="19"/>
      <c r="B257" s="31"/>
      <c r="C257" s="19"/>
      <c r="D257" s="19"/>
      <c r="E257" s="19"/>
      <c r="F257" s="20"/>
      <c r="G257" s="19"/>
      <c r="H257" s="19"/>
      <c r="I257" s="20"/>
      <c r="J257" s="19"/>
      <c r="K257" s="19"/>
    </row>
    <row r="258" spans="1:11" ht="14.25">
      <c r="A258" s="19"/>
      <c r="B258" s="31"/>
      <c r="C258" s="19"/>
      <c r="D258" s="19"/>
      <c r="E258" s="19"/>
      <c r="F258" s="20"/>
      <c r="G258" s="19"/>
      <c r="H258" s="19"/>
      <c r="I258" s="20"/>
      <c r="J258" s="19"/>
      <c r="K258" s="19"/>
    </row>
    <row r="259" spans="1:11" ht="14.25">
      <c r="A259" s="19"/>
      <c r="B259" s="31"/>
      <c r="C259" s="19"/>
      <c r="D259" s="19"/>
      <c r="E259" s="19"/>
      <c r="F259" s="20"/>
      <c r="G259" s="19"/>
      <c r="H259" s="19"/>
      <c r="I259" s="20"/>
      <c r="J259" s="19"/>
      <c r="K259" s="19"/>
    </row>
    <row r="260" spans="1:11" ht="14.25">
      <c r="A260" s="19"/>
      <c r="B260" s="31"/>
      <c r="C260" s="19"/>
      <c r="D260" s="19"/>
      <c r="E260" s="19"/>
      <c r="F260" s="20"/>
      <c r="G260" s="19"/>
      <c r="H260" s="19"/>
      <c r="I260" s="20"/>
      <c r="J260" s="19"/>
      <c r="K260" s="19"/>
    </row>
    <row r="261" spans="1:11" ht="14.25">
      <c r="A261" s="19"/>
      <c r="B261" s="31"/>
      <c r="C261" s="19"/>
      <c r="D261" s="19"/>
      <c r="E261" s="19"/>
      <c r="F261" s="20"/>
      <c r="G261" s="19"/>
      <c r="H261" s="19"/>
      <c r="I261" s="20"/>
      <c r="J261" s="19"/>
      <c r="K261" s="19"/>
    </row>
    <row r="262" spans="1:11" ht="14.25">
      <c r="A262" s="19"/>
      <c r="B262" s="31"/>
      <c r="C262" s="19"/>
      <c r="D262" s="19"/>
      <c r="E262" s="19"/>
      <c r="F262" s="20"/>
      <c r="G262" s="19"/>
      <c r="H262" s="19"/>
      <c r="I262" s="20"/>
      <c r="J262" s="19"/>
      <c r="K262" s="19"/>
    </row>
    <row r="263" spans="1:11" ht="14.25">
      <c r="A263" s="19"/>
      <c r="B263" s="31"/>
      <c r="C263" s="19"/>
      <c r="D263" s="19"/>
      <c r="E263" s="19"/>
      <c r="F263" s="20"/>
      <c r="G263" s="19"/>
      <c r="H263" s="19"/>
      <c r="I263" s="20"/>
      <c r="J263" s="19"/>
      <c r="K263" s="19"/>
    </row>
    <row r="264" spans="1:11" ht="14.25">
      <c r="A264" s="19"/>
      <c r="B264" s="31"/>
      <c r="C264" s="19"/>
      <c r="D264" s="19"/>
      <c r="E264" s="19"/>
      <c r="F264" s="20"/>
      <c r="G264" s="19"/>
      <c r="H264" s="19"/>
      <c r="I264" s="20"/>
      <c r="J264" s="19"/>
      <c r="K264" s="19"/>
    </row>
    <row r="265" spans="1:11" ht="14.25">
      <c r="A265" s="19"/>
      <c r="B265" s="31"/>
      <c r="C265" s="19"/>
      <c r="D265" s="19"/>
      <c r="E265" s="19"/>
      <c r="F265" s="20"/>
      <c r="G265" s="19"/>
      <c r="H265" s="19"/>
      <c r="I265" s="20"/>
      <c r="J265" s="19"/>
      <c r="K265" s="19"/>
    </row>
    <row r="266" spans="1:11" ht="14.25">
      <c r="A266" s="19"/>
      <c r="B266" s="31"/>
      <c r="C266" s="19"/>
      <c r="D266" s="19"/>
      <c r="E266" s="19"/>
      <c r="F266" s="20"/>
      <c r="G266" s="19"/>
      <c r="H266" s="19"/>
      <c r="I266" s="20"/>
      <c r="J266" s="19"/>
      <c r="K266" s="19"/>
    </row>
    <row r="267" spans="1:11" ht="14.25">
      <c r="A267" s="19"/>
      <c r="B267" s="31"/>
      <c r="C267" s="19"/>
      <c r="D267" s="19"/>
      <c r="E267" s="19"/>
      <c r="F267" s="20"/>
      <c r="G267" s="19"/>
      <c r="H267" s="19"/>
      <c r="I267" s="20"/>
      <c r="J267" s="19"/>
      <c r="K267" s="19"/>
    </row>
    <row r="268" spans="1:11" ht="14.25">
      <c r="A268" s="19"/>
      <c r="B268" s="31"/>
      <c r="C268" s="19"/>
      <c r="D268" s="19"/>
      <c r="E268" s="19"/>
      <c r="F268" s="20"/>
      <c r="G268" s="19"/>
      <c r="H268" s="19"/>
      <c r="I268" s="20"/>
      <c r="J268" s="19"/>
      <c r="K268" s="19"/>
    </row>
    <row r="269" spans="1:11" ht="14.25">
      <c r="A269" s="19"/>
      <c r="B269" s="31"/>
      <c r="C269" s="19"/>
      <c r="D269" s="19"/>
      <c r="E269" s="19"/>
      <c r="F269" s="20"/>
      <c r="G269" s="19"/>
      <c r="H269" s="19"/>
      <c r="I269" s="20"/>
      <c r="J269" s="19"/>
      <c r="K269" s="19"/>
    </row>
    <row r="270" spans="1:11" ht="14.25">
      <c r="A270" s="19"/>
      <c r="B270" s="31"/>
      <c r="C270" s="19"/>
      <c r="D270" s="19"/>
      <c r="E270" s="19"/>
      <c r="F270" s="20"/>
      <c r="G270" s="19"/>
      <c r="H270" s="19"/>
      <c r="I270" s="20"/>
      <c r="J270" s="19"/>
      <c r="K270" s="19"/>
    </row>
    <row r="271" spans="1:11" ht="14.25">
      <c r="A271" s="19"/>
      <c r="B271" s="31"/>
      <c r="C271" s="19"/>
      <c r="D271" s="19"/>
      <c r="E271" s="19"/>
      <c r="F271" s="20"/>
      <c r="G271" s="19"/>
      <c r="H271" s="19"/>
      <c r="I271" s="20"/>
      <c r="J271" s="19"/>
      <c r="K271" s="19"/>
    </row>
    <row r="272" spans="1:11" ht="14.25">
      <c r="A272" s="19"/>
      <c r="B272" s="31"/>
      <c r="C272" s="19"/>
      <c r="D272" s="19"/>
      <c r="E272" s="19"/>
      <c r="F272" s="20"/>
      <c r="G272" s="19"/>
      <c r="H272" s="19"/>
      <c r="I272" s="20"/>
      <c r="J272" s="19"/>
      <c r="K272" s="19"/>
    </row>
    <row r="273" spans="1:11" ht="14.25">
      <c r="A273" s="19"/>
      <c r="B273" s="31"/>
      <c r="C273" s="19"/>
      <c r="D273" s="19"/>
      <c r="E273" s="19"/>
      <c r="F273" s="20"/>
      <c r="G273" s="19"/>
      <c r="H273" s="19"/>
      <c r="I273" s="20"/>
      <c r="J273" s="19"/>
      <c r="K273" s="19"/>
    </row>
    <row r="274" spans="1:11" ht="14.25">
      <c r="A274" s="19"/>
      <c r="B274" s="31"/>
      <c r="C274" s="19"/>
      <c r="D274" s="19"/>
      <c r="E274" s="19"/>
      <c r="F274" s="20"/>
      <c r="G274" s="19"/>
      <c r="H274" s="19"/>
      <c r="I274" s="20"/>
      <c r="J274" s="19"/>
      <c r="K274" s="19"/>
    </row>
    <row r="275" spans="1:11" ht="14.25">
      <c r="A275" s="19"/>
      <c r="B275" s="31"/>
      <c r="C275" s="19"/>
      <c r="D275" s="19"/>
      <c r="E275" s="19"/>
      <c r="F275" s="20"/>
      <c r="G275" s="19"/>
      <c r="H275" s="19"/>
      <c r="I275" s="20"/>
      <c r="J275" s="19"/>
      <c r="K275" s="19"/>
    </row>
    <row r="276" spans="1:11" ht="14.25">
      <c r="A276" s="19"/>
      <c r="B276" s="31"/>
      <c r="C276" s="19"/>
      <c r="D276" s="19"/>
      <c r="E276" s="19"/>
      <c r="F276" s="20"/>
      <c r="G276" s="19"/>
      <c r="H276" s="19"/>
      <c r="I276" s="20"/>
      <c r="J276" s="19"/>
      <c r="K276" s="19"/>
    </row>
    <row r="277" spans="1:11" ht="14.25">
      <c r="A277" s="19"/>
      <c r="B277" s="31"/>
      <c r="C277" s="19"/>
      <c r="D277" s="19"/>
      <c r="E277" s="19"/>
      <c r="F277" s="20"/>
      <c r="G277" s="19"/>
      <c r="H277" s="19"/>
      <c r="I277" s="20"/>
      <c r="J277" s="19"/>
      <c r="K277" s="19"/>
    </row>
    <row r="278" spans="1:11" ht="14.25">
      <c r="A278" s="19"/>
      <c r="B278" s="31"/>
      <c r="C278" s="19"/>
      <c r="D278" s="19"/>
      <c r="E278" s="19"/>
      <c r="F278" s="20"/>
      <c r="G278" s="19"/>
      <c r="H278" s="19"/>
      <c r="I278" s="20"/>
      <c r="J278" s="19"/>
      <c r="K278" s="19"/>
    </row>
    <row r="279" spans="1:11" ht="14.25">
      <c r="A279" s="19"/>
      <c r="B279" s="31"/>
      <c r="C279" s="19"/>
      <c r="D279" s="19"/>
      <c r="E279" s="19"/>
      <c r="F279" s="20"/>
      <c r="G279" s="19"/>
      <c r="H279" s="19"/>
      <c r="I279" s="20"/>
      <c r="J279" s="19"/>
      <c r="K279" s="19"/>
    </row>
    <row r="280" spans="1:11" ht="14.25">
      <c r="A280" s="19"/>
      <c r="B280" s="31"/>
      <c r="C280" s="19"/>
      <c r="D280" s="19"/>
      <c r="E280" s="19"/>
      <c r="F280" s="20"/>
      <c r="G280" s="19"/>
      <c r="H280" s="19"/>
      <c r="I280" s="20"/>
      <c r="J280" s="19"/>
      <c r="K280" s="19"/>
    </row>
    <row r="281" spans="1:11" ht="14.25">
      <c r="A281" s="19"/>
      <c r="B281" s="31"/>
      <c r="C281" s="19"/>
      <c r="D281" s="19"/>
      <c r="E281" s="19"/>
      <c r="F281" s="20"/>
      <c r="G281" s="19"/>
      <c r="H281" s="19"/>
      <c r="I281" s="20"/>
      <c r="J281" s="19"/>
      <c r="K281" s="19"/>
    </row>
    <row r="282" spans="1:11" ht="14.25">
      <c r="A282" s="19"/>
      <c r="B282" s="31"/>
      <c r="C282" s="19"/>
      <c r="D282" s="19"/>
      <c r="E282" s="19"/>
      <c r="F282" s="20"/>
      <c r="G282" s="19"/>
      <c r="H282" s="19"/>
      <c r="I282" s="20"/>
      <c r="J282" s="19"/>
      <c r="K282" s="19"/>
    </row>
    <row r="283" spans="1:11" ht="14.25">
      <c r="A283" s="19"/>
      <c r="B283" s="31"/>
      <c r="C283" s="19"/>
      <c r="D283" s="19"/>
      <c r="E283" s="19"/>
      <c r="F283" s="20"/>
      <c r="G283" s="19"/>
      <c r="H283" s="19"/>
      <c r="I283" s="20"/>
      <c r="J283" s="19"/>
      <c r="K283" s="19"/>
    </row>
    <row r="284" spans="1:11" ht="14.25">
      <c r="A284" s="19"/>
      <c r="B284" s="31"/>
      <c r="C284" s="19"/>
      <c r="D284" s="19"/>
      <c r="E284" s="19"/>
      <c r="F284" s="20"/>
      <c r="G284" s="19"/>
      <c r="H284" s="19"/>
      <c r="I284" s="20"/>
      <c r="J284" s="19"/>
      <c r="K284" s="19"/>
    </row>
    <row r="285" spans="1:11" ht="14.25">
      <c r="A285" s="19"/>
      <c r="B285" s="31"/>
      <c r="C285" s="19"/>
      <c r="D285" s="19"/>
      <c r="E285" s="19"/>
      <c r="F285" s="20"/>
      <c r="G285" s="19"/>
      <c r="H285" s="19"/>
      <c r="I285" s="20"/>
      <c r="J285" s="19"/>
      <c r="K285" s="19"/>
    </row>
    <row r="286" spans="1:11" ht="14.25">
      <c r="A286" s="19"/>
      <c r="B286" s="31"/>
      <c r="C286" s="19"/>
      <c r="D286" s="19"/>
      <c r="E286" s="19"/>
      <c r="F286" s="20"/>
      <c r="G286" s="19"/>
      <c r="H286" s="19"/>
      <c r="I286" s="20"/>
      <c r="J286" s="19"/>
      <c r="K286" s="19"/>
    </row>
    <row r="287" spans="1:11" ht="14.25">
      <c r="A287" s="19"/>
      <c r="B287" s="31"/>
      <c r="C287" s="19"/>
      <c r="D287" s="19"/>
      <c r="E287" s="19"/>
      <c r="F287" s="20"/>
      <c r="G287" s="19"/>
      <c r="H287" s="19"/>
      <c r="I287" s="20"/>
      <c r="J287" s="19"/>
      <c r="K287" s="19"/>
    </row>
    <row r="288" spans="1:11" ht="14.25">
      <c r="A288" s="19"/>
      <c r="B288" s="31"/>
      <c r="C288" s="19"/>
      <c r="D288" s="19"/>
      <c r="E288" s="19"/>
      <c r="F288" s="20"/>
      <c r="G288" s="19"/>
      <c r="H288" s="19"/>
      <c r="I288" s="20"/>
      <c r="J288" s="19"/>
      <c r="K288" s="19"/>
    </row>
    <row r="289" spans="1:11" ht="14.25">
      <c r="A289" s="19"/>
      <c r="B289" s="31"/>
      <c r="C289" s="19"/>
      <c r="D289" s="19"/>
      <c r="E289" s="19"/>
      <c r="F289" s="20"/>
      <c r="G289" s="19"/>
      <c r="H289" s="19"/>
      <c r="I289" s="20"/>
      <c r="J289" s="19"/>
      <c r="K289" s="19"/>
    </row>
    <row r="290" spans="1:11" ht="14.25">
      <c r="A290" s="19"/>
      <c r="B290" s="31"/>
      <c r="C290" s="19"/>
      <c r="D290" s="19"/>
      <c r="E290" s="19"/>
      <c r="F290" s="20"/>
      <c r="G290" s="19"/>
      <c r="H290" s="19"/>
      <c r="I290" s="20"/>
      <c r="J290" s="19"/>
      <c r="K290" s="19"/>
    </row>
    <row r="291" spans="1:11" ht="14.25">
      <c r="A291" s="19"/>
      <c r="B291" s="31"/>
      <c r="C291" s="19"/>
      <c r="D291" s="19"/>
      <c r="E291" s="19"/>
      <c r="F291" s="20"/>
      <c r="G291" s="19"/>
      <c r="H291" s="19"/>
      <c r="I291" s="20"/>
      <c r="J291" s="19"/>
      <c r="K291" s="19"/>
    </row>
    <row r="292" spans="1:11" ht="14.25">
      <c r="A292" s="19"/>
      <c r="B292" s="31"/>
      <c r="C292" s="19"/>
      <c r="D292" s="19"/>
      <c r="E292" s="19"/>
      <c r="F292" s="20"/>
      <c r="G292" s="19"/>
      <c r="H292" s="19"/>
      <c r="I292" s="20"/>
      <c r="J292" s="19"/>
      <c r="K292" s="19"/>
    </row>
    <row r="293" spans="1:11" ht="14.25">
      <c r="A293" s="19"/>
      <c r="B293" s="31"/>
      <c r="C293" s="19"/>
      <c r="D293" s="19"/>
      <c r="E293" s="19"/>
      <c r="F293" s="20"/>
      <c r="G293" s="19"/>
      <c r="H293" s="19"/>
      <c r="I293" s="20"/>
      <c r="J293" s="19"/>
      <c r="K293" s="19"/>
    </row>
    <row r="294" spans="1:11" ht="14.25">
      <c r="A294" s="19"/>
      <c r="B294" s="31"/>
      <c r="C294" s="19"/>
      <c r="D294" s="19"/>
      <c r="E294" s="19"/>
      <c r="F294" s="20"/>
      <c r="G294" s="19"/>
      <c r="H294" s="19"/>
      <c r="I294" s="20"/>
      <c r="J294" s="19"/>
      <c r="K294" s="19"/>
    </row>
    <row r="295" spans="1:11" ht="14.25">
      <c r="A295" s="19"/>
      <c r="B295" s="31"/>
      <c r="C295" s="19"/>
      <c r="D295" s="19"/>
      <c r="E295" s="19"/>
      <c r="F295" s="20"/>
      <c r="G295" s="19"/>
      <c r="H295" s="19"/>
      <c r="I295" s="20"/>
      <c r="J295" s="19"/>
      <c r="K295" s="19"/>
    </row>
    <row r="296" spans="1:11" ht="14.25">
      <c r="A296" s="19"/>
      <c r="B296" s="31"/>
      <c r="C296" s="19"/>
      <c r="D296" s="19"/>
      <c r="E296" s="19"/>
      <c r="F296" s="20"/>
      <c r="G296" s="19"/>
      <c r="H296" s="19"/>
      <c r="I296" s="20"/>
      <c r="J296" s="19"/>
      <c r="K296" s="19"/>
    </row>
    <row r="297" spans="1:11" ht="14.25">
      <c r="A297" s="19"/>
      <c r="B297" s="31"/>
      <c r="C297" s="19"/>
      <c r="D297" s="19"/>
      <c r="E297" s="19"/>
      <c r="F297" s="20"/>
      <c r="G297" s="19"/>
      <c r="H297" s="19"/>
      <c r="I297" s="20"/>
      <c r="J297" s="19"/>
      <c r="K297" s="19"/>
    </row>
    <row r="298" spans="1:11" ht="14.25">
      <c r="A298" s="19"/>
      <c r="B298" s="31"/>
      <c r="C298" s="19"/>
      <c r="D298" s="19"/>
      <c r="E298" s="19"/>
      <c r="F298" s="20"/>
      <c r="G298" s="19"/>
      <c r="H298" s="19"/>
      <c r="I298" s="20"/>
      <c r="J298" s="19"/>
      <c r="K298" s="19"/>
    </row>
    <row r="299" spans="1:11" ht="14.25">
      <c r="A299" s="19"/>
      <c r="B299" s="31"/>
      <c r="C299" s="19"/>
      <c r="D299" s="19"/>
      <c r="E299" s="19"/>
      <c r="F299" s="20"/>
      <c r="G299" s="19"/>
      <c r="H299" s="19"/>
      <c r="I299" s="20"/>
      <c r="J299" s="19"/>
      <c r="K299" s="19"/>
    </row>
    <row r="300" spans="1:11" ht="14.25">
      <c r="A300" s="19"/>
      <c r="B300" s="31"/>
      <c r="C300" s="19"/>
      <c r="D300" s="19"/>
      <c r="E300" s="19"/>
      <c r="F300" s="20"/>
      <c r="G300" s="19"/>
      <c r="H300" s="19"/>
      <c r="I300" s="20"/>
      <c r="J300" s="19"/>
      <c r="K300" s="19"/>
    </row>
    <row r="301" spans="1:11" ht="14.25">
      <c r="A301" s="19"/>
      <c r="B301" s="31"/>
      <c r="C301" s="19"/>
      <c r="D301" s="19"/>
      <c r="E301" s="19"/>
      <c r="F301" s="20"/>
      <c r="G301" s="19"/>
      <c r="H301" s="19"/>
      <c r="I301" s="20"/>
      <c r="J301" s="19"/>
      <c r="K301" s="19"/>
    </row>
    <row r="302" spans="1:11" ht="14.25">
      <c r="A302" s="19"/>
      <c r="B302" s="31"/>
      <c r="C302" s="19"/>
      <c r="D302" s="19"/>
      <c r="E302" s="19"/>
      <c r="F302" s="20"/>
      <c r="G302" s="19"/>
      <c r="H302" s="19"/>
      <c r="I302" s="20"/>
      <c r="J302" s="19"/>
      <c r="K302" s="19"/>
    </row>
    <row r="303" spans="1:11" ht="14.25">
      <c r="A303" s="19"/>
      <c r="B303" s="31"/>
      <c r="C303" s="19"/>
      <c r="D303" s="19"/>
      <c r="E303" s="19"/>
      <c r="F303" s="20"/>
      <c r="G303" s="19"/>
      <c r="H303" s="19"/>
      <c r="I303" s="20"/>
      <c r="J303" s="19"/>
      <c r="K303" s="19"/>
    </row>
    <row r="304" spans="1:11" ht="14.25">
      <c r="A304" s="19"/>
      <c r="B304" s="31"/>
      <c r="C304" s="19"/>
      <c r="D304" s="19"/>
      <c r="E304" s="19"/>
      <c r="F304" s="20"/>
      <c r="G304" s="19"/>
      <c r="H304" s="19"/>
      <c r="I304" s="20"/>
      <c r="J304" s="19"/>
      <c r="K304" s="19"/>
    </row>
    <row r="305" spans="1:11" ht="14.25">
      <c r="A305" s="19"/>
      <c r="B305" s="31"/>
      <c r="C305" s="19"/>
      <c r="D305" s="19"/>
      <c r="E305" s="19"/>
      <c r="F305" s="20"/>
      <c r="G305" s="19"/>
      <c r="H305" s="19"/>
      <c r="I305" s="20"/>
      <c r="J305" s="19"/>
      <c r="K305" s="19"/>
    </row>
    <row r="306" spans="1:11" ht="14.25">
      <c r="A306" s="19"/>
      <c r="B306" s="31"/>
      <c r="C306" s="19"/>
      <c r="D306" s="19"/>
      <c r="E306" s="19"/>
      <c r="F306" s="20"/>
      <c r="G306" s="19"/>
      <c r="H306" s="19"/>
      <c r="I306" s="20"/>
      <c r="J306" s="19"/>
      <c r="K306" s="19"/>
    </row>
    <row r="307" spans="1:11" ht="14.25">
      <c r="A307" s="19"/>
      <c r="B307" s="31"/>
      <c r="C307" s="19"/>
      <c r="D307" s="19"/>
      <c r="E307" s="19"/>
      <c r="F307" s="20"/>
      <c r="G307" s="19"/>
      <c r="H307" s="19"/>
      <c r="I307" s="20"/>
      <c r="J307" s="19"/>
      <c r="K307" s="19"/>
    </row>
    <row r="308" spans="1:11" ht="14.25">
      <c r="A308" s="19"/>
      <c r="B308" s="31"/>
      <c r="C308" s="19"/>
      <c r="D308" s="19"/>
      <c r="E308" s="19"/>
      <c r="F308" s="20"/>
      <c r="G308" s="19"/>
      <c r="H308" s="19"/>
      <c r="I308" s="20"/>
      <c r="J308" s="19"/>
      <c r="K308" s="19"/>
    </row>
    <row r="309" spans="1:11" ht="14.25">
      <c r="A309" s="19"/>
      <c r="B309" s="31"/>
      <c r="C309" s="19"/>
      <c r="D309" s="19"/>
      <c r="E309" s="19"/>
      <c r="F309" s="20"/>
      <c r="G309" s="19"/>
      <c r="H309" s="19"/>
      <c r="I309" s="20"/>
      <c r="J309" s="19"/>
      <c r="K309" s="19"/>
    </row>
    <row r="310" spans="1:11" ht="14.25">
      <c r="A310" s="19"/>
      <c r="B310" s="31"/>
      <c r="C310" s="19"/>
      <c r="D310" s="19"/>
      <c r="E310" s="19"/>
      <c r="F310" s="20"/>
      <c r="G310" s="19"/>
      <c r="H310" s="19"/>
      <c r="I310" s="20"/>
      <c r="J310" s="19"/>
      <c r="K310" s="19"/>
    </row>
    <row r="311" spans="1:11" ht="14.25">
      <c r="A311" s="19"/>
      <c r="B311" s="31"/>
      <c r="C311" s="19"/>
      <c r="D311" s="19"/>
      <c r="E311" s="19"/>
      <c r="F311" s="20"/>
      <c r="G311" s="19"/>
      <c r="H311" s="19"/>
      <c r="I311" s="20"/>
      <c r="J311" s="19"/>
      <c r="K311" s="19"/>
    </row>
    <row r="312" spans="1:11" ht="14.25">
      <c r="A312" s="19"/>
      <c r="B312" s="31"/>
      <c r="C312" s="19"/>
      <c r="D312" s="19"/>
      <c r="E312" s="19"/>
      <c r="F312" s="20"/>
      <c r="G312" s="19"/>
      <c r="H312" s="19"/>
      <c r="I312" s="20"/>
      <c r="J312" s="19"/>
      <c r="K312" s="19"/>
    </row>
    <row r="313" spans="1:11" ht="14.25">
      <c r="A313" s="19"/>
      <c r="B313" s="31"/>
      <c r="C313" s="19"/>
      <c r="D313" s="19"/>
      <c r="E313" s="19"/>
      <c r="F313" s="20"/>
      <c r="G313" s="19"/>
      <c r="H313" s="19"/>
      <c r="I313" s="20"/>
      <c r="J313" s="19"/>
      <c r="K313" s="19"/>
    </row>
    <row r="314" spans="1:11" ht="14.25">
      <c r="A314" s="19"/>
      <c r="B314" s="31"/>
      <c r="C314" s="19"/>
      <c r="D314" s="19"/>
      <c r="E314" s="19"/>
      <c r="F314" s="20"/>
      <c r="G314" s="19"/>
      <c r="H314" s="19"/>
      <c r="I314" s="20"/>
      <c r="J314" s="19"/>
      <c r="K314" s="19"/>
    </row>
    <row r="315" spans="1:11" ht="14.25">
      <c r="A315" s="19"/>
      <c r="B315" s="31"/>
      <c r="C315" s="19"/>
      <c r="D315" s="19"/>
      <c r="E315" s="19"/>
      <c r="F315" s="20"/>
      <c r="G315" s="19"/>
      <c r="H315" s="19"/>
      <c r="I315" s="20"/>
      <c r="J315" s="19"/>
      <c r="K315" s="19"/>
    </row>
    <row r="316" spans="1:11" ht="14.25">
      <c r="A316" s="19"/>
      <c r="B316" s="31"/>
      <c r="C316" s="19"/>
      <c r="D316" s="19"/>
      <c r="E316" s="19"/>
      <c r="F316" s="20"/>
      <c r="G316" s="19"/>
      <c r="H316" s="19"/>
      <c r="I316" s="20"/>
      <c r="J316" s="19"/>
      <c r="K316" s="19"/>
    </row>
    <row r="317" spans="1:11" ht="14.25">
      <c r="A317" s="19"/>
      <c r="B317" s="31"/>
      <c r="C317" s="19"/>
      <c r="D317" s="19"/>
      <c r="E317" s="19"/>
      <c r="F317" s="20"/>
      <c r="G317" s="19"/>
      <c r="H317" s="19"/>
      <c r="I317" s="20"/>
      <c r="J317" s="19"/>
      <c r="K317" s="19"/>
    </row>
    <row r="318" spans="1:11" ht="14.25">
      <c r="A318" s="19"/>
      <c r="B318" s="31"/>
      <c r="C318" s="19"/>
      <c r="D318" s="19"/>
      <c r="E318" s="19"/>
      <c r="F318" s="20"/>
      <c r="G318" s="19"/>
      <c r="H318" s="19"/>
      <c r="I318" s="20"/>
      <c r="J318" s="19"/>
      <c r="K318" s="19"/>
    </row>
    <row r="319" spans="1:11" ht="14.25">
      <c r="A319" s="19"/>
      <c r="B319" s="31"/>
      <c r="C319" s="19"/>
      <c r="D319" s="19"/>
      <c r="E319" s="19"/>
      <c r="F319" s="20"/>
      <c r="G319" s="19"/>
      <c r="H319" s="19"/>
      <c r="I319" s="20"/>
      <c r="J319" s="19"/>
      <c r="K319" s="19"/>
    </row>
    <row r="320" spans="1:11" ht="14.25">
      <c r="A320" s="19"/>
      <c r="B320" s="31"/>
      <c r="C320" s="19"/>
      <c r="D320" s="19"/>
      <c r="E320" s="19"/>
      <c r="F320" s="20"/>
      <c r="G320" s="19"/>
      <c r="H320" s="19"/>
      <c r="I320" s="20"/>
      <c r="J320" s="19"/>
      <c r="K320" s="19"/>
    </row>
    <row r="321" spans="1:11" ht="14.25">
      <c r="A321" s="19"/>
      <c r="B321" s="31"/>
      <c r="C321" s="19"/>
      <c r="D321" s="19"/>
      <c r="E321" s="19"/>
      <c r="F321" s="20"/>
      <c r="G321" s="19"/>
      <c r="H321" s="19"/>
      <c r="I321" s="20"/>
      <c r="J321" s="19"/>
      <c r="K321" s="19"/>
    </row>
    <row r="322" spans="1:11" ht="13.9">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3" priority="5" stopIfTrue="1" operator="lessThanOrEqual">
      <formula>-0.1</formula>
    </cfRule>
    <cfRule type="expression" dxfId="22" priority="6">
      <formula>AND(ISNUMBER(F2), F2&gt;=0.1)</formula>
    </cfRule>
  </conditionalFormatting>
  <conditionalFormatting sqref="F4:F80 I4:I80">
    <cfRule type="cellIs" dxfId="21" priority="1" stopIfTrue="1" operator="lessThanOrEqual">
      <formula>-0.1</formula>
    </cfRule>
    <cfRule type="expression" dxfId="20"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V322"/>
  <sheetViews>
    <sheetView zoomScale="70" zoomScaleNormal="70" workbookViewId="0">
      <pane xSplit="2" ySplit="3" topLeftCell="C4" activePane="bottomRight" state="frozen"/>
      <selection pane="bottomRight" activeCell="J49" sqref="J49"/>
      <selection pane="bottomLeft" activeCell="J4" activeCellId="3" sqref="C4:C10 D4:D10 G4:G10 J4:Q10"/>
      <selection pane="topRight" activeCell="J4" activeCellId="3" sqref="C4:C10 D4:D10 G4:G10 J4:Q10"/>
    </sheetView>
  </sheetViews>
  <sheetFormatPr defaultRowHeight="14.25"/>
  <cols>
    <col min="1" max="1" width="35.85546875" bestFit="1" customWidth="1"/>
    <col min="2" max="2" width="8.42578125" style="32" customWidth="1"/>
    <col min="3" max="3" width="17.140625" customWidth="1"/>
    <col min="4" max="4" width="16.85546875" customWidth="1"/>
    <col min="5" max="5" width="13.140625" customWidth="1"/>
    <col min="6" max="6" width="13.140625" style="1" customWidth="1"/>
    <col min="7" max="8" width="13.140625" customWidth="1"/>
    <col min="9" max="9" width="13.140625" style="1" customWidth="1"/>
    <col min="10" max="10" width="71.5703125" customWidth="1"/>
    <col min="11" max="11" width="26.5703125" style="69" customWidth="1"/>
  </cols>
  <sheetData>
    <row r="1" spans="1:22" ht="19.5" customHeight="1">
      <c r="A1" s="111" t="str" cm="1">
        <f t="array" ref="A1">portfolio</f>
        <v>GoodFinch</v>
      </c>
      <c r="B1" s="111"/>
      <c r="C1" s="111"/>
      <c r="D1" s="112" t="s">
        <v>33</v>
      </c>
      <c r="E1" s="112"/>
      <c r="F1" s="112"/>
      <c r="G1" s="110" t="s">
        <v>34</v>
      </c>
      <c r="H1" s="110"/>
      <c r="I1" s="110"/>
      <c r="J1" s="4"/>
      <c r="K1" s="106"/>
      <c r="L1" s="105"/>
      <c r="M1" s="105"/>
      <c r="N1" s="105"/>
      <c r="O1" s="105"/>
      <c r="P1" s="105"/>
      <c r="Q1" s="105"/>
      <c r="R1" s="105"/>
      <c r="S1" s="105"/>
      <c r="T1" s="105"/>
      <c r="U1" s="105"/>
      <c r="V1" s="105"/>
    </row>
    <row r="2" spans="1:22" ht="19.5" customHeight="1">
      <c r="A2" s="113" t="s">
        <v>2</v>
      </c>
      <c r="B2" s="113"/>
      <c r="C2" s="5">
        <f>SUM(C4:C80)</f>
        <v>1539597.7648551145</v>
      </c>
      <c r="D2" s="5">
        <f>SUM(D4:D80)</f>
        <v>1456547.233</v>
      </c>
      <c r="E2" s="5">
        <f>C2-D2</f>
        <v>83050.531855114503</v>
      </c>
      <c r="F2" s="6">
        <f>IFERROR(E2/D2, 0)</f>
        <v>5.7018770125331394E-2</v>
      </c>
      <c r="G2" s="5">
        <f>SUM(G4:G80)</f>
        <v>2267383.4810000001</v>
      </c>
      <c r="H2" s="7">
        <f>C2-G2</f>
        <v>-727785.71614488564</v>
      </c>
      <c r="I2" s="6">
        <f>IFERROR(H2/G2, 0)</f>
        <v>-0.32098042622410972</v>
      </c>
      <c r="J2" s="24" t="str">
        <f ca="1">IF(AND(TODAY()&gt;DATE(2024, 7, 1), COUNTA(Sites[Site])&lt;&gt;(COUNT(C:C)-1)), "Some sites are missing actual data; if new sites were added, make sure they are aligned correctly (including prior months!)", "")</f>
        <v/>
      </c>
      <c r="K2" s="106"/>
      <c r="L2" s="105"/>
      <c r="M2" s="105"/>
      <c r="N2" s="105"/>
      <c r="O2" s="105"/>
      <c r="P2" s="105"/>
      <c r="Q2" s="105"/>
      <c r="R2" s="105"/>
      <c r="S2" s="105"/>
      <c r="T2" s="105"/>
      <c r="U2" s="105"/>
      <c r="V2" s="105"/>
    </row>
    <row r="3" spans="1:22" ht="14.25" customHeight="1">
      <c r="A3" s="8" t="s">
        <v>3</v>
      </c>
      <c r="B3" s="8" t="s">
        <v>4</v>
      </c>
      <c r="C3" s="21" t="s">
        <v>5</v>
      </c>
      <c r="D3" s="33" t="s">
        <v>6</v>
      </c>
      <c r="E3" s="33" t="s">
        <v>7</v>
      </c>
      <c r="F3" s="34" t="s">
        <v>8</v>
      </c>
      <c r="G3" s="35" t="s">
        <v>9</v>
      </c>
      <c r="H3" s="36" t="s">
        <v>7</v>
      </c>
      <c r="I3" s="37" t="s">
        <v>8</v>
      </c>
      <c r="J3" s="23" t="s">
        <v>21</v>
      </c>
      <c r="K3" s="107" t="s">
        <v>22</v>
      </c>
      <c r="L3" s="105"/>
      <c r="M3" s="105"/>
      <c r="N3" s="105"/>
      <c r="O3" s="105"/>
      <c r="P3" s="105"/>
      <c r="Q3" s="105"/>
      <c r="R3" s="105"/>
      <c r="S3" s="105"/>
      <c r="T3" s="105"/>
      <c r="U3" s="105"/>
      <c r="V3" s="105"/>
    </row>
    <row r="4" spans="1:22" ht="15.75">
      <c r="A4" s="26" t="str" cm="1">
        <f t="array" ref="A4:A45">Sites[Site]</f>
        <v>AZ: Tempe - ASU - Farmer</v>
      </c>
      <c r="B4" s="27" t="str" cm="1">
        <f t="array" ref="B4:B45">Sites[State]</f>
        <v>AZ</v>
      </c>
      <c r="C4" s="22">
        <v>13735.3356944444</v>
      </c>
      <c r="D4" s="12">
        <v>8816.8459999999995</v>
      </c>
      <c r="E4" s="12">
        <f t="shared" ref="E4:E45" si="0">IF(AND(ISNUMBER(C4),ISNUMBER(D4)), C4-D4, "")</f>
        <v>4918.4896944444008</v>
      </c>
      <c r="F4" s="13">
        <f t="shared" ref="F4:F45" si="1">IFERROR(E4/D4, "")</f>
        <v>0.55785137842312327</v>
      </c>
      <c r="G4" s="14">
        <v>13564.61</v>
      </c>
      <c r="H4" s="14">
        <f t="shared" ref="H4:H45" si="2">IF(AND(ISNUMBER(C4),ISNUMBER(G4)), C4-G4, "")</f>
        <v>170.72569444439978</v>
      </c>
      <c r="I4" s="15">
        <f t="shared" ref="I4:I45" si="3">IFERROR(H4/G4, "")</f>
        <v>1.2586111539100628E-2</v>
      </c>
      <c r="J4" s="39"/>
      <c r="K4" s="71"/>
      <c r="L4" s="105"/>
      <c r="M4" s="105"/>
      <c r="N4" s="105"/>
      <c r="O4" s="105"/>
      <c r="P4" s="105"/>
      <c r="Q4" s="105"/>
      <c r="R4" s="105"/>
      <c r="S4" s="105"/>
      <c r="T4" s="105"/>
      <c r="U4" s="105"/>
      <c r="V4" s="105"/>
    </row>
    <row r="5" spans="1:22" ht="45.75">
      <c r="A5" s="28" t="str">
        <v>AZ: Tempe - ASU - Fulton</v>
      </c>
      <c r="B5" s="29" t="str">
        <v>AZ</v>
      </c>
      <c r="C5" s="11">
        <v>51105</v>
      </c>
      <c r="D5" s="16">
        <v>60589.7</v>
      </c>
      <c r="E5" s="16">
        <f t="shared" si="0"/>
        <v>-9484.6999999999971</v>
      </c>
      <c r="F5" s="17">
        <f t="shared" si="1"/>
        <v>-0.15653980792114827</v>
      </c>
      <c r="G5" s="80">
        <v>68756</v>
      </c>
      <c r="H5" s="18">
        <f t="shared" si="2"/>
        <v>-17651</v>
      </c>
      <c r="I5" s="99">
        <f t="shared" si="3"/>
        <v>-0.25671941357845135</v>
      </c>
      <c r="J5" s="40" t="s">
        <v>35</v>
      </c>
      <c r="K5" s="60" t="s">
        <v>36</v>
      </c>
      <c r="L5" s="105"/>
      <c r="M5" s="105"/>
      <c r="N5" s="105"/>
      <c r="O5" s="105"/>
      <c r="P5" s="105"/>
      <c r="Q5" s="105"/>
      <c r="R5" s="105"/>
      <c r="S5" s="105"/>
      <c r="T5" s="105"/>
      <c r="U5" s="105"/>
      <c r="V5" s="105"/>
    </row>
    <row r="6" spans="1:22" ht="60.75">
      <c r="A6" s="26" t="str">
        <v>AZ: Superior - JFK Elementary</v>
      </c>
      <c r="B6" s="27" t="str">
        <v>AZ</v>
      </c>
      <c r="C6" s="22">
        <v>12132.179651275899</v>
      </c>
      <c r="D6" s="12" t="s">
        <v>37</v>
      </c>
      <c r="E6" s="12" t="str">
        <f t="shared" si="0"/>
        <v/>
      </c>
      <c r="F6" s="13" t="str">
        <f t="shared" si="1"/>
        <v/>
      </c>
      <c r="G6" s="14">
        <v>18696</v>
      </c>
      <c r="H6" s="14">
        <f t="shared" si="2"/>
        <v>-6563.8203487241008</v>
      </c>
      <c r="I6" s="15">
        <f t="shared" si="3"/>
        <v>-0.35108153341485349</v>
      </c>
      <c r="J6" s="39" t="s">
        <v>38</v>
      </c>
      <c r="K6" s="72" t="s">
        <v>39</v>
      </c>
      <c r="L6" s="105"/>
      <c r="M6" s="105"/>
      <c r="N6" s="105"/>
      <c r="O6" s="105"/>
      <c r="P6" s="105"/>
      <c r="Q6" s="105"/>
      <c r="R6" s="105"/>
      <c r="S6" s="105"/>
      <c r="T6" s="105"/>
      <c r="U6" s="105"/>
      <c r="V6" s="105"/>
    </row>
    <row r="7" spans="1:22" ht="15.75">
      <c r="A7" s="28" t="str">
        <v>AZ: Tempe - ASU - Noble</v>
      </c>
      <c r="B7" s="29" t="str">
        <v>AZ</v>
      </c>
      <c r="C7" s="11">
        <v>12583.461537700599</v>
      </c>
      <c r="D7" s="16">
        <v>15025.43</v>
      </c>
      <c r="E7" s="16">
        <f t="shared" si="0"/>
        <v>-2441.9684622994009</v>
      </c>
      <c r="F7" s="17">
        <f t="shared" si="1"/>
        <v>-0.16252236789891544</v>
      </c>
      <c r="G7" s="18">
        <v>15254.26</v>
      </c>
      <c r="H7" s="18">
        <f t="shared" si="2"/>
        <v>-2670.7984622994009</v>
      </c>
      <c r="I7" s="17">
        <f t="shared" si="3"/>
        <v>-0.17508541629022981</v>
      </c>
      <c r="J7" s="40" t="s">
        <v>40</v>
      </c>
      <c r="K7" s="108"/>
      <c r="L7" s="105"/>
      <c r="M7" s="105"/>
      <c r="N7" s="105"/>
      <c r="O7" s="105"/>
      <c r="P7" s="105"/>
      <c r="Q7" s="105"/>
      <c r="R7" s="105"/>
      <c r="S7" s="105"/>
      <c r="T7" s="105"/>
      <c r="U7" s="105"/>
      <c r="V7" s="105"/>
    </row>
    <row r="8" spans="1:22" ht="15.75">
      <c r="A8" s="26" t="str">
        <v>AZ: Tempe - ASU - Parking #3</v>
      </c>
      <c r="B8" s="27" t="str">
        <v>AZ</v>
      </c>
      <c r="C8" s="22">
        <v>34337.612499999901</v>
      </c>
      <c r="D8" s="12">
        <v>35477.839999999997</v>
      </c>
      <c r="E8" s="12">
        <f t="shared" si="0"/>
        <v>-1140.2275000000955</v>
      </c>
      <c r="F8" s="13">
        <f t="shared" si="1"/>
        <v>-3.2139146577133661E-2</v>
      </c>
      <c r="G8" s="14">
        <v>31619.08</v>
      </c>
      <c r="H8" s="14">
        <f t="shared" si="2"/>
        <v>2718.5324999998993</v>
      </c>
      <c r="I8" s="15">
        <f t="shared" si="3"/>
        <v>8.5977596438602866E-2</v>
      </c>
      <c r="J8" s="39" t="s">
        <v>41</v>
      </c>
      <c r="K8" s="72" t="s">
        <v>42</v>
      </c>
      <c r="L8" s="105"/>
      <c r="M8" s="105"/>
      <c r="N8" s="105"/>
      <c r="O8" s="105"/>
      <c r="P8" s="105"/>
      <c r="Q8" s="105"/>
      <c r="R8" s="105"/>
      <c r="S8" s="105"/>
      <c r="T8" s="105"/>
      <c r="U8" s="105"/>
      <c r="V8" s="105"/>
    </row>
    <row r="9" spans="1:22" ht="15.75">
      <c r="A9" s="28" t="str">
        <v>AZ: Tempe - ASU - PE East</v>
      </c>
      <c r="B9" s="29" t="str">
        <v>AZ</v>
      </c>
      <c r="C9" s="11">
        <v>30211.9078319769</v>
      </c>
      <c r="D9" s="16">
        <v>25952.9</v>
      </c>
      <c r="E9" s="16">
        <f t="shared" si="0"/>
        <v>4259.0078319768982</v>
      </c>
      <c r="F9" s="17">
        <f t="shared" si="1"/>
        <v>0.16410527655779886</v>
      </c>
      <c r="G9" s="18">
        <v>31934.71</v>
      </c>
      <c r="H9" s="18">
        <f t="shared" si="2"/>
        <v>-1722.8021680230995</v>
      </c>
      <c r="I9" s="17">
        <f t="shared" si="3"/>
        <v>-5.394763779045119E-2</v>
      </c>
      <c r="J9" s="40"/>
      <c r="K9" s="108"/>
      <c r="L9" s="105"/>
      <c r="M9" s="105"/>
      <c r="N9" s="105"/>
      <c r="O9" s="105"/>
      <c r="P9" s="105"/>
      <c r="Q9" s="105"/>
      <c r="R9" s="105"/>
      <c r="S9" s="105"/>
      <c r="T9" s="105"/>
      <c r="U9" s="105"/>
      <c r="V9" s="105"/>
    </row>
    <row r="10" spans="1:22" ht="30.75">
      <c r="A10" s="26" t="str">
        <v>AZ: Tempe - ASU - Schwada</v>
      </c>
      <c r="B10" s="27" t="str">
        <v>AZ</v>
      </c>
      <c r="C10" s="22">
        <v>9176.8896546379001</v>
      </c>
      <c r="D10" s="12">
        <v>10685.01</v>
      </c>
      <c r="E10" s="12">
        <f t="shared" si="0"/>
        <v>-1508.1203453621001</v>
      </c>
      <c r="F10" s="13">
        <f t="shared" si="1"/>
        <v>-0.14114355956261154</v>
      </c>
      <c r="G10" s="14">
        <v>13894</v>
      </c>
      <c r="H10" s="14">
        <f t="shared" si="2"/>
        <v>-4717.1103453620999</v>
      </c>
      <c r="I10" s="15">
        <f t="shared" si="3"/>
        <v>-0.33950700628775732</v>
      </c>
      <c r="J10" s="39" t="s">
        <v>43</v>
      </c>
      <c r="K10" s="72" t="s">
        <v>44</v>
      </c>
      <c r="L10" s="63" t="s">
        <v>45</v>
      </c>
      <c r="M10" s="105"/>
      <c r="N10" s="105"/>
      <c r="O10" s="105"/>
      <c r="P10" s="105"/>
      <c r="Q10" s="105"/>
      <c r="R10" s="105"/>
      <c r="S10" s="105"/>
      <c r="T10" s="105"/>
      <c r="U10" s="105"/>
      <c r="V10" s="105"/>
    </row>
    <row r="11" spans="1:22" ht="76.5">
      <c r="A11" s="28" t="str">
        <v>AZ: Phoenix - Starshine Academy</v>
      </c>
      <c r="B11" s="29" t="str">
        <v>AZ</v>
      </c>
      <c r="C11" s="100">
        <v>6047.7999999999902</v>
      </c>
      <c r="D11" s="16" t="s">
        <v>37</v>
      </c>
      <c r="E11" s="16" t="str">
        <f t="shared" si="0"/>
        <v/>
      </c>
      <c r="F11" s="99" t="str">
        <f t="shared" si="1"/>
        <v/>
      </c>
      <c r="G11" s="80">
        <v>11002</v>
      </c>
      <c r="H11" s="80">
        <f t="shared" si="2"/>
        <v>-4954.2000000000098</v>
      </c>
      <c r="I11" s="99">
        <f t="shared" si="3"/>
        <v>-0.45029994546446189</v>
      </c>
      <c r="J11" s="40" t="s">
        <v>46</v>
      </c>
      <c r="K11" s="60" t="s">
        <v>47</v>
      </c>
      <c r="L11" s="63" t="s">
        <v>48</v>
      </c>
      <c r="M11" s="105"/>
      <c r="N11" s="105"/>
      <c r="O11" s="105"/>
      <c r="P11" s="105"/>
      <c r="Q11" s="105"/>
      <c r="R11" s="105"/>
      <c r="S11" s="105"/>
      <c r="T11" s="105"/>
      <c r="U11" s="105"/>
      <c r="V11" s="105"/>
    </row>
    <row r="12" spans="1:22" ht="45.75">
      <c r="A12" s="26" t="str">
        <v>AZ: Yuma Airport</v>
      </c>
      <c r="B12" s="27" t="str">
        <v>AZ</v>
      </c>
      <c r="C12" s="73">
        <v>66601</v>
      </c>
      <c r="D12" s="12">
        <v>94129.73</v>
      </c>
      <c r="E12" s="12">
        <f t="shared" si="0"/>
        <v>-27528.729999999996</v>
      </c>
      <c r="F12" s="74">
        <f t="shared" si="1"/>
        <v>-0.29245521048450895</v>
      </c>
      <c r="G12" s="75">
        <v>82137</v>
      </c>
      <c r="H12" s="75">
        <f t="shared" si="2"/>
        <v>-15536</v>
      </c>
      <c r="I12" s="76">
        <f t="shared" si="3"/>
        <v>-0.18914740007548364</v>
      </c>
      <c r="J12" s="77" t="s">
        <v>49</v>
      </c>
      <c r="K12" s="104" t="s">
        <v>50</v>
      </c>
      <c r="L12" s="105"/>
      <c r="M12" s="105"/>
      <c r="N12" s="105"/>
      <c r="O12" s="105"/>
      <c r="P12" s="105"/>
      <c r="Q12" s="105"/>
      <c r="R12" s="105"/>
      <c r="S12" s="105"/>
      <c r="T12" s="105"/>
      <c r="U12" s="105"/>
      <c r="V12" s="105"/>
    </row>
    <row r="13" spans="1:22" ht="15.75">
      <c r="A13" s="28" t="str">
        <v>AZ: Globe - Gila CC</v>
      </c>
      <c r="B13" s="29" t="str">
        <v>AZ</v>
      </c>
      <c r="C13" s="100">
        <v>20373.3752302871</v>
      </c>
      <c r="D13" s="16" t="s">
        <v>37</v>
      </c>
      <c r="E13" s="16" t="str">
        <f t="shared" si="0"/>
        <v/>
      </c>
      <c r="F13" s="99" t="str">
        <f t="shared" si="1"/>
        <v/>
      </c>
      <c r="G13" s="80">
        <v>18652</v>
      </c>
      <c r="H13" s="80">
        <f t="shared" si="2"/>
        <v>1721.3752302870998</v>
      </c>
      <c r="I13" s="99">
        <f t="shared" si="3"/>
        <v>9.2289043013462357E-2</v>
      </c>
      <c r="J13" s="40"/>
      <c r="K13" s="108"/>
      <c r="L13" s="105"/>
      <c r="M13" s="105"/>
      <c r="N13" s="105"/>
      <c r="O13" s="105"/>
      <c r="P13" s="105"/>
      <c r="Q13" s="105"/>
      <c r="R13" s="105"/>
      <c r="S13" s="105"/>
      <c r="T13" s="105"/>
      <c r="U13" s="105"/>
      <c r="V13" s="105"/>
    </row>
    <row r="14" spans="1:22" ht="30.75">
      <c r="A14" s="26" t="str">
        <v>AZ: Payson - Gila CC</v>
      </c>
      <c r="B14" s="27" t="str">
        <v>AZ</v>
      </c>
      <c r="C14" s="73">
        <v>15205.8845466159</v>
      </c>
      <c r="D14" s="12">
        <v>6558.9120000000003</v>
      </c>
      <c r="E14" s="12">
        <f t="shared" si="0"/>
        <v>8646.9725466158998</v>
      </c>
      <c r="F14" s="74">
        <f t="shared" si="1"/>
        <v>1.318354712887732</v>
      </c>
      <c r="G14" s="75">
        <v>15449</v>
      </c>
      <c r="H14" s="75">
        <f t="shared" si="2"/>
        <v>-243.11545338409996</v>
      </c>
      <c r="I14" s="76">
        <f t="shared" si="3"/>
        <v>-1.5736646603929056E-2</v>
      </c>
      <c r="J14" s="77" t="s">
        <v>51</v>
      </c>
      <c r="K14" s="104" t="s">
        <v>52</v>
      </c>
      <c r="L14" s="105"/>
      <c r="M14" s="105"/>
      <c r="N14" s="105"/>
      <c r="O14" s="105"/>
      <c r="P14" s="105"/>
      <c r="Q14" s="105"/>
      <c r="R14" s="105"/>
      <c r="S14" s="105"/>
      <c r="T14" s="105"/>
      <c r="U14" s="105"/>
      <c r="V14" s="105"/>
    </row>
    <row r="15" spans="1:22" ht="45.75">
      <c r="A15" s="28" t="str">
        <v>AZ: Mesa - Sequoia Charter School</v>
      </c>
      <c r="B15" s="29" t="str">
        <v>AZ</v>
      </c>
      <c r="C15" s="100">
        <v>32820.180000000197</v>
      </c>
      <c r="D15" s="16" t="s">
        <v>37</v>
      </c>
      <c r="E15" s="16" t="str">
        <f t="shared" si="0"/>
        <v/>
      </c>
      <c r="F15" s="99" t="str">
        <f t="shared" si="1"/>
        <v/>
      </c>
      <c r="G15" s="80">
        <v>52037</v>
      </c>
      <c r="H15" s="80">
        <f t="shared" si="2"/>
        <v>-19216.819999999803</v>
      </c>
      <c r="I15" s="99">
        <f t="shared" si="3"/>
        <v>-0.36929146568787213</v>
      </c>
      <c r="J15" s="40" t="s">
        <v>53</v>
      </c>
      <c r="K15" s="60" t="s">
        <v>54</v>
      </c>
      <c r="L15" s="63" t="s">
        <v>55</v>
      </c>
      <c r="M15" s="105"/>
      <c r="N15" s="105"/>
      <c r="O15" s="105"/>
      <c r="P15" s="105"/>
      <c r="Q15" s="105"/>
      <c r="R15" s="105"/>
      <c r="S15" s="105"/>
      <c r="T15" s="105"/>
      <c r="U15" s="105"/>
      <c r="V15" s="105"/>
    </row>
    <row r="16" spans="1:22" ht="15.75">
      <c r="A16" s="26" t="str">
        <v>AZ: Tempe - SCNM</v>
      </c>
      <c r="B16" s="27" t="str">
        <v>AZ</v>
      </c>
      <c r="C16" s="73">
        <v>67507.749445675901</v>
      </c>
      <c r="D16" s="12">
        <v>49080.480000000003</v>
      </c>
      <c r="E16" s="12">
        <f t="shared" si="0"/>
        <v>18427.269445675898</v>
      </c>
      <c r="F16" s="74">
        <f t="shared" si="1"/>
        <v>0.37545006580367385</v>
      </c>
      <c r="G16" s="75">
        <v>91007</v>
      </c>
      <c r="H16" s="75">
        <f t="shared" si="2"/>
        <v>-23499.250554324099</v>
      </c>
      <c r="I16" s="76">
        <f t="shared" si="3"/>
        <v>-0.2582136599857604</v>
      </c>
      <c r="J16" s="77" t="s">
        <v>56</v>
      </c>
      <c r="K16" s="104" t="s">
        <v>57</v>
      </c>
      <c r="L16" s="105"/>
      <c r="M16" s="105"/>
      <c r="N16" s="105"/>
      <c r="O16" s="105"/>
      <c r="P16" s="105"/>
      <c r="Q16" s="105"/>
      <c r="R16" s="105"/>
      <c r="S16" s="105"/>
      <c r="T16" s="105"/>
      <c r="U16" s="105"/>
      <c r="V16" s="105"/>
    </row>
    <row r="17" spans="1:22" ht="15.75">
      <c r="A17" s="28" t="str">
        <v>DE: Newark - Clayton Hall</v>
      </c>
      <c r="B17" s="29" t="str">
        <v>DE</v>
      </c>
      <c r="C17" s="100">
        <v>21726</v>
      </c>
      <c r="D17" s="16">
        <v>23826.591</v>
      </c>
      <c r="E17" s="16">
        <f t="shared" si="0"/>
        <v>-2100.5910000000003</v>
      </c>
      <c r="F17" s="99">
        <f t="shared" si="1"/>
        <v>-8.8161625807065741E-2</v>
      </c>
      <c r="G17" s="80">
        <v>20228.258000000002</v>
      </c>
      <c r="H17" s="80">
        <f t="shared" si="2"/>
        <v>1497.7419999999984</v>
      </c>
      <c r="I17" s="99">
        <f t="shared" si="3"/>
        <v>7.4042065312791561E-2</v>
      </c>
      <c r="J17" s="40"/>
      <c r="K17" s="108"/>
      <c r="L17" s="105"/>
      <c r="M17" s="105"/>
      <c r="N17" s="105"/>
      <c r="O17" s="105"/>
      <c r="P17" s="105"/>
      <c r="Q17" s="105"/>
      <c r="R17" s="105"/>
      <c r="S17" s="105"/>
      <c r="T17" s="105"/>
      <c r="U17" s="105"/>
      <c r="V17" s="105"/>
    </row>
    <row r="18" spans="1:22" ht="30.75">
      <c r="A18" s="26" t="str">
        <v>DE: Newark - UOD Field House</v>
      </c>
      <c r="B18" s="27" t="str">
        <v>DE</v>
      </c>
      <c r="C18" s="73">
        <v>55764</v>
      </c>
      <c r="D18" s="12" t="s">
        <v>37</v>
      </c>
      <c r="E18" s="12" t="str">
        <f t="shared" si="0"/>
        <v/>
      </c>
      <c r="F18" s="74" t="str">
        <f t="shared" si="1"/>
        <v/>
      </c>
      <c r="G18" s="75">
        <v>49697</v>
      </c>
      <c r="H18" s="75">
        <f t="shared" si="2"/>
        <v>6067</v>
      </c>
      <c r="I18" s="76">
        <f t="shared" si="3"/>
        <v>0.12207980360987584</v>
      </c>
      <c r="J18" s="77" t="s">
        <v>58</v>
      </c>
      <c r="K18" s="104" t="s">
        <v>59</v>
      </c>
      <c r="L18" s="105"/>
      <c r="M18" s="105"/>
      <c r="N18" s="105"/>
      <c r="O18" s="105"/>
      <c r="P18" s="105"/>
      <c r="Q18" s="105"/>
      <c r="R18" s="105"/>
      <c r="S18" s="105"/>
      <c r="T18" s="105"/>
      <c r="U18" s="105"/>
      <c r="V18" s="105"/>
    </row>
    <row r="19" spans="1:22" ht="60.75">
      <c r="A19" s="28" t="str">
        <v>DE: Newark - UOD 461 Wyoming</v>
      </c>
      <c r="B19" s="29" t="str">
        <v>DE</v>
      </c>
      <c r="C19" s="100">
        <v>0</v>
      </c>
      <c r="D19" s="16">
        <v>36216.917000000001</v>
      </c>
      <c r="E19" s="16">
        <f t="shared" si="0"/>
        <v>-36216.917000000001</v>
      </c>
      <c r="F19" s="99">
        <f t="shared" si="1"/>
        <v>-1</v>
      </c>
      <c r="G19" s="80">
        <v>37582.678</v>
      </c>
      <c r="H19" s="80">
        <f t="shared" si="2"/>
        <v>-37582.678</v>
      </c>
      <c r="I19" s="99">
        <f t="shared" si="3"/>
        <v>-1</v>
      </c>
      <c r="J19" s="40" t="s">
        <v>60</v>
      </c>
      <c r="K19" s="60" t="s">
        <v>61</v>
      </c>
      <c r="L19" s="105"/>
      <c r="M19" s="105"/>
      <c r="N19" s="105"/>
      <c r="O19" s="105"/>
      <c r="P19" s="105"/>
      <c r="Q19" s="105"/>
      <c r="R19" s="105"/>
      <c r="S19" s="105"/>
      <c r="T19" s="105"/>
      <c r="U19" s="105"/>
      <c r="V19" s="105"/>
    </row>
    <row r="20" spans="1:22" ht="60.75">
      <c r="A20" s="26" t="str">
        <v>HI: Waipahu - 94-246 Leoku St - E.F.G.</v>
      </c>
      <c r="B20" s="27" t="str">
        <v>HI</v>
      </c>
      <c r="C20" s="73">
        <v>10048</v>
      </c>
      <c r="D20" s="12">
        <v>13191.17</v>
      </c>
      <c r="E20" s="12">
        <f t="shared" si="0"/>
        <v>-3143.17</v>
      </c>
      <c r="F20" s="74">
        <f t="shared" si="1"/>
        <v>-0.2382783331577108</v>
      </c>
      <c r="G20" s="75">
        <v>13676.54</v>
      </c>
      <c r="H20" s="75">
        <f t="shared" si="2"/>
        <v>-3628.5400000000009</v>
      </c>
      <c r="I20" s="76">
        <f t="shared" si="3"/>
        <v>-0.26531125562459518</v>
      </c>
      <c r="J20" s="77" t="s">
        <v>62</v>
      </c>
      <c r="K20" s="104" t="s">
        <v>63</v>
      </c>
      <c r="L20" s="63" t="s">
        <v>64</v>
      </c>
      <c r="M20" s="105"/>
      <c r="N20" s="105"/>
      <c r="O20" s="105"/>
      <c r="P20" s="105"/>
      <c r="Q20" s="105"/>
      <c r="R20" s="105"/>
      <c r="S20" s="105"/>
      <c r="T20" s="105"/>
      <c r="U20" s="105"/>
      <c r="V20" s="105"/>
    </row>
    <row r="21" spans="1:22" ht="15.75">
      <c r="A21" s="28" t="str">
        <v>HI: Waipahu - 94-099 Waipahu St - PV</v>
      </c>
      <c r="B21" s="29" t="str">
        <v>HI</v>
      </c>
      <c r="C21" s="100">
        <v>14836</v>
      </c>
      <c r="D21" s="16">
        <v>11475.55</v>
      </c>
      <c r="E21" s="16">
        <f t="shared" si="0"/>
        <v>3360.4500000000007</v>
      </c>
      <c r="F21" s="99">
        <f t="shared" si="1"/>
        <v>0.29283563750757052</v>
      </c>
      <c r="G21" s="80">
        <v>13669.23</v>
      </c>
      <c r="H21" s="80">
        <f t="shared" si="2"/>
        <v>1166.7700000000004</v>
      </c>
      <c r="I21" s="99">
        <f t="shared" si="3"/>
        <v>8.5357404916004812E-2</v>
      </c>
      <c r="J21" s="40"/>
      <c r="K21" s="108"/>
      <c r="L21" s="105"/>
      <c r="M21" s="105"/>
      <c r="N21" s="105"/>
      <c r="O21" s="105"/>
      <c r="P21" s="105"/>
      <c r="Q21" s="105"/>
      <c r="R21" s="105"/>
      <c r="S21" s="105"/>
      <c r="T21" s="105"/>
      <c r="U21" s="105"/>
      <c r="V21" s="105"/>
    </row>
    <row r="22" spans="1:22" ht="121.5">
      <c r="A22" s="26" t="str">
        <v>MD: Presston - Bird-in-Hand</v>
      </c>
      <c r="B22" s="27" t="str">
        <v>MD</v>
      </c>
      <c r="C22" s="73">
        <v>145779</v>
      </c>
      <c r="D22" s="12">
        <v>144638.70000000001</v>
      </c>
      <c r="E22" s="12">
        <f t="shared" si="0"/>
        <v>1140.2999999999884</v>
      </c>
      <c r="F22" s="74">
        <f t="shared" si="1"/>
        <v>7.8837821412940535E-3</v>
      </c>
      <c r="G22" s="75">
        <v>179658.6</v>
      </c>
      <c r="H22" s="75">
        <f t="shared" si="2"/>
        <v>-33879.600000000006</v>
      </c>
      <c r="I22" s="76">
        <f t="shared" si="3"/>
        <v>-0.18857766897882988</v>
      </c>
      <c r="J22" s="77" t="s">
        <v>65</v>
      </c>
      <c r="K22" s="104" t="s">
        <v>66</v>
      </c>
      <c r="L22" s="63" t="s">
        <v>67</v>
      </c>
      <c r="M22" s="63" t="s">
        <v>68</v>
      </c>
      <c r="N22" s="105"/>
      <c r="O22" s="105"/>
      <c r="P22" s="105"/>
      <c r="Q22" s="105"/>
      <c r="R22" s="105"/>
      <c r="S22" s="105"/>
      <c r="T22" s="105"/>
      <c r="U22" s="105"/>
      <c r="V22" s="105"/>
    </row>
    <row r="23" spans="1:22" ht="30.75">
      <c r="A23" s="28" t="str">
        <v>MD: Easton - Shortall</v>
      </c>
      <c r="B23" s="29" t="str">
        <v>MD</v>
      </c>
      <c r="C23" s="100">
        <v>188462</v>
      </c>
      <c r="D23" s="16">
        <v>193996.5</v>
      </c>
      <c r="E23" s="16">
        <f t="shared" si="0"/>
        <v>-5534.5</v>
      </c>
      <c r="F23" s="99">
        <f t="shared" si="1"/>
        <v>-2.8528865211485774E-2</v>
      </c>
      <c r="G23" s="80">
        <v>158875.9</v>
      </c>
      <c r="H23" s="80">
        <f t="shared" si="2"/>
        <v>29586.100000000006</v>
      </c>
      <c r="I23" s="99">
        <f t="shared" si="3"/>
        <v>0.18622144705395852</v>
      </c>
      <c r="J23" s="40" t="s">
        <v>69</v>
      </c>
      <c r="K23" s="60" t="s">
        <v>70</v>
      </c>
      <c r="L23" s="63" t="s">
        <v>71</v>
      </c>
      <c r="M23" s="105"/>
      <c r="N23" s="105"/>
      <c r="O23" s="105"/>
      <c r="P23" s="105"/>
      <c r="Q23" s="105"/>
      <c r="R23" s="105"/>
      <c r="S23" s="105"/>
      <c r="T23" s="105"/>
      <c r="U23" s="105"/>
      <c r="V23" s="105"/>
    </row>
    <row r="24" spans="1:22" ht="30.75">
      <c r="A24" s="26" t="str">
        <v>MA: Boston - Seaport Solar</v>
      </c>
      <c r="B24" s="27" t="str">
        <v>MA</v>
      </c>
      <c r="C24" s="73">
        <v>85397.5</v>
      </c>
      <c r="D24" s="12">
        <v>14365.66</v>
      </c>
      <c r="E24" s="12">
        <f t="shared" si="0"/>
        <v>71031.839999999997</v>
      </c>
      <c r="F24" s="74">
        <f t="shared" si="1"/>
        <v>4.94455806416134</v>
      </c>
      <c r="G24" s="75">
        <v>86009.04</v>
      </c>
      <c r="H24" s="75">
        <f t="shared" si="2"/>
        <v>-611.5399999999936</v>
      </c>
      <c r="I24" s="76">
        <f t="shared" si="3"/>
        <v>-7.1101828365947774E-3</v>
      </c>
      <c r="J24" s="77" t="s">
        <v>72</v>
      </c>
      <c r="K24" s="104" t="s">
        <v>73</v>
      </c>
      <c r="L24" s="105"/>
      <c r="M24" s="105"/>
      <c r="N24" s="105"/>
      <c r="O24" s="105"/>
      <c r="P24" s="105"/>
      <c r="Q24" s="105"/>
      <c r="R24" s="105"/>
      <c r="S24" s="105"/>
      <c r="T24" s="105"/>
      <c r="U24" s="105"/>
      <c r="V24" s="105"/>
    </row>
    <row r="25" spans="1:22" ht="30.75">
      <c r="A25" s="28" t="str">
        <v>MA: Dedham - Sprague Street</v>
      </c>
      <c r="B25" s="29" t="str">
        <v>MA</v>
      </c>
      <c r="C25" s="100">
        <v>185825</v>
      </c>
      <c r="D25" s="16">
        <v>0</v>
      </c>
      <c r="E25" s="16">
        <f t="shared" si="0"/>
        <v>185825</v>
      </c>
      <c r="F25" s="99" t="str">
        <f t="shared" si="1"/>
        <v/>
      </c>
      <c r="G25" s="80">
        <v>193250.7</v>
      </c>
      <c r="H25" s="80">
        <f t="shared" si="2"/>
        <v>-7425.7000000000116</v>
      </c>
      <c r="I25" s="99">
        <f t="shared" si="3"/>
        <v>-3.8425216571013769E-2</v>
      </c>
      <c r="J25" s="40" t="s">
        <v>74</v>
      </c>
      <c r="K25" s="60" t="s">
        <v>75</v>
      </c>
      <c r="L25" s="105"/>
      <c r="M25" s="105"/>
      <c r="N25" s="105"/>
      <c r="O25" s="105"/>
      <c r="P25" s="105"/>
      <c r="Q25" s="105"/>
      <c r="R25" s="105"/>
      <c r="S25" s="105"/>
      <c r="T25" s="105"/>
      <c r="U25" s="105"/>
      <c r="V25" s="105"/>
    </row>
    <row r="26" spans="1:22" ht="76.5">
      <c r="A26" s="26" t="str">
        <v>MA: Boston - Summer Street</v>
      </c>
      <c r="B26" s="27" t="str">
        <v>MA</v>
      </c>
      <c r="C26" s="73">
        <v>0</v>
      </c>
      <c r="D26" s="12">
        <v>64247.81</v>
      </c>
      <c r="E26" s="12">
        <f t="shared" si="0"/>
        <v>-64247.81</v>
      </c>
      <c r="F26" s="74">
        <f t="shared" si="1"/>
        <v>-1</v>
      </c>
      <c r="G26" s="75">
        <v>409224.3</v>
      </c>
      <c r="H26" s="75">
        <f t="shared" si="2"/>
        <v>-409224.3</v>
      </c>
      <c r="I26" s="76">
        <f t="shared" si="3"/>
        <v>-1</v>
      </c>
      <c r="J26" s="77" t="s">
        <v>76</v>
      </c>
      <c r="K26" s="104" t="s">
        <v>77</v>
      </c>
      <c r="L26" s="63" t="s">
        <v>78</v>
      </c>
      <c r="M26" s="105"/>
      <c r="N26" s="105"/>
      <c r="O26" s="105"/>
      <c r="P26" s="105"/>
      <c r="Q26" s="105"/>
      <c r="R26" s="105"/>
      <c r="S26" s="105"/>
      <c r="T26" s="105"/>
      <c r="U26" s="105"/>
      <c r="V26" s="105"/>
    </row>
    <row r="27" spans="1:22" ht="15.75">
      <c r="A27" s="28" t="str">
        <v>MA: Leominster - Spectro Coatings</v>
      </c>
      <c r="B27" s="29" t="str">
        <v>MA</v>
      </c>
      <c r="C27" s="100">
        <v>38126.625</v>
      </c>
      <c r="D27" s="16">
        <v>39199.726999999999</v>
      </c>
      <c r="E27" s="16">
        <f t="shared" si="0"/>
        <v>-1073.101999999999</v>
      </c>
      <c r="F27" s="99">
        <f t="shared" si="1"/>
        <v>-2.7375241669412621E-2</v>
      </c>
      <c r="G27" s="80">
        <v>38210.936999999998</v>
      </c>
      <c r="H27" s="80">
        <f t="shared" si="2"/>
        <v>-84.311999999998079</v>
      </c>
      <c r="I27" s="99">
        <f t="shared" si="3"/>
        <v>-2.2064886814996995E-3</v>
      </c>
      <c r="J27" s="40"/>
      <c r="K27" s="108"/>
      <c r="L27" s="105"/>
      <c r="M27" s="105"/>
      <c r="N27" s="105"/>
      <c r="O27" s="105"/>
      <c r="P27" s="105"/>
      <c r="Q27" s="105"/>
      <c r="R27" s="105"/>
      <c r="S27" s="105"/>
      <c r="T27" s="105"/>
      <c r="U27" s="105"/>
      <c r="V27" s="105"/>
    </row>
    <row r="28" spans="1:22" ht="30.75">
      <c r="A28" s="26" t="str">
        <v>MA: Braintree - RCAB</v>
      </c>
      <c r="B28" s="27" t="str">
        <v>MA</v>
      </c>
      <c r="C28" s="73">
        <v>147058</v>
      </c>
      <c r="D28" s="12">
        <v>182019.3</v>
      </c>
      <c r="E28" s="12">
        <f t="shared" si="0"/>
        <v>-34961.299999999988</v>
      </c>
      <c r="F28" s="74">
        <f t="shared" si="1"/>
        <v>-0.19207468658543347</v>
      </c>
      <c r="G28" s="75">
        <v>146482.79999999999</v>
      </c>
      <c r="H28" s="75">
        <f t="shared" si="2"/>
        <v>575.20000000001164</v>
      </c>
      <c r="I28" s="76">
        <f t="shared" si="3"/>
        <v>3.9267408869847632E-3</v>
      </c>
      <c r="J28" s="77" t="s">
        <v>79</v>
      </c>
      <c r="K28" s="104" t="s">
        <v>80</v>
      </c>
      <c r="L28" s="105"/>
      <c r="M28" s="105"/>
      <c r="N28" s="105"/>
      <c r="O28" s="105"/>
      <c r="P28" s="105"/>
      <c r="Q28" s="105"/>
      <c r="R28" s="105"/>
      <c r="S28" s="105"/>
      <c r="T28" s="105"/>
      <c r="U28" s="105"/>
      <c r="V28" s="105"/>
    </row>
    <row r="29" spans="1:22" ht="15.75">
      <c r="A29" s="28" t="str">
        <v>NH: Rochester - Portland Street</v>
      </c>
      <c r="B29" s="29" t="str">
        <v>NH</v>
      </c>
      <c r="C29" s="100">
        <v>11535.627</v>
      </c>
      <c r="D29" s="16">
        <v>8215.9359999999997</v>
      </c>
      <c r="E29" s="16">
        <f t="shared" si="0"/>
        <v>3319.6910000000007</v>
      </c>
      <c r="F29" s="99">
        <f t="shared" si="1"/>
        <v>0.40405511922196091</v>
      </c>
      <c r="G29" s="80">
        <v>9368.7739999999994</v>
      </c>
      <c r="H29" s="80">
        <f t="shared" si="2"/>
        <v>2166.853000000001</v>
      </c>
      <c r="I29" s="99">
        <f t="shared" si="3"/>
        <v>0.2312845843009983</v>
      </c>
      <c r="J29" s="40"/>
      <c r="K29" s="108"/>
      <c r="L29" s="105"/>
      <c r="M29" s="105"/>
      <c r="N29" s="105"/>
      <c r="O29" s="105"/>
      <c r="P29" s="105"/>
      <c r="Q29" s="105"/>
      <c r="R29" s="105"/>
      <c r="S29" s="105"/>
      <c r="T29" s="105"/>
      <c r="U29" s="105"/>
      <c r="V29" s="105"/>
    </row>
    <row r="30" spans="1:22" ht="15.75">
      <c r="A30" s="26" t="str">
        <v>NH: Portsmouth - Portsmouth HS</v>
      </c>
      <c r="B30" s="27" t="str">
        <v>NH</v>
      </c>
      <c r="C30" s="73">
        <v>44411.625</v>
      </c>
      <c r="D30" s="12" t="s">
        <v>37</v>
      </c>
      <c r="E30" s="12" t="str">
        <f t="shared" si="0"/>
        <v/>
      </c>
      <c r="F30" s="74" t="str">
        <f t="shared" si="1"/>
        <v/>
      </c>
      <c r="G30" s="75">
        <v>35518.29</v>
      </c>
      <c r="H30" s="75">
        <f t="shared" si="2"/>
        <v>8893.3349999999991</v>
      </c>
      <c r="I30" s="76">
        <f t="shared" si="3"/>
        <v>0.25038747642411835</v>
      </c>
      <c r="J30" s="77" t="s">
        <v>81</v>
      </c>
      <c r="K30" s="104" t="s">
        <v>82</v>
      </c>
      <c r="L30" s="105"/>
      <c r="M30" s="105"/>
      <c r="N30" s="105"/>
      <c r="O30" s="105"/>
      <c r="P30" s="105"/>
      <c r="Q30" s="105"/>
      <c r="R30" s="105"/>
      <c r="S30" s="105"/>
      <c r="T30" s="105"/>
      <c r="U30" s="105"/>
      <c r="V30" s="105"/>
    </row>
    <row r="31" spans="1:22" ht="121.5">
      <c r="A31" s="28" t="str">
        <v>NH: Portsmouth - Portsmouth WTP</v>
      </c>
      <c r="B31" s="29" t="str">
        <v>NH</v>
      </c>
      <c r="C31" s="100">
        <v>0</v>
      </c>
      <c r="D31" s="16">
        <v>0</v>
      </c>
      <c r="E31" s="16">
        <f t="shared" si="0"/>
        <v>0</v>
      </c>
      <c r="F31" s="99" t="str">
        <f t="shared" si="1"/>
        <v/>
      </c>
      <c r="G31" s="80">
        <v>0</v>
      </c>
      <c r="H31" s="80">
        <f t="shared" si="2"/>
        <v>0</v>
      </c>
      <c r="I31" s="99" t="str">
        <f t="shared" si="3"/>
        <v/>
      </c>
      <c r="J31" s="40" t="s">
        <v>83</v>
      </c>
      <c r="K31" s="60" t="s">
        <v>84</v>
      </c>
      <c r="L31" s="63" t="s">
        <v>85</v>
      </c>
      <c r="M31" s="105"/>
      <c r="N31" s="105"/>
      <c r="O31" s="105"/>
      <c r="P31" s="105"/>
      <c r="Q31" s="105"/>
      <c r="R31" s="105"/>
      <c r="S31" s="105"/>
      <c r="T31" s="105"/>
      <c r="U31" s="105"/>
      <c r="V31" s="105"/>
    </row>
    <row r="32" spans="1:22" ht="15.75">
      <c r="A32" s="26" t="str">
        <v>NH: Rochester - Rochester MS</v>
      </c>
      <c r="B32" s="27" t="str">
        <v>NH</v>
      </c>
      <c r="C32" s="73">
        <v>38047.617380000003</v>
      </c>
      <c r="D32" s="12">
        <v>40396.32</v>
      </c>
      <c r="E32" s="12">
        <f t="shared" si="0"/>
        <v>-2348.7026199999964</v>
      </c>
      <c r="F32" s="74">
        <f t="shared" si="1"/>
        <v>-5.8141499522728714E-2</v>
      </c>
      <c r="G32" s="75">
        <v>30355.119999999999</v>
      </c>
      <c r="H32" s="75">
        <f t="shared" si="2"/>
        <v>7692.4973800000043</v>
      </c>
      <c r="I32" s="76">
        <f t="shared" si="3"/>
        <v>0.25341680019713331</v>
      </c>
      <c r="J32" s="77"/>
      <c r="K32" s="103"/>
      <c r="L32" s="105"/>
      <c r="M32" s="105"/>
      <c r="N32" s="105"/>
      <c r="O32" s="105"/>
      <c r="P32" s="105"/>
      <c r="Q32" s="105"/>
      <c r="R32" s="105"/>
      <c r="S32" s="105"/>
      <c r="T32" s="105"/>
      <c r="U32" s="105"/>
      <c r="V32" s="105"/>
    </row>
    <row r="33" spans="1:22" ht="15.75">
      <c r="A33" s="28" t="str">
        <v>NH Rochester - Spaulding HS</v>
      </c>
      <c r="B33" s="29" t="str">
        <v>NH</v>
      </c>
      <c r="C33" s="100">
        <v>19594.5</v>
      </c>
      <c r="D33" s="16">
        <v>16446</v>
      </c>
      <c r="E33" s="16">
        <f t="shared" si="0"/>
        <v>3148.5</v>
      </c>
      <c r="F33" s="99">
        <f t="shared" si="1"/>
        <v>0.19144472820138636</v>
      </c>
      <c r="G33" s="80">
        <v>15033.3</v>
      </c>
      <c r="H33" s="80">
        <f t="shared" si="2"/>
        <v>4561.2000000000007</v>
      </c>
      <c r="I33" s="99">
        <f t="shared" si="3"/>
        <v>0.30340643770828768</v>
      </c>
      <c r="J33" s="40"/>
      <c r="K33" s="108"/>
      <c r="L33" s="105"/>
      <c r="M33" s="105"/>
      <c r="N33" s="105"/>
      <c r="O33" s="105"/>
      <c r="P33" s="105"/>
      <c r="Q33" s="105"/>
      <c r="R33" s="105"/>
      <c r="S33" s="105"/>
      <c r="T33" s="105"/>
      <c r="U33" s="105"/>
      <c r="V33" s="105"/>
    </row>
    <row r="34" spans="1:22" ht="15.75">
      <c r="A34" s="26" t="str">
        <v>NH: Rochester - McClelland ES</v>
      </c>
      <c r="B34" s="27" t="str">
        <v>NH</v>
      </c>
      <c r="C34" s="73">
        <v>13246.875</v>
      </c>
      <c r="D34" s="12">
        <v>13989</v>
      </c>
      <c r="E34" s="12">
        <f t="shared" si="0"/>
        <v>-742.125</v>
      </c>
      <c r="F34" s="74">
        <f t="shared" si="1"/>
        <v>-5.3050611194509975E-2</v>
      </c>
      <c r="G34" s="75">
        <v>9803.6689999999999</v>
      </c>
      <c r="H34" s="75">
        <f t="shared" si="2"/>
        <v>3443.2060000000001</v>
      </c>
      <c r="I34" s="76">
        <f t="shared" si="3"/>
        <v>0.35121606002813849</v>
      </c>
      <c r="J34" s="77"/>
      <c r="K34" s="103"/>
      <c r="L34" s="105"/>
      <c r="M34" s="105"/>
      <c r="N34" s="105"/>
      <c r="O34" s="105"/>
      <c r="P34" s="105"/>
      <c r="Q34" s="105"/>
      <c r="R34" s="105"/>
      <c r="S34" s="105"/>
      <c r="T34" s="105"/>
      <c r="U34" s="105"/>
      <c r="V34" s="105"/>
    </row>
    <row r="35" spans="1:22" ht="15.75">
      <c r="A35" s="28" t="str">
        <v>NH: Rochester - Brock St Vocational</v>
      </c>
      <c r="B35" s="29" t="str">
        <v>NH</v>
      </c>
      <c r="C35" s="100">
        <v>17978.129069999999</v>
      </c>
      <c r="D35" s="16">
        <v>17518.419999999998</v>
      </c>
      <c r="E35" s="16">
        <f t="shared" si="0"/>
        <v>459.70907000000079</v>
      </c>
      <c r="F35" s="99">
        <f t="shared" si="1"/>
        <v>2.6241468694094605E-2</v>
      </c>
      <c r="G35" s="80">
        <v>13220.3</v>
      </c>
      <c r="H35" s="80">
        <f t="shared" si="2"/>
        <v>4757.8290699999998</v>
      </c>
      <c r="I35" s="99">
        <f t="shared" si="3"/>
        <v>0.35988813188808122</v>
      </c>
      <c r="J35" s="40"/>
      <c r="K35" s="108"/>
      <c r="L35" s="105"/>
      <c r="M35" s="105"/>
      <c r="N35" s="105"/>
      <c r="O35" s="105"/>
      <c r="P35" s="105"/>
      <c r="Q35" s="105"/>
      <c r="R35" s="105"/>
      <c r="S35" s="105"/>
      <c r="T35" s="105"/>
      <c r="U35" s="105"/>
      <c r="V35" s="105"/>
    </row>
    <row r="36" spans="1:22" ht="45.75">
      <c r="A36" s="26" t="str">
        <v>OH: Cleveland - CV Kinsman</v>
      </c>
      <c r="B36" s="27" t="str">
        <v>OH</v>
      </c>
      <c r="C36" s="73">
        <v>714.0703125</v>
      </c>
      <c r="D36" s="12">
        <v>138037.1</v>
      </c>
      <c r="E36" s="12">
        <f t="shared" si="0"/>
        <v>-137323.02968750001</v>
      </c>
      <c r="F36" s="74">
        <f t="shared" si="1"/>
        <v>-0.99482696816652916</v>
      </c>
      <c r="G36" s="75">
        <v>133750</v>
      </c>
      <c r="H36" s="75">
        <f t="shared" si="2"/>
        <v>-133035.9296875</v>
      </c>
      <c r="I36" s="76">
        <f t="shared" si="3"/>
        <v>-0.99466115654205611</v>
      </c>
      <c r="J36" s="77" t="s">
        <v>86</v>
      </c>
      <c r="K36" s="104" t="s">
        <v>87</v>
      </c>
      <c r="L36" s="63" t="s">
        <v>88</v>
      </c>
      <c r="M36" s="105"/>
      <c r="N36" s="105"/>
      <c r="O36" s="105"/>
      <c r="P36" s="105"/>
      <c r="Q36" s="105"/>
      <c r="R36" s="105"/>
      <c r="S36" s="105"/>
      <c r="T36" s="105"/>
      <c r="U36" s="105"/>
      <c r="V36" s="105"/>
    </row>
    <row r="37" spans="1:22" ht="30.75">
      <c r="A37" s="28" t="str">
        <v>OH: Cleveland - CV Wooster</v>
      </c>
      <c r="B37" s="29" t="str">
        <v>OH</v>
      </c>
      <c r="C37" s="100">
        <v>21528</v>
      </c>
      <c r="D37" s="16" t="s">
        <v>37</v>
      </c>
      <c r="E37" s="16" t="str">
        <f t="shared" si="0"/>
        <v/>
      </c>
      <c r="F37" s="99" t="str">
        <f t="shared" si="1"/>
        <v/>
      </c>
      <c r="G37" s="80">
        <v>32092</v>
      </c>
      <c r="H37" s="80">
        <f t="shared" si="2"/>
        <v>-10564</v>
      </c>
      <c r="I37" s="99">
        <f t="shared" si="3"/>
        <v>-0.32917861149196059</v>
      </c>
      <c r="J37" s="40" t="s">
        <v>89</v>
      </c>
      <c r="K37" s="60" t="s">
        <v>90</v>
      </c>
      <c r="L37" s="105"/>
      <c r="M37" s="105"/>
      <c r="N37" s="105"/>
      <c r="O37" s="105"/>
      <c r="P37" s="105"/>
      <c r="Q37" s="105"/>
      <c r="R37" s="105"/>
      <c r="S37" s="105"/>
      <c r="T37" s="105"/>
      <c r="U37" s="105"/>
      <c r="V37" s="105"/>
    </row>
    <row r="38" spans="1:22" ht="30.75">
      <c r="A38" s="26" t="str">
        <v>PR: Aguadilla - Coca Cola</v>
      </c>
      <c r="B38" s="27" t="str">
        <v>PR</v>
      </c>
      <c r="C38" s="73">
        <v>15714</v>
      </c>
      <c r="D38" s="12">
        <v>20085.89</v>
      </c>
      <c r="E38" s="12">
        <f t="shared" si="0"/>
        <v>-4371.8899999999994</v>
      </c>
      <c r="F38" s="74">
        <f t="shared" si="1"/>
        <v>-0.21765976015999289</v>
      </c>
      <c r="G38" s="75">
        <v>23213</v>
      </c>
      <c r="H38" s="75">
        <f t="shared" si="2"/>
        <v>-7499</v>
      </c>
      <c r="I38" s="76">
        <f t="shared" si="3"/>
        <v>-0.32305173825011846</v>
      </c>
      <c r="J38" s="77" t="s">
        <v>91</v>
      </c>
      <c r="K38" s="104" t="s">
        <v>92</v>
      </c>
      <c r="L38" s="63" t="s">
        <v>93</v>
      </c>
      <c r="M38" s="105"/>
      <c r="N38" s="105"/>
      <c r="O38" s="105"/>
      <c r="P38" s="105"/>
      <c r="Q38" s="105"/>
      <c r="R38" s="105"/>
      <c r="S38" s="105"/>
      <c r="T38" s="105"/>
      <c r="U38" s="105"/>
      <c r="V38" s="105"/>
    </row>
    <row r="39" spans="1:22" ht="106.5">
      <c r="A39" s="28" t="str">
        <v>PR: Bayamon - Coca Cola</v>
      </c>
      <c r="B39" s="29" t="str">
        <v>PR</v>
      </c>
      <c r="C39" s="100">
        <v>53577</v>
      </c>
      <c r="D39" s="16">
        <v>82116.61</v>
      </c>
      <c r="E39" s="16">
        <f t="shared" si="0"/>
        <v>-28539.61</v>
      </c>
      <c r="F39" s="99">
        <f t="shared" si="1"/>
        <v>-0.34754978316810692</v>
      </c>
      <c r="G39" s="80">
        <v>86974</v>
      </c>
      <c r="H39" s="80">
        <f t="shared" si="2"/>
        <v>-33397</v>
      </c>
      <c r="I39" s="99">
        <f t="shared" si="3"/>
        <v>-0.38398831834801206</v>
      </c>
      <c r="J39" s="40" t="s">
        <v>94</v>
      </c>
      <c r="K39" s="60" t="s">
        <v>95</v>
      </c>
      <c r="L39" s="63" t="s">
        <v>96</v>
      </c>
      <c r="M39" s="63" t="s">
        <v>97</v>
      </c>
      <c r="N39" s="63" t="s">
        <v>98</v>
      </c>
      <c r="O39" s="63" t="s">
        <v>99</v>
      </c>
      <c r="P39" s="63" t="s">
        <v>100</v>
      </c>
      <c r="Q39" s="63" t="s">
        <v>101</v>
      </c>
      <c r="R39" s="105"/>
      <c r="S39" s="105"/>
      <c r="T39" s="105"/>
      <c r="U39" s="105"/>
      <c r="V39" s="105"/>
    </row>
    <row r="40" spans="1:22" ht="167.25">
      <c r="A40" s="26" t="str">
        <v>PR: Carolina - St. Francis</v>
      </c>
      <c r="B40" s="27" t="str">
        <v>PR</v>
      </c>
      <c r="C40" s="73">
        <v>18667</v>
      </c>
      <c r="D40" s="12">
        <v>64278.93</v>
      </c>
      <c r="E40" s="12">
        <f t="shared" si="0"/>
        <v>-45611.93</v>
      </c>
      <c r="F40" s="74">
        <f t="shared" si="1"/>
        <v>-0.70959379690981161</v>
      </c>
      <c r="G40" s="75">
        <v>44155</v>
      </c>
      <c r="H40" s="75">
        <f t="shared" si="2"/>
        <v>-25488</v>
      </c>
      <c r="I40" s="76">
        <f t="shared" si="3"/>
        <v>-0.57723927075076431</v>
      </c>
      <c r="J40" s="77" t="s">
        <v>102</v>
      </c>
      <c r="K40" s="104" t="s">
        <v>103</v>
      </c>
      <c r="L40" s="63" t="s">
        <v>104</v>
      </c>
      <c r="M40" s="63" t="s">
        <v>105</v>
      </c>
      <c r="N40" s="63" t="s">
        <v>106</v>
      </c>
      <c r="O40" s="63" t="s">
        <v>107</v>
      </c>
      <c r="P40" s="63" t="s">
        <v>108</v>
      </c>
      <c r="Q40" s="63" t="s">
        <v>109</v>
      </c>
      <c r="R40" s="63" t="s">
        <v>110</v>
      </c>
      <c r="S40" s="63" t="s">
        <v>111</v>
      </c>
      <c r="T40" s="63" t="s">
        <v>112</v>
      </c>
      <c r="U40" s="63" t="s">
        <v>113</v>
      </c>
      <c r="V40" s="63" t="s">
        <v>114</v>
      </c>
    </row>
    <row r="41" spans="1:22" ht="15.75">
      <c r="A41" s="28" t="str">
        <v>DC: Washington - Essex Condominium</v>
      </c>
      <c r="B41" s="29" t="str">
        <v>DC</v>
      </c>
      <c r="C41" s="100">
        <v>4372</v>
      </c>
      <c r="D41" s="16">
        <v>5738.8450000000003</v>
      </c>
      <c r="E41" s="16">
        <f t="shared" si="0"/>
        <v>-1366.8450000000003</v>
      </c>
      <c r="F41" s="99">
        <f t="shared" si="1"/>
        <v>-0.23817423192297407</v>
      </c>
      <c r="G41" s="80">
        <v>5313.9589999999998</v>
      </c>
      <c r="H41" s="80">
        <f t="shared" si="2"/>
        <v>-941.95899999999983</v>
      </c>
      <c r="I41" s="99">
        <f t="shared" si="3"/>
        <v>-0.17726124721699957</v>
      </c>
      <c r="J41" s="40" t="s">
        <v>115</v>
      </c>
      <c r="K41" s="108"/>
      <c r="L41" s="105"/>
      <c r="M41" s="105"/>
      <c r="N41" s="105"/>
      <c r="O41" s="105"/>
      <c r="P41" s="105"/>
      <c r="Q41" s="105"/>
      <c r="R41" s="105"/>
      <c r="S41" s="105"/>
      <c r="T41" s="105"/>
      <c r="U41" s="105"/>
      <c r="V41" s="105"/>
    </row>
    <row r="42" spans="1:22" ht="15.75">
      <c r="A42" s="26" t="str">
        <v>DC: Chevy Chase -Sinai</v>
      </c>
      <c r="B42" s="27" t="str">
        <v>DC</v>
      </c>
      <c r="C42" s="73">
        <v>10028.8199999999</v>
      </c>
      <c r="D42" s="12">
        <v>14969.03</v>
      </c>
      <c r="E42" s="12">
        <f t="shared" si="0"/>
        <v>-4940.210000000101</v>
      </c>
      <c r="F42" s="74">
        <f t="shared" si="1"/>
        <v>-0.33002873265669858</v>
      </c>
      <c r="G42" s="75">
        <v>12371.16</v>
      </c>
      <c r="H42" s="75">
        <f t="shared" si="2"/>
        <v>-2342.3400000001002</v>
      </c>
      <c r="I42" s="76">
        <f t="shared" si="3"/>
        <v>-0.18933875238862807</v>
      </c>
      <c r="J42" s="77" t="s">
        <v>116</v>
      </c>
      <c r="K42" s="104" t="s">
        <v>117</v>
      </c>
      <c r="L42" s="105"/>
      <c r="M42" s="105"/>
      <c r="N42" s="105"/>
      <c r="O42" s="105"/>
      <c r="P42" s="105"/>
      <c r="Q42" s="105"/>
      <c r="R42" s="105"/>
      <c r="S42" s="105"/>
      <c r="T42" s="105"/>
      <c r="U42" s="105"/>
      <c r="V42" s="105"/>
    </row>
    <row r="43" spans="1:22" ht="15.75">
      <c r="A43" s="28" t="str">
        <v>DC: Washington - Weinberg 1</v>
      </c>
      <c r="B43" s="29" t="str">
        <v>DC</v>
      </c>
      <c r="C43" s="100">
        <v>1770</v>
      </c>
      <c r="D43" s="16">
        <v>1824.1030000000001</v>
      </c>
      <c r="E43" s="16">
        <f t="shared" si="0"/>
        <v>-54.103000000000065</v>
      </c>
      <c r="F43" s="99">
        <f t="shared" si="1"/>
        <v>-2.9660057573503287E-2</v>
      </c>
      <c r="G43" s="80">
        <v>1843.51</v>
      </c>
      <c r="H43" s="80">
        <f t="shared" si="2"/>
        <v>-73.509999999999991</v>
      </c>
      <c r="I43" s="99">
        <f t="shared" si="3"/>
        <v>-3.9875021019685271E-2</v>
      </c>
      <c r="J43" s="40"/>
      <c r="K43" s="108"/>
      <c r="L43" s="105"/>
      <c r="M43" s="105"/>
      <c r="N43" s="105"/>
      <c r="O43" s="105"/>
      <c r="P43" s="105"/>
      <c r="Q43" s="105"/>
      <c r="R43" s="105"/>
      <c r="S43" s="105"/>
      <c r="T43" s="105"/>
      <c r="U43" s="105"/>
      <c r="V43" s="105"/>
    </row>
    <row r="44" spans="1:22" ht="15.75">
      <c r="A44" s="26" t="str">
        <v>DC: Washington - Weinberg 2</v>
      </c>
      <c r="B44" s="27" t="str">
        <v>DC</v>
      </c>
      <c r="C44" s="73">
        <v>1604</v>
      </c>
      <c r="D44" s="12">
        <v>1599.9059999999999</v>
      </c>
      <c r="E44" s="12">
        <f t="shared" si="0"/>
        <v>4.0940000000000509</v>
      </c>
      <c r="F44" s="74">
        <f t="shared" si="1"/>
        <v>2.5589003353947365E-3</v>
      </c>
      <c r="G44" s="75">
        <v>1860.7560000000001</v>
      </c>
      <c r="H44" s="75">
        <f t="shared" si="2"/>
        <v>-256.75600000000009</v>
      </c>
      <c r="I44" s="76">
        <f t="shared" si="3"/>
        <v>-0.13798477608025989</v>
      </c>
      <c r="J44" s="77" t="s">
        <v>118</v>
      </c>
      <c r="K44" s="103"/>
      <c r="L44" s="105"/>
      <c r="M44" s="105"/>
      <c r="N44" s="105"/>
      <c r="O44" s="105"/>
      <c r="P44" s="105"/>
      <c r="Q44" s="105"/>
      <c r="R44" s="105"/>
      <c r="S44" s="105"/>
      <c r="T44" s="105"/>
      <c r="U44" s="105"/>
      <c r="V44" s="105"/>
    </row>
    <row r="45" spans="1:22" ht="15.75">
      <c r="A45" s="28" t="str">
        <v>DC: Washington - Weinberg 3</v>
      </c>
      <c r="B45" s="29" t="str">
        <v>DC</v>
      </c>
      <c r="C45" s="100">
        <v>1948</v>
      </c>
      <c r="D45" s="16">
        <v>1836.37</v>
      </c>
      <c r="E45" s="16">
        <f t="shared" si="0"/>
        <v>111.63000000000011</v>
      </c>
      <c r="F45" s="99">
        <f t="shared" si="1"/>
        <v>6.0788403208503795E-2</v>
      </c>
      <c r="G45" s="80">
        <v>1942</v>
      </c>
      <c r="H45" s="80">
        <f t="shared" si="2"/>
        <v>6</v>
      </c>
      <c r="I45" s="99">
        <f t="shared" si="3"/>
        <v>3.089598352214212E-3</v>
      </c>
      <c r="J45" s="40"/>
      <c r="K45" s="108"/>
    </row>
    <row r="46" spans="1:22" ht="15">
      <c r="A46" s="19"/>
      <c r="B46" s="31"/>
      <c r="C46" s="19"/>
      <c r="D46" s="19"/>
      <c r="E46" s="19"/>
      <c r="F46" s="20"/>
      <c r="G46" s="19"/>
      <c r="H46" s="19"/>
      <c r="I46" s="20"/>
      <c r="J46" s="19"/>
      <c r="K46" s="109"/>
    </row>
    <row r="47" spans="1:22" ht="15">
      <c r="A47" s="19"/>
      <c r="B47" s="31"/>
      <c r="C47" s="19"/>
      <c r="D47" s="19"/>
      <c r="E47" s="19"/>
      <c r="F47" s="20"/>
      <c r="G47" s="19"/>
      <c r="H47" s="19"/>
      <c r="I47" s="20"/>
      <c r="J47" s="19"/>
      <c r="K47" s="109"/>
    </row>
    <row r="48" spans="1:22" ht="15">
      <c r="A48" s="19"/>
      <c r="B48" s="31"/>
      <c r="C48" s="19"/>
      <c r="D48" s="19"/>
      <c r="E48" s="19"/>
      <c r="F48" s="20"/>
      <c r="G48" s="19"/>
      <c r="H48" s="19"/>
      <c r="I48" s="20"/>
      <c r="J48" s="19"/>
      <c r="K48" s="109"/>
    </row>
    <row r="49" spans="1:11" ht="15">
      <c r="A49" s="19"/>
      <c r="B49" s="31"/>
      <c r="C49" s="19"/>
      <c r="D49" s="19"/>
      <c r="E49" s="19"/>
      <c r="F49" s="20"/>
      <c r="G49" s="19"/>
      <c r="H49" s="19"/>
      <c r="I49" s="20"/>
      <c r="J49" s="19"/>
      <c r="K49" s="109"/>
    </row>
    <row r="50" spans="1:11" ht="15">
      <c r="A50" s="19"/>
      <c r="B50" s="31"/>
      <c r="C50" s="19"/>
      <c r="D50" s="19"/>
      <c r="E50" s="19"/>
      <c r="F50" s="20"/>
      <c r="G50" s="19"/>
      <c r="H50" s="19"/>
      <c r="I50" s="20"/>
      <c r="J50" s="19"/>
      <c r="K50" s="109"/>
    </row>
    <row r="51" spans="1:11" ht="15">
      <c r="A51" s="19"/>
      <c r="B51" s="31"/>
      <c r="C51" s="19"/>
      <c r="D51" s="19"/>
      <c r="E51" s="19"/>
      <c r="F51" s="20"/>
      <c r="G51" s="19"/>
      <c r="H51" s="19"/>
      <c r="I51" s="20"/>
      <c r="J51" s="19"/>
      <c r="K51" s="109"/>
    </row>
    <row r="52" spans="1:11" ht="15">
      <c r="A52" s="19"/>
      <c r="B52" s="31"/>
      <c r="C52" s="19"/>
      <c r="D52" s="19"/>
      <c r="E52" s="19"/>
      <c r="F52" s="20"/>
      <c r="G52" s="19"/>
      <c r="H52" s="19"/>
      <c r="I52" s="20"/>
      <c r="J52" s="19"/>
      <c r="K52" s="109"/>
    </row>
    <row r="53" spans="1:11" ht="15">
      <c r="A53" s="19"/>
      <c r="B53" s="31"/>
      <c r="C53" s="19"/>
      <c r="D53" s="19"/>
      <c r="E53" s="19"/>
      <c r="F53" s="20"/>
      <c r="G53" s="19"/>
      <c r="H53" s="19"/>
      <c r="I53" s="20"/>
      <c r="J53" s="19"/>
      <c r="K53" s="109"/>
    </row>
    <row r="54" spans="1:11" ht="15">
      <c r="A54" s="19"/>
      <c r="B54" s="31"/>
      <c r="C54" s="19"/>
      <c r="D54" s="19"/>
      <c r="E54" s="19"/>
      <c r="F54" s="20"/>
      <c r="G54" s="19"/>
      <c r="H54" s="19"/>
      <c r="I54" s="20"/>
      <c r="J54" s="19"/>
      <c r="K54" s="109"/>
    </row>
    <row r="55" spans="1:11" ht="15">
      <c r="A55" s="19"/>
      <c r="B55" s="31"/>
      <c r="C55" s="19"/>
      <c r="D55" s="19"/>
      <c r="E55" s="19"/>
      <c r="F55" s="20"/>
      <c r="G55" s="19"/>
      <c r="H55" s="19"/>
      <c r="I55" s="20"/>
      <c r="J55" s="19"/>
      <c r="K55" s="109"/>
    </row>
    <row r="56" spans="1:11" ht="15">
      <c r="A56" s="19"/>
      <c r="B56" s="31"/>
      <c r="C56" s="19"/>
      <c r="D56" s="19"/>
      <c r="E56" s="19"/>
      <c r="F56" s="20"/>
      <c r="G56" s="19"/>
      <c r="H56" s="19"/>
      <c r="I56" s="20"/>
      <c r="J56" s="19"/>
      <c r="K56" s="109"/>
    </row>
    <row r="57" spans="1:11" ht="15">
      <c r="A57" s="19"/>
      <c r="B57" s="31"/>
      <c r="C57" s="19"/>
      <c r="D57" s="19"/>
      <c r="E57" s="19"/>
      <c r="F57" s="20"/>
      <c r="G57" s="19"/>
      <c r="H57" s="19"/>
      <c r="I57" s="20"/>
      <c r="J57" s="19"/>
      <c r="K57" s="109"/>
    </row>
    <row r="58" spans="1:11" ht="15">
      <c r="A58" s="19"/>
      <c r="B58" s="31"/>
      <c r="C58" s="19"/>
      <c r="D58" s="19"/>
      <c r="E58" s="19"/>
      <c r="F58" s="20"/>
      <c r="G58" s="19"/>
      <c r="H58" s="19"/>
      <c r="I58" s="20"/>
      <c r="J58" s="19"/>
      <c r="K58" s="109"/>
    </row>
    <row r="59" spans="1:11" ht="15">
      <c r="A59" s="19"/>
      <c r="B59" s="31"/>
      <c r="C59" s="19"/>
      <c r="D59" s="19"/>
      <c r="E59" s="19"/>
      <c r="F59" s="20"/>
      <c r="G59" s="19"/>
      <c r="H59" s="19"/>
      <c r="I59" s="20"/>
      <c r="J59" s="19"/>
      <c r="K59" s="109"/>
    </row>
    <row r="60" spans="1:11" ht="15">
      <c r="A60" s="19"/>
      <c r="B60" s="31"/>
      <c r="C60" s="19"/>
      <c r="D60" s="19"/>
      <c r="E60" s="19"/>
      <c r="F60" s="20"/>
      <c r="G60" s="19"/>
      <c r="H60" s="19"/>
      <c r="I60" s="20"/>
      <c r="J60" s="19"/>
      <c r="K60" s="109"/>
    </row>
    <row r="61" spans="1:11" ht="15">
      <c r="A61" s="19"/>
      <c r="B61" s="31"/>
      <c r="C61" s="19"/>
      <c r="D61" s="19"/>
      <c r="E61" s="19"/>
      <c r="F61" s="20"/>
      <c r="G61" s="19"/>
      <c r="H61" s="19"/>
      <c r="I61" s="20"/>
      <c r="J61" s="19"/>
      <c r="K61" s="109"/>
    </row>
    <row r="62" spans="1:11" ht="15">
      <c r="A62" s="19"/>
      <c r="B62" s="31"/>
      <c r="C62" s="19"/>
      <c r="D62" s="19"/>
      <c r="E62" s="19"/>
      <c r="F62" s="20"/>
      <c r="G62" s="19"/>
      <c r="H62" s="19"/>
      <c r="I62" s="20"/>
      <c r="J62" s="19"/>
      <c r="K62" s="109"/>
    </row>
    <row r="63" spans="1:11" ht="15">
      <c r="A63" s="19"/>
      <c r="B63" s="31"/>
      <c r="C63" s="19"/>
      <c r="D63" s="19"/>
      <c r="E63" s="19"/>
      <c r="F63" s="20"/>
      <c r="G63" s="19"/>
      <c r="H63" s="19"/>
      <c r="I63" s="20"/>
      <c r="J63" s="19"/>
      <c r="K63" s="109"/>
    </row>
    <row r="64" spans="1:11" ht="15">
      <c r="A64" s="19"/>
      <c r="B64" s="31"/>
      <c r="C64" s="19"/>
      <c r="D64" s="19"/>
      <c r="E64" s="19"/>
      <c r="F64" s="20"/>
      <c r="G64" s="19"/>
      <c r="H64" s="19"/>
      <c r="I64" s="20"/>
      <c r="J64" s="19"/>
      <c r="K64" s="109"/>
    </row>
    <row r="65" spans="1:11" ht="15">
      <c r="A65" s="19"/>
      <c r="B65" s="31"/>
      <c r="C65" s="19"/>
      <c r="D65" s="19"/>
      <c r="E65" s="19"/>
      <c r="F65" s="20"/>
      <c r="G65" s="19"/>
      <c r="H65" s="19"/>
      <c r="I65" s="20"/>
      <c r="J65" s="19"/>
      <c r="K65" s="109"/>
    </row>
    <row r="66" spans="1:11" ht="15">
      <c r="A66" s="19"/>
      <c r="B66" s="31"/>
      <c r="C66" s="19"/>
      <c r="D66" s="19"/>
      <c r="E66" s="19"/>
      <c r="F66" s="20"/>
      <c r="G66" s="19"/>
      <c r="H66" s="19"/>
      <c r="I66" s="20"/>
      <c r="J66" s="19"/>
      <c r="K66" s="109"/>
    </row>
    <row r="67" spans="1:11" ht="15">
      <c r="A67" s="19"/>
      <c r="B67" s="31"/>
      <c r="C67" s="19"/>
      <c r="D67" s="19"/>
      <c r="E67" s="19"/>
      <c r="F67" s="20"/>
      <c r="G67" s="19"/>
      <c r="H67" s="19"/>
      <c r="I67" s="20"/>
      <c r="J67" s="19"/>
      <c r="K67" s="109"/>
    </row>
    <row r="68" spans="1:11" ht="15">
      <c r="A68" s="19"/>
      <c r="B68" s="31"/>
      <c r="C68" s="19"/>
      <c r="D68" s="19"/>
      <c r="E68" s="19"/>
      <c r="F68" s="20"/>
      <c r="G68" s="19"/>
      <c r="H68" s="19"/>
      <c r="I68" s="20"/>
      <c r="J68" s="19"/>
      <c r="K68" s="109"/>
    </row>
    <row r="69" spans="1:11" ht="15">
      <c r="A69" s="19"/>
      <c r="B69" s="31"/>
      <c r="C69" s="19"/>
      <c r="D69" s="19"/>
      <c r="E69" s="19"/>
      <c r="F69" s="20"/>
      <c r="G69" s="19"/>
      <c r="H69" s="19"/>
      <c r="I69" s="20"/>
      <c r="J69" s="19"/>
      <c r="K69" s="109"/>
    </row>
    <row r="70" spans="1:11" ht="15">
      <c r="A70" s="19"/>
      <c r="B70" s="31"/>
      <c r="C70" s="19"/>
      <c r="D70" s="19"/>
      <c r="E70" s="19"/>
      <c r="F70" s="20"/>
      <c r="G70" s="19"/>
      <c r="H70" s="19"/>
      <c r="I70" s="20"/>
      <c r="J70" s="19"/>
      <c r="K70" s="109"/>
    </row>
    <row r="71" spans="1:11" ht="15">
      <c r="A71" s="19"/>
      <c r="B71" s="31"/>
      <c r="C71" s="19"/>
      <c r="D71" s="19"/>
      <c r="E71" s="19"/>
      <c r="F71" s="20"/>
      <c r="G71" s="19"/>
      <c r="H71" s="19"/>
      <c r="I71" s="20"/>
      <c r="J71" s="19"/>
      <c r="K71" s="109"/>
    </row>
    <row r="72" spans="1:11" ht="15">
      <c r="A72" s="19"/>
      <c r="B72" s="31"/>
      <c r="C72" s="19"/>
      <c r="D72" s="19"/>
      <c r="E72" s="19"/>
      <c r="F72" s="20"/>
      <c r="G72" s="19"/>
      <c r="H72" s="19"/>
      <c r="I72" s="20"/>
      <c r="J72" s="19"/>
      <c r="K72" s="109"/>
    </row>
    <row r="73" spans="1:11" ht="15">
      <c r="A73" s="19"/>
      <c r="B73" s="31"/>
      <c r="C73" s="19"/>
      <c r="D73" s="19"/>
      <c r="E73" s="19"/>
      <c r="F73" s="20"/>
      <c r="G73" s="19"/>
      <c r="H73" s="19"/>
      <c r="I73" s="20"/>
      <c r="J73" s="19"/>
      <c r="K73" s="109"/>
    </row>
    <row r="74" spans="1:11" ht="15">
      <c r="A74" s="19"/>
      <c r="B74" s="31"/>
      <c r="C74" s="19"/>
      <c r="D74" s="19"/>
      <c r="E74" s="19"/>
      <c r="F74" s="20"/>
      <c r="G74" s="19"/>
      <c r="H74" s="19"/>
      <c r="I74" s="20"/>
      <c r="J74" s="19"/>
      <c r="K74" s="109"/>
    </row>
    <row r="75" spans="1:11" ht="15">
      <c r="A75" s="19"/>
      <c r="B75" s="31"/>
      <c r="C75" s="19"/>
      <c r="D75" s="19"/>
      <c r="E75" s="19"/>
      <c r="F75" s="20"/>
      <c r="G75" s="19"/>
      <c r="H75" s="19"/>
      <c r="I75" s="20"/>
      <c r="J75" s="19"/>
      <c r="K75" s="109"/>
    </row>
    <row r="76" spans="1:11" ht="15">
      <c r="A76" s="19"/>
      <c r="B76" s="31"/>
      <c r="C76" s="19"/>
      <c r="D76" s="19"/>
      <c r="E76" s="19"/>
      <c r="F76" s="20"/>
      <c r="G76" s="19"/>
      <c r="H76" s="19"/>
      <c r="I76" s="20"/>
      <c r="J76" s="19"/>
      <c r="K76" s="109"/>
    </row>
    <row r="77" spans="1:11" ht="15">
      <c r="A77" s="19"/>
      <c r="B77" s="31"/>
      <c r="C77" s="19"/>
      <c r="D77" s="19"/>
      <c r="E77" s="19"/>
      <c r="F77" s="20"/>
      <c r="G77" s="19"/>
      <c r="H77" s="19"/>
      <c r="I77" s="20"/>
      <c r="J77" s="19"/>
      <c r="K77" s="109"/>
    </row>
    <row r="78" spans="1:11" ht="15">
      <c r="A78" s="19"/>
      <c r="B78" s="31"/>
      <c r="C78" s="19"/>
      <c r="D78" s="19"/>
      <c r="E78" s="19"/>
      <c r="F78" s="20"/>
      <c r="G78" s="19"/>
      <c r="H78" s="19"/>
      <c r="I78" s="20"/>
      <c r="J78" s="19"/>
      <c r="K78" s="109"/>
    </row>
    <row r="79" spans="1:11" ht="15">
      <c r="A79" s="19"/>
      <c r="B79" s="31"/>
      <c r="C79" s="19"/>
      <c r="D79" s="19"/>
      <c r="E79" s="19"/>
      <c r="F79" s="20"/>
      <c r="G79" s="19"/>
      <c r="H79" s="19"/>
      <c r="I79" s="20"/>
      <c r="J79" s="19"/>
      <c r="K79" s="109"/>
    </row>
    <row r="80" spans="1:11" ht="15">
      <c r="A80" s="19"/>
      <c r="B80" s="31"/>
      <c r="C80" s="19"/>
      <c r="D80" s="19"/>
      <c r="E80" s="19"/>
      <c r="F80" s="20"/>
      <c r="G80" s="19"/>
      <c r="H80" s="19"/>
      <c r="I80" s="20"/>
      <c r="J80" s="19"/>
      <c r="K80" s="109"/>
    </row>
    <row r="81" spans="1:11" ht="15">
      <c r="A81" s="19"/>
      <c r="B81" s="31"/>
      <c r="C81" s="19"/>
      <c r="D81" s="19"/>
      <c r="E81" s="19"/>
      <c r="F81" s="20"/>
      <c r="G81" s="19"/>
      <c r="H81" s="19"/>
      <c r="I81" s="20"/>
      <c r="J81" s="19"/>
      <c r="K81" s="109"/>
    </row>
    <row r="82" spans="1:11" ht="15">
      <c r="A82" s="19"/>
      <c r="B82" s="31"/>
      <c r="C82" s="19"/>
      <c r="D82" s="19"/>
      <c r="E82" s="19"/>
      <c r="F82" s="20"/>
      <c r="G82" s="19"/>
      <c r="H82" s="19"/>
      <c r="I82" s="20"/>
      <c r="J82" s="19"/>
      <c r="K82" s="109"/>
    </row>
    <row r="83" spans="1:11" ht="15">
      <c r="A83" s="19"/>
      <c r="B83" s="31"/>
      <c r="C83" s="19"/>
      <c r="D83" s="19"/>
      <c r="E83" s="19"/>
      <c r="F83" s="20"/>
      <c r="G83" s="19"/>
      <c r="H83" s="19"/>
      <c r="I83" s="20"/>
      <c r="J83" s="19"/>
      <c r="K83" s="109"/>
    </row>
    <row r="84" spans="1:11" ht="15">
      <c r="A84" s="19"/>
      <c r="B84" s="31"/>
      <c r="C84" s="19"/>
      <c r="D84" s="19"/>
      <c r="E84" s="19"/>
      <c r="F84" s="20"/>
      <c r="G84" s="19"/>
      <c r="H84" s="19"/>
      <c r="I84" s="20"/>
      <c r="J84" s="19"/>
      <c r="K84" s="109"/>
    </row>
    <row r="85" spans="1:11" ht="15">
      <c r="A85" s="19"/>
      <c r="B85" s="31"/>
      <c r="C85" s="19"/>
      <c r="D85" s="19"/>
      <c r="E85" s="19"/>
      <c r="F85" s="20"/>
      <c r="G85" s="19"/>
      <c r="H85" s="19"/>
      <c r="I85" s="20"/>
      <c r="J85" s="19"/>
      <c r="K85" s="109"/>
    </row>
    <row r="86" spans="1:11" ht="15">
      <c r="A86" s="19"/>
      <c r="B86" s="31"/>
      <c r="C86" s="19"/>
      <c r="D86" s="19"/>
      <c r="E86" s="19"/>
      <c r="F86" s="20"/>
      <c r="G86" s="19"/>
      <c r="H86" s="19"/>
      <c r="I86" s="20"/>
      <c r="J86" s="19"/>
      <c r="K86" s="109"/>
    </row>
    <row r="87" spans="1:11" ht="15">
      <c r="A87" s="19"/>
      <c r="B87" s="31"/>
      <c r="C87" s="19"/>
      <c r="D87" s="19"/>
      <c r="E87" s="19"/>
      <c r="F87" s="20"/>
      <c r="G87" s="19"/>
      <c r="H87" s="19"/>
      <c r="I87" s="20"/>
      <c r="J87" s="19"/>
      <c r="K87" s="109"/>
    </row>
    <row r="88" spans="1:11" ht="15">
      <c r="A88" s="19"/>
      <c r="B88" s="31"/>
      <c r="C88" s="19"/>
      <c r="D88" s="19"/>
      <c r="E88" s="19"/>
      <c r="F88" s="20"/>
      <c r="G88" s="19"/>
      <c r="H88" s="19"/>
      <c r="I88" s="20"/>
      <c r="J88" s="19"/>
      <c r="K88" s="109"/>
    </row>
    <row r="89" spans="1:11" ht="15">
      <c r="A89" s="19"/>
      <c r="B89" s="31"/>
      <c r="C89" s="19"/>
      <c r="D89" s="19"/>
      <c r="E89" s="19"/>
      <c r="F89" s="20"/>
      <c r="G89" s="19"/>
      <c r="H89" s="19"/>
      <c r="I89" s="20"/>
      <c r="J89" s="19"/>
      <c r="K89" s="109"/>
    </row>
    <row r="90" spans="1:11" ht="15">
      <c r="A90" s="19"/>
      <c r="B90" s="31"/>
      <c r="C90" s="19"/>
      <c r="D90" s="19"/>
      <c r="E90" s="19"/>
      <c r="F90" s="20"/>
      <c r="G90" s="19"/>
      <c r="H90" s="19"/>
      <c r="I90" s="20"/>
      <c r="J90" s="19"/>
      <c r="K90" s="109"/>
    </row>
    <row r="91" spans="1:11" ht="15">
      <c r="A91" s="19"/>
      <c r="B91" s="31"/>
      <c r="C91" s="19"/>
      <c r="D91" s="19"/>
      <c r="E91" s="19"/>
      <c r="F91" s="20"/>
      <c r="G91" s="19"/>
      <c r="H91" s="19"/>
      <c r="I91" s="20"/>
      <c r="J91" s="19"/>
      <c r="K91" s="109"/>
    </row>
    <row r="92" spans="1:11" ht="15">
      <c r="A92" s="19"/>
      <c r="B92" s="31"/>
      <c r="C92" s="19"/>
      <c r="D92" s="19"/>
      <c r="E92" s="19"/>
      <c r="F92" s="20"/>
      <c r="G92" s="19"/>
      <c r="H92" s="19"/>
      <c r="I92" s="20"/>
      <c r="J92" s="19"/>
      <c r="K92" s="109"/>
    </row>
    <row r="93" spans="1:11" ht="15">
      <c r="A93" s="19"/>
      <c r="B93" s="31"/>
      <c r="C93" s="19"/>
      <c r="D93" s="19"/>
      <c r="E93" s="19"/>
      <c r="F93" s="20"/>
      <c r="G93" s="19"/>
      <c r="H93" s="19"/>
      <c r="I93" s="20"/>
      <c r="J93" s="19"/>
      <c r="K93" s="109"/>
    </row>
    <row r="94" spans="1:11" ht="15">
      <c r="A94" s="19"/>
      <c r="B94" s="31"/>
      <c r="C94" s="19"/>
      <c r="D94" s="19"/>
      <c r="E94" s="19"/>
      <c r="F94" s="20"/>
      <c r="G94" s="19"/>
      <c r="H94" s="19"/>
      <c r="I94" s="20"/>
      <c r="J94" s="19"/>
      <c r="K94" s="109"/>
    </row>
    <row r="95" spans="1:11" ht="15">
      <c r="A95" s="19"/>
      <c r="B95" s="31"/>
      <c r="C95" s="19"/>
      <c r="D95" s="19"/>
      <c r="E95" s="19"/>
      <c r="F95" s="20"/>
      <c r="G95" s="19"/>
      <c r="H95" s="19"/>
      <c r="I95" s="20"/>
      <c r="J95" s="19"/>
      <c r="K95" s="109"/>
    </row>
    <row r="96" spans="1:11" ht="15">
      <c r="A96" s="19"/>
      <c r="B96" s="31"/>
      <c r="C96" s="19"/>
      <c r="D96" s="19"/>
      <c r="E96" s="19"/>
      <c r="F96" s="20"/>
      <c r="G96" s="19"/>
      <c r="H96" s="19"/>
      <c r="I96" s="20"/>
      <c r="J96" s="19"/>
      <c r="K96" s="109"/>
    </row>
    <row r="97" spans="1:11" ht="15">
      <c r="A97" s="19"/>
      <c r="B97" s="31"/>
      <c r="C97" s="19"/>
      <c r="D97" s="19"/>
      <c r="E97" s="19"/>
      <c r="F97" s="20"/>
      <c r="G97" s="19"/>
      <c r="H97" s="19"/>
      <c r="I97" s="20"/>
      <c r="J97" s="19"/>
      <c r="K97" s="109"/>
    </row>
    <row r="98" spans="1:11" ht="15">
      <c r="A98" s="19"/>
      <c r="B98" s="31"/>
      <c r="C98" s="19"/>
      <c r="D98" s="19"/>
      <c r="E98" s="19"/>
      <c r="F98" s="20"/>
      <c r="G98" s="19"/>
      <c r="H98" s="19"/>
      <c r="I98" s="20"/>
      <c r="J98" s="19"/>
      <c r="K98" s="109"/>
    </row>
    <row r="99" spans="1:11" ht="15">
      <c r="A99" s="19"/>
      <c r="B99" s="31"/>
      <c r="C99" s="19"/>
      <c r="D99" s="19"/>
      <c r="E99" s="19"/>
      <c r="F99" s="20"/>
      <c r="G99" s="19"/>
      <c r="H99" s="19"/>
      <c r="I99" s="20"/>
      <c r="J99" s="19"/>
      <c r="K99" s="109"/>
    </row>
    <row r="100" spans="1:11" ht="15">
      <c r="A100" s="19"/>
      <c r="B100" s="31"/>
      <c r="C100" s="19"/>
      <c r="D100" s="19"/>
      <c r="E100" s="19"/>
      <c r="F100" s="20"/>
      <c r="G100" s="19"/>
      <c r="H100" s="19"/>
      <c r="I100" s="20"/>
      <c r="J100" s="19"/>
      <c r="K100" s="109"/>
    </row>
    <row r="101" spans="1:11" ht="15">
      <c r="A101" s="19"/>
      <c r="B101" s="31"/>
      <c r="C101" s="19"/>
      <c r="D101" s="19"/>
      <c r="E101" s="19"/>
      <c r="F101" s="20"/>
      <c r="G101" s="19"/>
      <c r="H101" s="19"/>
      <c r="I101" s="20"/>
      <c r="J101" s="19"/>
      <c r="K101" s="109"/>
    </row>
    <row r="102" spans="1:11" ht="15">
      <c r="A102" s="19"/>
      <c r="B102" s="31"/>
      <c r="C102" s="19"/>
      <c r="D102" s="19"/>
      <c r="E102" s="19"/>
      <c r="F102" s="20"/>
      <c r="G102" s="19"/>
      <c r="H102" s="19"/>
      <c r="I102" s="20"/>
      <c r="J102" s="19"/>
      <c r="K102" s="109"/>
    </row>
    <row r="103" spans="1:11" ht="15">
      <c r="A103" s="19"/>
      <c r="B103" s="31"/>
      <c r="C103" s="19"/>
      <c r="D103" s="19"/>
      <c r="E103" s="19"/>
      <c r="F103" s="20"/>
      <c r="G103" s="19"/>
      <c r="H103" s="19"/>
      <c r="I103" s="20"/>
      <c r="J103" s="19"/>
      <c r="K103" s="109"/>
    </row>
    <row r="104" spans="1:11" ht="15">
      <c r="A104" s="19"/>
      <c r="B104" s="31"/>
      <c r="C104" s="19"/>
      <c r="D104" s="19"/>
      <c r="E104" s="19"/>
      <c r="F104" s="20"/>
      <c r="G104" s="19"/>
      <c r="H104" s="19"/>
      <c r="I104" s="20"/>
      <c r="J104" s="19"/>
      <c r="K104" s="109"/>
    </row>
    <row r="105" spans="1:11" ht="15">
      <c r="A105" s="19"/>
      <c r="B105" s="31"/>
      <c r="C105" s="19"/>
      <c r="D105" s="19"/>
      <c r="E105" s="19"/>
      <c r="F105" s="20"/>
      <c r="G105" s="19"/>
      <c r="H105" s="19"/>
      <c r="I105" s="20"/>
      <c r="J105" s="19"/>
      <c r="K105" s="109"/>
    </row>
    <row r="106" spans="1:11" ht="15">
      <c r="A106" s="19"/>
      <c r="B106" s="31"/>
      <c r="C106" s="19"/>
      <c r="D106" s="19"/>
      <c r="E106" s="19"/>
      <c r="F106" s="20"/>
      <c r="G106" s="19"/>
      <c r="H106" s="19"/>
      <c r="I106" s="20"/>
      <c r="J106" s="19"/>
      <c r="K106" s="109"/>
    </row>
    <row r="107" spans="1:11" ht="15">
      <c r="A107" s="19"/>
      <c r="B107" s="31"/>
      <c r="C107" s="19"/>
      <c r="D107" s="19"/>
      <c r="E107" s="19"/>
      <c r="F107" s="20"/>
      <c r="G107" s="19"/>
      <c r="H107" s="19"/>
      <c r="I107" s="20"/>
      <c r="J107" s="19"/>
      <c r="K107" s="109"/>
    </row>
    <row r="108" spans="1:11" ht="15">
      <c r="A108" s="19"/>
      <c r="B108" s="31"/>
      <c r="C108" s="19"/>
      <c r="D108" s="19"/>
      <c r="E108" s="19"/>
      <c r="F108" s="20"/>
      <c r="G108" s="19"/>
      <c r="H108" s="19"/>
      <c r="I108" s="20"/>
      <c r="J108" s="19"/>
      <c r="K108" s="109"/>
    </row>
    <row r="109" spans="1:11" ht="15">
      <c r="A109" s="19"/>
      <c r="B109" s="31"/>
      <c r="C109" s="19"/>
      <c r="D109" s="19"/>
      <c r="E109" s="19"/>
      <c r="F109" s="20"/>
      <c r="G109" s="19"/>
      <c r="H109" s="19"/>
      <c r="I109" s="20"/>
      <c r="J109" s="19"/>
      <c r="K109" s="109"/>
    </row>
    <row r="110" spans="1:11" ht="15">
      <c r="A110" s="19"/>
      <c r="B110" s="31"/>
      <c r="C110" s="19"/>
      <c r="D110" s="19"/>
      <c r="E110" s="19"/>
      <c r="F110" s="20"/>
      <c r="G110" s="19"/>
      <c r="H110" s="19"/>
      <c r="I110" s="20"/>
      <c r="J110" s="19"/>
      <c r="K110" s="109"/>
    </row>
    <row r="111" spans="1:11" ht="15">
      <c r="A111" s="19"/>
      <c r="B111" s="31"/>
      <c r="C111" s="19"/>
      <c r="D111" s="19"/>
      <c r="E111" s="19"/>
      <c r="F111" s="20"/>
      <c r="G111" s="19"/>
      <c r="H111" s="19"/>
      <c r="I111" s="20"/>
      <c r="J111" s="19"/>
      <c r="K111" s="109"/>
    </row>
    <row r="112" spans="1:11" ht="15">
      <c r="A112" s="19"/>
      <c r="B112" s="31"/>
      <c r="C112" s="19"/>
      <c r="D112" s="19"/>
      <c r="E112" s="19"/>
      <c r="F112" s="20"/>
      <c r="G112" s="19"/>
      <c r="H112" s="19"/>
      <c r="I112" s="20"/>
      <c r="J112" s="19"/>
      <c r="K112" s="109"/>
    </row>
    <row r="113" spans="1:11" ht="15">
      <c r="A113" s="19"/>
      <c r="B113" s="31"/>
      <c r="C113" s="19"/>
      <c r="D113" s="19"/>
      <c r="E113" s="19"/>
      <c r="F113" s="20"/>
      <c r="G113" s="19"/>
      <c r="H113" s="19"/>
      <c r="I113" s="20"/>
      <c r="J113" s="19"/>
      <c r="K113" s="109"/>
    </row>
    <row r="114" spans="1:11" ht="15">
      <c r="A114" s="19"/>
      <c r="B114" s="31"/>
      <c r="C114" s="19"/>
      <c r="D114" s="19"/>
      <c r="E114" s="19"/>
      <c r="F114" s="20"/>
      <c r="G114" s="19"/>
      <c r="H114" s="19"/>
      <c r="I114" s="20"/>
      <c r="J114" s="19"/>
      <c r="K114" s="109"/>
    </row>
    <row r="115" spans="1:11" ht="15">
      <c r="A115" s="19"/>
      <c r="B115" s="31"/>
      <c r="C115" s="19"/>
      <c r="D115" s="19"/>
      <c r="E115" s="19"/>
      <c r="F115" s="20"/>
      <c r="G115" s="19"/>
      <c r="H115" s="19"/>
      <c r="I115" s="20"/>
      <c r="J115" s="19"/>
      <c r="K115" s="109"/>
    </row>
    <row r="116" spans="1:11" ht="15">
      <c r="A116" s="19"/>
      <c r="B116" s="31"/>
      <c r="C116" s="19"/>
      <c r="D116" s="19"/>
      <c r="E116" s="19"/>
      <c r="F116" s="20"/>
      <c r="G116" s="19"/>
      <c r="H116" s="19"/>
      <c r="I116" s="20"/>
      <c r="J116" s="19"/>
      <c r="K116" s="109"/>
    </row>
    <row r="117" spans="1:11" ht="15">
      <c r="A117" s="19"/>
      <c r="B117" s="31"/>
      <c r="C117" s="19"/>
      <c r="D117" s="19"/>
      <c r="E117" s="19"/>
      <c r="F117" s="20"/>
      <c r="G117" s="19"/>
      <c r="H117" s="19"/>
      <c r="I117" s="20"/>
      <c r="J117" s="19"/>
      <c r="K117" s="109"/>
    </row>
    <row r="118" spans="1:11" ht="15">
      <c r="A118" s="19"/>
      <c r="B118" s="31"/>
      <c r="C118" s="19"/>
      <c r="D118" s="19"/>
      <c r="E118" s="19"/>
      <c r="F118" s="20"/>
      <c r="G118" s="19"/>
      <c r="H118" s="19"/>
      <c r="I118" s="20"/>
      <c r="J118" s="19"/>
      <c r="K118" s="109"/>
    </row>
    <row r="119" spans="1:11" ht="15">
      <c r="A119" s="19"/>
      <c r="B119" s="31"/>
      <c r="C119" s="19"/>
      <c r="D119" s="19"/>
      <c r="E119" s="19"/>
      <c r="F119" s="20"/>
      <c r="G119" s="19"/>
      <c r="H119" s="19"/>
      <c r="I119" s="20"/>
      <c r="J119" s="19"/>
      <c r="K119" s="109"/>
    </row>
    <row r="120" spans="1:11" ht="15">
      <c r="A120" s="19"/>
      <c r="B120" s="31"/>
      <c r="C120" s="19"/>
      <c r="D120" s="19"/>
      <c r="E120" s="19"/>
      <c r="F120" s="20"/>
      <c r="G120" s="19"/>
      <c r="H120" s="19"/>
      <c r="I120" s="20"/>
      <c r="J120" s="19"/>
      <c r="K120" s="109"/>
    </row>
    <row r="121" spans="1:11" ht="15">
      <c r="A121" s="19"/>
      <c r="B121" s="31"/>
      <c r="C121" s="19"/>
      <c r="D121" s="19"/>
      <c r="E121" s="19"/>
      <c r="F121" s="20"/>
      <c r="G121" s="19"/>
      <c r="H121" s="19"/>
      <c r="I121" s="20"/>
      <c r="J121" s="19"/>
      <c r="K121" s="109"/>
    </row>
    <row r="122" spans="1:11" ht="15">
      <c r="A122" s="19"/>
      <c r="B122" s="31"/>
      <c r="C122" s="19"/>
      <c r="D122" s="19"/>
      <c r="E122" s="19"/>
      <c r="F122" s="20"/>
      <c r="G122" s="19"/>
      <c r="H122" s="19"/>
      <c r="I122" s="20"/>
      <c r="J122" s="19"/>
      <c r="K122" s="109"/>
    </row>
    <row r="123" spans="1:11" ht="15">
      <c r="A123" s="19"/>
      <c r="B123" s="31"/>
      <c r="C123" s="19"/>
      <c r="D123" s="19"/>
      <c r="E123" s="19"/>
      <c r="F123" s="20"/>
      <c r="G123" s="19"/>
      <c r="H123" s="19"/>
      <c r="I123" s="20"/>
      <c r="J123" s="19"/>
      <c r="K123" s="109"/>
    </row>
    <row r="124" spans="1:11" ht="15">
      <c r="A124" s="19"/>
      <c r="B124" s="31"/>
      <c r="C124" s="19"/>
      <c r="D124" s="19"/>
      <c r="E124" s="19"/>
      <c r="F124" s="20"/>
      <c r="G124" s="19"/>
      <c r="H124" s="19"/>
      <c r="I124" s="20"/>
      <c r="J124" s="19"/>
      <c r="K124" s="109"/>
    </row>
    <row r="125" spans="1:11" ht="15">
      <c r="A125" s="19"/>
      <c r="B125" s="31"/>
      <c r="C125" s="19"/>
      <c r="D125" s="19"/>
      <c r="E125" s="19"/>
      <c r="F125" s="20"/>
      <c r="G125" s="19"/>
      <c r="H125" s="19"/>
      <c r="I125" s="20"/>
      <c r="J125" s="19"/>
      <c r="K125" s="109"/>
    </row>
    <row r="126" spans="1:11" ht="15">
      <c r="A126" s="19"/>
      <c r="B126" s="31"/>
      <c r="C126" s="19"/>
      <c r="D126" s="19"/>
      <c r="E126" s="19"/>
      <c r="F126" s="20"/>
      <c r="G126" s="19"/>
      <c r="H126" s="19"/>
      <c r="I126" s="20"/>
      <c r="J126" s="19"/>
      <c r="K126" s="109"/>
    </row>
    <row r="127" spans="1:11" ht="15">
      <c r="A127" s="19"/>
      <c r="B127" s="31"/>
      <c r="C127" s="19"/>
      <c r="D127" s="19"/>
      <c r="E127" s="19"/>
      <c r="F127" s="20"/>
      <c r="G127" s="19"/>
      <c r="H127" s="19"/>
      <c r="I127" s="20"/>
      <c r="J127" s="19"/>
      <c r="K127" s="109"/>
    </row>
    <row r="128" spans="1:11" ht="15">
      <c r="A128" s="19"/>
      <c r="B128" s="31"/>
      <c r="C128" s="19"/>
      <c r="D128" s="19"/>
      <c r="E128" s="19"/>
      <c r="F128" s="20"/>
      <c r="G128" s="19"/>
      <c r="H128" s="19"/>
      <c r="I128" s="20"/>
      <c r="J128" s="19"/>
      <c r="K128" s="109"/>
    </row>
    <row r="129" spans="1:11" ht="15">
      <c r="A129" s="19"/>
      <c r="B129" s="31"/>
      <c r="C129" s="19"/>
      <c r="D129" s="19"/>
      <c r="E129" s="19"/>
      <c r="F129" s="20"/>
      <c r="G129" s="19"/>
      <c r="H129" s="19"/>
      <c r="I129" s="20"/>
      <c r="J129" s="19"/>
      <c r="K129" s="109"/>
    </row>
    <row r="130" spans="1:11" ht="15">
      <c r="A130" s="19"/>
      <c r="B130" s="31"/>
      <c r="C130" s="19"/>
      <c r="D130" s="19"/>
      <c r="E130" s="19"/>
      <c r="F130" s="20"/>
      <c r="G130" s="19"/>
      <c r="H130" s="19"/>
      <c r="I130" s="20"/>
      <c r="J130" s="19"/>
      <c r="K130" s="109"/>
    </row>
    <row r="131" spans="1:11" ht="15">
      <c r="A131" s="19"/>
      <c r="B131" s="31"/>
      <c r="C131" s="19"/>
      <c r="D131" s="19"/>
      <c r="E131" s="19"/>
      <c r="F131" s="20"/>
      <c r="G131" s="19"/>
      <c r="H131" s="19"/>
      <c r="I131" s="20"/>
      <c r="J131" s="19"/>
      <c r="K131" s="109"/>
    </row>
    <row r="132" spans="1:11" ht="15">
      <c r="A132" s="19"/>
      <c r="B132" s="31"/>
      <c r="C132" s="19"/>
      <c r="D132" s="19"/>
      <c r="E132" s="19"/>
      <c r="F132" s="20"/>
      <c r="G132" s="19"/>
      <c r="H132" s="19"/>
      <c r="I132" s="20"/>
      <c r="J132" s="19"/>
      <c r="K132" s="109"/>
    </row>
    <row r="133" spans="1:11" ht="15">
      <c r="A133" s="19"/>
      <c r="B133" s="31"/>
      <c r="C133" s="19"/>
      <c r="D133" s="19"/>
      <c r="E133" s="19"/>
      <c r="F133" s="20"/>
      <c r="G133" s="19"/>
      <c r="H133" s="19"/>
      <c r="I133" s="20"/>
      <c r="J133" s="19"/>
      <c r="K133" s="109"/>
    </row>
    <row r="134" spans="1:11" ht="15">
      <c r="A134" s="19"/>
      <c r="B134" s="31"/>
      <c r="C134" s="19"/>
      <c r="D134" s="19"/>
      <c r="E134" s="19"/>
      <c r="F134" s="20"/>
      <c r="G134" s="19"/>
      <c r="H134" s="19"/>
      <c r="I134" s="20"/>
      <c r="J134" s="19"/>
      <c r="K134" s="109"/>
    </row>
    <row r="135" spans="1:11" ht="15">
      <c r="A135" s="19"/>
      <c r="B135" s="31"/>
      <c r="C135" s="19"/>
      <c r="D135" s="19"/>
      <c r="E135" s="19"/>
      <c r="F135" s="20"/>
      <c r="G135" s="19"/>
      <c r="H135" s="19"/>
      <c r="I135" s="20"/>
      <c r="J135" s="19"/>
      <c r="K135" s="109"/>
    </row>
    <row r="136" spans="1:11" ht="15">
      <c r="A136" s="19"/>
      <c r="B136" s="31"/>
      <c r="C136" s="19"/>
      <c r="D136" s="19"/>
      <c r="E136" s="19"/>
      <c r="F136" s="20"/>
      <c r="G136" s="19"/>
      <c r="H136" s="19"/>
      <c r="I136" s="20"/>
      <c r="J136" s="19"/>
      <c r="K136" s="109"/>
    </row>
    <row r="137" spans="1:11" ht="15">
      <c r="A137" s="19"/>
      <c r="B137" s="31"/>
      <c r="C137" s="19"/>
      <c r="D137" s="19"/>
      <c r="E137" s="19"/>
      <c r="F137" s="20"/>
      <c r="G137" s="19"/>
      <c r="H137" s="19"/>
      <c r="I137" s="20"/>
      <c r="J137" s="19"/>
      <c r="K137" s="109"/>
    </row>
    <row r="138" spans="1:11" ht="15">
      <c r="A138" s="19"/>
      <c r="B138" s="31"/>
      <c r="C138" s="19"/>
      <c r="D138" s="19"/>
      <c r="E138" s="19"/>
      <c r="F138" s="20"/>
      <c r="G138" s="19"/>
      <c r="H138" s="19"/>
      <c r="I138" s="20"/>
      <c r="J138" s="19"/>
      <c r="K138" s="109"/>
    </row>
    <row r="139" spans="1:11" ht="15">
      <c r="A139" s="19"/>
      <c r="B139" s="31"/>
      <c r="C139" s="19"/>
      <c r="D139" s="19"/>
      <c r="E139" s="19"/>
      <c r="F139" s="20"/>
      <c r="G139" s="19"/>
      <c r="H139" s="19"/>
      <c r="I139" s="20"/>
      <c r="J139" s="19"/>
      <c r="K139" s="109"/>
    </row>
    <row r="140" spans="1:11" ht="15">
      <c r="A140" s="19"/>
      <c r="B140" s="31"/>
      <c r="C140" s="19"/>
      <c r="D140" s="19"/>
      <c r="E140" s="19"/>
      <c r="F140" s="20"/>
      <c r="G140" s="19"/>
      <c r="H140" s="19"/>
      <c r="I140" s="20"/>
      <c r="J140" s="19"/>
      <c r="K140" s="109"/>
    </row>
    <row r="141" spans="1:11" ht="15">
      <c r="A141" s="19"/>
      <c r="B141" s="31"/>
      <c r="C141" s="19"/>
      <c r="D141" s="19"/>
      <c r="E141" s="19"/>
      <c r="F141" s="20"/>
      <c r="G141" s="19"/>
      <c r="H141" s="19"/>
      <c r="I141" s="20"/>
      <c r="J141" s="19"/>
      <c r="K141" s="109"/>
    </row>
    <row r="142" spans="1:11" ht="15">
      <c r="A142" s="19"/>
      <c r="B142" s="31"/>
      <c r="C142" s="19"/>
      <c r="D142" s="19"/>
      <c r="E142" s="19"/>
      <c r="F142" s="20"/>
      <c r="G142" s="19"/>
      <c r="H142" s="19"/>
      <c r="I142" s="20"/>
      <c r="J142" s="19"/>
      <c r="K142" s="109"/>
    </row>
    <row r="143" spans="1:11" ht="15">
      <c r="A143" s="19"/>
      <c r="B143" s="31"/>
      <c r="C143" s="19"/>
      <c r="D143" s="19"/>
      <c r="E143" s="19"/>
      <c r="F143" s="20"/>
      <c r="G143" s="19"/>
      <c r="H143" s="19"/>
      <c r="I143" s="20"/>
      <c r="J143" s="19"/>
      <c r="K143" s="109"/>
    </row>
    <row r="144" spans="1:11" ht="15">
      <c r="A144" s="19"/>
      <c r="B144" s="31"/>
      <c r="C144" s="19"/>
      <c r="D144" s="19"/>
      <c r="E144" s="19"/>
      <c r="F144" s="20"/>
      <c r="G144" s="19"/>
      <c r="H144" s="19"/>
      <c r="I144" s="20"/>
      <c r="J144" s="19"/>
      <c r="K144" s="109"/>
    </row>
    <row r="145" spans="1:11" ht="15">
      <c r="A145" s="19"/>
      <c r="B145" s="31"/>
      <c r="C145" s="19"/>
      <c r="D145" s="19"/>
      <c r="E145" s="19"/>
      <c r="F145" s="20"/>
      <c r="G145" s="19"/>
      <c r="H145" s="19"/>
      <c r="I145" s="20"/>
      <c r="J145" s="19"/>
      <c r="K145" s="109"/>
    </row>
    <row r="146" spans="1:11" ht="15">
      <c r="A146" s="19"/>
      <c r="B146" s="31"/>
      <c r="C146" s="19"/>
      <c r="D146" s="19"/>
      <c r="E146" s="19"/>
      <c r="F146" s="20"/>
      <c r="G146" s="19"/>
      <c r="H146" s="19"/>
      <c r="I146" s="20"/>
      <c r="J146" s="19"/>
      <c r="K146" s="109"/>
    </row>
    <row r="147" spans="1:11" ht="15">
      <c r="A147" s="19"/>
      <c r="B147" s="31"/>
      <c r="C147" s="19"/>
      <c r="D147" s="19"/>
      <c r="E147" s="19"/>
      <c r="F147" s="20"/>
      <c r="G147" s="19"/>
      <c r="H147" s="19"/>
      <c r="I147" s="20"/>
      <c r="J147" s="19"/>
      <c r="K147" s="109"/>
    </row>
    <row r="148" spans="1:11" ht="15">
      <c r="A148" s="19"/>
      <c r="B148" s="31"/>
      <c r="C148" s="19"/>
      <c r="D148" s="19"/>
      <c r="E148" s="19"/>
      <c r="F148" s="20"/>
      <c r="G148" s="19"/>
      <c r="H148" s="19"/>
      <c r="I148" s="20"/>
      <c r="J148" s="19"/>
      <c r="K148" s="109"/>
    </row>
    <row r="149" spans="1:11" ht="15">
      <c r="A149" s="19"/>
      <c r="B149" s="31"/>
      <c r="C149" s="19"/>
      <c r="D149" s="19"/>
      <c r="E149" s="19"/>
      <c r="F149" s="20"/>
      <c r="G149" s="19"/>
      <c r="H149" s="19"/>
      <c r="I149" s="20"/>
      <c r="J149" s="19"/>
      <c r="K149" s="109"/>
    </row>
    <row r="150" spans="1:11" ht="15">
      <c r="A150" s="19"/>
      <c r="B150" s="31"/>
      <c r="C150" s="19"/>
      <c r="D150" s="19"/>
      <c r="E150" s="19"/>
      <c r="F150" s="20"/>
      <c r="G150" s="19"/>
      <c r="H150" s="19"/>
      <c r="I150" s="20"/>
      <c r="J150" s="19"/>
      <c r="K150" s="109"/>
    </row>
    <row r="151" spans="1:11" ht="15">
      <c r="A151" s="19"/>
      <c r="B151" s="31"/>
      <c r="C151" s="19"/>
      <c r="D151" s="19"/>
      <c r="E151" s="19"/>
      <c r="F151" s="20"/>
      <c r="G151" s="19"/>
      <c r="H151" s="19"/>
      <c r="I151" s="20"/>
      <c r="J151" s="19"/>
      <c r="K151" s="109"/>
    </row>
    <row r="152" spans="1:11" ht="15">
      <c r="A152" s="19"/>
      <c r="B152" s="31"/>
      <c r="C152" s="19"/>
      <c r="D152" s="19"/>
      <c r="E152" s="19"/>
      <c r="F152" s="20"/>
      <c r="G152" s="19"/>
      <c r="H152" s="19"/>
      <c r="I152" s="20"/>
      <c r="J152" s="19"/>
      <c r="K152" s="109"/>
    </row>
    <row r="153" spans="1:11" ht="15">
      <c r="A153" s="19"/>
      <c r="B153" s="31"/>
      <c r="C153" s="19"/>
      <c r="D153" s="19"/>
      <c r="E153" s="19"/>
      <c r="F153" s="20"/>
      <c r="G153" s="19"/>
      <c r="H153" s="19"/>
      <c r="I153" s="20"/>
      <c r="J153" s="19"/>
      <c r="K153" s="109"/>
    </row>
    <row r="154" spans="1:11" ht="15">
      <c r="A154" s="19"/>
      <c r="B154" s="31"/>
      <c r="C154" s="19"/>
      <c r="D154" s="19"/>
      <c r="E154" s="19"/>
      <c r="F154" s="20"/>
      <c r="G154" s="19"/>
      <c r="H154" s="19"/>
      <c r="I154" s="20"/>
      <c r="J154" s="19"/>
      <c r="K154" s="109"/>
    </row>
    <row r="155" spans="1:11" ht="15">
      <c r="A155" s="19"/>
      <c r="B155" s="31"/>
      <c r="C155" s="19"/>
      <c r="D155" s="19"/>
      <c r="E155" s="19"/>
      <c r="F155" s="20"/>
      <c r="G155" s="19"/>
      <c r="H155" s="19"/>
      <c r="I155" s="20"/>
      <c r="J155" s="19"/>
      <c r="K155" s="109"/>
    </row>
    <row r="156" spans="1:11" ht="15">
      <c r="A156" s="19"/>
      <c r="B156" s="31"/>
      <c r="C156" s="19"/>
      <c r="D156" s="19"/>
      <c r="E156" s="19"/>
      <c r="F156" s="20"/>
      <c r="G156" s="19"/>
      <c r="H156" s="19"/>
      <c r="I156" s="20"/>
      <c r="J156" s="19"/>
      <c r="K156" s="109"/>
    </row>
    <row r="157" spans="1:11" ht="15">
      <c r="A157" s="19"/>
      <c r="B157" s="31"/>
      <c r="C157" s="19"/>
      <c r="D157" s="19"/>
      <c r="E157" s="19"/>
      <c r="F157" s="20"/>
      <c r="G157" s="19"/>
      <c r="H157" s="19"/>
      <c r="I157" s="20"/>
      <c r="J157" s="19"/>
      <c r="K157" s="109"/>
    </row>
    <row r="158" spans="1:11" ht="15">
      <c r="A158" s="19"/>
      <c r="B158" s="31"/>
      <c r="C158" s="19"/>
      <c r="D158" s="19"/>
      <c r="E158" s="19"/>
      <c r="F158" s="20"/>
      <c r="G158" s="19"/>
      <c r="H158" s="19"/>
      <c r="I158" s="20"/>
      <c r="J158" s="19"/>
      <c r="K158" s="109"/>
    </row>
    <row r="159" spans="1:11" ht="15">
      <c r="A159" s="19"/>
      <c r="B159" s="31"/>
      <c r="C159" s="19"/>
      <c r="D159" s="19"/>
      <c r="E159" s="19"/>
      <c r="F159" s="20"/>
      <c r="G159" s="19"/>
      <c r="H159" s="19"/>
      <c r="I159" s="20"/>
      <c r="J159" s="19"/>
      <c r="K159" s="109"/>
    </row>
    <row r="160" spans="1:11" ht="15">
      <c r="A160" s="19"/>
      <c r="B160" s="31"/>
      <c r="C160" s="19"/>
      <c r="D160" s="19"/>
      <c r="E160" s="19"/>
      <c r="F160" s="20"/>
      <c r="G160" s="19"/>
      <c r="H160" s="19"/>
      <c r="I160" s="20"/>
      <c r="J160" s="19"/>
      <c r="K160" s="109"/>
    </row>
    <row r="161" spans="1:11" ht="15">
      <c r="A161" s="19"/>
      <c r="B161" s="31"/>
      <c r="C161" s="19"/>
      <c r="D161" s="19"/>
      <c r="E161" s="19"/>
      <c r="F161" s="20"/>
      <c r="G161" s="19"/>
      <c r="H161" s="19"/>
      <c r="I161" s="20"/>
      <c r="J161" s="19"/>
      <c r="K161" s="109"/>
    </row>
    <row r="162" spans="1:11" ht="15">
      <c r="A162" s="19"/>
      <c r="B162" s="31"/>
      <c r="C162" s="19"/>
      <c r="D162" s="19"/>
      <c r="E162" s="19"/>
      <c r="F162" s="20"/>
      <c r="G162" s="19"/>
      <c r="H162" s="19"/>
      <c r="I162" s="20"/>
      <c r="J162" s="19"/>
      <c r="K162" s="109"/>
    </row>
    <row r="163" spans="1:11" ht="15">
      <c r="A163" s="19"/>
      <c r="B163" s="31"/>
      <c r="C163" s="19"/>
      <c r="D163" s="19"/>
      <c r="E163" s="19"/>
      <c r="F163" s="20"/>
      <c r="G163" s="19"/>
      <c r="H163" s="19"/>
      <c r="I163" s="20"/>
      <c r="J163" s="19"/>
      <c r="K163" s="109"/>
    </row>
    <row r="164" spans="1:11" ht="15">
      <c r="A164" s="19"/>
      <c r="B164" s="31"/>
      <c r="C164" s="19"/>
      <c r="D164" s="19"/>
      <c r="E164" s="19"/>
      <c r="F164" s="20"/>
      <c r="G164" s="19"/>
      <c r="H164" s="19"/>
      <c r="I164" s="20"/>
      <c r="J164" s="19"/>
      <c r="K164" s="109"/>
    </row>
    <row r="165" spans="1:11" ht="15">
      <c r="A165" s="19"/>
      <c r="B165" s="31"/>
      <c r="C165" s="19"/>
      <c r="D165" s="19"/>
      <c r="E165" s="19"/>
      <c r="F165" s="20"/>
      <c r="G165" s="19"/>
      <c r="H165" s="19"/>
      <c r="I165" s="20"/>
      <c r="J165" s="19"/>
      <c r="K165" s="109"/>
    </row>
    <row r="166" spans="1:11" ht="15">
      <c r="A166" s="19"/>
      <c r="B166" s="31"/>
      <c r="C166" s="19"/>
      <c r="D166" s="19"/>
      <c r="E166" s="19"/>
      <c r="F166" s="20"/>
      <c r="G166" s="19"/>
      <c r="H166" s="19"/>
      <c r="I166" s="20"/>
      <c r="J166" s="19"/>
      <c r="K166" s="109"/>
    </row>
    <row r="167" spans="1:11" ht="15">
      <c r="A167" s="19"/>
      <c r="B167" s="31"/>
      <c r="C167" s="19"/>
      <c r="D167" s="19"/>
      <c r="E167" s="19"/>
      <c r="F167" s="20"/>
      <c r="G167" s="19"/>
      <c r="H167" s="19"/>
      <c r="I167" s="20"/>
      <c r="J167" s="19"/>
      <c r="K167" s="109"/>
    </row>
    <row r="168" spans="1:11" ht="15">
      <c r="A168" s="19"/>
      <c r="B168" s="31"/>
      <c r="C168" s="19"/>
      <c r="D168" s="19"/>
      <c r="E168" s="19"/>
      <c r="F168" s="20"/>
      <c r="G168" s="19"/>
      <c r="H168" s="19"/>
      <c r="I168" s="20"/>
      <c r="J168" s="19"/>
      <c r="K168" s="109"/>
    </row>
    <row r="169" spans="1:11" ht="15">
      <c r="A169" s="19"/>
      <c r="B169" s="31"/>
      <c r="C169" s="19"/>
      <c r="D169" s="19"/>
      <c r="E169" s="19"/>
      <c r="F169" s="20"/>
      <c r="G169" s="19"/>
      <c r="H169" s="19"/>
      <c r="I169" s="20"/>
      <c r="J169" s="19"/>
      <c r="K169" s="109"/>
    </row>
    <row r="170" spans="1:11" ht="15">
      <c r="A170" s="19"/>
      <c r="B170" s="31"/>
      <c r="C170" s="19"/>
      <c r="D170" s="19"/>
      <c r="E170" s="19"/>
      <c r="F170" s="20"/>
      <c r="G170" s="19"/>
      <c r="H170" s="19"/>
      <c r="I170" s="20"/>
      <c r="J170" s="19"/>
      <c r="K170" s="109"/>
    </row>
    <row r="171" spans="1:11" ht="15">
      <c r="A171" s="19"/>
      <c r="B171" s="31"/>
      <c r="C171" s="19"/>
      <c r="D171" s="19"/>
      <c r="E171" s="19"/>
      <c r="F171" s="20"/>
      <c r="G171" s="19"/>
      <c r="H171" s="19"/>
      <c r="I171" s="20"/>
      <c r="J171" s="19"/>
      <c r="K171" s="109"/>
    </row>
    <row r="172" spans="1:11" ht="15">
      <c r="A172" s="19"/>
      <c r="B172" s="31"/>
      <c r="C172" s="19"/>
      <c r="D172" s="19"/>
      <c r="E172" s="19"/>
      <c r="F172" s="20"/>
      <c r="G172" s="19"/>
      <c r="H172" s="19"/>
      <c r="I172" s="20"/>
      <c r="J172" s="19"/>
      <c r="K172" s="109"/>
    </row>
    <row r="173" spans="1:11" ht="15">
      <c r="A173" s="19"/>
      <c r="B173" s="31"/>
      <c r="C173" s="19"/>
      <c r="D173" s="19"/>
      <c r="E173" s="19"/>
      <c r="F173" s="20"/>
      <c r="G173" s="19"/>
      <c r="H173" s="19"/>
      <c r="I173" s="20"/>
      <c r="J173" s="19"/>
      <c r="K173" s="109"/>
    </row>
    <row r="174" spans="1:11" ht="15">
      <c r="A174" s="19"/>
      <c r="B174" s="31"/>
      <c r="C174" s="19"/>
      <c r="D174" s="19"/>
      <c r="E174" s="19"/>
      <c r="F174" s="20"/>
      <c r="G174" s="19"/>
      <c r="H174" s="19"/>
      <c r="I174" s="20"/>
      <c r="J174" s="19"/>
      <c r="K174" s="109"/>
    </row>
    <row r="175" spans="1:11" ht="15">
      <c r="A175" s="19"/>
      <c r="B175" s="31"/>
      <c r="C175" s="19"/>
      <c r="D175" s="19"/>
      <c r="E175" s="19"/>
      <c r="F175" s="20"/>
      <c r="G175" s="19"/>
      <c r="H175" s="19"/>
      <c r="I175" s="20"/>
      <c r="J175" s="19"/>
      <c r="K175" s="109"/>
    </row>
    <row r="176" spans="1:11" ht="15">
      <c r="A176" s="19"/>
      <c r="B176" s="31"/>
      <c r="C176" s="19"/>
      <c r="D176" s="19"/>
      <c r="E176" s="19"/>
      <c r="F176" s="20"/>
      <c r="G176" s="19"/>
      <c r="H176" s="19"/>
      <c r="I176" s="20"/>
      <c r="J176" s="19"/>
      <c r="K176" s="109"/>
    </row>
    <row r="177" spans="1:11" ht="15">
      <c r="A177" s="19"/>
      <c r="B177" s="31"/>
      <c r="C177" s="19"/>
      <c r="D177" s="19"/>
      <c r="E177" s="19"/>
      <c r="F177" s="20"/>
      <c r="G177" s="19"/>
      <c r="H177" s="19"/>
      <c r="I177" s="20"/>
      <c r="J177" s="19"/>
      <c r="K177" s="109"/>
    </row>
    <row r="178" spans="1:11" ht="15">
      <c r="A178" s="19"/>
      <c r="B178" s="31"/>
      <c r="C178" s="19"/>
      <c r="D178" s="19"/>
      <c r="E178" s="19"/>
      <c r="F178" s="20"/>
      <c r="G178" s="19"/>
      <c r="H178" s="19"/>
      <c r="I178" s="20"/>
      <c r="J178" s="19"/>
      <c r="K178" s="109"/>
    </row>
    <row r="179" spans="1:11" ht="15">
      <c r="A179" s="19"/>
      <c r="B179" s="31"/>
      <c r="C179" s="19"/>
      <c r="D179" s="19"/>
      <c r="E179" s="19"/>
      <c r="F179" s="20"/>
      <c r="G179" s="19"/>
      <c r="H179" s="19"/>
      <c r="I179" s="20"/>
      <c r="J179" s="19"/>
      <c r="K179" s="109"/>
    </row>
    <row r="180" spans="1:11" ht="15">
      <c r="A180" s="19"/>
      <c r="B180" s="31"/>
      <c r="C180" s="19"/>
      <c r="D180" s="19"/>
      <c r="E180" s="19"/>
      <c r="F180" s="20"/>
      <c r="G180" s="19"/>
      <c r="H180" s="19"/>
      <c r="I180" s="20"/>
      <c r="J180" s="19"/>
      <c r="K180" s="109"/>
    </row>
    <row r="181" spans="1:11" ht="15">
      <c r="A181" s="19"/>
      <c r="B181" s="31"/>
      <c r="C181" s="19"/>
      <c r="D181" s="19"/>
      <c r="E181" s="19"/>
      <c r="F181" s="20"/>
      <c r="G181" s="19"/>
      <c r="H181" s="19"/>
      <c r="I181" s="20"/>
      <c r="J181" s="19"/>
      <c r="K181" s="109"/>
    </row>
    <row r="182" spans="1:11" ht="15">
      <c r="A182" s="19"/>
      <c r="B182" s="31"/>
      <c r="C182" s="19"/>
      <c r="D182" s="19"/>
      <c r="E182" s="19"/>
      <c r="F182" s="20"/>
      <c r="G182" s="19"/>
      <c r="H182" s="19"/>
      <c r="I182" s="20"/>
      <c r="J182" s="19"/>
      <c r="K182" s="109"/>
    </row>
    <row r="183" spans="1:11" ht="15">
      <c r="A183" s="19"/>
      <c r="B183" s="31"/>
      <c r="C183" s="19"/>
      <c r="D183" s="19"/>
      <c r="E183" s="19"/>
      <c r="F183" s="20"/>
      <c r="G183" s="19"/>
      <c r="H183" s="19"/>
      <c r="I183" s="20"/>
      <c r="J183" s="19"/>
      <c r="K183" s="109"/>
    </row>
    <row r="184" spans="1:11" ht="15">
      <c r="A184" s="19"/>
      <c r="B184" s="31"/>
      <c r="C184" s="19"/>
      <c r="D184" s="19"/>
      <c r="E184" s="19"/>
      <c r="F184" s="20"/>
      <c r="G184" s="19"/>
      <c r="H184" s="19"/>
      <c r="I184" s="20"/>
      <c r="J184" s="19"/>
      <c r="K184" s="109"/>
    </row>
    <row r="185" spans="1:11" ht="15">
      <c r="A185" s="19"/>
      <c r="B185" s="31"/>
      <c r="C185" s="19"/>
      <c r="D185" s="19"/>
      <c r="E185" s="19"/>
      <c r="F185" s="20"/>
      <c r="G185" s="19"/>
      <c r="H185" s="19"/>
      <c r="I185" s="20"/>
      <c r="J185" s="19"/>
      <c r="K185" s="109"/>
    </row>
    <row r="186" spans="1:11" ht="15">
      <c r="A186" s="19"/>
      <c r="B186" s="31"/>
      <c r="C186" s="19"/>
      <c r="D186" s="19"/>
      <c r="E186" s="19"/>
      <c r="F186" s="20"/>
      <c r="G186" s="19"/>
      <c r="H186" s="19"/>
      <c r="I186" s="20"/>
      <c r="J186" s="19"/>
      <c r="K186" s="109"/>
    </row>
    <row r="187" spans="1:11" ht="15">
      <c r="A187" s="19"/>
      <c r="B187" s="31"/>
      <c r="C187" s="19"/>
      <c r="D187" s="19"/>
      <c r="E187" s="19"/>
      <c r="F187" s="20"/>
      <c r="G187" s="19"/>
      <c r="H187" s="19"/>
      <c r="I187" s="20"/>
      <c r="J187" s="19"/>
      <c r="K187" s="109"/>
    </row>
    <row r="188" spans="1:11" ht="15">
      <c r="A188" s="19"/>
      <c r="B188" s="31"/>
      <c r="C188" s="19"/>
      <c r="D188" s="19"/>
      <c r="E188" s="19"/>
      <c r="F188" s="20"/>
      <c r="G188" s="19"/>
      <c r="H188" s="19"/>
      <c r="I188" s="20"/>
      <c r="J188" s="19"/>
      <c r="K188" s="109"/>
    </row>
    <row r="189" spans="1:11" ht="15">
      <c r="A189" s="19"/>
      <c r="B189" s="31"/>
      <c r="C189" s="19"/>
      <c r="D189" s="19"/>
      <c r="E189" s="19"/>
      <c r="F189" s="20"/>
      <c r="G189" s="19"/>
      <c r="H189" s="19"/>
      <c r="I189" s="20"/>
      <c r="J189" s="19"/>
      <c r="K189" s="109"/>
    </row>
    <row r="190" spans="1:11" ht="15">
      <c r="A190" s="19"/>
      <c r="B190" s="31"/>
      <c r="C190" s="19"/>
      <c r="D190" s="19"/>
      <c r="E190" s="19"/>
      <c r="F190" s="20"/>
      <c r="G190" s="19"/>
      <c r="H190" s="19"/>
      <c r="I190" s="20"/>
      <c r="J190" s="19"/>
      <c r="K190" s="109"/>
    </row>
    <row r="191" spans="1:11" ht="15">
      <c r="A191" s="19"/>
      <c r="B191" s="31"/>
      <c r="C191" s="19"/>
      <c r="D191" s="19"/>
      <c r="E191" s="19"/>
      <c r="F191" s="20"/>
      <c r="G191" s="19"/>
      <c r="H191" s="19"/>
      <c r="I191" s="20"/>
      <c r="J191" s="19"/>
      <c r="K191" s="109"/>
    </row>
    <row r="192" spans="1:11" ht="15">
      <c r="A192" s="19"/>
      <c r="B192" s="31"/>
      <c r="C192" s="19"/>
      <c r="D192" s="19"/>
      <c r="E192" s="19"/>
      <c r="F192" s="20"/>
      <c r="G192" s="19"/>
      <c r="H192" s="19"/>
      <c r="I192" s="20"/>
      <c r="J192" s="19"/>
      <c r="K192" s="109"/>
    </row>
    <row r="193" spans="1:11" ht="15">
      <c r="A193" s="19"/>
      <c r="B193" s="31"/>
      <c r="C193" s="19"/>
      <c r="D193" s="19"/>
      <c r="E193" s="19"/>
      <c r="F193" s="20"/>
      <c r="G193" s="19"/>
      <c r="H193" s="19"/>
      <c r="I193" s="20"/>
      <c r="J193" s="19"/>
      <c r="K193" s="109"/>
    </row>
    <row r="194" spans="1:11" ht="15">
      <c r="A194" s="19"/>
      <c r="B194" s="31"/>
      <c r="C194" s="19"/>
      <c r="D194" s="19"/>
      <c r="E194" s="19"/>
      <c r="F194" s="20"/>
      <c r="G194" s="19"/>
      <c r="H194" s="19"/>
      <c r="I194" s="20"/>
      <c r="J194" s="19"/>
      <c r="K194" s="109"/>
    </row>
    <row r="195" spans="1:11" ht="15">
      <c r="A195" s="19"/>
      <c r="B195" s="31"/>
      <c r="C195" s="19"/>
      <c r="D195" s="19"/>
      <c r="E195" s="19"/>
      <c r="F195" s="20"/>
      <c r="G195" s="19"/>
      <c r="H195" s="19"/>
      <c r="I195" s="20"/>
      <c r="J195" s="19"/>
      <c r="K195" s="109"/>
    </row>
    <row r="196" spans="1:11" ht="15">
      <c r="A196" s="19"/>
      <c r="B196" s="31"/>
      <c r="C196" s="19"/>
      <c r="D196" s="19"/>
      <c r="E196" s="19"/>
      <c r="F196" s="20"/>
      <c r="G196" s="19"/>
      <c r="H196" s="19"/>
      <c r="I196" s="20"/>
      <c r="J196" s="19"/>
      <c r="K196" s="109"/>
    </row>
    <row r="197" spans="1:11" ht="15">
      <c r="A197" s="19"/>
      <c r="B197" s="31"/>
      <c r="C197" s="19"/>
      <c r="D197" s="19"/>
      <c r="E197" s="19"/>
      <c r="F197" s="20"/>
      <c r="G197" s="19"/>
      <c r="H197" s="19"/>
      <c r="I197" s="20"/>
      <c r="J197" s="19"/>
      <c r="K197" s="109"/>
    </row>
    <row r="198" spans="1:11" ht="15">
      <c r="A198" s="19"/>
      <c r="B198" s="31"/>
      <c r="C198" s="19"/>
      <c r="D198" s="19"/>
      <c r="E198" s="19"/>
      <c r="F198" s="20"/>
      <c r="G198" s="19"/>
      <c r="H198" s="19"/>
      <c r="I198" s="20"/>
      <c r="J198" s="19"/>
      <c r="K198" s="109"/>
    </row>
    <row r="199" spans="1:11" ht="15">
      <c r="A199" s="19"/>
      <c r="B199" s="31"/>
      <c r="C199" s="19"/>
      <c r="D199" s="19"/>
      <c r="E199" s="19"/>
      <c r="F199" s="20"/>
      <c r="G199" s="19"/>
      <c r="H199" s="19"/>
      <c r="I199" s="20"/>
      <c r="J199" s="19"/>
      <c r="K199" s="109"/>
    </row>
    <row r="200" spans="1:11" ht="15">
      <c r="A200" s="19"/>
      <c r="B200" s="31"/>
      <c r="C200" s="19"/>
      <c r="D200" s="19"/>
      <c r="E200" s="19"/>
      <c r="F200" s="20"/>
      <c r="G200" s="19"/>
      <c r="H200" s="19"/>
      <c r="I200" s="20"/>
      <c r="J200" s="19"/>
      <c r="K200" s="109"/>
    </row>
    <row r="201" spans="1:11" ht="15">
      <c r="A201" s="19"/>
      <c r="B201" s="31"/>
      <c r="C201" s="19"/>
      <c r="D201" s="19"/>
      <c r="E201" s="19"/>
      <c r="F201" s="20"/>
      <c r="G201" s="19"/>
      <c r="H201" s="19"/>
      <c r="I201" s="20"/>
      <c r="J201" s="19"/>
      <c r="K201" s="109"/>
    </row>
    <row r="202" spans="1:11" ht="15">
      <c r="A202" s="19"/>
      <c r="B202" s="31"/>
      <c r="C202" s="19"/>
      <c r="D202" s="19"/>
      <c r="E202" s="19"/>
      <c r="F202" s="20"/>
      <c r="G202" s="19"/>
      <c r="H202" s="19"/>
      <c r="I202" s="20"/>
      <c r="J202" s="19"/>
      <c r="K202" s="109"/>
    </row>
    <row r="203" spans="1:11" ht="15">
      <c r="A203" s="19"/>
      <c r="B203" s="31"/>
      <c r="C203" s="19"/>
      <c r="D203" s="19"/>
      <c r="E203" s="19"/>
      <c r="F203" s="20"/>
      <c r="G203" s="19"/>
      <c r="H203" s="19"/>
      <c r="I203" s="20"/>
      <c r="J203" s="19"/>
      <c r="K203" s="109"/>
    </row>
    <row r="204" spans="1:11" ht="15">
      <c r="A204" s="19"/>
      <c r="B204" s="31"/>
      <c r="C204" s="19"/>
      <c r="D204" s="19"/>
      <c r="E204" s="19"/>
      <c r="F204" s="20"/>
      <c r="G204" s="19"/>
      <c r="H204" s="19"/>
      <c r="I204" s="20"/>
      <c r="J204" s="19"/>
      <c r="K204" s="109"/>
    </row>
    <row r="205" spans="1:11" ht="15">
      <c r="A205" s="19"/>
      <c r="B205" s="31"/>
      <c r="C205" s="19"/>
      <c r="D205" s="19"/>
      <c r="E205" s="19"/>
      <c r="F205" s="20"/>
      <c r="G205" s="19"/>
      <c r="H205" s="19"/>
      <c r="I205" s="20"/>
      <c r="J205" s="19"/>
      <c r="K205" s="109"/>
    </row>
    <row r="206" spans="1:11" ht="15">
      <c r="A206" s="19"/>
      <c r="B206" s="31"/>
      <c r="C206" s="19"/>
      <c r="D206" s="19"/>
      <c r="E206" s="19"/>
      <c r="F206" s="20"/>
      <c r="G206" s="19"/>
      <c r="H206" s="19"/>
      <c r="I206" s="20"/>
      <c r="J206" s="19"/>
      <c r="K206" s="109"/>
    </row>
    <row r="207" spans="1:11" ht="15">
      <c r="A207" s="19"/>
      <c r="B207" s="31"/>
      <c r="C207" s="19"/>
      <c r="D207" s="19"/>
      <c r="E207" s="19"/>
      <c r="F207" s="20"/>
      <c r="G207" s="19"/>
      <c r="H207" s="19"/>
      <c r="I207" s="20"/>
      <c r="J207" s="19"/>
      <c r="K207" s="109"/>
    </row>
    <row r="208" spans="1:11" ht="15">
      <c r="A208" s="19"/>
      <c r="B208" s="31"/>
      <c r="C208" s="19"/>
      <c r="D208" s="19"/>
      <c r="E208" s="19"/>
      <c r="F208" s="20"/>
      <c r="G208" s="19"/>
      <c r="H208" s="19"/>
      <c r="I208" s="20"/>
      <c r="J208" s="19"/>
      <c r="K208" s="109"/>
    </row>
    <row r="209" spans="1:11" ht="15">
      <c r="A209" s="19"/>
      <c r="B209" s="31"/>
      <c r="C209" s="19"/>
      <c r="D209" s="19"/>
      <c r="E209" s="19"/>
      <c r="F209" s="20"/>
      <c r="G209" s="19"/>
      <c r="H209" s="19"/>
      <c r="I209" s="20"/>
      <c r="J209" s="19"/>
      <c r="K209" s="109"/>
    </row>
    <row r="210" spans="1:11" ht="15">
      <c r="A210" s="19"/>
      <c r="B210" s="31"/>
      <c r="C210" s="19"/>
      <c r="D210" s="19"/>
      <c r="E210" s="19"/>
      <c r="F210" s="20"/>
      <c r="G210" s="19"/>
      <c r="H210" s="19"/>
      <c r="I210" s="20"/>
      <c r="J210" s="19"/>
      <c r="K210" s="109"/>
    </row>
    <row r="211" spans="1:11" ht="15">
      <c r="A211" s="19"/>
      <c r="B211" s="31"/>
      <c r="C211" s="19"/>
      <c r="D211" s="19"/>
      <c r="E211" s="19"/>
      <c r="F211" s="20"/>
      <c r="G211" s="19"/>
      <c r="H211" s="19"/>
      <c r="I211" s="20"/>
      <c r="J211" s="19"/>
      <c r="K211" s="109"/>
    </row>
    <row r="212" spans="1:11" ht="15">
      <c r="A212" s="19"/>
      <c r="B212" s="31"/>
      <c r="C212" s="19"/>
      <c r="D212" s="19"/>
      <c r="E212" s="19"/>
      <c r="F212" s="20"/>
      <c r="G212" s="19"/>
      <c r="H212" s="19"/>
      <c r="I212" s="20"/>
      <c r="J212" s="19"/>
      <c r="K212" s="109"/>
    </row>
    <row r="213" spans="1:11" ht="15">
      <c r="A213" s="19"/>
      <c r="B213" s="31"/>
      <c r="C213" s="19"/>
      <c r="D213" s="19"/>
      <c r="E213" s="19"/>
      <c r="F213" s="20"/>
      <c r="G213" s="19"/>
      <c r="H213" s="19"/>
      <c r="I213" s="20"/>
      <c r="J213" s="19"/>
      <c r="K213" s="109"/>
    </row>
    <row r="214" spans="1:11" ht="15">
      <c r="A214" s="19"/>
      <c r="B214" s="31"/>
      <c r="C214" s="19"/>
      <c r="D214" s="19"/>
      <c r="E214" s="19"/>
      <c r="F214" s="20"/>
      <c r="G214" s="19"/>
      <c r="H214" s="19"/>
      <c r="I214" s="20"/>
      <c r="J214" s="19"/>
      <c r="K214" s="109"/>
    </row>
    <row r="215" spans="1:11" ht="15">
      <c r="A215" s="19"/>
      <c r="B215" s="31"/>
      <c r="C215" s="19"/>
      <c r="D215" s="19"/>
      <c r="E215" s="19"/>
      <c r="F215" s="20"/>
      <c r="G215" s="19"/>
      <c r="H215" s="19"/>
      <c r="I215" s="20"/>
      <c r="J215" s="19"/>
      <c r="K215" s="109"/>
    </row>
    <row r="216" spans="1:11" ht="15">
      <c r="A216" s="19"/>
      <c r="B216" s="31"/>
      <c r="C216" s="19"/>
      <c r="D216" s="19"/>
      <c r="E216" s="19"/>
      <c r="F216" s="20"/>
      <c r="G216" s="19"/>
      <c r="H216" s="19"/>
      <c r="I216" s="20"/>
      <c r="J216" s="19"/>
      <c r="K216" s="109"/>
    </row>
    <row r="217" spans="1:11" ht="15">
      <c r="A217" s="19"/>
      <c r="B217" s="31"/>
      <c r="C217" s="19"/>
      <c r="D217" s="19"/>
      <c r="E217" s="19"/>
      <c r="F217" s="20"/>
      <c r="G217" s="19"/>
      <c r="H217" s="19"/>
      <c r="I217" s="20"/>
      <c r="J217" s="19"/>
      <c r="K217" s="109"/>
    </row>
    <row r="218" spans="1:11" ht="15">
      <c r="A218" s="19"/>
      <c r="B218" s="31"/>
      <c r="C218" s="19"/>
      <c r="D218" s="19"/>
      <c r="E218" s="19"/>
      <c r="F218" s="20"/>
      <c r="G218" s="19"/>
      <c r="H218" s="19"/>
      <c r="I218" s="20"/>
      <c r="J218" s="19"/>
      <c r="K218" s="109"/>
    </row>
    <row r="219" spans="1:11" ht="15">
      <c r="A219" s="19"/>
      <c r="B219" s="31"/>
      <c r="C219" s="19"/>
      <c r="D219" s="19"/>
      <c r="E219" s="19"/>
      <c r="F219" s="20"/>
      <c r="G219" s="19"/>
      <c r="H219" s="19"/>
      <c r="I219" s="20"/>
      <c r="J219" s="19"/>
      <c r="K219" s="109"/>
    </row>
    <row r="220" spans="1:11" ht="15">
      <c r="A220" s="19"/>
      <c r="B220" s="31"/>
      <c r="C220" s="19"/>
      <c r="D220" s="19"/>
      <c r="E220" s="19"/>
      <c r="F220" s="20"/>
      <c r="G220" s="19"/>
      <c r="H220" s="19"/>
      <c r="I220" s="20"/>
      <c r="J220" s="19"/>
      <c r="K220" s="109"/>
    </row>
    <row r="221" spans="1:11" ht="15">
      <c r="A221" s="19"/>
      <c r="B221" s="31"/>
      <c r="C221" s="19"/>
      <c r="D221" s="19"/>
      <c r="E221" s="19"/>
      <c r="F221" s="20"/>
      <c r="G221" s="19"/>
      <c r="H221" s="19"/>
      <c r="I221" s="20"/>
      <c r="J221" s="19"/>
      <c r="K221" s="109"/>
    </row>
    <row r="222" spans="1:11" ht="15">
      <c r="A222" s="19"/>
      <c r="B222" s="31"/>
      <c r="C222" s="19"/>
      <c r="D222" s="19"/>
      <c r="E222" s="19"/>
      <c r="F222" s="20"/>
      <c r="G222" s="19"/>
      <c r="H222" s="19"/>
      <c r="I222" s="20"/>
      <c r="J222" s="19"/>
      <c r="K222" s="109"/>
    </row>
    <row r="223" spans="1:11" ht="15">
      <c r="A223" s="19"/>
      <c r="B223" s="31"/>
      <c r="C223" s="19"/>
      <c r="D223" s="19"/>
      <c r="E223" s="19"/>
      <c r="F223" s="20"/>
      <c r="G223" s="19"/>
      <c r="H223" s="19"/>
      <c r="I223" s="20"/>
      <c r="J223" s="19"/>
      <c r="K223" s="109"/>
    </row>
    <row r="224" spans="1:11" ht="15">
      <c r="A224" s="19"/>
      <c r="B224" s="31"/>
      <c r="C224" s="19"/>
      <c r="D224" s="19"/>
      <c r="E224" s="19"/>
      <c r="F224" s="20"/>
      <c r="G224" s="19"/>
      <c r="H224" s="19"/>
      <c r="I224" s="20"/>
      <c r="J224" s="19"/>
      <c r="K224" s="109"/>
    </row>
    <row r="225" spans="1:11" ht="15">
      <c r="A225" s="19"/>
      <c r="B225" s="31"/>
      <c r="C225" s="19"/>
      <c r="D225" s="19"/>
      <c r="E225" s="19"/>
      <c r="F225" s="20"/>
      <c r="G225" s="19"/>
      <c r="H225" s="19"/>
      <c r="I225" s="20"/>
      <c r="J225" s="19"/>
      <c r="K225" s="109"/>
    </row>
    <row r="226" spans="1:11" ht="15">
      <c r="A226" s="19"/>
      <c r="B226" s="31"/>
      <c r="C226" s="19"/>
      <c r="D226" s="19"/>
      <c r="E226" s="19"/>
      <c r="F226" s="20"/>
      <c r="G226" s="19"/>
      <c r="H226" s="19"/>
      <c r="I226" s="20"/>
      <c r="J226" s="19"/>
      <c r="K226" s="109"/>
    </row>
    <row r="227" spans="1:11" ht="15">
      <c r="A227" s="19"/>
      <c r="B227" s="31"/>
      <c r="C227" s="19"/>
      <c r="D227" s="19"/>
      <c r="E227" s="19"/>
      <c r="F227" s="20"/>
      <c r="G227" s="19"/>
      <c r="H227" s="19"/>
      <c r="I227" s="20"/>
      <c r="J227" s="19"/>
      <c r="K227" s="109"/>
    </row>
    <row r="228" spans="1:11" ht="15">
      <c r="A228" s="19"/>
      <c r="B228" s="31"/>
      <c r="C228" s="19"/>
      <c r="D228" s="19"/>
      <c r="E228" s="19"/>
      <c r="F228" s="20"/>
      <c r="G228" s="19"/>
      <c r="H228" s="19"/>
      <c r="I228" s="20"/>
      <c r="J228" s="19"/>
      <c r="K228" s="109"/>
    </row>
    <row r="229" spans="1:11" ht="15">
      <c r="A229" s="19"/>
      <c r="B229" s="31"/>
      <c r="C229" s="19"/>
      <c r="D229" s="19"/>
      <c r="E229" s="19"/>
      <c r="F229" s="20"/>
      <c r="G229" s="19"/>
      <c r="H229" s="19"/>
      <c r="I229" s="20"/>
      <c r="J229" s="19"/>
      <c r="K229" s="109"/>
    </row>
    <row r="230" spans="1:11" ht="15">
      <c r="A230" s="19"/>
      <c r="B230" s="31"/>
      <c r="C230" s="19"/>
      <c r="D230" s="19"/>
      <c r="E230" s="19"/>
      <c r="F230" s="20"/>
      <c r="G230" s="19"/>
      <c r="H230" s="19"/>
      <c r="I230" s="20"/>
      <c r="J230" s="19"/>
      <c r="K230" s="109"/>
    </row>
    <row r="231" spans="1:11" ht="15">
      <c r="A231" s="19"/>
      <c r="B231" s="31"/>
      <c r="C231" s="19"/>
      <c r="D231" s="19"/>
      <c r="E231" s="19"/>
      <c r="F231" s="20"/>
      <c r="G231" s="19"/>
      <c r="H231" s="19"/>
      <c r="I231" s="20"/>
      <c r="J231" s="19"/>
      <c r="K231" s="109"/>
    </row>
    <row r="232" spans="1:11" ht="15">
      <c r="A232" s="19"/>
      <c r="B232" s="31"/>
      <c r="C232" s="19"/>
      <c r="D232" s="19"/>
      <c r="E232" s="19"/>
      <c r="F232" s="20"/>
      <c r="G232" s="19"/>
      <c r="H232" s="19"/>
      <c r="I232" s="20"/>
      <c r="J232" s="19"/>
      <c r="K232" s="109"/>
    </row>
    <row r="233" spans="1:11" ht="15">
      <c r="A233" s="19"/>
      <c r="B233" s="31"/>
      <c r="C233" s="19"/>
      <c r="D233" s="19"/>
      <c r="E233" s="19"/>
      <c r="F233" s="20"/>
      <c r="G233" s="19"/>
      <c r="H233" s="19"/>
      <c r="I233" s="20"/>
      <c r="J233" s="19"/>
      <c r="K233" s="109"/>
    </row>
    <row r="234" spans="1:11" ht="15">
      <c r="A234" s="19"/>
      <c r="B234" s="31"/>
      <c r="C234" s="19"/>
      <c r="D234" s="19"/>
      <c r="E234" s="19"/>
      <c r="F234" s="20"/>
      <c r="G234" s="19"/>
      <c r="H234" s="19"/>
      <c r="I234" s="20"/>
      <c r="J234" s="19"/>
      <c r="K234" s="109"/>
    </row>
    <row r="235" spans="1:11" ht="15">
      <c r="A235" s="19"/>
      <c r="B235" s="31"/>
      <c r="C235" s="19"/>
      <c r="D235" s="19"/>
      <c r="E235" s="19"/>
      <c r="F235" s="20"/>
      <c r="G235" s="19"/>
      <c r="H235" s="19"/>
      <c r="I235" s="20"/>
      <c r="J235" s="19"/>
      <c r="K235" s="109"/>
    </row>
    <row r="236" spans="1:11" ht="15">
      <c r="A236" s="19"/>
      <c r="B236" s="31"/>
      <c r="C236" s="19"/>
      <c r="D236" s="19"/>
      <c r="E236" s="19"/>
      <c r="F236" s="20"/>
      <c r="G236" s="19"/>
      <c r="H236" s="19"/>
      <c r="I236" s="20"/>
      <c r="J236" s="19"/>
      <c r="K236" s="109"/>
    </row>
    <row r="237" spans="1:11" ht="15">
      <c r="A237" s="19"/>
      <c r="B237" s="31"/>
      <c r="C237" s="19"/>
      <c r="D237" s="19"/>
      <c r="E237" s="19"/>
      <c r="F237" s="20"/>
      <c r="G237" s="19"/>
      <c r="H237" s="19"/>
      <c r="I237" s="20"/>
      <c r="J237" s="19"/>
      <c r="K237" s="109"/>
    </row>
    <row r="238" spans="1:11" ht="15">
      <c r="A238" s="19"/>
      <c r="B238" s="31"/>
      <c r="C238" s="19"/>
      <c r="D238" s="19"/>
      <c r="E238" s="19"/>
      <c r="F238" s="20"/>
      <c r="G238" s="19"/>
      <c r="H238" s="19"/>
      <c r="I238" s="20"/>
      <c r="J238" s="19"/>
      <c r="K238" s="109"/>
    </row>
    <row r="239" spans="1:11" ht="15">
      <c r="A239" s="19"/>
      <c r="B239" s="31"/>
      <c r="C239" s="19"/>
      <c r="D239" s="19"/>
      <c r="E239" s="19"/>
      <c r="F239" s="20"/>
      <c r="G239" s="19"/>
      <c r="H239" s="19"/>
      <c r="I239" s="20"/>
      <c r="J239" s="19"/>
      <c r="K239" s="109"/>
    </row>
    <row r="240" spans="1:11" ht="15">
      <c r="A240" s="19"/>
      <c r="B240" s="31"/>
      <c r="C240" s="19"/>
      <c r="D240" s="19"/>
      <c r="E240" s="19"/>
      <c r="F240" s="20"/>
      <c r="G240" s="19"/>
      <c r="H240" s="19"/>
      <c r="I240" s="20"/>
      <c r="J240" s="19"/>
      <c r="K240" s="109"/>
    </row>
    <row r="241" spans="1:11" ht="15">
      <c r="A241" s="19"/>
      <c r="B241" s="31"/>
      <c r="C241" s="19"/>
      <c r="D241" s="19"/>
      <c r="E241" s="19"/>
      <c r="F241" s="20"/>
      <c r="G241" s="19"/>
      <c r="H241" s="19"/>
      <c r="I241" s="20"/>
      <c r="J241" s="19"/>
      <c r="K241" s="109"/>
    </row>
    <row r="242" spans="1:11" ht="15">
      <c r="A242" s="19"/>
      <c r="B242" s="31"/>
      <c r="C242" s="19"/>
      <c r="D242" s="19"/>
      <c r="E242" s="19"/>
      <c r="F242" s="20"/>
      <c r="G242" s="19"/>
      <c r="H242" s="19"/>
      <c r="I242" s="20"/>
      <c r="J242" s="19"/>
      <c r="K242" s="109"/>
    </row>
    <row r="243" spans="1:11" ht="15">
      <c r="A243" s="19"/>
      <c r="B243" s="31"/>
      <c r="C243" s="19"/>
      <c r="D243" s="19"/>
      <c r="E243" s="19"/>
      <c r="F243" s="20"/>
      <c r="G243" s="19"/>
      <c r="H243" s="19"/>
      <c r="I243" s="20"/>
      <c r="J243" s="19"/>
      <c r="K243" s="109"/>
    </row>
    <row r="244" spans="1:11" ht="15">
      <c r="A244" s="19"/>
      <c r="B244" s="31"/>
      <c r="C244" s="19"/>
      <c r="D244" s="19"/>
      <c r="E244" s="19"/>
      <c r="F244" s="20"/>
      <c r="G244" s="19"/>
      <c r="H244" s="19"/>
      <c r="I244" s="20"/>
      <c r="J244" s="19"/>
      <c r="K244" s="109"/>
    </row>
    <row r="245" spans="1:11" ht="15">
      <c r="A245" s="19"/>
      <c r="B245" s="31"/>
      <c r="C245" s="19"/>
      <c r="D245" s="19"/>
      <c r="E245" s="19"/>
      <c r="F245" s="20"/>
      <c r="G245" s="19"/>
      <c r="H245" s="19"/>
      <c r="I245" s="20"/>
      <c r="J245" s="19"/>
      <c r="K245" s="109"/>
    </row>
    <row r="246" spans="1:11" ht="15">
      <c r="A246" s="19"/>
      <c r="B246" s="31"/>
      <c r="C246" s="19"/>
      <c r="D246" s="19"/>
      <c r="E246" s="19"/>
      <c r="F246" s="20"/>
      <c r="G246" s="19"/>
      <c r="H246" s="19"/>
      <c r="I246" s="20"/>
      <c r="J246" s="19"/>
      <c r="K246" s="109"/>
    </row>
    <row r="247" spans="1:11" ht="15">
      <c r="A247" s="19"/>
      <c r="B247" s="31"/>
      <c r="C247" s="19"/>
      <c r="D247" s="19"/>
      <c r="E247" s="19"/>
      <c r="F247" s="20"/>
      <c r="G247" s="19"/>
      <c r="H247" s="19"/>
      <c r="I247" s="20"/>
      <c r="J247" s="19"/>
      <c r="K247" s="109"/>
    </row>
    <row r="248" spans="1:11" ht="15">
      <c r="A248" s="19"/>
      <c r="B248" s="31"/>
      <c r="C248" s="19"/>
      <c r="D248" s="19"/>
      <c r="E248" s="19"/>
      <c r="F248" s="20"/>
      <c r="G248" s="19"/>
      <c r="H248" s="19"/>
      <c r="I248" s="20"/>
      <c r="J248" s="19"/>
      <c r="K248" s="109"/>
    </row>
    <row r="249" spans="1:11" ht="15">
      <c r="A249" s="19"/>
      <c r="B249" s="31"/>
      <c r="C249" s="19"/>
      <c r="D249" s="19"/>
      <c r="E249" s="19"/>
      <c r="F249" s="20"/>
      <c r="G249" s="19"/>
      <c r="H249" s="19"/>
      <c r="I249" s="20"/>
      <c r="J249" s="19"/>
      <c r="K249" s="109"/>
    </row>
    <row r="250" spans="1:11" ht="15">
      <c r="A250" s="19"/>
      <c r="B250" s="31"/>
      <c r="C250" s="19"/>
      <c r="D250" s="19"/>
      <c r="E250" s="19"/>
      <c r="F250" s="20"/>
      <c r="G250" s="19"/>
      <c r="H250" s="19"/>
      <c r="I250" s="20"/>
      <c r="J250" s="19"/>
      <c r="K250" s="109"/>
    </row>
    <row r="251" spans="1:11" ht="15">
      <c r="A251" s="19"/>
      <c r="B251" s="31"/>
      <c r="C251" s="19"/>
      <c r="D251" s="19"/>
      <c r="E251" s="19"/>
      <c r="F251" s="20"/>
      <c r="G251" s="19"/>
      <c r="H251" s="19"/>
      <c r="I251" s="20"/>
      <c r="J251" s="19"/>
      <c r="K251" s="109"/>
    </row>
    <row r="252" spans="1:11" ht="15">
      <c r="A252" s="19"/>
      <c r="B252" s="31"/>
      <c r="C252" s="19"/>
      <c r="D252" s="19"/>
      <c r="E252" s="19"/>
      <c r="F252" s="20"/>
      <c r="G252" s="19"/>
      <c r="H252" s="19"/>
      <c r="I252" s="20"/>
      <c r="J252" s="19"/>
      <c r="K252" s="109"/>
    </row>
    <row r="253" spans="1:11" ht="15">
      <c r="A253" s="19"/>
      <c r="B253" s="31"/>
      <c r="C253" s="19"/>
      <c r="D253" s="19"/>
      <c r="E253" s="19"/>
      <c r="F253" s="20"/>
      <c r="G253" s="19"/>
      <c r="H253" s="19"/>
      <c r="I253" s="20"/>
      <c r="J253" s="19"/>
      <c r="K253" s="109"/>
    </row>
    <row r="254" spans="1:11" ht="15">
      <c r="A254" s="19"/>
      <c r="B254" s="31"/>
      <c r="C254" s="19"/>
      <c r="D254" s="19"/>
      <c r="E254" s="19"/>
      <c r="F254" s="20"/>
      <c r="G254" s="19"/>
      <c r="H254" s="19"/>
      <c r="I254" s="20"/>
      <c r="J254" s="19"/>
      <c r="K254" s="109"/>
    </row>
    <row r="255" spans="1:11" ht="15">
      <c r="A255" s="19"/>
      <c r="B255" s="31"/>
      <c r="C255" s="19"/>
      <c r="D255" s="19"/>
      <c r="E255" s="19"/>
      <c r="F255" s="20"/>
      <c r="G255" s="19"/>
      <c r="H255" s="19"/>
      <c r="I255" s="20"/>
      <c r="J255" s="19"/>
      <c r="K255" s="109"/>
    </row>
    <row r="256" spans="1:11" ht="15">
      <c r="A256" s="19"/>
      <c r="B256" s="31"/>
      <c r="C256" s="19"/>
      <c r="D256" s="19"/>
      <c r="E256" s="19"/>
      <c r="F256" s="20"/>
      <c r="G256" s="19"/>
      <c r="H256" s="19"/>
      <c r="I256" s="20"/>
      <c r="J256" s="19"/>
      <c r="K256" s="109"/>
    </row>
    <row r="257" spans="1:11" ht="15">
      <c r="A257" s="19"/>
      <c r="B257" s="31"/>
      <c r="C257" s="19"/>
      <c r="D257" s="19"/>
      <c r="E257" s="19"/>
      <c r="F257" s="20"/>
      <c r="G257" s="19"/>
      <c r="H257" s="19"/>
      <c r="I257" s="20"/>
      <c r="J257" s="19"/>
      <c r="K257" s="109"/>
    </row>
    <row r="258" spans="1:11" ht="15">
      <c r="A258" s="19"/>
      <c r="B258" s="31"/>
      <c r="C258" s="19"/>
      <c r="D258" s="19"/>
      <c r="E258" s="19"/>
      <c r="F258" s="20"/>
      <c r="G258" s="19"/>
      <c r="H258" s="19"/>
      <c r="I258" s="20"/>
      <c r="J258" s="19"/>
      <c r="K258" s="109"/>
    </row>
    <row r="259" spans="1:11" ht="15">
      <c r="A259" s="19"/>
      <c r="B259" s="31"/>
      <c r="C259" s="19"/>
      <c r="D259" s="19"/>
      <c r="E259" s="19"/>
      <c r="F259" s="20"/>
      <c r="G259" s="19"/>
      <c r="H259" s="19"/>
      <c r="I259" s="20"/>
      <c r="J259" s="19"/>
      <c r="K259" s="109"/>
    </row>
    <row r="260" spans="1:11" ht="15">
      <c r="A260" s="19"/>
      <c r="B260" s="31"/>
      <c r="C260" s="19"/>
      <c r="D260" s="19"/>
      <c r="E260" s="19"/>
      <c r="F260" s="20"/>
      <c r="G260" s="19"/>
      <c r="H260" s="19"/>
      <c r="I260" s="20"/>
      <c r="J260" s="19"/>
      <c r="K260" s="109"/>
    </row>
    <row r="261" spans="1:11" ht="15">
      <c r="A261" s="19"/>
      <c r="B261" s="31"/>
      <c r="C261" s="19"/>
      <c r="D261" s="19"/>
      <c r="E261" s="19"/>
      <c r="F261" s="20"/>
      <c r="G261" s="19"/>
      <c r="H261" s="19"/>
      <c r="I261" s="20"/>
      <c r="J261" s="19"/>
      <c r="K261" s="109"/>
    </row>
    <row r="262" spans="1:11" ht="15">
      <c r="A262" s="19"/>
      <c r="B262" s="31"/>
      <c r="C262" s="19"/>
      <c r="D262" s="19"/>
      <c r="E262" s="19"/>
      <c r="F262" s="20"/>
      <c r="G262" s="19"/>
      <c r="H262" s="19"/>
      <c r="I262" s="20"/>
      <c r="J262" s="19"/>
      <c r="K262" s="109"/>
    </row>
    <row r="263" spans="1:11" ht="15">
      <c r="A263" s="19"/>
      <c r="B263" s="31"/>
      <c r="C263" s="19"/>
      <c r="D263" s="19"/>
      <c r="E263" s="19"/>
      <c r="F263" s="20"/>
      <c r="G263" s="19"/>
      <c r="H263" s="19"/>
      <c r="I263" s="20"/>
      <c r="J263" s="19"/>
      <c r="K263" s="109"/>
    </row>
    <row r="264" spans="1:11" ht="15">
      <c r="A264" s="19"/>
      <c r="B264" s="31"/>
      <c r="C264" s="19"/>
      <c r="D264" s="19"/>
      <c r="E264" s="19"/>
      <c r="F264" s="20"/>
      <c r="G264" s="19"/>
      <c r="H264" s="19"/>
      <c r="I264" s="20"/>
      <c r="J264" s="19"/>
      <c r="K264" s="109"/>
    </row>
    <row r="265" spans="1:11" ht="15">
      <c r="A265" s="19"/>
      <c r="B265" s="31"/>
      <c r="C265" s="19"/>
      <c r="D265" s="19"/>
      <c r="E265" s="19"/>
      <c r="F265" s="20"/>
      <c r="G265" s="19"/>
      <c r="H265" s="19"/>
      <c r="I265" s="20"/>
      <c r="J265" s="19"/>
      <c r="K265" s="109"/>
    </row>
    <row r="266" spans="1:11" ht="15">
      <c r="A266" s="19"/>
      <c r="B266" s="31"/>
      <c r="C266" s="19"/>
      <c r="D266" s="19"/>
      <c r="E266" s="19"/>
      <c r="F266" s="20"/>
      <c r="G266" s="19"/>
      <c r="H266" s="19"/>
      <c r="I266" s="20"/>
      <c r="J266" s="19"/>
      <c r="K266" s="109"/>
    </row>
    <row r="267" spans="1:11" ht="15">
      <c r="A267" s="19"/>
      <c r="B267" s="31"/>
      <c r="C267" s="19"/>
      <c r="D267" s="19"/>
      <c r="E267" s="19"/>
      <c r="F267" s="20"/>
      <c r="G267" s="19"/>
      <c r="H267" s="19"/>
      <c r="I267" s="20"/>
      <c r="J267" s="19"/>
      <c r="K267" s="109"/>
    </row>
    <row r="268" spans="1:11" ht="15">
      <c r="A268" s="19"/>
      <c r="B268" s="31"/>
      <c r="C268" s="19"/>
      <c r="D268" s="19"/>
      <c r="E268" s="19"/>
      <c r="F268" s="20"/>
      <c r="G268" s="19"/>
      <c r="H268" s="19"/>
      <c r="I268" s="20"/>
      <c r="J268" s="19"/>
      <c r="K268" s="109"/>
    </row>
    <row r="269" spans="1:11" ht="15">
      <c r="A269" s="19"/>
      <c r="B269" s="31"/>
      <c r="C269" s="19"/>
      <c r="D269" s="19"/>
      <c r="E269" s="19"/>
      <c r="F269" s="20"/>
      <c r="G269" s="19"/>
      <c r="H269" s="19"/>
      <c r="I269" s="20"/>
      <c r="J269" s="19"/>
      <c r="K269" s="109"/>
    </row>
    <row r="270" spans="1:11" ht="15">
      <c r="A270" s="19"/>
      <c r="B270" s="31"/>
      <c r="C270" s="19"/>
      <c r="D270" s="19"/>
      <c r="E270" s="19"/>
      <c r="F270" s="20"/>
      <c r="G270" s="19"/>
      <c r="H270" s="19"/>
      <c r="I270" s="20"/>
      <c r="J270" s="19"/>
      <c r="K270" s="109"/>
    </row>
    <row r="271" spans="1:11" ht="15">
      <c r="A271" s="19"/>
      <c r="B271" s="31"/>
      <c r="C271" s="19"/>
      <c r="D271" s="19"/>
      <c r="E271" s="19"/>
      <c r="F271" s="20"/>
      <c r="G271" s="19"/>
      <c r="H271" s="19"/>
      <c r="I271" s="20"/>
      <c r="J271" s="19"/>
      <c r="K271" s="109"/>
    </row>
    <row r="272" spans="1:11" ht="15">
      <c r="A272" s="19"/>
      <c r="B272" s="31"/>
      <c r="C272" s="19"/>
      <c r="D272" s="19"/>
      <c r="E272" s="19"/>
      <c r="F272" s="20"/>
      <c r="G272" s="19"/>
      <c r="H272" s="19"/>
      <c r="I272" s="20"/>
      <c r="J272" s="19"/>
      <c r="K272" s="109"/>
    </row>
    <row r="273" spans="1:11" ht="15">
      <c r="A273" s="19"/>
      <c r="B273" s="31"/>
      <c r="C273" s="19"/>
      <c r="D273" s="19"/>
      <c r="E273" s="19"/>
      <c r="F273" s="20"/>
      <c r="G273" s="19"/>
      <c r="H273" s="19"/>
      <c r="I273" s="20"/>
      <c r="J273" s="19"/>
      <c r="K273" s="109"/>
    </row>
    <row r="274" spans="1:11" ht="15">
      <c r="A274" s="19"/>
      <c r="B274" s="31"/>
      <c r="C274" s="19"/>
      <c r="D274" s="19"/>
      <c r="E274" s="19"/>
      <c r="F274" s="20"/>
      <c r="G274" s="19"/>
      <c r="H274" s="19"/>
      <c r="I274" s="20"/>
      <c r="J274" s="19"/>
      <c r="K274" s="109"/>
    </row>
    <row r="275" spans="1:11" ht="15">
      <c r="A275" s="19"/>
      <c r="B275" s="31"/>
      <c r="C275" s="19"/>
      <c r="D275" s="19"/>
      <c r="E275" s="19"/>
      <c r="F275" s="20"/>
      <c r="G275" s="19"/>
      <c r="H275" s="19"/>
      <c r="I275" s="20"/>
      <c r="J275" s="19"/>
      <c r="K275" s="109"/>
    </row>
    <row r="276" spans="1:11" ht="15">
      <c r="A276" s="19"/>
      <c r="B276" s="31"/>
      <c r="C276" s="19"/>
      <c r="D276" s="19"/>
      <c r="E276" s="19"/>
      <c r="F276" s="20"/>
      <c r="G276" s="19"/>
      <c r="H276" s="19"/>
      <c r="I276" s="20"/>
      <c r="J276" s="19"/>
      <c r="K276" s="109"/>
    </row>
    <row r="277" spans="1:11" ht="15">
      <c r="A277" s="19"/>
      <c r="B277" s="31"/>
      <c r="C277" s="19"/>
      <c r="D277" s="19"/>
      <c r="E277" s="19"/>
      <c r="F277" s="20"/>
      <c r="G277" s="19"/>
      <c r="H277" s="19"/>
      <c r="I277" s="20"/>
      <c r="J277" s="19"/>
      <c r="K277" s="109"/>
    </row>
    <row r="278" spans="1:11" ht="15">
      <c r="A278" s="19"/>
      <c r="B278" s="31"/>
      <c r="C278" s="19"/>
      <c r="D278" s="19"/>
      <c r="E278" s="19"/>
      <c r="F278" s="20"/>
      <c r="G278" s="19"/>
      <c r="H278" s="19"/>
      <c r="I278" s="20"/>
      <c r="J278" s="19"/>
      <c r="K278" s="109"/>
    </row>
    <row r="279" spans="1:11" ht="15">
      <c r="A279" s="19"/>
      <c r="B279" s="31"/>
      <c r="C279" s="19"/>
      <c r="D279" s="19"/>
      <c r="E279" s="19"/>
      <c r="F279" s="20"/>
      <c r="G279" s="19"/>
      <c r="H279" s="19"/>
      <c r="I279" s="20"/>
      <c r="J279" s="19"/>
      <c r="K279" s="109"/>
    </row>
    <row r="280" spans="1:11" ht="15">
      <c r="A280" s="19"/>
      <c r="B280" s="31"/>
      <c r="C280" s="19"/>
      <c r="D280" s="19"/>
      <c r="E280" s="19"/>
      <c r="F280" s="20"/>
      <c r="G280" s="19"/>
      <c r="H280" s="19"/>
      <c r="I280" s="20"/>
      <c r="J280" s="19"/>
      <c r="K280" s="109"/>
    </row>
    <row r="281" spans="1:11" ht="15">
      <c r="A281" s="19"/>
      <c r="B281" s="31"/>
      <c r="C281" s="19"/>
      <c r="D281" s="19"/>
      <c r="E281" s="19"/>
      <c r="F281" s="20"/>
      <c r="G281" s="19"/>
      <c r="H281" s="19"/>
      <c r="I281" s="20"/>
      <c r="J281" s="19"/>
      <c r="K281" s="109"/>
    </row>
    <row r="282" spans="1:11" ht="15">
      <c r="A282" s="19"/>
      <c r="B282" s="31"/>
      <c r="C282" s="19"/>
      <c r="D282" s="19"/>
      <c r="E282" s="19"/>
      <c r="F282" s="20"/>
      <c r="G282" s="19"/>
      <c r="H282" s="19"/>
      <c r="I282" s="20"/>
      <c r="J282" s="19"/>
      <c r="K282" s="109"/>
    </row>
    <row r="283" spans="1:11" ht="15">
      <c r="A283" s="19"/>
      <c r="B283" s="31"/>
      <c r="C283" s="19"/>
      <c r="D283" s="19"/>
      <c r="E283" s="19"/>
      <c r="F283" s="20"/>
      <c r="G283" s="19"/>
      <c r="H283" s="19"/>
      <c r="I283" s="20"/>
      <c r="J283" s="19"/>
      <c r="K283" s="109"/>
    </row>
    <row r="284" spans="1:11" ht="15">
      <c r="A284" s="19"/>
      <c r="B284" s="31"/>
      <c r="C284" s="19"/>
      <c r="D284" s="19"/>
      <c r="E284" s="19"/>
      <c r="F284" s="20"/>
      <c r="G284" s="19"/>
      <c r="H284" s="19"/>
      <c r="I284" s="20"/>
      <c r="J284" s="19"/>
      <c r="K284" s="109"/>
    </row>
    <row r="285" spans="1:11" ht="15">
      <c r="A285" s="19"/>
      <c r="B285" s="31"/>
      <c r="C285" s="19"/>
      <c r="D285" s="19"/>
      <c r="E285" s="19"/>
      <c r="F285" s="20"/>
      <c r="G285" s="19"/>
      <c r="H285" s="19"/>
      <c r="I285" s="20"/>
      <c r="J285" s="19"/>
      <c r="K285" s="109"/>
    </row>
    <row r="286" spans="1:11" ht="15">
      <c r="A286" s="19"/>
      <c r="B286" s="31"/>
      <c r="C286" s="19"/>
      <c r="D286" s="19"/>
      <c r="E286" s="19"/>
      <c r="F286" s="20"/>
      <c r="G286" s="19"/>
      <c r="H286" s="19"/>
      <c r="I286" s="20"/>
      <c r="J286" s="19"/>
      <c r="K286" s="109"/>
    </row>
    <row r="287" spans="1:11" ht="15">
      <c r="A287" s="19"/>
      <c r="B287" s="31"/>
      <c r="C287" s="19"/>
      <c r="D287" s="19"/>
      <c r="E287" s="19"/>
      <c r="F287" s="20"/>
      <c r="G287" s="19"/>
      <c r="H287" s="19"/>
      <c r="I287" s="20"/>
      <c r="J287" s="19"/>
      <c r="K287" s="109"/>
    </row>
    <row r="288" spans="1:11" ht="15">
      <c r="A288" s="19"/>
      <c r="B288" s="31"/>
      <c r="C288" s="19"/>
      <c r="D288" s="19"/>
      <c r="E288" s="19"/>
      <c r="F288" s="20"/>
      <c r="G288" s="19"/>
      <c r="H288" s="19"/>
      <c r="I288" s="20"/>
      <c r="J288" s="19"/>
      <c r="K288" s="109"/>
    </row>
    <row r="289" spans="1:11" ht="15">
      <c r="A289" s="19"/>
      <c r="B289" s="31"/>
      <c r="C289" s="19"/>
      <c r="D289" s="19"/>
      <c r="E289" s="19"/>
      <c r="F289" s="20"/>
      <c r="G289" s="19"/>
      <c r="H289" s="19"/>
      <c r="I289" s="20"/>
      <c r="J289" s="19"/>
      <c r="K289" s="109"/>
    </row>
    <row r="290" spans="1:11" ht="15">
      <c r="A290" s="19"/>
      <c r="B290" s="31"/>
      <c r="C290" s="19"/>
      <c r="D290" s="19"/>
      <c r="E290" s="19"/>
      <c r="F290" s="20"/>
      <c r="G290" s="19"/>
      <c r="H290" s="19"/>
      <c r="I290" s="20"/>
      <c r="J290" s="19"/>
      <c r="K290" s="109"/>
    </row>
    <row r="291" spans="1:11" ht="15">
      <c r="A291" s="19"/>
      <c r="B291" s="31"/>
      <c r="C291" s="19"/>
      <c r="D291" s="19"/>
      <c r="E291" s="19"/>
      <c r="F291" s="20"/>
      <c r="G291" s="19"/>
      <c r="H291" s="19"/>
      <c r="I291" s="20"/>
      <c r="J291" s="19"/>
      <c r="K291" s="109"/>
    </row>
    <row r="292" spans="1:11" ht="15">
      <c r="A292" s="19"/>
      <c r="B292" s="31"/>
      <c r="C292" s="19"/>
      <c r="D292" s="19"/>
      <c r="E292" s="19"/>
      <c r="F292" s="20"/>
      <c r="G292" s="19"/>
      <c r="H292" s="19"/>
      <c r="I292" s="20"/>
      <c r="J292" s="19"/>
      <c r="K292" s="109"/>
    </row>
    <row r="293" spans="1:11" ht="15">
      <c r="A293" s="19"/>
      <c r="B293" s="31"/>
      <c r="C293" s="19"/>
      <c r="D293" s="19"/>
      <c r="E293" s="19"/>
      <c r="F293" s="20"/>
      <c r="G293" s="19"/>
      <c r="H293" s="19"/>
      <c r="I293" s="20"/>
      <c r="J293" s="19"/>
      <c r="K293" s="109"/>
    </row>
    <row r="294" spans="1:11" ht="15">
      <c r="A294" s="19"/>
      <c r="B294" s="31"/>
      <c r="C294" s="19"/>
      <c r="D294" s="19"/>
      <c r="E294" s="19"/>
      <c r="F294" s="20"/>
      <c r="G294" s="19"/>
      <c r="H294" s="19"/>
      <c r="I294" s="20"/>
      <c r="J294" s="19"/>
      <c r="K294" s="109"/>
    </row>
    <row r="295" spans="1:11" ht="15">
      <c r="A295" s="19"/>
      <c r="B295" s="31"/>
      <c r="C295" s="19"/>
      <c r="D295" s="19"/>
      <c r="E295" s="19"/>
      <c r="F295" s="20"/>
      <c r="G295" s="19"/>
      <c r="H295" s="19"/>
      <c r="I295" s="20"/>
      <c r="J295" s="19"/>
      <c r="K295" s="109"/>
    </row>
    <row r="296" spans="1:11" ht="15">
      <c r="A296" s="19"/>
      <c r="B296" s="31"/>
      <c r="C296" s="19"/>
      <c r="D296" s="19"/>
      <c r="E296" s="19"/>
      <c r="F296" s="20"/>
      <c r="G296" s="19"/>
      <c r="H296" s="19"/>
      <c r="I296" s="20"/>
      <c r="J296" s="19"/>
      <c r="K296" s="109"/>
    </row>
    <row r="297" spans="1:11" ht="15">
      <c r="A297" s="19"/>
      <c r="B297" s="31"/>
      <c r="C297" s="19"/>
      <c r="D297" s="19"/>
      <c r="E297" s="19"/>
      <c r="F297" s="20"/>
      <c r="G297" s="19"/>
      <c r="H297" s="19"/>
      <c r="I297" s="20"/>
      <c r="J297" s="19"/>
      <c r="K297" s="109"/>
    </row>
    <row r="298" spans="1:11" ht="15">
      <c r="A298" s="19"/>
      <c r="B298" s="31"/>
      <c r="C298" s="19"/>
      <c r="D298" s="19"/>
      <c r="E298" s="19"/>
      <c r="F298" s="20"/>
      <c r="G298" s="19"/>
      <c r="H298" s="19"/>
      <c r="I298" s="20"/>
      <c r="J298" s="19"/>
      <c r="K298" s="109"/>
    </row>
    <row r="299" spans="1:11" ht="15">
      <c r="A299" s="19"/>
      <c r="B299" s="31"/>
      <c r="C299" s="19"/>
      <c r="D299" s="19"/>
      <c r="E299" s="19"/>
      <c r="F299" s="20"/>
      <c r="G299" s="19"/>
      <c r="H299" s="19"/>
      <c r="I299" s="20"/>
      <c r="J299" s="19"/>
      <c r="K299" s="109"/>
    </row>
    <row r="300" spans="1:11" ht="15">
      <c r="A300" s="19"/>
      <c r="B300" s="31"/>
      <c r="C300" s="19"/>
      <c r="D300" s="19"/>
      <c r="E300" s="19"/>
      <c r="F300" s="20"/>
      <c r="G300" s="19"/>
      <c r="H300" s="19"/>
      <c r="I300" s="20"/>
      <c r="J300" s="19"/>
      <c r="K300" s="109"/>
    </row>
    <row r="301" spans="1:11" ht="15">
      <c r="A301" s="19"/>
      <c r="B301" s="31"/>
      <c r="C301" s="19"/>
      <c r="D301" s="19"/>
      <c r="E301" s="19"/>
      <c r="F301" s="20"/>
      <c r="G301" s="19"/>
      <c r="H301" s="19"/>
      <c r="I301" s="20"/>
      <c r="J301" s="19"/>
      <c r="K301" s="109"/>
    </row>
    <row r="302" spans="1:11" ht="15">
      <c r="A302" s="19"/>
      <c r="B302" s="31"/>
      <c r="C302" s="19"/>
      <c r="D302" s="19"/>
      <c r="E302" s="19"/>
      <c r="F302" s="20"/>
      <c r="G302" s="19"/>
      <c r="H302" s="19"/>
      <c r="I302" s="20"/>
      <c r="J302" s="19"/>
      <c r="K302" s="109"/>
    </row>
    <row r="303" spans="1:11" ht="15">
      <c r="A303" s="19"/>
      <c r="B303" s="31"/>
      <c r="C303" s="19"/>
      <c r="D303" s="19"/>
      <c r="E303" s="19"/>
      <c r="F303" s="20"/>
      <c r="G303" s="19"/>
      <c r="H303" s="19"/>
      <c r="I303" s="20"/>
      <c r="J303" s="19"/>
      <c r="K303" s="109"/>
    </row>
    <row r="304" spans="1:11" ht="15">
      <c r="A304" s="19"/>
      <c r="B304" s="31"/>
      <c r="C304" s="19"/>
      <c r="D304" s="19"/>
      <c r="E304" s="19"/>
      <c r="F304" s="20"/>
      <c r="G304" s="19"/>
      <c r="H304" s="19"/>
      <c r="I304" s="20"/>
      <c r="J304" s="19"/>
      <c r="K304" s="109"/>
    </row>
    <row r="305" spans="1:11" ht="15">
      <c r="A305" s="19"/>
      <c r="B305" s="31"/>
      <c r="C305" s="19"/>
      <c r="D305" s="19"/>
      <c r="E305" s="19"/>
      <c r="F305" s="20"/>
      <c r="G305" s="19"/>
      <c r="H305" s="19"/>
      <c r="I305" s="20"/>
      <c r="J305" s="19"/>
      <c r="K305" s="109"/>
    </row>
    <row r="306" spans="1:11" ht="15">
      <c r="A306" s="19"/>
      <c r="B306" s="31"/>
      <c r="C306" s="19"/>
      <c r="D306" s="19"/>
      <c r="E306" s="19"/>
      <c r="F306" s="20"/>
      <c r="G306" s="19"/>
      <c r="H306" s="19"/>
      <c r="I306" s="20"/>
      <c r="J306" s="19"/>
      <c r="K306" s="109"/>
    </row>
    <row r="307" spans="1:11" ht="15">
      <c r="A307" s="19"/>
      <c r="B307" s="31"/>
      <c r="C307" s="19"/>
      <c r="D307" s="19"/>
      <c r="E307" s="19"/>
      <c r="F307" s="20"/>
      <c r="G307" s="19"/>
      <c r="H307" s="19"/>
      <c r="I307" s="20"/>
      <c r="J307" s="19"/>
      <c r="K307" s="109"/>
    </row>
    <row r="308" spans="1:11" ht="15">
      <c r="A308" s="19"/>
      <c r="B308" s="31"/>
      <c r="C308" s="19"/>
      <c r="D308" s="19"/>
      <c r="E308" s="19"/>
      <c r="F308" s="20"/>
      <c r="G308" s="19"/>
      <c r="H308" s="19"/>
      <c r="I308" s="20"/>
      <c r="J308" s="19"/>
      <c r="K308" s="109"/>
    </row>
    <row r="309" spans="1:11" ht="15">
      <c r="A309" s="19"/>
      <c r="B309" s="31"/>
      <c r="C309" s="19"/>
      <c r="D309" s="19"/>
      <c r="E309" s="19"/>
      <c r="F309" s="20"/>
      <c r="G309" s="19"/>
      <c r="H309" s="19"/>
      <c r="I309" s="20"/>
      <c r="J309" s="19"/>
      <c r="K309" s="109"/>
    </row>
    <row r="310" spans="1:11" ht="15">
      <c r="A310" s="19"/>
      <c r="B310" s="31"/>
      <c r="C310" s="19"/>
      <c r="D310" s="19"/>
      <c r="E310" s="19"/>
      <c r="F310" s="20"/>
      <c r="G310" s="19"/>
      <c r="H310" s="19"/>
      <c r="I310" s="20"/>
      <c r="J310" s="19"/>
      <c r="K310" s="109"/>
    </row>
    <row r="311" spans="1:11" ht="15">
      <c r="A311" s="19"/>
      <c r="B311" s="31"/>
      <c r="C311" s="19"/>
      <c r="D311" s="19"/>
      <c r="E311" s="19"/>
      <c r="F311" s="20"/>
      <c r="G311" s="19"/>
      <c r="H311" s="19"/>
      <c r="I311" s="20"/>
      <c r="J311" s="19"/>
      <c r="K311" s="109"/>
    </row>
    <row r="312" spans="1:11" ht="15">
      <c r="A312" s="19"/>
      <c r="B312" s="31"/>
      <c r="C312" s="19"/>
      <c r="D312" s="19"/>
      <c r="E312" s="19"/>
      <c r="F312" s="20"/>
      <c r="G312" s="19"/>
      <c r="H312" s="19"/>
      <c r="I312" s="20"/>
      <c r="J312" s="19"/>
      <c r="K312" s="109"/>
    </row>
    <row r="313" spans="1:11" ht="15">
      <c r="A313" s="19"/>
      <c r="B313" s="31"/>
      <c r="C313" s="19"/>
      <c r="D313" s="19"/>
      <c r="E313" s="19"/>
      <c r="F313" s="20"/>
      <c r="G313" s="19"/>
      <c r="H313" s="19"/>
      <c r="I313" s="20"/>
      <c r="J313" s="19"/>
      <c r="K313" s="109"/>
    </row>
    <row r="314" spans="1:11" ht="15">
      <c r="A314" s="19"/>
      <c r="B314" s="31"/>
      <c r="C314" s="19"/>
      <c r="D314" s="19"/>
      <c r="E314" s="19"/>
      <c r="F314" s="20"/>
      <c r="G314" s="19"/>
      <c r="H314" s="19"/>
      <c r="I314" s="20"/>
      <c r="J314" s="19"/>
      <c r="K314" s="109"/>
    </row>
    <row r="315" spans="1:11" ht="15">
      <c r="A315" s="19"/>
      <c r="B315" s="31"/>
      <c r="C315" s="19"/>
      <c r="D315" s="19"/>
      <c r="E315" s="19"/>
      <c r="F315" s="20"/>
      <c r="G315" s="19"/>
      <c r="H315" s="19"/>
      <c r="I315" s="20"/>
      <c r="J315" s="19"/>
      <c r="K315" s="109"/>
    </row>
    <row r="316" spans="1:11" ht="15">
      <c r="A316" s="19"/>
      <c r="B316" s="31"/>
      <c r="C316" s="19"/>
      <c r="D316" s="19"/>
      <c r="E316" s="19"/>
      <c r="F316" s="20"/>
      <c r="G316" s="19"/>
      <c r="H316" s="19"/>
      <c r="I316" s="20"/>
      <c r="J316" s="19"/>
      <c r="K316" s="109"/>
    </row>
    <row r="317" spans="1:11" ht="15">
      <c r="A317" s="19"/>
      <c r="B317" s="31"/>
      <c r="C317" s="19"/>
      <c r="D317" s="19"/>
      <c r="E317" s="19"/>
      <c r="F317" s="20"/>
      <c r="G317" s="19"/>
      <c r="H317" s="19"/>
      <c r="I317" s="20"/>
      <c r="J317" s="19"/>
      <c r="K317" s="109"/>
    </row>
    <row r="318" spans="1:11" ht="15">
      <c r="A318" s="19"/>
      <c r="B318" s="31"/>
      <c r="C318" s="19"/>
      <c r="D318" s="19"/>
      <c r="E318" s="19"/>
      <c r="F318" s="20"/>
      <c r="G318" s="19"/>
      <c r="H318" s="19"/>
      <c r="I318" s="20"/>
      <c r="J318" s="19"/>
      <c r="K318" s="109"/>
    </row>
    <row r="319" spans="1:11" ht="15">
      <c r="A319" s="19"/>
      <c r="B319" s="31"/>
      <c r="C319" s="19"/>
      <c r="D319" s="19"/>
      <c r="E319" s="19"/>
      <c r="F319" s="20"/>
      <c r="G319" s="19"/>
      <c r="H319" s="19"/>
      <c r="I319" s="20"/>
      <c r="J319" s="19"/>
      <c r="K319" s="109"/>
    </row>
    <row r="320" spans="1:11" ht="15">
      <c r="A320" s="19"/>
      <c r="B320" s="31"/>
      <c r="C320" s="19"/>
      <c r="D320" s="19"/>
      <c r="E320" s="19"/>
      <c r="F320" s="20"/>
      <c r="G320" s="19"/>
      <c r="H320" s="19"/>
      <c r="I320" s="20"/>
      <c r="J320" s="19"/>
      <c r="K320" s="109"/>
    </row>
    <row r="321" spans="1:11" ht="15">
      <c r="A321" s="19"/>
      <c r="B321" s="31"/>
      <c r="C321" s="19"/>
      <c r="D321" s="19"/>
      <c r="E321" s="19"/>
      <c r="F321" s="20"/>
      <c r="G321" s="19"/>
      <c r="H321" s="19"/>
      <c r="I321" s="20"/>
      <c r="J321" s="19"/>
      <c r="K321" s="109"/>
    </row>
    <row r="322" spans="1:11">
      <c r="C322" s="19"/>
      <c r="D322" s="19"/>
      <c r="E322" s="19"/>
      <c r="F322" s="20"/>
      <c r="G322" s="19"/>
      <c r="H322" s="19"/>
      <c r="I322" s="20"/>
      <c r="J322" s="19"/>
      <c r="K322" s="109"/>
    </row>
  </sheetData>
  <sortState xmlns:xlrd2="http://schemas.microsoft.com/office/spreadsheetml/2017/richdata2" ref="A3:K8">
    <sortCondition ref="A3:A8"/>
  </sortState>
  <mergeCells count="4">
    <mergeCell ref="G1:I1"/>
    <mergeCell ref="A1:C1"/>
    <mergeCell ref="D1:F1"/>
    <mergeCell ref="A2:B2"/>
  </mergeCells>
  <conditionalFormatting sqref="F2 I2">
    <cfRule type="cellIs" dxfId="19" priority="5" stopIfTrue="1" operator="lessThanOrEqual">
      <formula>-0.1</formula>
    </cfRule>
    <cfRule type="expression" dxfId="18" priority="6">
      <formula>AND(ISNUMBER(F2), F2&gt;=0.1)</formula>
    </cfRule>
  </conditionalFormatting>
  <conditionalFormatting sqref="F4:F80 I4:I80">
    <cfRule type="cellIs" dxfId="17" priority="1" stopIfTrue="1" operator="lessThanOrEqual">
      <formula>-0.1</formula>
    </cfRule>
    <cfRule type="expression" dxfId="16" priority="2">
      <formula>AND(ISNUMBER(F4), F4&gt;=0.1)</formula>
    </cfRule>
  </conditionalFormatting>
  <hyperlinks>
    <hyperlink ref="K5" r:id="rId1" display="https://us3.assetplanner.com/service_request?ID=101016" xr:uid="{451B60DB-A1A5-40D5-BB4E-9A4FAA6B3E97}"/>
    <hyperlink ref="K6" r:id="rId2" display="https://us3.assetplanner.com/service_request?ID=103955" xr:uid="{F3590A18-FE22-4EBC-AB99-582B7A8780CD}"/>
    <hyperlink ref="K8" r:id="rId3" display="https://us3.assetplanner.com/service_request?ID=104268" xr:uid="{8011B7C7-D225-46AA-B693-445C75D24231}"/>
    <hyperlink ref="K10" r:id="rId4" display="https://us3.assetplanner.com/service_request?ID=105035" xr:uid="{9E13937D-310C-4EF6-B1D9-147B19D9CBD5}"/>
    <hyperlink ref="L10" r:id="rId5" display="https://us3.assetplanner.com/service_request?ID=104591" xr:uid="{9A56FDD7-EB42-4776-8EB1-94F8435F6009}"/>
    <hyperlink ref="K11" r:id="rId6" display="https://us3.assetplanner.com/service_request?ID=099666" xr:uid="{91993C5C-919B-4075-ADB7-242071CA2AB1}"/>
    <hyperlink ref="L11" r:id="rId7" display="https://us3.assetplanner.com/service_request?ID=105159" xr:uid="{92BB528E-B36E-4546-8324-BD074A2BAB0E}"/>
    <hyperlink ref="K12" r:id="rId8" display="https://us3.assetplanner.com/service_request?ID=101037" xr:uid="{ABFA378B-7D72-4416-BA39-3D2387C24F88}"/>
    <hyperlink ref="K14" r:id="rId9" display="https://us3.assetplanner.com/service_request?ID=093028" xr:uid="{3000F9C7-1450-4CC3-AB18-2653EB8B7290}"/>
    <hyperlink ref="K15" r:id="rId10" display="https://us3.assetplanner.com/service_request?ID=103804" xr:uid="{EDA47CD4-237C-4CEA-8783-237B0BDF9146}"/>
    <hyperlink ref="L15" r:id="rId11" display="https://us3.assetplanner.com/service_request?ID=105439" xr:uid="{F9D030A6-F499-43DC-8E2C-0EC17ED13369}"/>
    <hyperlink ref="K16" r:id="rId12" display="https://us3.assetplanner.com/service_request?ID=091894" xr:uid="{0D9217E0-C04C-4012-8D92-98C23CC5C938}"/>
    <hyperlink ref="K18" r:id="rId13" display="https://us3.assetplanner.com/service_request?ID=091181" xr:uid="{6E73B385-ECBC-4186-9697-A44B5C79746B}"/>
    <hyperlink ref="K19" r:id="rId14" display="https://us3.assetplanner.com/service_request?ID=103078" xr:uid="{B4B6AA81-4E22-4906-847E-53244FA59CE5}"/>
    <hyperlink ref="K20" r:id="rId15" display="https://us3.assetplanner.com/service_request?ID=100622" xr:uid="{AA78038A-FE86-4A95-A753-E0E67AF6CDD4}"/>
    <hyperlink ref="L20" r:id="rId16" display="https://us3.assetplanner.com/service_request?ID=100771" xr:uid="{01F26718-61BB-4A05-A3C2-6A6DB8C9B0B7}"/>
    <hyperlink ref="K22" r:id="rId17" display="https://us3.assetplanner.com/service_request?ID=103354" xr:uid="{6E73C29E-6D42-4D34-9146-D59848920980}"/>
    <hyperlink ref="L22" r:id="rId18" display="https://us3.assetplanner.com/service_request?ID=104105" xr:uid="{8409BFBC-BA1B-4B2E-8816-42AFBA8A1F70}"/>
    <hyperlink ref="M22" r:id="rId19" display="https://us3.assetplanner.com/service_request?ID=104590" xr:uid="{6DACC74D-D58B-45BE-BD09-674867588007}"/>
    <hyperlink ref="K23" r:id="rId20" display="https://us3.assetplanner.com/service_request?ID=103711" xr:uid="{0DC50402-885B-47B2-BFF7-748BA5B8BD5B}"/>
    <hyperlink ref="L23" r:id="rId21" display="https://us3.assetplanner.com/service_request?ID=105203" xr:uid="{CCE368E0-C858-4662-9705-42095309B196}"/>
    <hyperlink ref="K24" r:id="rId22" display="https://us3.assetplanner.com/service_request?ID=095305" xr:uid="{05DC916F-782A-40BC-91EC-B6447B90C455}"/>
    <hyperlink ref="K25" r:id="rId23" display="https://us3.assetplanner.com/service_request?ID=101010" xr:uid="{D335EF15-14D4-462A-8D57-CB134376EBB8}"/>
    <hyperlink ref="K26" r:id="rId24" display="https://us3.assetplanner.com/service_request?ID=100985" xr:uid="{E53331A9-179F-44D3-840E-8722DCD33438}"/>
    <hyperlink ref="L26" r:id="rId25" display="https://us3.assetplanner.com/service_request?ID=101223" xr:uid="{04D2B9AF-4989-46E3-A129-24A13D6FFA46}"/>
    <hyperlink ref="K28" r:id="rId26" display="https://us3.assetplanner.com/service_request?ID=093047" xr:uid="{B6F6E124-6030-411E-8567-424B5F8CDCDF}"/>
    <hyperlink ref="K30" r:id="rId27" display="https://us3.assetplanner.com/service_request?ID=104785" xr:uid="{0CCFF230-0958-4325-9C8B-3C23A90F3AAB}"/>
    <hyperlink ref="K31" r:id="rId28" display="https://us3.assetplanner.com/service_request?ID=102704" xr:uid="{D39E3E76-3A92-4E47-AE84-286BD0D77733}"/>
    <hyperlink ref="L31" r:id="rId29" display="https://us3.assetplanner.com/service_request?ID=104999" xr:uid="{2050B056-402B-4193-BCB7-9C081577520F}"/>
    <hyperlink ref="K36" r:id="rId30" display="https://us3.assetplanner.com/service_request?ID=103721" xr:uid="{55421320-49A4-4C14-AB77-014D6D4A0180}"/>
    <hyperlink ref="L36" r:id="rId31" display="https://us3.assetplanner.com/service_request?ID=104748" xr:uid="{C07DB2A7-82AA-4385-A8EE-E380DF987218}"/>
    <hyperlink ref="K37" r:id="rId32" display="https://us3.assetplanner.com/service_request?ID=092556" xr:uid="{E9666683-E781-4A98-809D-F7BB90A07DE4}"/>
    <hyperlink ref="K38" r:id="rId33" display="https://us3.assetplanner.com/service_request?ID=099268" xr:uid="{F4D9639A-075E-4C3C-B449-879B2ED78663}"/>
    <hyperlink ref="L38" r:id="rId34" display="https://us3.assetplanner.com/service_request?ID=093354" xr:uid="{7089E15F-4BCC-488F-8B03-DCF95C088AAC}"/>
    <hyperlink ref="K39" r:id="rId35" display="https://us3.assetplanner.com/service_request?ID=101102" xr:uid="{561DAA54-FD93-4B3C-9C5B-2634BBF69E8B}"/>
    <hyperlink ref="L39" r:id="rId36" display="https://us3.assetplanner.com/service_request?ID=101744" xr:uid="{49BCB3B7-AA0E-49A2-AA2B-0CED16558472}"/>
    <hyperlink ref="M39" r:id="rId37" display="https://us3.assetplanner.com/service_request?ID=100464" xr:uid="{471D8FB4-1BE0-4A18-A7C7-03215F409122}"/>
    <hyperlink ref="N39" r:id="rId38" display="https://us3.assetplanner.com/service_request?ID=098883" xr:uid="{B24D76EC-2459-4FD6-9A38-F39D1136BB7E}"/>
    <hyperlink ref="O39" r:id="rId39" display="https://us3.assetplanner.com/service_request?ID=092332" xr:uid="{0E53127B-C77C-436E-83DC-992E85DA623C}"/>
    <hyperlink ref="P39" r:id="rId40" display="https://us3.assetplanner.com/service_request?ID=095649" xr:uid="{A985D67C-36C1-4DF7-BEA3-F8519E45EE82}"/>
    <hyperlink ref="Q39" r:id="rId41" display="https://us3.assetplanner.com/service_request?ID=101102" xr:uid="{B3EBA575-3771-45A0-80C1-6D2242110924}"/>
    <hyperlink ref="K40" r:id="rId42" display="https://us3.assetplanner.com/service_request?ID=102198" xr:uid="{F4E910A4-ACD0-4680-969E-E35FFBCEAB9A}"/>
    <hyperlink ref="L40" r:id="rId43" display="https://us3.assetplanner.com/service_request?ID=101942" xr:uid="{CCCF9C0F-AA0F-48B7-ADC4-B6BAE75CB12B}"/>
    <hyperlink ref="M40" r:id="rId44" display="https://us3.assetplanner.com/service_request?ID=088869" xr:uid="{62F3618B-71B7-40B0-B8E2-9F91F591A013}"/>
    <hyperlink ref="N40" r:id="rId45" display="https://us3.assetplanner.com/service_request?ID=092209" xr:uid="{44C56960-6458-4230-BAB6-913CC4635FF4}"/>
    <hyperlink ref="O40" r:id="rId46" display="https://us3.assetplanner.com/service_request?ID=101998" xr:uid="{CD2AB67D-AB62-4F73-9870-751EF33D7260}"/>
    <hyperlink ref="P40" r:id="rId47" display="https://us3.assetplanner.com/service_request?ID=092255" xr:uid="{96DCFB7A-B2F2-44FE-96A7-792C47FF2AD5}"/>
    <hyperlink ref="Q40" r:id="rId48" display="https://us3.assetplanner.com/service_request?ID=092751" xr:uid="{D37CCCA0-DAF1-4D24-947D-881E7FC9AB2E}"/>
    <hyperlink ref="R40" r:id="rId49" display="https://us3.assetplanner.com/service_request?ID=092095" xr:uid="{DE1D35FC-E968-4B28-AC0D-57428614937D}"/>
    <hyperlink ref="S40" r:id="rId50" display="https://us3.assetplanner.com/service_request?ID=101997" xr:uid="{D285D5D2-AFAC-40AA-B990-9A355E7EECA5}"/>
    <hyperlink ref="T40" r:id="rId51" display="https://us3.assetplanner.com/service_request?ID=103021" xr:uid="{9D355187-B31E-49F6-B18C-5780F8DAE3B3}"/>
    <hyperlink ref="U40" r:id="rId52" display="https://us3.assetplanner.com/service_request?ID=104199" xr:uid="{B90FF7D2-1FB1-4A37-B848-5EB89FD568D1}"/>
    <hyperlink ref="V40" r:id="rId53" display="https://us3.assetplanner.com/service_request?ID=104453" xr:uid="{CC2F9829-DA82-44ED-8C57-613DE707B6F5}"/>
    <hyperlink ref="K42" r:id="rId54" display="https://us3.assetplanner.com/service_request?ID=104194" xr:uid="{A59EDD34-42CD-46CB-8ACE-31C5BD642374}"/>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2"/>
  <sheetViews>
    <sheetView zoomScale="80" zoomScaleNormal="80" workbookViewId="0">
      <pane xSplit="2" ySplit="3" topLeftCell="G4" activePane="bottomRight" state="frozen"/>
      <selection pane="bottomRight" activeCell="J4" activeCellId="3" sqref="C4:C10 D4:D10 G4:G10 J4:Q10"/>
      <selection pane="bottomLeft" activeCell="J4" activeCellId="3" sqref="C4:C10 D4:D10 G4:G10 J4:Q10"/>
      <selection pane="topRight" activeCell="J4" activeCellId="3" sqref="C4:C10 D4:D10 G4:G10 J4:Q10"/>
    </sheetView>
  </sheetViews>
  <sheetFormatPr defaultRowHeight="13.5"/>
  <cols>
    <col min="1" max="1" width="35.85546875" bestFit="1" customWidth="1"/>
    <col min="2" max="2" width="8.42578125" style="32"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1" ht="19.5" customHeight="1">
      <c r="A1" s="111" t="str" cm="1">
        <f t="array" ref="A1">portfolio</f>
        <v>GoodFinch</v>
      </c>
      <c r="B1" s="111"/>
      <c r="C1" s="111"/>
      <c r="D1" s="112" t="s">
        <v>119</v>
      </c>
      <c r="E1" s="112"/>
      <c r="F1" s="112"/>
      <c r="G1" s="110" t="s">
        <v>120</v>
      </c>
      <c r="H1" s="110"/>
      <c r="I1" s="110"/>
      <c r="J1" s="4"/>
      <c r="K1" s="4"/>
    </row>
    <row r="2" spans="1:11" ht="19.5" customHeight="1">
      <c r="A2" s="113" t="s">
        <v>2</v>
      </c>
      <c r="B2" s="113"/>
      <c r="C2" s="5">
        <f>SUM(C4:C80)</f>
        <v>0</v>
      </c>
      <c r="D2" s="5">
        <f>SUM(D4:D80)</f>
        <v>0</v>
      </c>
      <c r="E2" s="5">
        <f>C2-D2</f>
        <v>0</v>
      </c>
      <c r="F2" s="6">
        <f>IFERROR(E2/D2, 0)</f>
        <v>0</v>
      </c>
      <c r="G2" s="5">
        <f>SUM(G4:G80)</f>
        <v>0</v>
      </c>
      <c r="H2" s="7">
        <f>C2-G2</f>
        <v>0</v>
      </c>
      <c r="I2" s="6">
        <f>IFERROR(H2/G2, 0)</f>
        <v>0</v>
      </c>
      <c r="J2" s="24"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21</v>
      </c>
      <c r="K3" s="23" t="s">
        <v>22</v>
      </c>
    </row>
    <row r="4" spans="1:11" ht="15.75">
      <c r="A4" s="30" t="str" cm="1">
        <f t="array" ref="A4:A45">Sites[Site]</f>
        <v>AZ: Tempe - ASU - Farmer</v>
      </c>
      <c r="B4" s="27" t="str" cm="1">
        <f t="array" ref="B4:B45">Sites[State]</f>
        <v>AZ</v>
      </c>
      <c r="C4" s="22"/>
      <c r="D4" s="12"/>
      <c r="E4" s="12" t="str">
        <f>IF(AND(ISNUMBER(C4),ISNUMBER(D4)), C4-D4, "")</f>
        <v/>
      </c>
      <c r="F4" s="13" t="str">
        <f>IFERROR(E4/D4, "")</f>
        <v/>
      </c>
      <c r="G4" s="14"/>
      <c r="H4" s="14" t="str">
        <f>IF(AND(ISNUMBER(C4),ISNUMBER(G4)), C4-G4, "")</f>
        <v/>
      </c>
      <c r="I4" s="15" t="str">
        <f>IFERROR(H4/G4, "")</f>
        <v/>
      </c>
      <c r="J4" s="39"/>
      <c r="K4" s="39"/>
    </row>
    <row r="5" spans="1:11" ht="15.75">
      <c r="A5" s="28" t="str">
        <v>AZ: Tempe - ASU - Fulton</v>
      </c>
      <c r="B5" s="29" t="str">
        <v>AZ</v>
      </c>
      <c r="C5" s="11"/>
      <c r="D5" s="16"/>
      <c r="E5" s="16" t="str">
        <f>IF(AND(ISNUMBER(C5),ISNUMBER(D5)), C5-D5, "")</f>
        <v/>
      </c>
      <c r="F5" s="17" t="str">
        <f>IFERROR(E5/D5, "")</f>
        <v/>
      </c>
      <c r="G5" s="18"/>
      <c r="H5" s="18" t="str">
        <f>IF(AND(ISNUMBER(C5),ISNUMBER(G5)), C5-G5, "")</f>
        <v/>
      </c>
      <c r="I5" s="17" t="str">
        <f t="shared" ref="I5:I8" si="0">IFERROR(H5/G5, "")</f>
        <v/>
      </c>
      <c r="J5" s="40"/>
      <c r="K5" s="40"/>
    </row>
    <row r="6" spans="1:11" ht="15.75">
      <c r="A6" s="26" t="str">
        <v>AZ: Superior - JFK Elementary</v>
      </c>
      <c r="B6" s="27" t="str">
        <v>AZ</v>
      </c>
      <c r="C6" s="22"/>
      <c r="D6" s="12"/>
      <c r="E6" s="12" t="str">
        <f t="shared" ref="E6:E8" si="1">IF(AND(ISNUMBER(C6),ISNUMBER(D6)), C6-D6, "")</f>
        <v/>
      </c>
      <c r="F6" s="13" t="str">
        <f t="shared" ref="F6:F8" si="2">IFERROR(E6/D6, "")</f>
        <v/>
      </c>
      <c r="G6" s="14"/>
      <c r="H6" s="14" t="str">
        <f t="shared" ref="H6:H8" si="3">IF(AND(ISNUMBER(C6),ISNUMBER(G6)), C6-G6, "")</f>
        <v/>
      </c>
      <c r="I6" s="15" t="str">
        <f t="shared" si="0"/>
        <v/>
      </c>
      <c r="J6" s="39"/>
      <c r="K6" s="39"/>
    </row>
    <row r="7" spans="1:11" ht="15.75">
      <c r="A7" s="28" t="str">
        <v>AZ: Tempe - ASU - Noble</v>
      </c>
      <c r="B7" s="29" t="str">
        <v>AZ</v>
      </c>
      <c r="C7" s="11"/>
      <c r="D7" s="16"/>
      <c r="E7" s="16" t="str">
        <f t="shared" si="1"/>
        <v/>
      </c>
      <c r="F7" s="17" t="str">
        <f t="shared" si="2"/>
        <v/>
      </c>
      <c r="G7" s="18"/>
      <c r="H7" s="18" t="str">
        <f t="shared" si="3"/>
        <v/>
      </c>
      <c r="I7" s="17" t="str">
        <f t="shared" si="0"/>
        <v/>
      </c>
      <c r="J7" s="40"/>
      <c r="K7" s="41"/>
    </row>
    <row r="8" spans="1:11" ht="15.75">
      <c r="A8" s="26" t="str">
        <v>AZ: Tempe - ASU - Parking #3</v>
      </c>
      <c r="B8" s="27" t="str">
        <v>AZ</v>
      </c>
      <c r="C8" s="22"/>
      <c r="D8" s="12"/>
      <c r="E8" s="12" t="str">
        <f t="shared" si="1"/>
        <v/>
      </c>
      <c r="F8" s="13" t="str">
        <f t="shared" si="2"/>
        <v/>
      </c>
      <c r="G8" s="14"/>
      <c r="H8" s="14" t="str">
        <f t="shared" si="3"/>
        <v/>
      </c>
      <c r="I8" s="15" t="str">
        <f t="shared" si="0"/>
        <v/>
      </c>
      <c r="J8" s="39"/>
      <c r="K8" s="39"/>
    </row>
    <row r="9" spans="1:11" ht="15.75">
      <c r="A9" s="28" t="str">
        <v>AZ: Tempe - ASU - PE East</v>
      </c>
      <c r="B9" s="29" t="str">
        <v>AZ</v>
      </c>
      <c r="C9" s="11"/>
      <c r="D9" s="16"/>
      <c r="E9" s="16"/>
      <c r="F9" s="17"/>
      <c r="G9" s="18"/>
      <c r="H9" s="18"/>
      <c r="I9" s="17"/>
      <c r="J9" s="40"/>
      <c r="K9" s="41"/>
    </row>
    <row r="10" spans="1:11" ht="15.75">
      <c r="A10" s="26" t="str">
        <v>AZ: Tempe - ASU - Schwada</v>
      </c>
      <c r="B10" s="27" t="str">
        <v>AZ</v>
      </c>
      <c r="C10" s="73"/>
      <c r="D10" s="12"/>
      <c r="E10" s="12" t="str">
        <f>IF(AND(ISNUMBER(C10),ISNUMBER(D10)), C10-D10, "")</f>
        <v/>
      </c>
      <c r="F10" s="74" t="str">
        <f>IFERROR(E10/D10, "")</f>
        <v/>
      </c>
      <c r="G10" s="75"/>
      <c r="H10" s="75" t="str">
        <f>IF(AND(ISNUMBER(C10),ISNUMBER(G10)), C10-G10, "")</f>
        <v/>
      </c>
      <c r="I10" s="76" t="str">
        <f>IFERROR(H10/G10, "")</f>
        <v/>
      </c>
      <c r="J10" s="77"/>
      <c r="K10" s="77"/>
    </row>
    <row r="11" spans="1:11" ht="15.75">
      <c r="A11" s="28" t="str">
        <v>AZ: Phoenix - Starshine Academy</v>
      </c>
      <c r="B11" s="29" t="str">
        <v>AZ</v>
      </c>
      <c r="C11" s="100"/>
      <c r="D11" s="16"/>
      <c r="E11" s="16"/>
      <c r="F11" s="99"/>
      <c r="G11" s="80"/>
      <c r="H11" s="80"/>
      <c r="I11" s="99"/>
      <c r="J11" s="40"/>
      <c r="K11" s="41"/>
    </row>
    <row r="12" spans="1:11" ht="15.75">
      <c r="A12" s="26" t="str">
        <v>AZ: Yuma Airport</v>
      </c>
      <c r="B12" s="27" t="str">
        <v>AZ</v>
      </c>
      <c r="C12" s="73"/>
      <c r="D12" s="12"/>
      <c r="E12" s="12" t="str">
        <f>IF(AND(ISNUMBER(C12),ISNUMBER(D12)), C12-D12, "")</f>
        <v/>
      </c>
      <c r="F12" s="74" t="str">
        <f>IFERROR(E12/D12, "")</f>
        <v/>
      </c>
      <c r="G12" s="75"/>
      <c r="H12" s="75" t="str">
        <f>IF(AND(ISNUMBER(C12),ISNUMBER(G12)), C12-G12, "")</f>
        <v/>
      </c>
      <c r="I12" s="76" t="str">
        <f>IFERROR(H12/G12, "")</f>
        <v/>
      </c>
      <c r="J12" s="77"/>
      <c r="K12" s="77"/>
    </row>
    <row r="13" spans="1:11" ht="15.75">
      <c r="A13" s="28" t="str">
        <v>AZ: Globe - Gila CC</v>
      </c>
      <c r="B13" s="29" t="str">
        <v>AZ</v>
      </c>
      <c r="C13" s="100"/>
      <c r="D13" s="16"/>
      <c r="E13" s="16"/>
      <c r="F13" s="99"/>
      <c r="G13" s="80"/>
      <c r="H13" s="80"/>
      <c r="I13" s="99"/>
      <c r="J13" s="40"/>
      <c r="K13" s="41"/>
    </row>
    <row r="14" spans="1:11" ht="15.75">
      <c r="A14" s="26" t="str">
        <v>AZ: Payson - Gila CC</v>
      </c>
      <c r="B14" s="27" t="str">
        <v>AZ</v>
      </c>
      <c r="C14" s="73"/>
      <c r="D14" s="12"/>
      <c r="E14" s="12" t="str">
        <f>IF(AND(ISNUMBER(C14),ISNUMBER(D14)), C14-D14, "")</f>
        <v/>
      </c>
      <c r="F14" s="74" t="str">
        <f>IFERROR(E14/D14, "")</f>
        <v/>
      </c>
      <c r="G14" s="75"/>
      <c r="H14" s="75" t="str">
        <f>IF(AND(ISNUMBER(C14),ISNUMBER(G14)), C14-G14, "")</f>
        <v/>
      </c>
      <c r="I14" s="76" t="str">
        <f>IFERROR(H14/G14, "")</f>
        <v/>
      </c>
      <c r="J14" s="77"/>
      <c r="K14" s="77"/>
    </row>
    <row r="15" spans="1:11" ht="15.75">
      <c r="A15" s="28" t="str">
        <v>AZ: Mesa - Sequoia Charter School</v>
      </c>
      <c r="B15" s="29" t="str">
        <v>AZ</v>
      </c>
      <c r="C15" s="100"/>
      <c r="D15" s="16"/>
      <c r="E15" s="16"/>
      <c r="F15" s="99"/>
      <c r="G15" s="80"/>
      <c r="H15" s="80"/>
      <c r="I15" s="99"/>
      <c r="J15" s="40"/>
      <c r="K15" s="41"/>
    </row>
    <row r="16" spans="1:11" ht="15.75">
      <c r="A16" s="26" t="str">
        <v>AZ: Tempe - SCNM</v>
      </c>
      <c r="B16" s="27" t="str">
        <v>AZ</v>
      </c>
      <c r="C16" s="73"/>
      <c r="D16" s="12"/>
      <c r="E16" s="12" t="str">
        <f>IF(AND(ISNUMBER(C16),ISNUMBER(D16)), C16-D16, "")</f>
        <v/>
      </c>
      <c r="F16" s="74" t="str">
        <f>IFERROR(E16/D16, "")</f>
        <v/>
      </c>
      <c r="G16" s="75"/>
      <c r="H16" s="75" t="str">
        <f>IF(AND(ISNUMBER(C16),ISNUMBER(G16)), C16-G16, "")</f>
        <v/>
      </c>
      <c r="I16" s="76" t="str">
        <f>IFERROR(H16/G16, "")</f>
        <v/>
      </c>
      <c r="J16" s="77"/>
      <c r="K16" s="77"/>
    </row>
    <row r="17" spans="1:11" ht="15.75">
      <c r="A17" s="28" t="str">
        <v>DE: Newark - Clayton Hall</v>
      </c>
      <c r="B17" s="29" t="str">
        <v>DE</v>
      </c>
      <c r="C17" s="100"/>
      <c r="D17" s="16"/>
      <c r="E17" s="16"/>
      <c r="F17" s="99"/>
      <c r="G17" s="80"/>
      <c r="H17" s="80"/>
      <c r="I17" s="99"/>
      <c r="J17" s="40"/>
      <c r="K17" s="41"/>
    </row>
    <row r="18" spans="1:11" ht="15.75">
      <c r="A18" s="26" t="str">
        <v>DE: Newark - UOD Field House</v>
      </c>
      <c r="B18" s="27" t="str">
        <v>DE</v>
      </c>
      <c r="C18" s="73"/>
      <c r="D18" s="12"/>
      <c r="E18" s="12" t="str">
        <f>IF(AND(ISNUMBER(C18),ISNUMBER(D18)), C18-D18, "")</f>
        <v/>
      </c>
      <c r="F18" s="74" t="str">
        <f>IFERROR(E18/D18, "")</f>
        <v/>
      </c>
      <c r="G18" s="75"/>
      <c r="H18" s="75" t="str">
        <f>IF(AND(ISNUMBER(C18),ISNUMBER(G18)), C18-G18, "")</f>
        <v/>
      </c>
      <c r="I18" s="76" t="str">
        <f>IFERROR(H18/G18, "")</f>
        <v/>
      </c>
      <c r="J18" s="77"/>
      <c r="K18" s="77"/>
    </row>
    <row r="19" spans="1:11" ht="15.75">
      <c r="A19" s="28" t="str">
        <v>DE: Newark - UOD 461 Wyoming</v>
      </c>
      <c r="B19" s="29" t="str">
        <v>DE</v>
      </c>
      <c r="C19" s="100"/>
      <c r="D19" s="16"/>
      <c r="E19" s="16"/>
      <c r="F19" s="99"/>
      <c r="G19" s="80"/>
      <c r="H19" s="80"/>
      <c r="I19" s="99"/>
      <c r="J19" s="40"/>
      <c r="K19" s="41"/>
    </row>
    <row r="20" spans="1:11" ht="15.75">
      <c r="A20" s="26" t="str">
        <v>HI: Waipahu - 94-246 Leoku St - E.F.G.</v>
      </c>
      <c r="B20" s="27" t="str">
        <v>HI</v>
      </c>
      <c r="C20" s="73"/>
      <c r="D20" s="12"/>
      <c r="E20" s="12" t="str">
        <f>IF(AND(ISNUMBER(C20),ISNUMBER(D20)), C20-D20, "")</f>
        <v/>
      </c>
      <c r="F20" s="74" t="str">
        <f>IFERROR(E20/D20, "")</f>
        <v/>
      </c>
      <c r="G20" s="75"/>
      <c r="H20" s="75" t="str">
        <f>IF(AND(ISNUMBER(C20),ISNUMBER(G20)), C20-G20, "")</f>
        <v/>
      </c>
      <c r="I20" s="76" t="str">
        <f>IFERROR(H20/G20, "")</f>
        <v/>
      </c>
      <c r="J20" s="77"/>
      <c r="K20" s="77"/>
    </row>
    <row r="21" spans="1:11" ht="15.75">
      <c r="A21" s="28" t="str">
        <v>HI: Waipahu - 94-099 Waipahu St - PV</v>
      </c>
      <c r="B21" s="29" t="str">
        <v>HI</v>
      </c>
      <c r="C21" s="100"/>
      <c r="D21" s="16"/>
      <c r="E21" s="16"/>
      <c r="F21" s="99"/>
      <c r="G21" s="80"/>
      <c r="H21" s="80"/>
      <c r="I21" s="99"/>
      <c r="J21" s="40"/>
      <c r="K21" s="41"/>
    </row>
    <row r="22" spans="1:11" ht="15.75">
      <c r="A22" s="26" t="str">
        <v>MD: Presston - Bird-in-Hand</v>
      </c>
      <c r="B22" s="27" t="str">
        <v>MD</v>
      </c>
      <c r="C22" s="73"/>
      <c r="D22" s="12"/>
      <c r="E22" s="12" t="str">
        <f>IF(AND(ISNUMBER(C22),ISNUMBER(D22)), C22-D22, "")</f>
        <v/>
      </c>
      <c r="F22" s="74" t="str">
        <f>IFERROR(E22/D22, "")</f>
        <v/>
      </c>
      <c r="G22" s="75"/>
      <c r="H22" s="75" t="str">
        <f>IF(AND(ISNUMBER(C22),ISNUMBER(G22)), C22-G22, "")</f>
        <v/>
      </c>
      <c r="I22" s="76" t="str">
        <f>IFERROR(H22/G22, "")</f>
        <v/>
      </c>
      <c r="J22" s="77"/>
      <c r="K22" s="77"/>
    </row>
    <row r="23" spans="1:11" ht="15.75">
      <c r="A23" s="28" t="str">
        <v>MD: Easton - Shortall</v>
      </c>
      <c r="B23" s="29" t="str">
        <v>MD</v>
      </c>
      <c r="C23" s="100"/>
      <c r="D23" s="16"/>
      <c r="E23" s="16"/>
      <c r="F23" s="99"/>
      <c r="G23" s="80"/>
      <c r="H23" s="80"/>
      <c r="I23" s="99"/>
      <c r="J23" s="40"/>
      <c r="K23" s="41"/>
    </row>
    <row r="24" spans="1:11" ht="15.75">
      <c r="A24" s="26" t="str">
        <v>MA: Boston - Seaport Solar</v>
      </c>
      <c r="B24" s="27" t="str">
        <v>MA</v>
      </c>
      <c r="C24" s="73"/>
      <c r="D24" s="12"/>
      <c r="E24" s="12" t="str">
        <f>IF(AND(ISNUMBER(C24),ISNUMBER(D24)), C24-D24, "")</f>
        <v/>
      </c>
      <c r="F24" s="74" t="str">
        <f>IFERROR(E24/D24, "")</f>
        <v/>
      </c>
      <c r="G24" s="75"/>
      <c r="H24" s="75" t="str">
        <f>IF(AND(ISNUMBER(C24),ISNUMBER(G24)), C24-G24, "")</f>
        <v/>
      </c>
      <c r="I24" s="76" t="str">
        <f>IFERROR(H24/G24, "")</f>
        <v/>
      </c>
      <c r="J24" s="77"/>
      <c r="K24" s="77"/>
    </row>
    <row r="25" spans="1:11" ht="15.75">
      <c r="A25" s="28" t="str">
        <v>MA: Dedham - Sprague Street</v>
      </c>
      <c r="B25" s="29" t="str">
        <v>MA</v>
      </c>
      <c r="C25" s="100"/>
      <c r="D25" s="16"/>
      <c r="E25" s="16"/>
      <c r="F25" s="99"/>
      <c r="G25" s="80"/>
      <c r="H25" s="80"/>
      <c r="I25" s="99"/>
      <c r="J25" s="40"/>
      <c r="K25" s="41"/>
    </row>
    <row r="26" spans="1:11" ht="15.75">
      <c r="A26" s="26" t="str">
        <v>MA: Boston - Summer Street</v>
      </c>
      <c r="B26" s="27" t="str">
        <v>MA</v>
      </c>
      <c r="C26" s="73"/>
      <c r="D26" s="12"/>
      <c r="E26" s="12" t="str">
        <f>IF(AND(ISNUMBER(C26),ISNUMBER(D26)), C26-D26, "")</f>
        <v/>
      </c>
      <c r="F26" s="74" t="str">
        <f>IFERROR(E26/D26, "")</f>
        <v/>
      </c>
      <c r="G26" s="75"/>
      <c r="H26" s="75" t="str">
        <f>IF(AND(ISNUMBER(C26),ISNUMBER(G26)), C26-G26, "")</f>
        <v/>
      </c>
      <c r="I26" s="76" t="str">
        <f>IFERROR(H26/G26, "")</f>
        <v/>
      </c>
      <c r="J26" s="77"/>
      <c r="K26" s="77"/>
    </row>
    <row r="27" spans="1:11" ht="15.75">
      <c r="A27" s="28" t="str">
        <v>MA: Leominster - Spectro Coatings</v>
      </c>
      <c r="B27" s="29" t="str">
        <v>MA</v>
      </c>
      <c r="C27" s="100"/>
      <c r="D27" s="16"/>
      <c r="E27" s="16"/>
      <c r="F27" s="99"/>
      <c r="G27" s="80"/>
      <c r="H27" s="80"/>
      <c r="I27" s="99"/>
      <c r="J27" s="40"/>
      <c r="K27" s="41"/>
    </row>
    <row r="28" spans="1:11" ht="15.75">
      <c r="A28" s="26" t="str">
        <v>MA: Braintree - RCAB</v>
      </c>
      <c r="B28" s="27" t="str">
        <v>MA</v>
      </c>
      <c r="C28" s="73"/>
      <c r="D28" s="12"/>
      <c r="E28" s="12" t="str">
        <f>IF(AND(ISNUMBER(C28),ISNUMBER(D28)), C28-D28, "")</f>
        <v/>
      </c>
      <c r="F28" s="74" t="str">
        <f>IFERROR(E28/D28, "")</f>
        <v/>
      </c>
      <c r="G28" s="75"/>
      <c r="H28" s="75" t="str">
        <f>IF(AND(ISNUMBER(C28),ISNUMBER(G28)), C28-G28, "")</f>
        <v/>
      </c>
      <c r="I28" s="76" t="str">
        <f>IFERROR(H28/G28, "")</f>
        <v/>
      </c>
      <c r="J28" s="77"/>
      <c r="K28" s="77"/>
    </row>
    <row r="29" spans="1:11" ht="15.75">
      <c r="A29" s="28" t="str">
        <v>NH: Rochester - Portland Street</v>
      </c>
      <c r="B29" s="29" t="str">
        <v>NH</v>
      </c>
      <c r="C29" s="100"/>
      <c r="D29" s="16"/>
      <c r="E29" s="16"/>
      <c r="F29" s="99"/>
      <c r="G29" s="80"/>
      <c r="H29" s="80"/>
      <c r="I29" s="99"/>
      <c r="J29" s="40"/>
      <c r="K29" s="41"/>
    </row>
    <row r="30" spans="1:11" ht="15.75">
      <c r="A30" s="26" t="str">
        <v>NH: Portsmouth - Portsmouth HS</v>
      </c>
      <c r="B30" s="27" t="str">
        <v>NH</v>
      </c>
      <c r="C30" s="73"/>
      <c r="D30" s="12"/>
      <c r="E30" s="12" t="str">
        <f>IF(AND(ISNUMBER(C30),ISNUMBER(D30)), C30-D30, "")</f>
        <v/>
      </c>
      <c r="F30" s="74" t="str">
        <f>IFERROR(E30/D30, "")</f>
        <v/>
      </c>
      <c r="G30" s="75"/>
      <c r="H30" s="75" t="str">
        <f>IF(AND(ISNUMBER(C30),ISNUMBER(G30)), C30-G30, "")</f>
        <v/>
      </c>
      <c r="I30" s="76" t="str">
        <f>IFERROR(H30/G30, "")</f>
        <v/>
      </c>
      <c r="J30" s="77"/>
      <c r="K30" s="77"/>
    </row>
    <row r="31" spans="1:11" ht="15.75">
      <c r="A31" s="28" t="str">
        <v>NH: Portsmouth - Portsmouth WTP</v>
      </c>
      <c r="B31" s="29" t="str">
        <v>NH</v>
      </c>
      <c r="C31" s="100"/>
      <c r="D31" s="16"/>
      <c r="E31" s="16"/>
      <c r="F31" s="99"/>
      <c r="G31" s="80"/>
      <c r="H31" s="80"/>
      <c r="I31" s="99"/>
      <c r="J31" s="40"/>
      <c r="K31" s="41"/>
    </row>
    <row r="32" spans="1:11" ht="15.75">
      <c r="A32" s="26" t="str">
        <v>NH: Rochester - Rochester MS</v>
      </c>
      <c r="B32" s="27" t="str">
        <v>NH</v>
      </c>
      <c r="C32" s="73"/>
      <c r="D32" s="12"/>
      <c r="E32" s="12" t="str">
        <f>IF(AND(ISNUMBER(C32),ISNUMBER(D32)), C32-D32, "")</f>
        <v/>
      </c>
      <c r="F32" s="74" t="str">
        <f>IFERROR(E32/D32, "")</f>
        <v/>
      </c>
      <c r="G32" s="75"/>
      <c r="H32" s="75" t="str">
        <f>IF(AND(ISNUMBER(C32),ISNUMBER(G32)), C32-G32, "")</f>
        <v/>
      </c>
      <c r="I32" s="76" t="str">
        <f>IFERROR(H32/G32, "")</f>
        <v/>
      </c>
      <c r="J32" s="77"/>
      <c r="K32" s="77"/>
    </row>
    <row r="33" spans="1:11" ht="15.75">
      <c r="A33" s="28" t="str">
        <v>NH Rochester - Spaulding HS</v>
      </c>
      <c r="B33" s="29" t="str">
        <v>NH</v>
      </c>
      <c r="C33" s="100"/>
      <c r="D33" s="16"/>
      <c r="E33" s="16"/>
      <c r="F33" s="99"/>
      <c r="G33" s="80"/>
      <c r="H33" s="80"/>
      <c r="I33" s="99"/>
      <c r="J33" s="40"/>
      <c r="K33" s="41"/>
    </row>
    <row r="34" spans="1:11" ht="15.75">
      <c r="A34" s="26" t="str">
        <v>NH: Rochester - McClelland ES</v>
      </c>
      <c r="B34" s="27" t="str">
        <v>NH</v>
      </c>
      <c r="C34" s="73"/>
      <c r="D34" s="12"/>
      <c r="E34" s="12" t="str">
        <f>IF(AND(ISNUMBER(C34),ISNUMBER(D34)), C34-D34, "")</f>
        <v/>
      </c>
      <c r="F34" s="74" t="str">
        <f>IFERROR(E34/D34, "")</f>
        <v/>
      </c>
      <c r="G34" s="75"/>
      <c r="H34" s="75" t="str">
        <f>IF(AND(ISNUMBER(C34),ISNUMBER(G34)), C34-G34, "")</f>
        <v/>
      </c>
      <c r="I34" s="76" t="str">
        <f>IFERROR(H34/G34, "")</f>
        <v/>
      </c>
      <c r="J34" s="77"/>
      <c r="K34" s="77"/>
    </row>
    <row r="35" spans="1:11" ht="15.75">
      <c r="A35" s="28" t="str">
        <v>NH: Rochester - Brock St Vocational</v>
      </c>
      <c r="B35" s="29" t="str">
        <v>NH</v>
      </c>
      <c r="C35" s="100"/>
      <c r="D35" s="16"/>
      <c r="E35" s="16"/>
      <c r="F35" s="99"/>
      <c r="G35" s="80"/>
      <c r="H35" s="80"/>
      <c r="I35" s="99"/>
      <c r="J35" s="40"/>
      <c r="K35" s="41"/>
    </row>
    <row r="36" spans="1:11" ht="15.75">
      <c r="A36" s="26" t="str">
        <v>OH: Cleveland - CV Kinsman</v>
      </c>
      <c r="B36" s="27" t="str">
        <v>OH</v>
      </c>
      <c r="C36" s="73"/>
      <c r="D36" s="12"/>
      <c r="E36" s="12" t="str">
        <f>IF(AND(ISNUMBER(C36),ISNUMBER(D36)), C36-D36, "")</f>
        <v/>
      </c>
      <c r="F36" s="74" t="str">
        <f>IFERROR(E36/D36, "")</f>
        <v/>
      </c>
      <c r="G36" s="75"/>
      <c r="H36" s="75" t="str">
        <f>IF(AND(ISNUMBER(C36),ISNUMBER(G36)), C36-G36, "")</f>
        <v/>
      </c>
      <c r="I36" s="76" t="str">
        <f>IFERROR(H36/G36, "")</f>
        <v/>
      </c>
      <c r="J36" s="77"/>
      <c r="K36" s="77"/>
    </row>
    <row r="37" spans="1:11" ht="15.75">
      <c r="A37" s="28" t="str">
        <v>OH: Cleveland - CV Wooster</v>
      </c>
      <c r="B37" s="29" t="str">
        <v>OH</v>
      </c>
      <c r="C37" s="100"/>
      <c r="D37" s="16"/>
      <c r="E37" s="16"/>
      <c r="F37" s="99"/>
      <c r="G37" s="80"/>
      <c r="H37" s="80"/>
      <c r="I37" s="99"/>
      <c r="J37" s="40"/>
      <c r="K37" s="41"/>
    </row>
    <row r="38" spans="1:11" ht="15.75">
      <c r="A38" s="26" t="str">
        <v>PR: Aguadilla - Coca Cola</v>
      </c>
      <c r="B38" s="27" t="str">
        <v>PR</v>
      </c>
      <c r="C38" s="73"/>
      <c r="D38" s="12"/>
      <c r="E38" s="12" t="str">
        <f>IF(AND(ISNUMBER(C38),ISNUMBER(D38)), C38-D38, "")</f>
        <v/>
      </c>
      <c r="F38" s="74" t="str">
        <f>IFERROR(E38/D38, "")</f>
        <v/>
      </c>
      <c r="G38" s="75"/>
      <c r="H38" s="75" t="str">
        <f>IF(AND(ISNUMBER(C38),ISNUMBER(G38)), C38-G38, "")</f>
        <v/>
      </c>
      <c r="I38" s="76" t="str">
        <f>IFERROR(H38/G38, "")</f>
        <v/>
      </c>
      <c r="J38" s="77"/>
      <c r="K38" s="77"/>
    </row>
    <row r="39" spans="1:11" ht="15.75">
      <c r="A39" s="28" t="str">
        <v>PR: Bayamon - Coca Cola</v>
      </c>
      <c r="B39" s="29" t="str">
        <v>PR</v>
      </c>
      <c r="C39" s="100"/>
      <c r="D39" s="16"/>
      <c r="E39" s="16"/>
      <c r="F39" s="99"/>
      <c r="G39" s="80"/>
      <c r="H39" s="80"/>
      <c r="I39" s="99"/>
      <c r="J39" s="40"/>
      <c r="K39" s="41"/>
    </row>
    <row r="40" spans="1:11" ht="15.75">
      <c r="A40" s="26" t="str">
        <v>PR: Carolina - St. Francis</v>
      </c>
      <c r="B40" s="27" t="str">
        <v>PR</v>
      </c>
      <c r="C40" s="73"/>
      <c r="D40" s="12"/>
      <c r="E40" s="12" t="str">
        <f>IF(AND(ISNUMBER(C40),ISNUMBER(D40)), C40-D40, "")</f>
        <v/>
      </c>
      <c r="F40" s="74" t="str">
        <f>IFERROR(E40/D40, "")</f>
        <v/>
      </c>
      <c r="G40" s="75"/>
      <c r="H40" s="75" t="str">
        <f>IF(AND(ISNUMBER(C40),ISNUMBER(G40)), C40-G40, "")</f>
        <v/>
      </c>
      <c r="I40" s="76" t="str">
        <f>IFERROR(H40/G40, "")</f>
        <v/>
      </c>
      <c r="J40" s="77"/>
      <c r="K40" s="77"/>
    </row>
    <row r="41" spans="1:11" ht="15.75">
      <c r="A41" s="28" t="str">
        <v>DC: Washington - Essex Condominium</v>
      </c>
      <c r="B41" s="29" t="str">
        <v>DC</v>
      </c>
      <c r="C41" s="100"/>
      <c r="D41" s="16"/>
      <c r="E41" s="16"/>
      <c r="F41" s="99"/>
      <c r="G41" s="80"/>
      <c r="H41" s="80"/>
      <c r="I41" s="99"/>
      <c r="J41" s="40"/>
      <c r="K41" s="41"/>
    </row>
    <row r="42" spans="1:11" ht="15.75">
      <c r="A42" s="26" t="str">
        <v>DC: Chevy Chase -Sinai</v>
      </c>
      <c r="B42" s="27" t="str">
        <v>DC</v>
      </c>
      <c r="C42" s="73"/>
      <c r="D42" s="12"/>
      <c r="E42" s="12" t="str">
        <f>IF(AND(ISNUMBER(C42),ISNUMBER(D42)), C42-D42, "")</f>
        <v/>
      </c>
      <c r="F42" s="74" t="str">
        <f>IFERROR(E42/D42, "")</f>
        <v/>
      </c>
      <c r="G42" s="75"/>
      <c r="H42" s="75" t="str">
        <f>IF(AND(ISNUMBER(C42),ISNUMBER(G42)), C42-G42, "")</f>
        <v/>
      </c>
      <c r="I42" s="76" t="str">
        <f>IFERROR(H42/G42, "")</f>
        <v/>
      </c>
      <c r="J42" s="77"/>
      <c r="K42" s="77"/>
    </row>
    <row r="43" spans="1:11" ht="15.75">
      <c r="A43" s="28" t="str">
        <v>DC: Washington - Weinberg 1</v>
      </c>
      <c r="B43" s="29" t="str">
        <v>DC</v>
      </c>
      <c r="C43" s="100"/>
      <c r="D43" s="16"/>
      <c r="E43" s="16"/>
      <c r="F43" s="99"/>
      <c r="G43" s="80"/>
      <c r="H43" s="80"/>
      <c r="I43" s="99"/>
      <c r="J43" s="40"/>
      <c r="K43" s="41"/>
    </row>
    <row r="44" spans="1:11" ht="15.75">
      <c r="A44" s="26" t="str">
        <v>DC: Washington - Weinberg 2</v>
      </c>
      <c r="B44" s="27" t="str">
        <v>DC</v>
      </c>
      <c r="C44" s="73"/>
      <c r="D44" s="12"/>
      <c r="E44" s="12" t="str">
        <f>IF(AND(ISNUMBER(C44),ISNUMBER(D44)), C44-D44, "")</f>
        <v/>
      </c>
      <c r="F44" s="74" t="str">
        <f>IFERROR(E44/D44, "")</f>
        <v/>
      </c>
      <c r="G44" s="75"/>
      <c r="H44" s="75" t="str">
        <f>IF(AND(ISNUMBER(C44),ISNUMBER(G44)), C44-G44, "")</f>
        <v/>
      </c>
      <c r="I44" s="76" t="str">
        <f>IFERROR(H44/G44, "")</f>
        <v/>
      </c>
      <c r="J44" s="77"/>
      <c r="K44" s="77"/>
    </row>
    <row r="45" spans="1:11" ht="15.75">
      <c r="A45" s="28" t="str">
        <v>DC: Washington - Weinberg 3</v>
      </c>
      <c r="B45" s="29" t="str">
        <v>DC</v>
      </c>
      <c r="C45" s="100"/>
      <c r="D45" s="16"/>
      <c r="E45" s="16"/>
      <c r="F45" s="99"/>
      <c r="G45" s="80"/>
      <c r="H45" s="80"/>
      <c r="I45" s="99"/>
      <c r="J45" s="40"/>
      <c r="K45" s="41"/>
    </row>
    <row r="46" spans="1:11" ht="14.25">
      <c r="A46" s="19"/>
      <c r="B46" s="31"/>
      <c r="C46" s="19"/>
      <c r="D46" s="19"/>
      <c r="E46" s="19"/>
      <c r="F46" s="20"/>
      <c r="G46" s="19"/>
      <c r="H46" s="19"/>
      <c r="I46" s="20"/>
      <c r="J46" s="19"/>
      <c r="K46" s="19"/>
    </row>
    <row r="47" spans="1:11" ht="14.25">
      <c r="A47" s="19"/>
      <c r="B47" s="31"/>
      <c r="C47" s="19"/>
      <c r="D47" s="19"/>
      <c r="E47" s="19"/>
      <c r="F47" s="20"/>
      <c r="G47" s="19"/>
      <c r="H47" s="19"/>
      <c r="I47" s="20"/>
      <c r="J47" s="19"/>
      <c r="K47" s="19"/>
    </row>
    <row r="48" spans="1:11" ht="14.25">
      <c r="A48" s="19"/>
      <c r="B48" s="31"/>
      <c r="C48" s="19"/>
      <c r="D48" s="19"/>
      <c r="E48" s="19"/>
      <c r="F48" s="20"/>
      <c r="G48" s="19"/>
      <c r="H48" s="19"/>
      <c r="I48" s="20"/>
      <c r="J48" s="19"/>
      <c r="K48" s="19"/>
    </row>
    <row r="49" spans="1:11" ht="14.25">
      <c r="A49" s="19"/>
      <c r="B49" s="31"/>
      <c r="C49" s="19"/>
      <c r="D49" s="19"/>
      <c r="E49" s="19"/>
      <c r="F49" s="20"/>
      <c r="G49" s="19"/>
      <c r="H49" s="19"/>
      <c r="I49" s="20"/>
      <c r="J49" s="19"/>
      <c r="K49" s="19"/>
    </row>
    <row r="50" spans="1:11" ht="14.25">
      <c r="A50" s="19"/>
      <c r="B50" s="31"/>
      <c r="C50" s="19"/>
      <c r="D50" s="19"/>
      <c r="E50" s="19"/>
      <c r="F50" s="20"/>
      <c r="G50" s="19"/>
      <c r="H50" s="19"/>
      <c r="I50" s="20"/>
      <c r="J50" s="19"/>
      <c r="K50" s="19"/>
    </row>
    <row r="51" spans="1:11" ht="14.25">
      <c r="A51" s="19"/>
      <c r="B51" s="31"/>
      <c r="C51" s="19"/>
      <c r="D51" s="19"/>
      <c r="E51" s="19"/>
      <c r="F51" s="20"/>
      <c r="G51" s="19"/>
      <c r="H51" s="19"/>
      <c r="I51" s="20"/>
      <c r="J51" s="19"/>
      <c r="K51" s="19"/>
    </row>
    <row r="52" spans="1:11" ht="14.25">
      <c r="A52" s="19"/>
      <c r="B52" s="31"/>
      <c r="C52" s="19"/>
      <c r="D52" s="19"/>
      <c r="E52" s="19"/>
      <c r="F52" s="20"/>
      <c r="G52" s="19"/>
      <c r="H52" s="19"/>
      <c r="I52" s="20"/>
      <c r="J52" s="19"/>
      <c r="K52" s="19"/>
    </row>
    <row r="53" spans="1:11" ht="14.25">
      <c r="A53" s="19"/>
      <c r="B53" s="31"/>
      <c r="C53" s="19"/>
      <c r="D53" s="19"/>
      <c r="E53" s="19"/>
      <c r="F53" s="20"/>
      <c r="G53" s="19"/>
      <c r="H53" s="19"/>
      <c r="I53" s="20"/>
      <c r="J53" s="19"/>
      <c r="K53" s="19"/>
    </row>
    <row r="54" spans="1:11" ht="14.25">
      <c r="A54" s="19"/>
      <c r="B54" s="31"/>
      <c r="C54" s="19"/>
      <c r="D54" s="19"/>
      <c r="E54" s="19"/>
      <c r="F54" s="20"/>
      <c r="G54" s="19"/>
      <c r="H54" s="19"/>
      <c r="I54" s="20"/>
      <c r="J54" s="19"/>
      <c r="K54" s="19"/>
    </row>
    <row r="55" spans="1:11" ht="14.25">
      <c r="A55" s="19"/>
      <c r="B55" s="31"/>
      <c r="C55" s="19"/>
      <c r="D55" s="19"/>
      <c r="E55" s="19"/>
      <c r="F55" s="20"/>
      <c r="G55" s="19"/>
      <c r="H55" s="19"/>
      <c r="I55" s="20"/>
      <c r="J55" s="19"/>
      <c r="K55" s="19"/>
    </row>
    <row r="56" spans="1:11" ht="14.25">
      <c r="A56" s="19"/>
      <c r="B56" s="31"/>
      <c r="C56" s="19"/>
      <c r="D56" s="19"/>
      <c r="E56" s="19"/>
      <c r="F56" s="20"/>
      <c r="G56" s="19"/>
      <c r="H56" s="19"/>
      <c r="I56" s="20"/>
      <c r="J56" s="19"/>
      <c r="K56" s="19"/>
    </row>
    <row r="57" spans="1:11" ht="14.25">
      <c r="A57" s="19"/>
      <c r="B57" s="31"/>
      <c r="C57" s="19"/>
      <c r="D57" s="19"/>
      <c r="E57" s="19"/>
      <c r="F57" s="20"/>
      <c r="G57" s="19"/>
      <c r="H57" s="19"/>
      <c r="I57" s="20"/>
      <c r="J57" s="19"/>
      <c r="K57" s="19"/>
    </row>
    <row r="58" spans="1:11" ht="14.25">
      <c r="A58" s="19"/>
      <c r="B58" s="31"/>
      <c r="C58" s="19"/>
      <c r="D58" s="19"/>
      <c r="E58" s="19"/>
      <c r="F58" s="20"/>
      <c r="G58" s="19"/>
      <c r="H58" s="19"/>
      <c r="I58" s="20"/>
      <c r="J58" s="19"/>
      <c r="K58" s="19"/>
    </row>
    <row r="59" spans="1:11" ht="14.25">
      <c r="A59" s="19"/>
      <c r="B59" s="31"/>
      <c r="C59" s="19"/>
      <c r="D59" s="19"/>
      <c r="E59" s="19"/>
      <c r="F59" s="20"/>
      <c r="G59" s="19"/>
      <c r="H59" s="19"/>
      <c r="I59" s="20"/>
      <c r="J59" s="19"/>
      <c r="K59" s="19"/>
    </row>
    <row r="60" spans="1:11" ht="14.25">
      <c r="A60" s="19"/>
      <c r="B60" s="31"/>
      <c r="C60" s="19"/>
      <c r="D60" s="19"/>
      <c r="E60" s="19"/>
      <c r="F60" s="20"/>
      <c r="G60" s="19"/>
      <c r="H60" s="19"/>
      <c r="I60" s="20"/>
      <c r="J60" s="19"/>
      <c r="K60" s="19"/>
    </row>
    <row r="61" spans="1:11" ht="14.25">
      <c r="A61" s="19"/>
      <c r="B61" s="31"/>
      <c r="C61" s="19"/>
      <c r="D61" s="19"/>
      <c r="E61" s="19"/>
      <c r="F61" s="20"/>
      <c r="G61" s="19"/>
      <c r="H61" s="19"/>
      <c r="I61" s="20"/>
      <c r="J61" s="19"/>
      <c r="K61" s="19"/>
    </row>
    <row r="62" spans="1:11" ht="14.25">
      <c r="A62" s="19"/>
      <c r="B62" s="31"/>
      <c r="C62" s="19"/>
      <c r="D62" s="19"/>
      <c r="E62" s="19"/>
      <c r="F62" s="20"/>
      <c r="G62" s="19"/>
      <c r="H62" s="19"/>
      <c r="I62" s="20"/>
      <c r="J62" s="19"/>
      <c r="K62" s="19"/>
    </row>
    <row r="63" spans="1:11" ht="14.25">
      <c r="A63" s="19"/>
      <c r="B63" s="31"/>
      <c r="C63" s="19"/>
      <c r="D63" s="19"/>
      <c r="E63" s="19"/>
      <c r="F63" s="20"/>
      <c r="G63" s="19"/>
      <c r="H63" s="19"/>
      <c r="I63" s="20"/>
      <c r="J63" s="19"/>
      <c r="K63" s="19"/>
    </row>
    <row r="64" spans="1:11" ht="14.25">
      <c r="A64" s="19"/>
      <c r="B64" s="31"/>
      <c r="C64" s="19"/>
      <c r="D64" s="19"/>
      <c r="E64" s="19"/>
      <c r="F64" s="20"/>
      <c r="G64" s="19"/>
      <c r="H64" s="19"/>
      <c r="I64" s="20"/>
      <c r="J64" s="19"/>
      <c r="K64" s="19"/>
    </row>
    <row r="65" spans="1:11" ht="14.25">
      <c r="A65" s="19"/>
      <c r="B65" s="31"/>
      <c r="C65" s="19"/>
      <c r="D65" s="19"/>
      <c r="E65" s="19"/>
      <c r="F65" s="20"/>
      <c r="G65" s="19"/>
      <c r="H65" s="19"/>
      <c r="I65" s="20"/>
      <c r="J65" s="19"/>
      <c r="K65" s="19"/>
    </row>
    <row r="66" spans="1:11" ht="14.25">
      <c r="A66" s="19"/>
      <c r="B66" s="31"/>
      <c r="C66" s="19"/>
      <c r="D66" s="19"/>
      <c r="E66" s="19"/>
      <c r="F66" s="20"/>
      <c r="G66" s="19"/>
      <c r="H66" s="19"/>
      <c r="I66" s="20"/>
      <c r="J66" s="19"/>
      <c r="K66" s="19"/>
    </row>
    <row r="67" spans="1:11" ht="14.25">
      <c r="A67" s="19"/>
      <c r="B67" s="31"/>
      <c r="C67" s="19"/>
      <c r="D67" s="19"/>
      <c r="E67" s="19"/>
      <c r="F67" s="20"/>
      <c r="G67" s="19"/>
      <c r="H67" s="19"/>
      <c r="I67" s="20"/>
      <c r="J67" s="19"/>
      <c r="K67" s="19"/>
    </row>
    <row r="68" spans="1:11" ht="14.25">
      <c r="A68" s="19"/>
      <c r="B68" s="31"/>
      <c r="C68" s="19"/>
      <c r="D68" s="19"/>
      <c r="E68" s="19"/>
      <c r="F68" s="20"/>
      <c r="G68" s="19"/>
      <c r="H68" s="19"/>
      <c r="I68" s="20"/>
      <c r="J68" s="19"/>
      <c r="K68" s="19"/>
    </row>
    <row r="69" spans="1:11" ht="14.25">
      <c r="A69" s="19"/>
      <c r="B69" s="31"/>
      <c r="C69" s="19"/>
      <c r="D69" s="19"/>
      <c r="E69" s="19"/>
      <c r="F69" s="20"/>
      <c r="G69" s="19"/>
      <c r="H69" s="19"/>
      <c r="I69" s="20"/>
      <c r="J69" s="19"/>
      <c r="K69" s="19"/>
    </row>
    <row r="70" spans="1:11" ht="14.25">
      <c r="A70" s="19"/>
      <c r="B70" s="31"/>
      <c r="C70" s="19"/>
      <c r="D70" s="19"/>
      <c r="E70" s="19"/>
      <c r="F70" s="20"/>
      <c r="G70" s="19"/>
      <c r="H70" s="19"/>
      <c r="I70" s="20"/>
      <c r="J70" s="19"/>
      <c r="K70" s="19"/>
    </row>
    <row r="71" spans="1:11" ht="14.25">
      <c r="A71" s="19"/>
      <c r="B71" s="31"/>
      <c r="C71" s="19"/>
      <c r="D71" s="19"/>
      <c r="E71" s="19"/>
      <c r="F71" s="20"/>
      <c r="G71" s="19"/>
      <c r="H71" s="19"/>
      <c r="I71" s="20"/>
      <c r="J71" s="19"/>
      <c r="K71" s="19"/>
    </row>
    <row r="72" spans="1:11" ht="14.25">
      <c r="A72" s="19"/>
      <c r="B72" s="31"/>
      <c r="C72" s="19"/>
      <c r="D72" s="19"/>
      <c r="E72" s="19"/>
      <c r="F72" s="20"/>
      <c r="G72" s="19"/>
      <c r="H72" s="19"/>
      <c r="I72" s="20"/>
      <c r="J72" s="19"/>
      <c r="K72" s="19"/>
    </row>
    <row r="73" spans="1:11" ht="14.25">
      <c r="A73" s="19"/>
      <c r="B73" s="31"/>
      <c r="C73" s="19"/>
      <c r="D73" s="19"/>
      <c r="E73" s="19"/>
      <c r="F73" s="20"/>
      <c r="G73" s="19"/>
      <c r="H73" s="19"/>
      <c r="I73" s="20"/>
      <c r="J73" s="19"/>
      <c r="K73" s="19"/>
    </row>
    <row r="74" spans="1:11" ht="14.25">
      <c r="A74" s="19"/>
      <c r="B74" s="31"/>
      <c r="C74" s="19"/>
      <c r="D74" s="19"/>
      <c r="E74" s="19"/>
      <c r="F74" s="20"/>
      <c r="G74" s="19"/>
      <c r="H74" s="19"/>
      <c r="I74" s="20"/>
      <c r="J74" s="19"/>
      <c r="K74" s="19"/>
    </row>
    <row r="75" spans="1:11" ht="14.25">
      <c r="A75" s="19"/>
      <c r="B75" s="31"/>
      <c r="C75" s="19"/>
      <c r="D75" s="19"/>
      <c r="E75" s="19"/>
      <c r="F75" s="20"/>
      <c r="G75" s="19"/>
      <c r="H75" s="19"/>
      <c r="I75" s="20"/>
      <c r="J75" s="19"/>
      <c r="K75" s="19"/>
    </row>
    <row r="76" spans="1:11" ht="14.25">
      <c r="A76" s="19"/>
      <c r="B76" s="31"/>
      <c r="C76" s="19"/>
      <c r="D76" s="19"/>
      <c r="E76" s="19"/>
      <c r="F76" s="20"/>
      <c r="G76" s="19"/>
      <c r="H76" s="19"/>
      <c r="I76" s="20"/>
      <c r="J76" s="19"/>
      <c r="K76" s="19"/>
    </row>
    <row r="77" spans="1:11" ht="14.25">
      <c r="A77" s="19"/>
      <c r="B77" s="31"/>
      <c r="C77" s="19"/>
      <c r="D77" s="19"/>
      <c r="E77" s="19"/>
      <c r="F77" s="20"/>
      <c r="G77" s="19"/>
      <c r="H77" s="19"/>
      <c r="I77" s="20"/>
      <c r="J77" s="19"/>
      <c r="K77" s="19"/>
    </row>
    <row r="78" spans="1:11" ht="14.25">
      <c r="A78" s="19"/>
      <c r="B78" s="31"/>
      <c r="C78" s="19"/>
      <c r="D78" s="19"/>
      <c r="E78" s="19"/>
      <c r="F78" s="20"/>
      <c r="G78" s="19"/>
      <c r="H78" s="19"/>
      <c r="I78" s="20"/>
      <c r="J78" s="19"/>
      <c r="K78" s="19"/>
    </row>
    <row r="79" spans="1:11" ht="14.25">
      <c r="A79" s="19"/>
      <c r="B79" s="31"/>
      <c r="C79" s="19"/>
      <c r="D79" s="19"/>
      <c r="E79" s="19"/>
      <c r="F79" s="20"/>
      <c r="G79" s="19"/>
      <c r="H79" s="19"/>
      <c r="I79" s="20"/>
      <c r="J79" s="19"/>
      <c r="K79" s="19"/>
    </row>
    <row r="80" spans="1:11" ht="14.25">
      <c r="A80" s="19"/>
      <c r="B80" s="31"/>
      <c r="C80" s="19"/>
      <c r="D80" s="19"/>
      <c r="E80" s="19"/>
      <c r="F80" s="20"/>
      <c r="G80" s="19"/>
      <c r="H80" s="19"/>
      <c r="I80" s="20"/>
      <c r="J80" s="19"/>
      <c r="K80" s="19"/>
    </row>
    <row r="81" spans="1:11" ht="14.25">
      <c r="A81" s="19"/>
      <c r="B81" s="31"/>
      <c r="C81" s="19"/>
      <c r="D81" s="19"/>
      <c r="E81" s="19"/>
      <c r="F81" s="20"/>
      <c r="G81" s="19"/>
      <c r="H81" s="19"/>
      <c r="I81" s="20"/>
      <c r="J81" s="19"/>
      <c r="K81" s="19"/>
    </row>
    <row r="82" spans="1:11" ht="14.25">
      <c r="A82" s="19"/>
      <c r="B82" s="31"/>
      <c r="C82" s="19"/>
      <c r="D82" s="19"/>
      <c r="E82" s="19"/>
      <c r="F82" s="20"/>
      <c r="G82" s="19"/>
      <c r="H82" s="19"/>
      <c r="I82" s="20"/>
      <c r="J82" s="19"/>
      <c r="K82" s="19"/>
    </row>
    <row r="83" spans="1:11" ht="14.25">
      <c r="A83" s="19"/>
      <c r="B83" s="31"/>
      <c r="C83" s="19"/>
      <c r="D83" s="19"/>
      <c r="E83" s="19"/>
      <c r="F83" s="20"/>
      <c r="G83" s="19"/>
      <c r="H83" s="19"/>
      <c r="I83" s="20"/>
      <c r="J83" s="19"/>
      <c r="K83" s="19"/>
    </row>
    <row r="84" spans="1:11" ht="14.25">
      <c r="A84" s="19"/>
      <c r="B84" s="31"/>
      <c r="C84" s="19"/>
      <c r="D84" s="19"/>
      <c r="E84" s="19"/>
      <c r="F84" s="20"/>
      <c r="G84" s="19"/>
      <c r="H84" s="19"/>
      <c r="I84" s="20"/>
      <c r="J84" s="19"/>
      <c r="K84" s="19"/>
    </row>
    <row r="85" spans="1:11" ht="14.25">
      <c r="A85" s="19"/>
      <c r="B85" s="31"/>
      <c r="C85" s="19"/>
      <c r="D85" s="19"/>
      <c r="E85" s="19"/>
      <c r="F85" s="20"/>
      <c r="G85" s="19"/>
      <c r="H85" s="19"/>
      <c r="I85" s="20"/>
      <c r="J85" s="19"/>
      <c r="K85" s="19"/>
    </row>
    <row r="86" spans="1:11" ht="14.25">
      <c r="A86" s="19"/>
      <c r="B86" s="31"/>
      <c r="C86" s="19"/>
      <c r="D86" s="19"/>
      <c r="E86" s="19"/>
      <c r="F86" s="20"/>
      <c r="G86" s="19"/>
      <c r="H86" s="19"/>
      <c r="I86" s="20"/>
      <c r="J86" s="19"/>
      <c r="K86" s="19"/>
    </row>
    <row r="87" spans="1:11" ht="14.25">
      <c r="A87" s="19"/>
      <c r="B87" s="31"/>
      <c r="C87" s="19"/>
      <c r="D87" s="19"/>
      <c r="E87" s="19"/>
      <c r="F87" s="20"/>
      <c r="G87" s="19"/>
      <c r="H87" s="19"/>
      <c r="I87" s="20"/>
      <c r="J87" s="19"/>
      <c r="K87" s="19"/>
    </row>
    <row r="88" spans="1:11" ht="14.25">
      <c r="A88" s="19"/>
      <c r="B88" s="31"/>
      <c r="C88" s="19"/>
      <c r="D88" s="19"/>
      <c r="E88" s="19"/>
      <c r="F88" s="20"/>
      <c r="G88" s="19"/>
      <c r="H88" s="19"/>
      <c r="I88" s="20"/>
      <c r="J88" s="19"/>
      <c r="K88" s="19"/>
    </row>
    <row r="89" spans="1:11" ht="14.25">
      <c r="A89" s="19"/>
      <c r="B89" s="31"/>
      <c r="C89" s="19"/>
      <c r="D89" s="19"/>
      <c r="E89" s="19"/>
      <c r="F89" s="20"/>
      <c r="G89" s="19"/>
      <c r="H89" s="19"/>
      <c r="I89" s="20"/>
      <c r="J89" s="19"/>
      <c r="K89" s="19"/>
    </row>
    <row r="90" spans="1:11" ht="14.25">
      <c r="A90" s="19"/>
      <c r="B90" s="31"/>
      <c r="C90" s="19"/>
      <c r="D90" s="19"/>
      <c r="E90" s="19"/>
      <c r="F90" s="20"/>
      <c r="G90" s="19"/>
      <c r="H90" s="19"/>
      <c r="I90" s="20"/>
      <c r="J90" s="19"/>
      <c r="K90" s="19"/>
    </row>
    <row r="91" spans="1:11" ht="14.25">
      <c r="A91" s="19"/>
      <c r="B91" s="31"/>
      <c r="C91" s="19"/>
      <c r="D91" s="19"/>
      <c r="E91" s="19"/>
      <c r="F91" s="20"/>
      <c r="G91" s="19"/>
      <c r="H91" s="19"/>
      <c r="I91" s="20"/>
      <c r="J91" s="19"/>
      <c r="K91" s="19"/>
    </row>
    <row r="92" spans="1:11" ht="14.25">
      <c r="A92" s="19"/>
      <c r="B92" s="31"/>
      <c r="C92" s="19"/>
      <c r="D92" s="19"/>
      <c r="E92" s="19"/>
      <c r="F92" s="20"/>
      <c r="G92" s="19"/>
      <c r="H92" s="19"/>
      <c r="I92" s="20"/>
      <c r="J92" s="19"/>
      <c r="K92" s="19"/>
    </row>
    <row r="93" spans="1:11" ht="14.25">
      <c r="A93" s="19"/>
      <c r="B93" s="31"/>
      <c r="C93" s="19"/>
      <c r="D93" s="19"/>
      <c r="E93" s="19"/>
      <c r="F93" s="20"/>
      <c r="G93" s="19"/>
      <c r="H93" s="19"/>
      <c r="I93" s="20"/>
      <c r="J93" s="19"/>
      <c r="K93" s="19"/>
    </row>
    <row r="94" spans="1:11" ht="14.25">
      <c r="A94" s="19"/>
      <c r="B94" s="31"/>
      <c r="C94" s="19"/>
      <c r="D94" s="19"/>
      <c r="E94" s="19"/>
      <c r="F94" s="20"/>
      <c r="G94" s="19"/>
      <c r="H94" s="19"/>
      <c r="I94" s="20"/>
      <c r="J94" s="19"/>
      <c r="K94" s="19"/>
    </row>
    <row r="95" spans="1:11" ht="14.25">
      <c r="A95" s="19"/>
      <c r="B95" s="31"/>
      <c r="C95" s="19"/>
      <c r="D95" s="19"/>
      <c r="E95" s="19"/>
      <c r="F95" s="20"/>
      <c r="G95" s="19"/>
      <c r="H95" s="19"/>
      <c r="I95" s="20"/>
      <c r="J95" s="19"/>
      <c r="K95" s="19"/>
    </row>
    <row r="96" spans="1:11" ht="14.25">
      <c r="A96" s="19"/>
      <c r="B96" s="31"/>
      <c r="C96" s="19"/>
      <c r="D96" s="19"/>
      <c r="E96" s="19"/>
      <c r="F96" s="20"/>
      <c r="G96" s="19"/>
      <c r="H96" s="19"/>
      <c r="I96" s="20"/>
      <c r="J96" s="19"/>
      <c r="K96" s="19"/>
    </row>
    <row r="97" spans="1:11" ht="14.25">
      <c r="A97" s="19"/>
      <c r="B97" s="31"/>
      <c r="C97" s="19"/>
      <c r="D97" s="19"/>
      <c r="E97" s="19"/>
      <c r="F97" s="20"/>
      <c r="G97" s="19"/>
      <c r="H97" s="19"/>
      <c r="I97" s="20"/>
      <c r="J97" s="19"/>
      <c r="K97" s="19"/>
    </row>
    <row r="98" spans="1:11" ht="14.25">
      <c r="A98" s="19"/>
      <c r="B98" s="31"/>
      <c r="C98" s="19"/>
      <c r="D98" s="19"/>
      <c r="E98" s="19"/>
      <c r="F98" s="20"/>
      <c r="G98" s="19"/>
      <c r="H98" s="19"/>
      <c r="I98" s="20"/>
      <c r="J98" s="19"/>
      <c r="K98" s="19"/>
    </row>
    <row r="99" spans="1:11" ht="14.25">
      <c r="A99" s="19"/>
      <c r="B99" s="31"/>
      <c r="C99" s="19"/>
      <c r="D99" s="19"/>
      <c r="E99" s="19"/>
      <c r="F99" s="20"/>
      <c r="G99" s="19"/>
      <c r="H99" s="19"/>
      <c r="I99" s="20"/>
      <c r="J99" s="19"/>
      <c r="K99" s="19"/>
    </row>
    <row r="100" spans="1:11" ht="14.25">
      <c r="A100" s="19"/>
      <c r="B100" s="31"/>
      <c r="C100" s="19"/>
      <c r="D100" s="19"/>
      <c r="E100" s="19"/>
      <c r="F100" s="20"/>
      <c r="G100" s="19"/>
      <c r="H100" s="19"/>
      <c r="I100" s="20"/>
      <c r="J100" s="19"/>
      <c r="K100" s="19"/>
    </row>
    <row r="101" spans="1:11" ht="14.25">
      <c r="A101" s="19"/>
      <c r="B101" s="31"/>
      <c r="C101" s="19"/>
      <c r="D101" s="19"/>
      <c r="E101" s="19"/>
      <c r="F101" s="20"/>
      <c r="G101" s="19"/>
      <c r="H101" s="19"/>
      <c r="I101" s="20"/>
      <c r="J101" s="19"/>
      <c r="K101" s="19"/>
    </row>
    <row r="102" spans="1:11" ht="14.25">
      <c r="A102" s="19"/>
      <c r="B102" s="31"/>
      <c r="C102" s="19"/>
      <c r="D102" s="19"/>
      <c r="E102" s="19"/>
      <c r="F102" s="20"/>
      <c r="G102" s="19"/>
      <c r="H102" s="19"/>
      <c r="I102" s="20"/>
      <c r="J102" s="19"/>
      <c r="K102" s="19"/>
    </row>
    <row r="103" spans="1:11" ht="14.25">
      <c r="A103" s="19"/>
      <c r="B103" s="31"/>
      <c r="C103" s="19"/>
      <c r="D103" s="19"/>
      <c r="E103" s="19"/>
      <c r="F103" s="20"/>
      <c r="G103" s="19"/>
      <c r="H103" s="19"/>
      <c r="I103" s="20"/>
      <c r="J103" s="19"/>
      <c r="K103" s="19"/>
    </row>
    <row r="104" spans="1:11" ht="14.25">
      <c r="A104" s="19"/>
      <c r="B104" s="31"/>
      <c r="C104" s="19"/>
      <c r="D104" s="19"/>
      <c r="E104" s="19"/>
      <c r="F104" s="20"/>
      <c r="G104" s="19"/>
      <c r="H104" s="19"/>
      <c r="I104" s="20"/>
      <c r="J104" s="19"/>
      <c r="K104" s="19"/>
    </row>
    <row r="105" spans="1:11" ht="14.25">
      <c r="A105" s="19"/>
      <c r="B105" s="31"/>
      <c r="C105" s="19"/>
      <c r="D105" s="19"/>
      <c r="E105" s="19"/>
      <c r="F105" s="20"/>
      <c r="G105" s="19"/>
      <c r="H105" s="19"/>
      <c r="I105" s="20"/>
      <c r="J105" s="19"/>
      <c r="K105" s="19"/>
    </row>
    <row r="106" spans="1:11" ht="14.25">
      <c r="A106" s="19"/>
      <c r="B106" s="31"/>
      <c r="C106" s="19"/>
      <c r="D106" s="19"/>
      <c r="E106" s="19"/>
      <c r="F106" s="20"/>
      <c r="G106" s="19"/>
      <c r="H106" s="19"/>
      <c r="I106" s="20"/>
      <c r="J106" s="19"/>
      <c r="K106" s="19"/>
    </row>
    <row r="107" spans="1:11" ht="14.25">
      <c r="A107" s="19"/>
      <c r="B107" s="31"/>
      <c r="C107" s="19"/>
      <c r="D107" s="19"/>
      <c r="E107" s="19"/>
      <c r="F107" s="20"/>
      <c r="G107" s="19"/>
      <c r="H107" s="19"/>
      <c r="I107" s="20"/>
      <c r="J107" s="19"/>
      <c r="K107" s="19"/>
    </row>
    <row r="108" spans="1:11" ht="14.25">
      <c r="A108" s="19"/>
      <c r="B108" s="31"/>
      <c r="C108" s="19"/>
      <c r="D108" s="19"/>
      <c r="E108" s="19"/>
      <c r="F108" s="20"/>
      <c r="G108" s="19"/>
      <c r="H108" s="19"/>
      <c r="I108" s="20"/>
      <c r="J108" s="19"/>
      <c r="K108" s="19"/>
    </row>
    <row r="109" spans="1:11" ht="14.25">
      <c r="A109" s="19"/>
      <c r="B109" s="31"/>
      <c r="C109" s="19"/>
      <c r="D109" s="19"/>
      <c r="E109" s="19"/>
      <c r="F109" s="20"/>
      <c r="G109" s="19"/>
      <c r="H109" s="19"/>
      <c r="I109" s="20"/>
      <c r="J109" s="19"/>
      <c r="K109" s="19"/>
    </row>
    <row r="110" spans="1:11" ht="14.25">
      <c r="A110" s="19"/>
      <c r="B110" s="31"/>
      <c r="C110" s="19"/>
      <c r="D110" s="19"/>
      <c r="E110" s="19"/>
      <c r="F110" s="20"/>
      <c r="G110" s="19"/>
      <c r="H110" s="19"/>
      <c r="I110" s="20"/>
      <c r="J110" s="19"/>
      <c r="K110" s="19"/>
    </row>
    <row r="111" spans="1:11" ht="14.25">
      <c r="A111" s="19"/>
      <c r="B111" s="31"/>
      <c r="C111" s="19"/>
      <c r="D111" s="19"/>
      <c r="E111" s="19"/>
      <c r="F111" s="20"/>
      <c r="G111" s="19"/>
      <c r="H111" s="19"/>
      <c r="I111" s="20"/>
      <c r="J111" s="19"/>
      <c r="K111" s="19"/>
    </row>
    <row r="112" spans="1:11" ht="14.25">
      <c r="A112" s="19"/>
      <c r="B112" s="31"/>
      <c r="C112" s="19"/>
      <c r="D112" s="19"/>
      <c r="E112" s="19"/>
      <c r="F112" s="20"/>
      <c r="G112" s="19"/>
      <c r="H112" s="19"/>
      <c r="I112" s="20"/>
      <c r="J112" s="19"/>
      <c r="K112" s="19"/>
    </row>
    <row r="113" spans="1:11" ht="14.25">
      <c r="A113" s="19"/>
      <c r="B113" s="31"/>
      <c r="C113" s="19"/>
      <c r="D113" s="19"/>
      <c r="E113" s="19"/>
      <c r="F113" s="20"/>
      <c r="G113" s="19"/>
      <c r="H113" s="19"/>
      <c r="I113" s="20"/>
      <c r="J113" s="19"/>
      <c r="K113" s="19"/>
    </row>
    <row r="114" spans="1:11" ht="14.25">
      <c r="A114" s="19"/>
      <c r="B114" s="31"/>
      <c r="C114" s="19"/>
      <c r="D114" s="19"/>
      <c r="E114" s="19"/>
      <c r="F114" s="20"/>
      <c r="G114" s="19"/>
      <c r="H114" s="19"/>
      <c r="I114" s="20"/>
      <c r="J114" s="19"/>
      <c r="K114" s="19"/>
    </row>
    <row r="115" spans="1:11" ht="14.25">
      <c r="A115" s="19"/>
      <c r="B115" s="31"/>
      <c r="C115" s="19"/>
      <c r="D115" s="19"/>
      <c r="E115" s="19"/>
      <c r="F115" s="20"/>
      <c r="G115" s="19"/>
      <c r="H115" s="19"/>
      <c r="I115" s="20"/>
      <c r="J115" s="19"/>
      <c r="K115" s="19"/>
    </row>
    <row r="116" spans="1:11" ht="14.25">
      <c r="A116" s="19"/>
      <c r="B116" s="31"/>
      <c r="C116" s="19"/>
      <c r="D116" s="19"/>
      <c r="E116" s="19"/>
      <c r="F116" s="20"/>
      <c r="G116" s="19"/>
      <c r="H116" s="19"/>
      <c r="I116" s="20"/>
      <c r="J116" s="19"/>
      <c r="K116" s="19"/>
    </row>
    <row r="117" spans="1:11" ht="14.25">
      <c r="A117" s="19"/>
      <c r="B117" s="31"/>
      <c r="C117" s="19"/>
      <c r="D117" s="19"/>
      <c r="E117" s="19"/>
      <c r="F117" s="20"/>
      <c r="G117" s="19"/>
      <c r="H117" s="19"/>
      <c r="I117" s="20"/>
      <c r="J117" s="19"/>
      <c r="K117" s="19"/>
    </row>
    <row r="118" spans="1:11" ht="14.25">
      <c r="A118" s="19"/>
      <c r="B118" s="31"/>
      <c r="C118" s="19"/>
      <c r="D118" s="19"/>
      <c r="E118" s="19"/>
      <c r="F118" s="20"/>
      <c r="G118" s="19"/>
      <c r="H118" s="19"/>
      <c r="I118" s="20"/>
      <c r="J118" s="19"/>
      <c r="K118" s="19"/>
    </row>
    <row r="119" spans="1:11" ht="14.25">
      <c r="A119" s="19"/>
      <c r="B119" s="31"/>
      <c r="C119" s="19"/>
      <c r="D119" s="19"/>
      <c r="E119" s="19"/>
      <c r="F119" s="20"/>
      <c r="G119" s="19"/>
      <c r="H119" s="19"/>
      <c r="I119" s="20"/>
      <c r="J119" s="19"/>
      <c r="K119" s="19"/>
    </row>
    <row r="120" spans="1:11" ht="14.25">
      <c r="A120" s="19"/>
      <c r="B120" s="31"/>
      <c r="C120" s="19"/>
      <c r="D120" s="19"/>
      <c r="E120" s="19"/>
      <c r="F120" s="20"/>
      <c r="G120" s="19"/>
      <c r="H120" s="19"/>
      <c r="I120" s="20"/>
      <c r="J120" s="19"/>
      <c r="K120" s="19"/>
    </row>
    <row r="121" spans="1:11" ht="14.25">
      <c r="A121" s="19"/>
      <c r="B121" s="31"/>
      <c r="C121" s="19"/>
      <c r="D121" s="19"/>
      <c r="E121" s="19"/>
      <c r="F121" s="20"/>
      <c r="G121" s="19"/>
      <c r="H121" s="19"/>
      <c r="I121" s="20"/>
      <c r="J121" s="19"/>
      <c r="K121" s="19"/>
    </row>
    <row r="122" spans="1:11" ht="14.25">
      <c r="A122" s="19"/>
      <c r="B122" s="31"/>
      <c r="C122" s="19"/>
      <c r="D122" s="19"/>
      <c r="E122" s="19"/>
      <c r="F122" s="20"/>
      <c r="G122" s="19"/>
      <c r="H122" s="19"/>
      <c r="I122" s="20"/>
      <c r="J122" s="19"/>
      <c r="K122" s="19"/>
    </row>
    <row r="123" spans="1:11" ht="14.25">
      <c r="A123" s="19"/>
      <c r="B123" s="31"/>
      <c r="C123" s="19"/>
      <c r="D123" s="19"/>
      <c r="E123" s="19"/>
      <c r="F123" s="20"/>
      <c r="G123" s="19"/>
      <c r="H123" s="19"/>
      <c r="I123" s="20"/>
      <c r="J123" s="19"/>
      <c r="K123" s="19"/>
    </row>
    <row r="124" spans="1:11" ht="14.25">
      <c r="A124" s="19"/>
      <c r="B124" s="31"/>
      <c r="C124" s="19"/>
      <c r="D124" s="19"/>
      <c r="E124" s="19"/>
      <c r="F124" s="20"/>
      <c r="G124" s="19"/>
      <c r="H124" s="19"/>
      <c r="I124" s="20"/>
      <c r="J124" s="19"/>
      <c r="K124" s="19"/>
    </row>
    <row r="125" spans="1:11" ht="14.25">
      <c r="A125" s="19"/>
      <c r="B125" s="31"/>
      <c r="C125" s="19"/>
      <c r="D125" s="19"/>
      <c r="E125" s="19"/>
      <c r="F125" s="20"/>
      <c r="G125" s="19"/>
      <c r="H125" s="19"/>
      <c r="I125" s="20"/>
      <c r="J125" s="19"/>
      <c r="K125" s="19"/>
    </row>
    <row r="126" spans="1:11" ht="14.25">
      <c r="A126" s="19"/>
      <c r="B126" s="31"/>
      <c r="C126" s="19"/>
      <c r="D126" s="19"/>
      <c r="E126" s="19"/>
      <c r="F126" s="20"/>
      <c r="G126" s="19"/>
      <c r="H126" s="19"/>
      <c r="I126" s="20"/>
      <c r="J126" s="19"/>
      <c r="K126" s="19"/>
    </row>
    <row r="127" spans="1:11" ht="14.25">
      <c r="A127" s="19"/>
      <c r="B127" s="31"/>
      <c r="C127" s="19"/>
      <c r="D127" s="19"/>
      <c r="E127" s="19"/>
      <c r="F127" s="20"/>
      <c r="G127" s="19"/>
      <c r="H127" s="19"/>
      <c r="I127" s="20"/>
      <c r="J127" s="19"/>
      <c r="K127" s="19"/>
    </row>
    <row r="128" spans="1:11" ht="14.25">
      <c r="A128" s="19"/>
      <c r="B128" s="31"/>
      <c r="C128" s="19"/>
      <c r="D128" s="19"/>
      <c r="E128" s="19"/>
      <c r="F128" s="20"/>
      <c r="G128" s="19"/>
      <c r="H128" s="19"/>
      <c r="I128" s="20"/>
      <c r="J128" s="19"/>
      <c r="K128" s="19"/>
    </row>
    <row r="129" spans="1:11" ht="14.25">
      <c r="A129" s="19"/>
      <c r="B129" s="31"/>
      <c r="C129" s="19"/>
      <c r="D129" s="19"/>
      <c r="E129" s="19"/>
      <c r="F129" s="20"/>
      <c r="G129" s="19"/>
      <c r="H129" s="19"/>
      <c r="I129" s="20"/>
      <c r="J129" s="19"/>
      <c r="K129" s="19"/>
    </row>
    <row r="130" spans="1:11" ht="14.25">
      <c r="A130" s="19"/>
      <c r="B130" s="31"/>
      <c r="C130" s="19"/>
      <c r="D130" s="19"/>
      <c r="E130" s="19"/>
      <c r="F130" s="20"/>
      <c r="G130" s="19"/>
      <c r="H130" s="19"/>
      <c r="I130" s="20"/>
      <c r="J130" s="19"/>
      <c r="K130" s="19"/>
    </row>
    <row r="131" spans="1:11" ht="14.25">
      <c r="A131" s="19"/>
      <c r="B131" s="31"/>
      <c r="C131" s="19"/>
      <c r="D131" s="19"/>
      <c r="E131" s="19"/>
      <c r="F131" s="20"/>
      <c r="G131" s="19"/>
      <c r="H131" s="19"/>
      <c r="I131" s="20"/>
      <c r="J131" s="19"/>
      <c r="K131" s="19"/>
    </row>
    <row r="132" spans="1:11" ht="14.25">
      <c r="A132" s="19"/>
      <c r="B132" s="31"/>
      <c r="C132" s="19"/>
      <c r="D132" s="19"/>
      <c r="E132" s="19"/>
      <c r="F132" s="20"/>
      <c r="G132" s="19"/>
      <c r="H132" s="19"/>
      <c r="I132" s="20"/>
      <c r="J132" s="19"/>
      <c r="K132" s="19"/>
    </row>
    <row r="133" spans="1:11" ht="14.25">
      <c r="A133" s="19"/>
      <c r="B133" s="31"/>
      <c r="C133" s="19"/>
      <c r="D133" s="19"/>
      <c r="E133" s="19"/>
      <c r="F133" s="20"/>
      <c r="G133" s="19"/>
      <c r="H133" s="19"/>
      <c r="I133" s="20"/>
      <c r="J133" s="19"/>
      <c r="K133" s="19"/>
    </row>
    <row r="134" spans="1:11" ht="14.25">
      <c r="A134" s="19"/>
      <c r="B134" s="31"/>
      <c r="C134" s="19"/>
      <c r="D134" s="19"/>
      <c r="E134" s="19"/>
      <c r="F134" s="20"/>
      <c r="G134" s="19"/>
      <c r="H134" s="19"/>
      <c r="I134" s="20"/>
      <c r="J134" s="19"/>
      <c r="K134" s="19"/>
    </row>
    <row r="135" spans="1:11" ht="14.25">
      <c r="A135" s="19"/>
      <c r="B135" s="31"/>
      <c r="C135" s="19"/>
      <c r="D135" s="19"/>
      <c r="E135" s="19"/>
      <c r="F135" s="20"/>
      <c r="G135" s="19"/>
      <c r="H135" s="19"/>
      <c r="I135" s="20"/>
      <c r="J135" s="19"/>
      <c r="K135" s="19"/>
    </row>
    <row r="136" spans="1:11" ht="14.25">
      <c r="A136" s="19"/>
      <c r="B136" s="31"/>
      <c r="C136" s="19"/>
      <c r="D136" s="19"/>
      <c r="E136" s="19"/>
      <c r="F136" s="20"/>
      <c r="G136" s="19"/>
      <c r="H136" s="19"/>
      <c r="I136" s="20"/>
      <c r="J136" s="19"/>
      <c r="K136" s="19"/>
    </row>
    <row r="137" spans="1:11" ht="14.25">
      <c r="A137" s="19"/>
      <c r="B137" s="31"/>
      <c r="C137" s="19"/>
      <c r="D137" s="19"/>
      <c r="E137" s="19"/>
      <c r="F137" s="20"/>
      <c r="G137" s="19"/>
      <c r="H137" s="19"/>
      <c r="I137" s="20"/>
      <c r="J137" s="19"/>
      <c r="K137" s="19"/>
    </row>
    <row r="138" spans="1:11" ht="14.25">
      <c r="A138" s="19"/>
      <c r="B138" s="31"/>
      <c r="C138" s="19"/>
      <c r="D138" s="19"/>
      <c r="E138" s="19"/>
      <c r="F138" s="20"/>
      <c r="G138" s="19"/>
      <c r="H138" s="19"/>
      <c r="I138" s="20"/>
      <c r="J138" s="19"/>
      <c r="K138" s="19"/>
    </row>
    <row r="139" spans="1:11" ht="14.25">
      <c r="A139" s="19"/>
      <c r="B139" s="31"/>
      <c r="C139" s="19"/>
      <c r="D139" s="19"/>
      <c r="E139" s="19"/>
      <c r="F139" s="20"/>
      <c r="G139" s="19"/>
      <c r="H139" s="19"/>
      <c r="I139" s="20"/>
      <c r="J139" s="19"/>
      <c r="K139" s="19"/>
    </row>
    <row r="140" spans="1:11" ht="14.25">
      <c r="A140" s="19"/>
      <c r="B140" s="31"/>
      <c r="C140" s="19"/>
      <c r="D140" s="19"/>
      <c r="E140" s="19"/>
      <c r="F140" s="20"/>
      <c r="G140" s="19"/>
      <c r="H140" s="19"/>
      <c r="I140" s="20"/>
      <c r="J140" s="19"/>
      <c r="K140" s="19"/>
    </row>
    <row r="141" spans="1:11" ht="14.25">
      <c r="A141" s="19"/>
      <c r="B141" s="31"/>
      <c r="C141" s="19"/>
      <c r="D141" s="19"/>
      <c r="E141" s="19"/>
      <c r="F141" s="20"/>
      <c r="G141" s="19"/>
      <c r="H141" s="19"/>
      <c r="I141" s="20"/>
      <c r="J141" s="19"/>
      <c r="K141" s="19"/>
    </row>
    <row r="142" spans="1:11" ht="14.25">
      <c r="A142" s="19"/>
      <c r="B142" s="31"/>
      <c r="C142" s="19"/>
      <c r="D142" s="19"/>
      <c r="E142" s="19"/>
      <c r="F142" s="20"/>
      <c r="G142" s="19"/>
      <c r="H142" s="19"/>
      <c r="I142" s="20"/>
      <c r="J142" s="19"/>
      <c r="K142" s="19"/>
    </row>
    <row r="143" spans="1:11" ht="14.25">
      <c r="A143" s="19"/>
      <c r="B143" s="31"/>
      <c r="C143" s="19"/>
      <c r="D143" s="19"/>
      <c r="E143" s="19"/>
      <c r="F143" s="20"/>
      <c r="G143" s="19"/>
      <c r="H143" s="19"/>
      <c r="I143" s="20"/>
      <c r="J143" s="19"/>
      <c r="K143" s="19"/>
    </row>
    <row r="144" spans="1:11" ht="14.25">
      <c r="A144" s="19"/>
      <c r="B144" s="31"/>
      <c r="C144" s="19"/>
      <c r="D144" s="19"/>
      <c r="E144" s="19"/>
      <c r="F144" s="20"/>
      <c r="G144" s="19"/>
      <c r="H144" s="19"/>
      <c r="I144" s="20"/>
      <c r="J144" s="19"/>
      <c r="K144" s="19"/>
    </row>
    <row r="145" spans="1:11" ht="14.25">
      <c r="A145" s="19"/>
      <c r="B145" s="31"/>
      <c r="C145" s="19"/>
      <c r="D145" s="19"/>
      <c r="E145" s="19"/>
      <c r="F145" s="20"/>
      <c r="G145" s="19"/>
      <c r="H145" s="19"/>
      <c r="I145" s="20"/>
      <c r="J145" s="19"/>
      <c r="K145" s="19"/>
    </row>
    <row r="146" spans="1:11" ht="14.25">
      <c r="A146" s="19"/>
      <c r="B146" s="31"/>
      <c r="C146" s="19"/>
      <c r="D146" s="19"/>
      <c r="E146" s="19"/>
      <c r="F146" s="20"/>
      <c r="G146" s="19"/>
      <c r="H146" s="19"/>
      <c r="I146" s="20"/>
      <c r="J146" s="19"/>
      <c r="K146" s="19"/>
    </row>
    <row r="147" spans="1:11" ht="14.25">
      <c r="A147" s="19"/>
      <c r="B147" s="31"/>
      <c r="C147" s="19"/>
      <c r="D147" s="19"/>
      <c r="E147" s="19"/>
      <c r="F147" s="20"/>
      <c r="G147" s="19"/>
      <c r="H147" s="19"/>
      <c r="I147" s="20"/>
      <c r="J147" s="19"/>
      <c r="K147" s="19"/>
    </row>
    <row r="148" spans="1:11" ht="14.25">
      <c r="A148" s="19"/>
      <c r="B148" s="31"/>
      <c r="C148" s="19"/>
      <c r="D148" s="19"/>
      <c r="E148" s="19"/>
      <c r="F148" s="20"/>
      <c r="G148" s="19"/>
      <c r="H148" s="19"/>
      <c r="I148" s="20"/>
      <c r="J148" s="19"/>
      <c r="K148" s="19"/>
    </row>
    <row r="149" spans="1:11" ht="14.25">
      <c r="A149" s="19"/>
      <c r="B149" s="31"/>
      <c r="C149" s="19"/>
      <c r="D149" s="19"/>
      <c r="E149" s="19"/>
      <c r="F149" s="20"/>
      <c r="G149" s="19"/>
      <c r="H149" s="19"/>
      <c r="I149" s="20"/>
      <c r="J149" s="19"/>
      <c r="K149" s="19"/>
    </row>
    <row r="150" spans="1:11" ht="14.25">
      <c r="A150" s="19"/>
      <c r="B150" s="31"/>
      <c r="C150" s="19"/>
      <c r="D150" s="19"/>
      <c r="E150" s="19"/>
      <c r="F150" s="20"/>
      <c r="G150" s="19"/>
      <c r="H150" s="19"/>
      <c r="I150" s="20"/>
      <c r="J150" s="19"/>
      <c r="K150" s="19"/>
    </row>
    <row r="151" spans="1:11" ht="14.25">
      <c r="A151" s="19"/>
      <c r="B151" s="31"/>
      <c r="C151" s="19"/>
      <c r="D151" s="19"/>
      <c r="E151" s="19"/>
      <c r="F151" s="20"/>
      <c r="G151" s="19"/>
      <c r="H151" s="19"/>
      <c r="I151" s="20"/>
      <c r="J151" s="19"/>
      <c r="K151" s="19"/>
    </row>
    <row r="152" spans="1:11" ht="14.25">
      <c r="A152" s="19"/>
      <c r="B152" s="31"/>
      <c r="C152" s="19"/>
      <c r="D152" s="19"/>
      <c r="E152" s="19"/>
      <c r="F152" s="20"/>
      <c r="G152" s="19"/>
      <c r="H152" s="19"/>
      <c r="I152" s="20"/>
      <c r="J152" s="19"/>
      <c r="K152" s="19"/>
    </row>
    <row r="153" spans="1:11" ht="14.25">
      <c r="A153" s="19"/>
      <c r="B153" s="31"/>
      <c r="C153" s="19"/>
      <c r="D153" s="19"/>
      <c r="E153" s="19"/>
      <c r="F153" s="20"/>
      <c r="G153" s="19"/>
      <c r="H153" s="19"/>
      <c r="I153" s="20"/>
      <c r="J153" s="19"/>
      <c r="K153" s="19"/>
    </row>
    <row r="154" spans="1:11" ht="14.25">
      <c r="A154" s="19"/>
      <c r="B154" s="31"/>
      <c r="C154" s="19"/>
      <c r="D154" s="19"/>
      <c r="E154" s="19"/>
      <c r="F154" s="20"/>
      <c r="G154" s="19"/>
      <c r="H154" s="19"/>
      <c r="I154" s="20"/>
      <c r="J154" s="19"/>
      <c r="K154" s="19"/>
    </row>
    <row r="155" spans="1:11" ht="14.25">
      <c r="A155" s="19"/>
      <c r="B155" s="31"/>
      <c r="C155" s="19"/>
      <c r="D155" s="19"/>
      <c r="E155" s="19"/>
      <c r="F155" s="20"/>
      <c r="G155" s="19"/>
      <c r="H155" s="19"/>
      <c r="I155" s="20"/>
      <c r="J155" s="19"/>
      <c r="K155" s="19"/>
    </row>
    <row r="156" spans="1:11" ht="14.25">
      <c r="A156" s="19"/>
      <c r="B156" s="31"/>
      <c r="C156" s="19"/>
      <c r="D156" s="19"/>
      <c r="E156" s="19"/>
      <c r="F156" s="20"/>
      <c r="G156" s="19"/>
      <c r="H156" s="19"/>
      <c r="I156" s="20"/>
      <c r="J156" s="19"/>
      <c r="K156" s="19"/>
    </row>
    <row r="157" spans="1:11" ht="14.25">
      <c r="A157" s="19"/>
      <c r="B157" s="31"/>
      <c r="C157" s="19"/>
      <c r="D157" s="19"/>
      <c r="E157" s="19"/>
      <c r="F157" s="20"/>
      <c r="G157" s="19"/>
      <c r="H157" s="19"/>
      <c r="I157" s="20"/>
      <c r="J157" s="19"/>
      <c r="K157" s="19"/>
    </row>
    <row r="158" spans="1:11" ht="14.25">
      <c r="A158" s="19"/>
      <c r="B158" s="31"/>
      <c r="C158" s="19"/>
      <c r="D158" s="19"/>
      <c r="E158" s="19"/>
      <c r="F158" s="20"/>
      <c r="G158" s="19"/>
      <c r="H158" s="19"/>
      <c r="I158" s="20"/>
      <c r="J158" s="19"/>
      <c r="K158" s="19"/>
    </row>
    <row r="159" spans="1:11" ht="14.25">
      <c r="A159" s="19"/>
      <c r="B159" s="31"/>
      <c r="C159" s="19"/>
      <c r="D159" s="19"/>
      <c r="E159" s="19"/>
      <c r="F159" s="20"/>
      <c r="G159" s="19"/>
      <c r="H159" s="19"/>
      <c r="I159" s="20"/>
      <c r="J159" s="19"/>
      <c r="K159" s="19"/>
    </row>
    <row r="160" spans="1:11" ht="14.25">
      <c r="A160" s="19"/>
      <c r="B160" s="31"/>
      <c r="C160" s="19"/>
      <c r="D160" s="19"/>
      <c r="E160" s="19"/>
      <c r="F160" s="20"/>
      <c r="G160" s="19"/>
      <c r="H160" s="19"/>
      <c r="I160" s="20"/>
      <c r="J160" s="19"/>
      <c r="K160" s="19"/>
    </row>
    <row r="161" spans="1:11" ht="14.25">
      <c r="A161" s="19"/>
      <c r="B161" s="31"/>
      <c r="C161" s="19"/>
      <c r="D161" s="19"/>
      <c r="E161" s="19"/>
      <c r="F161" s="20"/>
      <c r="G161" s="19"/>
      <c r="H161" s="19"/>
      <c r="I161" s="20"/>
      <c r="J161" s="19"/>
      <c r="K161" s="19"/>
    </row>
    <row r="162" spans="1:11" ht="14.25">
      <c r="A162" s="19"/>
      <c r="B162" s="31"/>
      <c r="C162" s="19"/>
      <c r="D162" s="19"/>
      <c r="E162" s="19"/>
      <c r="F162" s="20"/>
      <c r="G162" s="19"/>
      <c r="H162" s="19"/>
      <c r="I162" s="20"/>
      <c r="J162" s="19"/>
      <c r="K162" s="19"/>
    </row>
    <row r="163" spans="1:11" ht="14.25">
      <c r="A163" s="19"/>
      <c r="B163" s="31"/>
      <c r="C163" s="19"/>
      <c r="D163" s="19"/>
      <c r="E163" s="19"/>
      <c r="F163" s="20"/>
      <c r="G163" s="19"/>
      <c r="H163" s="19"/>
      <c r="I163" s="20"/>
      <c r="J163" s="19"/>
      <c r="K163" s="19"/>
    </row>
    <row r="164" spans="1:11" ht="14.25">
      <c r="A164" s="19"/>
      <c r="B164" s="31"/>
      <c r="C164" s="19"/>
      <c r="D164" s="19"/>
      <c r="E164" s="19"/>
      <c r="F164" s="20"/>
      <c r="G164" s="19"/>
      <c r="H164" s="19"/>
      <c r="I164" s="20"/>
      <c r="J164" s="19"/>
      <c r="K164" s="19"/>
    </row>
    <row r="165" spans="1:11" ht="14.25">
      <c r="A165" s="19"/>
      <c r="B165" s="31"/>
      <c r="C165" s="19"/>
      <c r="D165" s="19"/>
      <c r="E165" s="19"/>
      <c r="F165" s="20"/>
      <c r="G165" s="19"/>
      <c r="H165" s="19"/>
      <c r="I165" s="20"/>
      <c r="J165" s="19"/>
      <c r="K165" s="19"/>
    </row>
    <row r="166" spans="1:11" ht="14.25">
      <c r="A166" s="19"/>
      <c r="B166" s="31"/>
      <c r="C166" s="19"/>
      <c r="D166" s="19"/>
      <c r="E166" s="19"/>
      <c r="F166" s="20"/>
      <c r="G166" s="19"/>
      <c r="H166" s="19"/>
      <c r="I166" s="20"/>
      <c r="J166" s="19"/>
      <c r="K166" s="19"/>
    </row>
    <row r="167" spans="1:11" ht="14.25">
      <c r="A167" s="19"/>
      <c r="B167" s="31"/>
      <c r="C167" s="19"/>
      <c r="D167" s="19"/>
      <c r="E167" s="19"/>
      <c r="F167" s="20"/>
      <c r="G167" s="19"/>
      <c r="H167" s="19"/>
      <c r="I167" s="20"/>
      <c r="J167" s="19"/>
      <c r="K167" s="19"/>
    </row>
    <row r="168" spans="1:11" ht="14.25">
      <c r="A168" s="19"/>
      <c r="B168" s="31"/>
      <c r="C168" s="19"/>
      <c r="D168" s="19"/>
      <c r="E168" s="19"/>
      <c r="F168" s="20"/>
      <c r="G168" s="19"/>
      <c r="H168" s="19"/>
      <c r="I168" s="20"/>
      <c r="J168" s="19"/>
      <c r="K168" s="19"/>
    </row>
    <row r="169" spans="1:11" ht="14.25">
      <c r="A169" s="19"/>
      <c r="B169" s="31"/>
      <c r="C169" s="19"/>
      <c r="D169" s="19"/>
      <c r="E169" s="19"/>
      <c r="F169" s="20"/>
      <c r="G169" s="19"/>
      <c r="H169" s="19"/>
      <c r="I169" s="20"/>
      <c r="J169" s="19"/>
      <c r="K169" s="19"/>
    </row>
    <row r="170" spans="1:11" ht="14.25">
      <c r="A170" s="19"/>
      <c r="B170" s="31"/>
      <c r="C170" s="19"/>
      <c r="D170" s="19"/>
      <c r="E170" s="19"/>
      <c r="F170" s="20"/>
      <c r="G170" s="19"/>
      <c r="H170" s="19"/>
      <c r="I170" s="20"/>
      <c r="J170" s="19"/>
      <c r="K170" s="19"/>
    </row>
    <row r="171" spans="1:11" ht="14.25">
      <c r="A171" s="19"/>
      <c r="B171" s="31"/>
      <c r="C171" s="19"/>
      <c r="D171" s="19"/>
      <c r="E171" s="19"/>
      <c r="F171" s="20"/>
      <c r="G171" s="19"/>
      <c r="H171" s="19"/>
      <c r="I171" s="20"/>
      <c r="J171" s="19"/>
      <c r="K171" s="19"/>
    </row>
    <row r="172" spans="1:11" ht="14.25">
      <c r="A172" s="19"/>
      <c r="B172" s="31"/>
      <c r="C172" s="19"/>
      <c r="D172" s="19"/>
      <c r="E172" s="19"/>
      <c r="F172" s="20"/>
      <c r="G172" s="19"/>
      <c r="H172" s="19"/>
      <c r="I172" s="20"/>
      <c r="J172" s="19"/>
      <c r="K172" s="19"/>
    </row>
    <row r="173" spans="1:11" ht="14.25">
      <c r="A173" s="19"/>
      <c r="B173" s="31"/>
      <c r="C173" s="19"/>
      <c r="D173" s="19"/>
      <c r="E173" s="19"/>
      <c r="F173" s="20"/>
      <c r="G173" s="19"/>
      <c r="H173" s="19"/>
      <c r="I173" s="20"/>
      <c r="J173" s="19"/>
      <c r="K173" s="19"/>
    </row>
    <row r="174" spans="1:11" ht="14.25">
      <c r="A174" s="19"/>
      <c r="B174" s="31"/>
      <c r="C174" s="19"/>
      <c r="D174" s="19"/>
      <c r="E174" s="19"/>
      <c r="F174" s="20"/>
      <c r="G174" s="19"/>
      <c r="H174" s="19"/>
      <c r="I174" s="20"/>
      <c r="J174" s="19"/>
      <c r="K174" s="19"/>
    </row>
    <row r="175" spans="1:11" ht="14.25">
      <c r="A175" s="19"/>
      <c r="B175" s="31"/>
      <c r="C175" s="19"/>
      <c r="D175" s="19"/>
      <c r="E175" s="19"/>
      <c r="F175" s="20"/>
      <c r="G175" s="19"/>
      <c r="H175" s="19"/>
      <c r="I175" s="20"/>
      <c r="J175" s="19"/>
      <c r="K175" s="19"/>
    </row>
    <row r="176" spans="1:11" ht="14.25">
      <c r="A176" s="19"/>
      <c r="B176" s="31"/>
      <c r="C176" s="19"/>
      <c r="D176" s="19"/>
      <c r="E176" s="19"/>
      <c r="F176" s="20"/>
      <c r="G176" s="19"/>
      <c r="H176" s="19"/>
      <c r="I176" s="20"/>
      <c r="J176" s="19"/>
      <c r="K176" s="19"/>
    </row>
    <row r="177" spans="1:11" ht="14.25">
      <c r="A177" s="19"/>
      <c r="B177" s="31"/>
      <c r="C177" s="19"/>
      <c r="D177" s="19"/>
      <c r="E177" s="19"/>
      <c r="F177" s="20"/>
      <c r="G177" s="19"/>
      <c r="H177" s="19"/>
      <c r="I177" s="20"/>
      <c r="J177" s="19"/>
      <c r="K177" s="19"/>
    </row>
    <row r="178" spans="1:11" ht="14.25">
      <c r="A178" s="19"/>
      <c r="B178" s="31"/>
      <c r="C178" s="19"/>
      <c r="D178" s="19"/>
      <c r="E178" s="19"/>
      <c r="F178" s="20"/>
      <c r="G178" s="19"/>
      <c r="H178" s="19"/>
      <c r="I178" s="20"/>
      <c r="J178" s="19"/>
      <c r="K178" s="19"/>
    </row>
    <row r="179" spans="1:11" ht="14.25">
      <c r="A179" s="19"/>
      <c r="B179" s="31"/>
      <c r="C179" s="19"/>
      <c r="D179" s="19"/>
      <c r="E179" s="19"/>
      <c r="F179" s="20"/>
      <c r="G179" s="19"/>
      <c r="H179" s="19"/>
      <c r="I179" s="20"/>
      <c r="J179" s="19"/>
      <c r="K179" s="19"/>
    </row>
    <row r="180" spans="1:11" ht="14.25">
      <c r="A180" s="19"/>
      <c r="B180" s="31"/>
      <c r="C180" s="19"/>
      <c r="D180" s="19"/>
      <c r="E180" s="19"/>
      <c r="F180" s="20"/>
      <c r="G180" s="19"/>
      <c r="H180" s="19"/>
      <c r="I180" s="20"/>
      <c r="J180" s="19"/>
      <c r="K180" s="19"/>
    </row>
    <row r="181" spans="1:11" ht="14.25">
      <c r="A181" s="19"/>
      <c r="B181" s="31"/>
      <c r="C181" s="19"/>
      <c r="D181" s="19"/>
      <c r="E181" s="19"/>
      <c r="F181" s="20"/>
      <c r="G181" s="19"/>
      <c r="H181" s="19"/>
      <c r="I181" s="20"/>
      <c r="J181" s="19"/>
      <c r="K181" s="19"/>
    </row>
    <row r="182" spans="1:11" ht="14.25">
      <c r="A182" s="19"/>
      <c r="B182" s="31"/>
      <c r="C182" s="19"/>
      <c r="D182" s="19"/>
      <c r="E182" s="19"/>
      <c r="F182" s="20"/>
      <c r="G182" s="19"/>
      <c r="H182" s="19"/>
      <c r="I182" s="20"/>
      <c r="J182" s="19"/>
      <c r="K182" s="19"/>
    </row>
    <row r="183" spans="1:11" ht="14.25">
      <c r="A183" s="19"/>
      <c r="B183" s="31"/>
      <c r="C183" s="19"/>
      <c r="D183" s="19"/>
      <c r="E183" s="19"/>
      <c r="F183" s="20"/>
      <c r="G183" s="19"/>
      <c r="H183" s="19"/>
      <c r="I183" s="20"/>
      <c r="J183" s="19"/>
      <c r="K183" s="19"/>
    </row>
    <row r="184" spans="1:11" ht="14.25">
      <c r="A184" s="19"/>
      <c r="B184" s="31"/>
      <c r="C184" s="19"/>
      <c r="D184" s="19"/>
      <c r="E184" s="19"/>
      <c r="F184" s="20"/>
      <c r="G184" s="19"/>
      <c r="H184" s="19"/>
      <c r="I184" s="20"/>
      <c r="J184" s="19"/>
      <c r="K184" s="19"/>
    </row>
    <row r="185" spans="1:11" ht="14.25">
      <c r="A185" s="19"/>
      <c r="B185" s="31"/>
      <c r="C185" s="19"/>
      <c r="D185" s="19"/>
      <c r="E185" s="19"/>
      <c r="F185" s="20"/>
      <c r="G185" s="19"/>
      <c r="H185" s="19"/>
      <c r="I185" s="20"/>
      <c r="J185" s="19"/>
      <c r="K185" s="19"/>
    </row>
    <row r="186" spans="1:11" ht="14.25">
      <c r="A186" s="19"/>
      <c r="B186" s="31"/>
      <c r="C186" s="19"/>
      <c r="D186" s="19"/>
      <c r="E186" s="19"/>
      <c r="F186" s="20"/>
      <c r="G186" s="19"/>
      <c r="H186" s="19"/>
      <c r="I186" s="20"/>
      <c r="J186" s="19"/>
      <c r="K186" s="19"/>
    </row>
    <row r="187" spans="1:11" ht="14.25">
      <c r="A187" s="19"/>
      <c r="B187" s="31"/>
      <c r="C187" s="19"/>
      <c r="D187" s="19"/>
      <c r="E187" s="19"/>
      <c r="F187" s="20"/>
      <c r="G187" s="19"/>
      <c r="H187" s="19"/>
      <c r="I187" s="20"/>
      <c r="J187" s="19"/>
      <c r="K187" s="19"/>
    </row>
    <row r="188" spans="1:11" ht="14.25">
      <c r="A188" s="19"/>
      <c r="B188" s="31"/>
      <c r="C188" s="19"/>
      <c r="D188" s="19"/>
      <c r="E188" s="19"/>
      <c r="F188" s="20"/>
      <c r="G188" s="19"/>
      <c r="H188" s="19"/>
      <c r="I188" s="20"/>
      <c r="J188" s="19"/>
      <c r="K188" s="19"/>
    </row>
    <row r="189" spans="1:11" ht="14.25">
      <c r="A189" s="19"/>
      <c r="B189" s="31"/>
      <c r="C189" s="19"/>
      <c r="D189" s="19"/>
      <c r="E189" s="19"/>
      <c r="F189" s="20"/>
      <c r="G189" s="19"/>
      <c r="H189" s="19"/>
      <c r="I189" s="20"/>
      <c r="J189" s="19"/>
      <c r="K189" s="19"/>
    </row>
    <row r="190" spans="1:11" ht="14.25">
      <c r="A190" s="19"/>
      <c r="B190" s="31"/>
      <c r="C190" s="19"/>
      <c r="D190" s="19"/>
      <c r="E190" s="19"/>
      <c r="F190" s="20"/>
      <c r="G190" s="19"/>
      <c r="H190" s="19"/>
      <c r="I190" s="20"/>
      <c r="J190" s="19"/>
      <c r="K190" s="19"/>
    </row>
    <row r="191" spans="1:11" ht="14.25">
      <c r="A191" s="19"/>
      <c r="B191" s="31"/>
      <c r="C191" s="19"/>
      <c r="D191" s="19"/>
      <c r="E191" s="19"/>
      <c r="F191" s="20"/>
      <c r="G191" s="19"/>
      <c r="H191" s="19"/>
      <c r="I191" s="20"/>
      <c r="J191" s="19"/>
      <c r="K191" s="19"/>
    </row>
    <row r="192" spans="1:11" ht="14.25">
      <c r="A192" s="19"/>
      <c r="B192" s="31"/>
      <c r="C192" s="19"/>
      <c r="D192" s="19"/>
      <c r="E192" s="19"/>
      <c r="F192" s="20"/>
      <c r="G192" s="19"/>
      <c r="H192" s="19"/>
      <c r="I192" s="20"/>
      <c r="J192" s="19"/>
      <c r="K192" s="19"/>
    </row>
    <row r="193" spans="1:11" ht="14.25">
      <c r="A193" s="19"/>
      <c r="B193" s="31"/>
      <c r="C193" s="19"/>
      <c r="D193" s="19"/>
      <c r="E193" s="19"/>
      <c r="F193" s="20"/>
      <c r="G193" s="19"/>
      <c r="H193" s="19"/>
      <c r="I193" s="20"/>
      <c r="J193" s="19"/>
      <c r="K193" s="19"/>
    </row>
    <row r="194" spans="1:11" ht="14.25">
      <c r="A194" s="19"/>
      <c r="B194" s="31"/>
      <c r="C194" s="19"/>
      <c r="D194" s="19"/>
      <c r="E194" s="19"/>
      <c r="F194" s="20"/>
      <c r="G194" s="19"/>
      <c r="H194" s="19"/>
      <c r="I194" s="20"/>
      <c r="J194" s="19"/>
      <c r="K194" s="19"/>
    </row>
    <row r="195" spans="1:11" ht="14.25">
      <c r="A195" s="19"/>
      <c r="B195" s="31"/>
      <c r="C195" s="19"/>
      <c r="D195" s="19"/>
      <c r="E195" s="19"/>
      <c r="F195" s="20"/>
      <c r="G195" s="19"/>
      <c r="H195" s="19"/>
      <c r="I195" s="20"/>
      <c r="J195" s="19"/>
      <c r="K195" s="19"/>
    </row>
    <row r="196" spans="1:11" ht="14.25">
      <c r="A196" s="19"/>
      <c r="B196" s="31"/>
      <c r="C196" s="19"/>
      <c r="D196" s="19"/>
      <c r="E196" s="19"/>
      <c r="F196" s="20"/>
      <c r="G196" s="19"/>
      <c r="H196" s="19"/>
      <c r="I196" s="20"/>
      <c r="J196" s="19"/>
      <c r="K196" s="19"/>
    </row>
    <row r="197" spans="1:11" ht="14.25">
      <c r="A197" s="19"/>
      <c r="B197" s="31"/>
      <c r="C197" s="19"/>
      <c r="D197" s="19"/>
      <c r="E197" s="19"/>
      <c r="F197" s="20"/>
      <c r="G197" s="19"/>
      <c r="H197" s="19"/>
      <c r="I197" s="20"/>
      <c r="J197" s="19"/>
      <c r="K197" s="19"/>
    </row>
    <row r="198" spans="1:11" ht="14.25">
      <c r="A198" s="19"/>
      <c r="B198" s="31"/>
      <c r="C198" s="19"/>
      <c r="D198" s="19"/>
      <c r="E198" s="19"/>
      <c r="F198" s="20"/>
      <c r="G198" s="19"/>
      <c r="H198" s="19"/>
      <c r="I198" s="20"/>
      <c r="J198" s="19"/>
      <c r="K198" s="19"/>
    </row>
    <row r="199" spans="1:11" ht="14.25">
      <c r="A199" s="19"/>
      <c r="B199" s="31"/>
      <c r="C199" s="19"/>
      <c r="D199" s="19"/>
      <c r="E199" s="19"/>
      <c r="F199" s="20"/>
      <c r="G199" s="19"/>
      <c r="H199" s="19"/>
      <c r="I199" s="20"/>
      <c r="J199" s="19"/>
      <c r="K199" s="19"/>
    </row>
    <row r="200" spans="1:11" ht="14.25">
      <c r="A200" s="19"/>
      <c r="B200" s="31"/>
      <c r="C200" s="19"/>
      <c r="D200" s="19"/>
      <c r="E200" s="19"/>
      <c r="F200" s="20"/>
      <c r="G200" s="19"/>
      <c r="H200" s="19"/>
      <c r="I200" s="20"/>
      <c r="J200" s="19"/>
      <c r="K200" s="19"/>
    </row>
    <row r="201" spans="1:11" ht="14.25">
      <c r="A201" s="19"/>
      <c r="B201" s="31"/>
      <c r="C201" s="19"/>
      <c r="D201" s="19"/>
      <c r="E201" s="19"/>
      <c r="F201" s="20"/>
      <c r="G201" s="19"/>
      <c r="H201" s="19"/>
      <c r="I201" s="20"/>
      <c r="J201" s="19"/>
      <c r="K201" s="19"/>
    </row>
    <row r="202" spans="1:11" ht="14.25">
      <c r="A202" s="19"/>
      <c r="B202" s="31"/>
      <c r="C202" s="19"/>
      <c r="D202" s="19"/>
      <c r="E202" s="19"/>
      <c r="F202" s="20"/>
      <c r="G202" s="19"/>
      <c r="H202" s="19"/>
      <c r="I202" s="20"/>
      <c r="J202" s="19"/>
      <c r="K202" s="19"/>
    </row>
    <row r="203" spans="1:11" ht="14.25">
      <c r="A203" s="19"/>
      <c r="B203" s="31"/>
      <c r="C203" s="19"/>
      <c r="D203" s="19"/>
      <c r="E203" s="19"/>
      <c r="F203" s="20"/>
      <c r="G203" s="19"/>
      <c r="H203" s="19"/>
      <c r="I203" s="20"/>
      <c r="J203" s="19"/>
      <c r="K203" s="19"/>
    </row>
    <row r="204" spans="1:11" ht="14.25">
      <c r="A204" s="19"/>
      <c r="B204" s="31"/>
      <c r="C204" s="19"/>
      <c r="D204" s="19"/>
      <c r="E204" s="19"/>
      <c r="F204" s="20"/>
      <c r="G204" s="19"/>
      <c r="H204" s="19"/>
      <c r="I204" s="20"/>
      <c r="J204" s="19"/>
      <c r="K204" s="19"/>
    </row>
    <row r="205" spans="1:11" ht="14.25">
      <c r="A205" s="19"/>
      <c r="B205" s="31"/>
      <c r="C205" s="19"/>
      <c r="D205" s="19"/>
      <c r="E205" s="19"/>
      <c r="F205" s="20"/>
      <c r="G205" s="19"/>
      <c r="H205" s="19"/>
      <c r="I205" s="20"/>
      <c r="J205" s="19"/>
      <c r="K205" s="19"/>
    </row>
    <row r="206" spans="1:11" ht="14.25">
      <c r="A206" s="19"/>
      <c r="B206" s="31"/>
      <c r="C206" s="19"/>
      <c r="D206" s="19"/>
      <c r="E206" s="19"/>
      <c r="F206" s="20"/>
      <c r="G206" s="19"/>
      <c r="H206" s="19"/>
      <c r="I206" s="20"/>
      <c r="J206" s="19"/>
      <c r="K206" s="19"/>
    </row>
    <row r="207" spans="1:11" ht="14.25">
      <c r="A207" s="19"/>
      <c r="B207" s="31"/>
      <c r="C207" s="19"/>
      <c r="D207" s="19"/>
      <c r="E207" s="19"/>
      <c r="F207" s="20"/>
      <c r="G207" s="19"/>
      <c r="H207" s="19"/>
      <c r="I207" s="20"/>
      <c r="J207" s="19"/>
      <c r="K207" s="19"/>
    </row>
    <row r="208" spans="1:11" ht="14.25">
      <c r="A208" s="19"/>
      <c r="B208" s="31"/>
      <c r="C208" s="19"/>
      <c r="D208" s="19"/>
      <c r="E208" s="19"/>
      <c r="F208" s="20"/>
      <c r="G208" s="19"/>
      <c r="H208" s="19"/>
      <c r="I208" s="20"/>
      <c r="J208" s="19"/>
      <c r="K208" s="19"/>
    </row>
    <row r="209" spans="1:11" ht="14.25">
      <c r="A209" s="19"/>
      <c r="B209" s="31"/>
      <c r="C209" s="19"/>
      <c r="D209" s="19"/>
      <c r="E209" s="19"/>
      <c r="F209" s="20"/>
      <c r="G209" s="19"/>
      <c r="H209" s="19"/>
      <c r="I209" s="20"/>
      <c r="J209" s="19"/>
      <c r="K209" s="19"/>
    </row>
    <row r="210" spans="1:11" ht="14.25">
      <c r="A210" s="19"/>
      <c r="B210" s="31"/>
      <c r="C210" s="19"/>
      <c r="D210" s="19"/>
      <c r="E210" s="19"/>
      <c r="F210" s="20"/>
      <c r="G210" s="19"/>
      <c r="H210" s="19"/>
      <c r="I210" s="20"/>
      <c r="J210" s="19"/>
      <c r="K210" s="19"/>
    </row>
    <row r="211" spans="1:11" ht="14.25">
      <c r="A211" s="19"/>
      <c r="B211" s="31"/>
      <c r="C211" s="19"/>
      <c r="D211" s="19"/>
      <c r="E211" s="19"/>
      <c r="F211" s="20"/>
      <c r="G211" s="19"/>
      <c r="H211" s="19"/>
      <c r="I211" s="20"/>
      <c r="J211" s="19"/>
      <c r="K211" s="19"/>
    </row>
    <row r="212" spans="1:11" ht="14.25">
      <c r="A212" s="19"/>
      <c r="B212" s="31"/>
      <c r="C212" s="19"/>
      <c r="D212" s="19"/>
      <c r="E212" s="19"/>
      <c r="F212" s="20"/>
      <c r="G212" s="19"/>
      <c r="H212" s="19"/>
      <c r="I212" s="20"/>
      <c r="J212" s="19"/>
      <c r="K212" s="19"/>
    </row>
    <row r="213" spans="1:11" ht="14.25">
      <c r="A213" s="19"/>
      <c r="B213" s="31"/>
      <c r="C213" s="19"/>
      <c r="D213" s="19"/>
      <c r="E213" s="19"/>
      <c r="F213" s="20"/>
      <c r="G213" s="19"/>
      <c r="H213" s="19"/>
      <c r="I213" s="20"/>
      <c r="J213" s="19"/>
      <c r="K213" s="19"/>
    </row>
    <row r="214" spans="1:11" ht="14.25">
      <c r="A214" s="19"/>
      <c r="B214" s="31"/>
      <c r="C214" s="19"/>
      <c r="D214" s="19"/>
      <c r="E214" s="19"/>
      <c r="F214" s="20"/>
      <c r="G214" s="19"/>
      <c r="H214" s="19"/>
      <c r="I214" s="20"/>
      <c r="J214" s="19"/>
      <c r="K214" s="19"/>
    </row>
    <row r="215" spans="1:11" ht="14.25">
      <c r="A215" s="19"/>
      <c r="B215" s="31"/>
      <c r="C215" s="19"/>
      <c r="D215" s="19"/>
      <c r="E215" s="19"/>
      <c r="F215" s="20"/>
      <c r="G215" s="19"/>
      <c r="H215" s="19"/>
      <c r="I215" s="20"/>
      <c r="J215" s="19"/>
      <c r="K215" s="19"/>
    </row>
    <row r="216" spans="1:11" ht="14.25">
      <c r="A216" s="19"/>
      <c r="B216" s="31"/>
      <c r="C216" s="19"/>
      <c r="D216" s="19"/>
      <c r="E216" s="19"/>
      <c r="F216" s="20"/>
      <c r="G216" s="19"/>
      <c r="H216" s="19"/>
      <c r="I216" s="20"/>
      <c r="J216" s="19"/>
      <c r="K216" s="19"/>
    </row>
    <row r="217" spans="1:11" ht="14.25">
      <c r="A217" s="19"/>
      <c r="B217" s="31"/>
      <c r="C217" s="19"/>
      <c r="D217" s="19"/>
      <c r="E217" s="19"/>
      <c r="F217" s="20"/>
      <c r="G217" s="19"/>
      <c r="H217" s="19"/>
      <c r="I217" s="20"/>
      <c r="J217" s="19"/>
      <c r="K217" s="19"/>
    </row>
    <row r="218" spans="1:11" ht="14.25">
      <c r="A218" s="19"/>
      <c r="B218" s="31"/>
      <c r="C218" s="19"/>
      <c r="D218" s="19"/>
      <c r="E218" s="19"/>
      <c r="F218" s="20"/>
      <c r="G218" s="19"/>
      <c r="H218" s="19"/>
      <c r="I218" s="20"/>
      <c r="J218" s="19"/>
      <c r="K218" s="19"/>
    </row>
    <row r="219" spans="1:11" ht="14.25">
      <c r="A219" s="19"/>
      <c r="B219" s="31"/>
      <c r="C219" s="19"/>
      <c r="D219" s="19"/>
      <c r="E219" s="19"/>
      <c r="F219" s="20"/>
      <c r="G219" s="19"/>
      <c r="H219" s="19"/>
      <c r="I219" s="20"/>
      <c r="J219" s="19"/>
      <c r="K219" s="19"/>
    </row>
    <row r="220" spans="1:11" ht="14.25">
      <c r="A220" s="19"/>
      <c r="B220" s="31"/>
      <c r="C220" s="19"/>
      <c r="D220" s="19"/>
      <c r="E220" s="19"/>
      <c r="F220" s="20"/>
      <c r="G220" s="19"/>
      <c r="H220" s="19"/>
      <c r="I220" s="20"/>
      <c r="J220" s="19"/>
      <c r="K220" s="19"/>
    </row>
    <row r="221" spans="1:11" ht="14.25">
      <c r="A221" s="19"/>
      <c r="B221" s="31"/>
      <c r="C221" s="19"/>
      <c r="D221" s="19"/>
      <c r="E221" s="19"/>
      <c r="F221" s="20"/>
      <c r="G221" s="19"/>
      <c r="H221" s="19"/>
      <c r="I221" s="20"/>
      <c r="J221" s="19"/>
      <c r="K221" s="19"/>
    </row>
    <row r="222" spans="1:11" ht="14.25">
      <c r="A222" s="19"/>
      <c r="B222" s="31"/>
      <c r="C222" s="19"/>
      <c r="D222" s="19"/>
      <c r="E222" s="19"/>
      <c r="F222" s="20"/>
      <c r="G222" s="19"/>
      <c r="H222" s="19"/>
      <c r="I222" s="20"/>
      <c r="J222" s="19"/>
      <c r="K222" s="19"/>
    </row>
    <row r="223" spans="1:11" ht="14.25">
      <c r="A223" s="19"/>
      <c r="B223" s="31"/>
      <c r="C223" s="19"/>
      <c r="D223" s="19"/>
      <c r="E223" s="19"/>
      <c r="F223" s="20"/>
      <c r="G223" s="19"/>
      <c r="H223" s="19"/>
      <c r="I223" s="20"/>
      <c r="J223" s="19"/>
      <c r="K223" s="19"/>
    </row>
    <row r="224" spans="1:11" ht="14.25">
      <c r="A224" s="19"/>
      <c r="B224" s="31"/>
      <c r="C224" s="19"/>
      <c r="D224" s="19"/>
      <c r="E224" s="19"/>
      <c r="F224" s="20"/>
      <c r="G224" s="19"/>
      <c r="H224" s="19"/>
      <c r="I224" s="20"/>
      <c r="J224" s="19"/>
      <c r="K224" s="19"/>
    </row>
    <row r="225" spans="1:11" ht="14.25">
      <c r="A225" s="19"/>
      <c r="B225" s="31"/>
      <c r="C225" s="19"/>
      <c r="D225" s="19"/>
      <c r="E225" s="19"/>
      <c r="F225" s="20"/>
      <c r="G225" s="19"/>
      <c r="H225" s="19"/>
      <c r="I225" s="20"/>
      <c r="J225" s="19"/>
      <c r="K225" s="19"/>
    </row>
    <row r="226" spans="1:11" ht="14.25">
      <c r="A226" s="19"/>
      <c r="B226" s="31"/>
      <c r="C226" s="19"/>
      <c r="D226" s="19"/>
      <c r="E226" s="19"/>
      <c r="F226" s="20"/>
      <c r="G226" s="19"/>
      <c r="H226" s="19"/>
      <c r="I226" s="20"/>
      <c r="J226" s="19"/>
      <c r="K226" s="19"/>
    </row>
    <row r="227" spans="1:11" ht="14.25">
      <c r="A227" s="19"/>
      <c r="B227" s="31"/>
      <c r="C227" s="19"/>
      <c r="D227" s="19"/>
      <c r="E227" s="19"/>
      <c r="F227" s="20"/>
      <c r="G227" s="19"/>
      <c r="H227" s="19"/>
      <c r="I227" s="20"/>
      <c r="J227" s="19"/>
      <c r="K227" s="19"/>
    </row>
    <row r="228" spans="1:11" ht="14.25">
      <c r="A228" s="19"/>
      <c r="B228" s="31"/>
      <c r="C228" s="19"/>
      <c r="D228" s="19"/>
      <c r="E228" s="19"/>
      <c r="F228" s="20"/>
      <c r="G228" s="19"/>
      <c r="H228" s="19"/>
      <c r="I228" s="20"/>
      <c r="J228" s="19"/>
      <c r="K228" s="19"/>
    </row>
    <row r="229" spans="1:11" ht="14.25">
      <c r="A229" s="19"/>
      <c r="B229" s="31"/>
      <c r="C229" s="19"/>
      <c r="D229" s="19"/>
      <c r="E229" s="19"/>
      <c r="F229" s="20"/>
      <c r="G229" s="19"/>
      <c r="H229" s="19"/>
      <c r="I229" s="20"/>
      <c r="J229" s="19"/>
      <c r="K229" s="19"/>
    </row>
    <row r="230" spans="1:11" ht="14.25">
      <c r="A230" s="19"/>
      <c r="B230" s="31"/>
      <c r="C230" s="19"/>
      <c r="D230" s="19"/>
      <c r="E230" s="19"/>
      <c r="F230" s="20"/>
      <c r="G230" s="19"/>
      <c r="H230" s="19"/>
      <c r="I230" s="20"/>
      <c r="J230" s="19"/>
      <c r="K230" s="19"/>
    </row>
    <row r="231" spans="1:11" ht="14.25">
      <c r="A231" s="19"/>
      <c r="B231" s="31"/>
      <c r="C231" s="19"/>
      <c r="D231" s="19"/>
      <c r="E231" s="19"/>
      <c r="F231" s="20"/>
      <c r="G231" s="19"/>
      <c r="H231" s="19"/>
      <c r="I231" s="20"/>
      <c r="J231" s="19"/>
      <c r="K231" s="19"/>
    </row>
    <row r="232" spans="1:11" ht="14.25">
      <c r="A232" s="19"/>
      <c r="B232" s="31"/>
      <c r="C232" s="19"/>
      <c r="D232" s="19"/>
      <c r="E232" s="19"/>
      <c r="F232" s="20"/>
      <c r="G232" s="19"/>
      <c r="H232" s="19"/>
      <c r="I232" s="20"/>
      <c r="J232" s="19"/>
      <c r="K232" s="19"/>
    </row>
    <row r="233" spans="1:11" ht="14.25">
      <c r="A233" s="19"/>
      <c r="B233" s="31"/>
      <c r="C233" s="19"/>
      <c r="D233" s="19"/>
      <c r="E233" s="19"/>
      <c r="F233" s="20"/>
      <c r="G233" s="19"/>
      <c r="H233" s="19"/>
      <c r="I233" s="20"/>
      <c r="J233" s="19"/>
      <c r="K233" s="19"/>
    </row>
    <row r="234" spans="1:11" ht="14.25">
      <c r="A234" s="19"/>
      <c r="B234" s="31"/>
      <c r="C234" s="19"/>
      <c r="D234" s="19"/>
      <c r="E234" s="19"/>
      <c r="F234" s="20"/>
      <c r="G234" s="19"/>
      <c r="H234" s="19"/>
      <c r="I234" s="20"/>
      <c r="J234" s="19"/>
      <c r="K234" s="19"/>
    </row>
    <row r="235" spans="1:11" ht="14.25">
      <c r="A235" s="19"/>
      <c r="B235" s="31"/>
      <c r="C235" s="19"/>
      <c r="D235" s="19"/>
      <c r="E235" s="19"/>
      <c r="F235" s="20"/>
      <c r="G235" s="19"/>
      <c r="H235" s="19"/>
      <c r="I235" s="20"/>
      <c r="J235" s="19"/>
      <c r="K235" s="19"/>
    </row>
    <row r="236" spans="1:11" ht="14.25">
      <c r="A236" s="19"/>
      <c r="B236" s="31"/>
      <c r="C236" s="19"/>
      <c r="D236" s="19"/>
      <c r="E236" s="19"/>
      <c r="F236" s="20"/>
      <c r="G236" s="19"/>
      <c r="H236" s="19"/>
      <c r="I236" s="20"/>
      <c r="J236" s="19"/>
      <c r="K236" s="19"/>
    </row>
    <row r="237" spans="1:11" ht="14.25">
      <c r="A237" s="19"/>
      <c r="B237" s="31"/>
      <c r="C237" s="19"/>
      <c r="D237" s="19"/>
      <c r="E237" s="19"/>
      <c r="F237" s="20"/>
      <c r="G237" s="19"/>
      <c r="H237" s="19"/>
      <c r="I237" s="20"/>
      <c r="J237" s="19"/>
      <c r="K237" s="19"/>
    </row>
    <row r="238" spans="1:11" ht="14.25">
      <c r="A238" s="19"/>
      <c r="B238" s="31"/>
      <c r="C238" s="19"/>
      <c r="D238" s="19"/>
      <c r="E238" s="19"/>
      <c r="F238" s="20"/>
      <c r="G238" s="19"/>
      <c r="H238" s="19"/>
      <c r="I238" s="20"/>
      <c r="J238" s="19"/>
      <c r="K238" s="19"/>
    </row>
    <row r="239" spans="1:11" ht="14.25">
      <c r="A239" s="19"/>
      <c r="B239" s="31"/>
      <c r="C239" s="19"/>
      <c r="D239" s="19"/>
      <c r="E239" s="19"/>
      <c r="F239" s="20"/>
      <c r="G239" s="19"/>
      <c r="H239" s="19"/>
      <c r="I239" s="20"/>
      <c r="J239" s="19"/>
      <c r="K239" s="19"/>
    </row>
    <row r="240" spans="1:11" ht="14.25">
      <c r="A240" s="19"/>
      <c r="B240" s="31"/>
      <c r="C240" s="19"/>
      <c r="D240" s="19"/>
      <c r="E240" s="19"/>
      <c r="F240" s="20"/>
      <c r="G240" s="19"/>
      <c r="H240" s="19"/>
      <c r="I240" s="20"/>
      <c r="J240" s="19"/>
      <c r="K240" s="19"/>
    </row>
    <row r="241" spans="1:11" ht="14.25">
      <c r="A241" s="19"/>
      <c r="B241" s="31"/>
      <c r="C241" s="19"/>
      <c r="D241" s="19"/>
      <c r="E241" s="19"/>
      <c r="F241" s="20"/>
      <c r="G241" s="19"/>
      <c r="H241" s="19"/>
      <c r="I241" s="20"/>
      <c r="J241" s="19"/>
      <c r="K241" s="19"/>
    </row>
    <row r="242" spans="1:11" ht="14.25">
      <c r="A242" s="19"/>
      <c r="B242" s="31"/>
      <c r="C242" s="19"/>
      <c r="D242" s="19"/>
      <c r="E242" s="19"/>
      <c r="F242" s="20"/>
      <c r="G242" s="19"/>
      <c r="H242" s="19"/>
      <c r="I242" s="20"/>
      <c r="J242" s="19"/>
      <c r="K242" s="19"/>
    </row>
    <row r="243" spans="1:11" ht="14.25">
      <c r="A243" s="19"/>
      <c r="B243" s="31"/>
      <c r="C243" s="19"/>
      <c r="D243" s="19"/>
      <c r="E243" s="19"/>
      <c r="F243" s="20"/>
      <c r="G243" s="19"/>
      <c r="H243" s="19"/>
      <c r="I243" s="20"/>
      <c r="J243" s="19"/>
      <c r="K243" s="19"/>
    </row>
    <row r="244" spans="1:11" ht="14.25">
      <c r="A244" s="19"/>
      <c r="B244" s="31"/>
      <c r="C244" s="19"/>
      <c r="D244" s="19"/>
      <c r="E244" s="19"/>
      <c r="F244" s="20"/>
      <c r="G244" s="19"/>
      <c r="H244" s="19"/>
      <c r="I244" s="20"/>
      <c r="J244" s="19"/>
      <c r="K244" s="19"/>
    </row>
    <row r="245" spans="1:11" ht="14.25">
      <c r="A245" s="19"/>
      <c r="B245" s="31"/>
      <c r="C245" s="19"/>
      <c r="D245" s="19"/>
      <c r="E245" s="19"/>
      <c r="F245" s="20"/>
      <c r="G245" s="19"/>
      <c r="H245" s="19"/>
      <c r="I245" s="20"/>
      <c r="J245" s="19"/>
      <c r="K245" s="19"/>
    </row>
    <row r="246" spans="1:11" ht="14.25">
      <c r="A246" s="19"/>
      <c r="B246" s="31"/>
      <c r="C246" s="19"/>
      <c r="D246" s="19"/>
      <c r="E246" s="19"/>
      <c r="F246" s="20"/>
      <c r="G246" s="19"/>
      <c r="H246" s="19"/>
      <c r="I246" s="20"/>
      <c r="J246" s="19"/>
      <c r="K246" s="19"/>
    </row>
    <row r="247" spans="1:11" ht="14.25">
      <c r="A247" s="19"/>
      <c r="B247" s="31"/>
      <c r="C247" s="19"/>
      <c r="D247" s="19"/>
      <c r="E247" s="19"/>
      <c r="F247" s="20"/>
      <c r="G247" s="19"/>
      <c r="H247" s="19"/>
      <c r="I247" s="20"/>
      <c r="J247" s="19"/>
      <c r="K247" s="19"/>
    </row>
    <row r="248" spans="1:11" ht="14.25">
      <c r="A248" s="19"/>
      <c r="B248" s="31"/>
      <c r="C248" s="19"/>
      <c r="D248" s="19"/>
      <c r="E248" s="19"/>
      <c r="F248" s="20"/>
      <c r="G248" s="19"/>
      <c r="H248" s="19"/>
      <c r="I248" s="20"/>
      <c r="J248" s="19"/>
      <c r="K248" s="19"/>
    </row>
    <row r="249" spans="1:11" ht="14.25">
      <c r="A249" s="19"/>
      <c r="B249" s="31"/>
      <c r="C249" s="19"/>
      <c r="D249" s="19"/>
      <c r="E249" s="19"/>
      <c r="F249" s="20"/>
      <c r="G249" s="19"/>
      <c r="H249" s="19"/>
      <c r="I249" s="20"/>
      <c r="J249" s="19"/>
      <c r="K249" s="19"/>
    </row>
    <row r="250" spans="1:11" ht="14.25">
      <c r="A250" s="19"/>
      <c r="B250" s="31"/>
      <c r="C250" s="19"/>
      <c r="D250" s="19"/>
      <c r="E250" s="19"/>
      <c r="F250" s="20"/>
      <c r="G250" s="19"/>
      <c r="H250" s="19"/>
      <c r="I250" s="20"/>
      <c r="J250" s="19"/>
      <c r="K250" s="19"/>
    </row>
    <row r="251" spans="1:11" ht="14.25">
      <c r="A251" s="19"/>
      <c r="B251" s="31"/>
      <c r="C251" s="19"/>
      <c r="D251" s="19"/>
      <c r="E251" s="19"/>
      <c r="F251" s="20"/>
      <c r="G251" s="19"/>
      <c r="H251" s="19"/>
      <c r="I251" s="20"/>
      <c r="J251" s="19"/>
      <c r="K251" s="19"/>
    </row>
    <row r="252" spans="1:11" ht="14.25">
      <c r="A252" s="19"/>
      <c r="B252" s="31"/>
      <c r="C252" s="19"/>
      <c r="D252" s="19"/>
      <c r="E252" s="19"/>
      <c r="F252" s="20"/>
      <c r="G252" s="19"/>
      <c r="H252" s="19"/>
      <c r="I252" s="20"/>
      <c r="J252" s="19"/>
      <c r="K252" s="19"/>
    </row>
    <row r="253" spans="1:11" ht="14.25">
      <c r="A253" s="19"/>
      <c r="B253" s="31"/>
      <c r="C253" s="19"/>
      <c r="D253" s="19"/>
      <c r="E253" s="19"/>
      <c r="F253" s="20"/>
      <c r="G253" s="19"/>
      <c r="H253" s="19"/>
      <c r="I253" s="20"/>
      <c r="J253" s="19"/>
      <c r="K253" s="19"/>
    </row>
    <row r="254" spans="1:11" ht="14.25">
      <c r="A254" s="19"/>
      <c r="B254" s="31"/>
      <c r="C254" s="19"/>
      <c r="D254" s="19"/>
      <c r="E254" s="19"/>
      <c r="F254" s="20"/>
      <c r="G254" s="19"/>
      <c r="H254" s="19"/>
      <c r="I254" s="20"/>
      <c r="J254" s="19"/>
      <c r="K254" s="19"/>
    </row>
    <row r="255" spans="1:11" ht="14.25">
      <c r="A255" s="19"/>
      <c r="B255" s="31"/>
      <c r="C255" s="19"/>
      <c r="D255" s="19"/>
      <c r="E255" s="19"/>
      <c r="F255" s="20"/>
      <c r="G255" s="19"/>
      <c r="H255" s="19"/>
      <c r="I255" s="20"/>
      <c r="J255" s="19"/>
      <c r="K255" s="19"/>
    </row>
    <row r="256" spans="1:11" ht="14.25">
      <c r="A256" s="19"/>
      <c r="B256" s="31"/>
      <c r="C256" s="19"/>
      <c r="D256" s="19"/>
      <c r="E256" s="19"/>
      <c r="F256" s="20"/>
      <c r="G256" s="19"/>
      <c r="H256" s="19"/>
      <c r="I256" s="20"/>
      <c r="J256" s="19"/>
      <c r="K256" s="19"/>
    </row>
    <row r="257" spans="1:11" ht="14.25">
      <c r="A257" s="19"/>
      <c r="B257" s="31"/>
      <c r="C257" s="19"/>
      <c r="D257" s="19"/>
      <c r="E257" s="19"/>
      <c r="F257" s="20"/>
      <c r="G257" s="19"/>
      <c r="H257" s="19"/>
      <c r="I257" s="20"/>
      <c r="J257" s="19"/>
      <c r="K257" s="19"/>
    </row>
    <row r="258" spans="1:11" ht="14.25">
      <c r="A258" s="19"/>
      <c r="B258" s="31"/>
      <c r="C258" s="19"/>
      <c r="D258" s="19"/>
      <c r="E258" s="19"/>
      <c r="F258" s="20"/>
      <c r="G258" s="19"/>
      <c r="H258" s="19"/>
      <c r="I258" s="20"/>
      <c r="J258" s="19"/>
      <c r="K258" s="19"/>
    </row>
    <row r="259" spans="1:11" ht="14.25">
      <c r="A259" s="19"/>
      <c r="B259" s="31"/>
      <c r="C259" s="19"/>
      <c r="D259" s="19"/>
      <c r="E259" s="19"/>
      <c r="F259" s="20"/>
      <c r="G259" s="19"/>
      <c r="H259" s="19"/>
      <c r="I259" s="20"/>
      <c r="J259" s="19"/>
      <c r="K259" s="19"/>
    </row>
    <row r="260" spans="1:11" ht="14.25">
      <c r="A260" s="19"/>
      <c r="B260" s="31"/>
      <c r="C260" s="19"/>
      <c r="D260" s="19"/>
      <c r="E260" s="19"/>
      <c r="F260" s="20"/>
      <c r="G260" s="19"/>
      <c r="H260" s="19"/>
      <c r="I260" s="20"/>
      <c r="J260" s="19"/>
      <c r="K260" s="19"/>
    </row>
    <row r="261" spans="1:11" ht="14.25">
      <c r="A261" s="19"/>
      <c r="B261" s="31"/>
      <c r="C261" s="19"/>
      <c r="D261" s="19"/>
      <c r="E261" s="19"/>
      <c r="F261" s="20"/>
      <c r="G261" s="19"/>
      <c r="H261" s="19"/>
      <c r="I261" s="20"/>
      <c r="J261" s="19"/>
      <c r="K261" s="19"/>
    </row>
    <row r="262" spans="1:11" ht="14.25">
      <c r="A262" s="19"/>
      <c r="B262" s="31"/>
      <c r="C262" s="19"/>
      <c r="D262" s="19"/>
      <c r="E262" s="19"/>
      <c r="F262" s="20"/>
      <c r="G262" s="19"/>
      <c r="H262" s="19"/>
      <c r="I262" s="20"/>
      <c r="J262" s="19"/>
      <c r="K262" s="19"/>
    </row>
    <row r="263" spans="1:11" ht="14.25">
      <c r="A263" s="19"/>
      <c r="B263" s="31"/>
      <c r="C263" s="19"/>
      <c r="D263" s="19"/>
      <c r="E263" s="19"/>
      <c r="F263" s="20"/>
      <c r="G263" s="19"/>
      <c r="H263" s="19"/>
      <c r="I263" s="20"/>
      <c r="J263" s="19"/>
      <c r="K263" s="19"/>
    </row>
    <row r="264" spans="1:11" ht="14.25">
      <c r="A264" s="19"/>
      <c r="B264" s="31"/>
      <c r="C264" s="19"/>
      <c r="D264" s="19"/>
      <c r="E264" s="19"/>
      <c r="F264" s="20"/>
      <c r="G264" s="19"/>
      <c r="H264" s="19"/>
      <c r="I264" s="20"/>
      <c r="J264" s="19"/>
      <c r="K264" s="19"/>
    </row>
    <row r="265" spans="1:11" ht="14.25">
      <c r="A265" s="19"/>
      <c r="B265" s="31"/>
      <c r="C265" s="19"/>
      <c r="D265" s="19"/>
      <c r="E265" s="19"/>
      <c r="F265" s="20"/>
      <c r="G265" s="19"/>
      <c r="H265" s="19"/>
      <c r="I265" s="20"/>
      <c r="J265" s="19"/>
      <c r="K265" s="19"/>
    </row>
    <row r="266" spans="1:11" ht="14.25">
      <c r="A266" s="19"/>
      <c r="B266" s="31"/>
      <c r="C266" s="19"/>
      <c r="D266" s="19"/>
      <c r="E266" s="19"/>
      <c r="F266" s="20"/>
      <c r="G266" s="19"/>
      <c r="H266" s="19"/>
      <c r="I266" s="20"/>
      <c r="J266" s="19"/>
      <c r="K266" s="19"/>
    </row>
    <row r="267" spans="1:11" ht="14.25">
      <c r="A267" s="19"/>
      <c r="B267" s="31"/>
      <c r="C267" s="19"/>
      <c r="D267" s="19"/>
      <c r="E267" s="19"/>
      <c r="F267" s="20"/>
      <c r="G267" s="19"/>
      <c r="H267" s="19"/>
      <c r="I267" s="20"/>
      <c r="J267" s="19"/>
      <c r="K267" s="19"/>
    </row>
    <row r="268" spans="1:11" ht="14.25">
      <c r="A268" s="19"/>
      <c r="B268" s="31"/>
      <c r="C268" s="19"/>
      <c r="D268" s="19"/>
      <c r="E268" s="19"/>
      <c r="F268" s="20"/>
      <c r="G268" s="19"/>
      <c r="H268" s="19"/>
      <c r="I268" s="20"/>
      <c r="J268" s="19"/>
      <c r="K268" s="19"/>
    </row>
    <row r="269" spans="1:11" ht="14.25">
      <c r="A269" s="19"/>
      <c r="B269" s="31"/>
      <c r="C269" s="19"/>
      <c r="D269" s="19"/>
      <c r="E269" s="19"/>
      <c r="F269" s="20"/>
      <c r="G269" s="19"/>
      <c r="H269" s="19"/>
      <c r="I269" s="20"/>
      <c r="J269" s="19"/>
      <c r="K269" s="19"/>
    </row>
    <row r="270" spans="1:11" ht="14.25">
      <c r="A270" s="19"/>
      <c r="B270" s="31"/>
      <c r="C270" s="19"/>
      <c r="D270" s="19"/>
      <c r="E270" s="19"/>
      <c r="F270" s="20"/>
      <c r="G270" s="19"/>
      <c r="H270" s="19"/>
      <c r="I270" s="20"/>
      <c r="J270" s="19"/>
      <c r="K270" s="19"/>
    </row>
    <row r="271" spans="1:11" ht="14.25">
      <c r="A271" s="19"/>
      <c r="B271" s="31"/>
      <c r="C271" s="19"/>
      <c r="D271" s="19"/>
      <c r="E271" s="19"/>
      <c r="F271" s="20"/>
      <c r="G271" s="19"/>
      <c r="H271" s="19"/>
      <c r="I271" s="20"/>
      <c r="J271" s="19"/>
      <c r="K271" s="19"/>
    </row>
    <row r="272" spans="1:11" ht="14.25">
      <c r="A272" s="19"/>
      <c r="B272" s="31"/>
      <c r="C272" s="19"/>
      <c r="D272" s="19"/>
      <c r="E272" s="19"/>
      <c r="F272" s="20"/>
      <c r="G272" s="19"/>
      <c r="H272" s="19"/>
      <c r="I272" s="20"/>
      <c r="J272" s="19"/>
      <c r="K272" s="19"/>
    </row>
    <row r="273" spans="1:11" ht="14.25">
      <c r="A273" s="19"/>
      <c r="B273" s="31"/>
      <c r="C273" s="19"/>
      <c r="D273" s="19"/>
      <c r="E273" s="19"/>
      <c r="F273" s="20"/>
      <c r="G273" s="19"/>
      <c r="H273" s="19"/>
      <c r="I273" s="20"/>
      <c r="J273" s="19"/>
      <c r="K273" s="19"/>
    </row>
    <row r="274" spans="1:11" ht="14.25">
      <c r="A274" s="19"/>
      <c r="B274" s="31"/>
      <c r="C274" s="19"/>
      <c r="D274" s="19"/>
      <c r="E274" s="19"/>
      <c r="F274" s="20"/>
      <c r="G274" s="19"/>
      <c r="H274" s="19"/>
      <c r="I274" s="20"/>
      <c r="J274" s="19"/>
      <c r="K274" s="19"/>
    </row>
    <row r="275" spans="1:11" ht="14.25">
      <c r="A275" s="19"/>
      <c r="B275" s="31"/>
      <c r="C275" s="19"/>
      <c r="D275" s="19"/>
      <c r="E275" s="19"/>
      <c r="F275" s="20"/>
      <c r="G275" s="19"/>
      <c r="H275" s="19"/>
      <c r="I275" s="20"/>
      <c r="J275" s="19"/>
      <c r="K275" s="19"/>
    </row>
    <row r="276" spans="1:11" ht="14.25">
      <c r="A276" s="19"/>
      <c r="B276" s="31"/>
      <c r="C276" s="19"/>
      <c r="D276" s="19"/>
      <c r="E276" s="19"/>
      <c r="F276" s="20"/>
      <c r="G276" s="19"/>
      <c r="H276" s="19"/>
      <c r="I276" s="20"/>
      <c r="J276" s="19"/>
      <c r="K276" s="19"/>
    </row>
    <row r="277" spans="1:11" ht="14.25">
      <c r="A277" s="19"/>
      <c r="B277" s="31"/>
      <c r="C277" s="19"/>
      <c r="D277" s="19"/>
      <c r="E277" s="19"/>
      <c r="F277" s="20"/>
      <c r="G277" s="19"/>
      <c r="H277" s="19"/>
      <c r="I277" s="20"/>
      <c r="J277" s="19"/>
      <c r="K277" s="19"/>
    </row>
    <row r="278" spans="1:11" ht="14.25">
      <c r="A278" s="19"/>
      <c r="B278" s="31"/>
      <c r="C278" s="19"/>
      <c r="D278" s="19"/>
      <c r="E278" s="19"/>
      <c r="F278" s="20"/>
      <c r="G278" s="19"/>
      <c r="H278" s="19"/>
      <c r="I278" s="20"/>
      <c r="J278" s="19"/>
      <c r="K278" s="19"/>
    </row>
    <row r="279" spans="1:11" ht="14.25">
      <c r="A279" s="19"/>
      <c r="B279" s="31"/>
      <c r="C279" s="19"/>
      <c r="D279" s="19"/>
      <c r="E279" s="19"/>
      <c r="F279" s="20"/>
      <c r="G279" s="19"/>
      <c r="H279" s="19"/>
      <c r="I279" s="20"/>
      <c r="J279" s="19"/>
      <c r="K279" s="19"/>
    </row>
    <row r="280" spans="1:11" ht="14.25">
      <c r="A280" s="19"/>
      <c r="B280" s="31"/>
      <c r="C280" s="19"/>
      <c r="D280" s="19"/>
      <c r="E280" s="19"/>
      <c r="F280" s="20"/>
      <c r="G280" s="19"/>
      <c r="H280" s="19"/>
      <c r="I280" s="20"/>
      <c r="J280" s="19"/>
      <c r="K280" s="19"/>
    </row>
    <row r="281" spans="1:11" ht="14.25">
      <c r="A281" s="19"/>
      <c r="B281" s="31"/>
      <c r="C281" s="19"/>
      <c r="D281" s="19"/>
      <c r="E281" s="19"/>
      <c r="F281" s="20"/>
      <c r="G281" s="19"/>
      <c r="H281" s="19"/>
      <c r="I281" s="20"/>
      <c r="J281" s="19"/>
      <c r="K281" s="19"/>
    </row>
    <row r="282" spans="1:11" ht="14.25">
      <c r="A282" s="19"/>
      <c r="B282" s="31"/>
      <c r="C282" s="19"/>
      <c r="D282" s="19"/>
      <c r="E282" s="19"/>
      <c r="F282" s="20"/>
      <c r="G282" s="19"/>
      <c r="H282" s="19"/>
      <c r="I282" s="20"/>
      <c r="J282" s="19"/>
      <c r="K282" s="19"/>
    </row>
    <row r="283" spans="1:11" ht="14.25">
      <c r="A283" s="19"/>
      <c r="B283" s="31"/>
      <c r="C283" s="19"/>
      <c r="D283" s="19"/>
      <c r="E283" s="19"/>
      <c r="F283" s="20"/>
      <c r="G283" s="19"/>
      <c r="H283" s="19"/>
      <c r="I283" s="20"/>
      <c r="J283" s="19"/>
      <c r="K283" s="19"/>
    </row>
    <row r="284" spans="1:11" ht="14.25">
      <c r="A284" s="19"/>
      <c r="B284" s="31"/>
      <c r="C284" s="19"/>
      <c r="D284" s="19"/>
      <c r="E284" s="19"/>
      <c r="F284" s="20"/>
      <c r="G284" s="19"/>
      <c r="H284" s="19"/>
      <c r="I284" s="20"/>
      <c r="J284" s="19"/>
      <c r="K284" s="19"/>
    </row>
    <row r="285" spans="1:11" ht="14.25">
      <c r="A285" s="19"/>
      <c r="B285" s="31"/>
      <c r="C285" s="19"/>
      <c r="D285" s="19"/>
      <c r="E285" s="19"/>
      <c r="F285" s="20"/>
      <c r="G285" s="19"/>
      <c r="H285" s="19"/>
      <c r="I285" s="20"/>
      <c r="J285" s="19"/>
      <c r="K285" s="19"/>
    </row>
    <row r="286" spans="1:11" ht="14.25">
      <c r="A286" s="19"/>
      <c r="B286" s="31"/>
      <c r="C286" s="19"/>
      <c r="D286" s="19"/>
      <c r="E286" s="19"/>
      <c r="F286" s="20"/>
      <c r="G286" s="19"/>
      <c r="H286" s="19"/>
      <c r="I286" s="20"/>
      <c r="J286" s="19"/>
      <c r="K286" s="19"/>
    </row>
    <row r="287" spans="1:11" ht="14.25">
      <c r="A287" s="19"/>
      <c r="B287" s="31"/>
      <c r="C287" s="19"/>
      <c r="D287" s="19"/>
      <c r="E287" s="19"/>
      <c r="F287" s="20"/>
      <c r="G287" s="19"/>
      <c r="H287" s="19"/>
      <c r="I287" s="20"/>
      <c r="J287" s="19"/>
      <c r="K287" s="19"/>
    </row>
    <row r="288" spans="1:11" ht="14.25">
      <c r="A288" s="19"/>
      <c r="B288" s="31"/>
      <c r="C288" s="19"/>
      <c r="D288" s="19"/>
      <c r="E288" s="19"/>
      <c r="F288" s="20"/>
      <c r="G288" s="19"/>
      <c r="H288" s="19"/>
      <c r="I288" s="20"/>
      <c r="J288" s="19"/>
      <c r="K288" s="19"/>
    </row>
    <row r="289" spans="1:11" ht="14.25">
      <c r="A289" s="19"/>
      <c r="B289" s="31"/>
      <c r="C289" s="19"/>
      <c r="D289" s="19"/>
      <c r="E289" s="19"/>
      <c r="F289" s="20"/>
      <c r="G289" s="19"/>
      <c r="H289" s="19"/>
      <c r="I289" s="20"/>
      <c r="J289" s="19"/>
      <c r="K289" s="19"/>
    </row>
    <row r="290" spans="1:11" ht="14.25">
      <c r="A290" s="19"/>
      <c r="B290" s="31"/>
      <c r="C290" s="19"/>
      <c r="D290" s="19"/>
      <c r="E290" s="19"/>
      <c r="F290" s="20"/>
      <c r="G290" s="19"/>
      <c r="H290" s="19"/>
      <c r="I290" s="20"/>
      <c r="J290" s="19"/>
      <c r="K290" s="19"/>
    </row>
    <row r="291" spans="1:11" ht="14.25">
      <c r="A291" s="19"/>
      <c r="B291" s="31"/>
      <c r="C291" s="19"/>
      <c r="D291" s="19"/>
      <c r="E291" s="19"/>
      <c r="F291" s="20"/>
      <c r="G291" s="19"/>
      <c r="H291" s="19"/>
      <c r="I291" s="20"/>
      <c r="J291" s="19"/>
      <c r="K291" s="19"/>
    </row>
    <row r="292" spans="1:11" ht="14.25">
      <c r="A292" s="19"/>
      <c r="B292" s="31"/>
      <c r="C292" s="19"/>
      <c r="D292" s="19"/>
      <c r="E292" s="19"/>
      <c r="F292" s="20"/>
      <c r="G292" s="19"/>
      <c r="H292" s="19"/>
      <c r="I292" s="20"/>
      <c r="J292" s="19"/>
      <c r="K292" s="19"/>
    </row>
    <row r="293" spans="1:11" ht="14.25">
      <c r="A293" s="19"/>
      <c r="B293" s="31"/>
      <c r="C293" s="19"/>
      <c r="D293" s="19"/>
      <c r="E293" s="19"/>
      <c r="F293" s="20"/>
      <c r="G293" s="19"/>
      <c r="H293" s="19"/>
      <c r="I293" s="20"/>
      <c r="J293" s="19"/>
      <c r="K293" s="19"/>
    </row>
    <row r="294" spans="1:11" ht="14.25">
      <c r="A294" s="19"/>
      <c r="B294" s="31"/>
      <c r="C294" s="19"/>
      <c r="D294" s="19"/>
      <c r="E294" s="19"/>
      <c r="F294" s="20"/>
      <c r="G294" s="19"/>
      <c r="H294" s="19"/>
      <c r="I294" s="20"/>
      <c r="J294" s="19"/>
      <c r="K294" s="19"/>
    </row>
    <row r="295" spans="1:11" ht="14.25">
      <c r="A295" s="19"/>
      <c r="B295" s="31"/>
      <c r="C295" s="19"/>
      <c r="D295" s="19"/>
      <c r="E295" s="19"/>
      <c r="F295" s="20"/>
      <c r="G295" s="19"/>
      <c r="H295" s="19"/>
      <c r="I295" s="20"/>
      <c r="J295" s="19"/>
      <c r="K295" s="19"/>
    </row>
    <row r="296" spans="1:11" ht="14.25">
      <c r="A296" s="19"/>
      <c r="B296" s="31"/>
      <c r="C296" s="19"/>
      <c r="D296" s="19"/>
      <c r="E296" s="19"/>
      <c r="F296" s="20"/>
      <c r="G296" s="19"/>
      <c r="H296" s="19"/>
      <c r="I296" s="20"/>
      <c r="J296" s="19"/>
      <c r="K296" s="19"/>
    </row>
    <row r="297" spans="1:11" ht="14.25">
      <c r="A297" s="19"/>
      <c r="B297" s="31"/>
      <c r="C297" s="19"/>
      <c r="D297" s="19"/>
      <c r="E297" s="19"/>
      <c r="F297" s="20"/>
      <c r="G297" s="19"/>
      <c r="H297" s="19"/>
      <c r="I297" s="20"/>
      <c r="J297" s="19"/>
      <c r="K297" s="19"/>
    </row>
    <row r="298" spans="1:11" ht="14.25">
      <c r="A298" s="19"/>
      <c r="B298" s="31"/>
      <c r="C298" s="19"/>
      <c r="D298" s="19"/>
      <c r="E298" s="19"/>
      <c r="F298" s="20"/>
      <c r="G298" s="19"/>
      <c r="H298" s="19"/>
      <c r="I298" s="20"/>
      <c r="J298" s="19"/>
      <c r="K298" s="19"/>
    </row>
    <row r="299" spans="1:11" ht="14.25">
      <c r="A299" s="19"/>
      <c r="B299" s="31"/>
      <c r="C299" s="19"/>
      <c r="D299" s="19"/>
      <c r="E299" s="19"/>
      <c r="F299" s="20"/>
      <c r="G299" s="19"/>
      <c r="H299" s="19"/>
      <c r="I299" s="20"/>
      <c r="J299" s="19"/>
      <c r="K299" s="19"/>
    </row>
    <row r="300" spans="1:11" ht="14.25">
      <c r="A300" s="19"/>
      <c r="B300" s="31"/>
      <c r="C300" s="19"/>
      <c r="D300" s="19"/>
      <c r="E300" s="19"/>
      <c r="F300" s="20"/>
      <c r="G300" s="19"/>
      <c r="H300" s="19"/>
      <c r="I300" s="20"/>
      <c r="J300" s="19"/>
      <c r="K300" s="19"/>
    </row>
    <row r="301" spans="1:11" ht="14.25">
      <c r="A301" s="19"/>
      <c r="B301" s="31"/>
      <c r="C301" s="19"/>
      <c r="D301" s="19"/>
      <c r="E301" s="19"/>
      <c r="F301" s="20"/>
      <c r="G301" s="19"/>
      <c r="H301" s="19"/>
      <c r="I301" s="20"/>
      <c r="J301" s="19"/>
      <c r="K301" s="19"/>
    </row>
    <row r="302" spans="1:11" ht="14.25">
      <c r="A302" s="19"/>
      <c r="B302" s="31"/>
      <c r="C302" s="19"/>
      <c r="D302" s="19"/>
      <c r="E302" s="19"/>
      <c r="F302" s="20"/>
      <c r="G302" s="19"/>
      <c r="H302" s="19"/>
      <c r="I302" s="20"/>
      <c r="J302" s="19"/>
      <c r="K302" s="19"/>
    </row>
    <row r="303" spans="1:11" ht="14.25">
      <c r="A303" s="19"/>
      <c r="B303" s="31"/>
      <c r="C303" s="19"/>
      <c r="D303" s="19"/>
      <c r="E303" s="19"/>
      <c r="F303" s="20"/>
      <c r="G303" s="19"/>
      <c r="H303" s="19"/>
      <c r="I303" s="20"/>
      <c r="J303" s="19"/>
      <c r="K303" s="19"/>
    </row>
    <row r="304" spans="1:11" ht="14.25">
      <c r="A304" s="19"/>
      <c r="B304" s="31"/>
      <c r="C304" s="19"/>
      <c r="D304" s="19"/>
      <c r="E304" s="19"/>
      <c r="F304" s="20"/>
      <c r="G304" s="19"/>
      <c r="H304" s="19"/>
      <c r="I304" s="20"/>
      <c r="J304" s="19"/>
      <c r="K304" s="19"/>
    </row>
    <row r="305" spans="1:11" ht="14.25">
      <c r="A305" s="19"/>
      <c r="B305" s="31"/>
      <c r="C305" s="19"/>
      <c r="D305" s="19"/>
      <c r="E305" s="19"/>
      <c r="F305" s="20"/>
      <c r="G305" s="19"/>
      <c r="H305" s="19"/>
      <c r="I305" s="20"/>
      <c r="J305" s="19"/>
      <c r="K305" s="19"/>
    </row>
    <row r="306" spans="1:11" ht="14.25">
      <c r="A306" s="19"/>
      <c r="B306" s="31"/>
      <c r="C306" s="19"/>
      <c r="D306" s="19"/>
      <c r="E306" s="19"/>
      <c r="F306" s="20"/>
      <c r="G306" s="19"/>
      <c r="H306" s="19"/>
      <c r="I306" s="20"/>
      <c r="J306" s="19"/>
      <c r="K306" s="19"/>
    </row>
    <row r="307" spans="1:11" ht="14.25">
      <c r="A307" s="19"/>
      <c r="B307" s="31"/>
      <c r="C307" s="19"/>
      <c r="D307" s="19"/>
      <c r="E307" s="19"/>
      <c r="F307" s="20"/>
      <c r="G307" s="19"/>
      <c r="H307" s="19"/>
      <c r="I307" s="20"/>
      <c r="J307" s="19"/>
      <c r="K307" s="19"/>
    </row>
    <row r="308" spans="1:11" ht="14.25">
      <c r="A308" s="19"/>
      <c r="B308" s="31"/>
      <c r="C308" s="19"/>
      <c r="D308" s="19"/>
      <c r="E308" s="19"/>
      <c r="F308" s="20"/>
      <c r="G308" s="19"/>
      <c r="H308" s="19"/>
      <c r="I308" s="20"/>
      <c r="J308" s="19"/>
      <c r="K308" s="19"/>
    </row>
    <row r="309" spans="1:11" ht="14.25">
      <c r="A309" s="19"/>
      <c r="B309" s="31"/>
      <c r="C309" s="19"/>
      <c r="D309" s="19"/>
      <c r="E309" s="19"/>
      <c r="F309" s="20"/>
      <c r="G309" s="19"/>
      <c r="H309" s="19"/>
      <c r="I309" s="20"/>
      <c r="J309" s="19"/>
      <c r="K309" s="19"/>
    </row>
    <row r="310" spans="1:11" ht="14.25">
      <c r="A310" s="19"/>
      <c r="B310" s="31"/>
      <c r="C310" s="19"/>
      <c r="D310" s="19"/>
      <c r="E310" s="19"/>
      <c r="F310" s="20"/>
      <c r="G310" s="19"/>
      <c r="H310" s="19"/>
      <c r="I310" s="20"/>
      <c r="J310" s="19"/>
      <c r="K310" s="19"/>
    </row>
    <row r="311" spans="1:11" ht="14.25">
      <c r="A311" s="19"/>
      <c r="B311" s="31"/>
      <c r="C311" s="19"/>
      <c r="D311" s="19"/>
      <c r="E311" s="19"/>
      <c r="F311" s="20"/>
      <c r="G311" s="19"/>
      <c r="H311" s="19"/>
      <c r="I311" s="20"/>
      <c r="J311" s="19"/>
      <c r="K311" s="19"/>
    </row>
    <row r="312" spans="1:11" ht="14.25">
      <c r="A312" s="19"/>
      <c r="B312" s="31"/>
      <c r="C312" s="19"/>
      <c r="D312" s="19"/>
      <c r="E312" s="19"/>
      <c r="F312" s="20"/>
      <c r="G312" s="19"/>
      <c r="H312" s="19"/>
      <c r="I312" s="20"/>
      <c r="J312" s="19"/>
      <c r="K312" s="19"/>
    </row>
    <row r="313" spans="1:11" ht="14.25">
      <c r="A313" s="19"/>
      <c r="B313" s="31"/>
      <c r="C313" s="19"/>
      <c r="D313" s="19"/>
      <c r="E313" s="19"/>
      <c r="F313" s="20"/>
      <c r="G313" s="19"/>
      <c r="H313" s="19"/>
      <c r="I313" s="20"/>
      <c r="J313" s="19"/>
      <c r="K313" s="19"/>
    </row>
    <row r="314" spans="1:11" ht="14.25">
      <c r="A314" s="19"/>
      <c r="B314" s="31"/>
      <c r="C314" s="19"/>
      <c r="D314" s="19"/>
      <c r="E314" s="19"/>
      <c r="F314" s="20"/>
      <c r="G314" s="19"/>
      <c r="H314" s="19"/>
      <c r="I314" s="20"/>
      <c r="J314" s="19"/>
      <c r="K314" s="19"/>
    </row>
    <row r="315" spans="1:11" ht="14.25">
      <c r="A315" s="19"/>
      <c r="B315" s="31"/>
      <c r="C315" s="19"/>
      <c r="D315" s="19"/>
      <c r="E315" s="19"/>
      <c r="F315" s="20"/>
      <c r="G315" s="19"/>
      <c r="H315" s="19"/>
      <c r="I315" s="20"/>
      <c r="J315" s="19"/>
      <c r="K315" s="19"/>
    </row>
    <row r="316" spans="1:11" ht="14.25">
      <c r="A316" s="19"/>
      <c r="B316" s="31"/>
      <c r="C316" s="19"/>
      <c r="D316" s="19"/>
      <c r="E316" s="19"/>
      <c r="F316" s="20"/>
      <c r="G316" s="19"/>
      <c r="H316" s="19"/>
      <c r="I316" s="20"/>
      <c r="J316" s="19"/>
      <c r="K316" s="19"/>
    </row>
    <row r="317" spans="1:11" ht="14.25">
      <c r="A317" s="19"/>
      <c r="B317" s="31"/>
      <c r="C317" s="19"/>
      <c r="D317" s="19"/>
      <c r="E317" s="19"/>
      <c r="F317" s="20"/>
      <c r="G317" s="19"/>
      <c r="H317" s="19"/>
      <c r="I317" s="20"/>
      <c r="J317" s="19"/>
      <c r="K317" s="19"/>
    </row>
    <row r="318" spans="1:11" ht="14.25">
      <c r="A318" s="19"/>
      <c r="B318" s="31"/>
      <c r="C318" s="19"/>
      <c r="D318" s="19"/>
      <c r="E318" s="19"/>
      <c r="F318" s="20"/>
      <c r="G318" s="19"/>
      <c r="H318" s="19"/>
      <c r="I318" s="20"/>
      <c r="J318" s="19"/>
      <c r="K318" s="19"/>
    </row>
    <row r="319" spans="1:11" ht="14.25">
      <c r="A319" s="19"/>
      <c r="B319" s="31"/>
      <c r="C319" s="19"/>
      <c r="D319" s="19"/>
      <c r="E319" s="19"/>
      <c r="F319" s="20"/>
      <c r="G319" s="19"/>
      <c r="H319" s="19"/>
      <c r="I319" s="20"/>
      <c r="J319" s="19"/>
      <c r="K319" s="19"/>
    </row>
    <row r="320" spans="1:11" ht="14.25">
      <c r="A320" s="19"/>
      <c r="B320" s="31"/>
      <c r="C320" s="19"/>
      <c r="D320" s="19"/>
      <c r="E320" s="19"/>
      <c r="F320" s="20"/>
      <c r="G320" s="19"/>
      <c r="H320" s="19"/>
      <c r="I320" s="20"/>
      <c r="J320" s="19"/>
      <c r="K320" s="19"/>
    </row>
    <row r="321" spans="1:11" ht="14.25">
      <c r="A321" s="19"/>
      <c r="B321" s="31"/>
      <c r="C321" s="19"/>
      <c r="D321" s="19"/>
      <c r="E321" s="19"/>
      <c r="F321" s="20"/>
      <c r="G321" s="19"/>
      <c r="H321" s="19"/>
      <c r="I321" s="20"/>
      <c r="J321" s="19"/>
      <c r="K321" s="19"/>
    </row>
    <row r="322" spans="1:11" ht="13.9">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5" priority="3" stopIfTrue="1" operator="lessThanOrEqual">
      <formula>-0.1</formula>
    </cfRule>
    <cfRule type="expression" dxfId="14"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2"/>
  <sheetViews>
    <sheetView workbookViewId="0">
      <pane xSplit="2" ySplit="3" topLeftCell="J4" activePane="bottomRight" state="frozen"/>
      <selection pane="bottomRight" activeCell="J4" activeCellId="3" sqref="C4:C10 D4:D10 G4:G10 J4:Q10"/>
      <selection pane="bottomLeft" activeCell="J4" activeCellId="3" sqref="C4:C10 D4:D10 G4:G10 J4:Q10"/>
      <selection pane="topRight" activeCell="J4" activeCellId="3" sqref="C4:C10 D4:D10 G4:G10 J4:Q10"/>
    </sheetView>
  </sheetViews>
  <sheetFormatPr defaultRowHeight="13.5"/>
  <cols>
    <col min="1" max="1" width="35.85546875" bestFit="1" customWidth="1"/>
    <col min="2" max="2" width="8.42578125" style="32"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1" ht="19.5" customHeight="1">
      <c r="A1" s="111" t="str" cm="1">
        <f t="array" ref="A1">portfolio</f>
        <v>GoodFinch</v>
      </c>
      <c r="B1" s="111"/>
      <c r="C1" s="111"/>
      <c r="D1" s="112" t="s">
        <v>121</v>
      </c>
      <c r="E1" s="112"/>
      <c r="F1" s="112"/>
      <c r="G1" s="110" t="s">
        <v>122</v>
      </c>
      <c r="H1" s="110"/>
      <c r="I1" s="110"/>
      <c r="J1" s="4"/>
      <c r="K1" s="4"/>
    </row>
    <row r="2" spans="1:11" ht="19.5" customHeight="1">
      <c r="A2" s="113" t="s">
        <v>2</v>
      </c>
      <c r="B2" s="113"/>
      <c r="C2" s="5">
        <f>SUM(C4:C80)</f>
        <v>0</v>
      </c>
      <c r="D2" s="5">
        <f>SUM(D4:D80)</f>
        <v>0</v>
      </c>
      <c r="E2" s="5">
        <f>C2-D2</f>
        <v>0</v>
      </c>
      <c r="F2" s="6">
        <f>IFERROR(E2/D2, 0)</f>
        <v>0</v>
      </c>
      <c r="G2" s="5">
        <f>SUM(G4:G80)</f>
        <v>0</v>
      </c>
      <c r="H2" s="7">
        <f>C2-G2</f>
        <v>0</v>
      </c>
      <c r="I2" s="6">
        <f>IFERROR(H2/G2, 0)</f>
        <v>0</v>
      </c>
      <c r="J2" s="24"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21</v>
      </c>
      <c r="K3" s="23" t="s">
        <v>22</v>
      </c>
    </row>
    <row r="4" spans="1:11" ht="15.75">
      <c r="A4" s="30" t="str" cm="1">
        <f t="array" ref="A4:A45">Sites[Site]</f>
        <v>AZ: Tempe - ASU - Farmer</v>
      </c>
      <c r="B4" s="27" t="str" cm="1">
        <f t="array" ref="B4:B45">Sites[State]</f>
        <v>AZ</v>
      </c>
      <c r="C4" s="22"/>
      <c r="D4" s="12"/>
      <c r="E4" s="12" t="str">
        <f>IF(AND(ISNUMBER(C4),ISNUMBER(D4)), C4-D4, "")</f>
        <v/>
      </c>
      <c r="F4" s="13" t="str">
        <f>IFERROR(E4/D4, "")</f>
        <v/>
      </c>
      <c r="G4" s="14"/>
      <c r="H4" s="14" t="str">
        <f>IF(AND(ISNUMBER(C4),ISNUMBER(G4)), C4-G4, "")</f>
        <v/>
      </c>
      <c r="I4" s="15" t="str">
        <f>IFERROR(H4/G4, "")</f>
        <v/>
      </c>
      <c r="J4" s="39"/>
      <c r="K4" s="39"/>
    </row>
    <row r="5" spans="1:11" ht="15.75">
      <c r="A5" s="28" t="str">
        <v>AZ: Tempe - ASU - Fulton</v>
      </c>
      <c r="B5" s="29" t="str">
        <v>AZ</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40"/>
    </row>
    <row r="6" spans="1:11" ht="15.75">
      <c r="A6" s="26" t="str">
        <v>AZ: Superior - JFK Elementary</v>
      </c>
      <c r="B6" s="27" t="str">
        <v>AZ</v>
      </c>
      <c r="C6" s="22"/>
      <c r="D6" s="12"/>
      <c r="E6" s="12" t="str">
        <f t="shared" si="0"/>
        <v/>
      </c>
      <c r="F6" s="13" t="str">
        <f t="shared" ref="F6:F9" si="3">IFERROR(E6/D6, "")</f>
        <v/>
      </c>
      <c r="G6" s="14"/>
      <c r="H6" s="14" t="str">
        <f t="shared" si="1"/>
        <v/>
      </c>
      <c r="I6" s="15" t="str">
        <f t="shared" si="2"/>
        <v/>
      </c>
      <c r="J6" s="39"/>
      <c r="K6" s="39"/>
    </row>
    <row r="7" spans="1:11" ht="15.75">
      <c r="A7" s="28" t="str">
        <v>AZ: Tempe - ASU - Noble</v>
      </c>
      <c r="B7" s="29" t="str">
        <v>AZ</v>
      </c>
      <c r="C7" s="11"/>
      <c r="D7" s="16"/>
      <c r="E7" s="16" t="str">
        <f t="shared" si="0"/>
        <v/>
      </c>
      <c r="F7" s="17" t="str">
        <f t="shared" si="3"/>
        <v/>
      </c>
      <c r="G7" s="18"/>
      <c r="H7" s="18" t="str">
        <f t="shared" si="1"/>
        <v/>
      </c>
      <c r="I7" s="17" t="str">
        <f t="shared" si="2"/>
        <v/>
      </c>
      <c r="J7" s="40"/>
      <c r="K7" s="41"/>
    </row>
    <row r="8" spans="1:11" ht="15.75">
      <c r="A8" s="26" t="str">
        <v>AZ: Tempe - ASU - Parking #3</v>
      </c>
      <c r="B8" s="27" t="str">
        <v>AZ</v>
      </c>
      <c r="C8" s="22"/>
      <c r="D8" s="12"/>
      <c r="E8" s="12" t="str">
        <f t="shared" si="0"/>
        <v/>
      </c>
      <c r="F8" s="13" t="str">
        <f t="shared" si="3"/>
        <v/>
      </c>
      <c r="G8" s="14"/>
      <c r="H8" s="14" t="str">
        <f t="shared" si="1"/>
        <v/>
      </c>
      <c r="I8" s="15" t="str">
        <f t="shared" si="2"/>
        <v/>
      </c>
      <c r="J8" s="39"/>
      <c r="K8" s="39"/>
    </row>
    <row r="9" spans="1:11" ht="15.75">
      <c r="A9" s="28" t="str">
        <v>AZ: Tempe - ASU - PE East</v>
      </c>
      <c r="B9" s="29" t="str">
        <v>AZ</v>
      </c>
      <c r="C9" s="11"/>
      <c r="D9" s="16"/>
      <c r="E9" s="16" t="str">
        <f t="shared" si="0"/>
        <v/>
      </c>
      <c r="F9" s="17" t="str">
        <f t="shared" si="3"/>
        <v/>
      </c>
      <c r="G9" s="18"/>
      <c r="H9" s="18" t="str">
        <f t="shared" si="1"/>
        <v/>
      </c>
      <c r="I9" s="17" t="str">
        <f t="shared" si="2"/>
        <v/>
      </c>
      <c r="J9" s="40"/>
      <c r="K9" s="41"/>
    </row>
    <row r="10" spans="1:11" ht="15.75">
      <c r="A10" s="26" t="str">
        <v>AZ: Tempe - ASU - Schwada</v>
      </c>
      <c r="B10" s="27" t="str">
        <v>AZ</v>
      </c>
      <c r="C10" s="73"/>
      <c r="D10" s="12"/>
      <c r="E10" s="12" t="str">
        <f t="shared" ref="E10:E45" si="4">IF(AND(ISNUMBER(C10),ISNUMBER(D10)), C10-D10, "")</f>
        <v/>
      </c>
      <c r="F10" s="74" t="str">
        <f t="shared" ref="F10:F45" si="5">IFERROR(E10/D10, "")</f>
        <v/>
      </c>
      <c r="G10" s="75"/>
      <c r="H10" s="75" t="str">
        <f t="shared" ref="H10:H45" si="6">IF(AND(ISNUMBER(C10),ISNUMBER(G10)), C10-G10, "")</f>
        <v/>
      </c>
      <c r="I10" s="76" t="str">
        <f t="shared" ref="I10:I45" si="7">IFERROR(H10/G10, "")</f>
        <v/>
      </c>
      <c r="J10" s="77"/>
      <c r="K10" s="77"/>
    </row>
    <row r="11" spans="1:11" ht="15.75">
      <c r="A11" s="28" t="str">
        <v>AZ: Phoenix - Starshine Academy</v>
      </c>
      <c r="B11" s="29" t="str">
        <v>AZ</v>
      </c>
      <c r="C11" s="100"/>
      <c r="D11" s="16"/>
      <c r="E11" s="16" t="str">
        <f t="shared" si="4"/>
        <v/>
      </c>
      <c r="F11" s="99" t="str">
        <f t="shared" si="5"/>
        <v/>
      </c>
      <c r="G11" s="80"/>
      <c r="H11" s="80" t="str">
        <f t="shared" si="6"/>
        <v/>
      </c>
      <c r="I11" s="99" t="str">
        <f t="shared" si="7"/>
        <v/>
      </c>
      <c r="J11" s="40"/>
      <c r="K11" s="41"/>
    </row>
    <row r="12" spans="1:11" ht="15.75">
      <c r="A12" s="26" t="str">
        <v>AZ: Yuma Airport</v>
      </c>
      <c r="B12" s="27" t="str">
        <v>AZ</v>
      </c>
      <c r="C12" s="73"/>
      <c r="D12" s="12"/>
      <c r="E12" s="12" t="str">
        <f t="shared" si="4"/>
        <v/>
      </c>
      <c r="F12" s="74" t="str">
        <f t="shared" si="5"/>
        <v/>
      </c>
      <c r="G12" s="75"/>
      <c r="H12" s="75" t="str">
        <f t="shared" si="6"/>
        <v/>
      </c>
      <c r="I12" s="76" t="str">
        <f t="shared" si="7"/>
        <v/>
      </c>
      <c r="J12" s="77"/>
      <c r="K12" s="77"/>
    </row>
    <row r="13" spans="1:11" ht="15.75">
      <c r="A13" s="28" t="str">
        <v>AZ: Globe - Gila CC</v>
      </c>
      <c r="B13" s="29" t="str">
        <v>AZ</v>
      </c>
      <c r="C13" s="100"/>
      <c r="D13" s="16"/>
      <c r="E13" s="16" t="str">
        <f t="shared" si="4"/>
        <v/>
      </c>
      <c r="F13" s="99" t="str">
        <f t="shared" si="5"/>
        <v/>
      </c>
      <c r="G13" s="80"/>
      <c r="H13" s="80" t="str">
        <f t="shared" si="6"/>
        <v/>
      </c>
      <c r="I13" s="99" t="str">
        <f t="shared" si="7"/>
        <v/>
      </c>
      <c r="J13" s="40"/>
      <c r="K13" s="41"/>
    </row>
    <row r="14" spans="1:11" ht="15.75">
      <c r="A14" s="26" t="str">
        <v>AZ: Payson - Gila CC</v>
      </c>
      <c r="B14" s="27" t="str">
        <v>AZ</v>
      </c>
      <c r="C14" s="73"/>
      <c r="D14" s="12"/>
      <c r="E14" s="12" t="str">
        <f t="shared" si="4"/>
        <v/>
      </c>
      <c r="F14" s="74" t="str">
        <f t="shared" si="5"/>
        <v/>
      </c>
      <c r="G14" s="75"/>
      <c r="H14" s="75" t="str">
        <f t="shared" si="6"/>
        <v/>
      </c>
      <c r="I14" s="76" t="str">
        <f t="shared" si="7"/>
        <v/>
      </c>
      <c r="J14" s="77"/>
      <c r="K14" s="77"/>
    </row>
    <row r="15" spans="1:11" ht="15.75">
      <c r="A15" s="28" t="str">
        <v>AZ: Mesa - Sequoia Charter School</v>
      </c>
      <c r="B15" s="29" t="str">
        <v>AZ</v>
      </c>
      <c r="C15" s="100"/>
      <c r="D15" s="16"/>
      <c r="E15" s="16" t="str">
        <f t="shared" si="4"/>
        <v/>
      </c>
      <c r="F15" s="99" t="str">
        <f t="shared" si="5"/>
        <v/>
      </c>
      <c r="G15" s="80"/>
      <c r="H15" s="80" t="str">
        <f t="shared" si="6"/>
        <v/>
      </c>
      <c r="I15" s="99" t="str">
        <f t="shared" si="7"/>
        <v/>
      </c>
      <c r="J15" s="40"/>
      <c r="K15" s="41"/>
    </row>
    <row r="16" spans="1:11" ht="15.75">
      <c r="A16" s="26" t="str">
        <v>AZ: Tempe - SCNM</v>
      </c>
      <c r="B16" s="27" t="str">
        <v>AZ</v>
      </c>
      <c r="C16" s="73"/>
      <c r="D16" s="12"/>
      <c r="E16" s="12" t="str">
        <f t="shared" si="4"/>
        <v/>
      </c>
      <c r="F16" s="74" t="str">
        <f t="shared" si="5"/>
        <v/>
      </c>
      <c r="G16" s="75"/>
      <c r="H16" s="75" t="str">
        <f t="shared" si="6"/>
        <v/>
      </c>
      <c r="I16" s="76" t="str">
        <f t="shared" si="7"/>
        <v/>
      </c>
      <c r="J16" s="77"/>
      <c r="K16" s="77"/>
    </row>
    <row r="17" spans="1:11" ht="15.75">
      <c r="A17" s="28" t="str">
        <v>DE: Newark - Clayton Hall</v>
      </c>
      <c r="B17" s="29" t="str">
        <v>DE</v>
      </c>
      <c r="C17" s="100"/>
      <c r="D17" s="16"/>
      <c r="E17" s="16" t="str">
        <f t="shared" si="4"/>
        <v/>
      </c>
      <c r="F17" s="99" t="str">
        <f t="shared" si="5"/>
        <v/>
      </c>
      <c r="G17" s="80"/>
      <c r="H17" s="80" t="str">
        <f t="shared" si="6"/>
        <v/>
      </c>
      <c r="I17" s="99" t="str">
        <f t="shared" si="7"/>
        <v/>
      </c>
      <c r="J17" s="40"/>
      <c r="K17" s="41"/>
    </row>
    <row r="18" spans="1:11" ht="15.75">
      <c r="A18" s="26" t="str">
        <v>DE: Newark - UOD Field House</v>
      </c>
      <c r="B18" s="27" t="str">
        <v>DE</v>
      </c>
      <c r="C18" s="73"/>
      <c r="D18" s="12"/>
      <c r="E18" s="12" t="str">
        <f t="shared" si="4"/>
        <v/>
      </c>
      <c r="F18" s="74" t="str">
        <f t="shared" si="5"/>
        <v/>
      </c>
      <c r="G18" s="75"/>
      <c r="H18" s="75" t="str">
        <f t="shared" si="6"/>
        <v/>
      </c>
      <c r="I18" s="76" t="str">
        <f t="shared" si="7"/>
        <v/>
      </c>
      <c r="J18" s="77"/>
      <c r="K18" s="77"/>
    </row>
    <row r="19" spans="1:11" ht="15.75">
      <c r="A19" s="28" t="str">
        <v>DE: Newark - UOD 461 Wyoming</v>
      </c>
      <c r="B19" s="29" t="str">
        <v>DE</v>
      </c>
      <c r="C19" s="100"/>
      <c r="D19" s="16"/>
      <c r="E19" s="16" t="str">
        <f t="shared" si="4"/>
        <v/>
      </c>
      <c r="F19" s="99" t="str">
        <f t="shared" si="5"/>
        <v/>
      </c>
      <c r="G19" s="80"/>
      <c r="H19" s="80" t="str">
        <f t="shared" si="6"/>
        <v/>
      </c>
      <c r="I19" s="99" t="str">
        <f t="shared" si="7"/>
        <v/>
      </c>
      <c r="J19" s="40"/>
      <c r="K19" s="41"/>
    </row>
    <row r="20" spans="1:11" ht="15.75">
      <c r="A20" s="26" t="str">
        <v>HI: Waipahu - 94-246 Leoku St - E.F.G.</v>
      </c>
      <c r="B20" s="27" t="str">
        <v>HI</v>
      </c>
      <c r="C20" s="73"/>
      <c r="D20" s="12"/>
      <c r="E20" s="12" t="str">
        <f t="shared" si="4"/>
        <v/>
      </c>
      <c r="F20" s="74" t="str">
        <f t="shared" si="5"/>
        <v/>
      </c>
      <c r="G20" s="75"/>
      <c r="H20" s="75" t="str">
        <f t="shared" si="6"/>
        <v/>
      </c>
      <c r="I20" s="76" t="str">
        <f t="shared" si="7"/>
        <v/>
      </c>
      <c r="J20" s="77"/>
      <c r="K20" s="77"/>
    </row>
    <row r="21" spans="1:11" ht="15.75">
      <c r="A21" s="28" t="str">
        <v>HI: Waipahu - 94-099 Waipahu St - PV</v>
      </c>
      <c r="B21" s="29" t="str">
        <v>HI</v>
      </c>
      <c r="C21" s="100"/>
      <c r="D21" s="16"/>
      <c r="E21" s="16" t="str">
        <f t="shared" si="4"/>
        <v/>
      </c>
      <c r="F21" s="99" t="str">
        <f t="shared" si="5"/>
        <v/>
      </c>
      <c r="G21" s="80"/>
      <c r="H21" s="80" t="str">
        <f t="shared" si="6"/>
        <v/>
      </c>
      <c r="I21" s="99" t="str">
        <f t="shared" si="7"/>
        <v/>
      </c>
      <c r="J21" s="40"/>
      <c r="K21" s="41"/>
    </row>
    <row r="22" spans="1:11" ht="15.75">
      <c r="A22" s="26" t="str">
        <v>MD: Presston - Bird-in-Hand</v>
      </c>
      <c r="B22" s="27" t="str">
        <v>MD</v>
      </c>
      <c r="C22" s="73"/>
      <c r="D22" s="12"/>
      <c r="E22" s="12" t="str">
        <f t="shared" si="4"/>
        <v/>
      </c>
      <c r="F22" s="74" t="str">
        <f t="shared" si="5"/>
        <v/>
      </c>
      <c r="G22" s="75"/>
      <c r="H22" s="75" t="str">
        <f t="shared" si="6"/>
        <v/>
      </c>
      <c r="I22" s="76" t="str">
        <f t="shared" si="7"/>
        <v/>
      </c>
      <c r="J22" s="77"/>
      <c r="K22" s="77"/>
    </row>
    <row r="23" spans="1:11" ht="15.75">
      <c r="A23" s="28" t="str">
        <v>MD: Easton - Shortall</v>
      </c>
      <c r="B23" s="29" t="str">
        <v>MD</v>
      </c>
      <c r="C23" s="100"/>
      <c r="D23" s="16"/>
      <c r="E23" s="16" t="str">
        <f t="shared" si="4"/>
        <v/>
      </c>
      <c r="F23" s="99" t="str">
        <f t="shared" si="5"/>
        <v/>
      </c>
      <c r="G23" s="80"/>
      <c r="H23" s="80" t="str">
        <f t="shared" si="6"/>
        <v/>
      </c>
      <c r="I23" s="99" t="str">
        <f t="shared" si="7"/>
        <v/>
      </c>
      <c r="J23" s="40"/>
      <c r="K23" s="41"/>
    </row>
    <row r="24" spans="1:11" ht="15.75">
      <c r="A24" s="26" t="str">
        <v>MA: Boston - Seaport Solar</v>
      </c>
      <c r="B24" s="27" t="str">
        <v>MA</v>
      </c>
      <c r="C24" s="73"/>
      <c r="D24" s="12"/>
      <c r="E24" s="12" t="str">
        <f t="shared" si="4"/>
        <v/>
      </c>
      <c r="F24" s="74" t="str">
        <f t="shared" si="5"/>
        <v/>
      </c>
      <c r="G24" s="75"/>
      <c r="H24" s="75" t="str">
        <f t="shared" si="6"/>
        <v/>
      </c>
      <c r="I24" s="76" t="str">
        <f t="shared" si="7"/>
        <v/>
      </c>
      <c r="J24" s="77"/>
      <c r="K24" s="77"/>
    </row>
    <row r="25" spans="1:11" ht="15.75">
      <c r="A25" s="28" t="str">
        <v>MA: Dedham - Sprague Street</v>
      </c>
      <c r="B25" s="29" t="str">
        <v>MA</v>
      </c>
      <c r="C25" s="100"/>
      <c r="D25" s="16"/>
      <c r="E25" s="16" t="str">
        <f t="shared" si="4"/>
        <v/>
      </c>
      <c r="F25" s="99" t="str">
        <f t="shared" si="5"/>
        <v/>
      </c>
      <c r="G25" s="80"/>
      <c r="H25" s="80" t="str">
        <f t="shared" si="6"/>
        <v/>
      </c>
      <c r="I25" s="99" t="str">
        <f t="shared" si="7"/>
        <v/>
      </c>
      <c r="J25" s="40"/>
      <c r="K25" s="41"/>
    </row>
    <row r="26" spans="1:11" ht="15.75">
      <c r="A26" s="26" t="str">
        <v>MA: Boston - Summer Street</v>
      </c>
      <c r="B26" s="27" t="str">
        <v>MA</v>
      </c>
      <c r="C26" s="73"/>
      <c r="D26" s="12"/>
      <c r="E26" s="12" t="str">
        <f t="shared" si="4"/>
        <v/>
      </c>
      <c r="F26" s="74" t="str">
        <f t="shared" si="5"/>
        <v/>
      </c>
      <c r="G26" s="75"/>
      <c r="H26" s="75" t="str">
        <f t="shared" si="6"/>
        <v/>
      </c>
      <c r="I26" s="76" t="str">
        <f t="shared" si="7"/>
        <v/>
      </c>
      <c r="J26" s="77"/>
      <c r="K26" s="77"/>
    </row>
    <row r="27" spans="1:11" ht="15.75">
      <c r="A27" s="28" t="str">
        <v>MA: Leominster - Spectro Coatings</v>
      </c>
      <c r="B27" s="29" t="str">
        <v>MA</v>
      </c>
      <c r="C27" s="100"/>
      <c r="D27" s="16"/>
      <c r="E27" s="16" t="str">
        <f t="shared" si="4"/>
        <v/>
      </c>
      <c r="F27" s="99" t="str">
        <f t="shared" si="5"/>
        <v/>
      </c>
      <c r="G27" s="80"/>
      <c r="H27" s="80" t="str">
        <f t="shared" si="6"/>
        <v/>
      </c>
      <c r="I27" s="99" t="str">
        <f t="shared" si="7"/>
        <v/>
      </c>
      <c r="J27" s="40"/>
      <c r="K27" s="41"/>
    </row>
    <row r="28" spans="1:11" ht="15.75">
      <c r="A28" s="26" t="str">
        <v>MA: Braintree - RCAB</v>
      </c>
      <c r="B28" s="27" t="str">
        <v>MA</v>
      </c>
      <c r="C28" s="73"/>
      <c r="D28" s="12"/>
      <c r="E28" s="12" t="str">
        <f t="shared" si="4"/>
        <v/>
      </c>
      <c r="F28" s="74" t="str">
        <f t="shared" si="5"/>
        <v/>
      </c>
      <c r="G28" s="75"/>
      <c r="H28" s="75" t="str">
        <f t="shared" si="6"/>
        <v/>
      </c>
      <c r="I28" s="76" t="str">
        <f t="shared" si="7"/>
        <v/>
      </c>
      <c r="J28" s="77"/>
      <c r="K28" s="77"/>
    </row>
    <row r="29" spans="1:11" ht="15.75">
      <c r="A29" s="28" t="str">
        <v>NH: Rochester - Portland Street</v>
      </c>
      <c r="B29" s="29" t="str">
        <v>NH</v>
      </c>
      <c r="C29" s="100"/>
      <c r="D29" s="16"/>
      <c r="E29" s="16" t="str">
        <f t="shared" si="4"/>
        <v/>
      </c>
      <c r="F29" s="99" t="str">
        <f t="shared" si="5"/>
        <v/>
      </c>
      <c r="G29" s="80"/>
      <c r="H29" s="80" t="str">
        <f t="shared" si="6"/>
        <v/>
      </c>
      <c r="I29" s="99" t="str">
        <f t="shared" si="7"/>
        <v/>
      </c>
      <c r="J29" s="40"/>
      <c r="K29" s="41"/>
    </row>
    <row r="30" spans="1:11" ht="15.75">
      <c r="A30" s="26" t="str">
        <v>NH: Portsmouth - Portsmouth HS</v>
      </c>
      <c r="B30" s="27" t="str">
        <v>NH</v>
      </c>
      <c r="C30" s="73"/>
      <c r="D30" s="12"/>
      <c r="E30" s="12" t="str">
        <f t="shared" si="4"/>
        <v/>
      </c>
      <c r="F30" s="74" t="str">
        <f t="shared" si="5"/>
        <v/>
      </c>
      <c r="G30" s="75"/>
      <c r="H30" s="75" t="str">
        <f t="shared" si="6"/>
        <v/>
      </c>
      <c r="I30" s="76" t="str">
        <f t="shared" si="7"/>
        <v/>
      </c>
      <c r="J30" s="77"/>
      <c r="K30" s="77"/>
    </row>
    <row r="31" spans="1:11" ht="15.75">
      <c r="A31" s="28" t="str">
        <v>NH: Portsmouth - Portsmouth WTP</v>
      </c>
      <c r="B31" s="29" t="str">
        <v>NH</v>
      </c>
      <c r="C31" s="100"/>
      <c r="D31" s="16"/>
      <c r="E31" s="16" t="str">
        <f t="shared" si="4"/>
        <v/>
      </c>
      <c r="F31" s="99" t="str">
        <f t="shared" si="5"/>
        <v/>
      </c>
      <c r="G31" s="80"/>
      <c r="H31" s="80" t="str">
        <f t="shared" si="6"/>
        <v/>
      </c>
      <c r="I31" s="99" t="str">
        <f t="shared" si="7"/>
        <v/>
      </c>
      <c r="J31" s="40"/>
      <c r="K31" s="41"/>
    </row>
    <row r="32" spans="1:11" ht="15.75">
      <c r="A32" s="26" t="str">
        <v>NH: Rochester - Rochester MS</v>
      </c>
      <c r="B32" s="27" t="str">
        <v>NH</v>
      </c>
      <c r="C32" s="73"/>
      <c r="D32" s="12"/>
      <c r="E32" s="12" t="str">
        <f t="shared" si="4"/>
        <v/>
      </c>
      <c r="F32" s="74" t="str">
        <f t="shared" si="5"/>
        <v/>
      </c>
      <c r="G32" s="75"/>
      <c r="H32" s="75" t="str">
        <f t="shared" si="6"/>
        <v/>
      </c>
      <c r="I32" s="76" t="str">
        <f t="shared" si="7"/>
        <v/>
      </c>
      <c r="J32" s="77"/>
      <c r="K32" s="77"/>
    </row>
    <row r="33" spans="1:11" ht="15.75">
      <c r="A33" s="28" t="str">
        <v>NH Rochester - Spaulding HS</v>
      </c>
      <c r="B33" s="29" t="str">
        <v>NH</v>
      </c>
      <c r="C33" s="100"/>
      <c r="D33" s="16"/>
      <c r="E33" s="16" t="str">
        <f t="shared" si="4"/>
        <v/>
      </c>
      <c r="F33" s="99" t="str">
        <f t="shared" si="5"/>
        <v/>
      </c>
      <c r="G33" s="80"/>
      <c r="H33" s="80" t="str">
        <f t="shared" si="6"/>
        <v/>
      </c>
      <c r="I33" s="99" t="str">
        <f t="shared" si="7"/>
        <v/>
      </c>
      <c r="J33" s="40"/>
      <c r="K33" s="41"/>
    </row>
    <row r="34" spans="1:11" ht="15.75">
      <c r="A34" s="26" t="str">
        <v>NH: Rochester - McClelland ES</v>
      </c>
      <c r="B34" s="27" t="str">
        <v>NH</v>
      </c>
      <c r="C34" s="73"/>
      <c r="D34" s="12"/>
      <c r="E34" s="12" t="str">
        <f t="shared" si="4"/>
        <v/>
      </c>
      <c r="F34" s="74" t="str">
        <f t="shared" si="5"/>
        <v/>
      </c>
      <c r="G34" s="75"/>
      <c r="H34" s="75" t="str">
        <f t="shared" si="6"/>
        <v/>
      </c>
      <c r="I34" s="76" t="str">
        <f t="shared" si="7"/>
        <v/>
      </c>
      <c r="J34" s="77"/>
      <c r="K34" s="77"/>
    </row>
    <row r="35" spans="1:11" ht="15.75">
      <c r="A35" s="28" t="str">
        <v>NH: Rochester - Brock St Vocational</v>
      </c>
      <c r="B35" s="29" t="str">
        <v>NH</v>
      </c>
      <c r="C35" s="100"/>
      <c r="D35" s="16"/>
      <c r="E35" s="16" t="str">
        <f t="shared" si="4"/>
        <v/>
      </c>
      <c r="F35" s="99" t="str">
        <f t="shared" si="5"/>
        <v/>
      </c>
      <c r="G35" s="80"/>
      <c r="H35" s="80" t="str">
        <f t="shared" si="6"/>
        <v/>
      </c>
      <c r="I35" s="99" t="str">
        <f t="shared" si="7"/>
        <v/>
      </c>
      <c r="J35" s="40"/>
      <c r="K35" s="41"/>
    </row>
    <row r="36" spans="1:11" ht="15.75">
      <c r="A36" s="26" t="str">
        <v>OH: Cleveland - CV Kinsman</v>
      </c>
      <c r="B36" s="27" t="str">
        <v>OH</v>
      </c>
      <c r="C36" s="73"/>
      <c r="D36" s="12"/>
      <c r="E36" s="12" t="str">
        <f t="shared" si="4"/>
        <v/>
      </c>
      <c r="F36" s="74" t="str">
        <f t="shared" si="5"/>
        <v/>
      </c>
      <c r="G36" s="75"/>
      <c r="H36" s="75" t="str">
        <f t="shared" si="6"/>
        <v/>
      </c>
      <c r="I36" s="76" t="str">
        <f t="shared" si="7"/>
        <v/>
      </c>
      <c r="J36" s="77"/>
      <c r="K36" s="77"/>
    </row>
    <row r="37" spans="1:11" ht="15.75">
      <c r="A37" s="28" t="str">
        <v>OH: Cleveland - CV Wooster</v>
      </c>
      <c r="B37" s="29" t="str">
        <v>OH</v>
      </c>
      <c r="C37" s="100"/>
      <c r="D37" s="16"/>
      <c r="E37" s="16" t="str">
        <f t="shared" si="4"/>
        <v/>
      </c>
      <c r="F37" s="99" t="str">
        <f t="shared" si="5"/>
        <v/>
      </c>
      <c r="G37" s="80"/>
      <c r="H37" s="80" t="str">
        <f t="shared" si="6"/>
        <v/>
      </c>
      <c r="I37" s="99" t="str">
        <f t="shared" si="7"/>
        <v/>
      </c>
      <c r="J37" s="40"/>
      <c r="K37" s="41"/>
    </row>
    <row r="38" spans="1:11" ht="15.75">
      <c r="A38" s="26" t="str">
        <v>PR: Aguadilla - Coca Cola</v>
      </c>
      <c r="B38" s="27" t="str">
        <v>PR</v>
      </c>
      <c r="C38" s="73"/>
      <c r="D38" s="12"/>
      <c r="E38" s="12" t="str">
        <f t="shared" si="4"/>
        <v/>
      </c>
      <c r="F38" s="74" t="str">
        <f t="shared" si="5"/>
        <v/>
      </c>
      <c r="G38" s="75"/>
      <c r="H38" s="75" t="str">
        <f t="shared" si="6"/>
        <v/>
      </c>
      <c r="I38" s="76" t="str">
        <f t="shared" si="7"/>
        <v/>
      </c>
      <c r="J38" s="77"/>
      <c r="K38" s="77"/>
    </row>
    <row r="39" spans="1:11" ht="15.75">
      <c r="A39" s="28" t="str">
        <v>PR: Bayamon - Coca Cola</v>
      </c>
      <c r="B39" s="29" t="str">
        <v>PR</v>
      </c>
      <c r="C39" s="100"/>
      <c r="D39" s="16"/>
      <c r="E39" s="16" t="str">
        <f t="shared" si="4"/>
        <v/>
      </c>
      <c r="F39" s="99" t="str">
        <f t="shared" si="5"/>
        <v/>
      </c>
      <c r="G39" s="80"/>
      <c r="H39" s="80" t="str">
        <f t="shared" si="6"/>
        <v/>
      </c>
      <c r="I39" s="99" t="str">
        <f t="shared" si="7"/>
        <v/>
      </c>
      <c r="J39" s="40"/>
      <c r="K39" s="41"/>
    </row>
    <row r="40" spans="1:11" ht="15.75">
      <c r="A40" s="26" t="str">
        <v>PR: Carolina - St. Francis</v>
      </c>
      <c r="B40" s="27" t="str">
        <v>PR</v>
      </c>
      <c r="C40" s="73"/>
      <c r="D40" s="12"/>
      <c r="E40" s="12" t="str">
        <f t="shared" si="4"/>
        <v/>
      </c>
      <c r="F40" s="74" t="str">
        <f t="shared" si="5"/>
        <v/>
      </c>
      <c r="G40" s="75"/>
      <c r="H40" s="75" t="str">
        <f t="shared" si="6"/>
        <v/>
      </c>
      <c r="I40" s="76" t="str">
        <f t="shared" si="7"/>
        <v/>
      </c>
      <c r="J40" s="77"/>
      <c r="K40" s="77"/>
    </row>
    <row r="41" spans="1:11" ht="15.75">
      <c r="A41" s="28" t="str">
        <v>DC: Washington - Essex Condominium</v>
      </c>
      <c r="B41" s="29" t="str">
        <v>DC</v>
      </c>
      <c r="C41" s="100"/>
      <c r="D41" s="16"/>
      <c r="E41" s="16" t="str">
        <f t="shared" si="4"/>
        <v/>
      </c>
      <c r="F41" s="99" t="str">
        <f t="shared" si="5"/>
        <v/>
      </c>
      <c r="G41" s="80"/>
      <c r="H41" s="80" t="str">
        <f t="shared" si="6"/>
        <v/>
      </c>
      <c r="I41" s="99" t="str">
        <f t="shared" si="7"/>
        <v/>
      </c>
      <c r="J41" s="40"/>
      <c r="K41" s="41"/>
    </row>
    <row r="42" spans="1:11" ht="15.75">
      <c r="A42" s="26" t="str">
        <v>DC: Chevy Chase -Sinai</v>
      </c>
      <c r="B42" s="27" t="str">
        <v>DC</v>
      </c>
      <c r="C42" s="73"/>
      <c r="D42" s="12"/>
      <c r="E42" s="12" t="str">
        <f t="shared" si="4"/>
        <v/>
      </c>
      <c r="F42" s="74" t="str">
        <f t="shared" si="5"/>
        <v/>
      </c>
      <c r="G42" s="75"/>
      <c r="H42" s="75" t="str">
        <f t="shared" si="6"/>
        <v/>
      </c>
      <c r="I42" s="76" t="str">
        <f t="shared" si="7"/>
        <v/>
      </c>
      <c r="J42" s="77"/>
      <c r="K42" s="77"/>
    </row>
    <row r="43" spans="1:11" ht="15.75">
      <c r="A43" s="28" t="str">
        <v>DC: Washington - Weinberg 1</v>
      </c>
      <c r="B43" s="29" t="str">
        <v>DC</v>
      </c>
      <c r="C43" s="100"/>
      <c r="D43" s="16"/>
      <c r="E43" s="16" t="str">
        <f t="shared" si="4"/>
        <v/>
      </c>
      <c r="F43" s="99" t="str">
        <f t="shared" si="5"/>
        <v/>
      </c>
      <c r="G43" s="80"/>
      <c r="H43" s="80" t="str">
        <f t="shared" si="6"/>
        <v/>
      </c>
      <c r="I43" s="99" t="str">
        <f t="shared" si="7"/>
        <v/>
      </c>
      <c r="J43" s="40"/>
      <c r="K43" s="41"/>
    </row>
    <row r="44" spans="1:11" ht="15.75">
      <c r="A44" s="26" t="str">
        <v>DC: Washington - Weinberg 2</v>
      </c>
      <c r="B44" s="27" t="str">
        <v>DC</v>
      </c>
      <c r="C44" s="73"/>
      <c r="D44" s="12"/>
      <c r="E44" s="12" t="str">
        <f t="shared" si="4"/>
        <v/>
      </c>
      <c r="F44" s="74" t="str">
        <f t="shared" si="5"/>
        <v/>
      </c>
      <c r="G44" s="75"/>
      <c r="H44" s="75" t="str">
        <f t="shared" si="6"/>
        <v/>
      </c>
      <c r="I44" s="76" t="str">
        <f t="shared" si="7"/>
        <v/>
      </c>
      <c r="J44" s="77"/>
      <c r="K44" s="77"/>
    </row>
    <row r="45" spans="1:11" ht="15.75">
      <c r="A45" s="28" t="str">
        <v>DC: Washington - Weinberg 3</v>
      </c>
      <c r="B45" s="29" t="str">
        <v>DC</v>
      </c>
      <c r="C45" s="100"/>
      <c r="D45" s="16"/>
      <c r="E45" s="16" t="str">
        <f t="shared" si="4"/>
        <v/>
      </c>
      <c r="F45" s="99" t="str">
        <f t="shared" si="5"/>
        <v/>
      </c>
      <c r="G45" s="80"/>
      <c r="H45" s="80" t="str">
        <f t="shared" si="6"/>
        <v/>
      </c>
      <c r="I45" s="99" t="str">
        <f t="shared" si="7"/>
        <v/>
      </c>
      <c r="J45" s="40"/>
      <c r="K45" s="41"/>
    </row>
    <row r="46" spans="1:11" ht="14.25">
      <c r="A46" s="19"/>
      <c r="B46" s="31"/>
      <c r="C46" s="19"/>
      <c r="D46" s="19"/>
      <c r="E46" s="19"/>
      <c r="F46" s="20"/>
      <c r="G46" s="19"/>
      <c r="H46" s="19"/>
      <c r="I46" s="20"/>
      <c r="J46" s="19"/>
      <c r="K46" s="19"/>
    </row>
    <row r="47" spans="1:11" ht="14.25">
      <c r="A47" s="19"/>
      <c r="B47" s="31"/>
      <c r="C47" s="19"/>
      <c r="D47" s="19"/>
      <c r="E47" s="19"/>
      <c r="F47" s="20"/>
      <c r="G47" s="19"/>
      <c r="H47" s="19"/>
      <c r="I47" s="20"/>
      <c r="J47" s="19"/>
      <c r="K47" s="19"/>
    </row>
    <row r="48" spans="1:11" ht="14.25">
      <c r="A48" s="19"/>
      <c r="B48" s="31"/>
      <c r="C48" s="19"/>
      <c r="D48" s="19"/>
      <c r="E48" s="19"/>
      <c r="F48" s="20"/>
      <c r="G48" s="19"/>
      <c r="H48" s="19"/>
      <c r="I48" s="20"/>
      <c r="J48" s="19"/>
      <c r="K48" s="19"/>
    </row>
    <row r="49" spans="1:11" ht="14.25">
      <c r="A49" s="19"/>
      <c r="B49" s="31"/>
      <c r="C49" s="19"/>
      <c r="D49" s="19"/>
      <c r="E49" s="19"/>
      <c r="F49" s="20"/>
      <c r="G49" s="19"/>
      <c r="H49" s="19"/>
      <c r="I49" s="20"/>
      <c r="J49" s="19"/>
      <c r="K49" s="19"/>
    </row>
    <row r="50" spans="1:11" ht="14.25">
      <c r="A50" s="19"/>
      <c r="B50" s="31"/>
      <c r="C50" s="19"/>
      <c r="D50" s="19"/>
      <c r="E50" s="19"/>
      <c r="F50" s="20"/>
      <c r="G50" s="19"/>
      <c r="H50" s="19"/>
      <c r="I50" s="20"/>
      <c r="J50" s="19"/>
      <c r="K50" s="19"/>
    </row>
    <row r="51" spans="1:11" ht="14.25">
      <c r="A51" s="19"/>
      <c r="B51" s="31"/>
      <c r="C51" s="19"/>
      <c r="D51" s="19"/>
      <c r="E51" s="19"/>
      <c r="F51" s="20"/>
      <c r="G51" s="19"/>
      <c r="H51" s="19"/>
      <c r="I51" s="20"/>
      <c r="J51" s="19"/>
      <c r="K51" s="19"/>
    </row>
    <row r="52" spans="1:11" ht="14.25">
      <c r="A52" s="19"/>
      <c r="B52" s="31"/>
      <c r="C52" s="19"/>
      <c r="D52" s="19"/>
      <c r="E52" s="19"/>
      <c r="F52" s="20"/>
      <c r="G52" s="19"/>
      <c r="H52" s="19"/>
      <c r="I52" s="20"/>
      <c r="J52" s="19"/>
      <c r="K52" s="19"/>
    </row>
    <row r="53" spans="1:11" ht="14.25">
      <c r="A53" s="19"/>
      <c r="B53" s="31"/>
      <c r="C53" s="19"/>
      <c r="D53" s="19"/>
      <c r="E53" s="19"/>
      <c r="F53" s="20"/>
      <c r="G53" s="19"/>
      <c r="H53" s="19"/>
      <c r="I53" s="20"/>
      <c r="J53" s="19"/>
      <c r="K53" s="19"/>
    </row>
    <row r="54" spans="1:11" ht="14.25">
      <c r="A54" s="19"/>
      <c r="B54" s="31"/>
      <c r="C54" s="19"/>
      <c r="D54" s="19"/>
      <c r="E54" s="19"/>
      <c r="F54" s="20"/>
      <c r="G54" s="19"/>
      <c r="H54" s="19"/>
      <c r="I54" s="20"/>
      <c r="J54" s="19"/>
      <c r="K54" s="19"/>
    </row>
    <row r="55" spans="1:11" ht="14.25">
      <c r="A55" s="19"/>
      <c r="B55" s="31"/>
      <c r="C55" s="19"/>
      <c r="D55" s="19"/>
      <c r="E55" s="19"/>
      <c r="F55" s="20"/>
      <c r="G55" s="19"/>
      <c r="H55" s="19"/>
      <c r="I55" s="20"/>
      <c r="J55" s="19"/>
      <c r="K55" s="19"/>
    </row>
    <row r="56" spans="1:11" ht="14.25">
      <c r="A56" s="19"/>
      <c r="B56" s="31"/>
      <c r="C56" s="19"/>
      <c r="D56" s="19"/>
      <c r="E56" s="19"/>
      <c r="F56" s="20"/>
      <c r="G56" s="19"/>
      <c r="H56" s="19"/>
      <c r="I56" s="20"/>
      <c r="J56" s="19"/>
      <c r="K56" s="19"/>
    </row>
    <row r="57" spans="1:11" ht="14.25">
      <c r="A57" s="19"/>
      <c r="B57" s="31"/>
      <c r="C57" s="19"/>
      <c r="D57" s="19"/>
      <c r="E57" s="19"/>
      <c r="F57" s="20"/>
      <c r="G57" s="19"/>
      <c r="H57" s="19"/>
      <c r="I57" s="20"/>
      <c r="J57" s="19"/>
      <c r="K57" s="19"/>
    </row>
    <row r="58" spans="1:11" ht="14.25">
      <c r="A58" s="19"/>
      <c r="B58" s="31"/>
      <c r="C58" s="19"/>
      <c r="D58" s="19"/>
      <c r="E58" s="19"/>
      <c r="F58" s="20"/>
      <c r="G58" s="19"/>
      <c r="H58" s="19"/>
      <c r="I58" s="20"/>
      <c r="J58" s="19"/>
      <c r="K58" s="19"/>
    </row>
    <row r="59" spans="1:11" ht="14.25">
      <c r="A59" s="19"/>
      <c r="B59" s="31"/>
      <c r="C59" s="19"/>
      <c r="D59" s="19"/>
      <c r="E59" s="19"/>
      <c r="F59" s="20"/>
      <c r="G59" s="19"/>
      <c r="H59" s="19"/>
      <c r="I59" s="20"/>
      <c r="J59" s="19"/>
      <c r="K59" s="19"/>
    </row>
    <row r="60" spans="1:11" ht="14.25">
      <c r="A60" s="19"/>
      <c r="B60" s="31"/>
      <c r="C60" s="19"/>
      <c r="D60" s="19"/>
      <c r="E60" s="19"/>
      <c r="F60" s="20"/>
      <c r="G60" s="19"/>
      <c r="H60" s="19"/>
      <c r="I60" s="20"/>
      <c r="J60" s="19"/>
      <c r="K60" s="19"/>
    </row>
    <row r="61" spans="1:11" ht="14.25">
      <c r="A61" s="19"/>
      <c r="B61" s="31"/>
      <c r="C61" s="19"/>
      <c r="D61" s="19"/>
      <c r="E61" s="19"/>
      <c r="F61" s="20"/>
      <c r="G61" s="19"/>
      <c r="H61" s="19"/>
      <c r="I61" s="20"/>
      <c r="J61" s="19"/>
      <c r="K61" s="19"/>
    </row>
    <row r="62" spans="1:11" ht="14.25">
      <c r="A62" s="19"/>
      <c r="B62" s="31"/>
      <c r="C62" s="19"/>
      <c r="D62" s="19"/>
      <c r="E62" s="19"/>
      <c r="F62" s="20"/>
      <c r="G62" s="19"/>
      <c r="H62" s="19"/>
      <c r="I62" s="20"/>
      <c r="J62" s="19"/>
      <c r="K62" s="19"/>
    </row>
    <row r="63" spans="1:11" ht="14.25">
      <c r="A63" s="19"/>
      <c r="B63" s="31"/>
      <c r="C63" s="19"/>
      <c r="D63" s="19"/>
      <c r="E63" s="19"/>
      <c r="F63" s="20"/>
      <c r="G63" s="19"/>
      <c r="H63" s="19"/>
      <c r="I63" s="20"/>
      <c r="J63" s="19"/>
      <c r="K63" s="19"/>
    </row>
    <row r="64" spans="1:11" ht="14.25">
      <c r="A64" s="19"/>
      <c r="B64" s="31"/>
      <c r="C64" s="19"/>
      <c r="D64" s="19"/>
      <c r="E64" s="19"/>
      <c r="F64" s="20"/>
      <c r="G64" s="19"/>
      <c r="H64" s="19"/>
      <c r="I64" s="20"/>
      <c r="J64" s="19"/>
      <c r="K64" s="19"/>
    </row>
    <row r="65" spans="1:11" ht="14.25">
      <c r="A65" s="19"/>
      <c r="B65" s="31"/>
      <c r="C65" s="19"/>
      <c r="D65" s="19"/>
      <c r="E65" s="19"/>
      <c r="F65" s="20"/>
      <c r="G65" s="19"/>
      <c r="H65" s="19"/>
      <c r="I65" s="20"/>
      <c r="J65" s="19"/>
      <c r="K65" s="19"/>
    </row>
    <row r="66" spans="1:11" ht="14.25">
      <c r="A66" s="19"/>
      <c r="B66" s="31"/>
      <c r="C66" s="19"/>
      <c r="D66" s="19"/>
      <c r="E66" s="19"/>
      <c r="F66" s="20"/>
      <c r="G66" s="19"/>
      <c r="H66" s="19"/>
      <c r="I66" s="20"/>
      <c r="J66" s="19"/>
      <c r="K66" s="19"/>
    </row>
    <row r="67" spans="1:11" ht="14.25">
      <c r="A67" s="19"/>
      <c r="B67" s="31"/>
      <c r="C67" s="19"/>
      <c r="D67" s="19"/>
      <c r="E67" s="19"/>
      <c r="F67" s="20"/>
      <c r="G67" s="19"/>
      <c r="H67" s="19"/>
      <c r="I67" s="20"/>
      <c r="J67" s="19"/>
      <c r="K67" s="19"/>
    </row>
    <row r="68" spans="1:11" ht="14.25">
      <c r="A68" s="19"/>
      <c r="B68" s="31"/>
      <c r="C68" s="19"/>
      <c r="D68" s="19"/>
      <c r="E68" s="19"/>
      <c r="F68" s="20"/>
      <c r="G68" s="19"/>
      <c r="H68" s="19"/>
      <c r="I68" s="20"/>
      <c r="J68" s="19"/>
      <c r="K68" s="19"/>
    </row>
    <row r="69" spans="1:11" ht="14.25">
      <c r="A69" s="19"/>
      <c r="B69" s="31"/>
      <c r="C69" s="19"/>
      <c r="D69" s="19"/>
      <c r="E69" s="19"/>
      <c r="F69" s="20"/>
      <c r="G69" s="19"/>
      <c r="H69" s="19"/>
      <c r="I69" s="20"/>
      <c r="J69" s="19"/>
      <c r="K69" s="19"/>
    </row>
    <row r="70" spans="1:11" ht="14.25">
      <c r="A70" s="19"/>
      <c r="B70" s="31"/>
      <c r="C70" s="19"/>
      <c r="D70" s="19"/>
      <c r="E70" s="19"/>
      <c r="F70" s="20"/>
      <c r="G70" s="19"/>
      <c r="H70" s="19"/>
      <c r="I70" s="20"/>
      <c r="J70" s="19"/>
      <c r="K70" s="19"/>
    </row>
    <row r="71" spans="1:11" ht="14.25">
      <c r="A71" s="19"/>
      <c r="B71" s="31"/>
      <c r="C71" s="19"/>
      <c r="D71" s="19"/>
      <c r="E71" s="19"/>
      <c r="F71" s="20"/>
      <c r="G71" s="19"/>
      <c r="H71" s="19"/>
      <c r="I71" s="20"/>
      <c r="J71" s="19"/>
      <c r="K71" s="19"/>
    </row>
    <row r="72" spans="1:11" ht="14.25">
      <c r="A72" s="19"/>
      <c r="B72" s="31"/>
      <c r="C72" s="19"/>
      <c r="D72" s="19"/>
      <c r="E72" s="19"/>
      <c r="F72" s="20"/>
      <c r="G72" s="19"/>
      <c r="H72" s="19"/>
      <c r="I72" s="20"/>
      <c r="J72" s="19"/>
      <c r="K72" s="19"/>
    </row>
    <row r="73" spans="1:11" ht="14.25">
      <c r="A73" s="19"/>
      <c r="B73" s="31"/>
      <c r="C73" s="19"/>
      <c r="D73" s="19"/>
      <c r="E73" s="19"/>
      <c r="F73" s="20"/>
      <c r="G73" s="19"/>
      <c r="H73" s="19"/>
      <c r="I73" s="20"/>
      <c r="J73" s="19"/>
      <c r="K73" s="19"/>
    </row>
    <row r="74" spans="1:11" ht="14.25">
      <c r="A74" s="19"/>
      <c r="B74" s="31"/>
      <c r="C74" s="19"/>
      <c r="D74" s="19"/>
      <c r="E74" s="19"/>
      <c r="F74" s="20"/>
      <c r="G74" s="19"/>
      <c r="H74" s="19"/>
      <c r="I74" s="20"/>
      <c r="J74" s="19"/>
      <c r="K74" s="19"/>
    </row>
    <row r="75" spans="1:11" ht="14.25">
      <c r="A75" s="19"/>
      <c r="B75" s="31"/>
      <c r="C75" s="19"/>
      <c r="D75" s="19"/>
      <c r="E75" s="19"/>
      <c r="F75" s="20"/>
      <c r="G75" s="19"/>
      <c r="H75" s="19"/>
      <c r="I75" s="20"/>
      <c r="J75" s="19"/>
      <c r="K75" s="19"/>
    </row>
    <row r="76" spans="1:11" ht="14.25">
      <c r="A76" s="19"/>
      <c r="B76" s="31"/>
      <c r="C76" s="19"/>
      <c r="D76" s="19"/>
      <c r="E76" s="19"/>
      <c r="F76" s="20"/>
      <c r="G76" s="19"/>
      <c r="H76" s="19"/>
      <c r="I76" s="20"/>
      <c r="J76" s="19"/>
      <c r="K76" s="19"/>
    </row>
    <row r="77" spans="1:11" ht="14.25">
      <c r="A77" s="19"/>
      <c r="B77" s="31"/>
      <c r="C77" s="19"/>
      <c r="D77" s="19"/>
      <c r="E77" s="19"/>
      <c r="F77" s="20"/>
      <c r="G77" s="19"/>
      <c r="H77" s="19"/>
      <c r="I77" s="20"/>
      <c r="J77" s="19"/>
      <c r="K77" s="19"/>
    </row>
    <row r="78" spans="1:11" ht="14.25">
      <c r="A78" s="19"/>
      <c r="B78" s="31"/>
      <c r="C78" s="19"/>
      <c r="D78" s="19"/>
      <c r="E78" s="19"/>
      <c r="F78" s="20"/>
      <c r="G78" s="19"/>
      <c r="H78" s="19"/>
      <c r="I78" s="20"/>
      <c r="J78" s="19"/>
      <c r="K78" s="19"/>
    </row>
    <row r="79" spans="1:11" ht="14.25">
      <c r="A79" s="19"/>
      <c r="B79" s="31"/>
      <c r="C79" s="19"/>
      <c r="D79" s="19"/>
      <c r="E79" s="19"/>
      <c r="F79" s="20"/>
      <c r="G79" s="19"/>
      <c r="H79" s="19"/>
      <c r="I79" s="20"/>
      <c r="J79" s="19"/>
      <c r="K79" s="19"/>
    </row>
    <row r="80" spans="1:11" ht="14.25">
      <c r="A80" s="19"/>
      <c r="B80" s="31"/>
      <c r="C80" s="19"/>
      <c r="D80" s="19"/>
      <c r="E80" s="19"/>
      <c r="F80" s="20"/>
      <c r="G80" s="19"/>
      <c r="H80" s="19"/>
      <c r="I80" s="20"/>
      <c r="J80" s="19"/>
      <c r="K80" s="19"/>
    </row>
    <row r="81" spans="1:11" ht="14.25">
      <c r="A81" s="19"/>
      <c r="B81" s="31"/>
      <c r="C81" s="19"/>
      <c r="D81" s="19"/>
      <c r="E81" s="19"/>
      <c r="F81" s="20"/>
      <c r="G81" s="19"/>
      <c r="H81" s="19"/>
      <c r="I81" s="20"/>
      <c r="J81" s="19"/>
      <c r="K81" s="19"/>
    </row>
    <row r="82" spans="1:11" ht="14.25">
      <c r="A82" s="19"/>
      <c r="B82" s="31"/>
      <c r="C82" s="19"/>
      <c r="D82" s="19"/>
      <c r="E82" s="19"/>
      <c r="F82" s="20"/>
      <c r="G82" s="19"/>
      <c r="H82" s="19"/>
      <c r="I82" s="20"/>
      <c r="J82" s="19"/>
      <c r="K82" s="19"/>
    </row>
    <row r="83" spans="1:11" ht="14.25">
      <c r="A83" s="19"/>
      <c r="B83" s="31"/>
      <c r="C83" s="19"/>
      <c r="D83" s="19"/>
      <c r="E83" s="19"/>
      <c r="F83" s="20"/>
      <c r="G83" s="19"/>
      <c r="H83" s="19"/>
      <c r="I83" s="20"/>
      <c r="J83" s="19"/>
      <c r="K83" s="19"/>
    </row>
    <row r="84" spans="1:11" ht="14.25">
      <c r="A84" s="19"/>
      <c r="B84" s="31"/>
      <c r="C84" s="19"/>
      <c r="D84" s="19"/>
      <c r="E84" s="19"/>
      <c r="F84" s="20"/>
      <c r="G84" s="19"/>
      <c r="H84" s="19"/>
      <c r="I84" s="20"/>
      <c r="J84" s="19"/>
      <c r="K84" s="19"/>
    </row>
    <row r="85" spans="1:11" ht="14.25">
      <c r="A85" s="19"/>
      <c r="B85" s="31"/>
      <c r="C85" s="19"/>
      <c r="D85" s="19"/>
      <c r="E85" s="19"/>
      <c r="F85" s="20"/>
      <c r="G85" s="19"/>
      <c r="H85" s="19"/>
      <c r="I85" s="20"/>
      <c r="J85" s="19"/>
      <c r="K85" s="19"/>
    </row>
    <row r="86" spans="1:11" ht="14.25">
      <c r="A86" s="19"/>
      <c r="B86" s="31"/>
      <c r="C86" s="19"/>
      <c r="D86" s="19"/>
      <c r="E86" s="19"/>
      <c r="F86" s="20"/>
      <c r="G86" s="19"/>
      <c r="H86" s="19"/>
      <c r="I86" s="20"/>
      <c r="J86" s="19"/>
      <c r="K86" s="19"/>
    </row>
    <row r="87" spans="1:11" ht="14.25">
      <c r="A87" s="19"/>
      <c r="B87" s="31"/>
      <c r="C87" s="19"/>
      <c r="D87" s="19"/>
      <c r="E87" s="19"/>
      <c r="F87" s="20"/>
      <c r="G87" s="19"/>
      <c r="H87" s="19"/>
      <c r="I87" s="20"/>
      <c r="J87" s="19"/>
      <c r="K87" s="19"/>
    </row>
    <row r="88" spans="1:11" ht="14.25">
      <c r="A88" s="19"/>
      <c r="B88" s="31"/>
      <c r="C88" s="19"/>
      <c r="D88" s="19"/>
      <c r="E88" s="19"/>
      <c r="F88" s="20"/>
      <c r="G88" s="19"/>
      <c r="H88" s="19"/>
      <c r="I88" s="20"/>
      <c r="J88" s="19"/>
      <c r="K88" s="19"/>
    </row>
    <row r="89" spans="1:11" ht="14.25">
      <c r="A89" s="19"/>
      <c r="B89" s="31"/>
      <c r="C89" s="19"/>
      <c r="D89" s="19"/>
      <c r="E89" s="19"/>
      <c r="F89" s="20"/>
      <c r="G89" s="19"/>
      <c r="H89" s="19"/>
      <c r="I89" s="20"/>
      <c r="J89" s="19"/>
      <c r="K89" s="19"/>
    </row>
    <row r="90" spans="1:11" ht="14.25">
      <c r="A90" s="19"/>
      <c r="B90" s="31"/>
      <c r="C90" s="19"/>
      <c r="D90" s="19"/>
      <c r="E90" s="19"/>
      <c r="F90" s="20"/>
      <c r="G90" s="19"/>
      <c r="H90" s="19"/>
      <c r="I90" s="20"/>
      <c r="J90" s="19"/>
      <c r="K90" s="19"/>
    </row>
    <row r="91" spans="1:11" ht="14.25">
      <c r="A91" s="19"/>
      <c r="B91" s="31"/>
      <c r="C91" s="19"/>
      <c r="D91" s="19"/>
      <c r="E91" s="19"/>
      <c r="F91" s="20"/>
      <c r="G91" s="19"/>
      <c r="H91" s="19"/>
      <c r="I91" s="20"/>
      <c r="J91" s="19"/>
      <c r="K91" s="19"/>
    </row>
    <row r="92" spans="1:11" ht="14.25">
      <c r="A92" s="19"/>
      <c r="B92" s="31"/>
      <c r="C92" s="19"/>
      <c r="D92" s="19"/>
      <c r="E92" s="19"/>
      <c r="F92" s="20"/>
      <c r="G92" s="19"/>
      <c r="H92" s="19"/>
      <c r="I92" s="20"/>
      <c r="J92" s="19"/>
      <c r="K92" s="19"/>
    </row>
    <row r="93" spans="1:11" ht="14.25">
      <c r="A93" s="19"/>
      <c r="B93" s="31"/>
      <c r="C93" s="19"/>
      <c r="D93" s="19"/>
      <c r="E93" s="19"/>
      <c r="F93" s="20"/>
      <c r="G93" s="19"/>
      <c r="H93" s="19"/>
      <c r="I93" s="20"/>
      <c r="J93" s="19"/>
      <c r="K93" s="19"/>
    </row>
    <row r="94" spans="1:11" ht="14.25">
      <c r="A94" s="19"/>
      <c r="B94" s="31"/>
      <c r="C94" s="19"/>
      <c r="D94" s="19"/>
      <c r="E94" s="19"/>
      <c r="F94" s="20"/>
      <c r="G94" s="19"/>
      <c r="H94" s="19"/>
      <c r="I94" s="20"/>
      <c r="J94" s="19"/>
      <c r="K94" s="19"/>
    </row>
    <row r="95" spans="1:11" ht="14.25">
      <c r="A95" s="19"/>
      <c r="B95" s="31"/>
      <c r="C95" s="19"/>
      <c r="D95" s="19"/>
      <c r="E95" s="19"/>
      <c r="F95" s="20"/>
      <c r="G95" s="19"/>
      <c r="H95" s="19"/>
      <c r="I95" s="20"/>
      <c r="J95" s="19"/>
      <c r="K95" s="19"/>
    </row>
    <row r="96" spans="1:11" ht="14.25">
      <c r="A96" s="19"/>
      <c r="B96" s="31"/>
      <c r="C96" s="19"/>
      <c r="D96" s="19"/>
      <c r="E96" s="19"/>
      <c r="F96" s="20"/>
      <c r="G96" s="19"/>
      <c r="H96" s="19"/>
      <c r="I96" s="20"/>
      <c r="J96" s="19"/>
      <c r="K96" s="19"/>
    </row>
    <row r="97" spans="1:11" ht="14.25">
      <c r="A97" s="19"/>
      <c r="B97" s="31"/>
      <c r="C97" s="19"/>
      <c r="D97" s="19"/>
      <c r="E97" s="19"/>
      <c r="F97" s="20"/>
      <c r="G97" s="19"/>
      <c r="H97" s="19"/>
      <c r="I97" s="20"/>
      <c r="J97" s="19"/>
      <c r="K97" s="19"/>
    </row>
    <row r="98" spans="1:11" ht="14.25">
      <c r="A98" s="19"/>
      <c r="B98" s="31"/>
      <c r="C98" s="19"/>
      <c r="D98" s="19"/>
      <c r="E98" s="19"/>
      <c r="F98" s="20"/>
      <c r="G98" s="19"/>
      <c r="H98" s="19"/>
      <c r="I98" s="20"/>
      <c r="J98" s="19"/>
      <c r="K98" s="19"/>
    </row>
    <row r="99" spans="1:11" ht="14.25">
      <c r="A99" s="19"/>
      <c r="B99" s="31"/>
      <c r="C99" s="19"/>
      <c r="D99" s="19"/>
      <c r="E99" s="19"/>
      <c r="F99" s="20"/>
      <c r="G99" s="19"/>
      <c r="H99" s="19"/>
      <c r="I99" s="20"/>
      <c r="J99" s="19"/>
      <c r="K99" s="19"/>
    </row>
    <row r="100" spans="1:11" ht="14.25">
      <c r="A100" s="19"/>
      <c r="B100" s="31"/>
      <c r="C100" s="19"/>
      <c r="D100" s="19"/>
      <c r="E100" s="19"/>
      <c r="F100" s="20"/>
      <c r="G100" s="19"/>
      <c r="H100" s="19"/>
      <c r="I100" s="20"/>
      <c r="J100" s="19"/>
      <c r="K100" s="19"/>
    </row>
    <row r="101" spans="1:11" ht="14.25">
      <c r="A101" s="19"/>
      <c r="B101" s="31"/>
      <c r="C101" s="19"/>
      <c r="D101" s="19"/>
      <c r="E101" s="19"/>
      <c r="F101" s="20"/>
      <c r="G101" s="19"/>
      <c r="H101" s="19"/>
      <c r="I101" s="20"/>
      <c r="J101" s="19"/>
      <c r="K101" s="19"/>
    </row>
    <row r="102" spans="1:11" ht="14.25">
      <c r="A102" s="19"/>
      <c r="B102" s="31"/>
      <c r="C102" s="19"/>
      <c r="D102" s="19"/>
      <c r="E102" s="19"/>
      <c r="F102" s="20"/>
      <c r="G102" s="19"/>
      <c r="H102" s="19"/>
      <c r="I102" s="20"/>
      <c r="J102" s="19"/>
      <c r="K102" s="19"/>
    </row>
    <row r="103" spans="1:11" ht="14.25">
      <c r="A103" s="19"/>
      <c r="B103" s="31"/>
      <c r="C103" s="19"/>
      <c r="D103" s="19"/>
      <c r="E103" s="19"/>
      <c r="F103" s="20"/>
      <c r="G103" s="19"/>
      <c r="H103" s="19"/>
      <c r="I103" s="20"/>
      <c r="J103" s="19"/>
      <c r="K103" s="19"/>
    </row>
    <row r="104" spans="1:11" ht="14.25">
      <c r="A104" s="19"/>
      <c r="B104" s="31"/>
      <c r="C104" s="19"/>
      <c r="D104" s="19"/>
      <c r="E104" s="19"/>
      <c r="F104" s="20"/>
      <c r="G104" s="19"/>
      <c r="H104" s="19"/>
      <c r="I104" s="20"/>
      <c r="J104" s="19"/>
      <c r="K104" s="19"/>
    </row>
    <row r="105" spans="1:11" ht="14.25">
      <c r="A105" s="19"/>
      <c r="B105" s="31"/>
      <c r="C105" s="19"/>
      <c r="D105" s="19"/>
      <c r="E105" s="19"/>
      <c r="F105" s="20"/>
      <c r="G105" s="19"/>
      <c r="H105" s="19"/>
      <c r="I105" s="20"/>
      <c r="J105" s="19"/>
      <c r="K105" s="19"/>
    </row>
    <row r="106" spans="1:11" ht="14.25">
      <c r="A106" s="19"/>
      <c r="B106" s="31"/>
      <c r="C106" s="19"/>
      <c r="D106" s="19"/>
      <c r="E106" s="19"/>
      <c r="F106" s="20"/>
      <c r="G106" s="19"/>
      <c r="H106" s="19"/>
      <c r="I106" s="20"/>
      <c r="J106" s="19"/>
      <c r="K106" s="19"/>
    </row>
    <row r="107" spans="1:11" ht="14.25">
      <c r="A107" s="19"/>
      <c r="B107" s="31"/>
      <c r="C107" s="19"/>
      <c r="D107" s="19"/>
      <c r="E107" s="19"/>
      <c r="F107" s="20"/>
      <c r="G107" s="19"/>
      <c r="H107" s="19"/>
      <c r="I107" s="20"/>
      <c r="J107" s="19"/>
      <c r="K107" s="19"/>
    </row>
    <row r="108" spans="1:11" ht="14.25">
      <c r="A108" s="19"/>
      <c r="B108" s="31"/>
      <c r="C108" s="19"/>
      <c r="D108" s="19"/>
      <c r="E108" s="19"/>
      <c r="F108" s="20"/>
      <c r="G108" s="19"/>
      <c r="H108" s="19"/>
      <c r="I108" s="20"/>
      <c r="J108" s="19"/>
      <c r="K108" s="19"/>
    </row>
    <row r="109" spans="1:11" ht="14.25">
      <c r="A109" s="19"/>
      <c r="B109" s="31"/>
      <c r="C109" s="19"/>
      <c r="D109" s="19"/>
      <c r="E109" s="19"/>
      <c r="F109" s="20"/>
      <c r="G109" s="19"/>
      <c r="H109" s="19"/>
      <c r="I109" s="20"/>
      <c r="J109" s="19"/>
      <c r="K109" s="19"/>
    </row>
    <row r="110" spans="1:11" ht="14.25">
      <c r="A110" s="19"/>
      <c r="B110" s="31"/>
      <c r="C110" s="19"/>
      <c r="D110" s="19"/>
      <c r="E110" s="19"/>
      <c r="F110" s="20"/>
      <c r="G110" s="19"/>
      <c r="H110" s="19"/>
      <c r="I110" s="20"/>
      <c r="J110" s="19"/>
      <c r="K110" s="19"/>
    </row>
    <row r="111" spans="1:11" ht="14.25">
      <c r="A111" s="19"/>
      <c r="B111" s="31"/>
      <c r="C111" s="19"/>
      <c r="D111" s="19"/>
      <c r="E111" s="19"/>
      <c r="F111" s="20"/>
      <c r="G111" s="19"/>
      <c r="H111" s="19"/>
      <c r="I111" s="20"/>
      <c r="J111" s="19"/>
      <c r="K111" s="19"/>
    </row>
    <row r="112" spans="1:11" ht="14.25">
      <c r="A112" s="19"/>
      <c r="B112" s="31"/>
      <c r="C112" s="19"/>
      <c r="D112" s="19"/>
      <c r="E112" s="19"/>
      <c r="F112" s="20"/>
      <c r="G112" s="19"/>
      <c r="H112" s="19"/>
      <c r="I112" s="20"/>
      <c r="J112" s="19"/>
      <c r="K112" s="19"/>
    </row>
    <row r="113" spans="1:11" ht="14.25">
      <c r="A113" s="19"/>
      <c r="B113" s="31"/>
      <c r="C113" s="19"/>
      <c r="D113" s="19"/>
      <c r="E113" s="19"/>
      <c r="F113" s="20"/>
      <c r="G113" s="19"/>
      <c r="H113" s="19"/>
      <c r="I113" s="20"/>
      <c r="J113" s="19"/>
      <c r="K113" s="19"/>
    </row>
    <row r="114" spans="1:11" ht="14.25">
      <c r="A114" s="19"/>
      <c r="B114" s="31"/>
      <c r="C114" s="19"/>
      <c r="D114" s="19"/>
      <c r="E114" s="19"/>
      <c r="F114" s="20"/>
      <c r="G114" s="19"/>
      <c r="H114" s="19"/>
      <c r="I114" s="20"/>
      <c r="J114" s="19"/>
      <c r="K114" s="19"/>
    </row>
    <row r="115" spans="1:11" ht="14.25">
      <c r="A115" s="19"/>
      <c r="B115" s="31"/>
      <c r="C115" s="19"/>
      <c r="D115" s="19"/>
      <c r="E115" s="19"/>
      <c r="F115" s="20"/>
      <c r="G115" s="19"/>
      <c r="H115" s="19"/>
      <c r="I115" s="20"/>
      <c r="J115" s="19"/>
      <c r="K115" s="19"/>
    </row>
    <row r="116" spans="1:11" ht="14.25">
      <c r="A116" s="19"/>
      <c r="B116" s="31"/>
      <c r="C116" s="19"/>
      <c r="D116" s="19"/>
      <c r="E116" s="19"/>
      <c r="F116" s="20"/>
      <c r="G116" s="19"/>
      <c r="H116" s="19"/>
      <c r="I116" s="20"/>
      <c r="J116" s="19"/>
      <c r="K116" s="19"/>
    </row>
    <row r="117" spans="1:11" ht="14.25">
      <c r="A117" s="19"/>
      <c r="B117" s="31"/>
      <c r="C117" s="19"/>
      <c r="D117" s="19"/>
      <c r="E117" s="19"/>
      <c r="F117" s="20"/>
      <c r="G117" s="19"/>
      <c r="H117" s="19"/>
      <c r="I117" s="20"/>
      <c r="J117" s="19"/>
      <c r="K117" s="19"/>
    </row>
    <row r="118" spans="1:11" ht="14.25">
      <c r="A118" s="19"/>
      <c r="B118" s="31"/>
      <c r="C118" s="19"/>
      <c r="D118" s="19"/>
      <c r="E118" s="19"/>
      <c r="F118" s="20"/>
      <c r="G118" s="19"/>
      <c r="H118" s="19"/>
      <c r="I118" s="20"/>
      <c r="J118" s="19"/>
      <c r="K118" s="19"/>
    </row>
    <row r="119" spans="1:11" ht="14.25">
      <c r="A119" s="19"/>
      <c r="B119" s="31"/>
      <c r="C119" s="19"/>
      <c r="D119" s="19"/>
      <c r="E119" s="19"/>
      <c r="F119" s="20"/>
      <c r="G119" s="19"/>
      <c r="H119" s="19"/>
      <c r="I119" s="20"/>
      <c r="J119" s="19"/>
      <c r="K119" s="19"/>
    </row>
    <row r="120" spans="1:11" ht="14.25">
      <c r="A120" s="19"/>
      <c r="B120" s="31"/>
      <c r="C120" s="19"/>
      <c r="D120" s="19"/>
      <c r="E120" s="19"/>
      <c r="F120" s="20"/>
      <c r="G120" s="19"/>
      <c r="H120" s="19"/>
      <c r="I120" s="20"/>
      <c r="J120" s="19"/>
      <c r="K120" s="19"/>
    </row>
    <row r="121" spans="1:11" ht="14.25">
      <c r="A121" s="19"/>
      <c r="B121" s="31"/>
      <c r="C121" s="19"/>
      <c r="D121" s="19"/>
      <c r="E121" s="19"/>
      <c r="F121" s="20"/>
      <c r="G121" s="19"/>
      <c r="H121" s="19"/>
      <c r="I121" s="20"/>
      <c r="J121" s="19"/>
      <c r="K121" s="19"/>
    </row>
    <row r="122" spans="1:11" ht="14.25">
      <c r="A122" s="19"/>
      <c r="B122" s="31"/>
      <c r="C122" s="19"/>
      <c r="D122" s="19"/>
      <c r="E122" s="19"/>
      <c r="F122" s="20"/>
      <c r="G122" s="19"/>
      <c r="H122" s="19"/>
      <c r="I122" s="20"/>
      <c r="J122" s="19"/>
      <c r="K122" s="19"/>
    </row>
    <row r="123" spans="1:11" ht="14.25">
      <c r="A123" s="19"/>
      <c r="B123" s="31"/>
      <c r="C123" s="19"/>
      <c r="D123" s="19"/>
      <c r="E123" s="19"/>
      <c r="F123" s="20"/>
      <c r="G123" s="19"/>
      <c r="H123" s="19"/>
      <c r="I123" s="20"/>
      <c r="J123" s="19"/>
      <c r="K123" s="19"/>
    </row>
    <row r="124" spans="1:11" ht="14.25">
      <c r="A124" s="19"/>
      <c r="B124" s="31"/>
      <c r="C124" s="19"/>
      <c r="D124" s="19"/>
      <c r="E124" s="19"/>
      <c r="F124" s="20"/>
      <c r="G124" s="19"/>
      <c r="H124" s="19"/>
      <c r="I124" s="20"/>
      <c r="J124" s="19"/>
      <c r="K124" s="19"/>
    </row>
    <row r="125" spans="1:11" ht="14.25">
      <c r="A125" s="19"/>
      <c r="B125" s="31"/>
      <c r="C125" s="19"/>
      <c r="D125" s="19"/>
      <c r="E125" s="19"/>
      <c r="F125" s="20"/>
      <c r="G125" s="19"/>
      <c r="H125" s="19"/>
      <c r="I125" s="20"/>
      <c r="J125" s="19"/>
      <c r="K125" s="19"/>
    </row>
    <row r="126" spans="1:11" ht="14.25">
      <c r="A126" s="19"/>
      <c r="B126" s="31"/>
      <c r="C126" s="19"/>
      <c r="D126" s="19"/>
      <c r="E126" s="19"/>
      <c r="F126" s="20"/>
      <c r="G126" s="19"/>
      <c r="H126" s="19"/>
      <c r="I126" s="20"/>
      <c r="J126" s="19"/>
      <c r="K126" s="19"/>
    </row>
    <row r="127" spans="1:11" ht="14.25">
      <c r="A127" s="19"/>
      <c r="B127" s="31"/>
      <c r="C127" s="19"/>
      <c r="D127" s="19"/>
      <c r="E127" s="19"/>
      <c r="F127" s="20"/>
      <c r="G127" s="19"/>
      <c r="H127" s="19"/>
      <c r="I127" s="20"/>
      <c r="J127" s="19"/>
      <c r="K127" s="19"/>
    </row>
    <row r="128" spans="1:11" ht="14.25">
      <c r="A128" s="19"/>
      <c r="B128" s="31"/>
      <c r="C128" s="19"/>
      <c r="D128" s="19"/>
      <c r="E128" s="19"/>
      <c r="F128" s="20"/>
      <c r="G128" s="19"/>
      <c r="H128" s="19"/>
      <c r="I128" s="20"/>
      <c r="J128" s="19"/>
      <c r="K128" s="19"/>
    </row>
    <row r="129" spans="1:11" ht="14.25">
      <c r="A129" s="19"/>
      <c r="B129" s="31"/>
      <c r="C129" s="19"/>
      <c r="D129" s="19"/>
      <c r="E129" s="19"/>
      <c r="F129" s="20"/>
      <c r="G129" s="19"/>
      <c r="H129" s="19"/>
      <c r="I129" s="20"/>
      <c r="J129" s="19"/>
      <c r="K129" s="19"/>
    </row>
    <row r="130" spans="1:11" ht="14.25">
      <c r="A130" s="19"/>
      <c r="B130" s="31"/>
      <c r="C130" s="19"/>
      <c r="D130" s="19"/>
      <c r="E130" s="19"/>
      <c r="F130" s="20"/>
      <c r="G130" s="19"/>
      <c r="H130" s="19"/>
      <c r="I130" s="20"/>
      <c r="J130" s="19"/>
      <c r="K130" s="19"/>
    </row>
    <row r="131" spans="1:11" ht="14.25">
      <c r="A131" s="19"/>
      <c r="B131" s="31"/>
      <c r="C131" s="19"/>
      <c r="D131" s="19"/>
      <c r="E131" s="19"/>
      <c r="F131" s="20"/>
      <c r="G131" s="19"/>
      <c r="H131" s="19"/>
      <c r="I131" s="20"/>
      <c r="J131" s="19"/>
      <c r="K131" s="19"/>
    </row>
    <row r="132" spans="1:11" ht="14.25">
      <c r="A132" s="19"/>
      <c r="B132" s="31"/>
      <c r="C132" s="19"/>
      <c r="D132" s="19"/>
      <c r="E132" s="19"/>
      <c r="F132" s="20"/>
      <c r="G132" s="19"/>
      <c r="H132" s="19"/>
      <c r="I132" s="20"/>
      <c r="J132" s="19"/>
      <c r="K132" s="19"/>
    </row>
    <row r="133" spans="1:11" ht="14.25">
      <c r="A133" s="19"/>
      <c r="B133" s="31"/>
      <c r="C133" s="19"/>
      <c r="D133" s="19"/>
      <c r="E133" s="19"/>
      <c r="F133" s="20"/>
      <c r="G133" s="19"/>
      <c r="H133" s="19"/>
      <c r="I133" s="20"/>
      <c r="J133" s="19"/>
      <c r="K133" s="19"/>
    </row>
    <row r="134" spans="1:11" ht="14.25">
      <c r="A134" s="19"/>
      <c r="B134" s="31"/>
      <c r="C134" s="19"/>
      <c r="D134" s="19"/>
      <c r="E134" s="19"/>
      <c r="F134" s="20"/>
      <c r="G134" s="19"/>
      <c r="H134" s="19"/>
      <c r="I134" s="20"/>
      <c r="J134" s="19"/>
      <c r="K134" s="19"/>
    </row>
    <row r="135" spans="1:11" ht="14.25">
      <c r="A135" s="19"/>
      <c r="B135" s="31"/>
      <c r="C135" s="19"/>
      <c r="D135" s="19"/>
      <c r="E135" s="19"/>
      <c r="F135" s="20"/>
      <c r="G135" s="19"/>
      <c r="H135" s="19"/>
      <c r="I135" s="20"/>
      <c r="J135" s="19"/>
      <c r="K135" s="19"/>
    </row>
    <row r="136" spans="1:11" ht="14.25">
      <c r="A136" s="19"/>
      <c r="B136" s="31"/>
      <c r="C136" s="19"/>
      <c r="D136" s="19"/>
      <c r="E136" s="19"/>
      <c r="F136" s="20"/>
      <c r="G136" s="19"/>
      <c r="H136" s="19"/>
      <c r="I136" s="20"/>
      <c r="J136" s="19"/>
      <c r="K136" s="19"/>
    </row>
    <row r="137" spans="1:11" ht="14.25">
      <c r="A137" s="19"/>
      <c r="B137" s="31"/>
      <c r="C137" s="19"/>
      <c r="D137" s="19"/>
      <c r="E137" s="19"/>
      <c r="F137" s="20"/>
      <c r="G137" s="19"/>
      <c r="H137" s="19"/>
      <c r="I137" s="20"/>
      <c r="J137" s="19"/>
      <c r="K137" s="19"/>
    </row>
    <row r="138" spans="1:11" ht="14.25">
      <c r="A138" s="19"/>
      <c r="B138" s="31"/>
      <c r="C138" s="19"/>
      <c r="D138" s="19"/>
      <c r="E138" s="19"/>
      <c r="F138" s="20"/>
      <c r="G138" s="19"/>
      <c r="H138" s="19"/>
      <c r="I138" s="20"/>
      <c r="J138" s="19"/>
      <c r="K138" s="19"/>
    </row>
    <row r="139" spans="1:11" ht="14.25">
      <c r="A139" s="19"/>
      <c r="B139" s="31"/>
      <c r="C139" s="19"/>
      <c r="D139" s="19"/>
      <c r="E139" s="19"/>
      <c r="F139" s="20"/>
      <c r="G139" s="19"/>
      <c r="H139" s="19"/>
      <c r="I139" s="20"/>
      <c r="J139" s="19"/>
      <c r="K139" s="19"/>
    </row>
    <row r="140" spans="1:11" ht="14.25">
      <c r="A140" s="19"/>
      <c r="B140" s="31"/>
      <c r="C140" s="19"/>
      <c r="D140" s="19"/>
      <c r="E140" s="19"/>
      <c r="F140" s="20"/>
      <c r="G140" s="19"/>
      <c r="H140" s="19"/>
      <c r="I140" s="20"/>
      <c r="J140" s="19"/>
      <c r="K140" s="19"/>
    </row>
    <row r="141" spans="1:11" ht="14.25">
      <c r="A141" s="19"/>
      <c r="B141" s="31"/>
      <c r="C141" s="19"/>
      <c r="D141" s="19"/>
      <c r="E141" s="19"/>
      <c r="F141" s="20"/>
      <c r="G141" s="19"/>
      <c r="H141" s="19"/>
      <c r="I141" s="20"/>
      <c r="J141" s="19"/>
      <c r="K141" s="19"/>
    </row>
    <row r="142" spans="1:11" ht="14.25">
      <c r="A142" s="19"/>
      <c r="B142" s="31"/>
      <c r="C142" s="19"/>
      <c r="D142" s="19"/>
      <c r="E142" s="19"/>
      <c r="F142" s="20"/>
      <c r="G142" s="19"/>
      <c r="H142" s="19"/>
      <c r="I142" s="20"/>
      <c r="J142" s="19"/>
      <c r="K142" s="19"/>
    </row>
    <row r="143" spans="1:11" ht="14.25">
      <c r="A143" s="19"/>
      <c r="B143" s="31"/>
      <c r="C143" s="19"/>
      <c r="D143" s="19"/>
      <c r="E143" s="19"/>
      <c r="F143" s="20"/>
      <c r="G143" s="19"/>
      <c r="H143" s="19"/>
      <c r="I143" s="20"/>
      <c r="J143" s="19"/>
      <c r="K143" s="19"/>
    </row>
    <row r="144" spans="1:11" ht="14.25">
      <c r="A144" s="19"/>
      <c r="B144" s="31"/>
      <c r="C144" s="19"/>
      <c r="D144" s="19"/>
      <c r="E144" s="19"/>
      <c r="F144" s="20"/>
      <c r="G144" s="19"/>
      <c r="H144" s="19"/>
      <c r="I144" s="20"/>
      <c r="J144" s="19"/>
      <c r="K144" s="19"/>
    </row>
    <row r="145" spans="1:11" ht="14.25">
      <c r="A145" s="19"/>
      <c r="B145" s="31"/>
      <c r="C145" s="19"/>
      <c r="D145" s="19"/>
      <c r="E145" s="19"/>
      <c r="F145" s="20"/>
      <c r="G145" s="19"/>
      <c r="H145" s="19"/>
      <c r="I145" s="20"/>
      <c r="J145" s="19"/>
      <c r="K145" s="19"/>
    </row>
    <row r="146" spans="1:11" ht="14.25">
      <c r="A146" s="19"/>
      <c r="B146" s="31"/>
      <c r="C146" s="19"/>
      <c r="D146" s="19"/>
      <c r="E146" s="19"/>
      <c r="F146" s="20"/>
      <c r="G146" s="19"/>
      <c r="H146" s="19"/>
      <c r="I146" s="20"/>
      <c r="J146" s="19"/>
      <c r="K146" s="19"/>
    </row>
    <row r="147" spans="1:11" ht="14.25">
      <c r="A147" s="19"/>
      <c r="B147" s="31"/>
      <c r="C147" s="19"/>
      <c r="D147" s="19"/>
      <c r="E147" s="19"/>
      <c r="F147" s="20"/>
      <c r="G147" s="19"/>
      <c r="H147" s="19"/>
      <c r="I147" s="20"/>
      <c r="J147" s="19"/>
      <c r="K147" s="19"/>
    </row>
    <row r="148" spans="1:11" ht="14.25">
      <c r="A148" s="19"/>
      <c r="B148" s="31"/>
      <c r="C148" s="19"/>
      <c r="D148" s="19"/>
      <c r="E148" s="19"/>
      <c r="F148" s="20"/>
      <c r="G148" s="19"/>
      <c r="H148" s="19"/>
      <c r="I148" s="20"/>
      <c r="J148" s="19"/>
      <c r="K148" s="19"/>
    </row>
    <row r="149" spans="1:11" ht="14.25">
      <c r="A149" s="19"/>
      <c r="B149" s="31"/>
      <c r="C149" s="19"/>
      <c r="D149" s="19"/>
      <c r="E149" s="19"/>
      <c r="F149" s="20"/>
      <c r="G149" s="19"/>
      <c r="H149" s="19"/>
      <c r="I149" s="20"/>
      <c r="J149" s="19"/>
      <c r="K149" s="19"/>
    </row>
    <row r="150" spans="1:11" ht="14.25">
      <c r="A150" s="19"/>
      <c r="B150" s="31"/>
      <c r="C150" s="19"/>
      <c r="D150" s="19"/>
      <c r="E150" s="19"/>
      <c r="F150" s="20"/>
      <c r="G150" s="19"/>
      <c r="H150" s="19"/>
      <c r="I150" s="20"/>
      <c r="J150" s="19"/>
      <c r="K150" s="19"/>
    </row>
    <row r="151" spans="1:11" ht="14.25">
      <c r="A151" s="19"/>
      <c r="B151" s="31"/>
      <c r="C151" s="19"/>
      <c r="D151" s="19"/>
      <c r="E151" s="19"/>
      <c r="F151" s="20"/>
      <c r="G151" s="19"/>
      <c r="H151" s="19"/>
      <c r="I151" s="20"/>
      <c r="J151" s="19"/>
      <c r="K151" s="19"/>
    </row>
    <row r="152" spans="1:11" ht="14.25">
      <c r="A152" s="19"/>
      <c r="B152" s="31"/>
      <c r="C152" s="19"/>
      <c r="D152" s="19"/>
      <c r="E152" s="19"/>
      <c r="F152" s="20"/>
      <c r="G152" s="19"/>
      <c r="H152" s="19"/>
      <c r="I152" s="20"/>
      <c r="J152" s="19"/>
      <c r="K152" s="19"/>
    </row>
    <row r="153" spans="1:11" ht="14.25">
      <c r="A153" s="19"/>
      <c r="B153" s="31"/>
      <c r="C153" s="19"/>
      <c r="D153" s="19"/>
      <c r="E153" s="19"/>
      <c r="F153" s="20"/>
      <c r="G153" s="19"/>
      <c r="H153" s="19"/>
      <c r="I153" s="20"/>
      <c r="J153" s="19"/>
      <c r="K153" s="19"/>
    </row>
    <row r="154" spans="1:11" ht="14.25">
      <c r="A154" s="19"/>
      <c r="B154" s="31"/>
      <c r="C154" s="19"/>
      <c r="D154" s="19"/>
      <c r="E154" s="19"/>
      <c r="F154" s="20"/>
      <c r="G154" s="19"/>
      <c r="H154" s="19"/>
      <c r="I154" s="20"/>
      <c r="J154" s="19"/>
      <c r="K154" s="19"/>
    </row>
    <row r="155" spans="1:11" ht="14.25">
      <c r="A155" s="19"/>
      <c r="B155" s="31"/>
      <c r="C155" s="19"/>
      <c r="D155" s="19"/>
      <c r="E155" s="19"/>
      <c r="F155" s="20"/>
      <c r="G155" s="19"/>
      <c r="H155" s="19"/>
      <c r="I155" s="20"/>
      <c r="J155" s="19"/>
      <c r="K155" s="19"/>
    </row>
    <row r="156" spans="1:11" ht="14.25">
      <c r="A156" s="19"/>
      <c r="B156" s="31"/>
      <c r="C156" s="19"/>
      <c r="D156" s="19"/>
      <c r="E156" s="19"/>
      <c r="F156" s="20"/>
      <c r="G156" s="19"/>
      <c r="H156" s="19"/>
      <c r="I156" s="20"/>
      <c r="J156" s="19"/>
      <c r="K156" s="19"/>
    </row>
    <row r="157" spans="1:11" ht="14.25">
      <c r="A157" s="19"/>
      <c r="B157" s="31"/>
      <c r="C157" s="19"/>
      <c r="D157" s="19"/>
      <c r="E157" s="19"/>
      <c r="F157" s="20"/>
      <c r="G157" s="19"/>
      <c r="H157" s="19"/>
      <c r="I157" s="20"/>
      <c r="J157" s="19"/>
      <c r="K157" s="19"/>
    </row>
    <row r="158" spans="1:11" ht="14.25">
      <c r="A158" s="19"/>
      <c r="B158" s="31"/>
      <c r="C158" s="19"/>
      <c r="D158" s="19"/>
      <c r="E158" s="19"/>
      <c r="F158" s="20"/>
      <c r="G158" s="19"/>
      <c r="H158" s="19"/>
      <c r="I158" s="20"/>
      <c r="J158" s="19"/>
      <c r="K158" s="19"/>
    </row>
    <row r="159" spans="1:11" ht="14.25">
      <c r="A159" s="19"/>
      <c r="B159" s="31"/>
      <c r="C159" s="19"/>
      <c r="D159" s="19"/>
      <c r="E159" s="19"/>
      <c r="F159" s="20"/>
      <c r="G159" s="19"/>
      <c r="H159" s="19"/>
      <c r="I159" s="20"/>
      <c r="J159" s="19"/>
      <c r="K159" s="19"/>
    </row>
    <row r="160" spans="1:11" ht="14.25">
      <c r="A160" s="19"/>
      <c r="B160" s="31"/>
      <c r="C160" s="19"/>
      <c r="D160" s="19"/>
      <c r="E160" s="19"/>
      <c r="F160" s="20"/>
      <c r="G160" s="19"/>
      <c r="H160" s="19"/>
      <c r="I160" s="20"/>
      <c r="J160" s="19"/>
      <c r="K160" s="19"/>
    </row>
    <row r="161" spans="1:11" ht="14.25">
      <c r="A161" s="19"/>
      <c r="B161" s="31"/>
      <c r="C161" s="19"/>
      <c r="D161" s="19"/>
      <c r="E161" s="19"/>
      <c r="F161" s="20"/>
      <c r="G161" s="19"/>
      <c r="H161" s="19"/>
      <c r="I161" s="20"/>
      <c r="J161" s="19"/>
      <c r="K161" s="19"/>
    </row>
    <row r="162" spans="1:11" ht="14.25">
      <c r="A162" s="19"/>
      <c r="B162" s="31"/>
      <c r="C162" s="19"/>
      <c r="D162" s="19"/>
      <c r="E162" s="19"/>
      <c r="F162" s="20"/>
      <c r="G162" s="19"/>
      <c r="H162" s="19"/>
      <c r="I162" s="20"/>
      <c r="J162" s="19"/>
      <c r="K162" s="19"/>
    </row>
    <row r="163" spans="1:11" ht="14.25">
      <c r="A163" s="19"/>
      <c r="B163" s="31"/>
      <c r="C163" s="19"/>
      <c r="D163" s="19"/>
      <c r="E163" s="19"/>
      <c r="F163" s="20"/>
      <c r="G163" s="19"/>
      <c r="H163" s="19"/>
      <c r="I163" s="20"/>
      <c r="J163" s="19"/>
      <c r="K163" s="19"/>
    </row>
    <row r="164" spans="1:11" ht="14.25">
      <c r="A164" s="19"/>
      <c r="B164" s="31"/>
      <c r="C164" s="19"/>
      <c r="D164" s="19"/>
      <c r="E164" s="19"/>
      <c r="F164" s="20"/>
      <c r="G164" s="19"/>
      <c r="H164" s="19"/>
      <c r="I164" s="20"/>
      <c r="J164" s="19"/>
      <c r="K164" s="19"/>
    </row>
    <row r="165" spans="1:11" ht="14.25">
      <c r="A165" s="19"/>
      <c r="B165" s="31"/>
      <c r="C165" s="19"/>
      <c r="D165" s="19"/>
      <c r="E165" s="19"/>
      <c r="F165" s="20"/>
      <c r="G165" s="19"/>
      <c r="H165" s="19"/>
      <c r="I165" s="20"/>
      <c r="J165" s="19"/>
      <c r="K165" s="19"/>
    </row>
    <row r="166" spans="1:11" ht="14.25">
      <c r="A166" s="19"/>
      <c r="B166" s="31"/>
      <c r="C166" s="19"/>
      <c r="D166" s="19"/>
      <c r="E166" s="19"/>
      <c r="F166" s="20"/>
      <c r="G166" s="19"/>
      <c r="H166" s="19"/>
      <c r="I166" s="20"/>
      <c r="J166" s="19"/>
      <c r="K166" s="19"/>
    </row>
    <row r="167" spans="1:11" ht="14.25">
      <c r="A167" s="19"/>
      <c r="B167" s="31"/>
      <c r="C167" s="19"/>
      <c r="D167" s="19"/>
      <c r="E167" s="19"/>
      <c r="F167" s="20"/>
      <c r="G167" s="19"/>
      <c r="H167" s="19"/>
      <c r="I167" s="20"/>
      <c r="J167" s="19"/>
      <c r="K167" s="19"/>
    </row>
    <row r="168" spans="1:11" ht="14.25">
      <c r="A168" s="19"/>
      <c r="B168" s="31"/>
      <c r="C168" s="19"/>
      <c r="D168" s="19"/>
      <c r="E168" s="19"/>
      <c r="F168" s="20"/>
      <c r="G168" s="19"/>
      <c r="H168" s="19"/>
      <c r="I168" s="20"/>
      <c r="J168" s="19"/>
      <c r="K168" s="19"/>
    </row>
    <row r="169" spans="1:11" ht="14.25">
      <c r="A169" s="19"/>
      <c r="B169" s="31"/>
      <c r="C169" s="19"/>
      <c r="D169" s="19"/>
      <c r="E169" s="19"/>
      <c r="F169" s="20"/>
      <c r="G169" s="19"/>
      <c r="H169" s="19"/>
      <c r="I169" s="20"/>
      <c r="J169" s="19"/>
      <c r="K169" s="19"/>
    </row>
    <row r="170" spans="1:11" ht="14.25">
      <c r="A170" s="19"/>
      <c r="B170" s="31"/>
      <c r="C170" s="19"/>
      <c r="D170" s="19"/>
      <c r="E170" s="19"/>
      <c r="F170" s="20"/>
      <c r="G170" s="19"/>
      <c r="H170" s="19"/>
      <c r="I170" s="20"/>
      <c r="J170" s="19"/>
      <c r="K170" s="19"/>
    </row>
    <row r="171" spans="1:11" ht="14.25">
      <c r="A171" s="19"/>
      <c r="B171" s="31"/>
      <c r="C171" s="19"/>
      <c r="D171" s="19"/>
      <c r="E171" s="19"/>
      <c r="F171" s="20"/>
      <c r="G171" s="19"/>
      <c r="H171" s="19"/>
      <c r="I171" s="20"/>
      <c r="J171" s="19"/>
      <c r="K171" s="19"/>
    </row>
    <row r="172" spans="1:11" ht="14.25">
      <c r="A172" s="19"/>
      <c r="B172" s="31"/>
      <c r="C172" s="19"/>
      <c r="D172" s="19"/>
      <c r="E172" s="19"/>
      <c r="F172" s="20"/>
      <c r="G172" s="19"/>
      <c r="H172" s="19"/>
      <c r="I172" s="20"/>
      <c r="J172" s="19"/>
      <c r="K172" s="19"/>
    </row>
    <row r="173" spans="1:11" ht="14.25">
      <c r="A173" s="19"/>
      <c r="B173" s="31"/>
      <c r="C173" s="19"/>
      <c r="D173" s="19"/>
      <c r="E173" s="19"/>
      <c r="F173" s="20"/>
      <c r="G173" s="19"/>
      <c r="H173" s="19"/>
      <c r="I173" s="20"/>
      <c r="J173" s="19"/>
      <c r="K173" s="19"/>
    </row>
    <row r="174" spans="1:11" ht="14.25">
      <c r="A174" s="19"/>
      <c r="B174" s="31"/>
      <c r="C174" s="19"/>
      <c r="D174" s="19"/>
      <c r="E174" s="19"/>
      <c r="F174" s="20"/>
      <c r="G174" s="19"/>
      <c r="H174" s="19"/>
      <c r="I174" s="20"/>
      <c r="J174" s="19"/>
      <c r="K174" s="19"/>
    </row>
    <row r="175" spans="1:11" ht="14.25">
      <c r="A175" s="19"/>
      <c r="B175" s="31"/>
      <c r="C175" s="19"/>
      <c r="D175" s="19"/>
      <c r="E175" s="19"/>
      <c r="F175" s="20"/>
      <c r="G175" s="19"/>
      <c r="H175" s="19"/>
      <c r="I175" s="20"/>
      <c r="J175" s="19"/>
      <c r="K175" s="19"/>
    </row>
    <row r="176" spans="1:11" ht="14.25">
      <c r="A176" s="19"/>
      <c r="B176" s="31"/>
      <c r="C176" s="19"/>
      <c r="D176" s="19"/>
      <c r="E176" s="19"/>
      <c r="F176" s="20"/>
      <c r="G176" s="19"/>
      <c r="H176" s="19"/>
      <c r="I176" s="20"/>
      <c r="J176" s="19"/>
      <c r="K176" s="19"/>
    </row>
    <row r="177" spans="1:11" ht="14.25">
      <c r="A177" s="19"/>
      <c r="B177" s="31"/>
      <c r="C177" s="19"/>
      <c r="D177" s="19"/>
      <c r="E177" s="19"/>
      <c r="F177" s="20"/>
      <c r="G177" s="19"/>
      <c r="H177" s="19"/>
      <c r="I177" s="20"/>
      <c r="J177" s="19"/>
      <c r="K177" s="19"/>
    </row>
    <row r="178" spans="1:11" ht="14.25">
      <c r="A178" s="19"/>
      <c r="B178" s="31"/>
      <c r="C178" s="19"/>
      <c r="D178" s="19"/>
      <c r="E178" s="19"/>
      <c r="F178" s="20"/>
      <c r="G178" s="19"/>
      <c r="H178" s="19"/>
      <c r="I178" s="20"/>
      <c r="J178" s="19"/>
      <c r="K178" s="19"/>
    </row>
    <row r="179" spans="1:11" ht="14.25">
      <c r="A179" s="19"/>
      <c r="B179" s="31"/>
      <c r="C179" s="19"/>
      <c r="D179" s="19"/>
      <c r="E179" s="19"/>
      <c r="F179" s="20"/>
      <c r="G179" s="19"/>
      <c r="H179" s="19"/>
      <c r="I179" s="20"/>
      <c r="J179" s="19"/>
      <c r="K179" s="19"/>
    </row>
    <row r="180" spans="1:11" ht="14.25">
      <c r="A180" s="19"/>
      <c r="B180" s="31"/>
      <c r="C180" s="19"/>
      <c r="D180" s="19"/>
      <c r="E180" s="19"/>
      <c r="F180" s="20"/>
      <c r="G180" s="19"/>
      <c r="H180" s="19"/>
      <c r="I180" s="20"/>
      <c r="J180" s="19"/>
      <c r="K180" s="19"/>
    </row>
    <row r="181" spans="1:11" ht="14.25">
      <c r="A181" s="19"/>
      <c r="B181" s="31"/>
      <c r="C181" s="19"/>
      <c r="D181" s="19"/>
      <c r="E181" s="19"/>
      <c r="F181" s="20"/>
      <c r="G181" s="19"/>
      <c r="H181" s="19"/>
      <c r="I181" s="20"/>
      <c r="J181" s="19"/>
      <c r="K181" s="19"/>
    </row>
    <row r="182" spans="1:11" ht="14.25">
      <c r="A182" s="19"/>
      <c r="B182" s="31"/>
      <c r="C182" s="19"/>
      <c r="D182" s="19"/>
      <c r="E182" s="19"/>
      <c r="F182" s="20"/>
      <c r="G182" s="19"/>
      <c r="H182" s="19"/>
      <c r="I182" s="20"/>
      <c r="J182" s="19"/>
      <c r="K182" s="19"/>
    </row>
    <row r="183" spans="1:11" ht="14.25">
      <c r="A183" s="19"/>
      <c r="B183" s="31"/>
      <c r="C183" s="19"/>
      <c r="D183" s="19"/>
      <c r="E183" s="19"/>
      <c r="F183" s="20"/>
      <c r="G183" s="19"/>
      <c r="H183" s="19"/>
      <c r="I183" s="20"/>
      <c r="J183" s="19"/>
      <c r="K183" s="19"/>
    </row>
    <row r="184" spans="1:11" ht="14.25">
      <c r="A184" s="19"/>
      <c r="B184" s="31"/>
      <c r="C184" s="19"/>
      <c r="D184" s="19"/>
      <c r="E184" s="19"/>
      <c r="F184" s="20"/>
      <c r="G184" s="19"/>
      <c r="H184" s="19"/>
      <c r="I184" s="20"/>
      <c r="J184" s="19"/>
      <c r="K184" s="19"/>
    </row>
    <row r="185" spans="1:11" ht="14.25">
      <c r="A185" s="19"/>
      <c r="B185" s="31"/>
      <c r="C185" s="19"/>
      <c r="D185" s="19"/>
      <c r="E185" s="19"/>
      <c r="F185" s="20"/>
      <c r="G185" s="19"/>
      <c r="H185" s="19"/>
      <c r="I185" s="20"/>
      <c r="J185" s="19"/>
      <c r="K185" s="19"/>
    </row>
    <row r="186" spans="1:11" ht="14.25">
      <c r="A186" s="19"/>
      <c r="B186" s="31"/>
      <c r="C186" s="19"/>
      <c r="D186" s="19"/>
      <c r="E186" s="19"/>
      <c r="F186" s="20"/>
      <c r="G186" s="19"/>
      <c r="H186" s="19"/>
      <c r="I186" s="20"/>
      <c r="J186" s="19"/>
      <c r="K186" s="19"/>
    </row>
    <row r="187" spans="1:11" ht="14.25">
      <c r="A187" s="19"/>
      <c r="B187" s="31"/>
      <c r="C187" s="19"/>
      <c r="D187" s="19"/>
      <c r="E187" s="19"/>
      <c r="F187" s="20"/>
      <c r="G187" s="19"/>
      <c r="H187" s="19"/>
      <c r="I187" s="20"/>
      <c r="J187" s="19"/>
      <c r="K187" s="19"/>
    </row>
    <row r="188" spans="1:11" ht="14.25">
      <c r="A188" s="19"/>
      <c r="B188" s="31"/>
      <c r="C188" s="19"/>
      <c r="D188" s="19"/>
      <c r="E188" s="19"/>
      <c r="F188" s="20"/>
      <c r="G188" s="19"/>
      <c r="H188" s="19"/>
      <c r="I188" s="20"/>
      <c r="J188" s="19"/>
      <c r="K188" s="19"/>
    </row>
    <row r="189" spans="1:11" ht="14.25">
      <c r="A189" s="19"/>
      <c r="B189" s="31"/>
      <c r="C189" s="19"/>
      <c r="D189" s="19"/>
      <c r="E189" s="19"/>
      <c r="F189" s="20"/>
      <c r="G189" s="19"/>
      <c r="H189" s="19"/>
      <c r="I189" s="20"/>
      <c r="J189" s="19"/>
      <c r="K189" s="19"/>
    </row>
    <row r="190" spans="1:11" ht="14.25">
      <c r="A190" s="19"/>
      <c r="B190" s="31"/>
      <c r="C190" s="19"/>
      <c r="D190" s="19"/>
      <c r="E190" s="19"/>
      <c r="F190" s="20"/>
      <c r="G190" s="19"/>
      <c r="H190" s="19"/>
      <c r="I190" s="20"/>
      <c r="J190" s="19"/>
      <c r="K190" s="19"/>
    </row>
    <row r="191" spans="1:11" ht="14.25">
      <c r="A191" s="19"/>
      <c r="B191" s="31"/>
      <c r="C191" s="19"/>
      <c r="D191" s="19"/>
      <c r="E191" s="19"/>
      <c r="F191" s="20"/>
      <c r="G191" s="19"/>
      <c r="H191" s="19"/>
      <c r="I191" s="20"/>
      <c r="J191" s="19"/>
      <c r="K191" s="19"/>
    </row>
    <row r="192" spans="1:11" ht="14.25">
      <c r="A192" s="19"/>
      <c r="B192" s="31"/>
      <c r="C192" s="19"/>
      <c r="D192" s="19"/>
      <c r="E192" s="19"/>
      <c r="F192" s="20"/>
      <c r="G192" s="19"/>
      <c r="H192" s="19"/>
      <c r="I192" s="20"/>
      <c r="J192" s="19"/>
      <c r="K192" s="19"/>
    </row>
    <row r="193" spans="1:11" ht="14.25">
      <c r="A193" s="19"/>
      <c r="B193" s="31"/>
      <c r="C193" s="19"/>
      <c r="D193" s="19"/>
      <c r="E193" s="19"/>
      <c r="F193" s="20"/>
      <c r="G193" s="19"/>
      <c r="H193" s="19"/>
      <c r="I193" s="20"/>
      <c r="J193" s="19"/>
      <c r="K193" s="19"/>
    </row>
    <row r="194" spans="1:11" ht="14.25">
      <c r="A194" s="19"/>
      <c r="B194" s="31"/>
      <c r="C194" s="19"/>
      <c r="D194" s="19"/>
      <c r="E194" s="19"/>
      <c r="F194" s="20"/>
      <c r="G194" s="19"/>
      <c r="H194" s="19"/>
      <c r="I194" s="20"/>
      <c r="J194" s="19"/>
      <c r="K194" s="19"/>
    </row>
    <row r="195" spans="1:11" ht="14.25">
      <c r="A195" s="19"/>
      <c r="B195" s="31"/>
      <c r="C195" s="19"/>
      <c r="D195" s="19"/>
      <c r="E195" s="19"/>
      <c r="F195" s="20"/>
      <c r="G195" s="19"/>
      <c r="H195" s="19"/>
      <c r="I195" s="20"/>
      <c r="J195" s="19"/>
      <c r="K195" s="19"/>
    </row>
    <row r="196" spans="1:11" ht="14.25">
      <c r="A196" s="19"/>
      <c r="B196" s="31"/>
      <c r="C196" s="19"/>
      <c r="D196" s="19"/>
      <c r="E196" s="19"/>
      <c r="F196" s="20"/>
      <c r="G196" s="19"/>
      <c r="H196" s="19"/>
      <c r="I196" s="20"/>
      <c r="J196" s="19"/>
      <c r="K196" s="19"/>
    </row>
    <row r="197" spans="1:11" ht="14.25">
      <c r="A197" s="19"/>
      <c r="B197" s="31"/>
      <c r="C197" s="19"/>
      <c r="D197" s="19"/>
      <c r="E197" s="19"/>
      <c r="F197" s="20"/>
      <c r="G197" s="19"/>
      <c r="H197" s="19"/>
      <c r="I197" s="20"/>
      <c r="J197" s="19"/>
      <c r="K197" s="19"/>
    </row>
    <row r="198" spans="1:11" ht="14.25">
      <c r="A198" s="19"/>
      <c r="B198" s="31"/>
      <c r="C198" s="19"/>
      <c r="D198" s="19"/>
      <c r="E198" s="19"/>
      <c r="F198" s="20"/>
      <c r="G198" s="19"/>
      <c r="H198" s="19"/>
      <c r="I198" s="20"/>
      <c r="J198" s="19"/>
      <c r="K198" s="19"/>
    </row>
    <row r="199" spans="1:11" ht="14.25">
      <c r="A199" s="19"/>
      <c r="B199" s="31"/>
      <c r="C199" s="19"/>
      <c r="D199" s="19"/>
      <c r="E199" s="19"/>
      <c r="F199" s="20"/>
      <c r="G199" s="19"/>
      <c r="H199" s="19"/>
      <c r="I199" s="20"/>
      <c r="J199" s="19"/>
      <c r="K199" s="19"/>
    </row>
    <row r="200" spans="1:11" ht="14.25">
      <c r="A200" s="19"/>
      <c r="B200" s="31"/>
      <c r="C200" s="19"/>
      <c r="D200" s="19"/>
      <c r="E200" s="19"/>
      <c r="F200" s="20"/>
      <c r="G200" s="19"/>
      <c r="H200" s="19"/>
      <c r="I200" s="20"/>
      <c r="J200" s="19"/>
      <c r="K200" s="19"/>
    </row>
    <row r="201" spans="1:11" ht="14.25">
      <c r="A201" s="19"/>
      <c r="B201" s="31"/>
      <c r="C201" s="19"/>
      <c r="D201" s="19"/>
      <c r="E201" s="19"/>
      <c r="F201" s="20"/>
      <c r="G201" s="19"/>
      <c r="H201" s="19"/>
      <c r="I201" s="20"/>
      <c r="J201" s="19"/>
      <c r="K201" s="19"/>
    </row>
    <row r="202" spans="1:11" ht="14.25">
      <c r="A202" s="19"/>
      <c r="B202" s="31"/>
      <c r="C202" s="19"/>
      <c r="D202" s="19"/>
      <c r="E202" s="19"/>
      <c r="F202" s="20"/>
      <c r="G202" s="19"/>
      <c r="H202" s="19"/>
      <c r="I202" s="20"/>
      <c r="J202" s="19"/>
      <c r="K202" s="19"/>
    </row>
    <row r="203" spans="1:11" ht="14.25">
      <c r="A203" s="19"/>
      <c r="B203" s="31"/>
      <c r="C203" s="19"/>
      <c r="D203" s="19"/>
      <c r="E203" s="19"/>
      <c r="F203" s="20"/>
      <c r="G203" s="19"/>
      <c r="H203" s="19"/>
      <c r="I203" s="20"/>
      <c r="J203" s="19"/>
      <c r="K203" s="19"/>
    </row>
    <row r="204" spans="1:11" ht="14.25">
      <c r="A204" s="19"/>
      <c r="B204" s="31"/>
      <c r="C204" s="19"/>
      <c r="D204" s="19"/>
      <c r="E204" s="19"/>
      <c r="F204" s="20"/>
      <c r="G204" s="19"/>
      <c r="H204" s="19"/>
      <c r="I204" s="20"/>
      <c r="J204" s="19"/>
      <c r="K204" s="19"/>
    </row>
    <row r="205" spans="1:11" ht="14.25">
      <c r="A205" s="19"/>
      <c r="B205" s="31"/>
      <c r="C205" s="19"/>
      <c r="D205" s="19"/>
      <c r="E205" s="19"/>
      <c r="F205" s="20"/>
      <c r="G205" s="19"/>
      <c r="H205" s="19"/>
      <c r="I205" s="20"/>
      <c r="J205" s="19"/>
      <c r="K205" s="19"/>
    </row>
    <row r="206" spans="1:11" ht="14.25">
      <c r="A206" s="19"/>
      <c r="B206" s="31"/>
      <c r="C206" s="19"/>
      <c r="D206" s="19"/>
      <c r="E206" s="19"/>
      <c r="F206" s="20"/>
      <c r="G206" s="19"/>
      <c r="H206" s="19"/>
      <c r="I206" s="20"/>
      <c r="J206" s="19"/>
      <c r="K206" s="19"/>
    </row>
    <row r="207" spans="1:11" ht="14.25">
      <c r="A207" s="19"/>
      <c r="B207" s="31"/>
      <c r="C207" s="19"/>
      <c r="D207" s="19"/>
      <c r="E207" s="19"/>
      <c r="F207" s="20"/>
      <c r="G207" s="19"/>
      <c r="H207" s="19"/>
      <c r="I207" s="20"/>
      <c r="J207" s="19"/>
      <c r="K207" s="19"/>
    </row>
    <row r="208" spans="1:11" ht="14.25">
      <c r="A208" s="19"/>
      <c r="B208" s="31"/>
      <c r="C208" s="19"/>
      <c r="D208" s="19"/>
      <c r="E208" s="19"/>
      <c r="F208" s="20"/>
      <c r="G208" s="19"/>
      <c r="H208" s="19"/>
      <c r="I208" s="20"/>
      <c r="J208" s="19"/>
      <c r="K208" s="19"/>
    </row>
    <row r="209" spans="1:11" ht="14.25">
      <c r="A209" s="19"/>
      <c r="B209" s="31"/>
      <c r="C209" s="19"/>
      <c r="D209" s="19"/>
      <c r="E209" s="19"/>
      <c r="F209" s="20"/>
      <c r="G209" s="19"/>
      <c r="H209" s="19"/>
      <c r="I209" s="20"/>
      <c r="J209" s="19"/>
      <c r="K209" s="19"/>
    </row>
    <row r="210" spans="1:11" ht="14.25">
      <c r="A210" s="19"/>
      <c r="B210" s="31"/>
      <c r="C210" s="19"/>
      <c r="D210" s="19"/>
      <c r="E210" s="19"/>
      <c r="F210" s="20"/>
      <c r="G210" s="19"/>
      <c r="H210" s="19"/>
      <c r="I210" s="20"/>
      <c r="J210" s="19"/>
      <c r="K210" s="19"/>
    </row>
    <row r="211" spans="1:11" ht="14.25">
      <c r="A211" s="19"/>
      <c r="B211" s="31"/>
      <c r="C211" s="19"/>
      <c r="D211" s="19"/>
      <c r="E211" s="19"/>
      <c r="F211" s="20"/>
      <c r="G211" s="19"/>
      <c r="H211" s="19"/>
      <c r="I211" s="20"/>
      <c r="J211" s="19"/>
      <c r="K211" s="19"/>
    </row>
    <row r="212" spans="1:11" ht="14.25">
      <c r="A212" s="19"/>
      <c r="B212" s="31"/>
      <c r="C212" s="19"/>
      <c r="D212" s="19"/>
      <c r="E212" s="19"/>
      <c r="F212" s="20"/>
      <c r="G212" s="19"/>
      <c r="H212" s="19"/>
      <c r="I212" s="20"/>
      <c r="J212" s="19"/>
      <c r="K212" s="19"/>
    </row>
    <row r="213" spans="1:11" ht="14.25">
      <c r="A213" s="19"/>
      <c r="B213" s="31"/>
      <c r="C213" s="19"/>
      <c r="D213" s="19"/>
      <c r="E213" s="19"/>
      <c r="F213" s="20"/>
      <c r="G213" s="19"/>
      <c r="H213" s="19"/>
      <c r="I213" s="20"/>
      <c r="J213" s="19"/>
      <c r="K213" s="19"/>
    </row>
    <row r="214" spans="1:11" ht="14.25">
      <c r="A214" s="19"/>
      <c r="B214" s="31"/>
      <c r="C214" s="19"/>
      <c r="D214" s="19"/>
      <c r="E214" s="19"/>
      <c r="F214" s="20"/>
      <c r="G214" s="19"/>
      <c r="H214" s="19"/>
      <c r="I214" s="20"/>
      <c r="J214" s="19"/>
      <c r="K214" s="19"/>
    </row>
    <row r="215" spans="1:11" ht="14.25">
      <c r="A215" s="19"/>
      <c r="B215" s="31"/>
      <c r="C215" s="19"/>
      <c r="D215" s="19"/>
      <c r="E215" s="19"/>
      <c r="F215" s="20"/>
      <c r="G215" s="19"/>
      <c r="H215" s="19"/>
      <c r="I215" s="20"/>
      <c r="J215" s="19"/>
      <c r="K215" s="19"/>
    </row>
    <row r="216" spans="1:11" ht="14.25">
      <c r="A216" s="19"/>
      <c r="B216" s="31"/>
      <c r="C216" s="19"/>
      <c r="D216" s="19"/>
      <c r="E216" s="19"/>
      <c r="F216" s="20"/>
      <c r="G216" s="19"/>
      <c r="H216" s="19"/>
      <c r="I216" s="20"/>
      <c r="J216" s="19"/>
      <c r="K216" s="19"/>
    </row>
    <row r="217" spans="1:11" ht="14.25">
      <c r="A217" s="19"/>
      <c r="B217" s="31"/>
      <c r="C217" s="19"/>
      <c r="D217" s="19"/>
      <c r="E217" s="19"/>
      <c r="F217" s="20"/>
      <c r="G217" s="19"/>
      <c r="H217" s="19"/>
      <c r="I217" s="20"/>
      <c r="J217" s="19"/>
      <c r="K217" s="19"/>
    </row>
    <row r="218" spans="1:11" ht="14.25">
      <c r="A218" s="19"/>
      <c r="B218" s="31"/>
      <c r="C218" s="19"/>
      <c r="D218" s="19"/>
      <c r="E218" s="19"/>
      <c r="F218" s="20"/>
      <c r="G218" s="19"/>
      <c r="H218" s="19"/>
      <c r="I218" s="20"/>
      <c r="J218" s="19"/>
      <c r="K218" s="19"/>
    </row>
    <row r="219" spans="1:11" ht="14.25">
      <c r="A219" s="19"/>
      <c r="B219" s="31"/>
      <c r="C219" s="19"/>
      <c r="D219" s="19"/>
      <c r="E219" s="19"/>
      <c r="F219" s="20"/>
      <c r="G219" s="19"/>
      <c r="H219" s="19"/>
      <c r="I219" s="20"/>
      <c r="J219" s="19"/>
      <c r="K219" s="19"/>
    </row>
    <row r="220" spans="1:11" ht="14.25">
      <c r="A220" s="19"/>
      <c r="B220" s="31"/>
      <c r="C220" s="19"/>
      <c r="D220" s="19"/>
      <c r="E220" s="19"/>
      <c r="F220" s="20"/>
      <c r="G220" s="19"/>
      <c r="H220" s="19"/>
      <c r="I220" s="20"/>
      <c r="J220" s="19"/>
      <c r="K220" s="19"/>
    </row>
    <row r="221" spans="1:11" ht="14.25">
      <c r="A221" s="19"/>
      <c r="B221" s="31"/>
      <c r="C221" s="19"/>
      <c r="D221" s="19"/>
      <c r="E221" s="19"/>
      <c r="F221" s="20"/>
      <c r="G221" s="19"/>
      <c r="H221" s="19"/>
      <c r="I221" s="20"/>
      <c r="J221" s="19"/>
      <c r="K221" s="19"/>
    </row>
    <row r="222" spans="1:11" ht="14.25">
      <c r="A222" s="19"/>
      <c r="B222" s="31"/>
      <c r="C222" s="19"/>
      <c r="D222" s="19"/>
      <c r="E222" s="19"/>
      <c r="F222" s="20"/>
      <c r="G222" s="19"/>
      <c r="H222" s="19"/>
      <c r="I222" s="20"/>
      <c r="J222" s="19"/>
      <c r="K222" s="19"/>
    </row>
    <row r="223" spans="1:11" ht="14.25">
      <c r="A223" s="19"/>
      <c r="B223" s="31"/>
      <c r="C223" s="19"/>
      <c r="D223" s="19"/>
      <c r="E223" s="19"/>
      <c r="F223" s="20"/>
      <c r="G223" s="19"/>
      <c r="H223" s="19"/>
      <c r="I223" s="20"/>
      <c r="J223" s="19"/>
      <c r="K223" s="19"/>
    </row>
    <row r="224" spans="1:11" ht="14.25">
      <c r="A224" s="19"/>
      <c r="B224" s="31"/>
      <c r="C224" s="19"/>
      <c r="D224" s="19"/>
      <c r="E224" s="19"/>
      <c r="F224" s="20"/>
      <c r="G224" s="19"/>
      <c r="H224" s="19"/>
      <c r="I224" s="20"/>
      <c r="J224" s="19"/>
      <c r="K224" s="19"/>
    </row>
    <row r="225" spans="1:11" ht="14.25">
      <c r="A225" s="19"/>
      <c r="B225" s="31"/>
      <c r="C225" s="19"/>
      <c r="D225" s="19"/>
      <c r="E225" s="19"/>
      <c r="F225" s="20"/>
      <c r="G225" s="19"/>
      <c r="H225" s="19"/>
      <c r="I225" s="20"/>
      <c r="J225" s="19"/>
      <c r="K225" s="19"/>
    </row>
    <row r="226" spans="1:11" ht="14.25">
      <c r="A226" s="19"/>
      <c r="B226" s="31"/>
      <c r="C226" s="19"/>
      <c r="D226" s="19"/>
      <c r="E226" s="19"/>
      <c r="F226" s="20"/>
      <c r="G226" s="19"/>
      <c r="H226" s="19"/>
      <c r="I226" s="20"/>
      <c r="J226" s="19"/>
      <c r="K226" s="19"/>
    </row>
    <row r="227" spans="1:11" ht="14.25">
      <c r="A227" s="19"/>
      <c r="B227" s="31"/>
      <c r="C227" s="19"/>
      <c r="D227" s="19"/>
      <c r="E227" s="19"/>
      <c r="F227" s="20"/>
      <c r="G227" s="19"/>
      <c r="H227" s="19"/>
      <c r="I227" s="20"/>
      <c r="J227" s="19"/>
      <c r="K227" s="19"/>
    </row>
    <row r="228" spans="1:11" ht="14.25">
      <c r="A228" s="19"/>
      <c r="B228" s="31"/>
      <c r="C228" s="19"/>
      <c r="D228" s="19"/>
      <c r="E228" s="19"/>
      <c r="F228" s="20"/>
      <c r="G228" s="19"/>
      <c r="H228" s="19"/>
      <c r="I228" s="20"/>
      <c r="J228" s="19"/>
      <c r="K228" s="19"/>
    </row>
    <row r="229" spans="1:11" ht="14.25">
      <c r="A229" s="19"/>
      <c r="B229" s="31"/>
      <c r="C229" s="19"/>
      <c r="D229" s="19"/>
      <c r="E229" s="19"/>
      <c r="F229" s="20"/>
      <c r="G229" s="19"/>
      <c r="H229" s="19"/>
      <c r="I229" s="20"/>
      <c r="J229" s="19"/>
      <c r="K229" s="19"/>
    </row>
    <row r="230" spans="1:11" ht="14.25">
      <c r="A230" s="19"/>
      <c r="B230" s="31"/>
      <c r="C230" s="19"/>
      <c r="D230" s="19"/>
      <c r="E230" s="19"/>
      <c r="F230" s="20"/>
      <c r="G230" s="19"/>
      <c r="H230" s="19"/>
      <c r="I230" s="20"/>
      <c r="J230" s="19"/>
      <c r="K230" s="19"/>
    </row>
    <row r="231" spans="1:11" ht="14.25">
      <c r="A231" s="19"/>
      <c r="B231" s="31"/>
      <c r="C231" s="19"/>
      <c r="D231" s="19"/>
      <c r="E231" s="19"/>
      <c r="F231" s="20"/>
      <c r="G231" s="19"/>
      <c r="H231" s="19"/>
      <c r="I231" s="20"/>
      <c r="J231" s="19"/>
      <c r="K231" s="19"/>
    </row>
    <row r="232" spans="1:11" ht="14.25">
      <c r="A232" s="19"/>
      <c r="B232" s="31"/>
      <c r="C232" s="19"/>
      <c r="D232" s="19"/>
      <c r="E232" s="19"/>
      <c r="F232" s="20"/>
      <c r="G232" s="19"/>
      <c r="H232" s="19"/>
      <c r="I232" s="20"/>
      <c r="J232" s="19"/>
      <c r="K232" s="19"/>
    </row>
    <row r="233" spans="1:11" ht="14.25">
      <c r="A233" s="19"/>
      <c r="B233" s="31"/>
      <c r="C233" s="19"/>
      <c r="D233" s="19"/>
      <c r="E233" s="19"/>
      <c r="F233" s="20"/>
      <c r="G233" s="19"/>
      <c r="H233" s="19"/>
      <c r="I233" s="20"/>
      <c r="J233" s="19"/>
      <c r="K233" s="19"/>
    </row>
    <row r="234" spans="1:11" ht="14.25">
      <c r="A234" s="19"/>
      <c r="B234" s="31"/>
      <c r="C234" s="19"/>
      <c r="D234" s="19"/>
      <c r="E234" s="19"/>
      <c r="F234" s="20"/>
      <c r="G234" s="19"/>
      <c r="H234" s="19"/>
      <c r="I234" s="20"/>
      <c r="J234" s="19"/>
      <c r="K234" s="19"/>
    </row>
    <row r="235" spans="1:11" ht="14.25">
      <c r="A235" s="19"/>
      <c r="B235" s="31"/>
      <c r="C235" s="19"/>
      <c r="D235" s="19"/>
      <c r="E235" s="19"/>
      <c r="F235" s="20"/>
      <c r="G235" s="19"/>
      <c r="H235" s="19"/>
      <c r="I235" s="20"/>
      <c r="J235" s="19"/>
      <c r="K235" s="19"/>
    </row>
    <row r="236" spans="1:11" ht="14.25">
      <c r="A236" s="19"/>
      <c r="B236" s="31"/>
      <c r="C236" s="19"/>
      <c r="D236" s="19"/>
      <c r="E236" s="19"/>
      <c r="F236" s="20"/>
      <c r="G236" s="19"/>
      <c r="H236" s="19"/>
      <c r="I236" s="20"/>
      <c r="J236" s="19"/>
      <c r="K236" s="19"/>
    </row>
    <row r="237" spans="1:11" ht="14.25">
      <c r="A237" s="19"/>
      <c r="B237" s="31"/>
      <c r="C237" s="19"/>
      <c r="D237" s="19"/>
      <c r="E237" s="19"/>
      <c r="F237" s="20"/>
      <c r="G237" s="19"/>
      <c r="H237" s="19"/>
      <c r="I237" s="20"/>
      <c r="J237" s="19"/>
      <c r="K237" s="19"/>
    </row>
    <row r="238" spans="1:11" ht="14.25">
      <c r="A238" s="19"/>
      <c r="B238" s="31"/>
      <c r="C238" s="19"/>
      <c r="D238" s="19"/>
      <c r="E238" s="19"/>
      <c r="F238" s="20"/>
      <c r="G238" s="19"/>
      <c r="H238" s="19"/>
      <c r="I238" s="20"/>
      <c r="J238" s="19"/>
      <c r="K238" s="19"/>
    </row>
    <row r="239" spans="1:11" ht="14.25">
      <c r="A239" s="19"/>
      <c r="B239" s="31"/>
      <c r="C239" s="19"/>
      <c r="D239" s="19"/>
      <c r="E239" s="19"/>
      <c r="F239" s="20"/>
      <c r="G239" s="19"/>
      <c r="H239" s="19"/>
      <c r="I239" s="20"/>
      <c r="J239" s="19"/>
      <c r="K239" s="19"/>
    </row>
    <row r="240" spans="1:11" ht="14.25">
      <c r="A240" s="19"/>
      <c r="B240" s="31"/>
      <c r="C240" s="19"/>
      <c r="D240" s="19"/>
      <c r="E240" s="19"/>
      <c r="F240" s="20"/>
      <c r="G240" s="19"/>
      <c r="H240" s="19"/>
      <c r="I240" s="20"/>
      <c r="J240" s="19"/>
      <c r="K240" s="19"/>
    </row>
    <row r="241" spans="1:11" ht="14.25">
      <c r="A241" s="19"/>
      <c r="B241" s="31"/>
      <c r="C241" s="19"/>
      <c r="D241" s="19"/>
      <c r="E241" s="19"/>
      <c r="F241" s="20"/>
      <c r="G241" s="19"/>
      <c r="H241" s="19"/>
      <c r="I241" s="20"/>
      <c r="J241" s="19"/>
      <c r="K241" s="19"/>
    </row>
    <row r="242" spans="1:11" ht="14.25">
      <c r="A242" s="19"/>
      <c r="B242" s="31"/>
      <c r="C242" s="19"/>
      <c r="D242" s="19"/>
      <c r="E242" s="19"/>
      <c r="F242" s="20"/>
      <c r="G242" s="19"/>
      <c r="H242" s="19"/>
      <c r="I242" s="20"/>
      <c r="J242" s="19"/>
      <c r="K242" s="19"/>
    </row>
    <row r="243" spans="1:11" ht="14.25">
      <c r="A243" s="19"/>
      <c r="B243" s="31"/>
      <c r="C243" s="19"/>
      <c r="D243" s="19"/>
      <c r="E243" s="19"/>
      <c r="F243" s="20"/>
      <c r="G243" s="19"/>
      <c r="H243" s="19"/>
      <c r="I243" s="20"/>
      <c r="J243" s="19"/>
      <c r="K243" s="19"/>
    </row>
    <row r="244" spans="1:11" ht="14.25">
      <c r="A244" s="19"/>
      <c r="B244" s="31"/>
      <c r="C244" s="19"/>
      <c r="D244" s="19"/>
      <c r="E244" s="19"/>
      <c r="F244" s="20"/>
      <c r="G244" s="19"/>
      <c r="H244" s="19"/>
      <c r="I244" s="20"/>
      <c r="J244" s="19"/>
      <c r="K244" s="19"/>
    </row>
    <row r="245" spans="1:11" ht="14.25">
      <c r="A245" s="19"/>
      <c r="B245" s="31"/>
      <c r="C245" s="19"/>
      <c r="D245" s="19"/>
      <c r="E245" s="19"/>
      <c r="F245" s="20"/>
      <c r="G245" s="19"/>
      <c r="H245" s="19"/>
      <c r="I245" s="20"/>
      <c r="J245" s="19"/>
      <c r="K245" s="19"/>
    </row>
    <row r="246" spans="1:11" ht="14.25">
      <c r="A246" s="19"/>
      <c r="B246" s="31"/>
      <c r="C246" s="19"/>
      <c r="D246" s="19"/>
      <c r="E246" s="19"/>
      <c r="F246" s="20"/>
      <c r="G246" s="19"/>
      <c r="H246" s="19"/>
      <c r="I246" s="20"/>
      <c r="J246" s="19"/>
      <c r="K246" s="19"/>
    </row>
    <row r="247" spans="1:11" ht="14.25">
      <c r="A247" s="19"/>
      <c r="B247" s="31"/>
      <c r="C247" s="19"/>
      <c r="D247" s="19"/>
      <c r="E247" s="19"/>
      <c r="F247" s="20"/>
      <c r="G247" s="19"/>
      <c r="H247" s="19"/>
      <c r="I247" s="20"/>
      <c r="J247" s="19"/>
      <c r="K247" s="19"/>
    </row>
    <row r="248" spans="1:11" ht="14.25">
      <c r="A248" s="19"/>
      <c r="B248" s="31"/>
      <c r="C248" s="19"/>
      <c r="D248" s="19"/>
      <c r="E248" s="19"/>
      <c r="F248" s="20"/>
      <c r="G248" s="19"/>
      <c r="H248" s="19"/>
      <c r="I248" s="20"/>
      <c r="J248" s="19"/>
      <c r="K248" s="19"/>
    </row>
    <row r="249" spans="1:11" ht="14.25">
      <c r="A249" s="19"/>
      <c r="B249" s="31"/>
      <c r="C249" s="19"/>
      <c r="D249" s="19"/>
      <c r="E249" s="19"/>
      <c r="F249" s="20"/>
      <c r="G249" s="19"/>
      <c r="H249" s="19"/>
      <c r="I249" s="20"/>
      <c r="J249" s="19"/>
      <c r="K249" s="19"/>
    </row>
    <row r="250" spans="1:11" ht="14.25">
      <c r="A250" s="19"/>
      <c r="B250" s="31"/>
      <c r="C250" s="19"/>
      <c r="D250" s="19"/>
      <c r="E250" s="19"/>
      <c r="F250" s="20"/>
      <c r="G250" s="19"/>
      <c r="H250" s="19"/>
      <c r="I250" s="20"/>
      <c r="J250" s="19"/>
      <c r="K250" s="19"/>
    </row>
    <row r="251" spans="1:11" ht="14.25">
      <c r="A251" s="19"/>
      <c r="B251" s="31"/>
      <c r="C251" s="19"/>
      <c r="D251" s="19"/>
      <c r="E251" s="19"/>
      <c r="F251" s="20"/>
      <c r="G251" s="19"/>
      <c r="H251" s="19"/>
      <c r="I251" s="20"/>
      <c r="J251" s="19"/>
      <c r="K251" s="19"/>
    </row>
    <row r="252" spans="1:11" ht="14.25">
      <c r="A252" s="19"/>
      <c r="B252" s="31"/>
      <c r="C252" s="19"/>
      <c r="D252" s="19"/>
      <c r="E252" s="19"/>
      <c r="F252" s="20"/>
      <c r="G252" s="19"/>
      <c r="H252" s="19"/>
      <c r="I252" s="20"/>
      <c r="J252" s="19"/>
      <c r="K252" s="19"/>
    </row>
    <row r="253" spans="1:11" ht="14.25">
      <c r="A253" s="19"/>
      <c r="B253" s="31"/>
      <c r="C253" s="19"/>
      <c r="D253" s="19"/>
      <c r="E253" s="19"/>
      <c r="F253" s="20"/>
      <c r="G253" s="19"/>
      <c r="H253" s="19"/>
      <c r="I253" s="20"/>
      <c r="J253" s="19"/>
      <c r="K253" s="19"/>
    </row>
    <row r="254" spans="1:11" ht="14.25">
      <c r="A254" s="19"/>
      <c r="B254" s="31"/>
      <c r="C254" s="19"/>
      <c r="D254" s="19"/>
      <c r="E254" s="19"/>
      <c r="F254" s="20"/>
      <c r="G254" s="19"/>
      <c r="H254" s="19"/>
      <c r="I254" s="20"/>
      <c r="J254" s="19"/>
      <c r="K254" s="19"/>
    </row>
    <row r="255" spans="1:11" ht="14.25">
      <c r="A255" s="19"/>
      <c r="B255" s="31"/>
      <c r="C255" s="19"/>
      <c r="D255" s="19"/>
      <c r="E255" s="19"/>
      <c r="F255" s="20"/>
      <c r="G255" s="19"/>
      <c r="H255" s="19"/>
      <c r="I255" s="20"/>
      <c r="J255" s="19"/>
      <c r="K255" s="19"/>
    </row>
    <row r="256" spans="1:11" ht="14.25">
      <c r="A256" s="19"/>
      <c r="B256" s="31"/>
      <c r="C256" s="19"/>
      <c r="D256" s="19"/>
      <c r="E256" s="19"/>
      <c r="F256" s="20"/>
      <c r="G256" s="19"/>
      <c r="H256" s="19"/>
      <c r="I256" s="20"/>
      <c r="J256" s="19"/>
      <c r="K256" s="19"/>
    </row>
    <row r="257" spans="1:11" ht="14.25">
      <c r="A257" s="19"/>
      <c r="B257" s="31"/>
      <c r="C257" s="19"/>
      <c r="D257" s="19"/>
      <c r="E257" s="19"/>
      <c r="F257" s="20"/>
      <c r="G257" s="19"/>
      <c r="H257" s="19"/>
      <c r="I257" s="20"/>
      <c r="J257" s="19"/>
      <c r="K257" s="19"/>
    </row>
    <row r="258" spans="1:11" ht="14.25">
      <c r="A258" s="19"/>
      <c r="B258" s="31"/>
      <c r="C258" s="19"/>
      <c r="D258" s="19"/>
      <c r="E258" s="19"/>
      <c r="F258" s="20"/>
      <c r="G258" s="19"/>
      <c r="H258" s="19"/>
      <c r="I258" s="20"/>
      <c r="J258" s="19"/>
      <c r="K258" s="19"/>
    </row>
    <row r="259" spans="1:11" ht="14.25">
      <c r="A259" s="19"/>
      <c r="B259" s="31"/>
      <c r="C259" s="19"/>
      <c r="D259" s="19"/>
      <c r="E259" s="19"/>
      <c r="F259" s="20"/>
      <c r="G259" s="19"/>
      <c r="H259" s="19"/>
      <c r="I259" s="20"/>
      <c r="J259" s="19"/>
      <c r="K259" s="19"/>
    </row>
    <row r="260" spans="1:11" ht="14.25">
      <c r="A260" s="19"/>
      <c r="B260" s="31"/>
      <c r="C260" s="19"/>
      <c r="D260" s="19"/>
      <c r="E260" s="19"/>
      <c r="F260" s="20"/>
      <c r="G260" s="19"/>
      <c r="H260" s="19"/>
      <c r="I260" s="20"/>
      <c r="J260" s="19"/>
      <c r="K260" s="19"/>
    </row>
    <row r="261" spans="1:11" ht="14.25">
      <c r="A261" s="19"/>
      <c r="B261" s="31"/>
      <c r="C261" s="19"/>
      <c r="D261" s="19"/>
      <c r="E261" s="19"/>
      <c r="F261" s="20"/>
      <c r="G261" s="19"/>
      <c r="H261" s="19"/>
      <c r="I261" s="20"/>
      <c r="J261" s="19"/>
      <c r="K261" s="19"/>
    </row>
    <row r="262" spans="1:11" ht="14.25">
      <c r="A262" s="19"/>
      <c r="B262" s="31"/>
      <c r="C262" s="19"/>
      <c r="D262" s="19"/>
      <c r="E262" s="19"/>
      <c r="F262" s="20"/>
      <c r="G262" s="19"/>
      <c r="H262" s="19"/>
      <c r="I262" s="20"/>
      <c r="J262" s="19"/>
      <c r="K262" s="19"/>
    </row>
    <row r="263" spans="1:11" ht="14.25">
      <c r="A263" s="19"/>
      <c r="B263" s="31"/>
      <c r="C263" s="19"/>
      <c r="D263" s="19"/>
      <c r="E263" s="19"/>
      <c r="F263" s="20"/>
      <c r="G263" s="19"/>
      <c r="H263" s="19"/>
      <c r="I263" s="20"/>
      <c r="J263" s="19"/>
      <c r="K263" s="19"/>
    </row>
    <row r="264" spans="1:11" ht="14.25">
      <c r="A264" s="19"/>
      <c r="B264" s="31"/>
      <c r="C264" s="19"/>
      <c r="D264" s="19"/>
      <c r="E264" s="19"/>
      <c r="F264" s="20"/>
      <c r="G264" s="19"/>
      <c r="H264" s="19"/>
      <c r="I264" s="20"/>
      <c r="J264" s="19"/>
      <c r="K264" s="19"/>
    </row>
    <row r="265" spans="1:11" ht="14.25">
      <c r="A265" s="19"/>
      <c r="B265" s="31"/>
      <c r="C265" s="19"/>
      <c r="D265" s="19"/>
      <c r="E265" s="19"/>
      <c r="F265" s="20"/>
      <c r="G265" s="19"/>
      <c r="H265" s="19"/>
      <c r="I265" s="20"/>
      <c r="J265" s="19"/>
      <c r="K265" s="19"/>
    </row>
    <row r="266" spans="1:11" ht="14.25">
      <c r="A266" s="19"/>
      <c r="B266" s="31"/>
      <c r="C266" s="19"/>
      <c r="D266" s="19"/>
      <c r="E266" s="19"/>
      <c r="F266" s="20"/>
      <c r="G266" s="19"/>
      <c r="H266" s="19"/>
      <c r="I266" s="20"/>
      <c r="J266" s="19"/>
      <c r="K266" s="19"/>
    </row>
    <row r="267" spans="1:11" ht="14.25">
      <c r="A267" s="19"/>
      <c r="B267" s="31"/>
      <c r="C267" s="19"/>
      <c r="D267" s="19"/>
      <c r="E267" s="19"/>
      <c r="F267" s="20"/>
      <c r="G267" s="19"/>
      <c r="H267" s="19"/>
      <c r="I267" s="20"/>
      <c r="J267" s="19"/>
      <c r="K267" s="19"/>
    </row>
    <row r="268" spans="1:11" ht="14.25">
      <c r="A268" s="19"/>
      <c r="B268" s="31"/>
      <c r="C268" s="19"/>
      <c r="D268" s="19"/>
      <c r="E268" s="19"/>
      <c r="F268" s="20"/>
      <c r="G268" s="19"/>
      <c r="H268" s="19"/>
      <c r="I268" s="20"/>
      <c r="J268" s="19"/>
      <c r="K268" s="19"/>
    </row>
    <row r="269" spans="1:11" ht="14.25">
      <c r="A269" s="19"/>
      <c r="B269" s="31"/>
      <c r="C269" s="19"/>
      <c r="D269" s="19"/>
      <c r="E269" s="19"/>
      <c r="F269" s="20"/>
      <c r="G269" s="19"/>
      <c r="H269" s="19"/>
      <c r="I269" s="20"/>
      <c r="J269" s="19"/>
      <c r="K269" s="19"/>
    </row>
    <row r="270" spans="1:11" ht="14.25">
      <c r="A270" s="19"/>
      <c r="B270" s="31"/>
      <c r="C270" s="19"/>
      <c r="D270" s="19"/>
      <c r="E270" s="19"/>
      <c r="F270" s="20"/>
      <c r="G270" s="19"/>
      <c r="H270" s="19"/>
      <c r="I270" s="20"/>
      <c r="J270" s="19"/>
      <c r="K270" s="19"/>
    </row>
    <row r="271" spans="1:11" ht="14.25">
      <c r="A271" s="19"/>
      <c r="B271" s="31"/>
      <c r="C271" s="19"/>
      <c r="D271" s="19"/>
      <c r="E271" s="19"/>
      <c r="F271" s="20"/>
      <c r="G271" s="19"/>
      <c r="H271" s="19"/>
      <c r="I271" s="20"/>
      <c r="J271" s="19"/>
      <c r="K271" s="19"/>
    </row>
    <row r="272" spans="1:11" ht="14.25">
      <c r="A272" s="19"/>
      <c r="B272" s="31"/>
      <c r="C272" s="19"/>
      <c r="D272" s="19"/>
      <c r="E272" s="19"/>
      <c r="F272" s="20"/>
      <c r="G272" s="19"/>
      <c r="H272" s="19"/>
      <c r="I272" s="20"/>
      <c r="J272" s="19"/>
      <c r="K272" s="19"/>
    </row>
    <row r="273" spans="1:11" ht="14.25">
      <c r="A273" s="19"/>
      <c r="B273" s="31"/>
      <c r="C273" s="19"/>
      <c r="D273" s="19"/>
      <c r="E273" s="19"/>
      <c r="F273" s="20"/>
      <c r="G273" s="19"/>
      <c r="H273" s="19"/>
      <c r="I273" s="20"/>
      <c r="J273" s="19"/>
      <c r="K273" s="19"/>
    </row>
    <row r="274" spans="1:11" ht="14.25">
      <c r="A274" s="19"/>
      <c r="B274" s="31"/>
      <c r="C274" s="19"/>
      <c r="D274" s="19"/>
      <c r="E274" s="19"/>
      <c r="F274" s="20"/>
      <c r="G274" s="19"/>
      <c r="H274" s="19"/>
      <c r="I274" s="20"/>
      <c r="J274" s="19"/>
      <c r="K274" s="19"/>
    </row>
    <row r="275" spans="1:11" ht="14.25">
      <c r="A275" s="19"/>
      <c r="B275" s="31"/>
      <c r="C275" s="19"/>
      <c r="D275" s="19"/>
      <c r="E275" s="19"/>
      <c r="F275" s="20"/>
      <c r="G275" s="19"/>
      <c r="H275" s="19"/>
      <c r="I275" s="20"/>
      <c r="J275" s="19"/>
      <c r="K275" s="19"/>
    </row>
    <row r="276" spans="1:11" ht="14.25">
      <c r="A276" s="19"/>
      <c r="B276" s="31"/>
      <c r="C276" s="19"/>
      <c r="D276" s="19"/>
      <c r="E276" s="19"/>
      <c r="F276" s="20"/>
      <c r="G276" s="19"/>
      <c r="H276" s="19"/>
      <c r="I276" s="20"/>
      <c r="J276" s="19"/>
      <c r="K276" s="19"/>
    </row>
    <row r="277" spans="1:11" ht="14.25">
      <c r="A277" s="19"/>
      <c r="B277" s="31"/>
      <c r="C277" s="19"/>
      <c r="D277" s="19"/>
      <c r="E277" s="19"/>
      <c r="F277" s="20"/>
      <c r="G277" s="19"/>
      <c r="H277" s="19"/>
      <c r="I277" s="20"/>
      <c r="J277" s="19"/>
      <c r="K277" s="19"/>
    </row>
    <row r="278" spans="1:11" ht="14.25">
      <c r="A278" s="19"/>
      <c r="B278" s="31"/>
      <c r="C278" s="19"/>
      <c r="D278" s="19"/>
      <c r="E278" s="19"/>
      <c r="F278" s="20"/>
      <c r="G278" s="19"/>
      <c r="H278" s="19"/>
      <c r="I278" s="20"/>
      <c r="J278" s="19"/>
      <c r="K278" s="19"/>
    </row>
    <row r="279" spans="1:11" ht="14.25">
      <c r="A279" s="19"/>
      <c r="B279" s="31"/>
      <c r="C279" s="19"/>
      <c r="D279" s="19"/>
      <c r="E279" s="19"/>
      <c r="F279" s="20"/>
      <c r="G279" s="19"/>
      <c r="H279" s="19"/>
      <c r="I279" s="20"/>
      <c r="J279" s="19"/>
      <c r="K279" s="19"/>
    </row>
    <row r="280" spans="1:11" ht="14.25">
      <c r="A280" s="19"/>
      <c r="B280" s="31"/>
      <c r="C280" s="19"/>
      <c r="D280" s="19"/>
      <c r="E280" s="19"/>
      <c r="F280" s="20"/>
      <c r="G280" s="19"/>
      <c r="H280" s="19"/>
      <c r="I280" s="20"/>
      <c r="J280" s="19"/>
      <c r="K280" s="19"/>
    </row>
    <row r="281" spans="1:11" ht="14.25">
      <c r="A281" s="19"/>
      <c r="B281" s="31"/>
      <c r="C281" s="19"/>
      <c r="D281" s="19"/>
      <c r="E281" s="19"/>
      <c r="F281" s="20"/>
      <c r="G281" s="19"/>
      <c r="H281" s="19"/>
      <c r="I281" s="20"/>
      <c r="J281" s="19"/>
      <c r="K281" s="19"/>
    </row>
    <row r="282" spans="1:11" ht="14.25">
      <c r="A282" s="19"/>
      <c r="B282" s="31"/>
      <c r="C282" s="19"/>
      <c r="D282" s="19"/>
      <c r="E282" s="19"/>
      <c r="F282" s="20"/>
      <c r="G282" s="19"/>
      <c r="H282" s="19"/>
      <c r="I282" s="20"/>
      <c r="J282" s="19"/>
      <c r="K282" s="19"/>
    </row>
    <row r="283" spans="1:11" ht="14.25">
      <c r="A283" s="19"/>
      <c r="B283" s="31"/>
      <c r="C283" s="19"/>
      <c r="D283" s="19"/>
      <c r="E283" s="19"/>
      <c r="F283" s="20"/>
      <c r="G283" s="19"/>
      <c r="H283" s="19"/>
      <c r="I283" s="20"/>
      <c r="J283" s="19"/>
      <c r="K283" s="19"/>
    </row>
    <row r="284" spans="1:11" ht="14.25">
      <c r="A284" s="19"/>
      <c r="B284" s="31"/>
      <c r="C284" s="19"/>
      <c r="D284" s="19"/>
      <c r="E284" s="19"/>
      <c r="F284" s="20"/>
      <c r="G284" s="19"/>
      <c r="H284" s="19"/>
      <c r="I284" s="20"/>
      <c r="J284" s="19"/>
      <c r="K284" s="19"/>
    </row>
    <row r="285" spans="1:11" ht="14.25">
      <c r="A285" s="19"/>
      <c r="B285" s="31"/>
      <c r="C285" s="19"/>
      <c r="D285" s="19"/>
      <c r="E285" s="19"/>
      <c r="F285" s="20"/>
      <c r="G285" s="19"/>
      <c r="H285" s="19"/>
      <c r="I285" s="20"/>
      <c r="J285" s="19"/>
      <c r="K285" s="19"/>
    </row>
    <row r="286" spans="1:11" ht="14.25">
      <c r="A286" s="19"/>
      <c r="B286" s="31"/>
      <c r="C286" s="19"/>
      <c r="D286" s="19"/>
      <c r="E286" s="19"/>
      <c r="F286" s="20"/>
      <c r="G286" s="19"/>
      <c r="H286" s="19"/>
      <c r="I286" s="20"/>
      <c r="J286" s="19"/>
      <c r="K286" s="19"/>
    </row>
    <row r="287" spans="1:11" ht="14.25">
      <c r="A287" s="19"/>
      <c r="B287" s="31"/>
      <c r="C287" s="19"/>
      <c r="D287" s="19"/>
      <c r="E287" s="19"/>
      <c r="F287" s="20"/>
      <c r="G287" s="19"/>
      <c r="H287" s="19"/>
      <c r="I287" s="20"/>
      <c r="J287" s="19"/>
      <c r="K287" s="19"/>
    </row>
    <row r="288" spans="1:11" ht="14.25">
      <c r="A288" s="19"/>
      <c r="B288" s="31"/>
      <c r="C288" s="19"/>
      <c r="D288" s="19"/>
      <c r="E288" s="19"/>
      <c r="F288" s="20"/>
      <c r="G288" s="19"/>
      <c r="H288" s="19"/>
      <c r="I288" s="20"/>
      <c r="J288" s="19"/>
      <c r="K288" s="19"/>
    </row>
    <row r="289" spans="1:11" ht="14.25">
      <c r="A289" s="19"/>
      <c r="B289" s="31"/>
      <c r="C289" s="19"/>
      <c r="D289" s="19"/>
      <c r="E289" s="19"/>
      <c r="F289" s="20"/>
      <c r="G289" s="19"/>
      <c r="H289" s="19"/>
      <c r="I289" s="20"/>
      <c r="J289" s="19"/>
      <c r="K289" s="19"/>
    </row>
    <row r="290" spans="1:11" ht="14.25">
      <c r="A290" s="19"/>
      <c r="B290" s="31"/>
      <c r="C290" s="19"/>
      <c r="D290" s="19"/>
      <c r="E290" s="19"/>
      <c r="F290" s="20"/>
      <c r="G290" s="19"/>
      <c r="H290" s="19"/>
      <c r="I290" s="20"/>
      <c r="J290" s="19"/>
      <c r="K290" s="19"/>
    </row>
    <row r="291" spans="1:11" ht="14.25">
      <c r="A291" s="19"/>
      <c r="B291" s="31"/>
      <c r="C291" s="19"/>
      <c r="D291" s="19"/>
      <c r="E291" s="19"/>
      <c r="F291" s="20"/>
      <c r="G291" s="19"/>
      <c r="H291" s="19"/>
      <c r="I291" s="20"/>
      <c r="J291" s="19"/>
      <c r="K291" s="19"/>
    </row>
    <row r="292" spans="1:11" ht="14.25">
      <c r="A292" s="19"/>
      <c r="B292" s="31"/>
      <c r="C292" s="19"/>
      <c r="D292" s="19"/>
      <c r="E292" s="19"/>
      <c r="F292" s="20"/>
      <c r="G292" s="19"/>
      <c r="H292" s="19"/>
      <c r="I292" s="20"/>
      <c r="J292" s="19"/>
      <c r="K292" s="19"/>
    </row>
    <row r="293" spans="1:11" ht="14.25">
      <c r="A293" s="19"/>
      <c r="B293" s="31"/>
      <c r="C293" s="19"/>
      <c r="D293" s="19"/>
      <c r="E293" s="19"/>
      <c r="F293" s="20"/>
      <c r="G293" s="19"/>
      <c r="H293" s="19"/>
      <c r="I293" s="20"/>
      <c r="J293" s="19"/>
      <c r="K293" s="19"/>
    </row>
    <row r="294" spans="1:11" ht="14.25">
      <c r="A294" s="19"/>
      <c r="B294" s="31"/>
      <c r="C294" s="19"/>
      <c r="D294" s="19"/>
      <c r="E294" s="19"/>
      <c r="F294" s="20"/>
      <c r="G294" s="19"/>
      <c r="H294" s="19"/>
      <c r="I294" s="20"/>
      <c r="J294" s="19"/>
      <c r="K294" s="19"/>
    </row>
    <row r="295" spans="1:11" ht="14.25">
      <c r="A295" s="19"/>
      <c r="B295" s="31"/>
      <c r="C295" s="19"/>
      <c r="D295" s="19"/>
      <c r="E295" s="19"/>
      <c r="F295" s="20"/>
      <c r="G295" s="19"/>
      <c r="H295" s="19"/>
      <c r="I295" s="20"/>
      <c r="J295" s="19"/>
      <c r="K295" s="19"/>
    </row>
    <row r="296" spans="1:11" ht="14.25">
      <c r="A296" s="19"/>
      <c r="B296" s="31"/>
      <c r="C296" s="19"/>
      <c r="D296" s="19"/>
      <c r="E296" s="19"/>
      <c r="F296" s="20"/>
      <c r="G296" s="19"/>
      <c r="H296" s="19"/>
      <c r="I296" s="20"/>
      <c r="J296" s="19"/>
      <c r="K296" s="19"/>
    </row>
    <row r="297" spans="1:11" ht="14.25">
      <c r="A297" s="19"/>
      <c r="B297" s="31"/>
      <c r="C297" s="19"/>
      <c r="D297" s="19"/>
      <c r="E297" s="19"/>
      <c r="F297" s="20"/>
      <c r="G297" s="19"/>
      <c r="H297" s="19"/>
      <c r="I297" s="20"/>
      <c r="J297" s="19"/>
      <c r="K297" s="19"/>
    </row>
    <row r="298" spans="1:11" ht="14.25">
      <c r="A298" s="19"/>
      <c r="B298" s="31"/>
      <c r="C298" s="19"/>
      <c r="D298" s="19"/>
      <c r="E298" s="19"/>
      <c r="F298" s="20"/>
      <c r="G298" s="19"/>
      <c r="H298" s="19"/>
      <c r="I298" s="20"/>
      <c r="J298" s="19"/>
      <c r="K298" s="19"/>
    </row>
    <row r="299" spans="1:11" ht="14.25">
      <c r="A299" s="19"/>
      <c r="B299" s="31"/>
      <c r="C299" s="19"/>
      <c r="D299" s="19"/>
      <c r="E299" s="19"/>
      <c r="F299" s="20"/>
      <c r="G299" s="19"/>
      <c r="H299" s="19"/>
      <c r="I299" s="20"/>
      <c r="J299" s="19"/>
      <c r="K299" s="19"/>
    </row>
    <row r="300" spans="1:11" ht="14.25">
      <c r="A300" s="19"/>
      <c r="B300" s="31"/>
      <c r="C300" s="19"/>
      <c r="D300" s="19"/>
      <c r="E300" s="19"/>
      <c r="F300" s="20"/>
      <c r="G300" s="19"/>
      <c r="H300" s="19"/>
      <c r="I300" s="20"/>
      <c r="J300" s="19"/>
      <c r="K300" s="19"/>
    </row>
    <row r="301" spans="1:11" ht="14.25">
      <c r="A301" s="19"/>
      <c r="B301" s="31"/>
      <c r="C301" s="19"/>
      <c r="D301" s="19"/>
      <c r="E301" s="19"/>
      <c r="F301" s="20"/>
      <c r="G301" s="19"/>
      <c r="H301" s="19"/>
      <c r="I301" s="20"/>
      <c r="J301" s="19"/>
      <c r="K301" s="19"/>
    </row>
    <row r="302" spans="1:11" ht="14.25">
      <c r="A302" s="19"/>
      <c r="B302" s="31"/>
      <c r="C302" s="19"/>
      <c r="D302" s="19"/>
      <c r="E302" s="19"/>
      <c r="F302" s="20"/>
      <c r="G302" s="19"/>
      <c r="H302" s="19"/>
      <c r="I302" s="20"/>
      <c r="J302" s="19"/>
      <c r="K302" s="19"/>
    </row>
    <row r="303" spans="1:11" ht="14.25">
      <c r="A303" s="19"/>
      <c r="B303" s="31"/>
      <c r="C303" s="19"/>
      <c r="D303" s="19"/>
      <c r="E303" s="19"/>
      <c r="F303" s="20"/>
      <c r="G303" s="19"/>
      <c r="H303" s="19"/>
      <c r="I303" s="20"/>
      <c r="J303" s="19"/>
      <c r="K303" s="19"/>
    </row>
    <row r="304" spans="1:11" ht="14.25">
      <c r="A304" s="19"/>
      <c r="B304" s="31"/>
      <c r="C304" s="19"/>
      <c r="D304" s="19"/>
      <c r="E304" s="19"/>
      <c r="F304" s="20"/>
      <c r="G304" s="19"/>
      <c r="H304" s="19"/>
      <c r="I304" s="20"/>
      <c r="J304" s="19"/>
      <c r="K304" s="19"/>
    </row>
    <row r="305" spans="1:11" ht="14.25">
      <c r="A305" s="19"/>
      <c r="B305" s="31"/>
      <c r="C305" s="19"/>
      <c r="D305" s="19"/>
      <c r="E305" s="19"/>
      <c r="F305" s="20"/>
      <c r="G305" s="19"/>
      <c r="H305" s="19"/>
      <c r="I305" s="20"/>
      <c r="J305" s="19"/>
      <c r="K305" s="19"/>
    </row>
    <row r="306" spans="1:11" ht="14.25">
      <c r="A306" s="19"/>
      <c r="B306" s="31"/>
      <c r="C306" s="19"/>
      <c r="D306" s="19"/>
      <c r="E306" s="19"/>
      <c r="F306" s="20"/>
      <c r="G306" s="19"/>
      <c r="H306" s="19"/>
      <c r="I306" s="20"/>
      <c r="J306" s="19"/>
      <c r="K306" s="19"/>
    </row>
    <row r="307" spans="1:11" ht="14.25">
      <c r="A307" s="19"/>
      <c r="B307" s="31"/>
      <c r="C307" s="19"/>
      <c r="D307" s="19"/>
      <c r="E307" s="19"/>
      <c r="F307" s="20"/>
      <c r="G307" s="19"/>
      <c r="H307" s="19"/>
      <c r="I307" s="20"/>
      <c r="J307" s="19"/>
      <c r="K307" s="19"/>
    </row>
    <row r="308" spans="1:11" ht="14.25">
      <c r="A308" s="19"/>
      <c r="B308" s="31"/>
      <c r="C308" s="19"/>
      <c r="D308" s="19"/>
      <c r="E308" s="19"/>
      <c r="F308" s="20"/>
      <c r="G308" s="19"/>
      <c r="H308" s="19"/>
      <c r="I308" s="20"/>
      <c r="J308" s="19"/>
      <c r="K308" s="19"/>
    </row>
    <row r="309" spans="1:11" ht="14.25">
      <c r="A309" s="19"/>
      <c r="B309" s="31"/>
      <c r="C309" s="19"/>
      <c r="D309" s="19"/>
      <c r="E309" s="19"/>
      <c r="F309" s="20"/>
      <c r="G309" s="19"/>
      <c r="H309" s="19"/>
      <c r="I309" s="20"/>
      <c r="J309" s="19"/>
      <c r="K309" s="19"/>
    </row>
    <row r="310" spans="1:11" ht="14.25">
      <c r="A310" s="19"/>
      <c r="B310" s="31"/>
      <c r="C310" s="19"/>
      <c r="D310" s="19"/>
      <c r="E310" s="19"/>
      <c r="F310" s="20"/>
      <c r="G310" s="19"/>
      <c r="H310" s="19"/>
      <c r="I310" s="20"/>
      <c r="J310" s="19"/>
      <c r="K310" s="19"/>
    </row>
    <row r="311" spans="1:11" ht="14.25">
      <c r="A311" s="19"/>
      <c r="B311" s="31"/>
      <c r="C311" s="19"/>
      <c r="D311" s="19"/>
      <c r="E311" s="19"/>
      <c r="F311" s="20"/>
      <c r="G311" s="19"/>
      <c r="H311" s="19"/>
      <c r="I311" s="20"/>
      <c r="J311" s="19"/>
      <c r="K311" s="19"/>
    </row>
    <row r="312" spans="1:11" ht="14.25">
      <c r="A312" s="19"/>
      <c r="B312" s="31"/>
      <c r="C312" s="19"/>
      <c r="D312" s="19"/>
      <c r="E312" s="19"/>
      <c r="F312" s="20"/>
      <c r="G312" s="19"/>
      <c r="H312" s="19"/>
      <c r="I312" s="20"/>
      <c r="J312" s="19"/>
      <c r="K312" s="19"/>
    </row>
    <row r="313" spans="1:11" ht="14.25">
      <c r="A313" s="19"/>
      <c r="B313" s="31"/>
      <c r="C313" s="19"/>
      <c r="D313" s="19"/>
      <c r="E313" s="19"/>
      <c r="F313" s="20"/>
      <c r="G313" s="19"/>
      <c r="H313" s="19"/>
      <c r="I313" s="20"/>
      <c r="J313" s="19"/>
      <c r="K313" s="19"/>
    </row>
    <row r="314" spans="1:11" ht="14.25">
      <c r="A314" s="19"/>
      <c r="B314" s="31"/>
      <c r="C314" s="19"/>
      <c r="D314" s="19"/>
      <c r="E314" s="19"/>
      <c r="F314" s="20"/>
      <c r="G314" s="19"/>
      <c r="H314" s="19"/>
      <c r="I314" s="20"/>
      <c r="J314" s="19"/>
      <c r="K314" s="19"/>
    </row>
    <row r="315" spans="1:11" ht="14.25">
      <c r="A315" s="19"/>
      <c r="B315" s="31"/>
      <c r="C315" s="19"/>
      <c r="D315" s="19"/>
      <c r="E315" s="19"/>
      <c r="F315" s="20"/>
      <c r="G315" s="19"/>
      <c r="H315" s="19"/>
      <c r="I315" s="20"/>
      <c r="J315" s="19"/>
      <c r="K315" s="19"/>
    </row>
    <row r="316" spans="1:11" ht="14.25">
      <c r="A316" s="19"/>
      <c r="B316" s="31"/>
      <c r="C316" s="19"/>
      <c r="D316" s="19"/>
      <c r="E316" s="19"/>
      <c r="F316" s="20"/>
      <c r="G316" s="19"/>
      <c r="H316" s="19"/>
      <c r="I316" s="20"/>
      <c r="J316" s="19"/>
      <c r="K316" s="19"/>
    </row>
    <row r="317" spans="1:11" ht="14.25">
      <c r="A317" s="19"/>
      <c r="B317" s="31"/>
      <c r="C317" s="19"/>
      <c r="D317" s="19"/>
      <c r="E317" s="19"/>
      <c r="F317" s="20"/>
      <c r="G317" s="19"/>
      <c r="H317" s="19"/>
      <c r="I317" s="20"/>
      <c r="J317" s="19"/>
      <c r="K317" s="19"/>
    </row>
    <row r="318" spans="1:11" ht="14.25">
      <c r="A318" s="19"/>
      <c r="B318" s="31"/>
      <c r="C318" s="19"/>
      <c r="D318" s="19"/>
      <c r="E318" s="19"/>
      <c r="F318" s="20"/>
      <c r="G318" s="19"/>
      <c r="H318" s="19"/>
      <c r="I318" s="20"/>
      <c r="J318" s="19"/>
      <c r="K318" s="19"/>
    </row>
    <row r="319" spans="1:11" ht="14.25">
      <c r="A319" s="19"/>
      <c r="B319" s="31"/>
      <c r="C319" s="19"/>
      <c r="D319" s="19"/>
      <c r="E319" s="19"/>
      <c r="F319" s="20"/>
      <c r="G319" s="19"/>
      <c r="H319" s="19"/>
      <c r="I319" s="20"/>
      <c r="J319" s="19"/>
      <c r="K319" s="19"/>
    </row>
    <row r="320" spans="1:11" ht="14.25">
      <c r="A320" s="19"/>
      <c r="B320" s="31"/>
      <c r="C320" s="19"/>
      <c r="D320" s="19"/>
      <c r="E320" s="19"/>
      <c r="F320" s="20"/>
      <c r="G320" s="19"/>
      <c r="H320" s="19"/>
      <c r="I320" s="20"/>
      <c r="J320" s="19"/>
      <c r="K320" s="19"/>
    </row>
    <row r="321" spans="1:11" ht="14.25">
      <c r="A321" s="19"/>
      <c r="B321" s="31"/>
      <c r="C321" s="19"/>
      <c r="D321" s="19"/>
      <c r="E321" s="19"/>
      <c r="F321" s="20"/>
      <c r="G321" s="19"/>
      <c r="H321" s="19"/>
      <c r="I321" s="20"/>
      <c r="J321" s="19"/>
      <c r="K321" s="19"/>
    </row>
    <row r="322" spans="1:11" ht="13.9">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3" priority="3" stopIfTrue="1" operator="lessThanOrEqual">
      <formula>-0.1</formula>
    </cfRule>
    <cfRule type="expression" dxfId="12"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workbookViewId="0">
      <pane xSplit="2" ySplit="3" topLeftCell="C4" activePane="bottomRight" state="frozen"/>
      <selection pane="bottomRight" activeCell="J4" activeCellId="3" sqref="C4:C10 D4:D10 G4:G10 J4:Q10"/>
      <selection pane="bottomLeft" activeCell="J4" activeCellId="3" sqref="C4:C10 D4:D10 G4:G10 J4:Q10"/>
      <selection pane="topRight" activeCell="J4" activeCellId="3" sqref="C4:C10 D4:D10 G4:G10 J4:Q10"/>
    </sheetView>
  </sheetViews>
  <sheetFormatPr defaultRowHeight="13.5"/>
  <cols>
    <col min="1" max="1" width="35.85546875" bestFit="1" customWidth="1"/>
    <col min="2" max="2" width="8.42578125" style="32"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1" ht="19.5" customHeight="1">
      <c r="A1" s="111" t="str" cm="1">
        <f t="array" ref="A1">portfolio</f>
        <v>GoodFinch</v>
      </c>
      <c r="B1" s="111"/>
      <c r="C1" s="111"/>
      <c r="D1" s="112" t="s">
        <v>123</v>
      </c>
      <c r="E1" s="112"/>
      <c r="F1" s="112"/>
      <c r="G1" s="110" t="s">
        <v>124</v>
      </c>
      <c r="H1" s="110"/>
      <c r="I1" s="110"/>
      <c r="J1" s="4"/>
      <c r="K1" s="4"/>
    </row>
    <row r="2" spans="1:11" ht="19.5" customHeight="1">
      <c r="A2" s="113" t="s">
        <v>2</v>
      </c>
      <c r="B2" s="113"/>
      <c r="C2" s="5">
        <f>SUM(C4:C80)</f>
        <v>0</v>
      </c>
      <c r="D2" s="5">
        <f>SUM(D4:D80)</f>
        <v>0</v>
      </c>
      <c r="E2" s="5">
        <f>C2-D2</f>
        <v>0</v>
      </c>
      <c r="F2" s="6">
        <f>IFERROR(E2/D2, 0)</f>
        <v>0</v>
      </c>
      <c r="G2" s="5">
        <f>SUM(G4:G80)</f>
        <v>0</v>
      </c>
      <c r="H2" s="7">
        <f>C2-G2</f>
        <v>0</v>
      </c>
      <c r="I2" s="6">
        <f>IFERROR(H2/G2, 0)</f>
        <v>0</v>
      </c>
      <c r="J2" s="24"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21</v>
      </c>
      <c r="K3" s="23" t="s">
        <v>22</v>
      </c>
    </row>
    <row r="4" spans="1:11" ht="15.75">
      <c r="A4" s="30" t="str" cm="1">
        <f t="array" ref="A4:A45">Sites[Site]</f>
        <v>AZ: Tempe - ASU - Farmer</v>
      </c>
      <c r="B4" s="27" t="str" cm="1">
        <f t="array" ref="B4:B45">Sites[State]</f>
        <v>AZ</v>
      </c>
      <c r="C4" s="22"/>
      <c r="D4" s="12"/>
      <c r="E4" s="12" t="str">
        <f>IF(AND(ISNUMBER(C4),ISNUMBER(D4)), C4-D4, "")</f>
        <v/>
      </c>
      <c r="F4" s="13" t="str">
        <f>IFERROR(E4/D4, "")</f>
        <v/>
      </c>
      <c r="G4" s="14"/>
      <c r="H4" s="14"/>
      <c r="I4" s="15" t="str">
        <f>IFERROR(H4/G4, "")</f>
        <v/>
      </c>
      <c r="J4" s="39"/>
      <c r="K4" s="39"/>
    </row>
    <row r="5" spans="1:11" ht="15.75">
      <c r="A5" s="28" t="str">
        <v>AZ: Tempe - ASU - Fulton</v>
      </c>
      <c r="B5" s="29" t="str">
        <v>AZ</v>
      </c>
      <c r="C5" s="11"/>
      <c r="D5" s="16"/>
      <c r="E5" s="16" t="str">
        <f t="shared" ref="E5:E9" si="0">IF(AND(ISNUMBER(C5),ISNUMBER(D5)), C5-D5, "")</f>
        <v/>
      </c>
      <c r="F5" s="17" t="str">
        <f>IFERROR(E5/D5, "")</f>
        <v/>
      </c>
      <c r="G5" s="18"/>
      <c r="H5" s="18" t="str">
        <f>IF(AND(ISNUMBER(C5),ISNUMBER(G5)), C5-G5, "")</f>
        <v/>
      </c>
      <c r="I5" s="17" t="str">
        <f>IFERROR(H5/G6, "")</f>
        <v/>
      </c>
      <c r="J5" s="40"/>
      <c r="K5" s="41"/>
    </row>
    <row r="6" spans="1:11" ht="15.75">
      <c r="A6" s="30" t="str">
        <v>AZ: Superior - JFK Elementary</v>
      </c>
      <c r="B6" s="27" t="str">
        <v>AZ</v>
      </c>
      <c r="C6" s="22"/>
      <c r="D6" s="12"/>
      <c r="E6" s="12" t="str">
        <f>IF(AND(ISNUMBER(C6),ISNUMBER(D6)), C6-D6, "")</f>
        <v/>
      </c>
      <c r="F6" s="13" t="str">
        <f t="shared" ref="F6:F9" si="1">IFERROR(E6/D6, "")</f>
        <v/>
      </c>
      <c r="G6" s="14"/>
      <c r="H6" s="14"/>
      <c r="I6" s="15" t="str">
        <f t="shared" ref="I6" si="2">IFERROR(H6/G6, "")</f>
        <v/>
      </c>
      <c r="J6" s="39"/>
      <c r="K6" s="39"/>
    </row>
    <row r="7" spans="1:11" ht="15.75">
      <c r="A7" s="28" t="str">
        <v>AZ: Tempe - ASU - Noble</v>
      </c>
      <c r="B7" s="29" t="str">
        <v>AZ</v>
      </c>
      <c r="C7" s="11"/>
      <c r="D7" s="16"/>
      <c r="E7" s="16" t="str">
        <f t="shared" si="0"/>
        <v/>
      </c>
      <c r="F7" s="17" t="str">
        <f t="shared" si="1"/>
        <v/>
      </c>
      <c r="G7" s="18"/>
      <c r="H7" s="18" t="str">
        <f t="shared" ref="H7:H9" si="3">IF(AND(ISNUMBER(C7),ISNUMBER(G7)), C7-G7, "")</f>
        <v/>
      </c>
      <c r="I7" s="17" t="str">
        <f t="shared" ref="I7" si="4">IFERROR(H7/G8, "")</f>
        <v/>
      </c>
      <c r="J7" s="40"/>
      <c r="K7" s="41"/>
    </row>
    <row r="8" spans="1:11" ht="15.75">
      <c r="A8" s="26" t="str">
        <v>AZ: Tempe - ASU - Parking #3</v>
      </c>
      <c r="B8" s="27" t="str">
        <v>AZ</v>
      </c>
      <c r="C8" s="22"/>
      <c r="D8" s="12"/>
      <c r="E8" s="12" t="str">
        <f t="shared" si="0"/>
        <v/>
      </c>
      <c r="F8" s="13" t="str">
        <f t="shared" si="1"/>
        <v/>
      </c>
      <c r="G8" s="14"/>
      <c r="H8" s="14"/>
      <c r="I8" s="15" t="str">
        <f t="shared" ref="I8" si="5">IFERROR(H8/G8, "")</f>
        <v/>
      </c>
      <c r="J8" s="39"/>
      <c r="K8" s="39"/>
    </row>
    <row r="9" spans="1:11" ht="15.75">
      <c r="A9" s="28" t="str">
        <v>AZ: Tempe - ASU - PE East</v>
      </c>
      <c r="B9" s="29" t="str">
        <v>AZ</v>
      </c>
      <c r="C9" s="11"/>
      <c r="D9" s="16"/>
      <c r="E9" s="16" t="str">
        <f t="shared" si="0"/>
        <v/>
      </c>
      <c r="F9" s="17" t="str">
        <f t="shared" si="1"/>
        <v/>
      </c>
      <c r="G9" s="18"/>
      <c r="H9" s="18" t="str">
        <f t="shared" si="3"/>
        <v/>
      </c>
      <c r="I9" s="17" t="str">
        <f t="shared" ref="I9:I45" si="6">IFERROR(H9/G9, "")</f>
        <v/>
      </c>
      <c r="J9" s="40"/>
      <c r="K9" s="41"/>
    </row>
    <row r="10" spans="1:11" ht="15.75">
      <c r="A10" s="26" t="str">
        <v>AZ: Tempe - ASU - Schwada</v>
      </c>
      <c r="B10" s="27" t="str">
        <v>AZ</v>
      </c>
      <c r="C10" s="73"/>
      <c r="D10" s="12"/>
      <c r="E10" s="12" t="str">
        <f t="shared" ref="E10:E45" si="7">IF(AND(ISNUMBER(C10),ISNUMBER(D10)), C10-D10, "")</f>
        <v/>
      </c>
      <c r="F10" s="74" t="str">
        <f t="shared" ref="F10:F45" si="8">IFERROR(E10/D10, "")</f>
        <v/>
      </c>
      <c r="G10" s="75"/>
      <c r="H10" s="75"/>
      <c r="I10" s="76" t="str">
        <f t="shared" si="6"/>
        <v/>
      </c>
      <c r="J10" s="77"/>
      <c r="K10" s="77"/>
    </row>
    <row r="11" spans="1:11" ht="15.75">
      <c r="A11" s="28" t="str">
        <v>AZ: Phoenix - Starshine Academy</v>
      </c>
      <c r="B11" s="29" t="str">
        <v>AZ</v>
      </c>
      <c r="C11" s="100"/>
      <c r="D11" s="16"/>
      <c r="E11" s="16" t="str">
        <f t="shared" si="7"/>
        <v/>
      </c>
      <c r="F11" s="99" t="str">
        <f t="shared" si="8"/>
        <v/>
      </c>
      <c r="G11" s="80"/>
      <c r="H11" s="80" t="str">
        <f>IF(AND(ISNUMBER(C11),ISNUMBER(G11)), C11-G11, "")</f>
        <v/>
      </c>
      <c r="I11" s="99" t="str">
        <f t="shared" si="6"/>
        <v/>
      </c>
      <c r="J11" s="40"/>
      <c r="K11" s="41"/>
    </row>
    <row r="12" spans="1:11" ht="15.75">
      <c r="A12" s="26" t="str">
        <v>AZ: Yuma Airport</v>
      </c>
      <c r="B12" s="27" t="str">
        <v>AZ</v>
      </c>
      <c r="C12" s="73"/>
      <c r="D12" s="12"/>
      <c r="E12" s="12" t="str">
        <f t="shared" si="7"/>
        <v/>
      </c>
      <c r="F12" s="74" t="str">
        <f t="shared" si="8"/>
        <v/>
      </c>
      <c r="G12" s="75"/>
      <c r="H12" s="75"/>
      <c r="I12" s="76" t="str">
        <f t="shared" si="6"/>
        <v/>
      </c>
      <c r="J12" s="77"/>
      <c r="K12" s="77"/>
    </row>
    <row r="13" spans="1:11" ht="15.75">
      <c r="A13" s="28" t="str">
        <v>AZ: Globe - Gila CC</v>
      </c>
      <c r="B13" s="29" t="str">
        <v>AZ</v>
      </c>
      <c r="C13" s="100"/>
      <c r="D13" s="16"/>
      <c r="E13" s="16" t="str">
        <f t="shared" si="7"/>
        <v/>
      </c>
      <c r="F13" s="99" t="str">
        <f t="shared" si="8"/>
        <v/>
      </c>
      <c r="G13" s="80"/>
      <c r="H13" s="80" t="str">
        <f>IF(AND(ISNUMBER(C13),ISNUMBER(G13)), C13-G13, "")</f>
        <v/>
      </c>
      <c r="I13" s="99" t="str">
        <f t="shared" si="6"/>
        <v/>
      </c>
      <c r="J13" s="40"/>
      <c r="K13" s="41"/>
    </row>
    <row r="14" spans="1:11" ht="15.75">
      <c r="A14" s="26" t="str">
        <v>AZ: Payson - Gila CC</v>
      </c>
      <c r="B14" s="27" t="str">
        <v>AZ</v>
      </c>
      <c r="C14" s="73"/>
      <c r="D14" s="12"/>
      <c r="E14" s="12" t="str">
        <f t="shared" si="7"/>
        <v/>
      </c>
      <c r="F14" s="74" t="str">
        <f t="shared" si="8"/>
        <v/>
      </c>
      <c r="G14" s="75"/>
      <c r="H14" s="75"/>
      <c r="I14" s="76" t="str">
        <f t="shared" si="6"/>
        <v/>
      </c>
      <c r="J14" s="77"/>
      <c r="K14" s="77"/>
    </row>
    <row r="15" spans="1:11" ht="15.75">
      <c r="A15" s="28" t="str">
        <v>AZ: Mesa - Sequoia Charter School</v>
      </c>
      <c r="B15" s="29" t="str">
        <v>AZ</v>
      </c>
      <c r="C15" s="100"/>
      <c r="D15" s="16"/>
      <c r="E15" s="16" t="str">
        <f t="shared" si="7"/>
        <v/>
      </c>
      <c r="F15" s="99" t="str">
        <f t="shared" si="8"/>
        <v/>
      </c>
      <c r="G15" s="80"/>
      <c r="H15" s="80" t="str">
        <f>IF(AND(ISNUMBER(C15),ISNUMBER(G15)), C15-G15, "")</f>
        <v/>
      </c>
      <c r="I15" s="99" t="str">
        <f t="shared" si="6"/>
        <v/>
      </c>
      <c r="J15" s="40"/>
      <c r="K15" s="41"/>
    </row>
    <row r="16" spans="1:11" ht="15.75">
      <c r="A16" s="26" t="str">
        <v>AZ: Tempe - SCNM</v>
      </c>
      <c r="B16" s="27" t="str">
        <v>AZ</v>
      </c>
      <c r="C16" s="73"/>
      <c r="D16" s="12"/>
      <c r="E16" s="12" t="str">
        <f t="shared" si="7"/>
        <v/>
      </c>
      <c r="F16" s="74" t="str">
        <f t="shared" si="8"/>
        <v/>
      </c>
      <c r="G16" s="75"/>
      <c r="H16" s="75"/>
      <c r="I16" s="76" t="str">
        <f t="shared" si="6"/>
        <v/>
      </c>
      <c r="J16" s="77"/>
      <c r="K16" s="77"/>
    </row>
    <row r="17" spans="1:11" ht="15.75">
      <c r="A17" s="28" t="str">
        <v>DE: Newark - Clayton Hall</v>
      </c>
      <c r="B17" s="29" t="str">
        <v>DE</v>
      </c>
      <c r="C17" s="100"/>
      <c r="D17" s="16"/>
      <c r="E17" s="16" t="str">
        <f t="shared" si="7"/>
        <v/>
      </c>
      <c r="F17" s="99" t="str">
        <f t="shared" si="8"/>
        <v/>
      </c>
      <c r="G17" s="80"/>
      <c r="H17" s="80" t="str">
        <f>IF(AND(ISNUMBER(C17),ISNUMBER(G17)), C17-G17, "")</f>
        <v/>
      </c>
      <c r="I17" s="99" t="str">
        <f t="shared" si="6"/>
        <v/>
      </c>
      <c r="J17" s="40"/>
      <c r="K17" s="41"/>
    </row>
    <row r="18" spans="1:11" ht="15.75">
      <c r="A18" s="26" t="str">
        <v>DE: Newark - UOD Field House</v>
      </c>
      <c r="B18" s="27" t="str">
        <v>DE</v>
      </c>
      <c r="C18" s="73"/>
      <c r="D18" s="12"/>
      <c r="E18" s="12" t="str">
        <f t="shared" si="7"/>
        <v/>
      </c>
      <c r="F18" s="74" t="str">
        <f t="shared" si="8"/>
        <v/>
      </c>
      <c r="G18" s="75"/>
      <c r="H18" s="75"/>
      <c r="I18" s="76" t="str">
        <f t="shared" si="6"/>
        <v/>
      </c>
      <c r="J18" s="77"/>
      <c r="K18" s="77"/>
    </row>
    <row r="19" spans="1:11" ht="15.75">
      <c r="A19" s="28" t="str">
        <v>DE: Newark - UOD 461 Wyoming</v>
      </c>
      <c r="B19" s="29" t="str">
        <v>DE</v>
      </c>
      <c r="C19" s="100"/>
      <c r="D19" s="16"/>
      <c r="E19" s="16" t="str">
        <f t="shared" si="7"/>
        <v/>
      </c>
      <c r="F19" s="99" t="str">
        <f t="shared" si="8"/>
        <v/>
      </c>
      <c r="G19" s="80"/>
      <c r="H19" s="80" t="str">
        <f>IF(AND(ISNUMBER(C19),ISNUMBER(G19)), C19-G19, "")</f>
        <v/>
      </c>
      <c r="I19" s="99" t="str">
        <f t="shared" si="6"/>
        <v/>
      </c>
      <c r="J19" s="40"/>
      <c r="K19" s="41"/>
    </row>
    <row r="20" spans="1:11" ht="15.75">
      <c r="A20" s="26" t="str">
        <v>HI: Waipahu - 94-246 Leoku St - E.F.G.</v>
      </c>
      <c r="B20" s="27" t="str">
        <v>HI</v>
      </c>
      <c r="C20" s="73"/>
      <c r="D20" s="12"/>
      <c r="E20" s="12" t="str">
        <f t="shared" si="7"/>
        <v/>
      </c>
      <c r="F20" s="74" t="str">
        <f t="shared" si="8"/>
        <v/>
      </c>
      <c r="G20" s="75"/>
      <c r="H20" s="75"/>
      <c r="I20" s="76" t="str">
        <f t="shared" si="6"/>
        <v/>
      </c>
      <c r="J20" s="77"/>
      <c r="K20" s="77"/>
    </row>
    <row r="21" spans="1:11" ht="15.75">
      <c r="A21" s="28" t="str">
        <v>HI: Waipahu - 94-099 Waipahu St - PV</v>
      </c>
      <c r="B21" s="29" t="str">
        <v>HI</v>
      </c>
      <c r="C21" s="100"/>
      <c r="D21" s="16"/>
      <c r="E21" s="16" t="str">
        <f t="shared" si="7"/>
        <v/>
      </c>
      <c r="F21" s="99" t="str">
        <f t="shared" si="8"/>
        <v/>
      </c>
      <c r="G21" s="80"/>
      <c r="H21" s="80" t="str">
        <f>IF(AND(ISNUMBER(C21),ISNUMBER(G21)), C21-G21, "")</f>
        <v/>
      </c>
      <c r="I21" s="99" t="str">
        <f t="shared" si="6"/>
        <v/>
      </c>
      <c r="J21" s="40"/>
      <c r="K21" s="41"/>
    </row>
    <row r="22" spans="1:11" ht="15.75">
      <c r="A22" s="26" t="str">
        <v>MD: Presston - Bird-in-Hand</v>
      </c>
      <c r="B22" s="27" t="str">
        <v>MD</v>
      </c>
      <c r="C22" s="73"/>
      <c r="D22" s="12"/>
      <c r="E22" s="12" t="str">
        <f t="shared" si="7"/>
        <v/>
      </c>
      <c r="F22" s="74" t="str">
        <f t="shared" si="8"/>
        <v/>
      </c>
      <c r="G22" s="75"/>
      <c r="H22" s="75"/>
      <c r="I22" s="76" t="str">
        <f t="shared" si="6"/>
        <v/>
      </c>
      <c r="J22" s="77"/>
      <c r="K22" s="77"/>
    </row>
    <row r="23" spans="1:11" ht="15.75">
      <c r="A23" s="28" t="str">
        <v>MD: Easton - Shortall</v>
      </c>
      <c r="B23" s="29" t="str">
        <v>MD</v>
      </c>
      <c r="C23" s="100"/>
      <c r="D23" s="16"/>
      <c r="E23" s="16" t="str">
        <f t="shared" si="7"/>
        <v/>
      </c>
      <c r="F23" s="99" t="str">
        <f t="shared" si="8"/>
        <v/>
      </c>
      <c r="G23" s="80"/>
      <c r="H23" s="80" t="str">
        <f>IF(AND(ISNUMBER(C23),ISNUMBER(G23)), C23-G23, "")</f>
        <v/>
      </c>
      <c r="I23" s="99" t="str">
        <f t="shared" si="6"/>
        <v/>
      </c>
      <c r="J23" s="40"/>
      <c r="K23" s="41"/>
    </row>
    <row r="24" spans="1:11" ht="15.75">
      <c r="A24" s="26" t="str">
        <v>MA: Boston - Seaport Solar</v>
      </c>
      <c r="B24" s="27" t="str">
        <v>MA</v>
      </c>
      <c r="C24" s="73"/>
      <c r="D24" s="12"/>
      <c r="E24" s="12" t="str">
        <f t="shared" si="7"/>
        <v/>
      </c>
      <c r="F24" s="74" t="str">
        <f t="shared" si="8"/>
        <v/>
      </c>
      <c r="G24" s="75"/>
      <c r="H24" s="75"/>
      <c r="I24" s="76" t="str">
        <f t="shared" si="6"/>
        <v/>
      </c>
      <c r="J24" s="77"/>
      <c r="K24" s="77"/>
    </row>
    <row r="25" spans="1:11" ht="15.75">
      <c r="A25" s="28" t="str">
        <v>MA: Dedham - Sprague Street</v>
      </c>
      <c r="B25" s="29" t="str">
        <v>MA</v>
      </c>
      <c r="C25" s="100"/>
      <c r="D25" s="16"/>
      <c r="E25" s="16" t="str">
        <f t="shared" si="7"/>
        <v/>
      </c>
      <c r="F25" s="99" t="str">
        <f t="shared" si="8"/>
        <v/>
      </c>
      <c r="G25" s="80"/>
      <c r="H25" s="80" t="str">
        <f>IF(AND(ISNUMBER(C25),ISNUMBER(G25)), C25-G25, "")</f>
        <v/>
      </c>
      <c r="I25" s="99" t="str">
        <f t="shared" si="6"/>
        <v/>
      </c>
      <c r="J25" s="40"/>
      <c r="K25" s="41"/>
    </row>
    <row r="26" spans="1:11" ht="15.75">
      <c r="A26" s="26" t="str">
        <v>MA: Boston - Summer Street</v>
      </c>
      <c r="B26" s="27" t="str">
        <v>MA</v>
      </c>
      <c r="C26" s="73"/>
      <c r="D26" s="12"/>
      <c r="E26" s="12" t="str">
        <f t="shared" si="7"/>
        <v/>
      </c>
      <c r="F26" s="74" t="str">
        <f t="shared" si="8"/>
        <v/>
      </c>
      <c r="G26" s="75"/>
      <c r="H26" s="75"/>
      <c r="I26" s="76" t="str">
        <f t="shared" si="6"/>
        <v/>
      </c>
      <c r="J26" s="77"/>
      <c r="K26" s="77"/>
    </row>
    <row r="27" spans="1:11" ht="15.75">
      <c r="A27" s="28" t="str">
        <v>MA: Leominster - Spectro Coatings</v>
      </c>
      <c r="B27" s="29" t="str">
        <v>MA</v>
      </c>
      <c r="C27" s="100"/>
      <c r="D27" s="16"/>
      <c r="E27" s="16" t="str">
        <f t="shared" si="7"/>
        <v/>
      </c>
      <c r="F27" s="99" t="str">
        <f t="shared" si="8"/>
        <v/>
      </c>
      <c r="G27" s="80"/>
      <c r="H27" s="80" t="str">
        <f>IF(AND(ISNUMBER(C27),ISNUMBER(G27)), C27-G27, "")</f>
        <v/>
      </c>
      <c r="I27" s="99" t="str">
        <f t="shared" si="6"/>
        <v/>
      </c>
      <c r="J27" s="40"/>
      <c r="K27" s="41"/>
    </row>
    <row r="28" spans="1:11" ht="15.75">
      <c r="A28" s="26" t="str">
        <v>MA: Braintree - RCAB</v>
      </c>
      <c r="B28" s="27" t="str">
        <v>MA</v>
      </c>
      <c r="C28" s="73"/>
      <c r="D28" s="12"/>
      <c r="E28" s="12" t="str">
        <f t="shared" si="7"/>
        <v/>
      </c>
      <c r="F28" s="74" t="str">
        <f t="shared" si="8"/>
        <v/>
      </c>
      <c r="G28" s="75"/>
      <c r="H28" s="75"/>
      <c r="I28" s="76" t="str">
        <f t="shared" si="6"/>
        <v/>
      </c>
      <c r="J28" s="77"/>
      <c r="K28" s="77"/>
    </row>
    <row r="29" spans="1:11" ht="15.75">
      <c r="A29" s="28" t="str">
        <v>NH: Rochester - Portland Street</v>
      </c>
      <c r="B29" s="29" t="str">
        <v>NH</v>
      </c>
      <c r="C29" s="100"/>
      <c r="D29" s="16"/>
      <c r="E29" s="16" t="str">
        <f t="shared" si="7"/>
        <v/>
      </c>
      <c r="F29" s="99" t="str">
        <f t="shared" si="8"/>
        <v/>
      </c>
      <c r="G29" s="80"/>
      <c r="H29" s="80" t="str">
        <f>IF(AND(ISNUMBER(C29),ISNUMBER(G29)), C29-G29, "")</f>
        <v/>
      </c>
      <c r="I29" s="99" t="str">
        <f t="shared" si="6"/>
        <v/>
      </c>
      <c r="J29" s="40"/>
      <c r="K29" s="41"/>
    </row>
    <row r="30" spans="1:11" ht="15.75">
      <c r="A30" s="26" t="str">
        <v>NH: Portsmouth - Portsmouth HS</v>
      </c>
      <c r="B30" s="27" t="str">
        <v>NH</v>
      </c>
      <c r="C30" s="73"/>
      <c r="D30" s="12"/>
      <c r="E30" s="12" t="str">
        <f t="shared" si="7"/>
        <v/>
      </c>
      <c r="F30" s="74" t="str">
        <f t="shared" si="8"/>
        <v/>
      </c>
      <c r="G30" s="75"/>
      <c r="H30" s="75"/>
      <c r="I30" s="76" t="str">
        <f t="shared" si="6"/>
        <v/>
      </c>
      <c r="J30" s="77"/>
      <c r="K30" s="77"/>
    </row>
    <row r="31" spans="1:11" ht="15.75">
      <c r="A31" s="28" t="str">
        <v>NH: Portsmouth - Portsmouth WTP</v>
      </c>
      <c r="B31" s="29" t="str">
        <v>NH</v>
      </c>
      <c r="C31" s="100"/>
      <c r="D31" s="16"/>
      <c r="E31" s="16" t="str">
        <f t="shared" si="7"/>
        <v/>
      </c>
      <c r="F31" s="99" t="str">
        <f t="shared" si="8"/>
        <v/>
      </c>
      <c r="G31" s="80"/>
      <c r="H31" s="80" t="str">
        <f>IF(AND(ISNUMBER(C31),ISNUMBER(G31)), C31-G31, "")</f>
        <v/>
      </c>
      <c r="I31" s="99" t="str">
        <f t="shared" si="6"/>
        <v/>
      </c>
      <c r="J31" s="40"/>
      <c r="K31" s="41"/>
    </row>
    <row r="32" spans="1:11" ht="15.75">
      <c r="A32" s="26" t="str">
        <v>NH: Rochester - Rochester MS</v>
      </c>
      <c r="B32" s="27" t="str">
        <v>NH</v>
      </c>
      <c r="C32" s="73"/>
      <c r="D32" s="12"/>
      <c r="E32" s="12" t="str">
        <f t="shared" si="7"/>
        <v/>
      </c>
      <c r="F32" s="74" t="str">
        <f t="shared" si="8"/>
        <v/>
      </c>
      <c r="G32" s="75"/>
      <c r="H32" s="75"/>
      <c r="I32" s="76" t="str">
        <f t="shared" si="6"/>
        <v/>
      </c>
      <c r="J32" s="77"/>
      <c r="K32" s="77"/>
    </row>
    <row r="33" spans="1:11" ht="15.75">
      <c r="A33" s="28" t="str">
        <v>NH Rochester - Spaulding HS</v>
      </c>
      <c r="B33" s="29" t="str">
        <v>NH</v>
      </c>
      <c r="C33" s="100"/>
      <c r="D33" s="16"/>
      <c r="E33" s="16" t="str">
        <f t="shared" si="7"/>
        <v/>
      </c>
      <c r="F33" s="99" t="str">
        <f t="shared" si="8"/>
        <v/>
      </c>
      <c r="G33" s="80"/>
      <c r="H33" s="80" t="str">
        <f>IF(AND(ISNUMBER(C33),ISNUMBER(G33)), C33-G33, "")</f>
        <v/>
      </c>
      <c r="I33" s="99" t="str">
        <f t="shared" si="6"/>
        <v/>
      </c>
      <c r="J33" s="40"/>
      <c r="K33" s="41"/>
    </row>
    <row r="34" spans="1:11" ht="15.75">
      <c r="A34" s="26" t="str">
        <v>NH: Rochester - McClelland ES</v>
      </c>
      <c r="B34" s="27" t="str">
        <v>NH</v>
      </c>
      <c r="C34" s="73"/>
      <c r="D34" s="12"/>
      <c r="E34" s="12" t="str">
        <f t="shared" si="7"/>
        <v/>
      </c>
      <c r="F34" s="74" t="str">
        <f t="shared" si="8"/>
        <v/>
      </c>
      <c r="G34" s="75"/>
      <c r="H34" s="75"/>
      <c r="I34" s="76" t="str">
        <f t="shared" si="6"/>
        <v/>
      </c>
      <c r="J34" s="77"/>
      <c r="K34" s="77"/>
    </row>
    <row r="35" spans="1:11" ht="15.75">
      <c r="A35" s="28" t="str">
        <v>NH: Rochester - Brock St Vocational</v>
      </c>
      <c r="B35" s="29" t="str">
        <v>NH</v>
      </c>
      <c r="C35" s="100"/>
      <c r="D35" s="16"/>
      <c r="E35" s="16" t="str">
        <f t="shared" si="7"/>
        <v/>
      </c>
      <c r="F35" s="99" t="str">
        <f t="shared" si="8"/>
        <v/>
      </c>
      <c r="G35" s="80"/>
      <c r="H35" s="80" t="str">
        <f>IF(AND(ISNUMBER(C35),ISNUMBER(G35)), C35-G35, "")</f>
        <v/>
      </c>
      <c r="I35" s="99" t="str">
        <f t="shared" si="6"/>
        <v/>
      </c>
      <c r="J35" s="40"/>
      <c r="K35" s="41"/>
    </row>
    <row r="36" spans="1:11" ht="15.75">
      <c r="A36" s="26" t="str">
        <v>OH: Cleveland - CV Kinsman</v>
      </c>
      <c r="B36" s="27" t="str">
        <v>OH</v>
      </c>
      <c r="C36" s="73"/>
      <c r="D36" s="12"/>
      <c r="E36" s="12" t="str">
        <f t="shared" si="7"/>
        <v/>
      </c>
      <c r="F36" s="74" t="str">
        <f t="shared" si="8"/>
        <v/>
      </c>
      <c r="G36" s="75"/>
      <c r="H36" s="75"/>
      <c r="I36" s="76" t="str">
        <f t="shared" si="6"/>
        <v/>
      </c>
      <c r="J36" s="77"/>
      <c r="K36" s="77"/>
    </row>
    <row r="37" spans="1:11" ht="15.75">
      <c r="A37" s="28" t="str">
        <v>OH: Cleveland - CV Wooster</v>
      </c>
      <c r="B37" s="29" t="str">
        <v>OH</v>
      </c>
      <c r="C37" s="100"/>
      <c r="D37" s="16"/>
      <c r="E37" s="16" t="str">
        <f t="shared" si="7"/>
        <v/>
      </c>
      <c r="F37" s="99" t="str">
        <f t="shared" si="8"/>
        <v/>
      </c>
      <c r="G37" s="80"/>
      <c r="H37" s="80" t="str">
        <f>IF(AND(ISNUMBER(C37),ISNUMBER(G37)), C37-G37, "")</f>
        <v/>
      </c>
      <c r="I37" s="99" t="str">
        <f t="shared" si="6"/>
        <v/>
      </c>
      <c r="J37" s="40"/>
      <c r="K37" s="41"/>
    </row>
    <row r="38" spans="1:11" ht="15.75">
      <c r="A38" s="26" t="str">
        <v>PR: Aguadilla - Coca Cola</v>
      </c>
      <c r="B38" s="27" t="str">
        <v>PR</v>
      </c>
      <c r="C38" s="73"/>
      <c r="D38" s="12"/>
      <c r="E38" s="12" t="str">
        <f t="shared" si="7"/>
        <v/>
      </c>
      <c r="F38" s="74" t="str">
        <f t="shared" si="8"/>
        <v/>
      </c>
      <c r="G38" s="75"/>
      <c r="H38" s="75"/>
      <c r="I38" s="76" t="str">
        <f t="shared" si="6"/>
        <v/>
      </c>
      <c r="J38" s="77"/>
      <c r="K38" s="77"/>
    </row>
    <row r="39" spans="1:11" ht="15.75">
      <c r="A39" s="28" t="str">
        <v>PR: Bayamon - Coca Cola</v>
      </c>
      <c r="B39" s="29" t="str">
        <v>PR</v>
      </c>
      <c r="C39" s="100"/>
      <c r="D39" s="16"/>
      <c r="E39" s="16" t="str">
        <f t="shared" si="7"/>
        <v/>
      </c>
      <c r="F39" s="99" t="str">
        <f t="shared" si="8"/>
        <v/>
      </c>
      <c r="G39" s="80"/>
      <c r="H39" s="80" t="str">
        <f>IF(AND(ISNUMBER(C39),ISNUMBER(G39)), C39-G39, "")</f>
        <v/>
      </c>
      <c r="I39" s="99" t="str">
        <f t="shared" si="6"/>
        <v/>
      </c>
      <c r="J39" s="40"/>
      <c r="K39" s="41"/>
    </row>
    <row r="40" spans="1:11" ht="15.75">
      <c r="A40" s="26" t="str">
        <v>PR: Carolina - St. Francis</v>
      </c>
      <c r="B40" s="27" t="str">
        <v>PR</v>
      </c>
      <c r="C40" s="73"/>
      <c r="D40" s="12"/>
      <c r="E40" s="12" t="str">
        <f t="shared" si="7"/>
        <v/>
      </c>
      <c r="F40" s="74" t="str">
        <f t="shared" si="8"/>
        <v/>
      </c>
      <c r="G40" s="75"/>
      <c r="H40" s="75"/>
      <c r="I40" s="76" t="str">
        <f t="shared" si="6"/>
        <v/>
      </c>
      <c r="J40" s="77"/>
      <c r="K40" s="77"/>
    </row>
    <row r="41" spans="1:11" ht="15.75">
      <c r="A41" s="28" t="str">
        <v>DC: Washington - Essex Condominium</v>
      </c>
      <c r="B41" s="29" t="str">
        <v>DC</v>
      </c>
      <c r="C41" s="100"/>
      <c r="D41" s="16"/>
      <c r="E41" s="16" t="str">
        <f t="shared" si="7"/>
        <v/>
      </c>
      <c r="F41" s="99" t="str">
        <f t="shared" si="8"/>
        <v/>
      </c>
      <c r="G41" s="80"/>
      <c r="H41" s="80" t="str">
        <f>IF(AND(ISNUMBER(C41),ISNUMBER(G41)), C41-G41, "")</f>
        <v/>
      </c>
      <c r="I41" s="99" t="str">
        <f t="shared" si="6"/>
        <v/>
      </c>
      <c r="J41" s="40"/>
      <c r="K41" s="41"/>
    </row>
    <row r="42" spans="1:11" ht="15.75">
      <c r="A42" s="26" t="str">
        <v>DC: Chevy Chase -Sinai</v>
      </c>
      <c r="B42" s="27" t="str">
        <v>DC</v>
      </c>
      <c r="C42" s="73"/>
      <c r="D42" s="12"/>
      <c r="E42" s="12" t="str">
        <f t="shared" si="7"/>
        <v/>
      </c>
      <c r="F42" s="74" t="str">
        <f t="shared" si="8"/>
        <v/>
      </c>
      <c r="G42" s="75"/>
      <c r="H42" s="75"/>
      <c r="I42" s="76" t="str">
        <f t="shared" si="6"/>
        <v/>
      </c>
      <c r="J42" s="77"/>
      <c r="K42" s="77"/>
    </row>
    <row r="43" spans="1:11" ht="15.75">
      <c r="A43" s="28" t="str">
        <v>DC: Washington - Weinberg 1</v>
      </c>
      <c r="B43" s="29" t="str">
        <v>DC</v>
      </c>
      <c r="C43" s="100"/>
      <c r="D43" s="16"/>
      <c r="E43" s="16" t="str">
        <f t="shared" si="7"/>
        <v/>
      </c>
      <c r="F43" s="99" t="str">
        <f t="shared" si="8"/>
        <v/>
      </c>
      <c r="G43" s="80"/>
      <c r="H43" s="80" t="str">
        <f>IF(AND(ISNUMBER(C43),ISNUMBER(G43)), C43-G43, "")</f>
        <v/>
      </c>
      <c r="I43" s="99" t="str">
        <f t="shared" si="6"/>
        <v/>
      </c>
      <c r="J43" s="40"/>
      <c r="K43" s="41"/>
    </row>
    <row r="44" spans="1:11" ht="15.75">
      <c r="A44" s="26" t="str">
        <v>DC: Washington - Weinberg 2</v>
      </c>
      <c r="B44" s="27" t="str">
        <v>DC</v>
      </c>
      <c r="C44" s="73"/>
      <c r="D44" s="12"/>
      <c r="E44" s="12" t="str">
        <f t="shared" si="7"/>
        <v/>
      </c>
      <c r="F44" s="74" t="str">
        <f t="shared" si="8"/>
        <v/>
      </c>
      <c r="G44" s="75"/>
      <c r="H44" s="75"/>
      <c r="I44" s="76" t="str">
        <f t="shared" si="6"/>
        <v/>
      </c>
      <c r="J44" s="77"/>
      <c r="K44" s="77"/>
    </row>
    <row r="45" spans="1:11" ht="15.75">
      <c r="A45" s="28" t="str">
        <v>DC: Washington - Weinberg 3</v>
      </c>
      <c r="B45" s="29" t="str">
        <v>DC</v>
      </c>
      <c r="C45" s="100"/>
      <c r="D45" s="16"/>
      <c r="E45" s="16" t="str">
        <f t="shared" si="7"/>
        <v/>
      </c>
      <c r="F45" s="99" t="str">
        <f t="shared" si="8"/>
        <v/>
      </c>
      <c r="G45" s="80"/>
      <c r="H45" s="80" t="str">
        <f>IF(AND(ISNUMBER(C45),ISNUMBER(G45)), C45-G45, "")</f>
        <v/>
      </c>
      <c r="I45" s="99" t="str">
        <f t="shared" si="6"/>
        <v/>
      </c>
      <c r="J45" s="40"/>
      <c r="K45" s="41"/>
    </row>
    <row r="46" spans="1:11" ht="14.25">
      <c r="A46" s="19"/>
      <c r="B46" s="31"/>
      <c r="C46" s="19"/>
      <c r="D46" s="19"/>
      <c r="E46" s="19"/>
      <c r="F46" s="20"/>
      <c r="G46" s="19"/>
      <c r="H46" s="19"/>
      <c r="I46" s="20"/>
      <c r="J46" s="19"/>
      <c r="K46" s="19"/>
    </row>
    <row r="47" spans="1:11" ht="14.25">
      <c r="A47" s="19"/>
      <c r="B47" s="31"/>
      <c r="C47" s="19"/>
      <c r="D47" s="19"/>
      <c r="E47" s="19"/>
      <c r="F47" s="20"/>
      <c r="G47" s="19"/>
      <c r="H47" s="19"/>
      <c r="I47" s="20"/>
      <c r="J47" s="19"/>
      <c r="K47" s="19"/>
    </row>
    <row r="48" spans="1:11" ht="14.25">
      <c r="A48" s="19"/>
      <c r="B48" s="31"/>
      <c r="C48" s="19"/>
      <c r="D48" s="19"/>
      <c r="E48" s="19"/>
      <c r="F48" s="20"/>
      <c r="G48" s="19"/>
      <c r="H48" s="19"/>
      <c r="I48" s="20"/>
      <c r="J48" s="19"/>
      <c r="K48" s="19"/>
    </row>
    <row r="49" spans="1:11" ht="14.25">
      <c r="A49" s="19"/>
      <c r="B49" s="31"/>
      <c r="C49" s="19"/>
      <c r="D49" s="19"/>
      <c r="E49" s="19"/>
      <c r="F49" s="20"/>
      <c r="G49" s="19"/>
      <c r="H49" s="19"/>
      <c r="I49" s="20"/>
      <c r="J49" s="19"/>
      <c r="K49" s="19"/>
    </row>
    <row r="50" spans="1:11" ht="14.25">
      <c r="A50" s="19"/>
      <c r="B50" s="31"/>
      <c r="C50" s="19"/>
      <c r="D50" s="19"/>
      <c r="E50" s="19"/>
      <c r="F50" s="20"/>
      <c r="G50" s="19"/>
      <c r="H50" s="19"/>
      <c r="I50" s="20"/>
      <c r="J50" s="19"/>
      <c r="K50" s="19"/>
    </row>
    <row r="51" spans="1:11" ht="14.25">
      <c r="A51" s="19"/>
      <c r="B51" s="31"/>
      <c r="C51" s="19"/>
      <c r="D51" s="19"/>
      <c r="E51" s="19"/>
      <c r="F51" s="20"/>
      <c r="G51" s="19"/>
      <c r="H51" s="19"/>
      <c r="I51" s="20"/>
      <c r="J51" s="19"/>
      <c r="K51" s="19"/>
    </row>
    <row r="52" spans="1:11" ht="14.25">
      <c r="A52" s="19"/>
      <c r="B52" s="31"/>
      <c r="C52" s="19"/>
      <c r="D52" s="19"/>
      <c r="E52" s="19"/>
      <c r="F52" s="20"/>
      <c r="G52" s="19"/>
      <c r="H52" s="19"/>
      <c r="I52" s="20"/>
      <c r="J52" s="19"/>
      <c r="K52" s="19"/>
    </row>
    <row r="53" spans="1:11" ht="14.25">
      <c r="A53" s="19"/>
      <c r="B53" s="31"/>
      <c r="C53" s="19"/>
      <c r="D53" s="19"/>
      <c r="E53" s="19"/>
      <c r="F53" s="20"/>
      <c r="G53" s="19"/>
      <c r="H53" s="19"/>
      <c r="I53" s="20"/>
      <c r="J53" s="19"/>
      <c r="K53" s="19"/>
    </row>
    <row r="54" spans="1:11" ht="14.25">
      <c r="A54" s="19"/>
      <c r="B54" s="31"/>
      <c r="C54" s="19"/>
      <c r="D54" s="19"/>
      <c r="E54" s="19"/>
      <c r="F54" s="20"/>
      <c r="G54" s="19"/>
      <c r="H54" s="19"/>
      <c r="I54" s="20"/>
      <c r="J54" s="19"/>
      <c r="K54" s="19"/>
    </row>
    <row r="55" spans="1:11" ht="14.25">
      <c r="A55" s="19"/>
      <c r="B55" s="31"/>
      <c r="C55" s="19"/>
      <c r="D55" s="19"/>
      <c r="E55" s="19"/>
      <c r="F55" s="20"/>
      <c r="G55" s="19"/>
      <c r="H55" s="19"/>
      <c r="I55" s="20"/>
      <c r="J55" s="19"/>
      <c r="K55" s="19"/>
    </row>
    <row r="56" spans="1:11" ht="14.25">
      <c r="A56" s="19"/>
      <c r="B56" s="31"/>
      <c r="C56" s="19"/>
      <c r="D56" s="19"/>
      <c r="E56" s="19"/>
      <c r="F56" s="20"/>
      <c r="G56" s="19"/>
      <c r="H56" s="19"/>
      <c r="I56" s="20"/>
      <c r="J56" s="19"/>
      <c r="K56" s="19"/>
    </row>
    <row r="57" spans="1:11" ht="14.25">
      <c r="A57" s="19"/>
      <c r="B57" s="31"/>
      <c r="C57" s="19"/>
      <c r="D57" s="19"/>
      <c r="E57" s="19"/>
      <c r="F57" s="20"/>
      <c r="G57" s="19"/>
      <c r="H57" s="19"/>
      <c r="I57" s="20"/>
      <c r="J57" s="19"/>
      <c r="K57" s="19"/>
    </row>
    <row r="58" spans="1:11" ht="14.25">
      <c r="A58" s="19"/>
      <c r="B58" s="31"/>
      <c r="C58" s="19"/>
      <c r="D58" s="19"/>
      <c r="E58" s="19"/>
      <c r="F58" s="20"/>
      <c r="G58" s="19"/>
      <c r="H58" s="19"/>
      <c r="I58" s="20"/>
      <c r="J58" s="19"/>
      <c r="K58" s="19"/>
    </row>
    <row r="59" spans="1:11" ht="14.25">
      <c r="A59" s="19"/>
      <c r="B59" s="31"/>
      <c r="C59" s="19"/>
      <c r="D59" s="19"/>
      <c r="E59" s="19"/>
      <c r="F59" s="20"/>
      <c r="G59" s="19"/>
      <c r="H59" s="19"/>
      <c r="I59" s="20"/>
      <c r="J59" s="19"/>
      <c r="K59" s="19"/>
    </row>
    <row r="60" spans="1:11" ht="14.25">
      <c r="A60" s="19"/>
      <c r="B60" s="31"/>
      <c r="C60" s="19"/>
      <c r="D60" s="19"/>
      <c r="E60" s="19"/>
      <c r="F60" s="20"/>
      <c r="G60" s="19"/>
      <c r="H60" s="19"/>
      <c r="I60" s="20"/>
      <c r="J60" s="19"/>
      <c r="K60" s="19"/>
    </row>
    <row r="61" spans="1:11" ht="14.25">
      <c r="A61" s="19"/>
      <c r="B61" s="31"/>
      <c r="C61" s="19"/>
      <c r="D61" s="19"/>
      <c r="E61" s="19"/>
      <c r="F61" s="20"/>
      <c r="G61" s="19"/>
      <c r="H61" s="19"/>
      <c r="I61" s="20"/>
      <c r="J61" s="19"/>
      <c r="K61" s="19"/>
    </row>
    <row r="62" spans="1:11" ht="14.25">
      <c r="A62" s="19"/>
      <c r="B62" s="31"/>
      <c r="C62" s="19"/>
      <c r="D62" s="19"/>
      <c r="E62" s="19"/>
      <c r="F62" s="20"/>
      <c r="G62" s="19"/>
      <c r="H62" s="19"/>
      <c r="I62" s="20"/>
      <c r="J62" s="19"/>
      <c r="K62" s="19"/>
    </row>
    <row r="63" spans="1:11" ht="14.25">
      <c r="A63" s="19"/>
      <c r="B63" s="31"/>
      <c r="C63" s="19"/>
      <c r="D63" s="19"/>
      <c r="E63" s="19"/>
      <c r="F63" s="20"/>
      <c r="G63" s="19"/>
      <c r="H63" s="19"/>
      <c r="I63" s="20"/>
      <c r="J63" s="19"/>
      <c r="K63" s="19"/>
    </row>
    <row r="64" spans="1:11" ht="14.25">
      <c r="A64" s="19"/>
      <c r="B64" s="31"/>
      <c r="C64" s="19"/>
      <c r="D64" s="19"/>
      <c r="E64" s="19"/>
      <c r="F64" s="20"/>
      <c r="G64" s="19"/>
      <c r="H64" s="19"/>
      <c r="I64" s="20"/>
      <c r="J64" s="19"/>
      <c r="K64" s="19"/>
    </row>
    <row r="65" spans="1:11" ht="14.25">
      <c r="A65" s="19"/>
      <c r="B65" s="31"/>
      <c r="C65" s="19"/>
      <c r="D65" s="19"/>
      <c r="E65" s="19"/>
      <c r="F65" s="20"/>
      <c r="G65" s="19"/>
      <c r="H65" s="19"/>
      <c r="I65" s="20"/>
      <c r="J65" s="19"/>
      <c r="K65" s="19"/>
    </row>
    <row r="66" spans="1:11" ht="14.25">
      <c r="A66" s="19"/>
      <c r="B66" s="31"/>
      <c r="C66" s="19"/>
      <c r="D66" s="19"/>
      <c r="E66" s="19"/>
      <c r="F66" s="20"/>
      <c r="G66" s="19"/>
      <c r="H66" s="19"/>
      <c r="I66" s="20"/>
      <c r="J66" s="19"/>
      <c r="K66" s="19"/>
    </row>
    <row r="67" spans="1:11" ht="14.25">
      <c r="A67" s="19"/>
      <c r="B67" s="31"/>
      <c r="C67" s="19"/>
      <c r="D67" s="19"/>
      <c r="E67" s="19"/>
      <c r="F67" s="20"/>
      <c r="G67" s="19"/>
      <c r="H67" s="19"/>
      <c r="I67" s="20"/>
      <c r="J67" s="19"/>
      <c r="K67" s="19"/>
    </row>
    <row r="68" spans="1:11" ht="14.25">
      <c r="A68" s="19"/>
      <c r="B68" s="31"/>
      <c r="C68" s="19"/>
      <c r="D68" s="19"/>
      <c r="E68" s="19"/>
      <c r="F68" s="20"/>
      <c r="G68" s="19"/>
      <c r="H68" s="19"/>
      <c r="I68" s="20"/>
      <c r="J68" s="19"/>
      <c r="K68" s="19"/>
    </row>
    <row r="69" spans="1:11" ht="14.25">
      <c r="A69" s="19"/>
      <c r="B69" s="31"/>
      <c r="C69" s="19"/>
      <c r="D69" s="19"/>
      <c r="E69" s="19"/>
      <c r="F69" s="20"/>
      <c r="G69" s="19"/>
      <c r="H69" s="19"/>
      <c r="I69" s="20"/>
      <c r="J69" s="19"/>
      <c r="K69" s="19"/>
    </row>
    <row r="70" spans="1:11" ht="14.25">
      <c r="A70" s="19"/>
      <c r="B70" s="31"/>
      <c r="C70" s="19"/>
      <c r="D70" s="19"/>
      <c r="E70" s="19"/>
      <c r="F70" s="20"/>
      <c r="G70" s="19"/>
      <c r="H70" s="19"/>
      <c r="I70" s="20"/>
      <c r="J70" s="19"/>
      <c r="K70" s="19"/>
    </row>
    <row r="71" spans="1:11" ht="14.25">
      <c r="A71" s="19"/>
      <c r="B71" s="31"/>
      <c r="C71" s="19"/>
      <c r="D71" s="19"/>
      <c r="E71" s="19"/>
      <c r="F71" s="20"/>
      <c r="G71" s="19"/>
      <c r="H71" s="19"/>
      <c r="I71" s="20"/>
      <c r="J71" s="19"/>
      <c r="K71" s="19"/>
    </row>
    <row r="72" spans="1:11" ht="14.25">
      <c r="A72" s="19"/>
      <c r="B72" s="31"/>
      <c r="C72" s="19"/>
      <c r="D72" s="19"/>
      <c r="E72" s="19"/>
      <c r="F72" s="20"/>
      <c r="G72" s="19"/>
      <c r="H72" s="19"/>
      <c r="I72" s="20"/>
      <c r="J72" s="19"/>
      <c r="K72" s="19"/>
    </row>
    <row r="73" spans="1:11" ht="14.25">
      <c r="A73" s="19"/>
      <c r="B73" s="31"/>
      <c r="C73" s="19"/>
      <c r="D73" s="19"/>
      <c r="E73" s="19"/>
      <c r="F73" s="20"/>
      <c r="G73" s="19"/>
      <c r="H73" s="19"/>
      <c r="I73" s="20"/>
      <c r="J73" s="19"/>
      <c r="K73" s="19"/>
    </row>
    <row r="74" spans="1:11" ht="14.25">
      <c r="A74" s="19"/>
      <c r="B74" s="31"/>
      <c r="C74" s="19"/>
      <c r="D74" s="19"/>
      <c r="E74" s="19"/>
      <c r="F74" s="20"/>
      <c r="G74" s="19"/>
      <c r="H74" s="19"/>
      <c r="I74" s="20"/>
      <c r="J74" s="19"/>
      <c r="K74" s="19"/>
    </row>
    <row r="75" spans="1:11" ht="14.25">
      <c r="A75" s="19"/>
      <c r="B75" s="31"/>
      <c r="C75" s="19"/>
      <c r="D75" s="19"/>
      <c r="E75" s="19"/>
      <c r="F75" s="20"/>
      <c r="G75" s="19"/>
      <c r="H75" s="19"/>
      <c r="I75" s="20"/>
      <c r="J75" s="19"/>
      <c r="K75" s="19"/>
    </row>
    <row r="76" spans="1:11" ht="14.25">
      <c r="A76" s="19"/>
      <c r="B76" s="31"/>
      <c r="C76" s="19"/>
      <c r="D76" s="19"/>
      <c r="E76" s="19"/>
      <c r="F76" s="20"/>
      <c r="G76" s="19"/>
      <c r="H76" s="19"/>
      <c r="I76" s="20"/>
      <c r="J76" s="19"/>
      <c r="K76" s="19"/>
    </row>
    <row r="77" spans="1:11" ht="14.25">
      <c r="A77" s="19"/>
      <c r="B77" s="31"/>
      <c r="C77" s="19"/>
      <c r="D77" s="19"/>
      <c r="E77" s="19"/>
      <c r="F77" s="20"/>
      <c r="G77" s="19"/>
      <c r="H77" s="19"/>
      <c r="I77" s="20"/>
      <c r="J77" s="19"/>
      <c r="K77" s="19"/>
    </row>
    <row r="78" spans="1:11" ht="14.25">
      <c r="A78" s="19"/>
      <c r="B78" s="31"/>
      <c r="C78" s="19"/>
      <c r="D78" s="19"/>
      <c r="E78" s="19"/>
      <c r="F78" s="20"/>
      <c r="G78" s="19"/>
      <c r="H78" s="19"/>
      <c r="I78" s="20"/>
      <c r="J78" s="19"/>
      <c r="K78" s="19"/>
    </row>
    <row r="79" spans="1:11" ht="14.25">
      <c r="A79" s="19"/>
      <c r="B79" s="31"/>
      <c r="C79" s="19"/>
      <c r="D79" s="19"/>
      <c r="E79" s="19"/>
      <c r="F79" s="20"/>
      <c r="G79" s="19"/>
      <c r="H79" s="19"/>
      <c r="I79" s="20"/>
      <c r="J79" s="19"/>
      <c r="K79" s="19"/>
    </row>
    <row r="80" spans="1:11" ht="14.25">
      <c r="A80" s="19"/>
      <c r="B80" s="31"/>
      <c r="C80" s="19"/>
      <c r="D80" s="19"/>
      <c r="E80" s="19"/>
      <c r="F80" s="20"/>
      <c r="G80" s="19"/>
      <c r="H80" s="19"/>
      <c r="I80" s="20"/>
      <c r="J80" s="19"/>
      <c r="K80" s="19"/>
    </row>
    <row r="81" spans="1:11" ht="14.25">
      <c r="A81" s="19"/>
      <c r="B81" s="31"/>
      <c r="C81" s="19"/>
      <c r="D81" s="19"/>
      <c r="E81" s="19"/>
      <c r="F81" s="20"/>
      <c r="G81" s="19"/>
      <c r="H81" s="19"/>
      <c r="I81" s="20"/>
      <c r="J81" s="19"/>
      <c r="K81" s="19"/>
    </row>
    <row r="82" spans="1:11" ht="14.25">
      <c r="A82" s="19"/>
      <c r="B82" s="31"/>
      <c r="C82" s="19"/>
      <c r="D82" s="19"/>
      <c r="E82" s="19"/>
      <c r="F82" s="20"/>
      <c r="G82" s="19"/>
      <c r="H82" s="19"/>
      <c r="I82" s="20"/>
      <c r="J82" s="19"/>
      <c r="K82" s="19"/>
    </row>
    <row r="83" spans="1:11" ht="14.25">
      <c r="A83" s="19"/>
      <c r="B83" s="31"/>
      <c r="C83" s="19"/>
      <c r="D83" s="19"/>
      <c r="E83" s="19"/>
      <c r="F83" s="20"/>
      <c r="G83" s="19"/>
      <c r="H83" s="19"/>
      <c r="I83" s="20"/>
      <c r="J83" s="19"/>
      <c r="K83" s="19"/>
    </row>
    <row r="84" spans="1:11" ht="14.25">
      <c r="A84" s="19"/>
      <c r="B84" s="31"/>
      <c r="C84" s="19"/>
      <c r="D84" s="19"/>
      <c r="E84" s="19"/>
      <c r="F84" s="20"/>
      <c r="G84" s="19"/>
      <c r="H84" s="19"/>
      <c r="I84" s="20"/>
      <c r="J84" s="19"/>
      <c r="K84" s="19"/>
    </row>
    <row r="85" spans="1:11" ht="14.25">
      <c r="A85" s="19"/>
      <c r="B85" s="31"/>
      <c r="C85" s="19"/>
      <c r="D85" s="19"/>
      <c r="E85" s="19"/>
      <c r="F85" s="20"/>
      <c r="G85" s="19"/>
      <c r="H85" s="19"/>
      <c r="I85" s="20"/>
      <c r="J85" s="19"/>
      <c r="K85" s="19"/>
    </row>
    <row r="86" spans="1:11" ht="14.25">
      <c r="A86" s="19"/>
      <c r="B86" s="31"/>
      <c r="C86" s="19"/>
      <c r="D86" s="19"/>
      <c r="E86" s="19"/>
      <c r="F86" s="20"/>
      <c r="G86" s="19"/>
      <c r="H86" s="19"/>
      <c r="I86" s="20"/>
      <c r="J86" s="19"/>
      <c r="K86" s="19"/>
    </row>
    <row r="87" spans="1:11" ht="14.25">
      <c r="A87" s="19"/>
      <c r="B87" s="31"/>
      <c r="C87" s="19"/>
      <c r="D87" s="19"/>
      <c r="E87" s="19"/>
      <c r="F87" s="20"/>
      <c r="G87" s="19"/>
      <c r="H87" s="19"/>
      <c r="I87" s="20"/>
      <c r="J87" s="19"/>
      <c r="K87" s="19"/>
    </row>
    <row r="88" spans="1:11" ht="14.25">
      <c r="A88" s="19"/>
      <c r="B88" s="31"/>
      <c r="C88" s="19"/>
      <c r="D88" s="19"/>
      <c r="E88" s="19"/>
      <c r="F88" s="20"/>
      <c r="G88" s="19"/>
      <c r="H88" s="19"/>
      <c r="I88" s="20"/>
      <c r="J88" s="19"/>
      <c r="K88" s="19"/>
    </row>
    <row r="89" spans="1:11" ht="14.25">
      <c r="A89" s="19"/>
      <c r="B89" s="31"/>
      <c r="C89" s="19"/>
      <c r="D89" s="19"/>
      <c r="E89" s="19"/>
      <c r="F89" s="20"/>
      <c r="G89" s="19"/>
      <c r="H89" s="19"/>
      <c r="I89" s="20"/>
      <c r="J89" s="19"/>
      <c r="K89" s="19"/>
    </row>
    <row r="90" spans="1:11" ht="14.25">
      <c r="A90" s="19"/>
      <c r="B90" s="31"/>
      <c r="C90" s="19"/>
      <c r="D90" s="19"/>
      <c r="E90" s="19"/>
      <c r="F90" s="20"/>
      <c r="G90" s="19"/>
      <c r="H90" s="19"/>
      <c r="I90" s="20"/>
      <c r="J90" s="19"/>
      <c r="K90" s="19"/>
    </row>
    <row r="91" spans="1:11" ht="14.25">
      <c r="A91" s="19"/>
      <c r="B91" s="31"/>
      <c r="C91" s="19"/>
      <c r="D91" s="19"/>
      <c r="E91" s="19"/>
      <c r="F91" s="20"/>
      <c r="G91" s="19"/>
      <c r="H91" s="19"/>
      <c r="I91" s="20"/>
      <c r="J91" s="19"/>
      <c r="K91" s="19"/>
    </row>
    <row r="92" spans="1:11" ht="14.25">
      <c r="A92" s="19"/>
      <c r="B92" s="31"/>
      <c r="C92" s="19"/>
      <c r="D92" s="19"/>
      <c r="E92" s="19"/>
      <c r="F92" s="20"/>
      <c r="G92" s="19"/>
      <c r="H92" s="19"/>
      <c r="I92" s="20"/>
      <c r="J92" s="19"/>
      <c r="K92" s="19"/>
    </row>
    <row r="93" spans="1:11" ht="14.25">
      <c r="A93" s="19"/>
      <c r="B93" s="31"/>
      <c r="C93" s="19"/>
      <c r="D93" s="19"/>
      <c r="E93" s="19"/>
      <c r="F93" s="20"/>
      <c r="G93" s="19"/>
      <c r="H93" s="19"/>
      <c r="I93" s="20"/>
      <c r="J93" s="19"/>
      <c r="K93" s="19"/>
    </row>
    <row r="94" spans="1:11" ht="14.25">
      <c r="A94" s="19"/>
      <c r="B94" s="31"/>
      <c r="C94" s="19"/>
      <c r="D94" s="19"/>
      <c r="E94" s="19"/>
      <c r="F94" s="20"/>
      <c r="G94" s="19"/>
      <c r="H94" s="19"/>
      <c r="I94" s="20"/>
      <c r="J94" s="19"/>
      <c r="K94" s="19"/>
    </row>
    <row r="95" spans="1:11" ht="14.25">
      <c r="A95" s="19"/>
      <c r="B95" s="31"/>
      <c r="C95" s="19"/>
      <c r="D95" s="19"/>
      <c r="E95" s="19"/>
      <c r="F95" s="20"/>
      <c r="G95" s="19"/>
      <c r="H95" s="19"/>
      <c r="I95" s="20"/>
      <c r="J95" s="19"/>
      <c r="K95" s="19"/>
    </row>
    <row r="96" spans="1:11" ht="14.25">
      <c r="A96" s="19"/>
      <c r="B96" s="31"/>
      <c r="C96" s="19"/>
      <c r="D96" s="19"/>
      <c r="E96" s="19"/>
      <c r="F96" s="20"/>
      <c r="G96" s="19"/>
      <c r="H96" s="19"/>
      <c r="I96" s="20"/>
      <c r="J96" s="19"/>
      <c r="K96" s="19"/>
    </row>
    <row r="97" spans="1:11" ht="14.25">
      <c r="A97" s="19"/>
      <c r="B97" s="31"/>
      <c r="C97" s="19"/>
      <c r="D97" s="19"/>
      <c r="E97" s="19"/>
      <c r="F97" s="20"/>
      <c r="G97" s="19"/>
      <c r="H97" s="19"/>
      <c r="I97" s="20"/>
      <c r="J97" s="19"/>
      <c r="K97" s="19"/>
    </row>
    <row r="98" spans="1:11" ht="14.25">
      <c r="A98" s="19"/>
      <c r="B98" s="31"/>
      <c r="C98" s="19"/>
      <c r="D98" s="19"/>
      <c r="E98" s="19"/>
      <c r="F98" s="20"/>
      <c r="G98" s="19"/>
      <c r="H98" s="19"/>
      <c r="I98" s="20"/>
      <c r="J98" s="19"/>
      <c r="K98" s="19"/>
    </row>
    <row r="99" spans="1:11" ht="14.25">
      <c r="A99" s="19"/>
      <c r="B99" s="31"/>
      <c r="C99" s="19"/>
      <c r="D99" s="19"/>
      <c r="E99" s="19"/>
      <c r="F99" s="20"/>
      <c r="G99" s="19"/>
      <c r="H99" s="19"/>
      <c r="I99" s="20"/>
      <c r="J99" s="19"/>
      <c r="K99" s="19"/>
    </row>
    <row r="100" spans="1:11" ht="14.25">
      <c r="A100" s="19"/>
      <c r="B100" s="31"/>
      <c r="C100" s="19"/>
      <c r="D100" s="19"/>
      <c r="E100" s="19"/>
      <c r="F100" s="20"/>
      <c r="G100" s="19"/>
      <c r="H100" s="19"/>
      <c r="I100" s="20"/>
      <c r="J100" s="19"/>
      <c r="K100" s="19"/>
    </row>
    <row r="101" spans="1:11" ht="14.25">
      <c r="A101" s="19"/>
      <c r="B101" s="31"/>
      <c r="C101" s="19"/>
      <c r="D101" s="19"/>
      <c r="E101" s="19"/>
      <c r="F101" s="20"/>
      <c r="G101" s="19"/>
      <c r="H101" s="19"/>
      <c r="I101" s="20"/>
      <c r="J101" s="19"/>
      <c r="K101" s="19"/>
    </row>
    <row r="102" spans="1:11" ht="14.25">
      <c r="A102" s="19"/>
      <c r="B102" s="31"/>
      <c r="C102" s="19"/>
      <c r="D102" s="19"/>
      <c r="E102" s="19"/>
      <c r="F102" s="20"/>
      <c r="G102" s="19"/>
      <c r="H102" s="19"/>
      <c r="I102" s="20"/>
      <c r="J102" s="19"/>
      <c r="K102" s="19"/>
    </row>
    <row r="103" spans="1:11" ht="14.25">
      <c r="A103" s="19"/>
      <c r="B103" s="31"/>
      <c r="C103" s="19"/>
      <c r="D103" s="19"/>
      <c r="E103" s="19"/>
      <c r="F103" s="20"/>
      <c r="G103" s="19"/>
      <c r="H103" s="19"/>
      <c r="I103" s="20"/>
      <c r="J103" s="19"/>
      <c r="K103" s="19"/>
    </row>
    <row r="104" spans="1:11" ht="14.25">
      <c r="A104" s="19"/>
      <c r="B104" s="31"/>
      <c r="C104" s="19"/>
      <c r="D104" s="19"/>
      <c r="E104" s="19"/>
      <c r="F104" s="20"/>
      <c r="G104" s="19"/>
      <c r="H104" s="19"/>
      <c r="I104" s="20"/>
      <c r="J104" s="19"/>
      <c r="K104" s="19"/>
    </row>
    <row r="105" spans="1:11" ht="14.25">
      <c r="A105" s="19"/>
      <c r="B105" s="31"/>
      <c r="C105" s="19"/>
      <c r="D105" s="19"/>
      <c r="E105" s="19"/>
      <c r="F105" s="20"/>
      <c r="G105" s="19"/>
      <c r="H105" s="19"/>
      <c r="I105" s="20"/>
      <c r="J105" s="19"/>
      <c r="K105" s="19"/>
    </row>
    <row r="106" spans="1:11" ht="14.25">
      <c r="A106" s="19"/>
      <c r="B106" s="31"/>
      <c r="C106" s="19"/>
      <c r="D106" s="19"/>
      <c r="E106" s="19"/>
      <c r="F106" s="20"/>
      <c r="G106" s="19"/>
      <c r="H106" s="19"/>
      <c r="I106" s="20"/>
      <c r="J106" s="19"/>
      <c r="K106" s="19"/>
    </row>
    <row r="107" spans="1:11" ht="14.25">
      <c r="A107" s="19"/>
      <c r="B107" s="31"/>
      <c r="C107" s="19"/>
      <c r="D107" s="19"/>
      <c r="E107" s="19"/>
      <c r="F107" s="20"/>
      <c r="G107" s="19"/>
      <c r="H107" s="19"/>
      <c r="I107" s="20"/>
      <c r="J107" s="19"/>
      <c r="K107" s="19"/>
    </row>
    <row r="108" spans="1:11" ht="14.25">
      <c r="A108" s="19"/>
      <c r="B108" s="31"/>
      <c r="C108" s="19"/>
      <c r="D108" s="19"/>
      <c r="E108" s="19"/>
      <c r="F108" s="20"/>
      <c r="G108" s="19"/>
      <c r="H108" s="19"/>
      <c r="I108" s="20"/>
      <c r="J108" s="19"/>
      <c r="K108" s="19"/>
    </row>
    <row r="109" spans="1:11" ht="14.25">
      <c r="A109" s="19"/>
      <c r="B109" s="31"/>
      <c r="C109" s="19"/>
      <c r="D109" s="19"/>
      <c r="E109" s="19"/>
      <c r="F109" s="20"/>
      <c r="G109" s="19"/>
      <c r="H109" s="19"/>
      <c r="I109" s="20"/>
      <c r="J109" s="19"/>
      <c r="K109" s="19"/>
    </row>
    <row r="110" spans="1:11" ht="14.25">
      <c r="A110" s="19"/>
      <c r="B110" s="31"/>
      <c r="C110" s="19"/>
      <c r="D110" s="19"/>
      <c r="E110" s="19"/>
      <c r="F110" s="20"/>
      <c r="G110" s="19"/>
      <c r="H110" s="19"/>
      <c r="I110" s="20"/>
      <c r="J110" s="19"/>
      <c r="K110" s="19"/>
    </row>
    <row r="111" spans="1:11" ht="14.25">
      <c r="A111" s="19"/>
      <c r="B111" s="31"/>
      <c r="C111" s="19"/>
      <c r="D111" s="19"/>
      <c r="E111" s="19"/>
      <c r="F111" s="20"/>
      <c r="G111" s="19"/>
      <c r="H111" s="19"/>
      <c r="I111" s="20"/>
      <c r="J111" s="19"/>
      <c r="K111" s="19"/>
    </row>
    <row r="112" spans="1:11" ht="14.25">
      <c r="A112" s="19"/>
      <c r="B112" s="31"/>
      <c r="C112" s="19"/>
      <c r="D112" s="19"/>
      <c r="E112" s="19"/>
      <c r="F112" s="20"/>
      <c r="G112" s="19"/>
      <c r="H112" s="19"/>
      <c r="I112" s="20"/>
      <c r="J112" s="19"/>
      <c r="K112" s="19"/>
    </row>
    <row r="113" spans="1:11" ht="14.25">
      <c r="A113" s="19"/>
      <c r="B113" s="31"/>
      <c r="C113" s="19"/>
      <c r="D113" s="19"/>
      <c r="E113" s="19"/>
      <c r="F113" s="20"/>
      <c r="G113" s="19"/>
      <c r="H113" s="19"/>
      <c r="I113" s="20"/>
      <c r="J113" s="19"/>
      <c r="K113" s="19"/>
    </row>
    <row r="114" spans="1:11" ht="14.25">
      <c r="A114" s="19"/>
      <c r="B114" s="31"/>
      <c r="C114" s="19"/>
      <c r="D114" s="19"/>
      <c r="E114" s="19"/>
      <c r="F114" s="20"/>
      <c r="G114" s="19"/>
      <c r="H114" s="19"/>
      <c r="I114" s="20"/>
      <c r="J114" s="19"/>
      <c r="K114" s="19"/>
    </row>
    <row r="115" spans="1:11" ht="14.25">
      <c r="A115" s="19"/>
      <c r="B115" s="31"/>
      <c r="C115" s="19"/>
      <c r="D115" s="19"/>
      <c r="E115" s="19"/>
      <c r="F115" s="20"/>
      <c r="G115" s="19"/>
      <c r="H115" s="19"/>
      <c r="I115" s="20"/>
      <c r="J115" s="19"/>
      <c r="K115" s="19"/>
    </row>
    <row r="116" spans="1:11" ht="14.25">
      <c r="A116" s="19"/>
      <c r="B116" s="31"/>
      <c r="C116" s="19"/>
      <c r="D116" s="19"/>
      <c r="E116" s="19"/>
      <c r="F116" s="20"/>
      <c r="G116" s="19"/>
      <c r="H116" s="19"/>
      <c r="I116" s="20"/>
      <c r="J116" s="19"/>
      <c r="K116" s="19"/>
    </row>
    <row r="117" spans="1:11" ht="14.25">
      <c r="A117" s="19"/>
      <c r="B117" s="31"/>
      <c r="C117" s="19"/>
      <c r="D117" s="19"/>
      <c r="E117" s="19"/>
      <c r="F117" s="20"/>
      <c r="G117" s="19"/>
      <c r="H117" s="19"/>
      <c r="I117" s="20"/>
      <c r="J117" s="19"/>
      <c r="K117" s="19"/>
    </row>
    <row r="118" spans="1:11" ht="14.25">
      <c r="A118" s="19"/>
      <c r="B118" s="31"/>
      <c r="C118" s="19"/>
      <c r="D118" s="19"/>
      <c r="E118" s="19"/>
      <c r="F118" s="20"/>
      <c r="G118" s="19"/>
      <c r="H118" s="19"/>
      <c r="I118" s="20"/>
      <c r="J118" s="19"/>
      <c r="K118" s="19"/>
    </row>
    <row r="119" spans="1:11" ht="14.25">
      <c r="A119" s="19"/>
      <c r="B119" s="31"/>
      <c r="C119" s="19"/>
      <c r="D119" s="19"/>
      <c r="E119" s="19"/>
      <c r="F119" s="20"/>
      <c r="G119" s="19"/>
      <c r="H119" s="19"/>
      <c r="I119" s="20"/>
      <c r="J119" s="19"/>
      <c r="K119" s="19"/>
    </row>
    <row r="120" spans="1:11" ht="14.25">
      <c r="A120" s="19"/>
      <c r="B120" s="31"/>
      <c r="C120" s="19"/>
      <c r="D120" s="19"/>
      <c r="E120" s="19"/>
      <c r="F120" s="20"/>
      <c r="G120" s="19"/>
      <c r="H120" s="19"/>
      <c r="I120" s="20"/>
      <c r="J120" s="19"/>
      <c r="K120" s="19"/>
    </row>
    <row r="121" spans="1:11" ht="14.25">
      <c r="A121" s="19"/>
      <c r="B121" s="31"/>
      <c r="C121" s="19"/>
      <c r="D121" s="19"/>
      <c r="E121" s="19"/>
      <c r="F121" s="20"/>
      <c r="G121" s="19"/>
      <c r="H121" s="19"/>
      <c r="I121" s="20"/>
      <c r="J121" s="19"/>
      <c r="K121" s="19"/>
    </row>
    <row r="122" spans="1:11" ht="14.25">
      <c r="A122" s="19"/>
      <c r="B122" s="31"/>
      <c r="C122" s="19"/>
      <c r="D122" s="19"/>
      <c r="E122" s="19"/>
      <c r="F122" s="20"/>
      <c r="G122" s="19"/>
      <c r="H122" s="19"/>
      <c r="I122" s="20"/>
      <c r="J122" s="19"/>
      <c r="K122" s="19"/>
    </row>
    <row r="123" spans="1:11" ht="14.25">
      <c r="A123" s="19"/>
      <c r="B123" s="31"/>
      <c r="C123" s="19"/>
      <c r="D123" s="19"/>
      <c r="E123" s="19"/>
      <c r="F123" s="20"/>
      <c r="G123" s="19"/>
      <c r="H123" s="19"/>
      <c r="I123" s="20"/>
      <c r="J123" s="19"/>
      <c r="K123" s="19"/>
    </row>
    <row r="124" spans="1:11" ht="14.25">
      <c r="A124" s="19"/>
      <c r="B124" s="31"/>
      <c r="C124" s="19"/>
      <c r="D124" s="19"/>
      <c r="E124" s="19"/>
      <c r="F124" s="20"/>
      <c r="G124" s="19"/>
      <c r="H124" s="19"/>
      <c r="I124" s="20"/>
      <c r="J124" s="19"/>
      <c r="K124" s="19"/>
    </row>
    <row r="125" spans="1:11" ht="14.25">
      <c r="A125" s="19"/>
      <c r="B125" s="31"/>
      <c r="C125" s="19"/>
      <c r="D125" s="19"/>
      <c r="E125" s="19"/>
      <c r="F125" s="20"/>
      <c r="G125" s="19"/>
      <c r="H125" s="19"/>
      <c r="I125" s="20"/>
      <c r="J125" s="19"/>
      <c r="K125" s="19"/>
    </row>
    <row r="126" spans="1:11" ht="14.25">
      <c r="A126" s="19"/>
      <c r="B126" s="31"/>
      <c r="C126" s="19"/>
      <c r="D126" s="19"/>
      <c r="E126" s="19"/>
      <c r="F126" s="20"/>
      <c r="G126" s="19"/>
      <c r="H126" s="19"/>
      <c r="I126" s="20"/>
      <c r="J126" s="19"/>
      <c r="K126" s="19"/>
    </row>
    <row r="127" spans="1:11" ht="14.25">
      <c r="A127" s="19"/>
      <c r="B127" s="31"/>
      <c r="C127" s="19"/>
      <c r="D127" s="19"/>
      <c r="E127" s="19"/>
      <c r="F127" s="20"/>
      <c r="G127" s="19"/>
      <c r="H127" s="19"/>
      <c r="I127" s="20"/>
      <c r="J127" s="19"/>
      <c r="K127" s="19"/>
    </row>
    <row r="128" spans="1:11" ht="14.25">
      <c r="A128" s="19"/>
      <c r="B128" s="31"/>
      <c r="C128" s="19"/>
      <c r="D128" s="19"/>
      <c r="E128" s="19"/>
      <c r="F128" s="20"/>
      <c r="G128" s="19"/>
      <c r="H128" s="19"/>
      <c r="I128" s="20"/>
      <c r="J128" s="19"/>
      <c r="K128" s="19"/>
    </row>
    <row r="129" spans="1:11" ht="14.25">
      <c r="A129" s="19"/>
      <c r="B129" s="31"/>
      <c r="C129" s="19"/>
      <c r="D129" s="19"/>
      <c r="E129" s="19"/>
      <c r="F129" s="20"/>
      <c r="G129" s="19"/>
      <c r="H129" s="19"/>
      <c r="I129" s="20"/>
      <c r="J129" s="19"/>
      <c r="K129" s="19"/>
    </row>
    <row r="130" spans="1:11" ht="14.25">
      <c r="A130" s="19"/>
      <c r="B130" s="31"/>
      <c r="C130" s="19"/>
      <c r="D130" s="19"/>
      <c r="E130" s="19"/>
      <c r="F130" s="20"/>
      <c r="G130" s="19"/>
      <c r="H130" s="19"/>
      <c r="I130" s="20"/>
      <c r="J130" s="19"/>
      <c r="K130" s="19"/>
    </row>
    <row r="131" spans="1:11" ht="14.25">
      <c r="A131" s="19"/>
      <c r="B131" s="31"/>
      <c r="C131" s="19"/>
      <c r="D131" s="19"/>
      <c r="E131" s="19"/>
      <c r="F131" s="20"/>
      <c r="G131" s="19"/>
      <c r="H131" s="19"/>
      <c r="I131" s="20"/>
      <c r="J131" s="19"/>
      <c r="K131" s="19"/>
    </row>
    <row r="132" spans="1:11" ht="14.25">
      <c r="A132" s="19"/>
      <c r="B132" s="31"/>
      <c r="C132" s="19"/>
      <c r="D132" s="19"/>
      <c r="E132" s="19"/>
      <c r="F132" s="20"/>
      <c r="G132" s="19"/>
      <c r="H132" s="19"/>
      <c r="I132" s="20"/>
      <c r="J132" s="19"/>
      <c r="K132" s="19"/>
    </row>
    <row r="133" spans="1:11" ht="14.25">
      <c r="A133" s="19"/>
      <c r="B133" s="31"/>
      <c r="C133" s="19"/>
      <c r="D133" s="19"/>
      <c r="E133" s="19"/>
      <c r="F133" s="20"/>
      <c r="G133" s="19"/>
      <c r="H133" s="19"/>
      <c r="I133" s="20"/>
      <c r="J133" s="19"/>
      <c r="K133" s="19"/>
    </row>
    <row r="134" spans="1:11" ht="14.25">
      <c r="A134" s="19"/>
      <c r="B134" s="31"/>
      <c r="C134" s="19"/>
      <c r="D134" s="19"/>
      <c r="E134" s="19"/>
      <c r="F134" s="20"/>
      <c r="G134" s="19"/>
      <c r="H134" s="19"/>
      <c r="I134" s="20"/>
      <c r="J134" s="19"/>
      <c r="K134" s="19"/>
    </row>
    <row r="135" spans="1:11" ht="14.25">
      <c r="A135" s="19"/>
      <c r="B135" s="31"/>
      <c r="C135" s="19"/>
      <c r="D135" s="19"/>
      <c r="E135" s="19"/>
      <c r="F135" s="20"/>
      <c r="G135" s="19"/>
      <c r="H135" s="19"/>
      <c r="I135" s="20"/>
      <c r="J135" s="19"/>
      <c r="K135" s="19"/>
    </row>
    <row r="136" spans="1:11" ht="14.25">
      <c r="A136" s="19"/>
      <c r="B136" s="31"/>
      <c r="C136" s="19"/>
      <c r="D136" s="19"/>
      <c r="E136" s="19"/>
      <c r="F136" s="20"/>
      <c r="G136" s="19"/>
      <c r="H136" s="19"/>
      <c r="I136" s="20"/>
      <c r="J136" s="19"/>
      <c r="K136" s="19"/>
    </row>
    <row r="137" spans="1:11" ht="14.25">
      <c r="A137" s="19"/>
      <c r="B137" s="31"/>
      <c r="C137" s="19"/>
      <c r="D137" s="19"/>
      <c r="E137" s="19"/>
      <c r="F137" s="20"/>
      <c r="G137" s="19"/>
      <c r="H137" s="19"/>
      <c r="I137" s="20"/>
      <c r="J137" s="19"/>
      <c r="K137" s="19"/>
    </row>
    <row r="138" spans="1:11" ht="14.25">
      <c r="A138" s="19"/>
      <c r="B138" s="31"/>
      <c r="C138" s="19"/>
      <c r="D138" s="19"/>
      <c r="E138" s="19"/>
      <c r="F138" s="20"/>
      <c r="G138" s="19"/>
      <c r="H138" s="19"/>
      <c r="I138" s="20"/>
      <c r="J138" s="19"/>
      <c r="K138" s="19"/>
    </row>
    <row r="139" spans="1:11" ht="14.25">
      <c r="A139" s="19"/>
      <c r="B139" s="31"/>
      <c r="C139" s="19"/>
      <c r="D139" s="19"/>
      <c r="E139" s="19"/>
      <c r="F139" s="20"/>
      <c r="G139" s="19"/>
      <c r="H139" s="19"/>
      <c r="I139" s="20"/>
      <c r="J139" s="19"/>
      <c r="K139" s="19"/>
    </row>
    <row r="140" spans="1:11" ht="14.25">
      <c r="A140" s="19"/>
      <c r="B140" s="31"/>
      <c r="C140" s="19"/>
      <c r="D140" s="19"/>
      <c r="E140" s="19"/>
      <c r="F140" s="20"/>
      <c r="G140" s="19"/>
      <c r="H140" s="19"/>
      <c r="I140" s="20"/>
      <c r="J140" s="19"/>
      <c r="K140" s="19"/>
    </row>
    <row r="141" spans="1:11" ht="14.25">
      <c r="A141" s="19"/>
      <c r="B141" s="31"/>
      <c r="C141" s="19"/>
      <c r="D141" s="19"/>
      <c r="E141" s="19"/>
      <c r="F141" s="20"/>
      <c r="G141" s="19"/>
      <c r="H141" s="19"/>
      <c r="I141" s="20"/>
      <c r="J141" s="19"/>
      <c r="K141" s="19"/>
    </row>
    <row r="142" spans="1:11" ht="14.25">
      <c r="A142" s="19"/>
      <c r="B142" s="31"/>
      <c r="C142" s="19"/>
      <c r="D142" s="19"/>
      <c r="E142" s="19"/>
      <c r="F142" s="20"/>
      <c r="G142" s="19"/>
      <c r="H142" s="19"/>
      <c r="I142" s="20"/>
      <c r="J142" s="19"/>
      <c r="K142" s="19"/>
    </row>
    <row r="143" spans="1:11" ht="14.25">
      <c r="A143" s="19"/>
      <c r="B143" s="31"/>
      <c r="C143" s="19"/>
      <c r="D143" s="19"/>
      <c r="E143" s="19"/>
      <c r="F143" s="20"/>
      <c r="G143" s="19"/>
      <c r="H143" s="19"/>
      <c r="I143" s="20"/>
      <c r="J143" s="19"/>
      <c r="K143" s="19"/>
    </row>
    <row r="144" spans="1:11" ht="14.25">
      <c r="A144" s="19"/>
      <c r="B144" s="31"/>
      <c r="C144" s="19"/>
      <c r="D144" s="19"/>
      <c r="E144" s="19"/>
      <c r="F144" s="20"/>
      <c r="G144" s="19"/>
      <c r="H144" s="19"/>
      <c r="I144" s="20"/>
      <c r="J144" s="19"/>
      <c r="K144" s="19"/>
    </row>
    <row r="145" spans="1:11" ht="14.25">
      <c r="A145" s="19"/>
      <c r="B145" s="31"/>
      <c r="C145" s="19"/>
      <c r="D145" s="19"/>
      <c r="E145" s="19"/>
      <c r="F145" s="20"/>
      <c r="G145" s="19"/>
      <c r="H145" s="19"/>
      <c r="I145" s="20"/>
      <c r="J145" s="19"/>
      <c r="K145" s="19"/>
    </row>
    <row r="146" spans="1:11" ht="14.25">
      <c r="A146" s="19"/>
      <c r="B146" s="31"/>
      <c r="C146" s="19"/>
      <c r="D146" s="19"/>
      <c r="E146" s="19"/>
      <c r="F146" s="20"/>
      <c r="G146" s="19"/>
      <c r="H146" s="19"/>
      <c r="I146" s="20"/>
      <c r="J146" s="19"/>
      <c r="K146" s="19"/>
    </row>
    <row r="147" spans="1:11" ht="14.25">
      <c r="A147" s="19"/>
      <c r="B147" s="31"/>
      <c r="C147" s="19"/>
      <c r="D147" s="19"/>
      <c r="E147" s="19"/>
      <c r="F147" s="20"/>
      <c r="G147" s="19"/>
      <c r="H147" s="19"/>
      <c r="I147" s="20"/>
      <c r="J147" s="19"/>
      <c r="K147" s="19"/>
    </row>
    <row r="148" spans="1:11" ht="14.25">
      <c r="A148" s="19"/>
      <c r="B148" s="31"/>
      <c r="C148" s="19"/>
      <c r="D148" s="19"/>
      <c r="E148" s="19"/>
      <c r="F148" s="20"/>
      <c r="G148" s="19"/>
      <c r="H148" s="19"/>
      <c r="I148" s="20"/>
      <c r="J148" s="19"/>
      <c r="K148" s="19"/>
    </row>
    <row r="149" spans="1:11" ht="14.25">
      <c r="A149" s="19"/>
      <c r="B149" s="31"/>
      <c r="C149" s="19"/>
      <c r="D149" s="19"/>
      <c r="E149" s="19"/>
      <c r="F149" s="20"/>
      <c r="G149" s="19"/>
      <c r="H149" s="19"/>
      <c r="I149" s="20"/>
      <c r="J149" s="19"/>
      <c r="K149" s="19"/>
    </row>
    <row r="150" spans="1:11" ht="14.25">
      <c r="A150" s="19"/>
      <c r="B150" s="31"/>
      <c r="C150" s="19"/>
      <c r="D150" s="19"/>
      <c r="E150" s="19"/>
      <c r="F150" s="20"/>
      <c r="G150" s="19"/>
      <c r="H150" s="19"/>
      <c r="I150" s="20"/>
      <c r="J150" s="19"/>
      <c r="K150" s="19"/>
    </row>
    <row r="151" spans="1:11" ht="14.25">
      <c r="A151" s="19"/>
      <c r="B151" s="31"/>
      <c r="C151" s="19"/>
      <c r="D151" s="19"/>
      <c r="E151" s="19"/>
      <c r="F151" s="20"/>
      <c r="G151" s="19"/>
      <c r="H151" s="19"/>
      <c r="I151" s="20"/>
      <c r="J151" s="19"/>
      <c r="K151" s="19"/>
    </row>
    <row r="152" spans="1:11" ht="14.25">
      <c r="A152" s="19"/>
      <c r="B152" s="31"/>
      <c r="C152" s="19"/>
      <c r="D152" s="19"/>
      <c r="E152" s="19"/>
      <c r="F152" s="20"/>
      <c r="G152" s="19"/>
      <c r="H152" s="19"/>
      <c r="I152" s="20"/>
      <c r="J152" s="19"/>
      <c r="K152" s="19"/>
    </row>
    <row r="153" spans="1:11" ht="14.25">
      <c r="A153" s="19"/>
      <c r="B153" s="31"/>
      <c r="C153" s="19"/>
      <c r="D153" s="19"/>
      <c r="E153" s="19"/>
      <c r="F153" s="20"/>
      <c r="G153" s="19"/>
      <c r="H153" s="19"/>
      <c r="I153" s="20"/>
      <c r="J153" s="19"/>
      <c r="K153" s="19"/>
    </row>
    <row r="154" spans="1:11" ht="14.25">
      <c r="A154" s="19"/>
      <c r="B154" s="31"/>
      <c r="C154" s="19"/>
      <c r="D154" s="19"/>
      <c r="E154" s="19"/>
      <c r="F154" s="20"/>
      <c r="G154" s="19"/>
      <c r="H154" s="19"/>
      <c r="I154" s="20"/>
      <c r="J154" s="19"/>
      <c r="K154" s="19"/>
    </row>
    <row r="155" spans="1:11" ht="14.25">
      <c r="A155" s="19"/>
      <c r="B155" s="31"/>
      <c r="C155" s="19"/>
      <c r="D155" s="19"/>
      <c r="E155" s="19"/>
      <c r="F155" s="20"/>
      <c r="G155" s="19"/>
      <c r="H155" s="19"/>
      <c r="I155" s="20"/>
      <c r="J155" s="19"/>
      <c r="K155" s="19"/>
    </row>
    <row r="156" spans="1:11" ht="14.25">
      <c r="A156" s="19"/>
      <c r="B156" s="31"/>
      <c r="C156" s="19"/>
      <c r="D156" s="19"/>
      <c r="E156" s="19"/>
      <c r="F156" s="20"/>
      <c r="G156" s="19"/>
      <c r="H156" s="19"/>
      <c r="I156" s="20"/>
      <c r="J156" s="19"/>
      <c r="K156" s="19"/>
    </row>
    <row r="157" spans="1:11" ht="14.25">
      <c r="A157" s="19"/>
      <c r="B157" s="31"/>
      <c r="C157" s="19"/>
      <c r="D157" s="19"/>
      <c r="E157" s="19"/>
      <c r="F157" s="20"/>
      <c r="G157" s="19"/>
      <c r="H157" s="19"/>
      <c r="I157" s="20"/>
      <c r="J157" s="19"/>
      <c r="K157" s="19"/>
    </row>
    <row r="158" spans="1:11" ht="14.25">
      <c r="A158" s="19"/>
      <c r="B158" s="31"/>
      <c r="C158" s="19"/>
      <c r="D158" s="19"/>
      <c r="E158" s="19"/>
      <c r="F158" s="20"/>
      <c r="G158" s="19"/>
      <c r="H158" s="19"/>
      <c r="I158" s="20"/>
      <c r="J158" s="19"/>
      <c r="K158" s="19"/>
    </row>
    <row r="159" spans="1:11" ht="14.25">
      <c r="A159" s="19"/>
      <c r="B159" s="31"/>
      <c r="C159" s="19"/>
      <c r="D159" s="19"/>
      <c r="E159" s="19"/>
      <c r="F159" s="20"/>
      <c r="G159" s="19"/>
      <c r="H159" s="19"/>
      <c r="I159" s="20"/>
      <c r="J159" s="19"/>
      <c r="K159" s="19"/>
    </row>
    <row r="160" spans="1:11" ht="14.25">
      <c r="A160" s="19"/>
      <c r="B160" s="31"/>
      <c r="C160" s="19"/>
      <c r="D160" s="19"/>
      <c r="E160" s="19"/>
      <c r="F160" s="20"/>
      <c r="G160" s="19"/>
      <c r="H160" s="19"/>
      <c r="I160" s="20"/>
      <c r="J160" s="19"/>
      <c r="K160" s="19"/>
    </row>
    <row r="161" spans="1:11" ht="14.25">
      <c r="A161" s="19"/>
      <c r="B161" s="31"/>
      <c r="C161" s="19"/>
      <c r="D161" s="19"/>
      <c r="E161" s="19"/>
      <c r="F161" s="20"/>
      <c r="G161" s="19"/>
      <c r="H161" s="19"/>
      <c r="I161" s="20"/>
      <c r="J161" s="19"/>
      <c r="K161" s="19"/>
    </row>
    <row r="162" spans="1:11" ht="14.25">
      <c r="A162" s="19"/>
      <c r="B162" s="31"/>
      <c r="C162" s="19"/>
      <c r="D162" s="19"/>
      <c r="E162" s="19"/>
      <c r="F162" s="20"/>
      <c r="G162" s="19"/>
      <c r="H162" s="19"/>
      <c r="I162" s="20"/>
      <c r="J162" s="19"/>
      <c r="K162" s="19"/>
    </row>
    <row r="163" spans="1:11" ht="14.25">
      <c r="A163" s="19"/>
      <c r="B163" s="31"/>
      <c r="C163" s="19"/>
      <c r="D163" s="19"/>
      <c r="E163" s="19"/>
      <c r="F163" s="20"/>
      <c r="G163" s="19"/>
      <c r="H163" s="19"/>
      <c r="I163" s="20"/>
      <c r="J163" s="19"/>
      <c r="K163" s="19"/>
    </row>
    <row r="164" spans="1:11" ht="14.25">
      <c r="A164" s="19"/>
      <c r="B164" s="31"/>
      <c r="C164" s="19"/>
      <c r="D164" s="19"/>
      <c r="E164" s="19"/>
      <c r="F164" s="20"/>
      <c r="G164" s="19"/>
      <c r="H164" s="19"/>
      <c r="I164" s="20"/>
      <c r="J164" s="19"/>
      <c r="K164" s="19"/>
    </row>
    <row r="165" spans="1:11" ht="14.25">
      <c r="A165" s="19"/>
      <c r="B165" s="31"/>
      <c r="C165" s="19"/>
      <c r="D165" s="19"/>
      <c r="E165" s="19"/>
      <c r="F165" s="20"/>
      <c r="G165" s="19"/>
      <c r="H165" s="19"/>
      <c r="I165" s="20"/>
      <c r="J165" s="19"/>
      <c r="K165" s="19"/>
    </row>
    <row r="166" spans="1:11" ht="14.25">
      <c r="A166" s="19"/>
      <c r="B166" s="31"/>
      <c r="C166" s="19"/>
      <c r="D166" s="19"/>
      <c r="E166" s="19"/>
      <c r="F166" s="20"/>
      <c r="G166" s="19"/>
      <c r="H166" s="19"/>
      <c r="I166" s="20"/>
      <c r="J166" s="19"/>
      <c r="K166" s="19"/>
    </row>
    <row r="167" spans="1:11" ht="14.25">
      <c r="A167" s="19"/>
      <c r="B167" s="31"/>
      <c r="C167" s="19"/>
      <c r="D167" s="19"/>
      <c r="E167" s="19"/>
      <c r="F167" s="20"/>
      <c r="G167" s="19"/>
      <c r="H167" s="19"/>
      <c r="I167" s="20"/>
      <c r="J167" s="19"/>
      <c r="K167" s="19"/>
    </row>
    <row r="168" spans="1:11" ht="14.25">
      <c r="A168" s="19"/>
      <c r="B168" s="31"/>
      <c r="C168" s="19"/>
      <c r="D168" s="19"/>
      <c r="E168" s="19"/>
      <c r="F168" s="20"/>
      <c r="G168" s="19"/>
      <c r="H168" s="19"/>
      <c r="I168" s="20"/>
      <c r="J168" s="19"/>
      <c r="K168" s="19"/>
    </row>
    <row r="169" spans="1:11" ht="14.25">
      <c r="A169" s="19"/>
      <c r="B169" s="31"/>
      <c r="C169" s="19"/>
      <c r="D169" s="19"/>
      <c r="E169" s="19"/>
      <c r="F169" s="20"/>
      <c r="G169" s="19"/>
      <c r="H169" s="19"/>
      <c r="I169" s="20"/>
      <c r="J169" s="19"/>
      <c r="K169" s="19"/>
    </row>
    <row r="170" spans="1:11" ht="14.25">
      <c r="A170" s="19"/>
      <c r="B170" s="31"/>
      <c r="C170" s="19"/>
      <c r="D170" s="19"/>
      <c r="E170" s="19"/>
      <c r="F170" s="20"/>
      <c r="G170" s="19"/>
      <c r="H170" s="19"/>
      <c r="I170" s="20"/>
      <c r="J170" s="19"/>
      <c r="K170" s="19"/>
    </row>
    <row r="171" spans="1:11" ht="14.25">
      <c r="A171" s="19"/>
      <c r="B171" s="31"/>
      <c r="C171" s="19"/>
      <c r="D171" s="19"/>
      <c r="E171" s="19"/>
      <c r="F171" s="20"/>
      <c r="G171" s="19"/>
      <c r="H171" s="19"/>
      <c r="I171" s="20"/>
      <c r="J171" s="19"/>
      <c r="K171" s="19"/>
    </row>
    <row r="172" spans="1:11" ht="14.25">
      <c r="A172" s="19"/>
      <c r="B172" s="31"/>
      <c r="C172" s="19"/>
      <c r="D172" s="19"/>
      <c r="E172" s="19"/>
      <c r="F172" s="20"/>
      <c r="G172" s="19"/>
      <c r="H172" s="19"/>
      <c r="I172" s="20"/>
      <c r="J172" s="19"/>
      <c r="K172" s="19"/>
    </row>
    <row r="173" spans="1:11" ht="14.25">
      <c r="A173" s="19"/>
      <c r="B173" s="31"/>
      <c r="C173" s="19"/>
      <c r="D173" s="19"/>
      <c r="E173" s="19"/>
      <c r="F173" s="20"/>
      <c r="G173" s="19"/>
      <c r="H173" s="19"/>
      <c r="I173" s="20"/>
      <c r="J173" s="19"/>
      <c r="K173" s="19"/>
    </row>
    <row r="174" spans="1:11" ht="14.25">
      <c r="A174" s="19"/>
      <c r="B174" s="31"/>
      <c r="C174" s="19"/>
      <c r="D174" s="19"/>
      <c r="E174" s="19"/>
      <c r="F174" s="20"/>
      <c r="G174" s="19"/>
      <c r="H174" s="19"/>
      <c r="I174" s="20"/>
      <c r="J174" s="19"/>
      <c r="K174" s="19"/>
    </row>
    <row r="175" spans="1:11" ht="14.25">
      <c r="A175" s="19"/>
      <c r="B175" s="31"/>
      <c r="C175" s="19"/>
      <c r="D175" s="19"/>
      <c r="E175" s="19"/>
      <c r="F175" s="20"/>
      <c r="G175" s="19"/>
      <c r="H175" s="19"/>
      <c r="I175" s="20"/>
      <c r="J175" s="19"/>
      <c r="K175" s="19"/>
    </row>
    <row r="176" spans="1:11" ht="14.25">
      <c r="A176" s="19"/>
      <c r="B176" s="31"/>
      <c r="C176" s="19"/>
      <c r="D176" s="19"/>
      <c r="E176" s="19"/>
      <c r="F176" s="20"/>
      <c r="G176" s="19"/>
      <c r="H176" s="19"/>
      <c r="I176" s="20"/>
      <c r="J176" s="19"/>
      <c r="K176" s="19"/>
    </row>
    <row r="177" spans="1:11" ht="14.25">
      <c r="A177" s="19"/>
      <c r="B177" s="31"/>
      <c r="C177" s="19"/>
      <c r="D177" s="19"/>
      <c r="E177" s="19"/>
      <c r="F177" s="20"/>
      <c r="G177" s="19"/>
      <c r="H177" s="19"/>
      <c r="I177" s="20"/>
      <c r="J177" s="19"/>
      <c r="K177" s="19"/>
    </row>
    <row r="178" spans="1:11" ht="14.25">
      <c r="A178" s="19"/>
      <c r="B178" s="31"/>
      <c r="C178" s="19"/>
      <c r="D178" s="19"/>
      <c r="E178" s="19"/>
      <c r="F178" s="20"/>
      <c r="G178" s="19"/>
      <c r="H178" s="19"/>
      <c r="I178" s="20"/>
      <c r="J178" s="19"/>
      <c r="K178" s="19"/>
    </row>
    <row r="179" spans="1:11" ht="14.25">
      <c r="A179" s="19"/>
      <c r="B179" s="31"/>
      <c r="C179" s="19"/>
      <c r="D179" s="19"/>
      <c r="E179" s="19"/>
      <c r="F179" s="20"/>
      <c r="G179" s="19"/>
      <c r="H179" s="19"/>
      <c r="I179" s="20"/>
      <c r="J179" s="19"/>
      <c r="K179" s="19"/>
    </row>
    <row r="180" spans="1:11" ht="14.25">
      <c r="A180" s="19"/>
      <c r="B180" s="31"/>
      <c r="C180" s="19"/>
      <c r="D180" s="19"/>
      <c r="E180" s="19"/>
      <c r="F180" s="20"/>
      <c r="G180" s="19"/>
      <c r="H180" s="19"/>
      <c r="I180" s="20"/>
      <c r="J180" s="19"/>
      <c r="K180" s="19"/>
    </row>
    <row r="181" spans="1:11" ht="14.25">
      <c r="A181" s="19"/>
      <c r="B181" s="31"/>
      <c r="C181" s="19"/>
      <c r="D181" s="19"/>
      <c r="E181" s="19"/>
      <c r="F181" s="20"/>
      <c r="G181" s="19"/>
      <c r="H181" s="19"/>
      <c r="I181" s="20"/>
      <c r="J181" s="19"/>
      <c r="K181" s="19"/>
    </row>
    <row r="182" spans="1:11" ht="14.25">
      <c r="A182" s="19"/>
      <c r="B182" s="31"/>
      <c r="C182" s="19"/>
      <c r="D182" s="19"/>
      <c r="E182" s="19"/>
      <c r="F182" s="20"/>
      <c r="G182" s="19"/>
      <c r="H182" s="19"/>
      <c r="I182" s="20"/>
      <c r="J182" s="19"/>
      <c r="K182" s="19"/>
    </row>
    <row r="183" spans="1:11" ht="14.25">
      <c r="A183" s="19"/>
      <c r="B183" s="31"/>
      <c r="C183" s="19"/>
      <c r="D183" s="19"/>
      <c r="E183" s="19"/>
      <c r="F183" s="20"/>
      <c r="G183" s="19"/>
      <c r="H183" s="19"/>
      <c r="I183" s="20"/>
      <c r="J183" s="19"/>
      <c r="K183" s="19"/>
    </row>
    <row r="184" spans="1:11" ht="14.25">
      <c r="A184" s="19"/>
      <c r="B184" s="31"/>
      <c r="C184" s="19"/>
      <c r="D184" s="19"/>
      <c r="E184" s="19"/>
      <c r="F184" s="20"/>
      <c r="G184" s="19"/>
      <c r="H184" s="19"/>
      <c r="I184" s="20"/>
      <c r="J184" s="19"/>
      <c r="K184" s="19"/>
    </row>
    <row r="185" spans="1:11" ht="14.25">
      <c r="A185" s="19"/>
      <c r="B185" s="31"/>
      <c r="C185" s="19"/>
      <c r="D185" s="19"/>
      <c r="E185" s="19"/>
      <c r="F185" s="20"/>
      <c r="G185" s="19"/>
      <c r="H185" s="19"/>
      <c r="I185" s="20"/>
      <c r="J185" s="19"/>
      <c r="K185" s="19"/>
    </row>
    <row r="186" spans="1:11" ht="14.25">
      <c r="A186" s="19"/>
      <c r="B186" s="31"/>
      <c r="C186" s="19"/>
      <c r="D186" s="19"/>
      <c r="E186" s="19"/>
      <c r="F186" s="20"/>
      <c r="G186" s="19"/>
      <c r="H186" s="19"/>
      <c r="I186" s="20"/>
      <c r="J186" s="19"/>
      <c r="K186" s="19"/>
    </row>
    <row r="187" spans="1:11" ht="14.25">
      <c r="A187" s="19"/>
      <c r="B187" s="31"/>
      <c r="C187" s="19"/>
      <c r="D187" s="19"/>
      <c r="E187" s="19"/>
      <c r="F187" s="20"/>
      <c r="G187" s="19"/>
      <c r="H187" s="19"/>
      <c r="I187" s="20"/>
      <c r="J187" s="19"/>
      <c r="K187" s="19"/>
    </row>
    <row r="188" spans="1:11" ht="14.25">
      <c r="A188" s="19"/>
      <c r="B188" s="31"/>
      <c r="C188" s="19"/>
      <c r="D188" s="19"/>
      <c r="E188" s="19"/>
      <c r="F188" s="20"/>
      <c r="G188" s="19"/>
      <c r="H188" s="19"/>
      <c r="I188" s="20"/>
      <c r="J188" s="19"/>
      <c r="K188" s="19"/>
    </row>
    <row r="189" spans="1:11" ht="14.25">
      <c r="A189" s="19"/>
      <c r="B189" s="31"/>
      <c r="C189" s="19"/>
      <c r="D189" s="19"/>
      <c r="E189" s="19"/>
      <c r="F189" s="20"/>
      <c r="G189" s="19"/>
      <c r="H189" s="19"/>
      <c r="I189" s="20"/>
      <c r="J189" s="19"/>
      <c r="K189" s="19"/>
    </row>
    <row r="190" spans="1:11" ht="14.25">
      <c r="A190" s="19"/>
      <c r="B190" s="31"/>
      <c r="C190" s="19"/>
      <c r="D190" s="19"/>
      <c r="E190" s="19"/>
      <c r="F190" s="20"/>
      <c r="G190" s="19"/>
      <c r="H190" s="19"/>
      <c r="I190" s="20"/>
      <c r="J190" s="19"/>
      <c r="K190" s="19"/>
    </row>
    <row r="191" spans="1:11" ht="14.25">
      <c r="A191" s="19"/>
      <c r="B191" s="31"/>
      <c r="C191" s="19"/>
      <c r="D191" s="19"/>
      <c r="E191" s="19"/>
      <c r="F191" s="20"/>
      <c r="G191" s="19"/>
      <c r="H191" s="19"/>
      <c r="I191" s="20"/>
      <c r="J191" s="19"/>
      <c r="K191" s="19"/>
    </row>
    <row r="192" spans="1:11" ht="14.25">
      <c r="A192" s="19"/>
      <c r="B192" s="31"/>
      <c r="C192" s="19"/>
      <c r="D192" s="19"/>
      <c r="E192" s="19"/>
      <c r="F192" s="20"/>
      <c r="G192" s="19"/>
      <c r="H192" s="19"/>
      <c r="I192" s="20"/>
      <c r="J192" s="19"/>
      <c r="K192" s="19"/>
    </row>
    <row r="193" spans="1:11" ht="14.25">
      <c r="A193" s="19"/>
      <c r="B193" s="31"/>
      <c r="C193" s="19"/>
      <c r="D193" s="19"/>
      <c r="E193" s="19"/>
      <c r="F193" s="20"/>
      <c r="G193" s="19"/>
      <c r="H193" s="19"/>
      <c r="I193" s="20"/>
      <c r="J193" s="19"/>
      <c r="K193" s="19"/>
    </row>
    <row r="194" spans="1:11" ht="14.25">
      <c r="A194" s="19"/>
      <c r="B194" s="31"/>
      <c r="C194" s="19"/>
      <c r="D194" s="19"/>
      <c r="E194" s="19"/>
      <c r="F194" s="20"/>
      <c r="G194" s="19"/>
      <c r="H194" s="19"/>
      <c r="I194" s="20"/>
      <c r="J194" s="19"/>
      <c r="K194" s="19"/>
    </row>
    <row r="195" spans="1:11" ht="14.25">
      <c r="A195" s="19"/>
      <c r="B195" s="31"/>
      <c r="C195" s="19"/>
      <c r="D195" s="19"/>
      <c r="E195" s="19"/>
      <c r="F195" s="20"/>
      <c r="G195" s="19"/>
      <c r="H195" s="19"/>
      <c r="I195" s="20"/>
      <c r="J195" s="19"/>
      <c r="K195" s="19"/>
    </row>
    <row r="196" spans="1:11" ht="14.25">
      <c r="A196" s="19"/>
      <c r="B196" s="31"/>
      <c r="C196" s="19"/>
      <c r="D196" s="19"/>
      <c r="E196" s="19"/>
      <c r="F196" s="20"/>
      <c r="G196" s="19"/>
      <c r="H196" s="19"/>
      <c r="I196" s="20"/>
      <c r="J196" s="19"/>
      <c r="K196" s="19"/>
    </row>
    <row r="197" spans="1:11" ht="14.25">
      <c r="A197" s="19"/>
      <c r="B197" s="31"/>
      <c r="C197" s="19"/>
      <c r="D197" s="19"/>
      <c r="E197" s="19"/>
      <c r="F197" s="20"/>
      <c r="G197" s="19"/>
      <c r="H197" s="19"/>
      <c r="I197" s="20"/>
      <c r="J197" s="19"/>
      <c r="K197" s="19"/>
    </row>
    <row r="198" spans="1:11" ht="14.25">
      <c r="A198" s="19"/>
      <c r="B198" s="31"/>
      <c r="C198" s="19"/>
      <c r="D198" s="19"/>
      <c r="E198" s="19"/>
      <c r="F198" s="20"/>
      <c r="G198" s="19"/>
      <c r="H198" s="19"/>
      <c r="I198" s="20"/>
      <c r="J198" s="19"/>
      <c r="K198" s="19"/>
    </row>
    <row r="199" spans="1:11" ht="14.25">
      <c r="A199" s="19"/>
      <c r="B199" s="31"/>
      <c r="C199" s="19"/>
      <c r="D199" s="19"/>
      <c r="E199" s="19"/>
      <c r="F199" s="20"/>
      <c r="G199" s="19"/>
      <c r="H199" s="19"/>
      <c r="I199" s="20"/>
      <c r="J199" s="19"/>
      <c r="K199" s="19"/>
    </row>
    <row r="200" spans="1:11" ht="14.25">
      <c r="A200" s="19"/>
      <c r="B200" s="31"/>
      <c r="C200" s="19"/>
      <c r="D200" s="19"/>
      <c r="E200" s="19"/>
      <c r="F200" s="20"/>
      <c r="G200" s="19"/>
      <c r="H200" s="19"/>
      <c r="I200" s="20"/>
      <c r="J200" s="19"/>
      <c r="K200" s="19"/>
    </row>
    <row r="201" spans="1:11" ht="14.25">
      <c r="A201" s="19"/>
      <c r="B201" s="31"/>
      <c r="C201" s="19"/>
      <c r="D201" s="19"/>
      <c r="E201" s="19"/>
      <c r="F201" s="20"/>
      <c r="G201" s="19"/>
      <c r="H201" s="19"/>
      <c r="I201" s="20"/>
      <c r="J201" s="19"/>
      <c r="K201" s="19"/>
    </row>
    <row r="202" spans="1:11" ht="14.25">
      <c r="A202" s="19"/>
      <c r="B202" s="31"/>
      <c r="C202" s="19"/>
      <c r="D202" s="19"/>
      <c r="E202" s="19"/>
      <c r="F202" s="20"/>
      <c r="G202" s="19"/>
      <c r="H202" s="19"/>
      <c r="I202" s="20"/>
      <c r="J202" s="19"/>
      <c r="K202" s="19"/>
    </row>
    <row r="203" spans="1:11" ht="14.25">
      <c r="A203" s="19"/>
      <c r="B203" s="31"/>
      <c r="C203" s="19"/>
      <c r="D203" s="19"/>
      <c r="E203" s="19"/>
      <c r="F203" s="20"/>
      <c r="G203" s="19"/>
      <c r="H203" s="19"/>
      <c r="I203" s="20"/>
      <c r="J203" s="19"/>
      <c r="K203" s="19"/>
    </row>
    <row r="204" spans="1:11" ht="14.25">
      <c r="A204" s="19"/>
      <c r="B204" s="31"/>
      <c r="C204" s="19"/>
      <c r="D204" s="19"/>
      <c r="E204" s="19"/>
      <c r="F204" s="20"/>
      <c r="G204" s="19"/>
      <c r="H204" s="19"/>
      <c r="I204" s="20"/>
      <c r="J204" s="19"/>
      <c r="K204" s="19"/>
    </row>
    <row r="205" spans="1:11" ht="14.25">
      <c r="A205" s="19"/>
      <c r="B205" s="31"/>
      <c r="C205" s="19"/>
      <c r="D205" s="19"/>
      <c r="E205" s="19"/>
      <c r="F205" s="20"/>
      <c r="G205" s="19"/>
      <c r="H205" s="19"/>
      <c r="I205" s="20"/>
      <c r="J205" s="19"/>
      <c r="K205" s="19"/>
    </row>
    <row r="206" spans="1:11" ht="14.25">
      <c r="A206" s="19"/>
      <c r="B206" s="31"/>
      <c r="C206" s="19"/>
      <c r="D206" s="19"/>
      <c r="E206" s="19"/>
      <c r="F206" s="20"/>
      <c r="G206" s="19"/>
      <c r="H206" s="19"/>
      <c r="I206" s="20"/>
      <c r="J206" s="19"/>
      <c r="K206" s="19"/>
    </row>
    <row r="207" spans="1:11" ht="14.25">
      <c r="A207" s="19"/>
      <c r="B207" s="31"/>
      <c r="C207" s="19"/>
      <c r="D207" s="19"/>
      <c r="E207" s="19"/>
      <c r="F207" s="20"/>
      <c r="G207" s="19"/>
      <c r="H207" s="19"/>
      <c r="I207" s="20"/>
      <c r="J207" s="19"/>
      <c r="K207" s="19"/>
    </row>
    <row r="208" spans="1:11" ht="14.25">
      <c r="A208" s="19"/>
      <c r="B208" s="31"/>
      <c r="C208" s="19"/>
      <c r="D208" s="19"/>
      <c r="E208" s="19"/>
      <c r="F208" s="20"/>
      <c r="G208" s="19"/>
      <c r="H208" s="19"/>
      <c r="I208" s="20"/>
      <c r="J208" s="19"/>
      <c r="K208" s="19"/>
    </row>
    <row r="209" spans="1:11" ht="14.25">
      <c r="A209" s="19"/>
      <c r="B209" s="31"/>
      <c r="C209" s="19"/>
      <c r="D209" s="19"/>
      <c r="E209" s="19"/>
      <c r="F209" s="20"/>
      <c r="G209" s="19"/>
      <c r="H209" s="19"/>
      <c r="I209" s="20"/>
      <c r="J209" s="19"/>
      <c r="K209" s="19"/>
    </row>
    <row r="210" spans="1:11" ht="14.25">
      <c r="A210" s="19"/>
      <c r="B210" s="31"/>
      <c r="C210" s="19"/>
      <c r="D210" s="19"/>
      <c r="E210" s="19"/>
      <c r="F210" s="20"/>
      <c r="G210" s="19"/>
      <c r="H210" s="19"/>
      <c r="I210" s="20"/>
      <c r="J210" s="19"/>
      <c r="K210" s="19"/>
    </row>
    <row r="211" spans="1:11" ht="14.25">
      <c r="A211" s="19"/>
      <c r="B211" s="31"/>
      <c r="C211" s="19"/>
      <c r="D211" s="19"/>
      <c r="E211" s="19"/>
      <c r="F211" s="20"/>
      <c r="G211" s="19"/>
      <c r="H211" s="19"/>
      <c r="I211" s="20"/>
      <c r="J211" s="19"/>
      <c r="K211" s="19"/>
    </row>
    <row r="212" spans="1:11" ht="14.25">
      <c r="A212" s="19"/>
      <c r="B212" s="31"/>
      <c r="C212" s="19"/>
      <c r="D212" s="19"/>
      <c r="E212" s="19"/>
      <c r="F212" s="20"/>
      <c r="G212" s="19"/>
      <c r="H212" s="19"/>
      <c r="I212" s="20"/>
      <c r="J212" s="19"/>
      <c r="K212" s="19"/>
    </row>
    <row r="213" spans="1:11" ht="14.25">
      <c r="A213" s="19"/>
      <c r="B213" s="31"/>
      <c r="C213" s="19"/>
      <c r="D213" s="19"/>
      <c r="E213" s="19"/>
      <c r="F213" s="20"/>
      <c r="G213" s="19"/>
      <c r="H213" s="19"/>
      <c r="I213" s="20"/>
      <c r="J213" s="19"/>
      <c r="K213" s="19"/>
    </row>
    <row r="214" spans="1:11" ht="14.25">
      <c r="A214" s="19"/>
      <c r="B214" s="31"/>
      <c r="C214" s="19"/>
      <c r="D214" s="19"/>
      <c r="E214" s="19"/>
      <c r="F214" s="20"/>
      <c r="G214" s="19"/>
      <c r="H214" s="19"/>
      <c r="I214" s="20"/>
      <c r="J214" s="19"/>
      <c r="K214" s="19"/>
    </row>
    <row r="215" spans="1:11" ht="14.25">
      <c r="A215" s="19"/>
      <c r="B215" s="31"/>
      <c r="C215" s="19"/>
      <c r="D215" s="19"/>
      <c r="E215" s="19"/>
      <c r="F215" s="20"/>
      <c r="G215" s="19"/>
      <c r="H215" s="19"/>
      <c r="I215" s="20"/>
      <c r="J215" s="19"/>
      <c r="K215" s="19"/>
    </row>
    <row r="216" spans="1:11" ht="14.25">
      <c r="A216" s="19"/>
      <c r="B216" s="31"/>
      <c r="C216" s="19"/>
      <c r="D216" s="19"/>
      <c r="E216" s="19"/>
      <c r="F216" s="20"/>
      <c r="G216" s="19"/>
      <c r="H216" s="19"/>
      <c r="I216" s="20"/>
      <c r="J216" s="19"/>
      <c r="K216" s="19"/>
    </row>
    <row r="217" spans="1:11" ht="14.25">
      <c r="A217" s="19"/>
      <c r="B217" s="31"/>
      <c r="C217" s="19"/>
      <c r="D217" s="19"/>
      <c r="E217" s="19"/>
      <c r="F217" s="20"/>
      <c r="G217" s="19"/>
      <c r="H217" s="19"/>
      <c r="I217" s="20"/>
      <c r="J217" s="19"/>
      <c r="K217" s="19"/>
    </row>
    <row r="218" spans="1:11" ht="14.25">
      <c r="A218" s="19"/>
      <c r="B218" s="31"/>
      <c r="C218" s="19"/>
      <c r="D218" s="19"/>
      <c r="E218" s="19"/>
      <c r="F218" s="20"/>
      <c r="G218" s="19"/>
      <c r="H218" s="19"/>
      <c r="I218" s="20"/>
      <c r="J218" s="19"/>
      <c r="K218" s="19"/>
    </row>
    <row r="219" spans="1:11" ht="14.25">
      <c r="A219" s="19"/>
      <c r="B219" s="31"/>
      <c r="C219" s="19"/>
      <c r="D219" s="19"/>
      <c r="E219" s="19"/>
      <c r="F219" s="20"/>
      <c r="G219" s="19"/>
      <c r="H219" s="19"/>
      <c r="I219" s="20"/>
      <c r="J219" s="19"/>
      <c r="K219" s="19"/>
    </row>
    <row r="220" spans="1:11" ht="14.25">
      <c r="A220" s="19"/>
      <c r="B220" s="31"/>
      <c r="C220" s="19"/>
      <c r="D220" s="19"/>
      <c r="E220" s="19"/>
      <c r="F220" s="20"/>
      <c r="G220" s="19"/>
      <c r="H220" s="19"/>
      <c r="I220" s="20"/>
      <c r="J220" s="19"/>
      <c r="K220" s="19"/>
    </row>
    <row r="221" spans="1:11" ht="14.25">
      <c r="A221" s="19"/>
      <c r="B221" s="31"/>
      <c r="C221" s="19"/>
      <c r="D221" s="19"/>
      <c r="E221" s="19"/>
      <c r="F221" s="20"/>
      <c r="G221" s="19"/>
      <c r="H221" s="19"/>
      <c r="I221" s="20"/>
      <c r="J221" s="19"/>
      <c r="K221" s="19"/>
    </row>
    <row r="222" spans="1:11" ht="14.25">
      <c r="A222" s="19"/>
      <c r="B222" s="31"/>
      <c r="C222" s="19"/>
      <c r="D222" s="19"/>
      <c r="E222" s="19"/>
      <c r="F222" s="20"/>
      <c r="G222" s="19"/>
      <c r="H222" s="19"/>
      <c r="I222" s="20"/>
      <c r="J222" s="19"/>
      <c r="K222" s="19"/>
    </row>
    <row r="223" spans="1:11" ht="14.25">
      <c r="A223" s="19"/>
      <c r="B223" s="31"/>
      <c r="C223" s="19"/>
      <c r="D223" s="19"/>
      <c r="E223" s="19"/>
      <c r="F223" s="20"/>
      <c r="G223" s="19"/>
      <c r="H223" s="19"/>
      <c r="I223" s="20"/>
      <c r="J223" s="19"/>
      <c r="K223" s="19"/>
    </row>
    <row r="224" spans="1:11" ht="14.25">
      <c r="A224" s="19"/>
      <c r="B224" s="31"/>
      <c r="C224" s="19"/>
      <c r="D224" s="19"/>
      <c r="E224" s="19"/>
      <c r="F224" s="20"/>
      <c r="G224" s="19"/>
      <c r="H224" s="19"/>
      <c r="I224" s="20"/>
      <c r="J224" s="19"/>
      <c r="K224" s="19"/>
    </row>
    <row r="225" spans="1:11" ht="14.25">
      <c r="A225" s="19"/>
      <c r="B225" s="31"/>
      <c r="C225" s="19"/>
      <c r="D225" s="19"/>
      <c r="E225" s="19"/>
      <c r="F225" s="20"/>
      <c r="G225" s="19"/>
      <c r="H225" s="19"/>
      <c r="I225" s="20"/>
      <c r="J225" s="19"/>
      <c r="K225" s="19"/>
    </row>
    <row r="226" spans="1:11" ht="14.25">
      <c r="A226" s="19"/>
      <c r="B226" s="31"/>
      <c r="C226" s="19"/>
      <c r="D226" s="19"/>
      <c r="E226" s="19"/>
      <c r="F226" s="20"/>
      <c r="G226" s="19"/>
      <c r="H226" s="19"/>
      <c r="I226" s="20"/>
      <c r="J226" s="19"/>
      <c r="K226" s="19"/>
    </row>
    <row r="227" spans="1:11" ht="14.25">
      <c r="A227" s="19"/>
      <c r="B227" s="31"/>
      <c r="C227" s="19"/>
      <c r="D227" s="19"/>
      <c r="E227" s="19"/>
      <c r="F227" s="20"/>
      <c r="G227" s="19"/>
      <c r="H227" s="19"/>
      <c r="I227" s="20"/>
      <c r="J227" s="19"/>
      <c r="K227" s="19"/>
    </row>
    <row r="228" spans="1:11" ht="14.25">
      <c r="A228" s="19"/>
      <c r="B228" s="31"/>
      <c r="C228" s="19"/>
      <c r="D228" s="19"/>
      <c r="E228" s="19"/>
      <c r="F228" s="20"/>
      <c r="G228" s="19"/>
      <c r="H228" s="19"/>
      <c r="I228" s="20"/>
      <c r="J228" s="19"/>
      <c r="K228" s="19"/>
    </row>
    <row r="229" spans="1:11" ht="14.25">
      <c r="A229" s="19"/>
      <c r="B229" s="31"/>
      <c r="C229" s="19"/>
      <c r="D229" s="19"/>
      <c r="E229" s="19"/>
      <c r="F229" s="20"/>
      <c r="G229" s="19"/>
      <c r="H229" s="19"/>
      <c r="I229" s="20"/>
      <c r="J229" s="19"/>
      <c r="K229" s="19"/>
    </row>
    <row r="230" spans="1:11" ht="14.25">
      <c r="A230" s="19"/>
      <c r="B230" s="31"/>
      <c r="C230" s="19"/>
      <c r="D230" s="19"/>
      <c r="E230" s="19"/>
      <c r="F230" s="20"/>
      <c r="G230" s="19"/>
      <c r="H230" s="19"/>
      <c r="I230" s="20"/>
      <c r="J230" s="19"/>
      <c r="K230" s="19"/>
    </row>
    <row r="231" spans="1:11" ht="14.25">
      <c r="A231" s="19"/>
      <c r="B231" s="31"/>
      <c r="C231" s="19"/>
      <c r="D231" s="19"/>
      <c r="E231" s="19"/>
      <c r="F231" s="20"/>
      <c r="G231" s="19"/>
      <c r="H231" s="19"/>
      <c r="I231" s="20"/>
      <c r="J231" s="19"/>
      <c r="K231" s="19"/>
    </row>
    <row r="232" spans="1:11" ht="14.25">
      <c r="A232" s="19"/>
      <c r="B232" s="31"/>
      <c r="C232" s="19"/>
      <c r="D232" s="19"/>
      <c r="E232" s="19"/>
      <c r="F232" s="20"/>
      <c r="G232" s="19"/>
      <c r="H232" s="19"/>
      <c r="I232" s="20"/>
      <c r="J232" s="19"/>
      <c r="K232" s="19"/>
    </row>
    <row r="233" spans="1:11" ht="14.25">
      <c r="A233" s="19"/>
      <c r="B233" s="31"/>
      <c r="C233" s="19"/>
      <c r="D233" s="19"/>
      <c r="E233" s="19"/>
      <c r="F233" s="20"/>
      <c r="G233" s="19"/>
      <c r="H233" s="19"/>
      <c r="I233" s="20"/>
      <c r="J233" s="19"/>
      <c r="K233" s="19"/>
    </row>
    <row r="234" spans="1:11" ht="14.25">
      <c r="A234" s="19"/>
      <c r="B234" s="31"/>
      <c r="C234" s="19"/>
      <c r="D234" s="19"/>
      <c r="E234" s="19"/>
      <c r="F234" s="20"/>
      <c r="G234" s="19"/>
      <c r="H234" s="19"/>
      <c r="I234" s="20"/>
      <c r="J234" s="19"/>
      <c r="K234" s="19"/>
    </row>
    <row r="235" spans="1:11" ht="14.25">
      <c r="A235" s="19"/>
      <c r="B235" s="31"/>
      <c r="C235" s="19"/>
      <c r="D235" s="19"/>
      <c r="E235" s="19"/>
      <c r="F235" s="20"/>
      <c r="G235" s="19"/>
      <c r="H235" s="19"/>
      <c r="I235" s="20"/>
      <c r="J235" s="19"/>
      <c r="K235" s="19"/>
    </row>
    <row r="236" spans="1:11" ht="14.25">
      <c r="A236" s="19"/>
      <c r="B236" s="31"/>
      <c r="C236" s="19"/>
      <c r="D236" s="19"/>
      <c r="E236" s="19"/>
      <c r="F236" s="20"/>
      <c r="G236" s="19"/>
      <c r="H236" s="19"/>
      <c r="I236" s="20"/>
      <c r="J236" s="19"/>
      <c r="K236" s="19"/>
    </row>
    <row r="237" spans="1:11" ht="14.25">
      <c r="A237" s="19"/>
      <c r="B237" s="31"/>
      <c r="C237" s="19"/>
      <c r="D237" s="19"/>
      <c r="E237" s="19"/>
      <c r="F237" s="20"/>
      <c r="G237" s="19"/>
      <c r="H237" s="19"/>
      <c r="I237" s="20"/>
      <c r="J237" s="19"/>
      <c r="K237" s="19"/>
    </row>
    <row r="238" spans="1:11" ht="14.25">
      <c r="A238" s="19"/>
      <c r="B238" s="31"/>
      <c r="C238" s="19"/>
      <c r="D238" s="19"/>
      <c r="E238" s="19"/>
      <c r="F238" s="20"/>
      <c r="G238" s="19"/>
      <c r="H238" s="19"/>
      <c r="I238" s="20"/>
      <c r="J238" s="19"/>
      <c r="K238" s="19"/>
    </row>
    <row r="239" spans="1:11" ht="14.25">
      <c r="A239" s="19"/>
      <c r="B239" s="31"/>
      <c r="C239" s="19"/>
      <c r="D239" s="19"/>
      <c r="E239" s="19"/>
      <c r="F239" s="20"/>
      <c r="G239" s="19"/>
      <c r="H239" s="19"/>
      <c r="I239" s="20"/>
      <c r="J239" s="19"/>
      <c r="K239" s="19"/>
    </row>
    <row r="240" spans="1:11" ht="14.25">
      <c r="A240" s="19"/>
      <c r="B240" s="31"/>
      <c r="C240" s="19"/>
      <c r="D240" s="19"/>
      <c r="E240" s="19"/>
      <c r="F240" s="20"/>
      <c r="G240" s="19"/>
      <c r="H240" s="19"/>
      <c r="I240" s="20"/>
      <c r="J240" s="19"/>
      <c r="K240" s="19"/>
    </row>
    <row r="241" spans="1:11" ht="14.25">
      <c r="A241" s="19"/>
      <c r="B241" s="31"/>
      <c r="C241" s="19"/>
      <c r="D241" s="19"/>
      <c r="E241" s="19"/>
      <c r="F241" s="20"/>
      <c r="G241" s="19"/>
      <c r="H241" s="19"/>
      <c r="I241" s="20"/>
      <c r="J241" s="19"/>
      <c r="K241" s="19"/>
    </row>
    <row r="242" spans="1:11" ht="14.25">
      <c r="A242" s="19"/>
      <c r="B242" s="31"/>
      <c r="C242" s="19"/>
      <c r="D242" s="19"/>
      <c r="E242" s="19"/>
      <c r="F242" s="20"/>
      <c r="G242" s="19"/>
      <c r="H242" s="19"/>
      <c r="I242" s="20"/>
      <c r="J242" s="19"/>
      <c r="K242" s="19"/>
    </row>
    <row r="243" spans="1:11" ht="14.25">
      <c r="A243" s="19"/>
      <c r="B243" s="31"/>
      <c r="C243" s="19"/>
      <c r="D243" s="19"/>
      <c r="E243" s="19"/>
      <c r="F243" s="20"/>
      <c r="G243" s="19"/>
      <c r="H243" s="19"/>
      <c r="I243" s="20"/>
      <c r="J243" s="19"/>
      <c r="K243" s="19"/>
    </row>
    <row r="244" spans="1:11" ht="14.25">
      <c r="A244" s="19"/>
      <c r="B244" s="31"/>
      <c r="C244" s="19"/>
      <c r="D244" s="19"/>
      <c r="E244" s="19"/>
      <c r="F244" s="20"/>
      <c r="G244" s="19"/>
      <c r="H244" s="19"/>
      <c r="I244" s="20"/>
      <c r="J244" s="19"/>
      <c r="K244" s="19"/>
    </row>
    <row r="245" spans="1:11" ht="14.25">
      <c r="A245" s="19"/>
      <c r="B245" s="31"/>
      <c r="C245" s="19"/>
      <c r="D245" s="19"/>
      <c r="E245" s="19"/>
      <c r="F245" s="20"/>
      <c r="G245" s="19"/>
      <c r="H245" s="19"/>
      <c r="I245" s="20"/>
      <c r="J245" s="19"/>
      <c r="K245" s="19"/>
    </row>
    <row r="246" spans="1:11" ht="14.25">
      <c r="A246" s="19"/>
      <c r="B246" s="31"/>
      <c r="C246" s="19"/>
      <c r="D246" s="19"/>
      <c r="E246" s="19"/>
      <c r="F246" s="20"/>
      <c r="G246" s="19"/>
      <c r="H246" s="19"/>
      <c r="I246" s="20"/>
      <c r="J246" s="19"/>
      <c r="K246" s="19"/>
    </row>
    <row r="247" spans="1:11" ht="14.25">
      <c r="A247" s="19"/>
      <c r="B247" s="31"/>
      <c r="C247" s="19"/>
      <c r="D247" s="19"/>
      <c r="E247" s="19"/>
      <c r="F247" s="20"/>
      <c r="G247" s="19"/>
      <c r="H247" s="19"/>
      <c r="I247" s="20"/>
      <c r="J247" s="19"/>
      <c r="K247" s="19"/>
    </row>
    <row r="248" spans="1:11" ht="14.25">
      <c r="A248" s="19"/>
      <c r="B248" s="31"/>
      <c r="C248" s="19"/>
      <c r="D248" s="19"/>
      <c r="E248" s="19"/>
      <c r="F248" s="20"/>
      <c r="G248" s="19"/>
      <c r="H248" s="19"/>
      <c r="I248" s="20"/>
      <c r="J248" s="19"/>
      <c r="K248" s="19"/>
    </row>
    <row r="249" spans="1:11" ht="14.25">
      <c r="A249" s="19"/>
      <c r="B249" s="31"/>
      <c r="C249" s="19"/>
      <c r="D249" s="19"/>
      <c r="E249" s="19"/>
      <c r="F249" s="20"/>
      <c r="G249" s="19"/>
      <c r="H249" s="19"/>
      <c r="I249" s="20"/>
      <c r="J249" s="19"/>
      <c r="K249" s="19"/>
    </row>
    <row r="250" spans="1:11" ht="14.25">
      <c r="A250" s="19"/>
      <c r="B250" s="31"/>
      <c r="C250" s="19"/>
      <c r="D250" s="19"/>
      <c r="E250" s="19"/>
      <c r="F250" s="20"/>
      <c r="G250" s="19"/>
      <c r="H250" s="19"/>
      <c r="I250" s="20"/>
      <c r="J250" s="19"/>
      <c r="K250" s="19"/>
    </row>
    <row r="251" spans="1:11" ht="14.25">
      <c r="A251" s="19"/>
      <c r="B251" s="31"/>
      <c r="C251" s="19"/>
      <c r="D251" s="19"/>
      <c r="E251" s="19"/>
      <c r="F251" s="20"/>
      <c r="G251" s="19"/>
      <c r="H251" s="19"/>
      <c r="I251" s="20"/>
      <c r="J251" s="19"/>
      <c r="K251" s="19"/>
    </row>
    <row r="252" spans="1:11" ht="14.25">
      <c r="A252" s="19"/>
      <c r="B252" s="31"/>
      <c r="C252" s="19"/>
      <c r="D252" s="19"/>
      <c r="E252" s="19"/>
      <c r="F252" s="20"/>
      <c r="G252" s="19"/>
      <c r="H252" s="19"/>
      <c r="I252" s="20"/>
      <c r="J252" s="19"/>
      <c r="K252" s="19"/>
    </row>
    <row r="253" spans="1:11" ht="14.25">
      <c r="A253" s="19"/>
      <c r="B253" s="31"/>
      <c r="C253" s="19"/>
      <c r="D253" s="19"/>
      <c r="E253" s="19"/>
      <c r="F253" s="20"/>
      <c r="G253" s="19"/>
      <c r="H253" s="19"/>
      <c r="I253" s="20"/>
      <c r="J253" s="19"/>
      <c r="K253" s="19"/>
    </row>
    <row r="254" spans="1:11" ht="14.25">
      <c r="A254" s="19"/>
      <c r="B254" s="31"/>
      <c r="C254" s="19"/>
      <c r="D254" s="19"/>
      <c r="E254" s="19"/>
      <c r="F254" s="20"/>
      <c r="G254" s="19"/>
      <c r="H254" s="19"/>
      <c r="I254" s="20"/>
      <c r="J254" s="19"/>
      <c r="K254" s="19"/>
    </row>
    <row r="255" spans="1:11" ht="14.25">
      <c r="A255" s="19"/>
      <c r="B255" s="31"/>
      <c r="C255" s="19"/>
      <c r="D255" s="19"/>
      <c r="E255" s="19"/>
      <c r="F255" s="20"/>
      <c r="G255" s="19"/>
      <c r="H255" s="19"/>
      <c r="I255" s="20"/>
      <c r="J255" s="19"/>
      <c r="K255" s="19"/>
    </row>
    <row r="256" spans="1:11" ht="14.25">
      <c r="A256" s="19"/>
      <c r="B256" s="31"/>
      <c r="C256" s="19"/>
      <c r="D256" s="19"/>
      <c r="E256" s="19"/>
      <c r="F256" s="20"/>
      <c r="G256" s="19"/>
      <c r="H256" s="19"/>
      <c r="I256" s="20"/>
      <c r="J256" s="19"/>
      <c r="K256" s="19"/>
    </row>
    <row r="257" spans="1:11" ht="14.25">
      <c r="A257" s="19"/>
      <c r="B257" s="31"/>
      <c r="C257" s="19"/>
      <c r="D257" s="19"/>
      <c r="E257" s="19"/>
      <c r="F257" s="20"/>
      <c r="G257" s="19"/>
      <c r="H257" s="19"/>
      <c r="I257" s="20"/>
      <c r="J257" s="19"/>
      <c r="K257" s="19"/>
    </row>
    <row r="258" spans="1:11" ht="14.25">
      <c r="A258" s="19"/>
      <c r="B258" s="31"/>
      <c r="C258" s="19"/>
      <c r="D258" s="19"/>
      <c r="E258" s="19"/>
      <c r="F258" s="20"/>
      <c r="G258" s="19"/>
      <c r="H258" s="19"/>
      <c r="I258" s="20"/>
      <c r="J258" s="19"/>
      <c r="K258" s="19"/>
    </row>
    <row r="259" spans="1:11" ht="14.25">
      <c r="A259" s="19"/>
      <c r="B259" s="31"/>
      <c r="C259" s="19"/>
      <c r="D259" s="19"/>
      <c r="E259" s="19"/>
      <c r="F259" s="20"/>
      <c r="G259" s="19"/>
      <c r="H259" s="19"/>
      <c r="I259" s="20"/>
      <c r="J259" s="19"/>
      <c r="K259" s="19"/>
    </row>
    <row r="260" spans="1:11" ht="14.25">
      <c r="A260" s="19"/>
      <c r="B260" s="31"/>
      <c r="C260" s="19"/>
      <c r="D260" s="19"/>
      <c r="E260" s="19"/>
      <c r="F260" s="20"/>
      <c r="G260" s="19"/>
      <c r="H260" s="19"/>
      <c r="I260" s="20"/>
      <c r="J260" s="19"/>
      <c r="K260" s="19"/>
    </row>
    <row r="261" spans="1:11" ht="14.25">
      <c r="A261" s="19"/>
      <c r="B261" s="31"/>
      <c r="C261" s="19"/>
      <c r="D261" s="19"/>
      <c r="E261" s="19"/>
      <c r="F261" s="20"/>
      <c r="G261" s="19"/>
      <c r="H261" s="19"/>
      <c r="I261" s="20"/>
      <c r="J261" s="19"/>
      <c r="K261" s="19"/>
    </row>
    <row r="262" spans="1:11" ht="14.25">
      <c r="A262" s="19"/>
      <c r="B262" s="31"/>
      <c r="C262" s="19"/>
      <c r="D262" s="19"/>
      <c r="E262" s="19"/>
      <c r="F262" s="20"/>
      <c r="G262" s="19"/>
      <c r="H262" s="19"/>
      <c r="I262" s="20"/>
      <c r="J262" s="19"/>
      <c r="K262" s="19"/>
    </row>
    <row r="263" spans="1:11" ht="14.25">
      <c r="A263" s="19"/>
      <c r="B263" s="31"/>
      <c r="C263" s="19"/>
      <c r="D263" s="19"/>
      <c r="E263" s="19"/>
      <c r="F263" s="20"/>
      <c r="G263" s="19"/>
      <c r="H263" s="19"/>
      <c r="I263" s="20"/>
      <c r="J263" s="19"/>
      <c r="K263" s="19"/>
    </row>
    <row r="264" spans="1:11" ht="14.25">
      <c r="A264" s="19"/>
      <c r="B264" s="31"/>
      <c r="C264" s="19"/>
      <c r="D264" s="19"/>
      <c r="E264" s="19"/>
      <c r="F264" s="20"/>
      <c r="G264" s="19"/>
      <c r="H264" s="19"/>
      <c r="I264" s="20"/>
      <c r="J264" s="19"/>
      <c r="K264" s="19"/>
    </row>
    <row r="265" spans="1:11" ht="14.25">
      <c r="A265" s="19"/>
      <c r="B265" s="31"/>
      <c r="C265" s="19"/>
      <c r="D265" s="19"/>
      <c r="E265" s="19"/>
      <c r="F265" s="20"/>
      <c r="G265" s="19"/>
      <c r="H265" s="19"/>
      <c r="I265" s="20"/>
      <c r="J265" s="19"/>
      <c r="K265" s="19"/>
    </row>
    <row r="266" spans="1:11" ht="14.25">
      <c r="A266" s="19"/>
      <c r="B266" s="31"/>
      <c r="C266" s="19"/>
      <c r="D266" s="19"/>
      <c r="E266" s="19"/>
      <c r="F266" s="20"/>
      <c r="G266" s="19"/>
      <c r="H266" s="19"/>
      <c r="I266" s="20"/>
      <c r="J266" s="19"/>
      <c r="K266" s="19"/>
    </row>
    <row r="267" spans="1:11" ht="14.25">
      <c r="A267" s="19"/>
      <c r="B267" s="31"/>
      <c r="C267" s="19"/>
      <c r="D267" s="19"/>
      <c r="E267" s="19"/>
      <c r="F267" s="20"/>
      <c r="G267" s="19"/>
      <c r="H267" s="19"/>
      <c r="I267" s="20"/>
      <c r="J267" s="19"/>
      <c r="K267" s="19"/>
    </row>
    <row r="268" spans="1:11" ht="14.25">
      <c r="A268" s="19"/>
      <c r="B268" s="31"/>
      <c r="C268" s="19"/>
      <c r="D268" s="19"/>
      <c r="E268" s="19"/>
      <c r="F268" s="20"/>
      <c r="G268" s="19"/>
      <c r="H268" s="19"/>
      <c r="I268" s="20"/>
      <c r="J268" s="19"/>
      <c r="K268" s="19"/>
    </row>
    <row r="269" spans="1:11" ht="14.25">
      <c r="A269" s="19"/>
      <c r="B269" s="31"/>
      <c r="C269" s="19"/>
      <c r="D269" s="19"/>
      <c r="E269" s="19"/>
      <c r="F269" s="20"/>
      <c r="G269" s="19"/>
      <c r="H269" s="19"/>
      <c r="I269" s="20"/>
      <c r="J269" s="19"/>
      <c r="K269" s="19"/>
    </row>
    <row r="270" spans="1:11" ht="14.25">
      <c r="A270" s="19"/>
      <c r="B270" s="31"/>
      <c r="C270" s="19"/>
      <c r="D270" s="19"/>
      <c r="E270" s="19"/>
      <c r="F270" s="20"/>
      <c r="G270" s="19"/>
      <c r="H270" s="19"/>
      <c r="I270" s="20"/>
      <c r="J270" s="19"/>
      <c r="K270" s="19"/>
    </row>
    <row r="271" spans="1:11" ht="14.25">
      <c r="A271" s="19"/>
      <c r="B271" s="31"/>
      <c r="C271" s="19"/>
      <c r="D271" s="19"/>
      <c r="E271" s="19"/>
      <c r="F271" s="20"/>
      <c r="G271" s="19"/>
      <c r="H271" s="19"/>
      <c r="I271" s="20"/>
      <c r="J271" s="19"/>
      <c r="K271" s="19"/>
    </row>
    <row r="272" spans="1:11" ht="14.25">
      <c r="A272" s="19"/>
      <c r="B272" s="31"/>
      <c r="C272" s="19"/>
      <c r="D272" s="19"/>
      <c r="E272" s="19"/>
      <c r="F272" s="20"/>
      <c r="G272" s="19"/>
      <c r="H272" s="19"/>
      <c r="I272" s="20"/>
      <c r="J272" s="19"/>
      <c r="K272" s="19"/>
    </row>
    <row r="273" spans="1:11" ht="14.25">
      <c r="A273" s="19"/>
      <c r="B273" s="31"/>
      <c r="C273" s="19"/>
      <c r="D273" s="19"/>
      <c r="E273" s="19"/>
      <c r="F273" s="20"/>
      <c r="G273" s="19"/>
      <c r="H273" s="19"/>
      <c r="I273" s="20"/>
      <c r="J273" s="19"/>
      <c r="K273" s="19"/>
    </row>
    <row r="274" spans="1:11" ht="14.25">
      <c r="A274" s="19"/>
      <c r="B274" s="31"/>
      <c r="C274" s="19"/>
      <c r="D274" s="19"/>
      <c r="E274" s="19"/>
      <c r="F274" s="20"/>
      <c r="G274" s="19"/>
      <c r="H274" s="19"/>
      <c r="I274" s="20"/>
      <c r="J274" s="19"/>
      <c r="K274" s="19"/>
    </row>
    <row r="275" spans="1:11" ht="14.25">
      <c r="A275" s="19"/>
      <c r="B275" s="31"/>
      <c r="C275" s="19"/>
      <c r="D275" s="19"/>
      <c r="E275" s="19"/>
      <c r="F275" s="20"/>
      <c r="G275" s="19"/>
      <c r="H275" s="19"/>
      <c r="I275" s="20"/>
      <c r="J275" s="19"/>
      <c r="K275" s="19"/>
    </row>
    <row r="276" spans="1:11" ht="14.25">
      <c r="A276" s="19"/>
      <c r="B276" s="31"/>
      <c r="C276" s="19"/>
      <c r="D276" s="19"/>
      <c r="E276" s="19"/>
      <c r="F276" s="20"/>
      <c r="G276" s="19"/>
      <c r="H276" s="19"/>
      <c r="I276" s="20"/>
      <c r="J276" s="19"/>
      <c r="K276" s="19"/>
    </row>
    <row r="277" spans="1:11" ht="14.25">
      <c r="A277" s="19"/>
      <c r="B277" s="31"/>
      <c r="C277" s="19"/>
      <c r="D277" s="19"/>
      <c r="E277" s="19"/>
      <c r="F277" s="20"/>
      <c r="G277" s="19"/>
      <c r="H277" s="19"/>
      <c r="I277" s="20"/>
      <c r="J277" s="19"/>
      <c r="K277" s="19"/>
    </row>
    <row r="278" spans="1:11" ht="14.25">
      <c r="A278" s="19"/>
      <c r="B278" s="31"/>
      <c r="C278" s="19"/>
      <c r="D278" s="19"/>
      <c r="E278" s="19"/>
      <c r="F278" s="20"/>
      <c r="G278" s="19"/>
      <c r="H278" s="19"/>
      <c r="I278" s="20"/>
      <c r="J278" s="19"/>
      <c r="K278" s="19"/>
    </row>
    <row r="279" spans="1:11" ht="14.25">
      <c r="A279" s="19"/>
      <c r="B279" s="31"/>
      <c r="C279" s="19"/>
      <c r="D279" s="19"/>
      <c r="E279" s="19"/>
      <c r="F279" s="20"/>
      <c r="G279" s="19"/>
      <c r="H279" s="19"/>
      <c r="I279" s="20"/>
      <c r="J279" s="19"/>
      <c r="K279" s="19"/>
    </row>
    <row r="280" spans="1:11" ht="14.25">
      <c r="A280" s="19"/>
      <c r="B280" s="31"/>
      <c r="C280" s="19"/>
      <c r="D280" s="19"/>
      <c r="E280" s="19"/>
      <c r="F280" s="20"/>
      <c r="G280" s="19"/>
      <c r="H280" s="19"/>
      <c r="I280" s="20"/>
      <c r="J280" s="19"/>
      <c r="K280" s="19"/>
    </row>
    <row r="281" spans="1:11" ht="14.25">
      <c r="A281" s="19"/>
      <c r="B281" s="31"/>
      <c r="C281" s="19"/>
      <c r="D281" s="19"/>
      <c r="E281" s="19"/>
      <c r="F281" s="20"/>
      <c r="G281" s="19"/>
      <c r="H281" s="19"/>
      <c r="I281" s="20"/>
      <c r="J281" s="19"/>
      <c r="K281" s="19"/>
    </row>
    <row r="282" spans="1:11" ht="14.25">
      <c r="A282" s="19"/>
      <c r="B282" s="31"/>
      <c r="C282" s="19"/>
      <c r="D282" s="19"/>
      <c r="E282" s="19"/>
      <c r="F282" s="20"/>
      <c r="G282" s="19"/>
      <c r="H282" s="19"/>
      <c r="I282" s="20"/>
      <c r="J282" s="19"/>
      <c r="K282" s="19"/>
    </row>
    <row r="283" spans="1:11" ht="14.25">
      <c r="A283" s="19"/>
      <c r="B283" s="31"/>
      <c r="C283" s="19"/>
      <c r="D283" s="19"/>
      <c r="E283" s="19"/>
      <c r="F283" s="20"/>
      <c r="G283" s="19"/>
      <c r="H283" s="19"/>
      <c r="I283" s="20"/>
      <c r="J283" s="19"/>
      <c r="K283" s="19"/>
    </row>
    <row r="284" spans="1:11" ht="14.25">
      <c r="A284" s="19"/>
      <c r="B284" s="31"/>
      <c r="C284" s="19"/>
      <c r="D284" s="19"/>
      <c r="E284" s="19"/>
      <c r="F284" s="20"/>
      <c r="G284" s="19"/>
      <c r="H284" s="19"/>
      <c r="I284" s="20"/>
      <c r="J284" s="19"/>
      <c r="K284" s="19"/>
    </row>
    <row r="285" spans="1:11" ht="14.25">
      <c r="A285" s="19"/>
      <c r="B285" s="31"/>
      <c r="C285" s="19"/>
      <c r="D285" s="19"/>
      <c r="E285" s="19"/>
      <c r="F285" s="20"/>
      <c r="G285" s="19"/>
      <c r="H285" s="19"/>
      <c r="I285" s="20"/>
      <c r="J285" s="19"/>
      <c r="K285" s="19"/>
    </row>
    <row r="286" spans="1:11" ht="14.25">
      <c r="A286" s="19"/>
      <c r="B286" s="31"/>
      <c r="C286" s="19"/>
      <c r="D286" s="19"/>
      <c r="E286" s="19"/>
      <c r="F286" s="20"/>
      <c r="G286" s="19"/>
      <c r="H286" s="19"/>
      <c r="I286" s="20"/>
      <c r="J286" s="19"/>
      <c r="K286" s="19"/>
    </row>
    <row r="287" spans="1:11" ht="14.25">
      <c r="A287" s="19"/>
      <c r="B287" s="31"/>
      <c r="C287" s="19"/>
      <c r="D287" s="19"/>
      <c r="E287" s="19"/>
      <c r="F287" s="20"/>
      <c r="G287" s="19"/>
      <c r="H287" s="19"/>
      <c r="I287" s="20"/>
      <c r="J287" s="19"/>
      <c r="K287" s="19"/>
    </row>
    <row r="288" spans="1:11" ht="14.25">
      <c r="A288" s="19"/>
      <c r="B288" s="31"/>
      <c r="C288" s="19"/>
      <c r="D288" s="19"/>
      <c r="E288" s="19"/>
      <c r="F288" s="20"/>
      <c r="G288" s="19"/>
      <c r="H288" s="19"/>
      <c r="I288" s="20"/>
      <c r="J288" s="19"/>
      <c r="K288" s="19"/>
    </row>
    <row r="289" spans="1:11" ht="14.25">
      <c r="A289" s="19"/>
      <c r="B289" s="31"/>
      <c r="C289" s="19"/>
      <c r="D289" s="19"/>
      <c r="E289" s="19"/>
      <c r="F289" s="20"/>
      <c r="G289" s="19"/>
      <c r="H289" s="19"/>
      <c r="I289" s="20"/>
      <c r="J289" s="19"/>
      <c r="K289" s="19"/>
    </row>
    <row r="290" spans="1:11" ht="14.25">
      <c r="A290" s="19"/>
      <c r="B290" s="31"/>
      <c r="C290" s="19"/>
      <c r="D290" s="19"/>
      <c r="E290" s="19"/>
      <c r="F290" s="20"/>
      <c r="G290" s="19"/>
      <c r="H290" s="19"/>
      <c r="I290" s="20"/>
      <c r="J290" s="19"/>
      <c r="K290" s="19"/>
    </row>
    <row r="291" spans="1:11" ht="14.25">
      <c r="A291" s="19"/>
      <c r="B291" s="31"/>
      <c r="C291" s="19"/>
      <c r="D291" s="19"/>
      <c r="E291" s="19"/>
      <c r="F291" s="20"/>
      <c r="G291" s="19"/>
      <c r="H291" s="19"/>
      <c r="I291" s="20"/>
      <c r="J291" s="19"/>
      <c r="K291" s="19"/>
    </row>
    <row r="292" spans="1:11" ht="14.25">
      <c r="A292" s="19"/>
      <c r="B292" s="31"/>
      <c r="C292" s="19"/>
      <c r="D292" s="19"/>
      <c r="E292" s="19"/>
      <c r="F292" s="20"/>
      <c r="G292" s="19"/>
      <c r="H292" s="19"/>
      <c r="I292" s="20"/>
      <c r="J292" s="19"/>
      <c r="K292" s="19"/>
    </row>
    <row r="293" spans="1:11" ht="14.25">
      <c r="A293" s="19"/>
      <c r="B293" s="31"/>
      <c r="C293" s="19"/>
      <c r="D293" s="19"/>
      <c r="E293" s="19"/>
      <c r="F293" s="20"/>
      <c r="G293" s="19"/>
      <c r="H293" s="19"/>
      <c r="I293" s="20"/>
      <c r="J293" s="19"/>
      <c r="K293" s="19"/>
    </row>
    <row r="294" spans="1:11" ht="14.25">
      <c r="A294" s="19"/>
      <c r="B294" s="31"/>
      <c r="C294" s="19"/>
      <c r="D294" s="19"/>
      <c r="E294" s="19"/>
      <c r="F294" s="20"/>
      <c r="G294" s="19"/>
      <c r="H294" s="19"/>
      <c r="I294" s="20"/>
      <c r="J294" s="19"/>
      <c r="K294" s="19"/>
    </row>
    <row r="295" spans="1:11" ht="14.25">
      <c r="A295" s="19"/>
      <c r="B295" s="31"/>
      <c r="C295" s="19"/>
      <c r="D295" s="19"/>
      <c r="E295" s="19"/>
      <c r="F295" s="20"/>
      <c r="G295" s="19"/>
      <c r="H295" s="19"/>
      <c r="I295" s="20"/>
      <c r="J295" s="19"/>
      <c r="K295" s="19"/>
    </row>
    <row r="296" spans="1:11" ht="14.25">
      <c r="A296" s="19"/>
      <c r="B296" s="31"/>
      <c r="C296" s="19"/>
      <c r="D296" s="19"/>
      <c r="E296" s="19"/>
      <c r="F296" s="20"/>
      <c r="G296" s="19"/>
      <c r="H296" s="19"/>
      <c r="I296" s="20"/>
      <c r="J296" s="19"/>
      <c r="K296" s="19"/>
    </row>
    <row r="297" spans="1:11" ht="14.25">
      <c r="A297" s="19"/>
      <c r="B297" s="31"/>
      <c r="C297" s="19"/>
      <c r="D297" s="19"/>
      <c r="E297" s="19"/>
      <c r="F297" s="20"/>
      <c r="G297" s="19"/>
      <c r="H297" s="19"/>
      <c r="I297" s="20"/>
      <c r="J297" s="19"/>
      <c r="K297" s="19"/>
    </row>
    <row r="298" spans="1:11" ht="14.25">
      <c r="A298" s="19"/>
      <c r="B298" s="31"/>
      <c r="C298" s="19"/>
      <c r="D298" s="19"/>
      <c r="E298" s="19"/>
      <c r="F298" s="20"/>
      <c r="G298" s="19"/>
      <c r="H298" s="19"/>
      <c r="I298" s="20"/>
      <c r="J298" s="19"/>
      <c r="K298" s="19"/>
    </row>
    <row r="299" spans="1:11" ht="14.25">
      <c r="A299" s="19"/>
      <c r="B299" s="31"/>
      <c r="C299" s="19"/>
      <c r="D299" s="19"/>
      <c r="E299" s="19"/>
      <c r="F299" s="20"/>
      <c r="G299" s="19"/>
      <c r="H299" s="19"/>
      <c r="I299" s="20"/>
      <c r="J299" s="19"/>
      <c r="K299" s="19"/>
    </row>
    <row r="300" spans="1:11" ht="14.25">
      <c r="A300" s="19"/>
      <c r="B300" s="31"/>
      <c r="C300" s="19"/>
      <c r="D300" s="19"/>
      <c r="E300" s="19"/>
      <c r="F300" s="20"/>
      <c r="G300" s="19"/>
      <c r="H300" s="19"/>
      <c r="I300" s="20"/>
      <c r="J300" s="19"/>
      <c r="K300" s="19"/>
    </row>
    <row r="301" spans="1:11" ht="14.25">
      <c r="A301" s="19"/>
      <c r="B301" s="31"/>
      <c r="C301" s="19"/>
      <c r="D301" s="19"/>
      <c r="E301" s="19"/>
      <c r="F301" s="20"/>
      <c r="G301" s="19"/>
      <c r="H301" s="19"/>
      <c r="I301" s="20"/>
      <c r="J301" s="19"/>
      <c r="K301" s="19"/>
    </row>
    <row r="302" spans="1:11" ht="14.25">
      <c r="A302" s="19"/>
      <c r="B302" s="31"/>
      <c r="C302" s="19"/>
      <c r="D302" s="19"/>
      <c r="E302" s="19"/>
      <c r="F302" s="20"/>
      <c r="G302" s="19"/>
      <c r="H302" s="19"/>
      <c r="I302" s="20"/>
      <c r="J302" s="19"/>
      <c r="K302" s="19"/>
    </row>
    <row r="303" spans="1:11" ht="14.25">
      <c r="A303" s="19"/>
      <c r="B303" s="31"/>
      <c r="C303" s="19"/>
      <c r="D303" s="19"/>
      <c r="E303" s="19"/>
      <c r="F303" s="20"/>
      <c r="G303" s="19"/>
      <c r="H303" s="19"/>
      <c r="I303" s="20"/>
      <c r="J303" s="19"/>
      <c r="K303" s="19"/>
    </row>
    <row r="304" spans="1:11" ht="14.25">
      <c r="A304" s="19"/>
      <c r="B304" s="31"/>
      <c r="C304" s="19"/>
      <c r="D304" s="19"/>
      <c r="E304" s="19"/>
      <c r="F304" s="20"/>
      <c r="G304" s="19"/>
      <c r="H304" s="19"/>
      <c r="I304" s="20"/>
      <c r="J304" s="19"/>
      <c r="K304" s="19"/>
    </row>
    <row r="305" spans="1:11" ht="14.25">
      <c r="A305" s="19"/>
      <c r="B305" s="31"/>
      <c r="C305" s="19"/>
      <c r="D305" s="19"/>
      <c r="E305" s="19"/>
      <c r="F305" s="20"/>
      <c r="G305" s="19"/>
      <c r="H305" s="19"/>
      <c r="I305" s="20"/>
      <c r="J305" s="19"/>
      <c r="K305" s="19"/>
    </row>
    <row r="306" spans="1:11" ht="14.25">
      <c r="A306" s="19"/>
      <c r="B306" s="31"/>
      <c r="C306" s="19"/>
      <c r="D306" s="19"/>
      <c r="E306" s="19"/>
      <c r="F306" s="20"/>
      <c r="G306" s="19"/>
      <c r="H306" s="19"/>
      <c r="I306" s="20"/>
      <c r="J306" s="19"/>
      <c r="K306" s="19"/>
    </row>
    <row r="307" spans="1:11" ht="14.25">
      <c r="A307" s="19"/>
      <c r="B307" s="31"/>
      <c r="C307" s="19"/>
      <c r="D307" s="19"/>
      <c r="E307" s="19"/>
      <c r="F307" s="20"/>
      <c r="G307" s="19"/>
      <c r="H307" s="19"/>
      <c r="I307" s="20"/>
      <c r="J307" s="19"/>
      <c r="K307" s="19"/>
    </row>
    <row r="308" spans="1:11" ht="14.25">
      <c r="A308" s="19"/>
      <c r="B308" s="31"/>
      <c r="C308" s="19"/>
      <c r="D308" s="19"/>
      <c r="E308" s="19"/>
      <c r="F308" s="20"/>
      <c r="G308" s="19"/>
      <c r="H308" s="19"/>
      <c r="I308" s="20"/>
      <c r="J308" s="19"/>
      <c r="K308" s="19"/>
    </row>
    <row r="309" spans="1:11" ht="14.25">
      <c r="A309" s="19"/>
      <c r="B309" s="31"/>
      <c r="C309" s="19"/>
      <c r="D309" s="19"/>
      <c r="E309" s="19"/>
      <c r="F309" s="20"/>
      <c r="G309" s="19"/>
      <c r="H309" s="19"/>
      <c r="I309" s="20"/>
      <c r="J309" s="19"/>
      <c r="K309" s="19"/>
    </row>
    <row r="310" spans="1:11" ht="14.25">
      <c r="A310" s="19"/>
      <c r="B310" s="31"/>
      <c r="C310" s="19"/>
      <c r="D310" s="19"/>
      <c r="E310" s="19"/>
      <c r="F310" s="20"/>
      <c r="G310" s="19"/>
      <c r="H310" s="19"/>
      <c r="I310" s="20"/>
      <c r="J310" s="19"/>
      <c r="K310" s="19"/>
    </row>
    <row r="311" spans="1:11" ht="14.25">
      <c r="A311" s="19"/>
      <c r="B311" s="31"/>
      <c r="C311" s="19"/>
      <c r="D311" s="19"/>
      <c r="E311" s="19"/>
      <c r="F311" s="20"/>
      <c r="G311" s="19"/>
      <c r="H311" s="19"/>
      <c r="I311" s="20"/>
      <c r="J311" s="19"/>
      <c r="K311" s="19"/>
    </row>
    <row r="312" spans="1:11" ht="14.25">
      <c r="A312" s="19"/>
      <c r="B312" s="31"/>
      <c r="C312" s="19"/>
      <c r="D312" s="19"/>
      <c r="E312" s="19"/>
      <c r="F312" s="20"/>
      <c r="G312" s="19"/>
      <c r="H312" s="19"/>
      <c r="I312" s="20"/>
      <c r="J312" s="19"/>
      <c r="K312" s="19"/>
    </row>
    <row r="313" spans="1:11" ht="14.25">
      <c r="A313" s="19"/>
      <c r="B313" s="31"/>
      <c r="C313" s="19"/>
      <c r="D313" s="19"/>
      <c r="E313" s="19"/>
      <c r="F313" s="20"/>
      <c r="G313" s="19"/>
      <c r="H313" s="19"/>
      <c r="I313" s="20"/>
      <c r="J313" s="19"/>
      <c r="K313" s="19"/>
    </row>
    <row r="314" spans="1:11" ht="14.25">
      <c r="A314" s="19"/>
      <c r="B314" s="31"/>
      <c r="C314" s="19"/>
      <c r="D314" s="19"/>
      <c r="E314" s="19"/>
      <c r="F314" s="20"/>
      <c r="G314" s="19"/>
      <c r="H314" s="19"/>
      <c r="I314" s="20"/>
      <c r="J314" s="19"/>
      <c r="K314" s="19"/>
    </row>
    <row r="315" spans="1:11" ht="14.25">
      <c r="A315" s="19"/>
      <c r="B315" s="31"/>
      <c r="C315" s="19"/>
      <c r="D315" s="19"/>
      <c r="E315" s="19"/>
      <c r="F315" s="20"/>
      <c r="G315" s="19"/>
      <c r="H315" s="19"/>
      <c r="I315" s="20"/>
      <c r="J315" s="19"/>
      <c r="K315" s="19"/>
    </row>
    <row r="316" spans="1:11" ht="14.25">
      <c r="A316" s="19"/>
      <c r="B316" s="31"/>
      <c r="C316" s="19"/>
      <c r="D316" s="19"/>
      <c r="E316" s="19"/>
      <c r="F316" s="20"/>
      <c r="G316" s="19"/>
      <c r="H316" s="19"/>
      <c r="I316" s="20"/>
      <c r="J316" s="19"/>
      <c r="K316" s="19"/>
    </row>
    <row r="317" spans="1:11" ht="14.25">
      <c r="A317" s="19"/>
      <c r="B317" s="31"/>
      <c r="C317" s="19"/>
      <c r="D317" s="19"/>
      <c r="E317" s="19"/>
      <c r="F317" s="20"/>
      <c r="G317" s="19"/>
      <c r="H317" s="19"/>
      <c r="I317" s="20"/>
      <c r="J317" s="19"/>
      <c r="K317" s="19"/>
    </row>
    <row r="318" spans="1:11" ht="14.25">
      <c r="A318" s="19"/>
      <c r="B318" s="31"/>
      <c r="C318" s="19"/>
      <c r="D318" s="19"/>
      <c r="E318" s="19"/>
      <c r="F318" s="20"/>
      <c r="G318" s="19"/>
      <c r="H318" s="19"/>
      <c r="I318" s="20"/>
      <c r="J318" s="19"/>
      <c r="K318" s="19"/>
    </row>
    <row r="319" spans="1:11" ht="14.25">
      <c r="A319" s="19"/>
      <c r="B319" s="31"/>
      <c r="C319" s="19"/>
      <c r="D319" s="19"/>
      <c r="E319" s="19"/>
      <c r="F319" s="20"/>
      <c r="G319" s="19"/>
      <c r="H319" s="19"/>
      <c r="I319" s="20"/>
      <c r="J319" s="19"/>
      <c r="K319" s="19"/>
    </row>
    <row r="320" spans="1:11" ht="14.25">
      <c r="A320" s="19"/>
      <c r="B320" s="31"/>
      <c r="C320" s="19"/>
      <c r="D320" s="19"/>
      <c r="E320" s="19"/>
      <c r="F320" s="20"/>
      <c r="G320" s="19"/>
      <c r="H320" s="19"/>
      <c r="I320" s="20"/>
      <c r="J320" s="19"/>
      <c r="K320" s="19"/>
    </row>
    <row r="321" spans="1:11" ht="14.25">
      <c r="A321" s="19"/>
      <c r="B321" s="31"/>
      <c r="C321" s="19"/>
      <c r="D321" s="19"/>
      <c r="E321" s="19"/>
      <c r="F321" s="20"/>
      <c r="G321" s="19"/>
      <c r="H321" s="19"/>
      <c r="I321" s="20"/>
      <c r="J321" s="19"/>
      <c r="K321" s="19"/>
    </row>
    <row r="322" spans="1:11" ht="13.9">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11" priority="5" stopIfTrue="1" operator="lessThanOrEqual">
      <formula>-0.1</formula>
    </cfRule>
    <cfRule type="expression" dxfId="10" priority="6">
      <formula>AND(ISNUMBER(F2), F2&gt;=0.1)</formula>
    </cfRule>
  </conditionalFormatting>
  <conditionalFormatting sqref="F4:F80 I4:I80">
    <cfRule type="cellIs" dxfId="9" priority="1" stopIfTrue="1" operator="lessThanOrEqual">
      <formula>-0.1</formula>
    </cfRule>
    <cfRule type="expression" dxfId="8"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workbookViewId="0">
      <pane xSplit="2" ySplit="4" topLeftCell="C5" activePane="bottomRight" state="frozen"/>
      <selection pane="bottomRight" activeCell="J4" activeCellId="3" sqref="C4:C10 D4:D10 G4:G10 J4:Q10"/>
      <selection pane="bottomLeft" activeCell="J4" activeCellId="3" sqref="C4:C10 D4:D10 G4:G10 J4:Q10"/>
      <selection pane="topRight" activeCell="J4" activeCellId="3" sqref="C4:C10 D4:D10 G4:G10 J4:Q10"/>
    </sheetView>
  </sheetViews>
  <sheetFormatPr defaultRowHeight="13.5"/>
  <cols>
    <col min="1" max="1" width="35.85546875" bestFit="1" customWidth="1"/>
    <col min="2" max="2" width="8.42578125" style="32"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15.42578125" customWidth="1"/>
  </cols>
  <sheetData>
    <row r="1" spans="1:11" ht="19.5" customHeight="1">
      <c r="A1" s="111" t="str" cm="1">
        <f t="array" ref="A1">portfolio</f>
        <v>GoodFinch</v>
      </c>
      <c r="B1" s="111"/>
      <c r="C1" s="111"/>
      <c r="D1" s="112" t="s">
        <v>125</v>
      </c>
      <c r="E1" s="112"/>
      <c r="F1" s="112"/>
      <c r="G1" s="110" t="s">
        <v>126</v>
      </c>
      <c r="H1" s="110"/>
      <c r="I1" s="110"/>
      <c r="J1" s="4"/>
      <c r="K1" s="4"/>
    </row>
    <row r="2" spans="1:11" ht="19.5" customHeight="1">
      <c r="A2" s="113" t="s">
        <v>2</v>
      </c>
      <c r="B2" s="113"/>
      <c r="C2" s="5">
        <f>SUM(C4:C80)</f>
        <v>0</v>
      </c>
      <c r="D2" s="5">
        <f>SUM(D4:D80)</f>
        <v>0</v>
      </c>
      <c r="E2" s="5">
        <f>C2-D2</f>
        <v>0</v>
      </c>
      <c r="F2" s="6">
        <f>IFERROR(E2/D2, 0)</f>
        <v>0</v>
      </c>
      <c r="G2" s="5">
        <f>SUM(G4:G80)</f>
        <v>0</v>
      </c>
      <c r="H2" s="7">
        <f>C2-G2</f>
        <v>0</v>
      </c>
      <c r="I2" s="6">
        <f>IFERROR(H2/G2, 0)</f>
        <v>0</v>
      </c>
      <c r="J2" s="24"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21</v>
      </c>
      <c r="K3" s="23" t="s">
        <v>22</v>
      </c>
    </row>
    <row r="4" spans="1:11" ht="15.75">
      <c r="A4" s="30" t="str" cm="1">
        <f t="array" ref="A4:A45">Sites[Site]</f>
        <v>AZ: Tempe - ASU - Farmer</v>
      </c>
      <c r="B4" s="27" t="str" cm="1">
        <f t="array" ref="B4:B45">Sites[State]</f>
        <v>AZ</v>
      </c>
      <c r="C4" s="22"/>
      <c r="D4" s="12"/>
      <c r="E4" s="12" t="str">
        <f>IF(AND(ISNUMBER(C4),ISNUMBER(D4)), C4-D4, "")</f>
        <v/>
      </c>
      <c r="F4" s="13" t="str">
        <f>IFERROR(E4/D4, "")</f>
        <v/>
      </c>
      <c r="G4" s="14"/>
      <c r="H4" s="14" t="str">
        <f>IF(AND(ISNUMBER(C4),ISNUMBER(G4)), C4-G4, "")</f>
        <v/>
      </c>
      <c r="I4" s="15" t="str">
        <f>IFERROR(H4/G4, "")</f>
        <v/>
      </c>
      <c r="J4" s="39"/>
      <c r="K4" s="39"/>
    </row>
    <row r="5" spans="1:11" ht="15.75">
      <c r="A5" s="28" t="str">
        <v>AZ: Tempe - ASU - Fulton</v>
      </c>
      <c r="B5" s="29" t="str">
        <v>AZ</v>
      </c>
      <c r="C5" s="11"/>
      <c r="D5" s="16"/>
      <c r="E5" s="16" t="str">
        <f t="shared" ref="E5:E9" si="0">IF(AND(ISNUMBER(C5),ISNUMBER(D5)), C5-D5, "")</f>
        <v/>
      </c>
      <c r="F5" s="17" t="str">
        <f>IFERROR(E5/D5, "")</f>
        <v/>
      </c>
      <c r="G5" s="18"/>
      <c r="H5" s="18" t="str">
        <f t="shared" ref="H5:H9" si="1">IF(AND(ISNUMBER(C5),ISNUMBER(G5)), C5-G5, "")</f>
        <v/>
      </c>
      <c r="I5" s="17" t="str">
        <f t="shared" ref="I5:I9" si="2">IFERROR(H5/G5, "")</f>
        <v/>
      </c>
      <c r="J5" s="56"/>
      <c r="K5" s="52"/>
    </row>
    <row r="6" spans="1:11" ht="15.75">
      <c r="A6" s="26" t="str">
        <v>AZ: Superior - JFK Elementary</v>
      </c>
      <c r="B6" s="27" t="str">
        <v>AZ</v>
      </c>
      <c r="C6" s="22"/>
      <c r="D6" s="12"/>
      <c r="E6" s="12" t="str">
        <f t="shared" si="0"/>
        <v/>
      </c>
      <c r="F6" s="13" t="str">
        <f t="shared" ref="F6:F9" si="3">IFERROR(E6/D6, "")</f>
        <v/>
      </c>
      <c r="G6" s="14"/>
      <c r="H6" s="14" t="str">
        <f t="shared" si="1"/>
        <v/>
      </c>
      <c r="I6" s="15" t="str">
        <f t="shared" si="2"/>
        <v/>
      </c>
      <c r="J6" s="40"/>
      <c r="K6" s="39"/>
    </row>
    <row r="7" spans="1:11" ht="15.75">
      <c r="A7" s="28" t="str">
        <v>AZ: Tempe - ASU - Noble</v>
      </c>
      <c r="B7" s="29" t="str">
        <v>AZ</v>
      </c>
      <c r="C7" s="11"/>
      <c r="D7" s="16"/>
      <c r="E7" s="16" t="str">
        <f t="shared" si="0"/>
        <v/>
      </c>
      <c r="F7" s="17" t="str">
        <f t="shared" si="3"/>
        <v/>
      </c>
      <c r="G7" s="18"/>
      <c r="H7" s="18" t="str">
        <f t="shared" si="1"/>
        <v/>
      </c>
      <c r="I7" s="17" t="str">
        <f t="shared" si="2"/>
        <v/>
      </c>
      <c r="J7" s="40"/>
      <c r="K7" s="41"/>
    </row>
    <row r="8" spans="1:11" ht="15.75">
      <c r="A8" s="26" t="str">
        <v>AZ: Tempe - ASU - Parking #3</v>
      </c>
      <c r="B8" s="27" t="str">
        <v>AZ</v>
      </c>
      <c r="C8" s="22"/>
      <c r="D8" s="12"/>
      <c r="E8" s="12" t="str">
        <f t="shared" si="0"/>
        <v/>
      </c>
      <c r="F8" s="13" t="str">
        <f t="shared" si="3"/>
        <v/>
      </c>
      <c r="G8" s="14"/>
      <c r="H8" s="14" t="str">
        <f t="shared" si="1"/>
        <v/>
      </c>
      <c r="I8" s="15" t="str">
        <f t="shared" si="2"/>
        <v/>
      </c>
      <c r="J8" s="39"/>
      <c r="K8" s="39"/>
    </row>
    <row r="9" spans="1:11" ht="15.75">
      <c r="A9" s="28" t="str">
        <v>AZ: Tempe - ASU - PE East</v>
      </c>
      <c r="B9" s="29" t="str">
        <v>AZ</v>
      </c>
      <c r="C9" s="11"/>
      <c r="D9" s="16"/>
      <c r="E9" s="16" t="str">
        <f t="shared" si="0"/>
        <v/>
      </c>
      <c r="F9" s="17" t="str">
        <f t="shared" si="3"/>
        <v/>
      </c>
      <c r="G9" s="18"/>
      <c r="H9" s="18" t="str">
        <f t="shared" si="1"/>
        <v/>
      </c>
      <c r="I9" s="17" t="str">
        <f t="shared" si="2"/>
        <v/>
      </c>
      <c r="J9" s="40"/>
      <c r="K9" s="41"/>
    </row>
    <row r="10" spans="1:11" ht="15.75">
      <c r="A10" s="26" t="str">
        <v>AZ: Tempe - ASU - Schwada</v>
      </c>
      <c r="B10" s="27" t="str">
        <v>AZ</v>
      </c>
      <c r="C10" s="73"/>
      <c r="D10" s="12"/>
      <c r="E10" s="12" t="str">
        <f t="shared" ref="E10:E45" si="4">IF(AND(ISNUMBER(C10),ISNUMBER(D10)), C10-D10, "")</f>
        <v/>
      </c>
      <c r="F10" s="74" t="str">
        <f t="shared" ref="F10:F45" si="5">IFERROR(E10/D10, "")</f>
        <v/>
      </c>
      <c r="G10" s="75"/>
      <c r="H10" s="75" t="str">
        <f t="shared" ref="H10:H45" si="6">IF(AND(ISNUMBER(C10),ISNUMBER(G10)), C10-G10, "")</f>
        <v/>
      </c>
      <c r="I10" s="76" t="str">
        <f t="shared" ref="I10:I45" si="7">IFERROR(H10/G10, "")</f>
        <v/>
      </c>
      <c r="J10" s="77"/>
      <c r="K10" s="77"/>
    </row>
    <row r="11" spans="1:11" ht="15.75">
      <c r="A11" s="28" t="str">
        <v>AZ: Phoenix - Starshine Academy</v>
      </c>
      <c r="B11" s="29" t="str">
        <v>AZ</v>
      </c>
      <c r="C11" s="100"/>
      <c r="D11" s="16"/>
      <c r="E11" s="16" t="str">
        <f t="shared" si="4"/>
        <v/>
      </c>
      <c r="F11" s="99" t="str">
        <f t="shared" si="5"/>
        <v/>
      </c>
      <c r="G11" s="80"/>
      <c r="H11" s="80" t="str">
        <f t="shared" si="6"/>
        <v/>
      </c>
      <c r="I11" s="99" t="str">
        <f t="shared" si="7"/>
        <v/>
      </c>
      <c r="J11" s="40"/>
      <c r="K11" s="41"/>
    </row>
    <row r="12" spans="1:11" ht="15.75">
      <c r="A12" s="26" t="str">
        <v>AZ: Yuma Airport</v>
      </c>
      <c r="B12" s="27" t="str">
        <v>AZ</v>
      </c>
      <c r="C12" s="73"/>
      <c r="D12" s="12"/>
      <c r="E12" s="12" t="str">
        <f t="shared" si="4"/>
        <v/>
      </c>
      <c r="F12" s="74" t="str">
        <f t="shared" si="5"/>
        <v/>
      </c>
      <c r="G12" s="75"/>
      <c r="H12" s="75" t="str">
        <f t="shared" si="6"/>
        <v/>
      </c>
      <c r="I12" s="76" t="str">
        <f t="shared" si="7"/>
        <v/>
      </c>
      <c r="J12" s="77"/>
      <c r="K12" s="77"/>
    </row>
    <row r="13" spans="1:11" ht="15.75">
      <c r="A13" s="28" t="str">
        <v>AZ: Globe - Gila CC</v>
      </c>
      <c r="B13" s="29" t="str">
        <v>AZ</v>
      </c>
      <c r="C13" s="100"/>
      <c r="D13" s="16"/>
      <c r="E13" s="16" t="str">
        <f t="shared" si="4"/>
        <v/>
      </c>
      <c r="F13" s="99" t="str">
        <f t="shared" si="5"/>
        <v/>
      </c>
      <c r="G13" s="80"/>
      <c r="H13" s="80" t="str">
        <f t="shared" si="6"/>
        <v/>
      </c>
      <c r="I13" s="99" t="str">
        <f t="shared" si="7"/>
        <v/>
      </c>
      <c r="J13" s="40"/>
      <c r="K13" s="41"/>
    </row>
    <row r="14" spans="1:11" ht="15.75">
      <c r="A14" s="26" t="str">
        <v>AZ: Payson - Gila CC</v>
      </c>
      <c r="B14" s="27" t="str">
        <v>AZ</v>
      </c>
      <c r="C14" s="73"/>
      <c r="D14" s="12"/>
      <c r="E14" s="12" t="str">
        <f t="shared" si="4"/>
        <v/>
      </c>
      <c r="F14" s="74" t="str">
        <f t="shared" si="5"/>
        <v/>
      </c>
      <c r="G14" s="75"/>
      <c r="H14" s="75" t="str">
        <f t="shared" si="6"/>
        <v/>
      </c>
      <c r="I14" s="76" t="str">
        <f t="shared" si="7"/>
        <v/>
      </c>
      <c r="J14" s="77"/>
      <c r="K14" s="77"/>
    </row>
    <row r="15" spans="1:11" ht="15.75">
      <c r="A15" s="28" t="str">
        <v>AZ: Mesa - Sequoia Charter School</v>
      </c>
      <c r="B15" s="29" t="str">
        <v>AZ</v>
      </c>
      <c r="C15" s="100"/>
      <c r="D15" s="16"/>
      <c r="E15" s="16" t="str">
        <f t="shared" si="4"/>
        <v/>
      </c>
      <c r="F15" s="99" t="str">
        <f t="shared" si="5"/>
        <v/>
      </c>
      <c r="G15" s="80"/>
      <c r="H15" s="80" t="str">
        <f t="shared" si="6"/>
        <v/>
      </c>
      <c r="I15" s="99" t="str">
        <f t="shared" si="7"/>
        <v/>
      </c>
      <c r="J15" s="40"/>
      <c r="K15" s="41"/>
    </row>
    <row r="16" spans="1:11" ht="15.75">
      <c r="A16" s="26" t="str">
        <v>AZ: Tempe - SCNM</v>
      </c>
      <c r="B16" s="27" t="str">
        <v>AZ</v>
      </c>
      <c r="C16" s="73"/>
      <c r="D16" s="12"/>
      <c r="E16" s="12" t="str">
        <f t="shared" si="4"/>
        <v/>
      </c>
      <c r="F16" s="74" t="str">
        <f t="shared" si="5"/>
        <v/>
      </c>
      <c r="G16" s="75"/>
      <c r="H16" s="75" t="str">
        <f t="shared" si="6"/>
        <v/>
      </c>
      <c r="I16" s="76" t="str">
        <f t="shared" si="7"/>
        <v/>
      </c>
      <c r="J16" s="77"/>
      <c r="K16" s="77"/>
    </row>
    <row r="17" spans="1:11" ht="15.75">
      <c r="A17" s="28" t="str">
        <v>DE: Newark - Clayton Hall</v>
      </c>
      <c r="B17" s="29" t="str">
        <v>DE</v>
      </c>
      <c r="C17" s="100"/>
      <c r="D17" s="16"/>
      <c r="E17" s="16" t="str">
        <f t="shared" si="4"/>
        <v/>
      </c>
      <c r="F17" s="99" t="str">
        <f t="shared" si="5"/>
        <v/>
      </c>
      <c r="G17" s="80"/>
      <c r="H17" s="80" t="str">
        <f t="shared" si="6"/>
        <v/>
      </c>
      <c r="I17" s="99" t="str">
        <f t="shared" si="7"/>
        <v/>
      </c>
      <c r="J17" s="40"/>
      <c r="K17" s="41"/>
    </row>
    <row r="18" spans="1:11" ht="15.75">
      <c r="A18" s="26" t="str">
        <v>DE: Newark - UOD Field House</v>
      </c>
      <c r="B18" s="27" t="str">
        <v>DE</v>
      </c>
      <c r="C18" s="73"/>
      <c r="D18" s="12"/>
      <c r="E18" s="12" t="str">
        <f t="shared" si="4"/>
        <v/>
      </c>
      <c r="F18" s="74" t="str">
        <f t="shared" si="5"/>
        <v/>
      </c>
      <c r="G18" s="75"/>
      <c r="H18" s="75" t="str">
        <f t="shared" si="6"/>
        <v/>
      </c>
      <c r="I18" s="76" t="str">
        <f t="shared" si="7"/>
        <v/>
      </c>
      <c r="J18" s="77"/>
      <c r="K18" s="77"/>
    </row>
    <row r="19" spans="1:11" ht="15.75">
      <c r="A19" s="28" t="str">
        <v>DE: Newark - UOD 461 Wyoming</v>
      </c>
      <c r="B19" s="29" t="str">
        <v>DE</v>
      </c>
      <c r="C19" s="100"/>
      <c r="D19" s="16"/>
      <c r="E19" s="16" t="str">
        <f t="shared" si="4"/>
        <v/>
      </c>
      <c r="F19" s="99" t="str">
        <f t="shared" si="5"/>
        <v/>
      </c>
      <c r="G19" s="80"/>
      <c r="H19" s="80" t="str">
        <f t="shared" si="6"/>
        <v/>
      </c>
      <c r="I19" s="99" t="str">
        <f t="shared" si="7"/>
        <v/>
      </c>
      <c r="J19" s="40"/>
      <c r="K19" s="41"/>
    </row>
    <row r="20" spans="1:11" ht="15.75">
      <c r="A20" s="26" t="str">
        <v>HI: Waipahu - 94-246 Leoku St - E.F.G.</v>
      </c>
      <c r="B20" s="27" t="str">
        <v>HI</v>
      </c>
      <c r="C20" s="73"/>
      <c r="D20" s="12"/>
      <c r="E20" s="12" t="str">
        <f t="shared" si="4"/>
        <v/>
      </c>
      <c r="F20" s="74" t="str">
        <f t="shared" si="5"/>
        <v/>
      </c>
      <c r="G20" s="75"/>
      <c r="H20" s="75" t="str">
        <f t="shared" si="6"/>
        <v/>
      </c>
      <c r="I20" s="76" t="str">
        <f t="shared" si="7"/>
        <v/>
      </c>
      <c r="J20" s="77"/>
      <c r="K20" s="77"/>
    </row>
    <row r="21" spans="1:11" ht="15.75">
      <c r="A21" s="28" t="str">
        <v>HI: Waipahu - 94-099 Waipahu St - PV</v>
      </c>
      <c r="B21" s="29" t="str">
        <v>HI</v>
      </c>
      <c r="C21" s="100"/>
      <c r="D21" s="16"/>
      <c r="E21" s="16" t="str">
        <f t="shared" si="4"/>
        <v/>
      </c>
      <c r="F21" s="99" t="str">
        <f t="shared" si="5"/>
        <v/>
      </c>
      <c r="G21" s="80"/>
      <c r="H21" s="80" t="str">
        <f t="shared" si="6"/>
        <v/>
      </c>
      <c r="I21" s="99" t="str">
        <f t="shared" si="7"/>
        <v/>
      </c>
      <c r="J21" s="40"/>
      <c r="K21" s="41"/>
    </row>
    <row r="22" spans="1:11" ht="15.75">
      <c r="A22" s="26" t="str">
        <v>MD: Presston - Bird-in-Hand</v>
      </c>
      <c r="B22" s="27" t="str">
        <v>MD</v>
      </c>
      <c r="C22" s="73"/>
      <c r="D22" s="12"/>
      <c r="E22" s="12" t="str">
        <f t="shared" si="4"/>
        <v/>
      </c>
      <c r="F22" s="74" t="str">
        <f t="shared" si="5"/>
        <v/>
      </c>
      <c r="G22" s="75"/>
      <c r="H22" s="75" t="str">
        <f t="shared" si="6"/>
        <v/>
      </c>
      <c r="I22" s="76" t="str">
        <f t="shared" si="7"/>
        <v/>
      </c>
      <c r="J22" s="77"/>
      <c r="K22" s="77"/>
    </row>
    <row r="23" spans="1:11" ht="15.75">
      <c r="A23" s="28" t="str">
        <v>MD: Easton - Shortall</v>
      </c>
      <c r="B23" s="29" t="str">
        <v>MD</v>
      </c>
      <c r="C23" s="100"/>
      <c r="D23" s="16"/>
      <c r="E23" s="16" t="str">
        <f t="shared" si="4"/>
        <v/>
      </c>
      <c r="F23" s="99" t="str">
        <f t="shared" si="5"/>
        <v/>
      </c>
      <c r="G23" s="80"/>
      <c r="H23" s="80" t="str">
        <f t="shared" si="6"/>
        <v/>
      </c>
      <c r="I23" s="99" t="str">
        <f t="shared" si="7"/>
        <v/>
      </c>
      <c r="J23" s="40"/>
      <c r="K23" s="41"/>
    </row>
    <row r="24" spans="1:11" ht="15.75">
      <c r="A24" s="26" t="str">
        <v>MA: Boston - Seaport Solar</v>
      </c>
      <c r="B24" s="27" t="str">
        <v>MA</v>
      </c>
      <c r="C24" s="73"/>
      <c r="D24" s="12"/>
      <c r="E24" s="12" t="str">
        <f t="shared" si="4"/>
        <v/>
      </c>
      <c r="F24" s="74" t="str">
        <f t="shared" si="5"/>
        <v/>
      </c>
      <c r="G24" s="75"/>
      <c r="H24" s="75" t="str">
        <f t="shared" si="6"/>
        <v/>
      </c>
      <c r="I24" s="76" t="str">
        <f t="shared" si="7"/>
        <v/>
      </c>
      <c r="J24" s="77"/>
      <c r="K24" s="77"/>
    </row>
    <row r="25" spans="1:11" ht="15.75">
      <c r="A25" s="28" t="str">
        <v>MA: Dedham - Sprague Street</v>
      </c>
      <c r="B25" s="29" t="str">
        <v>MA</v>
      </c>
      <c r="C25" s="100"/>
      <c r="D25" s="16"/>
      <c r="E25" s="16" t="str">
        <f t="shared" si="4"/>
        <v/>
      </c>
      <c r="F25" s="99" t="str">
        <f t="shared" si="5"/>
        <v/>
      </c>
      <c r="G25" s="80"/>
      <c r="H25" s="80" t="str">
        <f t="shared" si="6"/>
        <v/>
      </c>
      <c r="I25" s="99" t="str">
        <f t="shared" si="7"/>
        <v/>
      </c>
      <c r="J25" s="40"/>
      <c r="K25" s="41"/>
    </row>
    <row r="26" spans="1:11" ht="15.75">
      <c r="A26" s="26" t="str">
        <v>MA: Boston - Summer Street</v>
      </c>
      <c r="B26" s="27" t="str">
        <v>MA</v>
      </c>
      <c r="C26" s="73"/>
      <c r="D26" s="12"/>
      <c r="E26" s="12" t="str">
        <f t="shared" si="4"/>
        <v/>
      </c>
      <c r="F26" s="74" t="str">
        <f t="shared" si="5"/>
        <v/>
      </c>
      <c r="G26" s="75"/>
      <c r="H26" s="75" t="str">
        <f t="shared" si="6"/>
        <v/>
      </c>
      <c r="I26" s="76" t="str">
        <f t="shared" si="7"/>
        <v/>
      </c>
      <c r="J26" s="77"/>
      <c r="K26" s="77"/>
    </row>
    <row r="27" spans="1:11" ht="15.75">
      <c r="A27" s="28" t="str">
        <v>MA: Leominster - Spectro Coatings</v>
      </c>
      <c r="B27" s="29" t="str">
        <v>MA</v>
      </c>
      <c r="C27" s="100"/>
      <c r="D27" s="16"/>
      <c r="E27" s="16" t="str">
        <f t="shared" si="4"/>
        <v/>
      </c>
      <c r="F27" s="99" t="str">
        <f t="shared" si="5"/>
        <v/>
      </c>
      <c r="G27" s="80"/>
      <c r="H27" s="80" t="str">
        <f t="shared" si="6"/>
        <v/>
      </c>
      <c r="I27" s="99" t="str">
        <f t="shared" si="7"/>
        <v/>
      </c>
      <c r="J27" s="40"/>
      <c r="K27" s="41"/>
    </row>
    <row r="28" spans="1:11" ht="15.75">
      <c r="A28" s="26" t="str">
        <v>MA: Braintree - RCAB</v>
      </c>
      <c r="B28" s="27" t="str">
        <v>MA</v>
      </c>
      <c r="C28" s="73"/>
      <c r="D28" s="12"/>
      <c r="E28" s="12" t="str">
        <f t="shared" si="4"/>
        <v/>
      </c>
      <c r="F28" s="74" t="str">
        <f t="shared" si="5"/>
        <v/>
      </c>
      <c r="G28" s="75"/>
      <c r="H28" s="75" t="str">
        <f t="shared" si="6"/>
        <v/>
      </c>
      <c r="I28" s="76" t="str">
        <f t="shared" si="7"/>
        <v/>
      </c>
      <c r="J28" s="77"/>
      <c r="K28" s="77"/>
    </row>
    <row r="29" spans="1:11" ht="15.75">
      <c r="A29" s="28" t="str">
        <v>NH: Rochester - Portland Street</v>
      </c>
      <c r="B29" s="29" t="str">
        <v>NH</v>
      </c>
      <c r="C29" s="100"/>
      <c r="D29" s="16"/>
      <c r="E29" s="16" t="str">
        <f t="shared" si="4"/>
        <v/>
      </c>
      <c r="F29" s="99" t="str">
        <f t="shared" si="5"/>
        <v/>
      </c>
      <c r="G29" s="80"/>
      <c r="H29" s="80" t="str">
        <f t="shared" si="6"/>
        <v/>
      </c>
      <c r="I29" s="99" t="str">
        <f t="shared" si="7"/>
        <v/>
      </c>
      <c r="J29" s="40"/>
      <c r="K29" s="41"/>
    </row>
    <row r="30" spans="1:11" ht="15.75">
      <c r="A30" s="26" t="str">
        <v>NH: Portsmouth - Portsmouth HS</v>
      </c>
      <c r="B30" s="27" t="str">
        <v>NH</v>
      </c>
      <c r="C30" s="73"/>
      <c r="D30" s="12"/>
      <c r="E30" s="12" t="str">
        <f t="shared" si="4"/>
        <v/>
      </c>
      <c r="F30" s="74" t="str">
        <f t="shared" si="5"/>
        <v/>
      </c>
      <c r="G30" s="75"/>
      <c r="H30" s="75" t="str">
        <f t="shared" si="6"/>
        <v/>
      </c>
      <c r="I30" s="76" t="str">
        <f t="shared" si="7"/>
        <v/>
      </c>
      <c r="J30" s="77"/>
      <c r="K30" s="77"/>
    </row>
    <row r="31" spans="1:11" ht="15.75">
      <c r="A31" s="28" t="str">
        <v>NH: Portsmouth - Portsmouth WTP</v>
      </c>
      <c r="B31" s="29" t="str">
        <v>NH</v>
      </c>
      <c r="C31" s="100"/>
      <c r="D31" s="16"/>
      <c r="E31" s="16" t="str">
        <f t="shared" si="4"/>
        <v/>
      </c>
      <c r="F31" s="99" t="str">
        <f t="shared" si="5"/>
        <v/>
      </c>
      <c r="G31" s="80"/>
      <c r="H31" s="80" t="str">
        <f t="shared" si="6"/>
        <v/>
      </c>
      <c r="I31" s="99" t="str">
        <f t="shared" si="7"/>
        <v/>
      </c>
      <c r="J31" s="40"/>
      <c r="K31" s="41"/>
    </row>
    <row r="32" spans="1:11" ht="15.75">
      <c r="A32" s="26" t="str">
        <v>NH: Rochester - Rochester MS</v>
      </c>
      <c r="B32" s="27" t="str">
        <v>NH</v>
      </c>
      <c r="C32" s="73"/>
      <c r="D32" s="12"/>
      <c r="E32" s="12" t="str">
        <f t="shared" si="4"/>
        <v/>
      </c>
      <c r="F32" s="74" t="str">
        <f t="shared" si="5"/>
        <v/>
      </c>
      <c r="G32" s="75"/>
      <c r="H32" s="75" t="str">
        <f t="shared" si="6"/>
        <v/>
      </c>
      <c r="I32" s="76" t="str">
        <f t="shared" si="7"/>
        <v/>
      </c>
      <c r="J32" s="77"/>
      <c r="K32" s="77"/>
    </row>
    <row r="33" spans="1:11" ht="15.75">
      <c r="A33" s="28" t="str">
        <v>NH Rochester - Spaulding HS</v>
      </c>
      <c r="B33" s="29" t="str">
        <v>NH</v>
      </c>
      <c r="C33" s="100"/>
      <c r="D33" s="16"/>
      <c r="E33" s="16" t="str">
        <f t="shared" si="4"/>
        <v/>
      </c>
      <c r="F33" s="99" t="str">
        <f t="shared" si="5"/>
        <v/>
      </c>
      <c r="G33" s="80"/>
      <c r="H33" s="80" t="str">
        <f t="shared" si="6"/>
        <v/>
      </c>
      <c r="I33" s="99" t="str">
        <f t="shared" si="7"/>
        <v/>
      </c>
      <c r="J33" s="40"/>
      <c r="K33" s="41"/>
    </row>
    <row r="34" spans="1:11" ht="15.75">
      <c r="A34" s="26" t="str">
        <v>NH: Rochester - McClelland ES</v>
      </c>
      <c r="B34" s="27" t="str">
        <v>NH</v>
      </c>
      <c r="C34" s="73"/>
      <c r="D34" s="12"/>
      <c r="E34" s="12" t="str">
        <f t="shared" si="4"/>
        <v/>
      </c>
      <c r="F34" s="74" t="str">
        <f t="shared" si="5"/>
        <v/>
      </c>
      <c r="G34" s="75"/>
      <c r="H34" s="75" t="str">
        <f t="shared" si="6"/>
        <v/>
      </c>
      <c r="I34" s="76" t="str">
        <f t="shared" si="7"/>
        <v/>
      </c>
      <c r="J34" s="77"/>
      <c r="K34" s="77"/>
    </row>
    <row r="35" spans="1:11" ht="15.75">
      <c r="A35" s="28" t="str">
        <v>NH: Rochester - Brock St Vocational</v>
      </c>
      <c r="B35" s="29" t="str">
        <v>NH</v>
      </c>
      <c r="C35" s="100"/>
      <c r="D35" s="16"/>
      <c r="E35" s="16" t="str">
        <f t="shared" si="4"/>
        <v/>
      </c>
      <c r="F35" s="99" t="str">
        <f t="shared" si="5"/>
        <v/>
      </c>
      <c r="G35" s="80"/>
      <c r="H35" s="80" t="str">
        <f t="shared" si="6"/>
        <v/>
      </c>
      <c r="I35" s="99" t="str">
        <f t="shared" si="7"/>
        <v/>
      </c>
      <c r="J35" s="40"/>
      <c r="K35" s="41"/>
    </row>
    <row r="36" spans="1:11" ht="15.75">
      <c r="A36" s="26" t="str">
        <v>OH: Cleveland - CV Kinsman</v>
      </c>
      <c r="B36" s="27" t="str">
        <v>OH</v>
      </c>
      <c r="C36" s="73"/>
      <c r="D36" s="12"/>
      <c r="E36" s="12" t="str">
        <f t="shared" si="4"/>
        <v/>
      </c>
      <c r="F36" s="74" t="str">
        <f t="shared" si="5"/>
        <v/>
      </c>
      <c r="G36" s="75"/>
      <c r="H36" s="75" t="str">
        <f t="shared" si="6"/>
        <v/>
      </c>
      <c r="I36" s="76" t="str">
        <f t="shared" si="7"/>
        <v/>
      </c>
      <c r="J36" s="77"/>
      <c r="K36" s="77"/>
    </row>
    <row r="37" spans="1:11" ht="15.75">
      <c r="A37" s="28" t="str">
        <v>OH: Cleveland - CV Wooster</v>
      </c>
      <c r="B37" s="29" t="str">
        <v>OH</v>
      </c>
      <c r="C37" s="100"/>
      <c r="D37" s="16"/>
      <c r="E37" s="16" t="str">
        <f t="shared" si="4"/>
        <v/>
      </c>
      <c r="F37" s="99" t="str">
        <f t="shared" si="5"/>
        <v/>
      </c>
      <c r="G37" s="80"/>
      <c r="H37" s="80" t="str">
        <f t="shared" si="6"/>
        <v/>
      </c>
      <c r="I37" s="99" t="str">
        <f t="shared" si="7"/>
        <v/>
      </c>
      <c r="J37" s="40"/>
      <c r="K37" s="41"/>
    </row>
    <row r="38" spans="1:11" ht="15.75">
      <c r="A38" s="26" t="str">
        <v>PR: Aguadilla - Coca Cola</v>
      </c>
      <c r="B38" s="27" t="str">
        <v>PR</v>
      </c>
      <c r="C38" s="73"/>
      <c r="D38" s="12"/>
      <c r="E38" s="12" t="str">
        <f t="shared" si="4"/>
        <v/>
      </c>
      <c r="F38" s="74" t="str">
        <f t="shared" si="5"/>
        <v/>
      </c>
      <c r="G38" s="75"/>
      <c r="H38" s="75" t="str">
        <f t="shared" si="6"/>
        <v/>
      </c>
      <c r="I38" s="76" t="str">
        <f t="shared" si="7"/>
        <v/>
      </c>
      <c r="J38" s="77"/>
      <c r="K38" s="77"/>
    </row>
    <row r="39" spans="1:11" ht="15.75">
      <c r="A39" s="28" t="str">
        <v>PR: Bayamon - Coca Cola</v>
      </c>
      <c r="B39" s="29" t="str">
        <v>PR</v>
      </c>
      <c r="C39" s="100"/>
      <c r="D39" s="16"/>
      <c r="E39" s="16" t="str">
        <f t="shared" si="4"/>
        <v/>
      </c>
      <c r="F39" s="99" t="str">
        <f t="shared" si="5"/>
        <v/>
      </c>
      <c r="G39" s="80"/>
      <c r="H39" s="80" t="str">
        <f t="shared" si="6"/>
        <v/>
      </c>
      <c r="I39" s="99" t="str">
        <f t="shared" si="7"/>
        <v/>
      </c>
      <c r="J39" s="40"/>
      <c r="K39" s="41"/>
    </row>
    <row r="40" spans="1:11" ht="15.75">
      <c r="A40" s="26" t="str">
        <v>PR: Carolina - St. Francis</v>
      </c>
      <c r="B40" s="27" t="str">
        <v>PR</v>
      </c>
      <c r="C40" s="73"/>
      <c r="D40" s="12"/>
      <c r="E40" s="12" t="str">
        <f t="shared" si="4"/>
        <v/>
      </c>
      <c r="F40" s="74" t="str">
        <f t="shared" si="5"/>
        <v/>
      </c>
      <c r="G40" s="75"/>
      <c r="H40" s="75" t="str">
        <f t="shared" si="6"/>
        <v/>
      </c>
      <c r="I40" s="76" t="str">
        <f t="shared" si="7"/>
        <v/>
      </c>
      <c r="J40" s="77"/>
      <c r="K40" s="77"/>
    </row>
    <row r="41" spans="1:11" ht="15.75">
      <c r="A41" s="28" t="str">
        <v>DC: Washington - Essex Condominium</v>
      </c>
      <c r="B41" s="29" t="str">
        <v>DC</v>
      </c>
      <c r="C41" s="100"/>
      <c r="D41" s="16"/>
      <c r="E41" s="16" t="str">
        <f t="shared" si="4"/>
        <v/>
      </c>
      <c r="F41" s="99" t="str">
        <f t="shared" si="5"/>
        <v/>
      </c>
      <c r="G41" s="80"/>
      <c r="H41" s="80" t="str">
        <f t="shared" si="6"/>
        <v/>
      </c>
      <c r="I41" s="99" t="str">
        <f t="shared" si="7"/>
        <v/>
      </c>
      <c r="J41" s="40"/>
      <c r="K41" s="41"/>
    </row>
    <row r="42" spans="1:11" ht="15.75">
      <c r="A42" s="26" t="str">
        <v>DC: Chevy Chase -Sinai</v>
      </c>
      <c r="B42" s="27" t="str">
        <v>DC</v>
      </c>
      <c r="C42" s="73"/>
      <c r="D42" s="12"/>
      <c r="E42" s="12" t="str">
        <f t="shared" si="4"/>
        <v/>
      </c>
      <c r="F42" s="74" t="str">
        <f t="shared" si="5"/>
        <v/>
      </c>
      <c r="G42" s="75"/>
      <c r="H42" s="75" t="str">
        <f t="shared" si="6"/>
        <v/>
      </c>
      <c r="I42" s="76" t="str">
        <f t="shared" si="7"/>
        <v/>
      </c>
      <c r="J42" s="77"/>
      <c r="K42" s="77"/>
    </row>
    <row r="43" spans="1:11" ht="15.75">
      <c r="A43" s="28" t="str">
        <v>DC: Washington - Weinberg 1</v>
      </c>
      <c r="B43" s="29" t="str">
        <v>DC</v>
      </c>
      <c r="C43" s="100"/>
      <c r="D43" s="16"/>
      <c r="E43" s="16" t="str">
        <f t="shared" si="4"/>
        <v/>
      </c>
      <c r="F43" s="99" t="str">
        <f t="shared" si="5"/>
        <v/>
      </c>
      <c r="G43" s="80"/>
      <c r="H43" s="80" t="str">
        <f t="shared" si="6"/>
        <v/>
      </c>
      <c r="I43" s="99" t="str">
        <f t="shared" si="7"/>
        <v/>
      </c>
      <c r="J43" s="40"/>
      <c r="K43" s="41"/>
    </row>
    <row r="44" spans="1:11" ht="15.75">
      <c r="A44" s="26" t="str">
        <v>DC: Washington - Weinberg 2</v>
      </c>
      <c r="B44" s="27" t="str">
        <v>DC</v>
      </c>
      <c r="C44" s="73"/>
      <c r="D44" s="12"/>
      <c r="E44" s="12" t="str">
        <f t="shared" si="4"/>
        <v/>
      </c>
      <c r="F44" s="74" t="str">
        <f t="shared" si="5"/>
        <v/>
      </c>
      <c r="G44" s="75"/>
      <c r="H44" s="75" t="str">
        <f t="shared" si="6"/>
        <v/>
      </c>
      <c r="I44" s="76" t="str">
        <f t="shared" si="7"/>
        <v/>
      </c>
      <c r="J44" s="77"/>
      <c r="K44" s="77"/>
    </row>
    <row r="45" spans="1:11" ht="15.75">
      <c r="A45" s="28" t="str">
        <v>DC: Washington - Weinberg 3</v>
      </c>
      <c r="B45" s="29" t="str">
        <v>DC</v>
      </c>
      <c r="C45" s="100"/>
      <c r="D45" s="16"/>
      <c r="E45" s="16" t="str">
        <f t="shared" si="4"/>
        <v/>
      </c>
      <c r="F45" s="99" t="str">
        <f t="shared" si="5"/>
        <v/>
      </c>
      <c r="G45" s="80"/>
      <c r="H45" s="80" t="str">
        <f t="shared" si="6"/>
        <v/>
      </c>
      <c r="I45" s="99" t="str">
        <f t="shared" si="7"/>
        <v/>
      </c>
      <c r="J45" s="40"/>
      <c r="K45" s="41"/>
    </row>
    <row r="46" spans="1:11" ht="14.25">
      <c r="A46" s="19"/>
      <c r="B46" s="31"/>
      <c r="C46" s="19"/>
      <c r="D46" s="19"/>
      <c r="E46" s="19"/>
      <c r="F46" s="20"/>
      <c r="G46" s="19"/>
      <c r="H46" s="19"/>
      <c r="I46" s="20"/>
      <c r="J46" s="19"/>
      <c r="K46" s="19"/>
    </row>
    <row r="47" spans="1:11" ht="14.25">
      <c r="A47" s="19"/>
      <c r="B47" s="31"/>
      <c r="C47" s="19"/>
      <c r="D47" s="19"/>
      <c r="E47" s="19"/>
      <c r="F47" s="20"/>
      <c r="G47" s="19"/>
      <c r="H47" s="19"/>
      <c r="I47" s="20"/>
      <c r="J47" s="19"/>
      <c r="K47" s="19"/>
    </row>
    <row r="48" spans="1:11" ht="14.25">
      <c r="A48" s="19"/>
      <c r="B48" s="31"/>
      <c r="C48" s="19"/>
      <c r="D48" s="19"/>
      <c r="E48" s="19"/>
      <c r="F48" s="20"/>
      <c r="G48" s="19"/>
      <c r="H48" s="19"/>
      <c r="I48" s="20"/>
      <c r="J48" s="19"/>
      <c r="K48" s="19"/>
    </row>
    <row r="49" spans="1:11" ht="14.25">
      <c r="A49" s="19"/>
      <c r="B49" s="31"/>
      <c r="C49" s="19"/>
      <c r="D49" s="19"/>
      <c r="E49" s="19"/>
      <c r="F49" s="20"/>
      <c r="G49" s="19"/>
      <c r="H49" s="19"/>
      <c r="I49" s="20"/>
      <c r="J49" s="19"/>
      <c r="K49" s="19"/>
    </row>
    <row r="50" spans="1:11" ht="14.25">
      <c r="A50" s="19"/>
      <c r="B50" s="31"/>
      <c r="C50" s="19"/>
      <c r="D50" s="19"/>
      <c r="E50" s="19"/>
      <c r="F50" s="20"/>
      <c r="G50" s="19"/>
      <c r="H50" s="19"/>
      <c r="I50" s="20"/>
      <c r="J50" s="19"/>
      <c r="K50" s="19"/>
    </row>
    <row r="51" spans="1:11" ht="14.25">
      <c r="A51" s="19"/>
      <c r="B51" s="31"/>
      <c r="C51" s="19"/>
      <c r="D51" s="19"/>
      <c r="E51" s="19"/>
      <c r="F51" s="20"/>
      <c r="G51" s="19"/>
      <c r="H51" s="19"/>
      <c r="I51" s="20"/>
      <c r="J51" s="19"/>
      <c r="K51" s="19"/>
    </row>
    <row r="52" spans="1:11" ht="14.25">
      <c r="A52" s="19"/>
      <c r="B52" s="31"/>
      <c r="C52" s="19"/>
      <c r="D52" s="19"/>
      <c r="E52" s="19"/>
      <c r="F52" s="20"/>
      <c r="G52" s="19"/>
      <c r="H52" s="19"/>
      <c r="I52" s="20"/>
      <c r="J52" s="19"/>
      <c r="K52" s="19"/>
    </row>
    <row r="53" spans="1:11" ht="14.25">
      <c r="A53" s="19"/>
      <c r="B53" s="31"/>
      <c r="C53" s="19"/>
      <c r="D53" s="19"/>
      <c r="E53" s="19"/>
      <c r="F53" s="20"/>
      <c r="G53" s="19"/>
      <c r="H53" s="19"/>
      <c r="I53" s="20"/>
      <c r="J53" s="19"/>
      <c r="K53" s="19"/>
    </row>
    <row r="54" spans="1:11" ht="14.25">
      <c r="A54" s="19"/>
      <c r="B54" s="31"/>
      <c r="C54" s="19"/>
      <c r="D54" s="19"/>
      <c r="E54" s="19"/>
      <c r="F54" s="20"/>
      <c r="G54" s="19"/>
      <c r="H54" s="19"/>
      <c r="I54" s="20"/>
      <c r="J54" s="19"/>
      <c r="K54" s="19"/>
    </row>
    <row r="55" spans="1:11" ht="14.25">
      <c r="A55" s="19"/>
      <c r="B55" s="31"/>
      <c r="C55" s="19"/>
      <c r="D55" s="19"/>
      <c r="E55" s="19"/>
      <c r="F55" s="20"/>
      <c r="G55" s="19"/>
      <c r="H55" s="19"/>
      <c r="I55" s="20"/>
      <c r="J55" s="19"/>
      <c r="K55" s="19"/>
    </row>
    <row r="56" spans="1:11" ht="14.25">
      <c r="A56" s="19"/>
      <c r="B56" s="31"/>
      <c r="C56" s="19"/>
      <c r="D56" s="19"/>
      <c r="E56" s="19"/>
      <c r="F56" s="20"/>
      <c r="G56" s="19"/>
      <c r="H56" s="19"/>
      <c r="I56" s="20"/>
      <c r="J56" s="19"/>
      <c r="K56" s="19"/>
    </row>
    <row r="57" spans="1:11" ht="14.25">
      <c r="A57" s="19"/>
      <c r="B57" s="31"/>
      <c r="C57" s="19"/>
      <c r="D57" s="19"/>
      <c r="E57" s="19"/>
      <c r="F57" s="20"/>
      <c r="G57" s="19"/>
      <c r="H57" s="19"/>
      <c r="I57" s="20"/>
      <c r="J57" s="19"/>
      <c r="K57" s="19"/>
    </row>
    <row r="58" spans="1:11" ht="14.25">
      <c r="A58" s="19"/>
      <c r="B58" s="31"/>
      <c r="C58" s="19"/>
      <c r="D58" s="19"/>
      <c r="E58" s="19"/>
      <c r="F58" s="20"/>
      <c r="G58" s="19"/>
      <c r="H58" s="19"/>
      <c r="I58" s="20"/>
      <c r="J58" s="19"/>
      <c r="K58" s="19"/>
    </row>
    <row r="59" spans="1:11" ht="14.25">
      <c r="A59" s="19"/>
      <c r="B59" s="31"/>
      <c r="C59" s="19"/>
      <c r="D59" s="19"/>
      <c r="E59" s="19"/>
      <c r="F59" s="20"/>
      <c r="G59" s="19"/>
      <c r="H59" s="19"/>
      <c r="I59" s="20"/>
      <c r="J59" s="19"/>
      <c r="K59" s="19"/>
    </row>
    <row r="60" spans="1:11" ht="14.25">
      <c r="A60" s="19"/>
      <c r="B60" s="31"/>
      <c r="C60" s="19"/>
      <c r="D60" s="19"/>
      <c r="E60" s="19"/>
      <c r="F60" s="20"/>
      <c r="G60" s="19"/>
      <c r="H60" s="19"/>
      <c r="I60" s="20"/>
      <c r="J60" s="19"/>
      <c r="K60" s="19"/>
    </row>
    <row r="61" spans="1:11" ht="14.25">
      <c r="A61" s="19"/>
      <c r="B61" s="31"/>
      <c r="C61" s="19"/>
      <c r="D61" s="19"/>
      <c r="E61" s="19"/>
      <c r="F61" s="20"/>
      <c r="G61" s="19"/>
      <c r="H61" s="19"/>
      <c r="I61" s="20"/>
      <c r="J61" s="19"/>
      <c r="K61" s="19"/>
    </row>
    <row r="62" spans="1:11" ht="14.25">
      <c r="A62" s="19"/>
      <c r="B62" s="31"/>
      <c r="C62" s="19"/>
      <c r="D62" s="19"/>
      <c r="E62" s="19"/>
      <c r="F62" s="20"/>
      <c r="G62" s="19"/>
      <c r="H62" s="19"/>
      <c r="I62" s="20"/>
      <c r="J62" s="19"/>
      <c r="K62" s="19"/>
    </row>
    <row r="63" spans="1:11" ht="14.25">
      <c r="A63" s="19"/>
      <c r="B63" s="31"/>
      <c r="C63" s="19"/>
      <c r="D63" s="19"/>
      <c r="E63" s="19"/>
      <c r="F63" s="20"/>
      <c r="G63" s="19"/>
      <c r="H63" s="19"/>
      <c r="I63" s="20"/>
      <c r="J63" s="19"/>
      <c r="K63" s="19"/>
    </row>
    <row r="64" spans="1:11" ht="14.25">
      <c r="A64" s="19"/>
      <c r="B64" s="31"/>
      <c r="C64" s="19"/>
      <c r="D64" s="19"/>
      <c r="E64" s="19"/>
      <c r="F64" s="20"/>
      <c r="G64" s="19"/>
      <c r="H64" s="19"/>
      <c r="I64" s="20"/>
      <c r="J64" s="19"/>
      <c r="K64" s="19"/>
    </row>
    <row r="65" spans="1:11" ht="14.25">
      <c r="A65" s="19"/>
      <c r="B65" s="31"/>
      <c r="C65" s="19"/>
      <c r="D65" s="19"/>
      <c r="E65" s="19"/>
      <c r="F65" s="20"/>
      <c r="G65" s="19"/>
      <c r="H65" s="19"/>
      <c r="I65" s="20"/>
      <c r="J65" s="19"/>
      <c r="K65" s="19"/>
    </row>
    <row r="66" spans="1:11" ht="14.25">
      <c r="A66" s="19"/>
      <c r="B66" s="31"/>
      <c r="C66" s="19"/>
      <c r="D66" s="19"/>
      <c r="E66" s="19"/>
      <c r="F66" s="20"/>
      <c r="G66" s="19"/>
      <c r="H66" s="19"/>
      <c r="I66" s="20"/>
      <c r="J66" s="19"/>
      <c r="K66" s="19"/>
    </row>
    <row r="67" spans="1:11" ht="14.25">
      <c r="A67" s="19"/>
      <c r="B67" s="31"/>
      <c r="C67" s="19"/>
      <c r="D67" s="19"/>
      <c r="E67" s="19"/>
      <c r="F67" s="20"/>
      <c r="G67" s="19"/>
      <c r="H67" s="19"/>
      <c r="I67" s="20"/>
      <c r="J67" s="19"/>
      <c r="K67" s="19"/>
    </row>
    <row r="68" spans="1:11" ht="14.25">
      <c r="A68" s="19"/>
      <c r="B68" s="31"/>
      <c r="C68" s="19"/>
      <c r="D68" s="19"/>
      <c r="E68" s="19"/>
      <c r="F68" s="20"/>
      <c r="G68" s="19"/>
      <c r="H68" s="19"/>
      <c r="I68" s="20"/>
      <c r="J68" s="19"/>
      <c r="K68" s="19"/>
    </row>
    <row r="69" spans="1:11" ht="14.25">
      <c r="A69" s="19"/>
      <c r="B69" s="31"/>
      <c r="C69" s="19"/>
      <c r="D69" s="19"/>
      <c r="E69" s="19"/>
      <c r="F69" s="20"/>
      <c r="G69" s="19"/>
      <c r="H69" s="19"/>
      <c r="I69" s="20"/>
      <c r="J69" s="19"/>
      <c r="K69" s="19"/>
    </row>
    <row r="70" spans="1:11" ht="14.25">
      <c r="A70" s="19"/>
      <c r="B70" s="31"/>
      <c r="C70" s="19"/>
      <c r="D70" s="19"/>
      <c r="E70" s="19"/>
      <c r="F70" s="20"/>
      <c r="G70" s="19"/>
      <c r="H70" s="19"/>
      <c r="I70" s="20"/>
      <c r="J70" s="19"/>
      <c r="K70" s="19"/>
    </row>
    <row r="71" spans="1:11" ht="14.25">
      <c r="A71" s="19"/>
      <c r="B71" s="31"/>
      <c r="C71" s="19"/>
      <c r="D71" s="19"/>
      <c r="E71" s="19"/>
      <c r="F71" s="20"/>
      <c r="G71" s="19"/>
      <c r="H71" s="19"/>
      <c r="I71" s="20"/>
      <c r="J71" s="19"/>
      <c r="K71" s="19"/>
    </row>
    <row r="72" spans="1:11" ht="14.25">
      <c r="A72" s="19"/>
      <c r="B72" s="31"/>
      <c r="C72" s="19"/>
      <c r="D72" s="19"/>
      <c r="E72" s="19"/>
      <c r="F72" s="20"/>
      <c r="G72" s="19"/>
      <c r="H72" s="19"/>
      <c r="I72" s="20"/>
      <c r="J72" s="19"/>
      <c r="K72" s="19"/>
    </row>
    <row r="73" spans="1:11" ht="14.25">
      <c r="A73" s="19"/>
      <c r="B73" s="31"/>
      <c r="C73" s="19"/>
      <c r="D73" s="19"/>
      <c r="E73" s="19"/>
      <c r="F73" s="20"/>
      <c r="G73" s="19"/>
      <c r="H73" s="19"/>
      <c r="I73" s="20"/>
      <c r="J73" s="19"/>
      <c r="K73" s="19"/>
    </row>
    <row r="74" spans="1:11" ht="14.25">
      <c r="A74" s="19"/>
      <c r="B74" s="31"/>
      <c r="C74" s="19"/>
      <c r="D74" s="19"/>
      <c r="E74" s="19"/>
      <c r="F74" s="20"/>
      <c r="G74" s="19"/>
      <c r="H74" s="19"/>
      <c r="I74" s="20"/>
      <c r="J74" s="19"/>
      <c r="K74" s="19"/>
    </row>
    <row r="75" spans="1:11" ht="14.25">
      <c r="A75" s="19"/>
      <c r="B75" s="31"/>
      <c r="C75" s="19"/>
      <c r="D75" s="19"/>
      <c r="E75" s="19"/>
      <c r="F75" s="20"/>
      <c r="G75" s="19"/>
      <c r="H75" s="19"/>
      <c r="I75" s="20"/>
      <c r="J75" s="19"/>
      <c r="K75" s="19"/>
    </row>
    <row r="76" spans="1:11" ht="14.25">
      <c r="A76" s="19"/>
      <c r="B76" s="31"/>
      <c r="C76" s="19"/>
      <c r="D76" s="19"/>
      <c r="E76" s="19"/>
      <c r="F76" s="20"/>
      <c r="G76" s="19"/>
      <c r="H76" s="19"/>
      <c r="I76" s="20"/>
      <c r="J76" s="19"/>
      <c r="K76" s="19"/>
    </row>
    <row r="77" spans="1:11" ht="14.25">
      <c r="A77" s="19"/>
      <c r="B77" s="31"/>
      <c r="C77" s="19"/>
      <c r="D77" s="19"/>
      <c r="E77" s="19"/>
      <c r="F77" s="20"/>
      <c r="G77" s="19"/>
      <c r="H77" s="19"/>
      <c r="I77" s="20"/>
      <c r="J77" s="19"/>
      <c r="K77" s="19"/>
    </row>
    <row r="78" spans="1:11" ht="14.25">
      <c r="A78" s="19"/>
      <c r="B78" s="31"/>
      <c r="C78" s="19"/>
      <c r="D78" s="19"/>
      <c r="E78" s="19"/>
      <c r="F78" s="20"/>
      <c r="G78" s="19"/>
      <c r="H78" s="19"/>
      <c r="I78" s="20"/>
      <c r="J78" s="19"/>
      <c r="K78" s="19"/>
    </row>
    <row r="79" spans="1:11" ht="14.25">
      <c r="A79" s="19"/>
      <c r="B79" s="31"/>
      <c r="C79" s="19"/>
      <c r="D79" s="19"/>
      <c r="E79" s="19"/>
      <c r="F79" s="20"/>
      <c r="G79" s="19"/>
      <c r="H79" s="19"/>
      <c r="I79" s="20"/>
      <c r="J79" s="19"/>
      <c r="K79" s="19"/>
    </row>
    <row r="80" spans="1:11" ht="14.25">
      <c r="A80" s="19"/>
      <c r="B80" s="31"/>
      <c r="C80" s="19"/>
      <c r="D80" s="19"/>
      <c r="E80" s="19"/>
      <c r="F80" s="20"/>
      <c r="G80" s="19"/>
      <c r="H80" s="19"/>
      <c r="I80" s="20"/>
      <c r="J80" s="19"/>
      <c r="K80" s="19"/>
    </row>
    <row r="81" spans="1:11" ht="14.25">
      <c r="A81" s="19"/>
      <c r="B81" s="31"/>
      <c r="C81" s="19"/>
      <c r="D81" s="19"/>
      <c r="E81" s="19"/>
      <c r="F81" s="20"/>
      <c r="G81" s="19"/>
      <c r="H81" s="19"/>
      <c r="I81" s="20"/>
      <c r="J81" s="19"/>
      <c r="K81" s="19"/>
    </row>
    <row r="82" spans="1:11" ht="14.25">
      <c r="A82" s="19"/>
      <c r="B82" s="31"/>
      <c r="C82" s="19"/>
      <c r="D82" s="19"/>
      <c r="E82" s="19"/>
      <c r="F82" s="20"/>
      <c r="G82" s="19"/>
      <c r="H82" s="19"/>
      <c r="I82" s="20"/>
      <c r="J82" s="19"/>
      <c r="K82" s="19"/>
    </row>
    <row r="83" spans="1:11" ht="14.25">
      <c r="A83" s="19"/>
      <c r="B83" s="31"/>
      <c r="C83" s="19"/>
      <c r="D83" s="19"/>
      <c r="E83" s="19"/>
      <c r="F83" s="20"/>
      <c r="G83" s="19"/>
      <c r="H83" s="19"/>
      <c r="I83" s="20"/>
      <c r="J83" s="19"/>
      <c r="K83" s="19"/>
    </row>
    <row r="84" spans="1:11" ht="14.25">
      <c r="A84" s="19"/>
      <c r="B84" s="31"/>
      <c r="C84" s="19"/>
      <c r="D84" s="19"/>
      <c r="E84" s="19"/>
      <c r="F84" s="20"/>
      <c r="G84" s="19"/>
      <c r="H84" s="19"/>
      <c r="I84" s="20"/>
      <c r="J84" s="19"/>
      <c r="K84" s="19"/>
    </row>
    <row r="85" spans="1:11" ht="14.25">
      <c r="A85" s="19"/>
      <c r="B85" s="31"/>
      <c r="C85" s="19"/>
      <c r="D85" s="19"/>
      <c r="E85" s="19"/>
      <c r="F85" s="20"/>
      <c r="G85" s="19"/>
      <c r="H85" s="19"/>
      <c r="I85" s="20"/>
      <c r="J85" s="19"/>
      <c r="K85" s="19"/>
    </row>
    <row r="86" spans="1:11" ht="14.25">
      <c r="A86" s="19"/>
      <c r="B86" s="31"/>
      <c r="C86" s="19"/>
      <c r="D86" s="19"/>
      <c r="E86" s="19"/>
      <c r="F86" s="20"/>
      <c r="G86" s="19"/>
      <c r="H86" s="19"/>
      <c r="I86" s="20"/>
      <c r="J86" s="19"/>
      <c r="K86" s="19"/>
    </row>
    <row r="87" spans="1:11" ht="14.25">
      <c r="A87" s="19"/>
      <c r="B87" s="31"/>
      <c r="C87" s="19"/>
      <c r="D87" s="19"/>
      <c r="E87" s="19"/>
      <c r="F87" s="20"/>
      <c r="G87" s="19"/>
      <c r="H87" s="19"/>
      <c r="I87" s="20"/>
      <c r="J87" s="19"/>
      <c r="K87" s="19"/>
    </row>
    <row r="88" spans="1:11" ht="14.25">
      <c r="A88" s="19"/>
      <c r="B88" s="31"/>
      <c r="C88" s="19"/>
      <c r="D88" s="19"/>
      <c r="E88" s="19"/>
      <c r="F88" s="20"/>
      <c r="G88" s="19"/>
      <c r="H88" s="19"/>
      <c r="I88" s="20"/>
      <c r="J88" s="19"/>
      <c r="K88" s="19"/>
    </row>
    <row r="89" spans="1:11" ht="14.25">
      <c r="A89" s="19"/>
      <c r="B89" s="31"/>
      <c r="C89" s="19"/>
      <c r="D89" s="19"/>
      <c r="E89" s="19"/>
      <c r="F89" s="20"/>
      <c r="G89" s="19"/>
      <c r="H89" s="19"/>
      <c r="I89" s="20"/>
      <c r="J89" s="19"/>
      <c r="K89" s="19"/>
    </row>
    <row r="90" spans="1:11" ht="14.25">
      <c r="A90" s="19"/>
      <c r="B90" s="31"/>
      <c r="C90" s="19"/>
      <c r="D90" s="19"/>
      <c r="E90" s="19"/>
      <c r="F90" s="20"/>
      <c r="G90" s="19"/>
      <c r="H90" s="19"/>
      <c r="I90" s="20"/>
      <c r="J90" s="19"/>
      <c r="K90" s="19"/>
    </row>
    <row r="91" spans="1:11" ht="14.25">
      <c r="A91" s="19"/>
      <c r="B91" s="31"/>
      <c r="C91" s="19"/>
      <c r="D91" s="19"/>
      <c r="E91" s="19"/>
      <c r="F91" s="20"/>
      <c r="G91" s="19"/>
      <c r="H91" s="19"/>
      <c r="I91" s="20"/>
      <c r="J91" s="19"/>
      <c r="K91" s="19"/>
    </row>
    <row r="92" spans="1:11" ht="14.25">
      <c r="A92" s="19"/>
      <c r="B92" s="31"/>
      <c r="C92" s="19"/>
      <c r="D92" s="19"/>
      <c r="E92" s="19"/>
      <c r="F92" s="20"/>
      <c r="G92" s="19"/>
      <c r="H92" s="19"/>
      <c r="I92" s="20"/>
      <c r="J92" s="19"/>
      <c r="K92" s="19"/>
    </row>
    <row r="93" spans="1:11" ht="14.25">
      <c r="A93" s="19"/>
      <c r="B93" s="31"/>
      <c r="C93" s="19"/>
      <c r="D93" s="19"/>
      <c r="E93" s="19"/>
      <c r="F93" s="20"/>
      <c r="G93" s="19"/>
      <c r="H93" s="19"/>
      <c r="I93" s="20"/>
      <c r="J93" s="19"/>
      <c r="K93" s="19"/>
    </row>
    <row r="94" spans="1:11" ht="14.25">
      <c r="A94" s="19"/>
      <c r="B94" s="31"/>
      <c r="C94" s="19"/>
      <c r="D94" s="19"/>
      <c r="E94" s="19"/>
      <c r="F94" s="20"/>
      <c r="G94" s="19"/>
      <c r="H94" s="19"/>
      <c r="I94" s="20"/>
      <c r="J94" s="19"/>
      <c r="K94" s="19"/>
    </row>
    <row r="95" spans="1:11" ht="14.25">
      <c r="A95" s="19"/>
      <c r="B95" s="31"/>
      <c r="C95" s="19"/>
      <c r="D95" s="19"/>
      <c r="E95" s="19"/>
      <c r="F95" s="20"/>
      <c r="G95" s="19"/>
      <c r="H95" s="19"/>
      <c r="I95" s="20"/>
      <c r="J95" s="19"/>
      <c r="K95" s="19"/>
    </row>
    <row r="96" spans="1:11" ht="14.25">
      <c r="A96" s="19"/>
      <c r="B96" s="31"/>
      <c r="C96" s="19"/>
      <c r="D96" s="19"/>
      <c r="E96" s="19"/>
      <c r="F96" s="20"/>
      <c r="G96" s="19"/>
      <c r="H96" s="19"/>
      <c r="I96" s="20"/>
      <c r="J96" s="19"/>
      <c r="K96" s="19"/>
    </row>
    <row r="97" spans="1:11" ht="14.25">
      <c r="A97" s="19"/>
      <c r="B97" s="31"/>
      <c r="C97" s="19"/>
      <c r="D97" s="19"/>
      <c r="E97" s="19"/>
      <c r="F97" s="20"/>
      <c r="G97" s="19"/>
      <c r="H97" s="19"/>
      <c r="I97" s="20"/>
      <c r="J97" s="19"/>
      <c r="K97" s="19"/>
    </row>
    <row r="98" spans="1:11" ht="14.25">
      <c r="A98" s="19"/>
      <c r="B98" s="31"/>
      <c r="C98" s="19"/>
      <c r="D98" s="19"/>
      <c r="E98" s="19"/>
      <c r="F98" s="20"/>
      <c r="G98" s="19"/>
      <c r="H98" s="19"/>
      <c r="I98" s="20"/>
      <c r="J98" s="19"/>
      <c r="K98" s="19"/>
    </row>
    <row r="99" spans="1:11" ht="14.25">
      <c r="A99" s="19"/>
      <c r="B99" s="31"/>
      <c r="C99" s="19"/>
      <c r="D99" s="19"/>
      <c r="E99" s="19"/>
      <c r="F99" s="20"/>
      <c r="G99" s="19"/>
      <c r="H99" s="19"/>
      <c r="I99" s="20"/>
      <c r="J99" s="19"/>
      <c r="K99" s="19"/>
    </row>
    <row r="100" spans="1:11" ht="14.25">
      <c r="A100" s="19"/>
      <c r="B100" s="31"/>
      <c r="C100" s="19"/>
      <c r="D100" s="19"/>
      <c r="E100" s="19"/>
      <c r="F100" s="20"/>
      <c r="G100" s="19"/>
      <c r="H100" s="19"/>
      <c r="I100" s="20"/>
      <c r="J100" s="19"/>
      <c r="K100" s="19"/>
    </row>
    <row r="101" spans="1:11" ht="14.25">
      <c r="A101" s="19"/>
      <c r="B101" s="31"/>
      <c r="C101" s="19"/>
      <c r="D101" s="19"/>
      <c r="E101" s="19"/>
      <c r="F101" s="20"/>
      <c r="G101" s="19"/>
      <c r="H101" s="19"/>
      <c r="I101" s="20"/>
      <c r="J101" s="19"/>
      <c r="K101" s="19"/>
    </row>
    <row r="102" spans="1:11" ht="14.25">
      <c r="A102" s="19"/>
      <c r="B102" s="31"/>
      <c r="C102" s="19"/>
      <c r="D102" s="19"/>
      <c r="E102" s="19"/>
      <c r="F102" s="20"/>
      <c r="G102" s="19"/>
      <c r="H102" s="19"/>
      <c r="I102" s="20"/>
      <c r="J102" s="19"/>
      <c r="K102" s="19"/>
    </row>
    <row r="103" spans="1:11" ht="14.25">
      <c r="A103" s="19"/>
      <c r="B103" s="31"/>
      <c r="C103" s="19"/>
      <c r="D103" s="19"/>
      <c r="E103" s="19"/>
      <c r="F103" s="20"/>
      <c r="G103" s="19"/>
      <c r="H103" s="19"/>
      <c r="I103" s="20"/>
      <c r="J103" s="19"/>
      <c r="K103" s="19"/>
    </row>
    <row r="104" spans="1:11" ht="14.25">
      <c r="A104" s="19"/>
      <c r="B104" s="31"/>
      <c r="C104" s="19"/>
      <c r="D104" s="19"/>
      <c r="E104" s="19"/>
      <c r="F104" s="20"/>
      <c r="G104" s="19"/>
      <c r="H104" s="19"/>
      <c r="I104" s="20"/>
      <c r="J104" s="19"/>
      <c r="K104" s="19"/>
    </row>
    <row r="105" spans="1:11" ht="14.25">
      <c r="A105" s="19"/>
      <c r="B105" s="31"/>
      <c r="C105" s="19"/>
      <c r="D105" s="19"/>
      <c r="E105" s="19"/>
      <c r="F105" s="20"/>
      <c r="G105" s="19"/>
      <c r="H105" s="19"/>
      <c r="I105" s="20"/>
      <c r="J105" s="19"/>
      <c r="K105" s="19"/>
    </row>
    <row r="106" spans="1:11" ht="14.25">
      <c r="A106" s="19"/>
      <c r="B106" s="31"/>
      <c r="C106" s="19"/>
      <c r="D106" s="19"/>
      <c r="E106" s="19"/>
      <c r="F106" s="20"/>
      <c r="G106" s="19"/>
      <c r="H106" s="19"/>
      <c r="I106" s="20"/>
      <c r="J106" s="19"/>
      <c r="K106" s="19"/>
    </row>
    <row r="107" spans="1:11" ht="14.25">
      <c r="A107" s="19"/>
      <c r="B107" s="31"/>
      <c r="C107" s="19"/>
      <c r="D107" s="19"/>
      <c r="E107" s="19"/>
      <c r="F107" s="20"/>
      <c r="G107" s="19"/>
      <c r="H107" s="19"/>
      <c r="I107" s="20"/>
      <c r="J107" s="19"/>
      <c r="K107" s="19"/>
    </row>
    <row r="108" spans="1:11" ht="14.25">
      <c r="A108" s="19"/>
      <c r="B108" s="31"/>
      <c r="C108" s="19"/>
      <c r="D108" s="19"/>
      <c r="E108" s="19"/>
      <c r="F108" s="20"/>
      <c r="G108" s="19"/>
      <c r="H108" s="19"/>
      <c r="I108" s="20"/>
      <c r="J108" s="19"/>
      <c r="K108" s="19"/>
    </row>
    <row r="109" spans="1:11" ht="14.25">
      <c r="A109" s="19"/>
      <c r="B109" s="31"/>
      <c r="C109" s="19"/>
      <c r="D109" s="19"/>
      <c r="E109" s="19"/>
      <c r="F109" s="20"/>
      <c r="G109" s="19"/>
      <c r="H109" s="19"/>
      <c r="I109" s="20"/>
      <c r="J109" s="19"/>
      <c r="K109" s="19"/>
    </row>
    <row r="110" spans="1:11" ht="14.25">
      <c r="A110" s="19"/>
      <c r="B110" s="31"/>
      <c r="C110" s="19"/>
      <c r="D110" s="19"/>
      <c r="E110" s="19"/>
      <c r="F110" s="20"/>
      <c r="G110" s="19"/>
      <c r="H110" s="19"/>
      <c r="I110" s="20"/>
      <c r="J110" s="19"/>
      <c r="K110" s="19"/>
    </row>
    <row r="111" spans="1:11" ht="14.25">
      <c r="A111" s="19"/>
      <c r="B111" s="31"/>
      <c r="C111" s="19"/>
      <c r="D111" s="19"/>
      <c r="E111" s="19"/>
      <c r="F111" s="20"/>
      <c r="G111" s="19"/>
      <c r="H111" s="19"/>
      <c r="I111" s="20"/>
      <c r="J111" s="19"/>
      <c r="K111" s="19"/>
    </row>
    <row r="112" spans="1:11" ht="14.25">
      <c r="A112" s="19"/>
      <c r="B112" s="31"/>
      <c r="C112" s="19"/>
      <c r="D112" s="19"/>
      <c r="E112" s="19"/>
      <c r="F112" s="20"/>
      <c r="G112" s="19"/>
      <c r="H112" s="19"/>
      <c r="I112" s="20"/>
      <c r="J112" s="19"/>
      <c r="K112" s="19"/>
    </row>
    <row r="113" spans="1:11" ht="14.25">
      <c r="A113" s="19"/>
      <c r="B113" s="31"/>
      <c r="C113" s="19"/>
      <c r="D113" s="19"/>
      <c r="E113" s="19"/>
      <c r="F113" s="20"/>
      <c r="G113" s="19"/>
      <c r="H113" s="19"/>
      <c r="I113" s="20"/>
      <c r="J113" s="19"/>
      <c r="K113" s="19"/>
    </row>
    <row r="114" spans="1:11" ht="14.25">
      <c r="A114" s="19"/>
      <c r="B114" s="31"/>
      <c r="C114" s="19"/>
      <c r="D114" s="19"/>
      <c r="E114" s="19"/>
      <c r="F114" s="20"/>
      <c r="G114" s="19"/>
      <c r="H114" s="19"/>
      <c r="I114" s="20"/>
      <c r="J114" s="19"/>
      <c r="K114" s="19"/>
    </row>
    <row r="115" spans="1:11" ht="14.25">
      <c r="A115" s="19"/>
      <c r="B115" s="31"/>
      <c r="C115" s="19"/>
      <c r="D115" s="19"/>
      <c r="E115" s="19"/>
      <c r="F115" s="20"/>
      <c r="G115" s="19"/>
      <c r="H115" s="19"/>
      <c r="I115" s="20"/>
      <c r="J115" s="19"/>
      <c r="K115" s="19"/>
    </row>
    <row r="116" spans="1:11" ht="14.25">
      <c r="A116" s="19"/>
      <c r="B116" s="31"/>
      <c r="C116" s="19"/>
      <c r="D116" s="19"/>
      <c r="E116" s="19"/>
      <c r="F116" s="20"/>
      <c r="G116" s="19"/>
      <c r="H116" s="19"/>
      <c r="I116" s="20"/>
      <c r="J116" s="19"/>
      <c r="K116" s="19"/>
    </row>
    <row r="117" spans="1:11" ht="14.25">
      <c r="A117" s="19"/>
      <c r="B117" s="31"/>
      <c r="C117" s="19"/>
      <c r="D117" s="19"/>
      <c r="E117" s="19"/>
      <c r="F117" s="20"/>
      <c r="G117" s="19"/>
      <c r="H117" s="19"/>
      <c r="I117" s="20"/>
      <c r="J117" s="19"/>
      <c r="K117" s="19"/>
    </row>
    <row r="118" spans="1:11" ht="14.25">
      <c r="A118" s="19"/>
      <c r="B118" s="31"/>
      <c r="C118" s="19"/>
      <c r="D118" s="19"/>
      <c r="E118" s="19"/>
      <c r="F118" s="20"/>
      <c r="G118" s="19"/>
      <c r="H118" s="19"/>
      <c r="I118" s="20"/>
      <c r="J118" s="19"/>
      <c r="K118" s="19"/>
    </row>
    <row r="119" spans="1:11" ht="14.25">
      <c r="A119" s="19"/>
      <c r="B119" s="31"/>
      <c r="C119" s="19"/>
      <c r="D119" s="19"/>
      <c r="E119" s="19"/>
      <c r="F119" s="20"/>
      <c r="G119" s="19"/>
      <c r="H119" s="19"/>
      <c r="I119" s="20"/>
      <c r="J119" s="19"/>
      <c r="K119" s="19"/>
    </row>
    <row r="120" spans="1:11" ht="14.25">
      <c r="A120" s="19"/>
      <c r="B120" s="31"/>
      <c r="C120" s="19"/>
      <c r="D120" s="19"/>
      <c r="E120" s="19"/>
      <c r="F120" s="20"/>
      <c r="G120" s="19"/>
      <c r="H120" s="19"/>
      <c r="I120" s="20"/>
      <c r="J120" s="19"/>
      <c r="K120" s="19"/>
    </row>
    <row r="121" spans="1:11" ht="14.25">
      <c r="A121" s="19"/>
      <c r="B121" s="31"/>
      <c r="C121" s="19"/>
      <c r="D121" s="19"/>
      <c r="E121" s="19"/>
      <c r="F121" s="20"/>
      <c r="G121" s="19"/>
      <c r="H121" s="19"/>
      <c r="I121" s="20"/>
      <c r="J121" s="19"/>
      <c r="K121" s="19"/>
    </row>
    <row r="122" spans="1:11" ht="14.25">
      <c r="A122" s="19"/>
      <c r="B122" s="31"/>
      <c r="C122" s="19"/>
      <c r="D122" s="19"/>
      <c r="E122" s="19"/>
      <c r="F122" s="20"/>
      <c r="G122" s="19"/>
      <c r="H122" s="19"/>
      <c r="I122" s="20"/>
      <c r="J122" s="19"/>
      <c r="K122" s="19"/>
    </row>
    <row r="123" spans="1:11" ht="14.25">
      <c r="A123" s="19"/>
      <c r="B123" s="31"/>
      <c r="C123" s="19"/>
      <c r="D123" s="19"/>
      <c r="E123" s="19"/>
      <c r="F123" s="20"/>
      <c r="G123" s="19"/>
      <c r="H123" s="19"/>
      <c r="I123" s="20"/>
      <c r="J123" s="19"/>
      <c r="K123" s="19"/>
    </row>
    <row r="124" spans="1:11" ht="14.25">
      <c r="A124" s="19"/>
      <c r="B124" s="31"/>
      <c r="C124" s="19"/>
      <c r="D124" s="19"/>
      <c r="E124" s="19"/>
      <c r="F124" s="20"/>
      <c r="G124" s="19"/>
      <c r="H124" s="19"/>
      <c r="I124" s="20"/>
      <c r="J124" s="19"/>
      <c r="K124" s="19"/>
    </row>
    <row r="125" spans="1:11" ht="14.25">
      <c r="A125" s="19"/>
      <c r="B125" s="31"/>
      <c r="C125" s="19"/>
      <c r="D125" s="19"/>
      <c r="E125" s="19"/>
      <c r="F125" s="20"/>
      <c r="G125" s="19"/>
      <c r="H125" s="19"/>
      <c r="I125" s="20"/>
      <c r="J125" s="19"/>
      <c r="K125" s="19"/>
    </row>
    <row r="126" spans="1:11" ht="14.25">
      <c r="A126" s="19"/>
      <c r="B126" s="31"/>
      <c r="C126" s="19"/>
      <c r="D126" s="19"/>
      <c r="E126" s="19"/>
      <c r="F126" s="20"/>
      <c r="G126" s="19"/>
      <c r="H126" s="19"/>
      <c r="I126" s="20"/>
      <c r="J126" s="19"/>
      <c r="K126" s="19"/>
    </row>
    <row r="127" spans="1:11" ht="14.25">
      <c r="A127" s="19"/>
      <c r="B127" s="31"/>
      <c r="C127" s="19"/>
      <c r="D127" s="19"/>
      <c r="E127" s="19"/>
      <c r="F127" s="20"/>
      <c r="G127" s="19"/>
      <c r="H127" s="19"/>
      <c r="I127" s="20"/>
      <c r="J127" s="19"/>
      <c r="K127" s="19"/>
    </row>
    <row r="128" spans="1:11" ht="14.25">
      <c r="A128" s="19"/>
      <c r="B128" s="31"/>
      <c r="C128" s="19"/>
      <c r="D128" s="19"/>
      <c r="E128" s="19"/>
      <c r="F128" s="20"/>
      <c r="G128" s="19"/>
      <c r="H128" s="19"/>
      <c r="I128" s="20"/>
      <c r="J128" s="19"/>
      <c r="K128" s="19"/>
    </row>
    <row r="129" spans="1:11" ht="14.25">
      <c r="A129" s="19"/>
      <c r="B129" s="31"/>
      <c r="C129" s="19"/>
      <c r="D129" s="19"/>
      <c r="E129" s="19"/>
      <c r="F129" s="20"/>
      <c r="G129" s="19"/>
      <c r="H129" s="19"/>
      <c r="I129" s="20"/>
      <c r="J129" s="19"/>
      <c r="K129" s="19"/>
    </row>
    <row r="130" spans="1:11" ht="14.25">
      <c r="A130" s="19"/>
      <c r="B130" s="31"/>
      <c r="C130" s="19"/>
      <c r="D130" s="19"/>
      <c r="E130" s="19"/>
      <c r="F130" s="20"/>
      <c r="G130" s="19"/>
      <c r="H130" s="19"/>
      <c r="I130" s="20"/>
      <c r="J130" s="19"/>
      <c r="K130" s="19"/>
    </row>
    <row r="131" spans="1:11" ht="14.25">
      <c r="A131" s="19"/>
      <c r="B131" s="31"/>
      <c r="C131" s="19"/>
      <c r="D131" s="19"/>
      <c r="E131" s="19"/>
      <c r="F131" s="20"/>
      <c r="G131" s="19"/>
      <c r="H131" s="19"/>
      <c r="I131" s="20"/>
      <c r="J131" s="19"/>
      <c r="K131" s="19"/>
    </row>
    <row r="132" spans="1:11" ht="14.25">
      <c r="A132" s="19"/>
      <c r="B132" s="31"/>
      <c r="C132" s="19"/>
      <c r="D132" s="19"/>
      <c r="E132" s="19"/>
      <c r="F132" s="20"/>
      <c r="G132" s="19"/>
      <c r="H132" s="19"/>
      <c r="I132" s="20"/>
      <c r="J132" s="19"/>
      <c r="K132" s="19"/>
    </row>
    <row r="133" spans="1:11" ht="14.25">
      <c r="A133" s="19"/>
      <c r="B133" s="31"/>
      <c r="C133" s="19"/>
      <c r="D133" s="19"/>
      <c r="E133" s="19"/>
      <c r="F133" s="20"/>
      <c r="G133" s="19"/>
      <c r="H133" s="19"/>
      <c r="I133" s="20"/>
      <c r="J133" s="19"/>
      <c r="K133" s="19"/>
    </row>
    <row r="134" spans="1:11" ht="14.25">
      <c r="A134" s="19"/>
      <c r="B134" s="31"/>
      <c r="C134" s="19"/>
      <c r="D134" s="19"/>
      <c r="E134" s="19"/>
      <c r="F134" s="20"/>
      <c r="G134" s="19"/>
      <c r="H134" s="19"/>
      <c r="I134" s="20"/>
      <c r="J134" s="19"/>
      <c r="K134" s="19"/>
    </row>
    <row r="135" spans="1:11" ht="14.25">
      <c r="A135" s="19"/>
      <c r="B135" s="31"/>
      <c r="C135" s="19"/>
      <c r="D135" s="19"/>
      <c r="E135" s="19"/>
      <c r="F135" s="20"/>
      <c r="G135" s="19"/>
      <c r="H135" s="19"/>
      <c r="I135" s="20"/>
      <c r="J135" s="19"/>
      <c r="K135" s="19"/>
    </row>
    <row r="136" spans="1:11" ht="14.25">
      <c r="A136" s="19"/>
      <c r="B136" s="31"/>
      <c r="C136" s="19"/>
      <c r="D136" s="19"/>
      <c r="E136" s="19"/>
      <c r="F136" s="20"/>
      <c r="G136" s="19"/>
      <c r="H136" s="19"/>
      <c r="I136" s="20"/>
      <c r="J136" s="19"/>
      <c r="K136" s="19"/>
    </row>
    <row r="137" spans="1:11" ht="14.25">
      <c r="A137" s="19"/>
      <c r="B137" s="31"/>
      <c r="C137" s="19"/>
      <c r="D137" s="19"/>
      <c r="E137" s="19"/>
      <c r="F137" s="20"/>
      <c r="G137" s="19"/>
      <c r="H137" s="19"/>
      <c r="I137" s="20"/>
      <c r="J137" s="19"/>
      <c r="K137" s="19"/>
    </row>
    <row r="138" spans="1:11" ht="14.25">
      <c r="A138" s="19"/>
      <c r="B138" s="31"/>
      <c r="C138" s="19"/>
      <c r="D138" s="19"/>
      <c r="E138" s="19"/>
      <c r="F138" s="20"/>
      <c r="G138" s="19"/>
      <c r="H138" s="19"/>
      <c r="I138" s="20"/>
      <c r="J138" s="19"/>
      <c r="K138" s="19"/>
    </row>
    <row r="139" spans="1:11" ht="14.25">
      <c r="A139" s="19"/>
      <c r="B139" s="31"/>
      <c r="C139" s="19"/>
      <c r="D139" s="19"/>
      <c r="E139" s="19"/>
      <c r="F139" s="20"/>
      <c r="G139" s="19"/>
      <c r="H139" s="19"/>
      <c r="I139" s="20"/>
      <c r="J139" s="19"/>
      <c r="K139" s="19"/>
    </row>
    <row r="140" spans="1:11" ht="14.25">
      <c r="A140" s="19"/>
      <c r="B140" s="31"/>
      <c r="C140" s="19"/>
      <c r="D140" s="19"/>
      <c r="E140" s="19"/>
      <c r="F140" s="20"/>
      <c r="G140" s="19"/>
      <c r="H140" s="19"/>
      <c r="I140" s="20"/>
      <c r="J140" s="19"/>
      <c r="K140" s="19"/>
    </row>
    <row r="141" spans="1:11" ht="14.25">
      <c r="A141" s="19"/>
      <c r="B141" s="31"/>
      <c r="C141" s="19"/>
      <c r="D141" s="19"/>
      <c r="E141" s="19"/>
      <c r="F141" s="20"/>
      <c r="G141" s="19"/>
      <c r="H141" s="19"/>
      <c r="I141" s="20"/>
      <c r="J141" s="19"/>
      <c r="K141" s="19"/>
    </row>
    <row r="142" spans="1:11" ht="14.25">
      <c r="A142" s="19"/>
      <c r="B142" s="31"/>
      <c r="C142" s="19"/>
      <c r="D142" s="19"/>
      <c r="E142" s="19"/>
      <c r="F142" s="20"/>
      <c r="G142" s="19"/>
      <c r="H142" s="19"/>
      <c r="I142" s="20"/>
      <c r="J142" s="19"/>
      <c r="K142" s="19"/>
    </row>
    <row r="143" spans="1:11" ht="14.25">
      <c r="A143" s="19"/>
      <c r="B143" s="31"/>
      <c r="C143" s="19"/>
      <c r="D143" s="19"/>
      <c r="E143" s="19"/>
      <c r="F143" s="20"/>
      <c r="G143" s="19"/>
      <c r="H143" s="19"/>
      <c r="I143" s="20"/>
      <c r="J143" s="19"/>
      <c r="K143" s="19"/>
    </row>
    <row r="144" spans="1:11" ht="14.25">
      <c r="A144" s="19"/>
      <c r="B144" s="31"/>
      <c r="C144" s="19"/>
      <c r="D144" s="19"/>
      <c r="E144" s="19"/>
      <c r="F144" s="20"/>
      <c r="G144" s="19"/>
      <c r="H144" s="19"/>
      <c r="I144" s="20"/>
      <c r="J144" s="19"/>
      <c r="K144" s="19"/>
    </row>
    <row r="145" spans="1:11" ht="14.25">
      <c r="A145" s="19"/>
      <c r="B145" s="31"/>
      <c r="C145" s="19"/>
      <c r="D145" s="19"/>
      <c r="E145" s="19"/>
      <c r="F145" s="20"/>
      <c r="G145" s="19"/>
      <c r="H145" s="19"/>
      <c r="I145" s="20"/>
      <c r="J145" s="19"/>
      <c r="K145" s="19"/>
    </row>
    <row r="146" spans="1:11" ht="14.25">
      <c r="A146" s="19"/>
      <c r="B146" s="31"/>
      <c r="C146" s="19"/>
      <c r="D146" s="19"/>
      <c r="E146" s="19"/>
      <c r="F146" s="20"/>
      <c r="G146" s="19"/>
      <c r="H146" s="19"/>
      <c r="I146" s="20"/>
      <c r="J146" s="19"/>
      <c r="K146" s="19"/>
    </row>
    <row r="147" spans="1:11" ht="14.25">
      <c r="A147" s="19"/>
      <c r="B147" s="31"/>
      <c r="C147" s="19"/>
      <c r="D147" s="19"/>
      <c r="E147" s="19"/>
      <c r="F147" s="20"/>
      <c r="G147" s="19"/>
      <c r="H147" s="19"/>
      <c r="I147" s="20"/>
      <c r="J147" s="19"/>
      <c r="K147" s="19"/>
    </row>
    <row r="148" spans="1:11" ht="14.25">
      <c r="A148" s="19"/>
      <c r="B148" s="31"/>
      <c r="C148" s="19"/>
      <c r="D148" s="19"/>
      <c r="E148" s="19"/>
      <c r="F148" s="20"/>
      <c r="G148" s="19"/>
      <c r="H148" s="19"/>
      <c r="I148" s="20"/>
      <c r="J148" s="19"/>
      <c r="K148" s="19"/>
    </row>
    <row r="149" spans="1:11" ht="14.25">
      <c r="A149" s="19"/>
      <c r="B149" s="31"/>
      <c r="C149" s="19"/>
      <c r="D149" s="19"/>
      <c r="E149" s="19"/>
      <c r="F149" s="20"/>
      <c r="G149" s="19"/>
      <c r="H149" s="19"/>
      <c r="I149" s="20"/>
      <c r="J149" s="19"/>
      <c r="K149" s="19"/>
    </row>
    <row r="150" spans="1:11" ht="14.25">
      <c r="A150" s="19"/>
      <c r="B150" s="31"/>
      <c r="C150" s="19"/>
      <c r="D150" s="19"/>
      <c r="E150" s="19"/>
      <c r="F150" s="20"/>
      <c r="G150" s="19"/>
      <c r="H150" s="19"/>
      <c r="I150" s="20"/>
      <c r="J150" s="19"/>
      <c r="K150" s="19"/>
    </row>
    <row r="151" spans="1:11" ht="14.25">
      <c r="A151" s="19"/>
      <c r="B151" s="31"/>
      <c r="C151" s="19"/>
      <c r="D151" s="19"/>
      <c r="E151" s="19"/>
      <c r="F151" s="20"/>
      <c r="G151" s="19"/>
      <c r="H151" s="19"/>
      <c r="I151" s="20"/>
      <c r="J151" s="19"/>
      <c r="K151" s="19"/>
    </row>
    <row r="152" spans="1:11" ht="14.25">
      <c r="A152" s="19"/>
      <c r="B152" s="31"/>
      <c r="C152" s="19"/>
      <c r="D152" s="19"/>
      <c r="E152" s="19"/>
      <c r="F152" s="20"/>
      <c r="G152" s="19"/>
      <c r="H152" s="19"/>
      <c r="I152" s="20"/>
      <c r="J152" s="19"/>
      <c r="K152" s="19"/>
    </row>
    <row r="153" spans="1:11" ht="14.25">
      <c r="A153" s="19"/>
      <c r="B153" s="31"/>
      <c r="C153" s="19"/>
      <c r="D153" s="19"/>
      <c r="E153" s="19"/>
      <c r="F153" s="20"/>
      <c r="G153" s="19"/>
      <c r="H153" s="19"/>
      <c r="I153" s="20"/>
      <c r="J153" s="19"/>
      <c r="K153" s="19"/>
    </row>
    <row r="154" spans="1:11" ht="14.25">
      <c r="A154" s="19"/>
      <c r="B154" s="31"/>
      <c r="C154" s="19"/>
      <c r="D154" s="19"/>
      <c r="E154" s="19"/>
      <c r="F154" s="20"/>
      <c r="G154" s="19"/>
      <c r="H154" s="19"/>
      <c r="I154" s="20"/>
      <c r="J154" s="19"/>
      <c r="K154" s="19"/>
    </row>
    <row r="155" spans="1:11" ht="14.25">
      <c r="A155" s="19"/>
      <c r="B155" s="31"/>
      <c r="C155" s="19"/>
      <c r="D155" s="19"/>
      <c r="E155" s="19"/>
      <c r="F155" s="20"/>
      <c r="G155" s="19"/>
      <c r="H155" s="19"/>
      <c r="I155" s="20"/>
      <c r="J155" s="19"/>
      <c r="K155" s="19"/>
    </row>
    <row r="156" spans="1:11" ht="14.25">
      <c r="A156" s="19"/>
      <c r="B156" s="31"/>
      <c r="C156" s="19"/>
      <c r="D156" s="19"/>
      <c r="E156" s="19"/>
      <c r="F156" s="20"/>
      <c r="G156" s="19"/>
      <c r="H156" s="19"/>
      <c r="I156" s="20"/>
      <c r="J156" s="19"/>
      <c r="K156" s="19"/>
    </row>
    <row r="157" spans="1:11" ht="14.25">
      <c r="A157" s="19"/>
      <c r="B157" s="31"/>
      <c r="C157" s="19"/>
      <c r="D157" s="19"/>
      <c r="E157" s="19"/>
      <c r="F157" s="20"/>
      <c r="G157" s="19"/>
      <c r="H157" s="19"/>
      <c r="I157" s="20"/>
      <c r="J157" s="19"/>
      <c r="K157" s="19"/>
    </row>
    <row r="158" spans="1:11" ht="14.25">
      <c r="A158" s="19"/>
      <c r="B158" s="31"/>
      <c r="C158" s="19"/>
      <c r="D158" s="19"/>
      <c r="E158" s="19"/>
      <c r="F158" s="20"/>
      <c r="G158" s="19"/>
      <c r="H158" s="19"/>
      <c r="I158" s="20"/>
      <c r="J158" s="19"/>
      <c r="K158" s="19"/>
    </row>
    <row r="159" spans="1:11" ht="14.25">
      <c r="A159" s="19"/>
      <c r="B159" s="31"/>
      <c r="C159" s="19"/>
      <c r="D159" s="19"/>
      <c r="E159" s="19"/>
      <c r="F159" s="20"/>
      <c r="G159" s="19"/>
      <c r="H159" s="19"/>
      <c r="I159" s="20"/>
      <c r="J159" s="19"/>
      <c r="K159" s="19"/>
    </row>
    <row r="160" spans="1:11" ht="14.25">
      <c r="A160" s="19"/>
      <c r="B160" s="31"/>
      <c r="C160" s="19"/>
      <c r="D160" s="19"/>
      <c r="E160" s="19"/>
      <c r="F160" s="20"/>
      <c r="G160" s="19"/>
      <c r="H160" s="19"/>
      <c r="I160" s="20"/>
      <c r="J160" s="19"/>
      <c r="K160" s="19"/>
    </row>
    <row r="161" spans="1:11" ht="14.25">
      <c r="A161" s="19"/>
      <c r="B161" s="31"/>
      <c r="C161" s="19"/>
      <c r="D161" s="19"/>
      <c r="E161" s="19"/>
      <c r="F161" s="20"/>
      <c r="G161" s="19"/>
      <c r="H161" s="19"/>
      <c r="I161" s="20"/>
      <c r="J161" s="19"/>
      <c r="K161" s="19"/>
    </row>
    <row r="162" spans="1:11" ht="14.25">
      <c r="A162" s="19"/>
      <c r="B162" s="31"/>
      <c r="C162" s="19"/>
      <c r="D162" s="19"/>
      <c r="E162" s="19"/>
      <c r="F162" s="20"/>
      <c r="G162" s="19"/>
      <c r="H162" s="19"/>
      <c r="I162" s="20"/>
      <c r="J162" s="19"/>
      <c r="K162" s="19"/>
    </row>
    <row r="163" spans="1:11" ht="14.25">
      <c r="A163" s="19"/>
      <c r="B163" s="31"/>
      <c r="C163" s="19"/>
      <c r="D163" s="19"/>
      <c r="E163" s="19"/>
      <c r="F163" s="20"/>
      <c r="G163" s="19"/>
      <c r="H163" s="19"/>
      <c r="I163" s="20"/>
      <c r="J163" s="19"/>
      <c r="K163" s="19"/>
    </row>
    <row r="164" spans="1:11" ht="14.25">
      <c r="A164" s="19"/>
      <c r="B164" s="31"/>
      <c r="C164" s="19"/>
      <c r="D164" s="19"/>
      <c r="E164" s="19"/>
      <c r="F164" s="20"/>
      <c r="G164" s="19"/>
      <c r="H164" s="19"/>
      <c r="I164" s="20"/>
      <c r="J164" s="19"/>
      <c r="K164" s="19"/>
    </row>
    <row r="165" spans="1:11" ht="14.25">
      <c r="A165" s="19"/>
      <c r="B165" s="31"/>
      <c r="C165" s="19"/>
      <c r="D165" s="19"/>
      <c r="E165" s="19"/>
      <c r="F165" s="20"/>
      <c r="G165" s="19"/>
      <c r="H165" s="19"/>
      <c r="I165" s="20"/>
      <c r="J165" s="19"/>
      <c r="K165" s="19"/>
    </row>
    <row r="166" spans="1:11" ht="14.25">
      <c r="A166" s="19"/>
      <c r="B166" s="31"/>
      <c r="C166" s="19"/>
      <c r="D166" s="19"/>
      <c r="E166" s="19"/>
      <c r="F166" s="20"/>
      <c r="G166" s="19"/>
      <c r="H166" s="19"/>
      <c r="I166" s="20"/>
      <c r="J166" s="19"/>
      <c r="K166" s="19"/>
    </row>
    <row r="167" spans="1:11" ht="14.25">
      <c r="A167" s="19"/>
      <c r="B167" s="31"/>
      <c r="C167" s="19"/>
      <c r="D167" s="19"/>
      <c r="E167" s="19"/>
      <c r="F167" s="20"/>
      <c r="G167" s="19"/>
      <c r="H167" s="19"/>
      <c r="I167" s="20"/>
      <c r="J167" s="19"/>
      <c r="K167" s="19"/>
    </row>
    <row r="168" spans="1:11" ht="14.25">
      <c r="A168" s="19"/>
      <c r="B168" s="31"/>
      <c r="C168" s="19"/>
      <c r="D168" s="19"/>
      <c r="E168" s="19"/>
      <c r="F168" s="20"/>
      <c r="G168" s="19"/>
      <c r="H168" s="19"/>
      <c r="I168" s="20"/>
      <c r="J168" s="19"/>
      <c r="K168" s="19"/>
    </row>
    <row r="169" spans="1:11" ht="14.25">
      <c r="A169" s="19"/>
      <c r="B169" s="31"/>
      <c r="C169" s="19"/>
      <c r="D169" s="19"/>
      <c r="E169" s="19"/>
      <c r="F169" s="20"/>
      <c r="G169" s="19"/>
      <c r="H169" s="19"/>
      <c r="I169" s="20"/>
      <c r="J169" s="19"/>
      <c r="K169" s="19"/>
    </row>
    <row r="170" spans="1:11" ht="14.25">
      <c r="A170" s="19"/>
      <c r="B170" s="31"/>
      <c r="C170" s="19"/>
      <c r="D170" s="19"/>
      <c r="E170" s="19"/>
      <c r="F170" s="20"/>
      <c r="G170" s="19"/>
      <c r="H170" s="19"/>
      <c r="I170" s="20"/>
      <c r="J170" s="19"/>
      <c r="K170" s="19"/>
    </row>
    <row r="171" spans="1:11" ht="14.25">
      <c r="A171" s="19"/>
      <c r="B171" s="31"/>
      <c r="C171" s="19"/>
      <c r="D171" s="19"/>
      <c r="E171" s="19"/>
      <c r="F171" s="20"/>
      <c r="G171" s="19"/>
      <c r="H171" s="19"/>
      <c r="I171" s="20"/>
      <c r="J171" s="19"/>
      <c r="K171" s="19"/>
    </row>
    <row r="172" spans="1:11" ht="14.25">
      <c r="A172" s="19"/>
      <c r="B172" s="31"/>
      <c r="C172" s="19"/>
      <c r="D172" s="19"/>
      <c r="E172" s="19"/>
      <c r="F172" s="20"/>
      <c r="G172" s="19"/>
      <c r="H172" s="19"/>
      <c r="I172" s="20"/>
      <c r="J172" s="19"/>
      <c r="K172" s="19"/>
    </row>
    <row r="173" spans="1:11" ht="14.25">
      <c r="A173" s="19"/>
      <c r="B173" s="31"/>
      <c r="C173" s="19"/>
      <c r="D173" s="19"/>
      <c r="E173" s="19"/>
      <c r="F173" s="20"/>
      <c r="G173" s="19"/>
      <c r="H173" s="19"/>
      <c r="I173" s="20"/>
      <c r="J173" s="19"/>
      <c r="K173" s="19"/>
    </row>
    <row r="174" spans="1:11" ht="14.25">
      <c r="A174" s="19"/>
      <c r="B174" s="31"/>
      <c r="C174" s="19"/>
      <c r="D174" s="19"/>
      <c r="E174" s="19"/>
      <c r="F174" s="20"/>
      <c r="G174" s="19"/>
      <c r="H174" s="19"/>
      <c r="I174" s="20"/>
      <c r="J174" s="19"/>
      <c r="K174" s="19"/>
    </row>
    <row r="175" spans="1:11" ht="14.25">
      <c r="A175" s="19"/>
      <c r="B175" s="31"/>
      <c r="C175" s="19"/>
      <c r="D175" s="19"/>
      <c r="E175" s="19"/>
      <c r="F175" s="20"/>
      <c r="G175" s="19"/>
      <c r="H175" s="19"/>
      <c r="I175" s="20"/>
      <c r="J175" s="19"/>
      <c r="K175" s="19"/>
    </row>
    <row r="176" spans="1:11" ht="14.25">
      <c r="A176" s="19"/>
      <c r="B176" s="31"/>
      <c r="C176" s="19"/>
      <c r="D176" s="19"/>
      <c r="E176" s="19"/>
      <c r="F176" s="20"/>
      <c r="G176" s="19"/>
      <c r="H176" s="19"/>
      <c r="I176" s="20"/>
      <c r="J176" s="19"/>
      <c r="K176" s="19"/>
    </row>
    <row r="177" spans="1:11" ht="14.25">
      <c r="A177" s="19"/>
      <c r="B177" s="31"/>
      <c r="C177" s="19"/>
      <c r="D177" s="19"/>
      <c r="E177" s="19"/>
      <c r="F177" s="20"/>
      <c r="G177" s="19"/>
      <c r="H177" s="19"/>
      <c r="I177" s="20"/>
      <c r="J177" s="19"/>
      <c r="K177" s="19"/>
    </row>
    <row r="178" spans="1:11" ht="14.25">
      <c r="A178" s="19"/>
      <c r="B178" s="31"/>
      <c r="C178" s="19"/>
      <c r="D178" s="19"/>
      <c r="E178" s="19"/>
      <c r="F178" s="20"/>
      <c r="G178" s="19"/>
      <c r="H178" s="19"/>
      <c r="I178" s="20"/>
      <c r="J178" s="19"/>
      <c r="K178" s="19"/>
    </row>
    <row r="179" spans="1:11" ht="14.25">
      <c r="A179" s="19"/>
      <c r="B179" s="31"/>
      <c r="C179" s="19"/>
      <c r="D179" s="19"/>
      <c r="E179" s="19"/>
      <c r="F179" s="20"/>
      <c r="G179" s="19"/>
      <c r="H179" s="19"/>
      <c r="I179" s="20"/>
      <c r="J179" s="19"/>
      <c r="K179" s="19"/>
    </row>
    <row r="180" spans="1:11" ht="14.25">
      <c r="A180" s="19"/>
      <c r="B180" s="31"/>
      <c r="C180" s="19"/>
      <c r="D180" s="19"/>
      <c r="E180" s="19"/>
      <c r="F180" s="20"/>
      <c r="G180" s="19"/>
      <c r="H180" s="19"/>
      <c r="I180" s="20"/>
      <c r="J180" s="19"/>
      <c r="K180" s="19"/>
    </row>
    <row r="181" spans="1:11" ht="14.25">
      <c r="A181" s="19"/>
      <c r="B181" s="31"/>
      <c r="C181" s="19"/>
      <c r="D181" s="19"/>
      <c r="E181" s="19"/>
      <c r="F181" s="20"/>
      <c r="G181" s="19"/>
      <c r="H181" s="19"/>
      <c r="I181" s="20"/>
      <c r="J181" s="19"/>
      <c r="K181" s="19"/>
    </row>
    <row r="182" spans="1:11" ht="14.25">
      <c r="A182" s="19"/>
      <c r="B182" s="31"/>
      <c r="C182" s="19"/>
      <c r="D182" s="19"/>
      <c r="E182" s="19"/>
      <c r="F182" s="20"/>
      <c r="G182" s="19"/>
      <c r="H182" s="19"/>
      <c r="I182" s="20"/>
      <c r="J182" s="19"/>
      <c r="K182" s="19"/>
    </row>
    <row r="183" spans="1:11" ht="14.25">
      <c r="A183" s="19"/>
      <c r="B183" s="31"/>
      <c r="C183" s="19"/>
      <c r="D183" s="19"/>
      <c r="E183" s="19"/>
      <c r="F183" s="20"/>
      <c r="G183" s="19"/>
      <c r="H183" s="19"/>
      <c r="I183" s="20"/>
      <c r="J183" s="19"/>
      <c r="K183" s="19"/>
    </row>
    <row r="184" spans="1:11" ht="14.25">
      <c r="A184" s="19"/>
      <c r="B184" s="31"/>
      <c r="C184" s="19"/>
      <c r="D184" s="19"/>
      <c r="E184" s="19"/>
      <c r="F184" s="20"/>
      <c r="G184" s="19"/>
      <c r="H184" s="19"/>
      <c r="I184" s="20"/>
      <c r="J184" s="19"/>
      <c r="K184" s="19"/>
    </row>
    <row r="185" spans="1:11" ht="14.25">
      <c r="A185" s="19"/>
      <c r="B185" s="31"/>
      <c r="C185" s="19"/>
      <c r="D185" s="19"/>
      <c r="E185" s="19"/>
      <c r="F185" s="20"/>
      <c r="G185" s="19"/>
      <c r="H185" s="19"/>
      <c r="I185" s="20"/>
      <c r="J185" s="19"/>
      <c r="K185" s="19"/>
    </row>
    <row r="186" spans="1:11" ht="14.25">
      <c r="A186" s="19"/>
      <c r="B186" s="31"/>
      <c r="C186" s="19"/>
      <c r="D186" s="19"/>
      <c r="E186" s="19"/>
      <c r="F186" s="20"/>
      <c r="G186" s="19"/>
      <c r="H186" s="19"/>
      <c r="I186" s="20"/>
      <c r="J186" s="19"/>
      <c r="K186" s="19"/>
    </row>
    <row r="187" spans="1:11" ht="14.25">
      <c r="A187" s="19"/>
      <c r="B187" s="31"/>
      <c r="C187" s="19"/>
      <c r="D187" s="19"/>
      <c r="E187" s="19"/>
      <c r="F187" s="20"/>
      <c r="G187" s="19"/>
      <c r="H187" s="19"/>
      <c r="I187" s="20"/>
      <c r="J187" s="19"/>
      <c r="K187" s="19"/>
    </row>
    <row r="188" spans="1:11" ht="14.25">
      <c r="A188" s="19"/>
      <c r="B188" s="31"/>
      <c r="C188" s="19"/>
      <c r="D188" s="19"/>
      <c r="E188" s="19"/>
      <c r="F188" s="20"/>
      <c r="G188" s="19"/>
      <c r="H188" s="19"/>
      <c r="I188" s="20"/>
      <c r="J188" s="19"/>
      <c r="K188" s="19"/>
    </row>
    <row r="189" spans="1:11" ht="14.25">
      <c r="A189" s="19"/>
      <c r="B189" s="31"/>
      <c r="C189" s="19"/>
      <c r="D189" s="19"/>
      <c r="E189" s="19"/>
      <c r="F189" s="20"/>
      <c r="G189" s="19"/>
      <c r="H189" s="19"/>
      <c r="I189" s="20"/>
      <c r="J189" s="19"/>
      <c r="K189" s="19"/>
    </row>
    <row r="190" spans="1:11" ht="14.25">
      <c r="A190" s="19"/>
      <c r="B190" s="31"/>
      <c r="C190" s="19"/>
      <c r="D190" s="19"/>
      <c r="E190" s="19"/>
      <c r="F190" s="20"/>
      <c r="G190" s="19"/>
      <c r="H190" s="19"/>
      <c r="I190" s="20"/>
      <c r="J190" s="19"/>
      <c r="K190" s="19"/>
    </row>
    <row r="191" spans="1:11" ht="14.25">
      <c r="A191" s="19"/>
      <c r="B191" s="31"/>
      <c r="C191" s="19"/>
      <c r="D191" s="19"/>
      <c r="E191" s="19"/>
      <c r="F191" s="20"/>
      <c r="G191" s="19"/>
      <c r="H191" s="19"/>
      <c r="I191" s="20"/>
      <c r="J191" s="19"/>
      <c r="K191" s="19"/>
    </row>
    <row r="192" spans="1:11" ht="14.25">
      <c r="A192" s="19"/>
      <c r="B192" s="31"/>
      <c r="C192" s="19"/>
      <c r="D192" s="19"/>
      <c r="E192" s="19"/>
      <c r="F192" s="20"/>
      <c r="G192" s="19"/>
      <c r="H192" s="19"/>
      <c r="I192" s="20"/>
      <c r="J192" s="19"/>
      <c r="K192" s="19"/>
    </row>
    <row r="193" spans="1:11" ht="14.25">
      <c r="A193" s="19"/>
      <c r="B193" s="31"/>
      <c r="C193" s="19"/>
      <c r="D193" s="19"/>
      <c r="E193" s="19"/>
      <c r="F193" s="20"/>
      <c r="G193" s="19"/>
      <c r="H193" s="19"/>
      <c r="I193" s="20"/>
      <c r="J193" s="19"/>
      <c r="K193" s="19"/>
    </row>
    <row r="194" spans="1:11" ht="14.25">
      <c r="A194" s="19"/>
      <c r="B194" s="31"/>
      <c r="C194" s="19"/>
      <c r="D194" s="19"/>
      <c r="E194" s="19"/>
      <c r="F194" s="20"/>
      <c r="G194" s="19"/>
      <c r="H194" s="19"/>
      <c r="I194" s="20"/>
      <c r="J194" s="19"/>
      <c r="K194" s="19"/>
    </row>
    <row r="195" spans="1:11" ht="14.25">
      <c r="A195" s="19"/>
      <c r="B195" s="31"/>
      <c r="C195" s="19"/>
      <c r="D195" s="19"/>
      <c r="E195" s="19"/>
      <c r="F195" s="20"/>
      <c r="G195" s="19"/>
      <c r="H195" s="19"/>
      <c r="I195" s="20"/>
      <c r="J195" s="19"/>
      <c r="K195" s="19"/>
    </row>
    <row r="196" spans="1:11" ht="14.25">
      <c r="A196" s="19"/>
      <c r="B196" s="31"/>
      <c r="C196" s="19"/>
      <c r="D196" s="19"/>
      <c r="E196" s="19"/>
      <c r="F196" s="20"/>
      <c r="G196" s="19"/>
      <c r="H196" s="19"/>
      <c r="I196" s="20"/>
      <c r="J196" s="19"/>
      <c r="K196" s="19"/>
    </row>
    <row r="197" spans="1:11" ht="14.25">
      <c r="A197" s="19"/>
      <c r="B197" s="31"/>
      <c r="C197" s="19"/>
      <c r="D197" s="19"/>
      <c r="E197" s="19"/>
      <c r="F197" s="20"/>
      <c r="G197" s="19"/>
      <c r="H197" s="19"/>
      <c r="I197" s="20"/>
      <c r="J197" s="19"/>
      <c r="K197" s="19"/>
    </row>
    <row r="198" spans="1:11" ht="14.25">
      <c r="A198" s="19"/>
      <c r="B198" s="31"/>
      <c r="C198" s="19"/>
      <c r="D198" s="19"/>
      <c r="E198" s="19"/>
      <c r="F198" s="20"/>
      <c r="G198" s="19"/>
      <c r="H198" s="19"/>
      <c r="I198" s="20"/>
      <c r="J198" s="19"/>
      <c r="K198" s="19"/>
    </row>
    <row r="199" spans="1:11" ht="14.25">
      <c r="A199" s="19"/>
      <c r="B199" s="31"/>
      <c r="C199" s="19"/>
      <c r="D199" s="19"/>
      <c r="E199" s="19"/>
      <c r="F199" s="20"/>
      <c r="G199" s="19"/>
      <c r="H199" s="19"/>
      <c r="I199" s="20"/>
      <c r="J199" s="19"/>
      <c r="K199" s="19"/>
    </row>
    <row r="200" spans="1:11" ht="14.25">
      <c r="A200" s="19"/>
      <c r="B200" s="31"/>
      <c r="C200" s="19"/>
      <c r="D200" s="19"/>
      <c r="E200" s="19"/>
      <c r="F200" s="20"/>
      <c r="G200" s="19"/>
      <c r="H200" s="19"/>
      <c r="I200" s="20"/>
      <c r="J200" s="19"/>
      <c r="K200" s="19"/>
    </row>
    <row r="201" spans="1:11" ht="14.25">
      <c r="A201" s="19"/>
      <c r="B201" s="31"/>
      <c r="C201" s="19"/>
      <c r="D201" s="19"/>
      <c r="E201" s="19"/>
      <c r="F201" s="20"/>
      <c r="G201" s="19"/>
      <c r="H201" s="19"/>
      <c r="I201" s="20"/>
      <c r="J201" s="19"/>
      <c r="K201" s="19"/>
    </row>
    <row r="202" spans="1:11" ht="14.25">
      <c r="A202" s="19"/>
      <c r="B202" s="31"/>
      <c r="C202" s="19"/>
      <c r="D202" s="19"/>
      <c r="E202" s="19"/>
      <c r="F202" s="20"/>
      <c r="G202" s="19"/>
      <c r="H202" s="19"/>
      <c r="I202" s="20"/>
      <c r="J202" s="19"/>
      <c r="K202" s="19"/>
    </row>
    <row r="203" spans="1:11" ht="14.25">
      <c r="A203" s="19"/>
      <c r="B203" s="31"/>
      <c r="C203" s="19"/>
      <c r="D203" s="19"/>
      <c r="E203" s="19"/>
      <c r="F203" s="20"/>
      <c r="G203" s="19"/>
      <c r="H203" s="19"/>
      <c r="I203" s="20"/>
      <c r="J203" s="19"/>
      <c r="K203" s="19"/>
    </row>
    <row r="204" spans="1:11" ht="14.25">
      <c r="A204" s="19"/>
      <c r="B204" s="31"/>
      <c r="C204" s="19"/>
      <c r="D204" s="19"/>
      <c r="E204" s="19"/>
      <c r="F204" s="20"/>
      <c r="G204" s="19"/>
      <c r="H204" s="19"/>
      <c r="I204" s="20"/>
      <c r="J204" s="19"/>
      <c r="K204" s="19"/>
    </row>
    <row r="205" spans="1:11" ht="14.25">
      <c r="A205" s="19"/>
      <c r="B205" s="31"/>
      <c r="C205" s="19"/>
      <c r="D205" s="19"/>
      <c r="E205" s="19"/>
      <c r="F205" s="20"/>
      <c r="G205" s="19"/>
      <c r="H205" s="19"/>
      <c r="I205" s="20"/>
      <c r="J205" s="19"/>
      <c r="K205" s="19"/>
    </row>
    <row r="206" spans="1:11" ht="14.25">
      <c r="A206" s="19"/>
      <c r="B206" s="31"/>
      <c r="C206" s="19"/>
      <c r="D206" s="19"/>
      <c r="E206" s="19"/>
      <c r="F206" s="20"/>
      <c r="G206" s="19"/>
      <c r="H206" s="19"/>
      <c r="I206" s="20"/>
      <c r="J206" s="19"/>
      <c r="K206" s="19"/>
    </row>
    <row r="207" spans="1:11" ht="14.25">
      <c r="A207" s="19"/>
      <c r="B207" s="31"/>
      <c r="C207" s="19"/>
      <c r="D207" s="19"/>
      <c r="E207" s="19"/>
      <c r="F207" s="20"/>
      <c r="G207" s="19"/>
      <c r="H207" s="19"/>
      <c r="I207" s="20"/>
      <c r="J207" s="19"/>
      <c r="K207" s="19"/>
    </row>
    <row r="208" spans="1:11" ht="14.25">
      <c r="A208" s="19"/>
      <c r="B208" s="31"/>
      <c r="C208" s="19"/>
      <c r="D208" s="19"/>
      <c r="E208" s="19"/>
      <c r="F208" s="20"/>
      <c r="G208" s="19"/>
      <c r="H208" s="19"/>
      <c r="I208" s="20"/>
      <c r="J208" s="19"/>
      <c r="K208" s="19"/>
    </row>
    <row r="209" spans="1:11" ht="14.25">
      <c r="A209" s="19"/>
      <c r="B209" s="31"/>
      <c r="C209" s="19"/>
      <c r="D209" s="19"/>
      <c r="E209" s="19"/>
      <c r="F209" s="20"/>
      <c r="G209" s="19"/>
      <c r="H209" s="19"/>
      <c r="I209" s="20"/>
      <c r="J209" s="19"/>
      <c r="K209" s="19"/>
    </row>
    <row r="210" spans="1:11" ht="14.25">
      <c r="A210" s="19"/>
      <c r="B210" s="31"/>
      <c r="C210" s="19"/>
      <c r="D210" s="19"/>
      <c r="E210" s="19"/>
      <c r="F210" s="20"/>
      <c r="G210" s="19"/>
      <c r="H210" s="19"/>
      <c r="I210" s="20"/>
      <c r="J210" s="19"/>
      <c r="K210" s="19"/>
    </row>
    <row r="211" spans="1:11" ht="14.25">
      <c r="A211" s="19"/>
      <c r="B211" s="31"/>
      <c r="C211" s="19"/>
      <c r="D211" s="19"/>
      <c r="E211" s="19"/>
      <c r="F211" s="20"/>
      <c r="G211" s="19"/>
      <c r="H211" s="19"/>
      <c r="I211" s="20"/>
      <c r="J211" s="19"/>
      <c r="K211" s="19"/>
    </row>
    <row r="212" spans="1:11" ht="14.25">
      <c r="A212" s="19"/>
      <c r="B212" s="31"/>
      <c r="C212" s="19"/>
      <c r="D212" s="19"/>
      <c r="E212" s="19"/>
      <c r="F212" s="20"/>
      <c r="G212" s="19"/>
      <c r="H212" s="19"/>
      <c r="I212" s="20"/>
      <c r="J212" s="19"/>
      <c r="K212" s="19"/>
    </row>
    <row r="213" spans="1:11" ht="14.25">
      <c r="A213" s="19"/>
      <c r="B213" s="31"/>
      <c r="C213" s="19"/>
      <c r="D213" s="19"/>
      <c r="E213" s="19"/>
      <c r="F213" s="20"/>
      <c r="G213" s="19"/>
      <c r="H213" s="19"/>
      <c r="I213" s="20"/>
      <c r="J213" s="19"/>
      <c r="K213" s="19"/>
    </row>
    <row r="214" spans="1:11" ht="14.25">
      <c r="A214" s="19"/>
      <c r="B214" s="31"/>
      <c r="C214" s="19"/>
      <c r="D214" s="19"/>
      <c r="E214" s="19"/>
      <c r="F214" s="20"/>
      <c r="G214" s="19"/>
      <c r="H214" s="19"/>
      <c r="I214" s="20"/>
      <c r="J214" s="19"/>
      <c r="K214" s="19"/>
    </row>
    <row r="215" spans="1:11" ht="14.25">
      <c r="A215" s="19"/>
      <c r="B215" s="31"/>
      <c r="C215" s="19"/>
      <c r="D215" s="19"/>
      <c r="E215" s="19"/>
      <c r="F215" s="20"/>
      <c r="G215" s="19"/>
      <c r="H215" s="19"/>
      <c r="I215" s="20"/>
      <c r="J215" s="19"/>
      <c r="K215" s="19"/>
    </row>
    <row r="216" spans="1:11" ht="14.25">
      <c r="A216" s="19"/>
      <c r="B216" s="31"/>
      <c r="C216" s="19"/>
      <c r="D216" s="19"/>
      <c r="E216" s="19"/>
      <c r="F216" s="20"/>
      <c r="G216" s="19"/>
      <c r="H216" s="19"/>
      <c r="I216" s="20"/>
      <c r="J216" s="19"/>
      <c r="K216" s="19"/>
    </row>
    <row r="217" spans="1:11" ht="14.25">
      <c r="A217" s="19"/>
      <c r="B217" s="31"/>
      <c r="C217" s="19"/>
      <c r="D217" s="19"/>
      <c r="E217" s="19"/>
      <c r="F217" s="20"/>
      <c r="G217" s="19"/>
      <c r="H217" s="19"/>
      <c r="I217" s="20"/>
      <c r="J217" s="19"/>
      <c r="K217" s="19"/>
    </row>
    <row r="218" spans="1:11" ht="14.25">
      <c r="A218" s="19"/>
      <c r="B218" s="31"/>
      <c r="C218" s="19"/>
      <c r="D218" s="19"/>
      <c r="E218" s="19"/>
      <c r="F218" s="20"/>
      <c r="G218" s="19"/>
      <c r="H218" s="19"/>
      <c r="I218" s="20"/>
      <c r="J218" s="19"/>
      <c r="K218" s="19"/>
    </row>
    <row r="219" spans="1:11" ht="14.25">
      <c r="A219" s="19"/>
      <c r="B219" s="31"/>
      <c r="C219" s="19"/>
      <c r="D219" s="19"/>
      <c r="E219" s="19"/>
      <c r="F219" s="20"/>
      <c r="G219" s="19"/>
      <c r="H219" s="19"/>
      <c r="I219" s="20"/>
      <c r="J219" s="19"/>
      <c r="K219" s="19"/>
    </row>
    <row r="220" spans="1:11" ht="14.25">
      <c r="A220" s="19"/>
      <c r="B220" s="31"/>
      <c r="C220" s="19"/>
      <c r="D220" s="19"/>
      <c r="E220" s="19"/>
      <c r="F220" s="20"/>
      <c r="G220" s="19"/>
      <c r="H220" s="19"/>
      <c r="I220" s="20"/>
      <c r="J220" s="19"/>
      <c r="K220" s="19"/>
    </row>
    <row r="221" spans="1:11" ht="14.25">
      <c r="A221" s="19"/>
      <c r="B221" s="31"/>
      <c r="C221" s="19"/>
      <c r="D221" s="19"/>
      <c r="E221" s="19"/>
      <c r="F221" s="20"/>
      <c r="G221" s="19"/>
      <c r="H221" s="19"/>
      <c r="I221" s="20"/>
      <c r="J221" s="19"/>
      <c r="K221" s="19"/>
    </row>
    <row r="222" spans="1:11" ht="14.25">
      <c r="A222" s="19"/>
      <c r="B222" s="31"/>
      <c r="C222" s="19"/>
      <c r="D222" s="19"/>
      <c r="E222" s="19"/>
      <c r="F222" s="20"/>
      <c r="G222" s="19"/>
      <c r="H222" s="19"/>
      <c r="I222" s="20"/>
      <c r="J222" s="19"/>
      <c r="K222" s="19"/>
    </row>
    <row r="223" spans="1:11" ht="14.25">
      <c r="A223" s="19"/>
      <c r="B223" s="31"/>
      <c r="C223" s="19"/>
      <c r="D223" s="19"/>
      <c r="E223" s="19"/>
      <c r="F223" s="20"/>
      <c r="G223" s="19"/>
      <c r="H223" s="19"/>
      <c r="I223" s="20"/>
      <c r="J223" s="19"/>
      <c r="K223" s="19"/>
    </row>
    <row r="224" spans="1:11" ht="14.25">
      <c r="A224" s="19"/>
      <c r="B224" s="31"/>
      <c r="C224" s="19"/>
      <c r="D224" s="19"/>
      <c r="E224" s="19"/>
      <c r="F224" s="20"/>
      <c r="G224" s="19"/>
      <c r="H224" s="19"/>
      <c r="I224" s="20"/>
      <c r="J224" s="19"/>
      <c r="K224" s="19"/>
    </row>
    <row r="225" spans="1:11" ht="14.25">
      <c r="A225" s="19"/>
      <c r="B225" s="31"/>
      <c r="C225" s="19"/>
      <c r="D225" s="19"/>
      <c r="E225" s="19"/>
      <c r="F225" s="20"/>
      <c r="G225" s="19"/>
      <c r="H225" s="19"/>
      <c r="I225" s="20"/>
      <c r="J225" s="19"/>
      <c r="K225" s="19"/>
    </row>
    <row r="226" spans="1:11" ht="14.25">
      <c r="A226" s="19"/>
      <c r="B226" s="31"/>
      <c r="C226" s="19"/>
      <c r="D226" s="19"/>
      <c r="E226" s="19"/>
      <c r="F226" s="20"/>
      <c r="G226" s="19"/>
      <c r="H226" s="19"/>
      <c r="I226" s="20"/>
      <c r="J226" s="19"/>
      <c r="K226" s="19"/>
    </row>
    <row r="227" spans="1:11" ht="14.25">
      <c r="A227" s="19"/>
      <c r="B227" s="31"/>
      <c r="C227" s="19"/>
      <c r="D227" s="19"/>
      <c r="E227" s="19"/>
      <c r="F227" s="20"/>
      <c r="G227" s="19"/>
      <c r="H227" s="19"/>
      <c r="I227" s="20"/>
      <c r="J227" s="19"/>
      <c r="K227" s="19"/>
    </row>
    <row r="228" spans="1:11" ht="14.25">
      <c r="A228" s="19"/>
      <c r="B228" s="31"/>
      <c r="C228" s="19"/>
      <c r="D228" s="19"/>
      <c r="E228" s="19"/>
      <c r="F228" s="20"/>
      <c r="G228" s="19"/>
      <c r="H228" s="19"/>
      <c r="I228" s="20"/>
      <c r="J228" s="19"/>
      <c r="K228" s="19"/>
    </row>
    <row r="229" spans="1:11" ht="14.25">
      <c r="A229" s="19"/>
      <c r="B229" s="31"/>
      <c r="C229" s="19"/>
      <c r="D229" s="19"/>
      <c r="E229" s="19"/>
      <c r="F229" s="20"/>
      <c r="G229" s="19"/>
      <c r="H229" s="19"/>
      <c r="I229" s="20"/>
      <c r="J229" s="19"/>
      <c r="K229" s="19"/>
    </row>
    <row r="230" spans="1:11" ht="14.25">
      <c r="A230" s="19"/>
      <c r="B230" s="31"/>
      <c r="C230" s="19"/>
      <c r="D230" s="19"/>
      <c r="E230" s="19"/>
      <c r="F230" s="20"/>
      <c r="G230" s="19"/>
      <c r="H230" s="19"/>
      <c r="I230" s="20"/>
      <c r="J230" s="19"/>
      <c r="K230" s="19"/>
    </row>
    <row r="231" spans="1:11" ht="14.25">
      <c r="A231" s="19"/>
      <c r="B231" s="31"/>
      <c r="C231" s="19"/>
      <c r="D231" s="19"/>
      <c r="E231" s="19"/>
      <c r="F231" s="20"/>
      <c r="G231" s="19"/>
      <c r="H231" s="19"/>
      <c r="I231" s="20"/>
      <c r="J231" s="19"/>
      <c r="K231" s="19"/>
    </row>
    <row r="232" spans="1:11" ht="14.25">
      <c r="A232" s="19"/>
      <c r="B232" s="31"/>
      <c r="C232" s="19"/>
      <c r="D232" s="19"/>
      <c r="E232" s="19"/>
      <c r="F232" s="20"/>
      <c r="G232" s="19"/>
      <c r="H232" s="19"/>
      <c r="I232" s="20"/>
      <c r="J232" s="19"/>
      <c r="K232" s="19"/>
    </row>
    <row r="233" spans="1:11" ht="14.25">
      <c r="A233" s="19"/>
      <c r="B233" s="31"/>
      <c r="C233" s="19"/>
      <c r="D233" s="19"/>
      <c r="E233" s="19"/>
      <c r="F233" s="20"/>
      <c r="G233" s="19"/>
      <c r="H233" s="19"/>
      <c r="I233" s="20"/>
      <c r="J233" s="19"/>
      <c r="K233" s="19"/>
    </row>
    <row r="234" spans="1:11" ht="14.25">
      <c r="A234" s="19"/>
      <c r="B234" s="31"/>
      <c r="C234" s="19"/>
      <c r="D234" s="19"/>
      <c r="E234" s="19"/>
      <c r="F234" s="20"/>
      <c r="G234" s="19"/>
      <c r="H234" s="19"/>
      <c r="I234" s="20"/>
      <c r="J234" s="19"/>
      <c r="K234" s="19"/>
    </row>
    <row r="235" spans="1:11" ht="14.25">
      <c r="A235" s="19"/>
      <c r="B235" s="31"/>
      <c r="C235" s="19"/>
      <c r="D235" s="19"/>
      <c r="E235" s="19"/>
      <c r="F235" s="20"/>
      <c r="G235" s="19"/>
      <c r="H235" s="19"/>
      <c r="I235" s="20"/>
      <c r="J235" s="19"/>
      <c r="K235" s="19"/>
    </row>
    <row r="236" spans="1:11" ht="14.25">
      <c r="A236" s="19"/>
      <c r="B236" s="31"/>
      <c r="C236" s="19"/>
      <c r="D236" s="19"/>
      <c r="E236" s="19"/>
      <c r="F236" s="20"/>
      <c r="G236" s="19"/>
      <c r="H236" s="19"/>
      <c r="I236" s="20"/>
      <c r="J236" s="19"/>
      <c r="K236" s="19"/>
    </row>
    <row r="237" spans="1:11" ht="14.25">
      <c r="A237" s="19"/>
      <c r="B237" s="31"/>
      <c r="C237" s="19"/>
      <c r="D237" s="19"/>
      <c r="E237" s="19"/>
      <c r="F237" s="20"/>
      <c r="G237" s="19"/>
      <c r="H237" s="19"/>
      <c r="I237" s="20"/>
      <c r="J237" s="19"/>
      <c r="K237" s="19"/>
    </row>
    <row r="238" spans="1:11" ht="14.25">
      <c r="A238" s="19"/>
      <c r="B238" s="31"/>
      <c r="C238" s="19"/>
      <c r="D238" s="19"/>
      <c r="E238" s="19"/>
      <c r="F238" s="20"/>
      <c r="G238" s="19"/>
      <c r="H238" s="19"/>
      <c r="I238" s="20"/>
      <c r="J238" s="19"/>
      <c r="K238" s="19"/>
    </row>
    <row r="239" spans="1:11" ht="14.25">
      <c r="A239" s="19"/>
      <c r="B239" s="31"/>
      <c r="C239" s="19"/>
      <c r="D239" s="19"/>
      <c r="E239" s="19"/>
      <c r="F239" s="20"/>
      <c r="G239" s="19"/>
      <c r="H239" s="19"/>
      <c r="I239" s="20"/>
      <c r="J239" s="19"/>
      <c r="K239" s="19"/>
    </row>
    <row r="240" spans="1:11" ht="14.25">
      <c r="A240" s="19"/>
      <c r="B240" s="31"/>
      <c r="C240" s="19"/>
      <c r="D240" s="19"/>
      <c r="E240" s="19"/>
      <c r="F240" s="20"/>
      <c r="G240" s="19"/>
      <c r="H240" s="19"/>
      <c r="I240" s="20"/>
      <c r="J240" s="19"/>
      <c r="K240" s="19"/>
    </row>
    <row r="241" spans="1:11" ht="14.25">
      <c r="A241" s="19"/>
      <c r="B241" s="31"/>
      <c r="C241" s="19"/>
      <c r="D241" s="19"/>
      <c r="E241" s="19"/>
      <c r="F241" s="20"/>
      <c r="G241" s="19"/>
      <c r="H241" s="19"/>
      <c r="I241" s="20"/>
      <c r="J241" s="19"/>
      <c r="K241" s="19"/>
    </row>
    <row r="242" spans="1:11" ht="14.25">
      <c r="A242" s="19"/>
      <c r="B242" s="31"/>
      <c r="C242" s="19"/>
      <c r="D242" s="19"/>
      <c r="E242" s="19"/>
      <c r="F242" s="20"/>
      <c r="G242" s="19"/>
      <c r="H242" s="19"/>
      <c r="I242" s="20"/>
      <c r="J242" s="19"/>
      <c r="K242" s="19"/>
    </row>
    <row r="243" spans="1:11" ht="14.25">
      <c r="A243" s="19"/>
      <c r="B243" s="31"/>
      <c r="C243" s="19"/>
      <c r="D243" s="19"/>
      <c r="E243" s="19"/>
      <c r="F243" s="20"/>
      <c r="G243" s="19"/>
      <c r="H243" s="19"/>
      <c r="I243" s="20"/>
      <c r="J243" s="19"/>
      <c r="K243" s="19"/>
    </row>
    <row r="244" spans="1:11" ht="14.25">
      <c r="A244" s="19"/>
      <c r="B244" s="31"/>
      <c r="C244" s="19"/>
      <c r="D244" s="19"/>
      <c r="E244" s="19"/>
      <c r="F244" s="20"/>
      <c r="G244" s="19"/>
      <c r="H244" s="19"/>
      <c r="I244" s="20"/>
      <c r="J244" s="19"/>
      <c r="K244" s="19"/>
    </row>
    <row r="245" spans="1:11" ht="14.25">
      <c r="A245" s="19"/>
      <c r="B245" s="31"/>
      <c r="C245" s="19"/>
      <c r="D245" s="19"/>
      <c r="E245" s="19"/>
      <c r="F245" s="20"/>
      <c r="G245" s="19"/>
      <c r="H245" s="19"/>
      <c r="I245" s="20"/>
      <c r="J245" s="19"/>
      <c r="K245" s="19"/>
    </row>
    <row r="246" spans="1:11" ht="14.25">
      <c r="A246" s="19"/>
      <c r="B246" s="31"/>
      <c r="C246" s="19"/>
      <c r="D246" s="19"/>
      <c r="E246" s="19"/>
      <c r="F246" s="20"/>
      <c r="G246" s="19"/>
      <c r="H246" s="19"/>
      <c r="I246" s="20"/>
      <c r="J246" s="19"/>
      <c r="K246" s="19"/>
    </row>
    <row r="247" spans="1:11" ht="14.25">
      <c r="A247" s="19"/>
      <c r="B247" s="31"/>
      <c r="C247" s="19"/>
      <c r="D247" s="19"/>
      <c r="E247" s="19"/>
      <c r="F247" s="20"/>
      <c r="G247" s="19"/>
      <c r="H247" s="19"/>
      <c r="I247" s="20"/>
      <c r="J247" s="19"/>
      <c r="K247" s="19"/>
    </row>
    <row r="248" spans="1:11" ht="14.25">
      <c r="A248" s="19"/>
      <c r="B248" s="31"/>
      <c r="C248" s="19"/>
      <c r="D248" s="19"/>
      <c r="E248" s="19"/>
      <c r="F248" s="20"/>
      <c r="G248" s="19"/>
      <c r="H248" s="19"/>
      <c r="I248" s="20"/>
      <c r="J248" s="19"/>
      <c r="K248" s="19"/>
    </row>
    <row r="249" spans="1:11" ht="14.25">
      <c r="A249" s="19"/>
      <c r="B249" s="31"/>
      <c r="C249" s="19"/>
      <c r="D249" s="19"/>
      <c r="E249" s="19"/>
      <c r="F249" s="20"/>
      <c r="G249" s="19"/>
      <c r="H249" s="19"/>
      <c r="I249" s="20"/>
      <c r="J249" s="19"/>
      <c r="K249" s="19"/>
    </row>
    <row r="250" spans="1:11" ht="14.25">
      <c r="A250" s="19"/>
      <c r="B250" s="31"/>
      <c r="C250" s="19"/>
      <c r="D250" s="19"/>
      <c r="E250" s="19"/>
      <c r="F250" s="20"/>
      <c r="G250" s="19"/>
      <c r="H250" s="19"/>
      <c r="I250" s="20"/>
      <c r="J250" s="19"/>
      <c r="K250" s="19"/>
    </row>
    <row r="251" spans="1:11" ht="14.25">
      <c r="A251" s="19"/>
      <c r="B251" s="31"/>
      <c r="C251" s="19"/>
      <c r="D251" s="19"/>
      <c r="E251" s="19"/>
      <c r="F251" s="20"/>
      <c r="G251" s="19"/>
      <c r="H251" s="19"/>
      <c r="I251" s="20"/>
      <c r="J251" s="19"/>
      <c r="K251" s="19"/>
    </row>
    <row r="252" spans="1:11" ht="14.25">
      <c r="A252" s="19"/>
      <c r="B252" s="31"/>
      <c r="C252" s="19"/>
      <c r="D252" s="19"/>
      <c r="E252" s="19"/>
      <c r="F252" s="20"/>
      <c r="G252" s="19"/>
      <c r="H252" s="19"/>
      <c r="I252" s="20"/>
      <c r="J252" s="19"/>
      <c r="K252" s="19"/>
    </row>
    <row r="253" spans="1:11" ht="14.25">
      <c r="A253" s="19"/>
      <c r="B253" s="31"/>
      <c r="C253" s="19"/>
      <c r="D253" s="19"/>
      <c r="E253" s="19"/>
      <c r="F253" s="20"/>
      <c r="G253" s="19"/>
      <c r="H253" s="19"/>
      <c r="I253" s="20"/>
      <c r="J253" s="19"/>
      <c r="K253" s="19"/>
    </row>
    <row r="254" spans="1:11" ht="14.25">
      <c r="A254" s="19"/>
      <c r="B254" s="31"/>
      <c r="C254" s="19"/>
      <c r="D254" s="19"/>
      <c r="E254" s="19"/>
      <c r="F254" s="20"/>
      <c r="G254" s="19"/>
      <c r="H254" s="19"/>
      <c r="I254" s="20"/>
      <c r="J254" s="19"/>
      <c r="K254" s="19"/>
    </row>
    <row r="255" spans="1:11" ht="14.25">
      <c r="A255" s="19"/>
      <c r="B255" s="31"/>
      <c r="C255" s="19"/>
      <c r="D255" s="19"/>
      <c r="E255" s="19"/>
      <c r="F255" s="20"/>
      <c r="G255" s="19"/>
      <c r="H255" s="19"/>
      <c r="I255" s="20"/>
      <c r="J255" s="19"/>
      <c r="K255" s="19"/>
    </row>
    <row r="256" spans="1:11" ht="14.25">
      <c r="A256" s="19"/>
      <c r="B256" s="31"/>
      <c r="C256" s="19"/>
      <c r="D256" s="19"/>
      <c r="E256" s="19"/>
      <c r="F256" s="20"/>
      <c r="G256" s="19"/>
      <c r="H256" s="19"/>
      <c r="I256" s="20"/>
      <c r="J256" s="19"/>
      <c r="K256" s="19"/>
    </row>
    <row r="257" spans="1:11" ht="14.25">
      <c r="A257" s="19"/>
      <c r="B257" s="31"/>
      <c r="C257" s="19"/>
      <c r="D257" s="19"/>
      <c r="E257" s="19"/>
      <c r="F257" s="20"/>
      <c r="G257" s="19"/>
      <c r="H257" s="19"/>
      <c r="I257" s="20"/>
      <c r="J257" s="19"/>
      <c r="K257" s="19"/>
    </row>
    <row r="258" spans="1:11" ht="14.25">
      <c r="A258" s="19"/>
      <c r="B258" s="31"/>
      <c r="C258" s="19"/>
      <c r="D258" s="19"/>
      <c r="E258" s="19"/>
      <c r="F258" s="20"/>
      <c r="G258" s="19"/>
      <c r="H258" s="19"/>
      <c r="I258" s="20"/>
      <c r="J258" s="19"/>
      <c r="K258" s="19"/>
    </row>
    <row r="259" spans="1:11" ht="14.25">
      <c r="A259" s="19"/>
      <c r="B259" s="31"/>
      <c r="C259" s="19"/>
      <c r="D259" s="19"/>
      <c r="E259" s="19"/>
      <c r="F259" s="20"/>
      <c r="G259" s="19"/>
      <c r="H259" s="19"/>
      <c r="I259" s="20"/>
      <c r="J259" s="19"/>
      <c r="K259" s="19"/>
    </row>
    <row r="260" spans="1:11" ht="14.25">
      <c r="A260" s="19"/>
      <c r="B260" s="31"/>
      <c r="C260" s="19"/>
      <c r="D260" s="19"/>
      <c r="E260" s="19"/>
      <c r="F260" s="20"/>
      <c r="G260" s="19"/>
      <c r="H260" s="19"/>
      <c r="I260" s="20"/>
      <c r="J260" s="19"/>
      <c r="K260" s="19"/>
    </row>
    <row r="261" spans="1:11" ht="14.25">
      <c r="A261" s="19"/>
      <c r="B261" s="31"/>
      <c r="C261" s="19"/>
      <c r="D261" s="19"/>
      <c r="E261" s="19"/>
      <c r="F261" s="20"/>
      <c r="G261" s="19"/>
      <c r="H261" s="19"/>
      <c r="I261" s="20"/>
      <c r="J261" s="19"/>
      <c r="K261" s="19"/>
    </row>
    <row r="262" spans="1:11" ht="14.25">
      <c r="A262" s="19"/>
      <c r="B262" s="31"/>
      <c r="C262" s="19"/>
      <c r="D262" s="19"/>
      <c r="E262" s="19"/>
      <c r="F262" s="20"/>
      <c r="G262" s="19"/>
      <c r="H262" s="19"/>
      <c r="I262" s="20"/>
      <c r="J262" s="19"/>
      <c r="K262" s="19"/>
    </row>
    <row r="263" spans="1:11" ht="14.25">
      <c r="A263" s="19"/>
      <c r="B263" s="31"/>
      <c r="C263" s="19"/>
      <c r="D263" s="19"/>
      <c r="E263" s="19"/>
      <c r="F263" s="20"/>
      <c r="G263" s="19"/>
      <c r="H263" s="19"/>
      <c r="I263" s="20"/>
      <c r="J263" s="19"/>
      <c r="K263" s="19"/>
    </row>
    <row r="264" spans="1:11" ht="14.25">
      <c r="A264" s="19"/>
      <c r="B264" s="31"/>
      <c r="C264" s="19"/>
      <c r="D264" s="19"/>
      <c r="E264" s="19"/>
      <c r="F264" s="20"/>
      <c r="G264" s="19"/>
      <c r="H264" s="19"/>
      <c r="I264" s="20"/>
      <c r="J264" s="19"/>
      <c r="K264" s="19"/>
    </row>
    <row r="265" spans="1:11" ht="14.25">
      <c r="A265" s="19"/>
      <c r="B265" s="31"/>
      <c r="C265" s="19"/>
      <c r="D265" s="19"/>
      <c r="E265" s="19"/>
      <c r="F265" s="20"/>
      <c r="G265" s="19"/>
      <c r="H265" s="19"/>
      <c r="I265" s="20"/>
      <c r="J265" s="19"/>
      <c r="K265" s="19"/>
    </row>
    <row r="266" spans="1:11" ht="14.25">
      <c r="A266" s="19"/>
      <c r="B266" s="31"/>
      <c r="C266" s="19"/>
      <c r="D266" s="19"/>
      <c r="E266" s="19"/>
      <c r="F266" s="20"/>
      <c r="G266" s="19"/>
      <c r="H266" s="19"/>
      <c r="I266" s="20"/>
      <c r="J266" s="19"/>
      <c r="K266" s="19"/>
    </row>
    <row r="267" spans="1:11" ht="14.25">
      <c r="A267" s="19"/>
      <c r="B267" s="31"/>
      <c r="C267" s="19"/>
      <c r="D267" s="19"/>
      <c r="E267" s="19"/>
      <c r="F267" s="20"/>
      <c r="G267" s="19"/>
      <c r="H267" s="19"/>
      <c r="I267" s="20"/>
      <c r="J267" s="19"/>
      <c r="K267" s="19"/>
    </row>
    <row r="268" spans="1:11" ht="14.25">
      <c r="A268" s="19"/>
      <c r="B268" s="31"/>
      <c r="C268" s="19"/>
      <c r="D268" s="19"/>
      <c r="E268" s="19"/>
      <c r="F268" s="20"/>
      <c r="G268" s="19"/>
      <c r="H268" s="19"/>
      <c r="I268" s="20"/>
      <c r="J268" s="19"/>
      <c r="K268" s="19"/>
    </row>
    <row r="269" spans="1:11" ht="14.25">
      <c r="A269" s="19"/>
      <c r="B269" s="31"/>
      <c r="C269" s="19"/>
      <c r="D269" s="19"/>
      <c r="E269" s="19"/>
      <c r="F269" s="20"/>
      <c r="G269" s="19"/>
      <c r="H269" s="19"/>
      <c r="I269" s="20"/>
      <c r="J269" s="19"/>
      <c r="K269" s="19"/>
    </row>
    <row r="270" spans="1:11" ht="14.25">
      <c r="A270" s="19"/>
      <c r="B270" s="31"/>
      <c r="C270" s="19"/>
      <c r="D270" s="19"/>
      <c r="E270" s="19"/>
      <c r="F270" s="20"/>
      <c r="G270" s="19"/>
      <c r="H270" s="19"/>
      <c r="I270" s="20"/>
      <c r="J270" s="19"/>
      <c r="K270" s="19"/>
    </row>
    <row r="271" spans="1:11" ht="14.25">
      <c r="A271" s="19"/>
      <c r="B271" s="31"/>
      <c r="C271" s="19"/>
      <c r="D271" s="19"/>
      <c r="E271" s="19"/>
      <c r="F271" s="20"/>
      <c r="G271" s="19"/>
      <c r="H271" s="19"/>
      <c r="I271" s="20"/>
      <c r="J271" s="19"/>
      <c r="K271" s="19"/>
    </row>
    <row r="272" spans="1:11" ht="14.25">
      <c r="A272" s="19"/>
      <c r="B272" s="31"/>
      <c r="C272" s="19"/>
      <c r="D272" s="19"/>
      <c r="E272" s="19"/>
      <c r="F272" s="20"/>
      <c r="G272" s="19"/>
      <c r="H272" s="19"/>
      <c r="I272" s="20"/>
      <c r="J272" s="19"/>
      <c r="K272" s="19"/>
    </row>
    <row r="273" spans="1:11" ht="14.25">
      <c r="A273" s="19"/>
      <c r="B273" s="31"/>
      <c r="C273" s="19"/>
      <c r="D273" s="19"/>
      <c r="E273" s="19"/>
      <c r="F273" s="20"/>
      <c r="G273" s="19"/>
      <c r="H273" s="19"/>
      <c r="I273" s="20"/>
      <c r="J273" s="19"/>
      <c r="K273" s="19"/>
    </row>
    <row r="274" spans="1:11" ht="14.25">
      <c r="A274" s="19"/>
      <c r="B274" s="31"/>
      <c r="C274" s="19"/>
      <c r="D274" s="19"/>
      <c r="E274" s="19"/>
      <c r="F274" s="20"/>
      <c r="G274" s="19"/>
      <c r="H274" s="19"/>
      <c r="I274" s="20"/>
      <c r="J274" s="19"/>
      <c r="K274" s="19"/>
    </row>
    <row r="275" spans="1:11" ht="14.25">
      <c r="A275" s="19"/>
      <c r="B275" s="31"/>
      <c r="C275" s="19"/>
      <c r="D275" s="19"/>
      <c r="E275" s="19"/>
      <c r="F275" s="20"/>
      <c r="G275" s="19"/>
      <c r="H275" s="19"/>
      <c r="I275" s="20"/>
      <c r="J275" s="19"/>
      <c r="K275" s="19"/>
    </row>
    <row r="276" spans="1:11" ht="14.25">
      <c r="A276" s="19"/>
      <c r="B276" s="31"/>
      <c r="C276" s="19"/>
      <c r="D276" s="19"/>
      <c r="E276" s="19"/>
      <c r="F276" s="20"/>
      <c r="G276" s="19"/>
      <c r="H276" s="19"/>
      <c r="I276" s="20"/>
      <c r="J276" s="19"/>
      <c r="K276" s="19"/>
    </row>
    <row r="277" spans="1:11" ht="14.25">
      <c r="A277" s="19"/>
      <c r="B277" s="31"/>
      <c r="C277" s="19"/>
      <c r="D277" s="19"/>
      <c r="E277" s="19"/>
      <c r="F277" s="20"/>
      <c r="G277" s="19"/>
      <c r="H277" s="19"/>
      <c r="I277" s="20"/>
      <c r="J277" s="19"/>
      <c r="K277" s="19"/>
    </row>
    <row r="278" spans="1:11" ht="14.25">
      <c r="A278" s="19"/>
      <c r="B278" s="31"/>
      <c r="C278" s="19"/>
      <c r="D278" s="19"/>
      <c r="E278" s="19"/>
      <c r="F278" s="20"/>
      <c r="G278" s="19"/>
      <c r="H278" s="19"/>
      <c r="I278" s="20"/>
      <c r="J278" s="19"/>
      <c r="K278" s="19"/>
    </row>
    <row r="279" spans="1:11" ht="14.25">
      <c r="A279" s="19"/>
      <c r="B279" s="31"/>
      <c r="C279" s="19"/>
      <c r="D279" s="19"/>
      <c r="E279" s="19"/>
      <c r="F279" s="20"/>
      <c r="G279" s="19"/>
      <c r="H279" s="19"/>
      <c r="I279" s="20"/>
      <c r="J279" s="19"/>
      <c r="K279" s="19"/>
    </row>
    <row r="280" spans="1:11" ht="14.25">
      <c r="A280" s="19"/>
      <c r="B280" s="31"/>
      <c r="C280" s="19"/>
      <c r="D280" s="19"/>
      <c r="E280" s="19"/>
      <c r="F280" s="20"/>
      <c r="G280" s="19"/>
      <c r="H280" s="19"/>
      <c r="I280" s="20"/>
      <c r="J280" s="19"/>
      <c r="K280" s="19"/>
    </row>
    <row r="281" spans="1:11" ht="14.25">
      <c r="A281" s="19"/>
      <c r="B281" s="31"/>
      <c r="C281" s="19"/>
      <c r="D281" s="19"/>
      <c r="E281" s="19"/>
      <c r="F281" s="20"/>
      <c r="G281" s="19"/>
      <c r="H281" s="19"/>
      <c r="I281" s="20"/>
      <c r="J281" s="19"/>
      <c r="K281" s="19"/>
    </row>
    <row r="282" spans="1:11" ht="14.25">
      <c r="A282" s="19"/>
      <c r="B282" s="31"/>
      <c r="C282" s="19"/>
      <c r="D282" s="19"/>
      <c r="E282" s="19"/>
      <c r="F282" s="20"/>
      <c r="G282" s="19"/>
      <c r="H282" s="19"/>
      <c r="I282" s="20"/>
      <c r="J282" s="19"/>
      <c r="K282" s="19"/>
    </row>
    <row r="283" spans="1:11" ht="14.25">
      <c r="A283" s="19"/>
      <c r="B283" s="31"/>
      <c r="C283" s="19"/>
      <c r="D283" s="19"/>
      <c r="E283" s="19"/>
      <c r="F283" s="20"/>
      <c r="G283" s="19"/>
      <c r="H283" s="19"/>
      <c r="I283" s="20"/>
      <c r="J283" s="19"/>
      <c r="K283" s="19"/>
    </row>
    <row r="284" spans="1:11" ht="14.25">
      <c r="A284" s="19"/>
      <c r="B284" s="31"/>
      <c r="C284" s="19"/>
      <c r="D284" s="19"/>
      <c r="E284" s="19"/>
      <c r="F284" s="20"/>
      <c r="G284" s="19"/>
      <c r="H284" s="19"/>
      <c r="I284" s="20"/>
      <c r="J284" s="19"/>
      <c r="K284" s="19"/>
    </row>
    <row r="285" spans="1:11" ht="14.25">
      <c r="A285" s="19"/>
      <c r="B285" s="31"/>
      <c r="C285" s="19"/>
      <c r="D285" s="19"/>
      <c r="E285" s="19"/>
      <c r="F285" s="20"/>
      <c r="G285" s="19"/>
      <c r="H285" s="19"/>
      <c r="I285" s="20"/>
      <c r="J285" s="19"/>
      <c r="K285" s="19"/>
    </row>
    <row r="286" spans="1:11" ht="14.25">
      <c r="A286" s="19"/>
      <c r="B286" s="31"/>
      <c r="C286" s="19"/>
      <c r="D286" s="19"/>
      <c r="E286" s="19"/>
      <c r="F286" s="20"/>
      <c r="G286" s="19"/>
      <c r="H286" s="19"/>
      <c r="I286" s="20"/>
      <c r="J286" s="19"/>
      <c r="K286" s="19"/>
    </row>
    <row r="287" spans="1:11" ht="14.25">
      <c r="A287" s="19"/>
      <c r="B287" s="31"/>
      <c r="C287" s="19"/>
      <c r="D287" s="19"/>
      <c r="E287" s="19"/>
      <c r="F287" s="20"/>
      <c r="G287" s="19"/>
      <c r="H287" s="19"/>
      <c r="I287" s="20"/>
      <c r="J287" s="19"/>
      <c r="K287" s="19"/>
    </row>
    <row r="288" spans="1:11" ht="14.25">
      <c r="A288" s="19"/>
      <c r="B288" s="31"/>
      <c r="C288" s="19"/>
      <c r="D288" s="19"/>
      <c r="E288" s="19"/>
      <c r="F288" s="20"/>
      <c r="G288" s="19"/>
      <c r="H288" s="19"/>
      <c r="I288" s="20"/>
      <c r="J288" s="19"/>
      <c r="K288" s="19"/>
    </row>
    <row r="289" spans="1:11" ht="14.25">
      <c r="A289" s="19"/>
      <c r="B289" s="31"/>
      <c r="C289" s="19"/>
      <c r="D289" s="19"/>
      <c r="E289" s="19"/>
      <c r="F289" s="20"/>
      <c r="G289" s="19"/>
      <c r="H289" s="19"/>
      <c r="I289" s="20"/>
      <c r="J289" s="19"/>
      <c r="K289" s="19"/>
    </row>
    <row r="290" spans="1:11" ht="14.25">
      <c r="A290" s="19"/>
      <c r="B290" s="31"/>
      <c r="C290" s="19"/>
      <c r="D290" s="19"/>
      <c r="E290" s="19"/>
      <c r="F290" s="20"/>
      <c r="G290" s="19"/>
      <c r="H290" s="19"/>
      <c r="I290" s="20"/>
      <c r="J290" s="19"/>
      <c r="K290" s="19"/>
    </row>
    <row r="291" spans="1:11" ht="14.25">
      <c r="A291" s="19"/>
      <c r="B291" s="31"/>
      <c r="C291" s="19"/>
      <c r="D291" s="19"/>
      <c r="E291" s="19"/>
      <c r="F291" s="20"/>
      <c r="G291" s="19"/>
      <c r="H291" s="19"/>
      <c r="I291" s="20"/>
      <c r="J291" s="19"/>
      <c r="K291" s="19"/>
    </row>
    <row r="292" spans="1:11" ht="14.25">
      <c r="A292" s="19"/>
      <c r="B292" s="31"/>
      <c r="C292" s="19"/>
      <c r="D292" s="19"/>
      <c r="E292" s="19"/>
      <c r="F292" s="20"/>
      <c r="G292" s="19"/>
      <c r="H292" s="19"/>
      <c r="I292" s="20"/>
      <c r="J292" s="19"/>
      <c r="K292" s="19"/>
    </row>
    <row r="293" spans="1:11" ht="14.25">
      <c r="A293" s="19"/>
      <c r="B293" s="31"/>
      <c r="C293" s="19"/>
      <c r="D293" s="19"/>
      <c r="E293" s="19"/>
      <c r="F293" s="20"/>
      <c r="G293" s="19"/>
      <c r="H293" s="19"/>
      <c r="I293" s="20"/>
      <c r="J293" s="19"/>
      <c r="K293" s="19"/>
    </row>
    <row r="294" spans="1:11" ht="14.25">
      <c r="A294" s="19"/>
      <c r="B294" s="31"/>
      <c r="C294" s="19"/>
      <c r="D294" s="19"/>
      <c r="E294" s="19"/>
      <c r="F294" s="20"/>
      <c r="G294" s="19"/>
      <c r="H294" s="19"/>
      <c r="I294" s="20"/>
      <c r="J294" s="19"/>
      <c r="K294" s="19"/>
    </row>
    <row r="295" spans="1:11" ht="14.25">
      <c r="A295" s="19"/>
      <c r="B295" s="31"/>
      <c r="C295" s="19"/>
      <c r="D295" s="19"/>
      <c r="E295" s="19"/>
      <c r="F295" s="20"/>
      <c r="G295" s="19"/>
      <c r="H295" s="19"/>
      <c r="I295" s="20"/>
      <c r="J295" s="19"/>
      <c r="K295" s="19"/>
    </row>
    <row r="296" spans="1:11" ht="14.25">
      <c r="A296" s="19"/>
      <c r="B296" s="31"/>
      <c r="C296" s="19"/>
      <c r="D296" s="19"/>
      <c r="E296" s="19"/>
      <c r="F296" s="20"/>
      <c r="G296" s="19"/>
      <c r="H296" s="19"/>
      <c r="I296" s="20"/>
      <c r="J296" s="19"/>
      <c r="K296" s="19"/>
    </row>
    <row r="297" spans="1:11" ht="14.25">
      <c r="A297" s="19"/>
      <c r="B297" s="31"/>
      <c r="C297" s="19"/>
      <c r="D297" s="19"/>
      <c r="E297" s="19"/>
      <c r="F297" s="20"/>
      <c r="G297" s="19"/>
      <c r="H297" s="19"/>
      <c r="I297" s="20"/>
      <c r="J297" s="19"/>
      <c r="K297" s="19"/>
    </row>
    <row r="298" spans="1:11" ht="14.25">
      <c r="A298" s="19"/>
      <c r="B298" s="31"/>
      <c r="C298" s="19"/>
      <c r="D298" s="19"/>
      <c r="E298" s="19"/>
      <c r="F298" s="20"/>
      <c r="G298" s="19"/>
      <c r="H298" s="19"/>
      <c r="I298" s="20"/>
      <c r="J298" s="19"/>
      <c r="K298" s="19"/>
    </row>
    <row r="299" spans="1:11" ht="14.25">
      <c r="A299" s="19"/>
      <c r="B299" s="31"/>
      <c r="C299" s="19"/>
      <c r="D299" s="19"/>
      <c r="E299" s="19"/>
      <c r="F299" s="20"/>
      <c r="G299" s="19"/>
      <c r="H299" s="19"/>
      <c r="I299" s="20"/>
      <c r="J299" s="19"/>
      <c r="K299" s="19"/>
    </row>
    <row r="300" spans="1:11" ht="14.25">
      <c r="A300" s="19"/>
      <c r="B300" s="31"/>
      <c r="C300" s="19"/>
      <c r="D300" s="19"/>
      <c r="E300" s="19"/>
      <c r="F300" s="20"/>
      <c r="G300" s="19"/>
      <c r="H300" s="19"/>
      <c r="I300" s="20"/>
      <c r="J300" s="19"/>
      <c r="K300" s="19"/>
    </row>
    <row r="301" spans="1:11" ht="14.25">
      <c r="A301" s="19"/>
      <c r="B301" s="31"/>
      <c r="C301" s="19"/>
      <c r="D301" s="19"/>
      <c r="E301" s="19"/>
      <c r="F301" s="20"/>
      <c r="G301" s="19"/>
      <c r="H301" s="19"/>
      <c r="I301" s="20"/>
      <c r="J301" s="19"/>
      <c r="K301" s="19"/>
    </row>
    <row r="302" spans="1:11" ht="14.25">
      <c r="A302" s="19"/>
      <c r="B302" s="31"/>
      <c r="C302" s="19"/>
      <c r="D302" s="19"/>
      <c r="E302" s="19"/>
      <c r="F302" s="20"/>
      <c r="G302" s="19"/>
      <c r="H302" s="19"/>
      <c r="I302" s="20"/>
      <c r="J302" s="19"/>
      <c r="K302" s="19"/>
    </row>
    <row r="303" spans="1:11" ht="14.25">
      <c r="A303" s="19"/>
      <c r="B303" s="31"/>
      <c r="C303" s="19"/>
      <c r="D303" s="19"/>
      <c r="E303" s="19"/>
      <c r="F303" s="20"/>
      <c r="G303" s="19"/>
      <c r="H303" s="19"/>
      <c r="I303" s="20"/>
      <c r="J303" s="19"/>
      <c r="K303" s="19"/>
    </row>
    <row r="304" spans="1:11" ht="14.25">
      <c r="A304" s="19"/>
      <c r="B304" s="31"/>
      <c r="C304" s="19"/>
      <c r="D304" s="19"/>
      <c r="E304" s="19"/>
      <c r="F304" s="20"/>
      <c r="G304" s="19"/>
      <c r="H304" s="19"/>
      <c r="I304" s="20"/>
      <c r="J304" s="19"/>
      <c r="K304" s="19"/>
    </row>
    <row r="305" spans="1:11" ht="14.25">
      <c r="A305" s="19"/>
      <c r="B305" s="31"/>
      <c r="C305" s="19"/>
      <c r="D305" s="19"/>
      <c r="E305" s="19"/>
      <c r="F305" s="20"/>
      <c r="G305" s="19"/>
      <c r="H305" s="19"/>
      <c r="I305" s="20"/>
      <c r="J305" s="19"/>
      <c r="K305" s="19"/>
    </row>
    <row r="306" spans="1:11" ht="14.25">
      <c r="A306" s="19"/>
      <c r="B306" s="31"/>
      <c r="C306" s="19"/>
      <c r="D306" s="19"/>
      <c r="E306" s="19"/>
      <c r="F306" s="20"/>
      <c r="G306" s="19"/>
      <c r="H306" s="19"/>
      <c r="I306" s="20"/>
      <c r="J306" s="19"/>
      <c r="K306" s="19"/>
    </row>
    <row r="307" spans="1:11" ht="14.25">
      <c r="A307" s="19"/>
      <c r="B307" s="31"/>
      <c r="C307" s="19"/>
      <c r="D307" s="19"/>
      <c r="E307" s="19"/>
      <c r="F307" s="20"/>
      <c r="G307" s="19"/>
      <c r="H307" s="19"/>
      <c r="I307" s="20"/>
      <c r="J307" s="19"/>
      <c r="K307" s="19"/>
    </row>
    <row r="308" spans="1:11" ht="14.25">
      <c r="A308" s="19"/>
      <c r="B308" s="31"/>
      <c r="C308" s="19"/>
      <c r="D308" s="19"/>
      <c r="E308" s="19"/>
      <c r="F308" s="20"/>
      <c r="G308" s="19"/>
      <c r="H308" s="19"/>
      <c r="I308" s="20"/>
      <c r="J308" s="19"/>
      <c r="K308" s="19"/>
    </row>
    <row r="309" spans="1:11" ht="14.25">
      <c r="A309" s="19"/>
      <c r="B309" s="31"/>
      <c r="C309" s="19"/>
      <c r="D309" s="19"/>
      <c r="E309" s="19"/>
      <c r="F309" s="20"/>
      <c r="G309" s="19"/>
      <c r="H309" s="19"/>
      <c r="I309" s="20"/>
      <c r="J309" s="19"/>
      <c r="K309" s="19"/>
    </row>
    <row r="310" spans="1:11" ht="14.25">
      <c r="A310" s="19"/>
      <c r="B310" s="31"/>
      <c r="C310" s="19"/>
      <c r="D310" s="19"/>
      <c r="E310" s="19"/>
      <c r="F310" s="20"/>
      <c r="G310" s="19"/>
      <c r="H310" s="19"/>
      <c r="I310" s="20"/>
      <c r="J310" s="19"/>
      <c r="K310" s="19"/>
    </row>
    <row r="311" spans="1:11" ht="14.25">
      <c r="A311" s="19"/>
      <c r="B311" s="31"/>
      <c r="C311" s="19"/>
      <c r="D311" s="19"/>
      <c r="E311" s="19"/>
      <c r="F311" s="20"/>
      <c r="G311" s="19"/>
      <c r="H311" s="19"/>
      <c r="I311" s="20"/>
      <c r="J311" s="19"/>
      <c r="K311" s="19"/>
    </row>
    <row r="312" spans="1:11" ht="14.25">
      <c r="A312" s="19"/>
      <c r="B312" s="31"/>
      <c r="C312" s="19"/>
      <c r="D312" s="19"/>
      <c r="E312" s="19"/>
      <c r="F312" s="20"/>
      <c r="G312" s="19"/>
      <c r="H312" s="19"/>
      <c r="I312" s="20"/>
      <c r="J312" s="19"/>
      <c r="K312" s="19"/>
    </row>
    <row r="313" spans="1:11" ht="14.25">
      <c r="A313" s="19"/>
      <c r="B313" s="31"/>
      <c r="C313" s="19"/>
      <c r="D313" s="19"/>
      <c r="E313" s="19"/>
      <c r="F313" s="20"/>
      <c r="G313" s="19"/>
      <c r="H313" s="19"/>
      <c r="I313" s="20"/>
      <c r="J313" s="19"/>
      <c r="K313" s="19"/>
    </row>
    <row r="314" spans="1:11" ht="14.25">
      <c r="A314" s="19"/>
      <c r="B314" s="31"/>
      <c r="C314" s="19"/>
      <c r="D314" s="19"/>
      <c r="E314" s="19"/>
      <c r="F314" s="20"/>
      <c r="G314" s="19"/>
      <c r="H314" s="19"/>
      <c r="I314" s="20"/>
      <c r="J314" s="19"/>
      <c r="K314" s="19"/>
    </row>
    <row r="315" spans="1:11" ht="14.25">
      <c r="A315" s="19"/>
      <c r="B315" s="31"/>
      <c r="C315" s="19"/>
      <c r="D315" s="19"/>
      <c r="E315" s="19"/>
      <c r="F315" s="20"/>
      <c r="G315" s="19"/>
      <c r="H315" s="19"/>
      <c r="I315" s="20"/>
      <c r="J315" s="19"/>
      <c r="K315" s="19"/>
    </row>
    <row r="316" spans="1:11" ht="14.25">
      <c r="A316" s="19"/>
      <c r="B316" s="31"/>
      <c r="C316" s="19"/>
      <c r="D316" s="19"/>
      <c r="E316" s="19"/>
      <c r="F316" s="20"/>
      <c r="G316" s="19"/>
      <c r="H316" s="19"/>
      <c r="I316" s="20"/>
      <c r="J316" s="19"/>
      <c r="K316" s="19"/>
    </row>
    <row r="317" spans="1:11" ht="14.25">
      <c r="A317" s="19"/>
      <c r="B317" s="31"/>
      <c r="C317" s="19"/>
      <c r="D317" s="19"/>
      <c r="E317" s="19"/>
      <c r="F317" s="20"/>
      <c r="G317" s="19"/>
      <c r="H317" s="19"/>
      <c r="I317" s="20"/>
      <c r="J317" s="19"/>
      <c r="K317" s="19"/>
    </row>
    <row r="318" spans="1:11" ht="14.25">
      <c r="A318" s="19"/>
      <c r="B318" s="31"/>
      <c r="C318" s="19"/>
      <c r="D318" s="19"/>
      <c r="E318" s="19"/>
      <c r="F318" s="20"/>
      <c r="G318" s="19"/>
      <c r="H318" s="19"/>
      <c r="I318" s="20"/>
      <c r="J318" s="19"/>
      <c r="K318" s="19"/>
    </row>
    <row r="319" spans="1:11" ht="14.25">
      <c r="A319" s="19"/>
      <c r="B319" s="31"/>
      <c r="C319" s="19"/>
      <c r="D319" s="19"/>
      <c r="E319" s="19"/>
      <c r="F319" s="20"/>
      <c r="G319" s="19"/>
      <c r="H319" s="19"/>
      <c r="I319" s="20"/>
      <c r="J319" s="19"/>
      <c r="K319" s="19"/>
    </row>
    <row r="320" spans="1:11" ht="14.25">
      <c r="A320" s="19"/>
      <c r="B320" s="31"/>
      <c r="C320" s="19"/>
      <c r="D320" s="19"/>
      <c r="E320" s="19"/>
      <c r="F320" s="20"/>
      <c r="G320" s="19"/>
      <c r="H320" s="19"/>
      <c r="I320" s="20"/>
      <c r="J320" s="19"/>
      <c r="K320" s="19"/>
    </row>
    <row r="321" spans="1:11" ht="14.25">
      <c r="A321" s="19"/>
      <c r="B321" s="31"/>
      <c r="C321" s="19"/>
      <c r="D321" s="19"/>
      <c r="E321" s="19"/>
      <c r="F321" s="20"/>
      <c r="G321" s="19"/>
      <c r="H321" s="19"/>
      <c r="I321" s="20"/>
      <c r="J321" s="19"/>
      <c r="K321" s="19"/>
    </row>
    <row r="322" spans="1:11" ht="13.9">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7" priority="3" stopIfTrue="1" operator="lessThanOrEqual">
      <formula>-0.1</formula>
    </cfRule>
    <cfRule type="expression" dxfId="6"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G4" activePane="bottomRight" state="frozen"/>
      <selection pane="bottomRight" activeCell="J4" activeCellId="3" sqref="C4:C10 D4:D10 G4:G10 J4:Q10"/>
      <selection pane="bottomLeft" activeCell="J4" activeCellId="3" sqref="C4:C10 D4:D10 G4:G10 J4:Q10"/>
      <selection pane="topRight" activeCell="J4" activeCellId="3" sqref="C4:C10 D4:D10 G4:G10 J4:Q10"/>
    </sheetView>
  </sheetViews>
  <sheetFormatPr defaultRowHeight="13.5"/>
  <cols>
    <col min="1" max="1" width="35.85546875" bestFit="1" customWidth="1"/>
    <col min="2" max="2" width="8.42578125" style="32"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1" ht="19.5" customHeight="1">
      <c r="A1" s="111" t="str" cm="1">
        <f t="array" ref="A1">portfolio</f>
        <v>GoodFinch</v>
      </c>
      <c r="B1" s="111"/>
      <c r="C1" s="111"/>
      <c r="D1" s="112" t="s">
        <v>127</v>
      </c>
      <c r="E1" s="112"/>
      <c r="F1" s="112"/>
      <c r="G1" s="110" t="s">
        <v>128</v>
      </c>
      <c r="H1" s="110"/>
      <c r="I1" s="110"/>
      <c r="J1" s="4"/>
      <c r="K1" s="4"/>
    </row>
    <row r="2" spans="1:11" ht="19.5" customHeight="1">
      <c r="A2" s="113" t="s">
        <v>2</v>
      </c>
      <c r="B2" s="113"/>
      <c r="C2" s="5">
        <f>SUM(C4:C80)</f>
        <v>0</v>
      </c>
      <c r="D2" s="5">
        <f>SUM(D4:D80)</f>
        <v>0</v>
      </c>
      <c r="E2" s="5">
        <f>C2-D2</f>
        <v>0</v>
      </c>
      <c r="F2" s="6">
        <f>IFERROR(E2/D2, 0)</f>
        <v>0</v>
      </c>
      <c r="G2" s="5">
        <f>SUM(G4:G80)</f>
        <v>0</v>
      </c>
      <c r="H2" s="7">
        <f>C2-G2</f>
        <v>0</v>
      </c>
      <c r="I2" s="6">
        <f>IFERROR(H2/G2, 0)</f>
        <v>0</v>
      </c>
      <c r="J2" s="24"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21</v>
      </c>
      <c r="K3" s="23" t="s">
        <v>22</v>
      </c>
    </row>
    <row r="4" spans="1:11" ht="15.75">
      <c r="A4" s="30" t="str" cm="1">
        <f t="array" ref="A4:A45">Sites[Site]</f>
        <v>AZ: Tempe - ASU - Farmer</v>
      </c>
      <c r="B4" s="27" t="str" cm="1">
        <f t="array" ref="B4:B45">Sites[State]</f>
        <v>AZ</v>
      </c>
      <c r="C4" s="22"/>
      <c r="D4" s="12"/>
      <c r="E4" s="12" t="str">
        <f>IF(AND(ISNUMBER(C4),ISNUMBER(D4)), C4-D4, "")</f>
        <v/>
      </c>
      <c r="F4" s="13" t="str">
        <f>IFERROR(E4/D4, "")</f>
        <v/>
      </c>
      <c r="G4" s="14"/>
      <c r="H4" s="14" t="str">
        <f>IF(AND(ISNUMBER(C4),ISNUMBER(G4)), C4-G4, "")</f>
        <v/>
      </c>
      <c r="I4" s="15" t="str">
        <f>IFERROR(H4/G4, "")</f>
        <v/>
      </c>
      <c r="J4" s="39"/>
      <c r="K4" s="39"/>
    </row>
    <row r="5" spans="1:11" ht="15.75">
      <c r="A5" s="28" t="str">
        <v>AZ: Tempe - ASU - Fulton</v>
      </c>
      <c r="B5" s="29" t="str">
        <v>AZ</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56"/>
    </row>
    <row r="6" spans="1:11" ht="15.75">
      <c r="A6" s="26" t="str">
        <v>AZ: Superior - JFK Elementary</v>
      </c>
      <c r="B6" s="27" t="str">
        <v>AZ</v>
      </c>
      <c r="C6" s="22"/>
      <c r="D6" s="12"/>
      <c r="E6" s="12" t="str">
        <f t="shared" si="0"/>
        <v/>
      </c>
      <c r="F6" s="13" t="str">
        <f t="shared" ref="F6:F9" si="3">IFERROR(E6/D6, "")</f>
        <v/>
      </c>
      <c r="G6" s="14"/>
      <c r="H6" s="14" t="str">
        <f t="shared" si="1"/>
        <v/>
      </c>
      <c r="I6" s="15" t="str">
        <f t="shared" si="2"/>
        <v/>
      </c>
      <c r="J6" s="39"/>
      <c r="K6" s="39"/>
    </row>
    <row r="7" spans="1:11" ht="15.75">
      <c r="A7" s="28" t="str">
        <v>AZ: Tempe - ASU - Noble</v>
      </c>
      <c r="B7" s="29" t="str">
        <v>AZ</v>
      </c>
      <c r="C7" s="11"/>
      <c r="D7" s="16"/>
      <c r="E7" s="16" t="str">
        <f t="shared" si="0"/>
        <v/>
      </c>
      <c r="F7" s="17" t="str">
        <f t="shared" si="3"/>
        <v/>
      </c>
      <c r="G7" s="18"/>
      <c r="H7" s="18" t="str">
        <f t="shared" si="1"/>
        <v/>
      </c>
      <c r="I7" s="17" t="str">
        <f t="shared" si="2"/>
        <v/>
      </c>
      <c r="J7" s="40"/>
      <c r="K7" s="41"/>
    </row>
    <row r="8" spans="1:11" ht="15.75">
      <c r="A8" s="26" t="str">
        <v>AZ: Tempe - ASU - Parking #3</v>
      </c>
      <c r="B8" s="27" t="str">
        <v>AZ</v>
      </c>
      <c r="C8" s="22"/>
      <c r="D8" s="12"/>
      <c r="E8" s="12" t="str">
        <f t="shared" si="0"/>
        <v/>
      </c>
      <c r="F8" s="13" t="str">
        <f t="shared" si="3"/>
        <v/>
      </c>
      <c r="G8" s="14"/>
      <c r="H8" s="14" t="str">
        <f t="shared" si="1"/>
        <v/>
      </c>
      <c r="I8" s="15" t="str">
        <f t="shared" si="2"/>
        <v/>
      </c>
      <c r="J8" s="39"/>
      <c r="K8" s="39"/>
    </row>
    <row r="9" spans="1:11" ht="15.75">
      <c r="A9" s="28" t="str">
        <v>AZ: Tempe - ASU - PE East</v>
      </c>
      <c r="B9" s="29" t="str">
        <v>AZ</v>
      </c>
      <c r="C9" s="11"/>
      <c r="D9" s="16"/>
      <c r="E9" s="16" t="str">
        <f t="shared" si="0"/>
        <v/>
      </c>
      <c r="F9" s="17" t="str">
        <f t="shared" si="3"/>
        <v/>
      </c>
      <c r="G9" s="18"/>
      <c r="H9" s="18" t="str">
        <f t="shared" si="1"/>
        <v/>
      </c>
      <c r="I9" s="17" t="str">
        <f t="shared" si="2"/>
        <v/>
      </c>
      <c r="J9" s="40"/>
      <c r="K9" s="56"/>
    </row>
    <row r="10" spans="1:11" ht="15.75">
      <c r="A10" s="26" t="str">
        <v>AZ: Tempe - ASU - Schwada</v>
      </c>
      <c r="B10" s="27" t="str">
        <v>AZ</v>
      </c>
      <c r="C10" s="73"/>
      <c r="D10" s="12"/>
      <c r="E10" s="12" t="str">
        <f t="shared" ref="E10:E45" si="4">IF(AND(ISNUMBER(C10),ISNUMBER(D10)), C10-D10, "")</f>
        <v/>
      </c>
      <c r="F10" s="74" t="str">
        <f t="shared" ref="F10:F45" si="5">IFERROR(E10/D10, "")</f>
        <v/>
      </c>
      <c r="G10" s="75"/>
      <c r="H10" s="75" t="str">
        <f t="shared" ref="H10:H45" si="6">IF(AND(ISNUMBER(C10),ISNUMBER(G10)), C10-G10, "")</f>
        <v/>
      </c>
      <c r="I10" s="76" t="str">
        <f t="shared" ref="I10:I45" si="7">IFERROR(H10/G10, "")</f>
        <v/>
      </c>
      <c r="J10" s="77"/>
      <c r="K10" s="77"/>
    </row>
    <row r="11" spans="1:11" ht="15.75">
      <c r="A11" s="28" t="str">
        <v>AZ: Phoenix - Starshine Academy</v>
      </c>
      <c r="B11" s="29" t="str">
        <v>AZ</v>
      </c>
      <c r="C11" s="100"/>
      <c r="D11" s="16"/>
      <c r="E11" s="16" t="str">
        <f t="shared" si="4"/>
        <v/>
      </c>
      <c r="F11" s="99" t="str">
        <f t="shared" si="5"/>
        <v/>
      </c>
      <c r="G11" s="80"/>
      <c r="H11" s="80" t="str">
        <f t="shared" si="6"/>
        <v/>
      </c>
      <c r="I11" s="99" t="str">
        <f t="shared" si="7"/>
        <v/>
      </c>
      <c r="J11" s="40"/>
      <c r="K11" s="56"/>
    </row>
    <row r="12" spans="1:11" ht="15.75">
      <c r="A12" s="26" t="str">
        <v>AZ: Yuma Airport</v>
      </c>
      <c r="B12" s="27" t="str">
        <v>AZ</v>
      </c>
      <c r="C12" s="73"/>
      <c r="D12" s="12"/>
      <c r="E12" s="12" t="str">
        <f t="shared" si="4"/>
        <v/>
      </c>
      <c r="F12" s="74" t="str">
        <f t="shared" si="5"/>
        <v/>
      </c>
      <c r="G12" s="75"/>
      <c r="H12" s="75" t="str">
        <f t="shared" si="6"/>
        <v/>
      </c>
      <c r="I12" s="76" t="str">
        <f t="shared" si="7"/>
        <v/>
      </c>
      <c r="J12" s="77"/>
      <c r="K12" s="77"/>
    </row>
    <row r="13" spans="1:11" ht="15.75">
      <c r="A13" s="28" t="str">
        <v>AZ: Globe - Gila CC</v>
      </c>
      <c r="B13" s="29" t="str">
        <v>AZ</v>
      </c>
      <c r="C13" s="100"/>
      <c r="D13" s="16"/>
      <c r="E13" s="16" t="str">
        <f t="shared" si="4"/>
        <v/>
      </c>
      <c r="F13" s="99" t="str">
        <f t="shared" si="5"/>
        <v/>
      </c>
      <c r="G13" s="80"/>
      <c r="H13" s="80" t="str">
        <f t="shared" si="6"/>
        <v/>
      </c>
      <c r="I13" s="99" t="str">
        <f t="shared" si="7"/>
        <v/>
      </c>
      <c r="J13" s="40"/>
      <c r="K13" s="56"/>
    </row>
    <row r="14" spans="1:11" ht="15.75">
      <c r="A14" s="26" t="str">
        <v>AZ: Payson - Gila CC</v>
      </c>
      <c r="B14" s="27" t="str">
        <v>AZ</v>
      </c>
      <c r="C14" s="73"/>
      <c r="D14" s="12"/>
      <c r="E14" s="12" t="str">
        <f t="shared" si="4"/>
        <v/>
      </c>
      <c r="F14" s="74" t="str">
        <f t="shared" si="5"/>
        <v/>
      </c>
      <c r="G14" s="75"/>
      <c r="H14" s="75" t="str">
        <f t="shared" si="6"/>
        <v/>
      </c>
      <c r="I14" s="76" t="str">
        <f t="shared" si="7"/>
        <v/>
      </c>
      <c r="J14" s="77"/>
      <c r="K14" s="77"/>
    </row>
    <row r="15" spans="1:11" ht="15.75">
      <c r="A15" s="28" t="str">
        <v>AZ: Mesa - Sequoia Charter School</v>
      </c>
      <c r="B15" s="29" t="str">
        <v>AZ</v>
      </c>
      <c r="C15" s="100"/>
      <c r="D15" s="16"/>
      <c r="E15" s="16" t="str">
        <f t="shared" si="4"/>
        <v/>
      </c>
      <c r="F15" s="99" t="str">
        <f t="shared" si="5"/>
        <v/>
      </c>
      <c r="G15" s="80"/>
      <c r="H15" s="80" t="str">
        <f t="shared" si="6"/>
        <v/>
      </c>
      <c r="I15" s="99" t="str">
        <f t="shared" si="7"/>
        <v/>
      </c>
      <c r="J15" s="40"/>
      <c r="K15" s="56"/>
    </row>
    <row r="16" spans="1:11" ht="15.75">
      <c r="A16" s="26" t="str">
        <v>AZ: Tempe - SCNM</v>
      </c>
      <c r="B16" s="27" t="str">
        <v>AZ</v>
      </c>
      <c r="C16" s="73"/>
      <c r="D16" s="12"/>
      <c r="E16" s="12" t="str">
        <f t="shared" si="4"/>
        <v/>
      </c>
      <c r="F16" s="74" t="str">
        <f t="shared" si="5"/>
        <v/>
      </c>
      <c r="G16" s="75"/>
      <c r="H16" s="75" t="str">
        <f t="shared" si="6"/>
        <v/>
      </c>
      <c r="I16" s="76" t="str">
        <f t="shared" si="7"/>
        <v/>
      </c>
      <c r="J16" s="77"/>
      <c r="K16" s="77"/>
    </row>
    <row r="17" spans="1:11" ht="15.75">
      <c r="A17" s="28" t="str">
        <v>DE: Newark - Clayton Hall</v>
      </c>
      <c r="B17" s="29" t="str">
        <v>DE</v>
      </c>
      <c r="C17" s="100"/>
      <c r="D17" s="16"/>
      <c r="E17" s="16" t="str">
        <f t="shared" si="4"/>
        <v/>
      </c>
      <c r="F17" s="99" t="str">
        <f t="shared" si="5"/>
        <v/>
      </c>
      <c r="G17" s="80"/>
      <c r="H17" s="80" t="str">
        <f t="shared" si="6"/>
        <v/>
      </c>
      <c r="I17" s="99" t="str">
        <f t="shared" si="7"/>
        <v/>
      </c>
      <c r="J17" s="40"/>
      <c r="K17" s="56"/>
    </row>
    <row r="18" spans="1:11" ht="15.75">
      <c r="A18" s="26" t="str">
        <v>DE: Newark - UOD Field House</v>
      </c>
      <c r="B18" s="27" t="str">
        <v>DE</v>
      </c>
      <c r="C18" s="73"/>
      <c r="D18" s="12"/>
      <c r="E18" s="12" t="str">
        <f t="shared" si="4"/>
        <v/>
      </c>
      <c r="F18" s="74" t="str">
        <f t="shared" si="5"/>
        <v/>
      </c>
      <c r="G18" s="75"/>
      <c r="H18" s="75" t="str">
        <f t="shared" si="6"/>
        <v/>
      </c>
      <c r="I18" s="76" t="str">
        <f t="shared" si="7"/>
        <v/>
      </c>
      <c r="J18" s="77"/>
      <c r="K18" s="77"/>
    </row>
    <row r="19" spans="1:11" ht="15.75">
      <c r="A19" s="28" t="str">
        <v>DE: Newark - UOD 461 Wyoming</v>
      </c>
      <c r="B19" s="29" t="str">
        <v>DE</v>
      </c>
      <c r="C19" s="100"/>
      <c r="D19" s="16"/>
      <c r="E19" s="16" t="str">
        <f t="shared" si="4"/>
        <v/>
      </c>
      <c r="F19" s="99" t="str">
        <f t="shared" si="5"/>
        <v/>
      </c>
      <c r="G19" s="80"/>
      <c r="H19" s="80" t="str">
        <f t="shared" si="6"/>
        <v/>
      </c>
      <c r="I19" s="99" t="str">
        <f t="shared" si="7"/>
        <v/>
      </c>
      <c r="J19" s="40"/>
      <c r="K19" s="56"/>
    </row>
    <row r="20" spans="1:11" ht="15.75">
      <c r="A20" s="26" t="str">
        <v>HI: Waipahu - 94-246 Leoku St - E.F.G.</v>
      </c>
      <c r="B20" s="27" t="str">
        <v>HI</v>
      </c>
      <c r="C20" s="73"/>
      <c r="D20" s="12"/>
      <c r="E20" s="12" t="str">
        <f t="shared" si="4"/>
        <v/>
      </c>
      <c r="F20" s="74" t="str">
        <f t="shared" si="5"/>
        <v/>
      </c>
      <c r="G20" s="75"/>
      <c r="H20" s="75" t="str">
        <f t="shared" si="6"/>
        <v/>
      </c>
      <c r="I20" s="76" t="str">
        <f t="shared" si="7"/>
        <v/>
      </c>
      <c r="J20" s="77"/>
      <c r="K20" s="77"/>
    </row>
    <row r="21" spans="1:11" ht="15.75">
      <c r="A21" s="28" t="str">
        <v>HI: Waipahu - 94-099 Waipahu St - PV</v>
      </c>
      <c r="B21" s="29" t="str">
        <v>HI</v>
      </c>
      <c r="C21" s="100"/>
      <c r="D21" s="16"/>
      <c r="E21" s="16" t="str">
        <f t="shared" si="4"/>
        <v/>
      </c>
      <c r="F21" s="99" t="str">
        <f t="shared" si="5"/>
        <v/>
      </c>
      <c r="G21" s="80"/>
      <c r="H21" s="80" t="str">
        <f t="shared" si="6"/>
        <v/>
      </c>
      <c r="I21" s="99" t="str">
        <f t="shared" si="7"/>
        <v/>
      </c>
      <c r="J21" s="40"/>
      <c r="K21" s="56"/>
    </row>
    <row r="22" spans="1:11" ht="15.75">
      <c r="A22" s="26" t="str">
        <v>MD: Presston - Bird-in-Hand</v>
      </c>
      <c r="B22" s="27" t="str">
        <v>MD</v>
      </c>
      <c r="C22" s="73"/>
      <c r="D22" s="12"/>
      <c r="E22" s="12" t="str">
        <f t="shared" si="4"/>
        <v/>
      </c>
      <c r="F22" s="74" t="str">
        <f t="shared" si="5"/>
        <v/>
      </c>
      <c r="G22" s="75"/>
      <c r="H22" s="75" t="str">
        <f t="shared" si="6"/>
        <v/>
      </c>
      <c r="I22" s="76" t="str">
        <f t="shared" si="7"/>
        <v/>
      </c>
      <c r="J22" s="77"/>
      <c r="K22" s="77"/>
    </row>
    <row r="23" spans="1:11" ht="15.75">
      <c r="A23" s="28" t="str">
        <v>MD: Easton - Shortall</v>
      </c>
      <c r="B23" s="29" t="str">
        <v>MD</v>
      </c>
      <c r="C23" s="100"/>
      <c r="D23" s="16"/>
      <c r="E23" s="16" t="str">
        <f t="shared" si="4"/>
        <v/>
      </c>
      <c r="F23" s="99" t="str">
        <f t="shared" si="5"/>
        <v/>
      </c>
      <c r="G23" s="80"/>
      <c r="H23" s="80" t="str">
        <f t="shared" si="6"/>
        <v/>
      </c>
      <c r="I23" s="99" t="str">
        <f t="shared" si="7"/>
        <v/>
      </c>
      <c r="J23" s="40"/>
      <c r="K23" s="56"/>
    </row>
    <row r="24" spans="1:11" ht="15.75">
      <c r="A24" s="26" t="str">
        <v>MA: Boston - Seaport Solar</v>
      </c>
      <c r="B24" s="27" t="str">
        <v>MA</v>
      </c>
      <c r="C24" s="73"/>
      <c r="D24" s="12"/>
      <c r="E24" s="12" t="str">
        <f t="shared" si="4"/>
        <v/>
      </c>
      <c r="F24" s="74" t="str">
        <f t="shared" si="5"/>
        <v/>
      </c>
      <c r="G24" s="75"/>
      <c r="H24" s="75" t="str">
        <f t="shared" si="6"/>
        <v/>
      </c>
      <c r="I24" s="76" t="str">
        <f t="shared" si="7"/>
        <v/>
      </c>
      <c r="J24" s="77"/>
      <c r="K24" s="77"/>
    </row>
    <row r="25" spans="1:11" ht="15.75">
      <c r="A25" s="28" t="str">
        <v>MA: Dedham - Sprague Street</v>
      </c>
      <c r="B25" s="29" t="str">
        <v>MA</v>
      </c>
      <c r="C25" s="100"/>
      <c r="D25" s="16"/>
      <c r="E25" s="16" t="str">
        <f t="shared" si="4"/>
        <v/>
      </c>
      <c r="F25" s="99" t="str">
        <f t="shared" si="5"/>
        <v/>
      </c>
      <c r="G25" s="80"/>
      <c r="H25" s="80" t="str">
        <f t="shared" si="6"/>
        <v/>
      </c>
      <c r="I25" s="99" t="str">
        <f t="shared" si="7"/>
        <v/>
      </c>
      <c r="J25" s="40"/>
      <c r="K25" s="56"/>
    </row>
    <row r="26" spans="1:11" ht="15.75">
      <c r="A26" s="26" t="str">
        <v>MA: Boston - Summer Street</v>
      </c>
      <c r="B26" s="27" t="str">
        <v>MA</v>
      </c>
      <c r="C26" s="73"/>
      <c r="D26" s="12"/>
      <c r="E26" s="12" t="str">
        <f t="shared" si="4"/>
        <v/>
      </c>
      <c r="F26" s="74" t="str">
        <f t="shared" si="5"/>
        <v/>
      </c>
      <c r="G26" s="75"/>
      <c r="H26" s="75" t="str">
        <f t="shared" si="6"/>
        <v/>
      </c>
      <c r="I26" s="76" t="str">
        <f t="shared" si="7"/>
        <v/>
      </c>
      <c r="J26" s="77"/>
      <c r="K26" s="77"/>
    </row>
    <row r="27" spans="1:11" ht="15.75">
      <c r="A27" s="28" t="str">
        <v>MA: Leominster - Spectro Coatings</v>
      </c>
      <c r="B27" s="29" t="str">
        <v>MA</v>
      </c>
      <c r="C27" s="100"/>
      <c r="D27" s="16"/>
      <c r="E27" s="16" t="str">
        <f t="shared" si="4"/>
        <v/>
      </c>
      <c r="F27" s="99" t="str">
        <f t="shared" si="5"/>
        <v/>
      </c>
      <c r="G27" s="80"/>
      <c r="H27" s="80" t="str">
        <f t="shared" si="6"/>
        <v/>
      </c>
      <c r="I27" s="99" t="str">
        <f t="shared" si="7"/>
        <v/>
      </c>
      <c r="J27" s="40"/>
      <c r="K27" s="56"/>
    </row>
    <row r="28" spans="1:11" ht="15.75">
      <c r="A28" s="26" t="str">
        <v>MA: Braintree - RCAB</v>
      </c>
      <c r="B28" s="27" t="str">
        <v>MA</v>
      </c>
      <c r="C28" s="73"/>
      <c r="D28" s="12"/>
      <c r="E28" s="12" t="str">
        <f t="shared" si="4"/>
        <v/>
      </c>
      <c r="F28" s="74" t="str">
        <f t="shared" si="5"/>
        <v/>
      </c>
      <c r="G28" s="75"/>
      <c r="H28" s="75" t="str">
        <f t="shared" si="6"/>
        <v/>
      </c>
      <c r="I28" s="76" t="str">
        <f t="shared" si="7"/>
        <v/>
      </c>
      <c r="J28" s="77"/>
      <c r="K28" s="77"/>
    </row>
    <row r="29" spans="1:11" ht="15.75">
      <c r="A29" s="28" t="str">
        <v>NH: Rochester - Portland Street</v>
      </c>
      <c r="B29" s="29" t="str">
        <v>NH</v>
      </c>
      <c r="C29" s="100"/>
      <c r="D29" s="16"/>
      <c r="E29" s="16" t="str">
        <f t="shared" si="4"/>
        <v/>
      </c>
      <c r="F29" s="99" t="str">
        <f t="shared" si="5"/>
        <v/>
      </c>
      <c r="G29" s="80"/>
      <c r="H29" s="80" t="str">
        <f t="shared" si="6"/>
        <v/>
      </c>
      <c r="I29" s="99" t="str">
        <f t="shared" si="7"/>
        <v/>
      </c>
      <c r="J29" s="40"/>
      <c r="K29" s="56"/>
    </row>
    <row r="30" spans="1:11" ht="15.75">
      <c r="A30" s="26" t="str">
        <v>NH: Portsmouth - Portsmouth HS</v>
      </c>
      <c r="B30" s="27" t="str">
        <v>NH</v>
      </c>
      <c r="C30" s="73"/>
      <c r="D30" s="12"/>
      <c r="E30" s="12" t="str">
        <f t="shared" si="4"/>
        <v/>
      </c>
      <c r="F30" s="74" t="str">
        <f t="shared" si="5"/>
        <v/>
      </c>
      <c r="G30" s="75"/>
      <c r="H30" s="75" t="str">
        <f t="shared" si="6"/>
        <v/>
      </c>
      <c r="I30" s="76" t="str">
        <f t="shared" si="7"/>
        <v/>
      </c>
      <c r="J30" s="77"/>
      <c r="K30" s="77"/>
    </row>
    <row r="31" spans="1:11" ht="15.75">
      <c r="A31" s="28" t="str">
        <v>NH: Portsmouth - Portsmouth WTP</v>
      </c>
      <c r="B31" s="29" t="str">
        <v>NH</v>
      </c>
      <c r="C31" s="100"/>
      <c r="D31" s="16"/>
      <c r="E31" s="16" t="str">
        <f t="shared" si="4"/>
        <v/>
      </c>
      <c r="F31" s="99" t="str">
        <f t="shared" si="5"/>
        <v/>
      </c>
      <c r="G31" s="80"/>
      <c r="H31" s="80" t="str">
        <f t="shared" si="6"/>
        <v/>
      </c>
      <c r="I31" s="99" t="str">
        <f t="shared" si="7"/>
        <v/>
      </c>
      <c r="J31" s="40"/>
      <c r="K31" s="56"/>
    </row>
    <row r="32" spans="1:11" ht="15.75">
      <c r="A32" s="26" t="str">
        <v>NH: Rochester - Rochester MS</v>
      </c>
      <c r="B32" s="27" t="str">
        <v>NH</v>
      </c>
      <c r="C32" s="73"/>
      <c r="D32" s="12"/>
      <c r="E32" s="12" t="str">
        <f t="shared" si="4"/>
        <v/>
      </c>
      <c r="F32" s="74" t="str">
        <f t="shared" si="5"/>
        <v/>
      </c>
      <c r="G32" s="75"/>
      <c r="H32" s="75" t="str">
        <f t="shared" si="6"/>
        <v/>
      </c>
      <c r="I32" s="76" t="str">
        <f t="shared" si="7"/>
        <v/>
      </c>
      <c r="J32" s="77"/>
      <c r="K32" s="77"/>
    </row>
    <row r="33" spans="1:11" ht="15.75">
      <c r="A33" s="28" t="str">
        <v>NH Rochester - Spaulding HS</v>
      </c>
      <c r="B33" s="29" t="str">
        <v>NH</v>
      </c>
      <c r="C33" s="100"/>
      <c r="D33" s="16"/>
      <c r="E33" s="16" t="str">
        <f t="shared" si="4"/>
        <v/>
      </c>
      <c r="F33" s="99" t="str">
        <f t="shared" si="5"/>
        <v/>
      </c>
      <c r="G33" s="80"/>
      <c r="H33" s="80" t="str">
        <f t="shared" si="6"/>
        <v/>
      </c>
      <c r="I33" s="99" t="str">
        <f t="shared" si="7"/>
        <v/>
      </c>
      <c r="J33" s="40"/>
      <c r="K33" s="56"/>
    </row>
    <row r="34" spans="1:11" ht="15.75">
      <c r="A34" s="26" t="str">
        <v>NH: Rochester - McClelland ES</v>
      </c>
      <c r="B34" s="27" t="str">
        <v>NH</v>
      </c>
      <c r="C34" s="73"/>
      <c r="D34" s="12"/>
      <c r="E34" s="12" t="str">
        <f t="shared" si="4"/>
        <v/>
      </c>
      <c r="F34" s="74" t="str">
        <f t="shared" si="5"/>
        <v/>
      </c>
      <c r="G34" s="75"/>
      <c r="H34" s="75" t="str">
        <f t="shared" si="6"/>
        <v/>
      </c>
      <c r="I34" s="76" t="str">
        <f t="shared" si="7"/>
        <v/>
      </c>
      <c r="J34" s="77"/>
      <c r="K34" s="77"/>
    </row>
    <row r="35" spans="1:11" ht="15.75">
      <c r="A35" s="28" t="str">
        <v>NH: Rochester - Brock St Vocational</v>
      </c>
      <c r="B35" s="29" t="str">
        <v>NH</v>
      </c>
      <c r="C35" s="100"/>
      <c r="D35" s="16"/>
      <c r="E35" s="16" t="str">
        <f t="shared" si="4"/>
        <v/>
      </c>
      <c r="F35" s="99" t="str">
        <f t="shared" si="5"/>
        <v/>
      </c>
      <c r="G35" s="80"/>
      <c r="H35" s="80" t="str">
        <f t="shared" si="6"/>
        <v/>
      </c>
      <c r="I35" s="99" t="str">
        <f t="shared" si="7"/>
        <v/>
      </c>
      <c r="J35" s="40"/>
      <c r="K35" s="56"/>
    </row>
    <row r="36" spans="1:11" ht="15.75">
      <c r="A36" s="26" t="str">
        <v>OH: Cleveland - CV Kinsman</v>
      </c>
      <c r="B36" s="27" t="str">
        <v>OH</v>
      </c>
      <c r="C36" s="73"/>
      <c r="D36" s="12"/>
      <c r="E36" s="12" t="str">
        <f t="shared" si="4"/>
        <v/>
      </c>
      <c r="F36" s="74" t="str">
        <f t="shared" si="5"/>
        <v/>
      </c>
      <c r="G36" s="75"/>
      <c r="H36" s="75" t="str">
        <f t="shared" si="6"/>
        <v/>
      </c>
      <c r="I36" s="76" t="str">
        <f t="shared" si="7"/>
        <v/>
      </c>
      <c r="J36" s="77"/>
      <c r="K36" s="77"/>
    </row>
    <row r="37" spans="1:11" ht="15.75">
      <c r="A37" s="28" t="str">
        <v>OH: Cleveland - CV Wooster</v>
      </c>
      <c r="B37" s="29" t="str">
        <v>OH</v>
      </c>
      <c r="C37" s="100"/>
      <c r="D37" s="16"/>
      <c r="E37" s="16" t="str">
        <f t="shared" si="4"/>
        <v/>
      </c>
      <c r="F37" s="99" t="str">
        <f t="shared" si="5"/>
        <v/>
      </c>
      <c r="G37" s="80"/>
      <c r="H37" s="80" t="str">
        <f t="shared" si="6"/>
        <v/>
      </c>
      <c r="I37" s="99" t="str">
        <f t="shared" si="7"/>
        <v/>
      </c>
      <c r="J37" s="40"/>
      <c r="K37" s="56"/>
    </row>
    <row r="38" spans="1:11" ht="15.75">
      <c r="A38" s="26" t="str">
        <v>PR: Aguadilla - Coca Cola</v>
      </c>
      <c r="B38" s="27" t="str">
        <v>PR</v>
      </c>
      <c r="C38" s="73"/>
      <c r="D38" s="12"/>
      <c r="E38" s="12" t="str">
        <f t="shared" si="4"/>
        <v/>
      </c>
      <c r="F38" s="74" t="str">
        <f t="shared" si="5"/>
        <v/>
      </c>
      <c r="G38" s="75"/>
      <c r="H38" s="75" t="str">
        <f t="shared" si="6"/>
        <v/>
      </c>
      <c r="I38" s="76" t="str">
        <f t="shared" si="7"/>
        <v/>
      </c>
      <c r="J38" s="77"/>
      <c r="K38" s="77"/>
    </row>
    <row r="39" spans="1:11" ht="15.75">
      <c r="A39" s="28" t="str">
        <v>PR: Bayamon - Coca Cola</v>
      </c>
      <c r="B39" s="29" t="str">
        <v>PR</v>
      </c>
      <c r="C39" s="100"/>
      <c r="D39" s="16"/>
      <c r="E39" s="16" t="str">
        <f t="shared" si="4"/>
        <v/>
      </c>
      <c r="F39" s="99" t="str">
        <f t="shared" si="5"/>
        <v/>
      </c>
      <c r="G39" s="80"/>
      <c r="H39" s="80" t="str">
        <f t="shared" si="6"/>
        <v/>
      </c>
      <c r="I39" s="99" t="str">
        <f t="shared" si="7"/>
        <v/>
      </c>
      <c r="J39" s="40"/>
      <c r="K39" s="56"/>
    </row>
    <row r="40" spans="1:11" ht="15.75">
      <c r="A40" s="26" t="str">
        <v>PR: Carolina - St. Francis</v>
      </c>
      <c r="B40" s="27" t="str">
        <v>PR</v>
      </c>
      <c r="C40" s="73"/>
      <c r="D40" s="12"/>
      <c r="E40" s="12" t="str">
        <f t="shared" si="4"/>
        <v/>
      </c>
      <c r="F40" s="74" t="str">
        <f t="shared" si="5"/>
        <v/>
      </c>
      <c r="G40" s="75"/>
      <c r="H40" s="75" t="str">
        <f t="shared" si="6"/>
        <v/>
      </c>
      <c r="I40" s="76" t="str">
        <f t="shared" si="7"/>
        <v/>
      </c>
      <c r="J40" s="77"/>
      <c r="K40" s="77"/>
    </row>
    <row r="41" spans="1:11" ht="15.75">
      <c r="A41" s="28" t="str">
        <v>DC: Washington - Essex Condominium</v>
      </c>
      <c r="B41" s="29" t="str">
        <v>DC</v>
      </c>
      <c r="C41" s="100"/>
      <c r="D41" s="16"/>
      <c r="E41" s="16" t="str">
        <f t="shared" si="4"/>
        <v/>
      </c>
      <c r="F41" s="99" t="str">
        <f t="shared" si="5"/>
        <v/>
      </c>
      <c r="G41" s="80"/>
      <c r="H41" s="80" t="str">
        <f t="shared" si="6"/>
        <v/>
      </c>
      <c r="I41" s="99" t="str">
        <f t="shared" si="7"/>
        <v/>
      </c>
      <c r="J41" s="40"/>
      <c r="K41" s="56"/>
    </row>
    <row r="42" spans="1:11" ht="15.75">
      <c r="A42" s="26" t="str">
        <v>DC: Chevy Chase -Sinai</v>
      </c>
      <c r="B42" s="27" t="str">
        <v>DC</v>
      </c>
      <c r="C42" s="73"/>
      <c r="D42" s="12"/>
      <c r="E42" s="12" t="str">
        <f t="shared" si="4"/>
        <v/>
      </c>
      <c r="F42" s="74" t="str">
        <f t="shared" si="5"/>
        <v/>
      </c>
      <c r="G42" s="75"/>
      <c r="H42" s="75" t="str">
        <f t="shared" si="6"/>
        <v/>
      </c>
      <c r="I42" s="76" t="str">
        <f t="shared" si="7"/>
        <v/>
      </c>
      <c r="J42" s="77"/>
      <c r="K42" s="77"/>
    </row>
    <row r="43" spans="1:11" ht="15.75">
      <c r="A43" s="28" t="str">
        <v>DC: Washington - Weinberg 1</v>
      </c>
      <c r="B43" s="29" t="str">
        <v>DC</v>
      </c>
      <c r="C43" s="100"/>
      <c r="D43" s="16"/>
      <c r="E43" s="16" t="str">
        <f t="shared" si="4"/>
        <v/>
      </c>
      <c r="F43" s="99" t="str">
        <f t="shared" si="5"/>
        <v/>
      </c>
      <c r="G43" s="80"/>
      <c r="H43" s="80" t="str">
        <f t="shared" si="6"/>
        <v/>
      </c>
      <c r="I43" s="99" t="str">
        <f t="shared" si="7"/>
        <v/>
      </c>
      <c r="J43" s="40"/>
      <c r="K43" s="56"/>
    </row>
    <row r="44" spans="1:11" ht="15.75">
      <c r="A44" s="26" t="str">
        <v>DC: Washington - Weinberg 2</v>
      </c>
      <c r="B44" s="27" t="str">
        <v>DC</v>
      </c>
      <c r="C44" s="73"/>
      <c r="D44" s="12"/>
      <c r="E44" s="12" t="str">
        <f t="shared" si="4"/>
        <v/>
      </c>
      <c r="F44" s="74" t="str">
        <f t="shared" si="5"/>
        <v/>
      </c>
      <c r="G44" s="75"/>
      <c r="H44" s="75" t="str">
        <f t="shared" si="6"/>
        <v/>
      </c>
      <c r="I44" s="76" t="str">
        <f t="shared" si="7"/>
        <v/>
      </c>
      <c r="J44" s="77"/>
      <c r="K44" s="77"/>
    </row>
    <row r="45" spans="1:11" ht="15.75">
      <c r="A45" s="28" t="str">
        <v>DC: Washington - Weinberg 3</v>
      </c>
      <c r="B45" s="29" t="str">
        <v>DC</v>
      </c>
      <c r="C45" s="100"/>
      <c r="D45" s="16"/>
      <c r="E45" s="16" t="str">
        <f t="shared" si="4"/>
        <v/>
      </c>
      <c r="F45" s="99" t="str">
        <f t="shared" si="5"/>
        <v/>
      </c>
      <c r="G45" s="80"/>
      <c r="H45" s="80" t="str">
        <f t="shared" si="6"/>
        <v/>
      </c>
      <c r="I45" s="99" t="str">
        <f t="shared" si="7"/>
        <v/>
      </c>
      <c r="J45" s="40"/>
      <c r="K45" s="56"/>
    </row>
    <row r="46" spans="1:11" ht="14.25">
      <c r="A46" s="19"/>
      <c r="B46" s="31"/>
      <c r="C46" s="19"/>
      <c r="D46" s="19"/>
      <c r="E46" s="19"/>
      <c r="F46" s="20"/>
      <c r="G46" s="19"/>
      <c r="H46" s="19"/>
      <c r="I46" s="20"/>
      <c r="J46" s="19"/>
      <c r="K46" s="19"/>
    </row>
    <row r="47" spans="1:11" ht="14.25">
      <c r="A47" s="19"/>
      <c r="B47" s="31"/>
      <c r="C47" s="19"/>
      <c r="D47" s="19"/>
      <c r="E47" s="19"/>
      <c r="F47" s="20"/>
      <c r="G47" s="19"/>
      <c r="H47" s="19"/>
      <c r="I47" s="20"/>
      <c r="J47" s="19"/>
      <c r="K47" s="19"/>
    </row>
    <row r="48" spans="1:11" ht="14.25">
      <c r="A48" s="19"/>
      <c r="B48" s="31"/>
      <c r="C48" s="19"/>
      <c r="D48" s="19"/>
      <c r="E48" s="19"/>
      <c r="F48" s="20"/>
      <c r="G48" s="19"/>
      <c r="H48" s="19"/>
      <c r="I48" s="20"/>
      <c r="J48" s="19"/>
      <c r="K48" s="19"/>
    </row>
    <row r="49" spans="1:11" ht="14.25">
      <c r="A49" s="19"/>
      <c r="B49" s="31"/>
      <c r="C49" s="19"/>
      <c r="D49" s="19"/>
      <c r="E49" s="19"/>
      <c r="F49" s="20"/>
      <c r="G49" s="19"/>
      <c r="H49" s="19"/>
      <c r="I49" s="20"/>
      <c r="J49" s="19"/>
      <c r="K49" s="19"/>
    </row>
    <row r="50" spans="1:11" ht="14.25">
      <c r="A50" s="19"/>
      <c r="B50" s="31"/>
      <c r="C50" s="19"/>
      <c r="D50" s="19"/>
      <c r="E50" s="19"/>
      <c r="F50" s="20"/>
      <c r="G50" s="19"/>
      <c r="H50" s="19"/>
      <c r="I50" s="20"/>
      <c r="J50" s="19"/>
      <c r="K50" s="19"/>
    </row>
    <row r="51" spans="1:11" ht="14.25">
      <c r="A51" s="19"/>
      <c r="B51" s="31"/>
      <c r="C51" s="19"/>
      <c r="D51" s="19"/>
      <c r="E51" s="19"/>
      <c r="F51" s="20"/>
      <c r="G51" s="19"/>
      <c r="H51" s="19"/>
      <c r="I51" s="20"/>
      <c r="J51" s="19"/>
      <c r="K51" s="19"/>
    </row>
    <row r="52" spans="1:11" ht="14.25">
      <c r="A52" s="19"/>
      <c r="B52" s="31"/>
      <c r="C52" s="19"/>
      <c r="D52" s="19"/>
      <c r="E52" s="19"/>
      <c r="F52" s="20"/>
      <c r="G52" s="19"/>
      <c r="H52" s="19"/>
      <c r="I52" s="20"/>
      <c r="J52" s="19"/>
      <c r="K52" s="19"/>
    </row>
    <row r="53" spans="1:11" ht="14.25">
      <c r="A53" s="19"/>
      <c r="B53" s="31"/>
      <c r="C53" s="19"/>
      <c r="D53" s="19"/>
      <c r="E53" s="19"/>
      <c r="F53" s="20"/>
      <c r="G53" s="19"/>
      <c r="H53" s="19"/>
      <c r="I53" s="20"/>
      <c r="J53" s="19"/>
      <c r="K53" s="19"/>
    </row>
    <row r="54" spans="1:11" ht="14.25">
      <c r="A54" s="19"/>
      <c r="B54" s="31"/>
      <c r="C54" s="19"/>
      <c r="D54" s="19"/>
      <c r="E54" s="19"/>
      <c r="F54" s="20"/>
      <c r="G54" s="19"/>
      <c r="H54" s="19"/>
      <c r="I54" s="20"/>
      <c r="J54" s="19"/>
      <c r="K54" s="19"/>
    </row>
    <row r="55" spans="1:11" ht="14.25">
      <c r="A55" s="19"/>
      <c r="B55" s="31"/>
      <c r="C55" s="19"/>
      <c r="D55" s="19"/>
      <c r="E55" s="19"/>
      <c r="F55" s="20"/>
      <c r="G55" s="19"/>
      <c r="H55" s="19"/>
      <c r="I55" s="20"/>
      <c r="J55" s="19"/>
      <c r="K55" s="19"/>
    </row>
    <row r="56" spans="1:11" ht="14.25">
      <c r="A56" s="19"/>
      <c r="B56" s="31"/>
      <c r="C56" s="19"/>
      <c r="D56" s="19"/>
      <c r="E56" s="19"/>
      <c r="F56" s="20"/>
      <c r="G56" s="19"/>
      <c r="H56" s="19"/>
      <c r="I56" s="20"/>
      <c r="J56" s="19"/>
      <c r="K56" s="19"/>
    </row>
    <row r="57" spans="1:11" ht="14.25">
      <c r="A57" s="19"/>
      <c r="B57" s="31"/>
      <c r="C57" s="19"/>
      <c r="D57" s="19"/>
      <c r="E57" s="19"/>
      <c r="F57" s="20"/>
      <c r="G57" s="19"/>
      <c r="H57" s="19"/>
      <c r="I57" s="20"/>
      <c r="J57" s="19"/>
      <c r="K57" s="19"/>
    </row>
    <row r="58" spans="1:11" ht="14.25">
      <c r="A58" s="19"/>
      <c r="B58" s="31"/>
      <c r="C58" s="19"/>
      <c r="D58" s="19"/>
      <c r="E58" s="19"/>
      <c r="F58" s="20"/>
      <c r="G58" s="19"/>
      <c r="H58" s="19"/>
      <c r="I58" s="20"/>
      <c r="J58" s="19"/>
      <c r="K58" s="19"/>
    </row>
    <row r="59" spans="1:11" ht="14.25">
      <c r="A59" s="19"/>
      <c r="B59" s="31"/>
      <c r="C59" s="19"/>
      <c r="D59" s="19"/>
      <c r="E59" s="19"/>
      <c r="F59" s="20"/>
      <c r="G59" s="19"/>
      <c r="H59" s="19"/>
      <c r="I59" s="20"/>
      <c r="J59" s="19"/>
      <c r="K59" s="19"/>
    </row>
    <row r="60" spans="1:11" ht="14.25">
      <c r="A60" s="19"/>
      <c r="B60" s="31"/>
      <c r="C60" s="19"/>
      <c r="D60" s="19"/>
      <c r="E60" s="19"/>
      <c r="F60" s="20"/>
      <c r="G60" s="19"/>
      <c r="H60" s="19"/>
      <c r="I60" s="20"/>
      <c r="J60" s="19"/>
      <c r="K60" s="19"/>
    </row>
    <row r="61" spans="1:11" ht="14.25">
      <c r="A61" s="19"/>
      <c r="B61" s="31"/>
      <c r="C61" s="19"/>
      <c r="D61" s="19"/>
      <c r="E61" s="19"/>
      <c r="F61" s="20"/>
      <c r="G61" s="19"/>
      <c r="H61" s="19"/>
      <c r="I61" s="20"/>
      <c r="J61" s="19"/>
      <c r="K61" s="19"/>
    </row>
    <row r="62" spans="1:11" ht="14.25">
      <c r="A62" s="19"/>
      <c r="B62" s="31"/>
      <c r="C62" s="19"/>
      <c r="D62" s="19"/>
      <c r="E62" s="19"/>
      <c r="F62" s="20"/>
      <c r="G62" s="19"/>
      <c r="H62" s="19"/>
      <c r="I62" s="20"/>
      <c r="J62" s="19"/>
      <c r="K62" s="19"/>
    </row>
    <row r="63" spans="1:11" ht="14.25">
      <c r="A63" s="19"/>
      <c r="B63" s="31"/>
      <c r="C63" s="19"/>
      <c r="D63" s="19"/>
      <c r="E63" s="19"/>
      <c r="F63" s="20"/>
      <c r="G63" s="19"/>
      <c r="H63" s="19"/>
      <c r="I63" s="20"/>
      <c r="J63" s="19"/>
      <c r="K63" s="19"/>
    </row>
    <row r="64" spans="1:11" ht="14.25">
      <c r="A64" s="19"/>
      <c r="B64" s="31"/>
      <c r="C64" s="19"/>
      <c r="D64" s="19"/>
      <c r="E64" s="19"/>
      <c r="F64" s="20"/>
      <c r="G64" s="19"/>
      <c r="H64" s="19"/>
      <c r="I64" s="20"/>
      <c r="J64" s="19"/>
      <c r="K64" s="19"/>
    </row>
    <row r="65" spans="1:11" ht="14.25">
      <c r="A65" s="19"/>
      <c r="B65" s="31"/>
      <c r="C65" s="19"/>
      <c r="D65" s="19"/>
      <c r="E65" s="19"/>
      <c r="F65" s="20"/>
      <c r="G65" s="19"/>
      <c r="H65" s="19"/>
      <c r="I65" s="20"/>
      <c r="J65" s="19"/>
      <c r="K65" s="19"/>
    </row>
    <row r="66" spans="1:11" ht="14.25">
      <c r="A66" s="19"/>
      <c r="B66" s="31"/>
      <c r="C66" s="19"/>
      <c r="D66" s="19"/>
      <c r="E66" s="19"/>
      <c r="F66" s="20"/>
      <c r="G66" s="19"/>
      <c r="H66" s="19"/>
      <c r="I66" s="20"/>
      <c r="J66" s="19"/>
      <c r="K66" s="19"/>
    </row>
    <row r="67" spans="1:11" ht="14.25">
      <c r="A67" s="19"/>
      <c r="B67" s="31"/>
      <c r="C67" s="19"/>
      <c r="D67" s="19"/>
      <c r="E67" s="19"/>
      <c r="F67" s="20"/>
      <c r="G67" s="19"/>
      <c r="H67" s="19"/>
      <c r="I67" s="20"/>
      <c r="J67" s="19"/>
      <c r="K67" s="19"/>
    </row>
    <row r="68" spans="1:11" ht="14.25">
      <c r="A68" s="19"/>
      <c r="B68" s="31"/>
      <c r="C68" s="19"/>
      <c r="D68" s="19"/>
      <c r="E68" s="19"/>
      <c r="F68" s="20"/>
      <c r="G68" s="19"/>
      <c r="H68" s="19"/>
      <c r="I68" s="20"/>
      <c r="J68" s="19"/>
      <c r="K68" s="19"/>
    </row>
    <row r="69" spans="1:11" ht="14.25">
      <c r="A69" s="19"/>
      <c r="B69" s="31"/>
      <c r="C69" s="19"/>
      <c r="D69" s="19"/>
      <c r="E69" s="19"/>
      <c r="F69" s="20"/>
      <c r="G69" s="19"/>
      <c r="H69" s="19"/>
      <c r="I69" s="20"/>
      <c r="J69" s="19"/>
      <c r="K69" s="19"/>
    </row>
    <row r="70" spans="1:11" ht="14.25">
      <c r="A70" s="19"/>
      <c r="B70" s="31"/>
      <c r="C70" s="19"/>
      <c r="D70" s="19"/>
      <c r="E70" s="19"/>
      <c r="F70" s="20"/>
      <c r="G70" s="19"/>
      <c r="H70" s="19"/>
      <c r="I70" s="20"/>
      <c r="J70" s="19"/>
      <c r="K70" s="19"/>
    </row>
    <row r="71" spans="1:11" ht="14.25">
      <c r="A71" s="19"/>
      <c r="B71" s="31"/>
      <c r="C71" s="19"/>
      <c r="D71" s="19"/>
      <c r="E71" s="19"/>
      <c r="F71" s="20"/>
      <c r="G71" s="19"/>
      <c r="H71" s="19"/>
      <c r="I71" s="20"/>
      <c r="J71" s="19"/>
      <c r="K71" s="19"/>
    </row>
    <row r="72" spans="1:11" ht="14.25">
      <c r="A72" s="19"/>
      <c r="B72" s="31"/>
      <c r="C72" s="19"/>
      <c r="D72" s="19"/>
      <c r="E72" s="19"/>
      <c r="F72" s="20"/>
      <c r="G72" s="19"/>
      <c r="H72" s="19"/>
      <c r="I72" s="20"/>
      <c r="J72" s="19"/>
      <c r="K72" s="19"/>
    </row>
    <row r="73" spans="1:11" ht="14.25">
      <c r="A73" s="19"/>
      <c r="B73" s="31"/>
      <c r="C73" s="19"/>
      <c r="D73" s="19"/>
      <c r="E73" s="19"/>
      <c r="F73" s="20"/>
      <c r="G73" s="19"/>
      <c r="H73" s="19"/>
      <c r="I73" s="20"/>
      <c r="J73" s="19"/>
      <c r="K73" s="19"/>
    </row>
    <row r="74" spans="1:11" ht="14.25">
      <c r="A74" s="19"/>
      <c r="B74" s="31"/>
      <c r="C74" s="19"/>
      <c r="D74" s="19"/>
      <c r="E74" s="19"/>
      <c r="F74" s="20"/>
      <c r="G74" s="19"/>
      <c r="H74" s="19"/>
      <c r="I74" s="20"/>
      <c r="J74" s="19"/>
      <c r="K74" s="19"/>
    </row>
    <row r="75" spans="1:11" ht="14.25">
      <c r="A75" s="19"/>
      <c r="B75" s="31"/>
      <c r="C75" s="19"/>
      <c r="D75" s="19"/>
      <c r="E75" s="19"/>
      <c r="F75" s="20"/>
      <c r="G75" s="19"/>
      <c r="H75" s="19"/>
      <c r="I75" s="20"/>
      <c r="J75" s="19"/>
      <c r="K75" s="19"/>
    </row>
    <row r="76" spans="1:11" ht="14.25">
      <c r="A76" s="19"/>
      <c r="B76" s="31"/>
      <c r="C76" s="19"/>
      <c r="D76" s="19"/>
      <c r="E76" s="19"/>
      <c r="F76" s="20"/>
      <c r="G76" s="19"/>
      <c r="H76" s="19"/>
      <c r="I76" s="20"/>
      <c r="J76" s="19"/>
      <c r="K76" s="19"/>
    </row>
    <row r="77" spans="1:11" ht="14.25">
      <c r="A77" s="19"/>
      <c r="B77" s="31"/>
      <c r="C77" s="19"/>
      <c r="D77" s="19"/>
      <c r="E77" s="19"/>
      <c r="F77" s="20"/>
      <c r="G77" s="19"/>
      <c r="H77" s="19"/>
      <c r="I77" s="20"/>
      <c r="J77" s="19"/>
      <c r="K77" s="19"/>
    </row>
    <row r="78" spans="1:11" ht="14.25">
      <c r="A78" s="19"/>
      <c r="B78" s="31"/>
      <c r="C78" s="19"/>
      <c r="D78" s="19"/>
      <c r="E78" s="19"/>
      <c r="F78" s="20"/>
      <c r="G78" s="19"/>
      <c r="H78" s="19"/>
      <c r="I78" s="20"/>
      <c r="J78" s="19"/>
      <c r="K78" s="19"/>
    </row>
    <row r="79" spans="1:11" ht="14.25">
      <c r="A79" s="19"/>
      <c r="B79" s="31"/>
      <c r="C79" s="19"/>
      <c r="D79" s="19"/>
      <c r="E79" s="19"/>
      <c r="F79" s="20"/>
      <c r="G79" s="19"/>
      <c r="H79" s="19"/>
      <c r="I79" s="20"/>
      <c r="J79" s="19"/>
      <c r="K79" s="19"/>
    </row>
    <row r="80" spans="1:11" ht="14.25">
      <c r="A80" s="19"/>
      <c r="B80" s="31"/>
      <c r="C80" s="19"/>
      <c r="D80" s="19"/>
      <c r="E80" s="19"/>
      <c r="F80" s="20"/>
      <c r="G80" s="19"/>
      <c r="H80" s="19"/>
      <c r="I80" s="20"/>
      <c r="J80" s="19"/>
      <c r="K80" s="19"/>
    </row>
    <row r="81" spans="1:11" ht="14.25">
      <c r="A81" s="19"/>
      <c r="B81" s="31"/>
      <c r="C81" s="19"/>
      <c r="D81" s="19"/>
      <c r="E81" s="19"/>
      <c r="F81" s="20"/>
      <c r="G81" s="19"/>
      <c r="H81" s="19"/>
      <c r="I81" s="20"/>
      <c r="J81" s="19"/>
      <c r="K81" s="19"/>
    </row>
    <row r="82" spans="1:11" ht="14.25">
      <c r="A82" s="19"/>
      <c r="B82" s="31"/>
      <c r="C82" s="19"/>
      <c r="D82" s="19"/>
      <c r="E82" s="19"/>
      <c r="F82" s="20"/>
      <c r="G82" s="19"/>
      <c r="H82" s="19"/>
      <c r="I82" s="20"/>
      <c r="J82" s="19"/>
      <c r="K82" s="19"/>
    </row>
    <row r="83" spans="1:11" ht="14.25">
      <c r="A83" s="19"/>
      <c r="B83" s="31"/>
      <c r="C83" s="19"/>
      <c r="D83" s="19"/>
      <c r="E83" s="19"/>
      <c r="F83" s="20"/>
      <c r="G83" s="19"/>
      <c r="H83" s="19"/>
      <c r="I83" s="20"/>
      <c r="J83" s="19"/>
      <c r="K83" s="19"/>
    </row>
    <row r="84" spans="1:11" ht="14.25">
      <c r="A84" s="19"/>
      <c r="B84" s="31"/>
      <c r="C84" s="19"/>
      <c r="D84" s="19"/>
      <c r="E84" s="19"/>
      <c r="F84" s="20"/>
      <c r="G84" s="19"/>
      <c r="H84" s="19"/>
      <c r="I84" s="20"/>
      <c r="J84" s="19"/>
      <c r="K84" s="19"/>
    </row>
    <row r="85" spans="1:11" ht="14.25">
      <c r="A85" s="19"/>
      <c r="B85" s="31"/>
      <c r="C85" s="19"/>
      <c r="D85" s="19"/>
      <c r="E85" s="19"/>
      <c r="F85" s="20"/>
      <c r="G85" s="19"/>
      <c r="H85" s="19"/>
      <c r="I85" s="20"/>
      <c r="J85" s="19"/>
      <c r="K85" s="19"/>
    </row>
    <row r="86" spans="1:11" ht="14.25">
      <c r="A86" s="19"/>
      <c r="B86" s="31"/>
      <c r="C86" s="19"/>
      <c r="D86" s="19"/>
      <c r="E86" s="19"/>
      <c r="F86" s="20"/>
      <c r="G86" s="19"/>
      <c r="H86" s="19"/>
      <c r="I86" s="20"/>
      <c r="J86" s="19"/>
      <c r="K86" s="19"/>
    </row>
    <row r="87" spans="1:11" ht="14.25">
      <c r="A87" s="19"/>
      <c r="B87" s="31"/>
      <c r="C87" s="19"/>
      <c r="D87" s="19"/>
      <c r="E87" s="19"/>
      <c r="F87" s="20"/>
      <c r="G87" s="19"/>
      <c r="H87" s="19"/>
      <c r="I87" s="20"/>
      <c r="J87" s="19"/>
      <c r="K87" s="19"/>
    </row>
    <row r="88" spans="1:11" ht="14.25">
      <c r="A88" s="19"/>
      <c r="B88" s="31"/>
      <c r="C88" s="19"/>
      <c r="D88" s="19"/>
      <c r="E88" s="19"/>
      <c r="F88" s="20"/>
      <c r="G88" s="19"/>
      <c r="H88" s="19"/>
      <c r="I88" s="20"/>
      <c r="J88" s="19"/>
      <c r="K88" s="19"/>
    </row>
    <row r="89" spans="1:11" ht="14.25">
      <c r="A89" s="19"/>
      <c r="B89" s="31"/>
      <c r="C89" s="19"/>
      <c r="D89" s="19"/>
      <c r="E89" s="19"/>
      <c r="F89" s="20"/>
      <c r="G89" s="19"/>
      <c r="H89" s="19"/>
      <c r="I89" s="20"/>
      <c r="J89" s="19"/>
      <c r="K89" s="19"/>
    </row>
    <row r="90" spans="1:11" ht="14.25">
      <c r="A90" s="19"/>
      <c r="B90" s="31"/>
      <c r="C90" s="19"/>
      <c r="D90" s="19"/>
      <c r="E90" s="19"/>
      <c r="F90" s="20"/>
      <c r="G90" s="19"/>
      <c r="H90" s="19"/>
      <c r="I90" s="20"/>
      <c r="J90" s="19"/>
      <c r="K90" s="19"/>
    </row>
    <row r="91" spans="1:11" ht="14.25">
      <c r="A91" s="19"/>
      <c r="B91" s="31"/>
      <c r="C91" s="19"/>
      <c r="D91" s="19"/>
      <c r="E91" s="19"/>
      <c r="F91" s="20"/>
      <c r="G91" s="19"/>
      <c r="H91" s="19"/>
      <c r="I91" s="20"/>
      <c r="J91" s="19"/>
      <c r="K91" s="19"/>
    </row>
    <row r="92" spans="1:11" ht="14.25">
      <c r="A92" s="19"/>
      <c r="B92" s="31"/>
      <c r="C92" s="19"/>
      <c r="D92" s="19"/>
      <c r="E92" s="19"/>
      <c r="F92" s="20"/>
      <c r="G92" s="19"/>
      <c r="H92" s="19"/>
      <c r="I92" s="20"/>
      <c r="J92" s="19"/>
      <c r="K92" s="19"/>
    </row>
    <row r="93" spans="1:11" ht="14.25">
      <c r="A93" s="19"/>
      <c r="B93" s="31"/>
      <c r="C93" s="19"/>
      <c r="D93" s="19"/>
      <c r="E93" s="19"/>
      <c r="F93" s="20"/>
      <c r="G93" s="19"/>
      <c r="H93" s="19"/>
      <c r="I93" s="20"/>
      <c r="J93" s="19"/>
      <c r="K93" s="19"/>
    </row>
    <row r="94" spans="1:11" ht="14.25">
      <c r="A94" s="19"/>
      <c r="B94" s="31"/>
      <c r="C94" s="19"/>
      <c r="D94" s="19"/>
      <c r="E94" s="19"/>
      <c r="F94" s="20"/>
      <c r="G94" s="19"/>
      <c r="H94" s="19"/>
      <c r="I94" s="20"/>
      <c r="J94" s="19"/>
      <c r="K94" s="19"/>
    </row>
    <row r="95" spans="1:11" ht="14.25">
      <c r="A95" s="19"/>
      <c r="B95" s="31"/>
      <c r="C95" s="19"/>
      <c r="D95" s="19"/>
      <c r="E95" s="19"/>
      <c r="F95" s="20"/>
      <c r="G95" s="19"/>
      <c r="H95" s="19"/>
      <c r="I95" s="20"/>
      <c r="J95" s="19"/>
      <c r="K95" s="19"/>
    </row>
    <row r="96" spans="1:11" ht="14.25">
      <c r="A96" s="19"/>
      <c r="B96" s="31"/>
      <c r="C96" s="19"/>
      <c r="D96" s="19"/>
      <c r="E96" s="19"/>
      <c r="F96" s="20"/>
      <c r="G96" s="19"/>
      <c r="H96" s="19"/>
      <c r="I96" s="20"/>
      <c r="J96" s="19"/>
      <c r="K96" s="19"/>
    </row>
    <row r="97" spans="1:11" ht="14.25">
      <c r="A97" s="19"/>
      <c r="B97" s="31"/>
      <c r="C97" s="19"/>
      <c r="D97" s="19"/>
      <c r="E97" s="19"/>
      <c r="F97" s="20"/>
      <c r="G97" s="19"/>
      <c r="H97" s="19"/>
      <c r="I97" s="20"/>
      <c r="J97" s="19"/>
      <c r="K97" s="19"/>
    </row>
    <row r="98" spans="1:11" ht="14.25">
      <c r="A98" s="19"/>
      <c r="B98" s="31"/>
      <c r="C98" s="19"/>
      <c r="D98" s="19"/>
      <c r="E98" s="19"/>
      <c r="F98" s="20"/>
      <c r="G98" s="19"/>
      <c r="H98" s="19"/>
      <c r="I98" s="20"/>
      <c r="J98" s="19"/>
      <c r="K98" s="19"/>
    </row>
    <row r="99" spans="1:11" ht="14.25">
      <c r="A99" s="19"/>
      <c r="B99" s="31"/>
      <c r="C99" s="19"/>
      <c r="D99" s="19"/>
      <c r="E99" s="19"/>
      <c r="F99" s="20"/>
      <c r="G99" s="19"/>
      <c r="H99" s="19"/>
      <c r="I99" s="20"/>
      <c r="J99" s="19"/>
      <c r="K99" s="19"/>
    </row>
    <row r="100" spans="1:11" ht="14.25">
      <c r="A100" s="19"/>
      <c r="B100" s="31"/>
      <c r="C100" s="19"/>
      <c r="D100" s="19"/>
      <c r="E100" s="19"/>
      <c r="F100" s="20"/>
      <c r="G100" s="19"/>
      <c r="H100" s="19"/>
      <c r="I100" s="20"/>
      <c r="J100" s="19"/>
      <c r="K100" s="19"/>
    </row>
    <row r="101" spans="1:11" ht="14.25">
      <c r="A101" s="19"/>
      <c r="B101" s="31"/>
      <c r="C101" s="19"/>
      <c r="D101" s="19"/>
      <c r="E101" s="19"/>
      <c r="F101" s="20"/>
      <c r="G101" s="19"/>
      <c r="H101" s="19"/>
      <c r="I101" s="20"/>
      <c r="J101" s="19"/>
      <c r="K101" s="19"/>
    </row>
    <row r="102" spans="1:11" ht="14.25">
      <c r="A102" s="19"/>
      <c r="B102" s="31"/>
      <c r="C102" s="19"/>
      <c r="D102" s="19"/>
      <c r="E102" s="19"/>
      <c r="F102" s="20"/>
      <c r="G102" s="19"/>
      <c r="H102" s="19"/>
      <c r="I102" s="20"/>
      <c r="J102" s="19"/>
      <c r="K102" s="19"/>
    </row>
    <row r="103" spans="1:11" ht="14.25">
      <c r="A103" s="19"/>
      <c r="B103" s="31"/>
      <c r="C103" s="19"/>
      <c r="D103" s="19"/>
      <c r="E103" s="19"/>
      <c r="F103" s="20"/>
      <c r="G103" s="19"/>
      <c r="H103" s="19"/>
      <c r="I103" s="20"/>
      <c r="J103" s="19"/>
      <c r="K103" s="19"/>
    </row>
    <row r="104" spans="1:11" ht="14.25">
      <c r="A104" s="19"/>
      <c r="B104" s="31"/>
      <c r="C104" s="19"/>
      <c r="D104" s="19"/>
      <c r="E104" s="19"/>
      <c r="F104" s="20"/>
      <c r="G104" s="19"/>
      <c r="H104" s="19"/>
      <c r="I104" s="20"/>
      <c r="J104" s="19"/>
      <c r="K104" s="19"/>
    </row>
    <row r="105" spans="1:11" ht="14.25">
      <c r="A105" s="19"/>
      <c r="B105" s="31"/>
      <c r="C105" s="19"/>
      <c r="D105" s="19"/>
      <c r="E105" s="19"/>
      <c r="F105" s="20"/>
      <c r="G105" s="19"/>
      <c r="H105" s="19"/>
      <c r="I105" s="20"/>
      <c r="J105" s="19"/>
      <c r="K105" s="19"/>
    </row>
    <row r="106" spans="1:11" ht="14.25">
      <c r="A106" s="19"/>
      <c r="B106" s="31"/>
      <c r="C106" s="19"/>
      <c r="D106" s="19"/>
      <c r="E106" s="19"/>
      <c r="F106" s="20"/>
      <c r="G106" s="19"/>
      <c r="H106" s="19"/>
      <c r="I106" s="20"/>
      <c r="J106" s="19"/>
      <c r="K106" s="19"/>
    </row>
    <row r="107" spans="1:11" ht="14.25">
      <c r="A107" s="19"/>
      <c r="B107" s="31"/>
      <c r="C107" s="19"/>
      <c r="D107" s="19"/>
      <c r="E107" s="19"/>
      <c r="F107" s="20"/>
      <c r="G107" s="19"/>
      <c r="H107" s="19"/>
      <c r="I107" s="20"/>
      <c r="J107" s="19"/>
      <c r="K107" s="19"/>
    </row>
    <row r="108" spans="1:11" ht="14.25">
      <c r="A108" s="19"/>
      <c r="B108" s="31"/>
      <c r="C108" s="19"/>
      <c r="D108" s="19"/>
      <c r="E108" s="19"/>
      <c r="F108" s="20"/>
      <c r="G108" s="19"/>
      <c r="H108" s="19"/>
      <c r="I108" s="20"/>
      <c r="J108" s="19"/>
      <c r="K108" s="19"/>
    </row>
    <row r="109" spans="1:11" ht="14.25">
      <c r="A109" s="19"/>
      <c r="B109" s="31"/>
      <c r="C109" s="19"/>
      <c r="D109" s="19"/>
      <c r="E109" s="19"/>
      <c r="F109" s="20"/>
      <c r="G109" s="19"/>
      <c r="H109" s="19"/>
      <c r="I109" s="20"/>
      <c r="J109" s="19"/>
      <c r="K109" s="19"/>
    </row>
    <row r="110" spans="1:11" ht="14.25">
      <c r="A110" s="19"/>
      <c r="B110" s="31"/>
      <c r="C110" s="19"/>
      <c r="D110" s="19"/>
      <c r="E110" s="19"/>
      <c r="F110" s="20"/>
      <c r="G110" s="19"/>
      <c r="H110" s="19"/>
      <c r="I110" s="20"/>
      <c r="J110" s="19"/>
      <c r="K110" s="19"/>
    </row>
    <row r="111" spans="1:11" ht="14.25">
      <c r="A111" s="19"/>
      <c r="B111" s="31"/>
      <c r="C111" s="19"/>
      <c r="D111" s="19"/>
      <c r="E111" s="19"/>
      <c r="F111" s="20"/>
      <c r="G111" s="19"/>
      <c r="H111" s="19"/>
      <c r="I111" s="20"/>
      <c r="J111" s="19"/>
      <c r="K111" s="19"/>
    </row>
    <row r="112" spans="1:11" ht="14.25">
      <c r="A112" s="19"/>
      <c r="B112" s="31"/>
      <c r="C112" s="19"/>
      <c r="D112" s="19"/>
      <c r="E112" s="19"/>
      <c r="F112" s="20"/>
      <c r="G112" s="19"/>
      <c r="H112" s="19"/>
      <c r="I112" s="20"/>
      <c r="J112" s="19"/>
      <c r="K112" s="19"/>
    </row>
    <row r="113" spans="1:11" ht="14.25">
      <c r="A113" s="19"/>
      <c r="B113" s="31"/>
      <c r="C113" s="19"/>
      <c r="D113" s="19"/>
      <c r="E113" s="19"/>
      <c r="F113" s="20"/>
      <c r="G113" s="19"/>
      <c r="H113" s="19"/>
      <c r="I113" s="20"/>
      <c r="J113" s="19"/>
      <c r="K113" s="19"/>
    </row>
    <row r="114" spans="1:11" ht="14.25">
      <c r="A114" s="19"/>
      <c r="B114" s="31"/>
      <c r="C114" s="19"/>
      <c r="D114" s="19"/>
      <c r="E114" s="19"/>
      <c r="F114" s="20"/>
      <c r="G114" s="19"/>
      <c r="H114" s="19"/>
      <c r="I114" s="20"/>
      <c r="J114" s="19"/>
      <c r="K114" s="19"/>
    </row>
    <row r="115" spans="1:11" ht="14.25">
      <c r="A115" s="19"/>
      <c r="B115" s="31"/>
      <c r="C115" s="19"/>
      <c r="D115" s="19"/>
      <c r="E115" s="19"/>
      <c r="F115" s="20"/>
      <c r="G115" s="19"/>
      <c r="H115" s="19"/>
      <c r="I115" s="20"/>
      <c r="J115" s="19"/>
      <c r="K115" s="19"/>
    </row>
    <row r="116" spans="1:11" ht="14.25">
      <c r="A116" s="19"/>
      <c r="B116" s="31"/>
      <c r="C116" s="19"/>
      <c r="D116" s="19"/>
      <c r="E116" s="19"/>
      <c r="F116" s="20"/>
      <c r="G116" s="19"/>
      <c r="H116" s="19"/>
      <c r="I116" s="20"/>
      <c r="J116" s="19"/>
      <c r="K116" s="19"/>
    </row>
    <row r="117" spans="1:11" ht="14.25">
      <c r="A117" s="19"/>
      <c r="B117" s="31"/>
      <c r="C117" s="19"/>
      <c r="D117" s="19"/>
      <c r="E117" s="19"/>
      <c r="F117" s="20"/>
      <c r="G117" s="19"/>
      <c r="H117" s="19"/>
      <c r="I117" s="20"/>
      <c r="J117" s="19"/>
      <c r="K117" s="19"/>
    </row>
    <row r="118" spans="1:11" ht="14.25">
      <c r="A118" s="19"/>
      <c r="B118" s="31"/>
      <c r="C118" s="19"/>
      <c r="D118" s="19"/>
      <c r="E118" s="19"/>
      <c r="F118" s="20"/>
      <c r="G118" s="19"/>
      <c r="H118" s="19"/>
      <c r="I118" s="20"/>
      <c r="J118" s="19"/>
      <c r="K118" s="19"/>
    </row>
    <row r="119" spans="1:11" ht="14.25">
      <c r="A119" s="19"/>
      <c r="B119" s="31"/>
      <c r="C119" s="19"/>
      <c r="D119" s="19"/>
      <c r="E119" s="19"/>
      <c r="F119" s="20"/>
      <c r="G119" s="19"/>
      <c r="H119" s="19"/>
      <c r="I119" s="20"/>
      <c r="J119" s="19"/>
      <c r="K119" s="19"/>
    </row>
    <row r="120" spans="1:11" ht="14.25">
      <c r="A120" s="19"/>
      <c r="B120" s="31"/>
      <c r="C120" s="19"/>
      <c r="D120" s="19"/>
      <c r="E120" s="19"/>
      <c r="F120" s="20"/>
      <c r="G120" s="19"/>
      <c r="H120" s="19"/>
      <c r="I120" s="20"/>
      <c r="J120" s="19"/>
      <c r="K120" s="19"/>
    </row>
    <row r="121" spans="1:11" ht="14.25">
      <c r="A121" s="19"/>
      <c r="B121" s="31"/>
      <c r="C121" s="19"/>
      <c r="D121" s="19"/>
      <c r="E121" s="19"/>
      <c r="F121" s="20"/>
      <c r="G121" s="19"/>
      <c r="H121" s="19"/>
      <c r="I121" s="20"/>
      <c r="J121" s="19"/>
      <c r="K121" s="19"/>
    </row>
    <row r="122" spans="1:11" ht="14.25">
      <c r="A122" s="19"/>
      <c r="B122" s="31"/>
      <c r="C122" s="19"/>
      <c r="D122" s="19"/>
      <c r="E122" s="19"/>
      <c r="F122" s="20"/>
      <c r="G122" s="19"/>
      <c r="H122" s="19"/>
      <c r="I122" s="20"/>
      <c r="J122" s="19"/>
      <c r="K122" s="19"/>
    </row>
    <row r="123" spans="1:11" ht="14.25">
      <c r="A123" s="19"/>
      <c r="B123" s="31"/>
      <c r="C123" s="19"/>
      <c r="D123" s="19"/>
      <c r="E123" s="19"/>
      <c r="F123" s="20"/>
      <c r="G123" s="19"/>
      <c r="H123" s="19"/>
      <c r="I123" s="20"/>
      <c r="J123" s="19"/>
      <c r="K123" s="19"/>
    </row>
    <row r="124" spans="1:11" ht="14.25">
      <c r="A124" s="19"/>
      <c r="B124" s="31"/>
      <c r="C124" s="19"/>
      <c r="D124" s="19"/>
      <c r="E124" s="19"/>
      <c r="F124" s="20"/>
      <c r="G124" s="19"/>
      <c r="H124" s="19"/>
      <c r="I124" s="20"/>
      <c r="J124" s="19"/>
      <c r="K124" s="19"/>
    </row>
    <row r="125" spans="1:11" ht="14.25">
      <c r="A125" s="19"/>
      <c r="B125" s="31"/>
      <c r="C125" s="19"/>
      <c r="D125" s="19"/>
      <c r="E125" s="19"/>
      <c r="F125" s="20"/>
      <c r="G125" s="19"/>
      <c r="H125" s="19"/>
      <c r="I125" s="20"/>
      <c r="J125" s="19"/>
      <c r="K125" s="19"/>
    </row>
    <row r="126" spans="1:11" ht="14.25">
      <c r="A126" s="19"/>
      <c r="B126" s="31"/>
      <c r="C126" s="19"/>
      <c r="D126" s="19"/>
      <c r="E126" s="19"/>
      <c r="F126" s="20"/>
      <c r="G126" s="19"/>
      <c r="H126" s="19"/>
      <c r="I126" s="20"/>
      <c r="J126" s="19"/>
      <c r="K126" s="19"/>
    </row>
    <row r="127" spans="1:11" ht="14.25">
      <c r="A127" s="19"/>
      <c r="B127" s="31"/>
      <c r="C127" s="19"/>
      <c r="D127" s="19"/>
      <c r="E127" s="19"/>
      <c r="F127" s="20"/>
      <c r="G127" s="19"/>
      <c r="H127" s="19"/>
      <c r="I127" s="20"/>
      <c r="J127" s="19"/>
      <c r="K127" s="19"/>
    </row>
    <row r="128" spans="1:11" ht="14.25">
      <c r="A128" s="19"/>
      <c r="B128" s="31"/>
      <c r="C128" s="19"/>
      <c r="D128" s="19"/>
      <c r="E128" s="19"/>
      <c r="F128" s="20"/>
      <c r="G128" s="19"/>
      <c r="H128" s="19"/>
      <c r="I128" s="20"/>
      <c r="J128" s="19"/>
      <c r="K128" s="19"/>
    </row>
    <row r="129" spans="1:11" ht="14.25">
      <c r="A129" s="19"/>
      <c r="B129" s="31"/>
      <c r="C129" s="19"/>
      <c r="D129" s="19"/>
      <c r="E129" s="19"/>
      <c r="F129" s="20"/>
      <c r="G129" s="19"/>
      <c r="H129" s="19"/>
      <c r="I129" s="20"/>
      <c r="J129" s="19"/>
      <c r="K129" s="19"/>
    </row>
    <row r="130" spans="1:11" ht="14.25">
      <c r="A130" s="19"/>
      <c r="B130" s="31"/>
      <c r="C130" s="19"/>
      <c r="D130" s="19"/>
      <c r="E130" s="19"/>
      <c r="F130" s="20"/>
      <c r="G130" s="19"/>
      <c r="H130" s="19"/>
      <c r="I130" s="20"/>
      <c r="J130" s="19"/>
      <c r="K130" s="19"/>
    </row>
    <row r="131" spans="1:11" ht="14.25">
      <c r="A131" s="19"/>
      <c r="B131" s="31"/>
      <c r="C131" s="19"/>
      <c r="D131" s="19"/>
      <c r="E131" s="19"/>
      <c r="F131" s="20"/>
      <c r="G131" s="19"/>
      <c r="H131" s="19"/>
      <c r="I131" s="20"/>
      <c r="J131" s="19"/>
      <c r="K131" s="19"/>
    </row>
    <row r="132" spans="1:11" ht="14.25">
      <c r="A132" s="19"/>
      <c r="B132" s="31"/>
      <c r="C132" s="19"/>
      <c r="D132" s="19"/>
      <c r="E132" s="19"/>
      <c r="F132" s="20"/>
      <c r="G132" s="19"/>
      <c r="H132" s="19"/>
      <c r="I132" s="20"/>
      <c r="J132" s="19"/>
      <c r="K132" s="19"/>
    </row>
    <row r="133" spans="1:11" ht="14.25">
      <c r="A133" s="19"/>
      <c r="B133" s="31"/>
      <c r="C133" s="19"/>
      <c r="D133" s="19"/>
      <c r="E133" s="19"/>
      <c r="F133" s="20"/>
      <c r="G133" s="19"/>
      <c r="H133" s="19"/>
      <c r="I133" s="20"/>
      <c r="J133" s="19"/>
      <c r="K133" s="19"/>
    </row>
    <row r="134" spans="1:11" ht="14.25">
      <c r="A134" s="19"/>
      <c r="B134" s="31"/>
      <c r="C134" s="19"/>
      <c r="D134" s="19"/>
      <c r="E134" s="19"/>
      <c r="F134" s="20"/>
      <c r="G134" s="19"/>
      <c r="H134" s="19"/>
      <c r="I134" s="20"/>
      <c r="J134" s="19"/>
      <c r="K134" s="19"/>
    </row>
    <row r="135" spans="1:11" ht="14.25">
      <c r="A135" s="19"/>
      <c r="B135" s="31"/>
      <c r="C135" s="19"/>
      <c r="D135" s="19"/>
      <c r="E135" s="19"/>
      <c r="F135" s="20"/>
      <c r="G135" s="19"/>
      <c r="H135" s="19"/>
      <c r="I135" s="20"/>
      <c r="J135" s="19"/>
      <c r="K135" s="19"/>
    </row>
    <row r="136" spans="1:11" ht="14.25">
      <c r="A136" s="19"/>
      <c r="B136" s="31"/>
      <c r="C136" s="19"/>
      <c r="D136" s="19"/>
      <c r="E136" s="19"/>
      <c r="F136" s="20"/>
      <c r="G136" s="19"/>
      <c r="H136" s="19"/>
      <c r="I136" s="20"/>
      <c r="J136" s="19"/>
      <c r="K136" s="19"/>
    </row>
    <row r="137" spans="1:11" ht="14.25">
      <c r="A137" s="19"/>
      <c r="B137" s="31"/>
      <c r="C137" s="19"/>
      <c r="D137" s="19"/>
      <c r="E137" s="19"/>
      <c r="F137" s="20"/>
      <c r="G137" s="19"/>
      <c r="H137" s="19"/>
      <c r="I137" s="20"/>
      <c r="J137" s="19"/>
      <c r="K137" s="19"/>
    </row>
    <row r="138" spans="1:11" ht="14.25">
      <c r="A138" s="19"/>
      <c r="B138" s="31"/>
      <c r="C138" s="19"/>
      <c r="D138" s="19"/>
      <c r="E138" s="19"/>
      <c r="F138" s="20"/>
      <c r="G138" s="19"/>
      <c r="H138" s="19"/>
      <c r="I138" s="20"/>
      <c r="J138" s="19"/>
      <c r="K138" s="19"/>
    </row>
    <row r="139" spans="1:11" ht="14.25">
      <c r="A139" s="19"/>
      <c r="B139" s="31"/>
      <c r="C139" s="19"/>
      <c r="D139" s="19"/>
      <c r="E139" s="19"/>
      <c r="F139" s="20"/>
      <c r="G139" s="19"/>
      <c r="H139" s="19"/>
      <c r="I139" s="20"/>
      <c r="J139" s="19"/>
      <c r="K139" s="19"/>
    </row>
    <row r="140" spans="1:11" ht="14.25">
      <c r="A140" s="19"/>
      <c r="B140" s="31"/>
      <c r="C140" s="19"/>
      <c r="D140" s="19"/>
      <c r="E140" s="19"/>
      <c r="F140" s="20"/>
      <c r="G140" s="19"/>
      <c r="H140" s="19"/>
      <c r="I140" s="20"/>
      <c r="J140" s="19"/>
      <c r="K140" s="19"/>
    </row>
    <row r="141" spans="1:11" ht="14.25">
      <c r="A141" s="19"/>
      <c r="B141" s="31"/>
      <c r="C141" s="19"/>
      <c r="D141" s="19"/>
      <c r="E141" s="19"/>
      <c r="F141" s="20"/>
      <c r="G141" s="19"/>
      <c r="H141" s="19"/>
      <c r="I141" s="20"/>
      <c r="J141" s="19"/>
      <c r="K141" s="19"/>
    </row>
    <row r="142" spans="1:11" ht="14.25">
      <c r="A142" s="19"/>
      <c r="B142" s="31"/>
      <c r="C142" s="19"/>
      <c r="D142" s="19"/>
      <c r="E142" s="19"/>
      <c r="F142" s="20"/>
      <c r="G142" s="19"/>
      <c r="H142" s="19"/>
      <c r="I142" s="20"/>
      <c r="J142" s="19"/>
      <c r="K142" s="19"/>
    </row>
    <row r="143" spans="1:11" ht="14.25">
      <c r="A143" s="19"/>
      <c r="B143" s="31"/>
      <c r="C143" s="19"/>
      <c r="D143" s="19"/>
      <c r="E143" s="19"/>
      <c r="F143" s="20"/>
      <c r="G143" s="19"/>
      <c r="H143" s="19"/>
      <c r="I143" s="20"/>
      <c r="J143" s="19"/>
      <c r="K143" s="19"/>
    </row>
    <row r="144" spans="1:11" ht="14.25">
      <c r="A144" s="19"/>
      <c r="B144" s="31"/>
      <c r="C144" s="19"/>
      <c r="D144" s="19"/>
      <c r="E144" s="19"/>
      <c r="F144" s="20"/>
      <c r="G144" s="19"/>
      <c r="H144" s="19"/>
      <c r="I144" s="20"/>
      <c r="J144" s="19"/>
      <c r="K144" s="19"/>
    </row>
    <row r="145" spans="1:11" ht="14.25">
      <c r="A145" s="19"/>
      <c r="B145" s="31"/>
      <c r="C145" s="19"/>
      <c r="D145" s="19"/>
      <c r="E145" s="19"/>
      <c r="F145" s="20"/>
      <c r="G145" s="19"/>
      <c r="H145" s="19"/>
      <c r="I145" s="20"/>
      <c r="J145" s="19"/>
      <c r="K145" s="19"/>
    </row>
    <row r="146" spans="1:11" ht="14.25">
      <c r="A146" s="19"/>
      <c r="B146" s="31"/>
      <c r="C146" s="19"/>
      <c r="D146" s="19"/>
      <c r="E146" s="19"/>
      <c r="F146" s="20"/>
      <c r="G146" s="19"/>
      <c r="H146" s="19"/>
      <c r="I146" s="20"/>
      <c r="J146" s="19"/>
      <c r="K146" s="19"/>
    </row>
    <row r="147" spans="1:11" ht="14.25">
      <c r="A147" s="19"/>
      <c r="B147" s="31"/>
      <c r="C147" s="19"/>
      <c r="D147" s="19"/>
      <c r="E147" s="19"/>
      <c r="F147" s="20"/>
      <c r="G147" s="19"/>
      <c r="H147" s="19"/>
      <c r="I147" s="20"/>
      <c r="J147" s="19"/>
      <c r="K147" s="19"/>
    </row>
    <row r="148" spans="1:11" ht="14.25">
      <c r="A148" s="19"/>
      <c r="B148" s="31"/>
      <c r="C148" s="19"/>
      <c r="D148" s="19"/>
      <c r="E148" s="19"/>
      <c r="F148" s="20"/>
      <c r="G148" s="19"/>
      <c r="H148" s="19"/>
      <c r="I148" s="20"/>
      <c r="J148" s="19"/>
      <c r="K148" s="19"/>
    </row>
    <row r="149" spans="1:11" ht="14.25">
      <c r="A149" s="19"/>
      <c r="B149" s="31"/>
      <c r="C149" s="19"/>
      <c r="D149" s="19"/>
      <c r="E149" s="19"/>
      <c r="F149" s="20"/>
      <c r="G149" s="19"/>
      <c r="H149" s="19"/>
      <c r="I149" s="20"/>
      <c r="J149" s="19"/>
      <c r="K149" s="19"/>
    </row>
    <row r="150" spans="1:11" ht="14.25">
      <c r="A150" s="19"/>
      <c r="B150" s="31"/>
      <c r="C150" s="19"/>
      <c r="D150" s="19"/>
      <c r="E150" s="19"/>
      <c r="F150" s="20"/>
      <c r="G150" s="19"/>
      <c r="H150" s="19"/>
      <c r="I150" s="20"/>
      <c r="J150" s="19"/>
      <c r="K150" s="19"/>
    </row>
    <row r="151" spans="1:11" ht="14.25">
      <c r="A151" s="19"/>
      <c r="B151" s="31"/>
      <c r="C151" s="19"/>
      <c r="D151" s="19"/>
      <c r="E151" s="19"/>
      <c r="F151" s="20"/>
      <c r="G151" s="19"/>
      <c r="H151" s="19"/>
      <c r="I151" s="20"/>
      <c r="J151" s="19"/>
      <c r="K151" s="19"/>
    </row>
    <row r="152" spans="1:11" ht="14.25">
      <c r="A152" s="19"/>
      <c r="B152" s="31"/>
      <c r="C152" s="19"/>
      <c r="D152" s="19"/>
      <c r="E152" s="19"/>
      <c r="F152" s="20"/>
      <c r="G152" s="19"/>
      <c r="H152" s="19"/>
      <c r="I152" s="20"/>
      <c r="J152" s="19"/>
      <c r="K152" s="19"/>
    </row>
    <row r="153" spans="1:11" ht="14.25">
      <c r="A153" s="19"/>
      <c r="B153" s="31"/>
      <c r="C153" s="19"/>
      <c r="D153" s="19"/>
      <c r="E153" s="19"/>
      <c r="F153" s="20"/>
      <c r="G153" s="19"/>
      <c r="H153" s="19"/>
      <c r="I153" s="20"/>
      <c r="J153" s="19"/>
      <c r="K153" s="19"/>
    </row>
    <row r="154" spans="1:11" ht="14.25">
      <c r="A154" s="19"/>
      <c r="B154" s="31"/>
      <c r="C154" s="19"/>
      <c r="D154" s="19"/>
      <c r="E154" s="19"/>
      <c r="F154" s="20"/>
      <c r="G154" s="19"/>
      <c r="H154" s="19"/>
      <c r="I154" s="20"/>
      <c r="J154" s="19"/>
      <c r="K154" s="19"/>
    </row>
    <row r="155" spans="1:11" ht="14.25">
      <c r="A155" s="19"/>
      <c r="B155" s="31"/>
      <c r="C155" s="19"/>
      <c r="D155" s="19"/>
      <c r="E155" s="19"/>
      <c r="F155" s="20"/>
      <c r="G155" s="19"/>
      <c r="H155" s="19"/>
      <c r="I155" s="20"/>
      <c r="J155" s="19"/>
      <c r="K155" s="19"/>
    </row>
    <row r="156" spans="1:11" ht="14.25">
      <c r="A156" s="19"/>
      <c r="B156" s="31"/>
      <c r="C156" s="19"/>
      <c r="D156" s="19"/>
      <c r="E156" s="19"/>
      <c r="F156" s="20"/>
      <c r="G156" s="19"/>
      <c r="H156" s="19"/>
      <c r="I156" s="20"/>
      <c r="J156" s="19"/>
      <c r="K156" s="19"/>
    </row>
    <row r="157" spans="1:11" ht="14.25">
      <c r="A157" s="19"/>
      <c r="B157" s="31"/>
      <c r="C157" s="19"/>
      <c r="D157" s="19"/>
      <c r="E157" s="19"/>
      <c r="F157" s="20"/>
      <c r="G157" s="19"/>
      <c r="H157" s="19"/>
      <c r="I157" s="20"/>
      <c r="J157" s="19"/>
      <c r="K157" s="19"/>
    </row>
    <row r="158" spans="1:11" ht="14.25">
      <c r="A158" s="19"/>
      <c r="B158" s="31"/>
      <c r="C158" s="19"/>
      <c r="D158" s="19"/>
      <c r="E158" s="19"/>
      <c r="F158" s="20"/>
      <c r="G158" s="19"/>
      <c r="H158" s="19"/>
      <c r="I158" s="20"/>
      <c r="J158" s="19"/>
      <c r="K158" s="19"/>
    </row>
    <row r="159" spans="1:11" ht="14.25">
      <c r="A159" s="19"/>
      <c r="B159" s="31"/>
      <c r="C159" s="19"/>
      <c r="D159" s="19"/>
      <c r="E159" s="19"/>
      <c r="F159" s="20"/>
      <c r="G159" s="19"/>
      <c r="H159" s="19"/>
      <c r="I159" s="20"/>
      <c r="J159" s="19"/>
      <c r="K159" s="19"/>
    </row>
    <row r="160" spans="1:11" ht="14.25">
      <c r="A160" s="19"/>
      <c r="B160" s="31"/>
      <c r="C160" s="19"/>
      <c r="D160" s="19"/>
      <c r="E160" s="19"/>
      <c r="F160" s="20"/>
      <c r="G160" s="19"/>
      <c r="H160" s="19"/>
      <c r="I160" s="20"/>
      <c r="J160" s="19"/>
      <c r="K160" s="19"/>
    </row>
    <row r="161" spans="1:11" ht="14.25">
      <c r="A161" s="19"/>
      <c r="B161" s="31"/>
      <c r="C161" s="19"/>
      <c r="D161" s="19"/>
      <c r="E161" s="19"/>
      <c r="F161" s="20"/>
      <c r="G161" s="19"/>
      <c r="H161" s="19"/>
      <c r="I161" s="20"/>
      <c r="J161" s="19"/>
      <c r="K161" s="19"/>
    </row>
    <row r="162" spans="1:11" ht="14.25">
      <c r="A162" s="19"/>
      <c r="B162" s="31"/>
      <c r="C162" s="19"/>
      <c r="D162" s="19"/>
      <c r="E162" s="19"/>
      <c r="F162" s="20"/>
      <c r="G162" s="19"/>
      <c r="H162" s="19"/>
      <c r="I162" s="20"/>
      <c r="J162" s="19"/>
      <c r="K162" s="19"/>
    </row>
    <row r="163" spans="1:11" ht="14.25">
      <c r="A163" s="19"/>
      <c r="B163" s="31"/>
      <c r="C163" s="19"/>
      <c r="D163" s="19"/>
      <c r="E163" s="19"/>
      <c r="F163" s="20"/>
      <c r="G163" s="19"/>
      <c r="H163" s="19"/>
      <c r="I163" s="20"/>
      <c r="J163" s="19"/>
      <c r="K163" s="19"/>
    </row>
    <row r="164" spans="1:11" ht="14.25">
      <c r="A164" s="19"/>
      <c r="B164" s="31"/>
      <c r="C164" s="19"/>
      <c r="D164" s="19"/>
      <c r="E164" s="19"/>
      <c r="F164" s="20"/>
      <c r="G164" s="19"/>
      <c r="H164" s="19"/>
      <c r="I164" s="20"/>
      <c r="J164" s="19"/>
      <c r="K164" s="19"/>
    </row>
    <row r="165" spans="1:11" ht="14.25">
      <c r="A165" s="19"/>
      <c r="B165" s="31"/>
      <c r="C165" s="19"/>
      <c r="D165" s="19"/>
      <c r="E165" s="19"/>
      <c r="F165" s="20"/>
      <c r="G165" s="19"/>
      <c r="H165" s="19"/>
      <c r="I165" s="20"/>
      <c r="J165" s="19"/>
      <c r="K165" s="19"/>
    </row>
    <row r="166" spans="1:11" ht="14.25">
      <c r="A166" s="19"/>
      <c r="B166" s="31"/>
      <c r="C166" s="19"/>
      <c r="D166" s="19"/>
      <c r="E166" s="19"/>
      <c r="F166" s="20"/>
      <c r="G166" s="19"/>
      <c r="H166" s="19"/>
      <c r="I166" s="20"/>
      <c r="J166" s="19"/>
      <c r="K166" s="19"/>
    </row>
    <row r="167" spans="1:11" ht="14.25">
      <c r="A167" s="19"/>
      <c r="B167" s="31"/>
      <c r="C167" s="19"/>
      <c r="D167" s="19"/>
      <c r="E167" s="19"/>
      <c r="F167" s="20"/>
      <c r="G167" s="19"/>
      <c r="H167" s="19"/>
      <c r="I167" s="20"/>
      <c r="J167" s="19"/>
      <c r="K167" s="19"/>
    </row>
    <row r="168" spans="1:11" ht="14.25">
      <c r="A168" s="19"/>
      <c r="B168" s="31"/>
      <c r="C168" s="19"/>
      <c r="D168" s="19"/>
      <c r="E168" s="19"/>
      <c r="F168" s="20"/>
      <c r="G168" s="19"/>
      <c r="H168" s="19"/>
      <c r="I168" s="20"/>
      <c r="J168" s="19"/>
      <c r="K168" s="19"/>
    </row>
    <row r="169" spans="1:11" ht="14.25">
      <c r="A169" s="19"/>
      <c r="B169" s="31"/>
      <c r="C169" s="19"/>
      <c r="D169" s="19"/>
      <c r="E169" s="19"/>
      <c r="F169" s="20"/>
      <c r="G169" s="19"/>
      <c r="H169" s="19"/>
      <c r="I169" s="20"/>
      <c r="J169" s="19"/>
      <c r="K169" s="19"/>
    </row>
    <row r="170" spans="1:11" ht="14.25">
      <c r="A170" s="19"/>
      <c r="B170" s="31"/>
      <c r="C170" s="19"/>
      <c r="D170" s="19"/>
      <c r="E170" s="19"/>
      <c r="F170" s="20"/>
      <c r="G170" s="19"/>
      <c r="H170" s="19"/>
      <c r="I170" s="20"/>
      <c r="J170" s="19"/>
      <c r="K170" s="19"/>
    </row>
    <row r="171" spans="1:11" ht="14.25">
      <c r="A171" s="19"/>
      <c r="B171" s="31"/>
      <c r="C171" s="19"/>
      <c r="D171" s="19"/>
      <c r="E171" s="19"/>
      <c r="F171" s="20"/>
      <c r="G171" s="19"/>
      <c r="H171" s="19"/>
      <c r="I171" s="20"/>
      <c r="J171" s="19"/>
      <c r="K171" s="19"/>
    </row>
    <row r="172" spans="1:11" ht="14.25">
      <c r="A172" s="19"/>
      <c r="B172" s="31"/>
      <c r="C172" s="19"/>
      <c r="D172" s="19"/>
      <c r="E172" s="19"/>
      <c r="F172" s="20"/>
      <c r="G172" s="19"/>
      <c r="H172" s="19"/>
      <c r="I172" s="20"/>
      <c r="J172" s="19"/>
      <c r="K172" s="19"/>
    </row>
    <row r="173" spans="1:11" ht="14.25">
      <c r="A173" s="19"/>
      <c r="B173" s="31"/>
      <c r="C173" s="19"/>
      <c r="D173" s="19"/>
      <c r="E173" s="19"/>
      <c r="F173" s="20"/>
      <c r="G173" s="19"/>
      <c r="H173" s="19"/>
      <c r="I173" s="20"/>
      <c r="J173" s="19"/>
      <c r="K173" s="19"/>
    </row>
    <row r="174" spans="1:11" ht="14.25">
      <c r="A174" s="19"/>
      <c r="B174" s="31"/>
      <c r="C174" s="19"/>
      <c r="D174" s="19"/>
      <c r="E174" s="19"/>
      <c r="F174" s="20"/>
      <c r="G174" s="19"/>
      <c r="H174" s="19"/>
      <c r="I174" s="20"/>
      <c r="J174" s="19"/>
      <c r="K174" s="19"/>
    </row>
    <row r="175" spans="1:11" ht="14.25">
      <c r="A175" s="19"/>
      <c r="B175" s="31"/>
      <c r="C175" s="19"/>
      <c r="D175" s="19"/>
      <c r="E175" s="19"/>
      <c r="F175" s="20"/>
      <c r="G175" s="19"/>
      <c r="H175" s="19"/>
      <c r="I175" s="20"/>
      <c r="J175" s="19"/>
      <c r="K175" s="19"/>
    </row>
    <row r="176" spans="1:11" ht="14.25">
      <c r="A176" s="19"/>
      <c r="B176" s="31"/>
      <c r="C176" s="19"/>
      <c r="D176" s="19"/>
      <c r="E176" s="19"/>
      <c r="F176" s="20"/>
      <c r="G176" s="19"/>
      <c r="H176" s="19"/>
      <c r="I176" s="20"/>
      <c r="J176" s="19"/>
      <c r="K176" s="19"/>
    </row>
    <row r="177" spans="1:11" ht="14.25">
      <c r="A177" s="19"/>
      <c r="B177" s="31"/>
      <c r="C177" s="19"/>
      <c r="D177" s="19"/>
      <c r="E177" s="19"/>
      <c r="F177" s="20"/>
      <c r="G177" s="19"/>
      <c r="H177" s="19"/>
      <c r="I177" s="20"/>
      <c r="J177" s="19"/>
      <c r="K177" s="19"/>
    </row>
    <row r="178" spans="1:11" ht="14.25">
      <c r="A178" s="19"/>
      <c r="B178" s="31"/>
      <c r="C178" s="19"/>
      <c r="D178" s="19"/>
      <c r="E178" s="19"/>
      <c r="F178" s="20"/>
      <c r="G178" s="19"/>
      <c r="H178" s="19"/>
      <c r="I178" s="20"/>
      <c r="J178" s="19"/>
      <c r="K178" s="19"/>
    </row>
    <row r="179" spans="1:11" ht="14.25">
      <c r="A179" s="19"/>
      <c r="B179" s="31"/>
      <c r="C179" s="19"/>
      <c r="D179" s="19"/>
      <c r="E179" s="19"/>
      <c r="F179" s="20"/>
      <c r="G179" s="19"/>
      <c r="H179" s="19"/>
      <c r="I179" s="20"/>
      <c r="J179" s="19"/>
      <c r="K179" s="19"/>
    </row>
    <row r="180" spans="1:11" ht="14.25">
      <c r="A180" s="19"/>
      <c r="B180" s="31"/>
      <c r="C180" s="19"/>
      <c r="D180" s="19"/>
      <c r="E180" s="19"/>
      <c r="F180" s="20"/>
      <c r="G180" s="19"/>
      <c r="H180" s="19"/>
      <c r="I180" s="20"/>
      <c r="J180" s="19"/>
      <c r="K180" s="19"/>
    </row>
    <row r="181" spans="1:11" ht="14.25">
      <c r="A181" s="19"/>
      <c r="B181" s="31"/>
      <c r="C181" s="19"/>
      <c r="D181" s="19"/>
      <c r="E181" s="19"/>
      <c r="F181" s="20"/>
      <c r="G181" s="19"/>
      <c r="H181" s="19"/>
      <c r="I181" s="20"/>
      <c r="J181" s="19"/>
      <c r="K181" s="19"/>
    </row>
    <row r="182" spans="1:11" ht="14.25">
      <c r="A182" s="19"/>
      <c r="B182" s="31"/>
      <c r="C182" s="19"/>
      <c r="D182" s="19"/>
      <c r="E182" s="19"/>
      <c r="F182" s="20"/>
      <c r="G182" s="19"/>
      <c r="H182" s="19"/>
      <c r="I182" s="20"/>
      <c r="J182" s="19"/>
      <c r="K182" s="19"/>
    </row>
    <row r="183" spans="1:11" ht="14.25">
      <c r="A183" s="19"/>
      <c r="B183" s="31"/>
      <c r="C183" s="19"/>
      <c r="D183" s="19"/>
      <c r="E183" s="19"/>
      <c r="F183" s="20"/>
      <c r="G183" s="19"/>
      <c r="H183" s="19"/>
      <c r="I183" s="20"/>
      <c r="J183" s="19"/>
      <c r="K183" s="19"/>
    </row>
    <row r="184" spans="1:11" ht="14.25">
      <c r="A184" s="19"/>
      <c r="B184" s="31"/>
      <c r="C184" s="19"/>
      <c r="D184" s="19"/>
      <c r="E184" s="19"/>
      <c r="F184" s="20"/>
      <c r="G184" s="19"/>
      <c r="H184" s="19"/>
      <c r="I184" s="20"/>
      <c r="J184" s="19"/>
      <c r="K184" s="19"/>
    </row>
    <row r="185" spans="1:11" ht="14.25">
      <c r="A185" s="19"/>
      <c r="B185" s="31"/>
      <c r="C185" s="19"/>
      <c r="D185" s="19"/>
      <c r="E185" s="19"/>
      <c r="F185" s="20"/>
      <c r="G185" s="19"/>
      <c r="H185" s="19"/>
      <c r="I185" s="20"/>
      <c r="J185" s="19"/>
      <c r="K185" s="19"/>
    </row>
    <row r="186" spans="1:11" ht="14.25">
      <c r="A186" s="19"/>
      <c r="B186" s="31"/>
      <c r="C186" s="19"/>
      <c r="D186" s="19"/>
      <c r="E186" s="19"/>
      <c r="F186" s="20"/>
      <c r="G186" s="19"/>
      <c r="H186" s="19"/>
      <c r="I186" s="20"/>
      <c r="J186" s="19"/>
      <c r="K186" s="19"/>
    </row>
    <row r="187" spans="1:11" ht="14.25">
      <c r="A187" s="19"/>
      <c r="B187" s="31"/>
      <c r="C187" s="19"/>
      <c r="D187" s="19"/>
      <c r="E187" s="19"/>
      <c r="F187" s="20"/>
      <c r="G187" s="19"/>
      <c r="H187" s="19"/>
      <c r="I187" s="20"/>
      <c r="J187" s="19"/>
      <c r="K187" s="19"/>
    </row>
    <row r="188" spans="1:11" ht="14.25">
      <c r="A188" s="19"/>
      <c r="B188" s="31"/>
      <c r="C188" s="19"/>
      <c r="D188" s="19"/>
      <c r="E188" s="19"/>
      <c r="F188" s="20"/>
      <c r="G188" s="19"/>
      <c r="H188" s="19"/>
      <c r="I188" s="20"/>
      <c r="J188" s="19"/>
      <c r="K188" s="19"/>
    </row>
    <row r="189" spans="1:11" ht="14.25">
      <c r="A189" s="19"/>
      <c r="B189" s="31"/>
      <c r="C189" s="19"/>
      <c r="D189" s="19"/>
      <c r="E189" s="19"/>
      <c r="F189" s="20"/>
      <c r="G189" s="19"/>
      <c r="H189" s="19"/>
      <c r="I189" s="20"/>
      <c r="J189" s="19"/>
      <c r="K189" s="19"/>
    </row>
    <row r="190" spans="1:11" ht="14.25">
      <c r="A190" s="19"/>
      <c r="B190" s="31"/>
      <c r="C190" s="19"/>
      <c r="D190" s="19"/>
      <c r="E190" s="19"/>
      <c r="F190" s="20"/>
      <c r="G190" s="19"/>
      <c r="H190" s="19"/>
      <c r="I190" s="20"/>
      <c r="J190" s="19"/>
      <c r="K190" s="19"/>
    </row>
    <row r="191" spans="1:11" ht="14.25">
      <c r="A191" s="19"/>
      <c r="B191" s="31"/>
      <c r="C191" s="19"/>
      <c r="D191" s="19"/>
      <c r="E191" s="19"/>
      <c r="F191" s="20"/>
      <c r="G191" s="19"/>
      <c r="H191" s="19"/>
      <c r="I191" s="20"/>
      <c r="J191" s="19"/>
      <c r="K191" s="19"/>
    </row>
    <row r="192" spans="1:11" ht="14.25">
      <c r="A192" s="19"/>
      <c r="B192" s="31"/>
      <c r="C192" s="19"/>
      <c r="D192" s="19"/>
      <c r="E192" s="19"/>
      <c r="F192" s="20"/>
      <c r="G192" s="19"/>
      <c r="H192" s="19"/>
      <c r="I192" s="20"/>
      <c r="J192" s="19"/>
      <c r="K192" s="19"/>
    </row>
    <row r="193" spans="1:11" ht="14.25">
      <c r="A193" s="19"/>
      <c r="B193" s="31"/>
      <c r="C193" s="19"/>
      <c r="D193" s="19"/>
      <c r="E193" s="19"/>
      <c r="F193" s="20"/>
      <c r="G193" s="19"/>
      <c r="H193" s="19"/>
      <c r="I193" s="20"/>
      <c r="J193" s="19"/>
      <c r="K193" s="19"/>
    </row>
    <row r="194" spans="1:11" ht="14.25">
      <c r="A194" s="19"/>
      <c r="B194" s="31"/>
      <c r="C194" s="19"/>
      <c r="D194" s="19"/>
      <c r="E194" s="19"/>
      <c r="F194" s="20"/>
      <c r="G194" s="19"/>
      <c r="H194" s="19"/>
      <c r="I194" s="20"/>
      <c r="J194" s="19"/>
      <c r="K194" s="19"/>
    </row>
    <row r="195" spans="1:11" ht="14.25">
      <c r="A195" s="19"/>
      <c r="B195" s="31"/>
      <c r="C195" s="19"/>
      <c r="D195" s="19"/>
      <c r="E195" s="19"/>
      <c r="F195" s="20"/>
      <c r="G195" s="19"/>
      <c r="H195" s="19"/>
      <c r="I195" s="20"/>
      <c r="J195" s="19"/>
      <c r="K195" s="19"/>
    </row>
    <row r="196" spans="1:11" ht="14.25">
      <c r="A196" s="19"/>
      <c r="B196" s="31"/>
      <c r="C196" s="19"/>
      <c r="D196" s="19"/>
      <c r="E196" s="19"/>
      <c r="F196" s="20"/>
      <c r="G196" s="19"/>
      <c r="H196" s="19"/>
      <c r="I196" s="20"/>
      <c r="J196" s="19"/>
      <c r="K196" s="19"/>
    </row>
    <row r="197" spans="1:11" ht="14.25">
      <c r="A197" s="19"/>
      <c r="B197" s="31"/>
      <c r="C197" s="19"/>
      <c r="D197" s="19"/>
      <c r="E197" s="19"/>
      <c r="F197" s="20"/>
      <c r="G197" s="19"/>
      <c r="H197" s="19"/>
      <c r="I197" s="20"/>
      <c r="J197" s="19"/>
      <c r="K197" s="19"/>
    </row>
    <row r="198" spans="1:11" ht="14.25">
      <c r="A198" s="19"/>
      <c r="B198" s="31"/>
      <c r="C198" s="19"/>
      <c r="D198" s="19"/>
      <c r="E198" s="19"/>
      <c r="F198" s="20"/>
      <c r="G198" s="19"/>
      <c r="H198" s="19"/>
      <c r="I198" s="20"/>
      <c r="J198" s="19"/>
      <c r="K198" s="19"/>
    </row>
    <row r="199" spans="1:11" ht="14.25">
      <c r="A199" s="19"/>
      <c r="B199" s="31"/>
      <c r="C199" s="19"/>
      <c r="D199" s="19"/>
      <c r="E199" s="19"/>
      <c r="F199" s="20"/>
      <c r="G199" s="19"/>
      <c r="H199" s="19"/>
      <c r="I199" s="20"/>
      <c r="J199" s="19"/>
      <c r="K199" s="19"/>
    </row>
    <row r="200" spans="1:11" ht="14.25">
      <c r="A200" s="19"/>
      <c r="B200" s="31"/>
      <c r="C200" s="19"/>
      <c r="D200" s="19"/>
      <c r="E200" s="19"/>
      <c r="F200" s="20"/>
      <c r="G200" s="19"/>
      <c r="H200" s="19"/>
      <c r="I200" s="20"/>
      <c r="J200" s="19"/>
      <c r="K200" s="19"/>
    </row>
    <row r="201" spans="1:11" ht="14.25">
      <c r="A201" s="19"/>
      <c r="B201" s="31"/>
      <c r="C201" s="19"/>
      <c r="D201" s="19"/>
      <c r="E201" s="19"/>
      <c r="F201" s="20"/>
      <c r="G201" s="19"/>
      <c r="H201" s="19"/>
      <c r="I201" s="20"/>
      <c r="J201" s="19"/>
      <c r="K201" s="19"/>
    </row>
    <row r="202" spans="1:11" ht="14.25">
      <c r="A202" s="19"/>
      <c r="B202" s="31"/>
      <c r="C202" s="19"/>
      <c r="D202" s="19"/>
      <c r="E202" s="19"/>
      <c r="F202" s="20"/>
      <c r="G202" s="19"/>
      <c r="H202" s="19"/>
      <c r="I202" s="20"/>
      <c r="J202" s="19"/>
      <c r="K202" s="19"/>
    </row>
    <row r="203" spans="1:11" ht="14.25">
      <c r="A203" s="19"/>
      <c r="B203" s="31"/>
      <c r="C203" s="19"/>
      <c r="D203" s="19"/>
      <c r="E203" s="19"/>
      <c r="F203" s="20"/>
      <c r="G203" s="19"/>
      <c r="H203" s="19"/>
      <c r="I203" s="20"/>
      <c r="J203" s="19"/>
      <c r="K203" s="19"/>
    </row>
    <row r="204" spans="1:11" ht="14.25">
      <c r="A204" s="19"/>
      <c r="B204" s="31"/>
      <c r="C204" s="19"/>
      <c r="D204" s="19"/>
      <c r="E204" s="19"/>
      <c r="F204" s="20"/>
      <c r="G204" s="19"/>
      <c r="H204" s="19"/>
      <c r="I204" s="20"/>
      <c r="J204" s="19"/>
      <c r="K204" s="19"/>
    </row>
    <row r="205" spans="1:11" ht="14.25">
      <c r="A205" s="19"/>
      <c r="B205" s="31"/>
      <c r="C205" s="19"/>
      <c r="D205" s="19"/>
      <c r="E205" s="19"/>
      <c r="F205" s="20"/>
      <c r="G205" s="19"/>
      <c r="H205" s="19"/>
      <c r="I205" s="20"/>
      <c r="J205" s="19"/>
      <c r="K205" s="19"/>
    </row>
    <row r="206" spans="1:11" ht="14.25">
      <c r="A206" s="19"/>
      <c r="B206" s="31"/>
      <c r="C206" s="19"/>
      <c r="D206" s="19"/>
      <c r="E206" s="19"/>
      <c r="F206" s="20"/>
      <c r="G206" s="19"/>
      <c r="H206" s="19"/>
      <c r="I206" s="20"/>
      <c r="J206" s="19"/>
      <c r="K206" s="19"/>
    </row>
    <row r="207" spans="1:11" ht="14.25">
      <c r="A207" s="19"/>
      <c r="B207" s="31"/>
      <c r="C207" s="19"/>
      <c r="D207" s="19"/>
      <c r="E207" s="19"/>
      <c r="F207" s="20"/>
      <c r="G207" s="19"/>
      <c r="H207" s="19"/>
      <c r="I207" s="20"/>
      <c r="J207" s="19"/>
      <c r="K207" s="19"/>
    </row>
    <row r="208" spans="1:11" ht="14.25">
      <c r="A208" s="19"/>
      <c r="B208" s="31"/>
      <c r="C208" s="19"/>
      <c r="D208" s="19"/>
      <c r="E208" s="19"/>
      <c r="F208" s="20"/>
      <c r="G208" s="19"/>
      <c r="H208" s="19"/>
      <c r="I208" s="20"/>
      <c r="J208" s="19"/>
      <c r="K208" s="19"/>
    </row>
    <row r="209" spans="1:11" ht="14.25">
      <c r="A209" s="19"/>
      <c r="B209" s="31"/>
      <c r="C209" s="19"/>
      <c r="D209" s="19"/>
      <c r="E209" s="19"/>
      <c r="F209" s="20"/>
      <c r="G209" s="19"/>
      <c r="H209" s="19"/>
      <c r="I209" s="20"/>
      <c r="J209" s="19"/>
      <c r="K209" s="19"/>
    </row>
    <row r="210" spans="1:11" ht="14.25">
      <c r="A210" s="19"/>
      <c r="B210" s="31"/>
      <c r="C210" s="19"/>
      <c r="D210" s="19"/>
      <c r="E210" s="19"/>
      <c r="F210" s="20"/>
      <c r="G210" s="19"/>
      <c r="H210" s="19"/>
      <c r="I210" s="20"/>
      <c r="J210" s="19"/>
      <c r="K210" s="19"/>
    </row>
    <row r="211" spans="1:11" ht="14.25">
      <c r="A211" s="19"/>
      <c r="B211" s="31"/>
      <c r="C211" s="19"/>
      <c r="D211" s="19"/>
      <c r="E211" s="19"/>
      <c r="F211" s="20"/>
      <c r="G211" s="19"/>
      <c r="H211" s="19"/>
      <c r="I211" s="20"/>
      <c r="J211" s="19"/>
      <c r="K211" s="19"/>
    </row>
    <row r="212" spans="1:11" ht="14.25">
      <c r="A212" s="19"/>
      <c r="B212" s="31"/>
      <c r="C212" s="19"/>
      <c r="D212" s="19"/>
      <c r="E212" s="19"/>
      <c r="F212" s="20"/>
      <c r="G212" s="19"/>
      <c r="H212" s="19"/>
      <c r="I212" s="20"/>
      <c r="J212" s="19"/>
      <c r="K212" s="19"/>
    </row>
    <row r="213" spans="1:11" ht="14.25">
      <c r="A213" s="19"/>
      <c r="B213" s="31"/>
      <c r="C213" s="19"/>
      <c r="D213" s="19"/>
      <c r="E213" s="19"/>
      <c r="F213" s="20"/>
      <c r="G213" s="19"/>
      <c r="H213" s="19"/>
      <c r="I213" s="20"/>
      <c r="J213" s="19"/>
      <c r="K213" s="19"/>
    </row>
    <row r="214" spans="1:11" ht="14.25">
      <c r="A214" s="19"/>
      <c r="B214" s="31"/>
      <c r="C214" s="19"/>
      <c r="D214" s="19"/>
      <c r="E214" s="19"/>
      <c r="F214" s="20"/>
      <c r="G214" s="19"/>
      <c r="H214" s="19"/>
      <c r="I214" s="20"/>
      <c r="J214" s="19"/>
      <c r="K214" s="19"/>
    </row>
    <row r="215" spans="1:11" ht="14.25">
      <c r="A215" s="19"/>
      <c r="B215" s="31"/>
      <c r="C215" s="19"/>
      <c r="D215" s="19"/>
      <c r="E215" s="19"/>
      <c r="F215" s="20"/>
      <c r="G215" s="19"/>
      <c r="H215" s="19"/>
      <c r="I215" s="20"/>
      <c r="J215" s="19"/>
      <c r="K215" s="19"/>
    </row>
    <row r="216" spans="1:11" ht="14.25">
      <c r="A216" s="19"/>
      <c r="B216" s="31"/>
      <c r="C216" s="19"/>
      <c r="D216" s="19"/>
      <c r="E216" s="19"/>
      <c r="F216" s="20"/>
      <c r="G216" s="19"/>
      <c r="H216" s="19"/>
      <c r="I216" s="20"/>
      <c r="J216" s="19"/>
      <c r="K216" s="19"/>
    </row>
    <row r="217" spans="1:11" ht="14.25">
      <c r="A217" s="19"/>
      <c r="B217" s="31"/>
      <c r="C217" s="19"/>
      <c r="D217" s="19"/>
      <c r="E217" s="19"/>
      <c r="F217" s="20"/>
      <c r="G217" s="19"/>
      <c r="H217" s="19"/>
      <c r="I217" s="20"/>
      <c r="J217" s="19"/>
      <c r="K217" s="19"/>
    </row>
    <row r="218" spans="1:11" ht="14.25">
      <c r="A218" s="19"/>
      <c r="B218" s="31"/>
      <c r="C218" s="19"/>
      <c r="D218" s="19"/>
      <c r="E218" s="19"/>
      <c r="F218" s="20"/>
      <c r="G218" s="19"/>
      <c r="H218" s="19"/>
      <c r="I218" s="20"/>
      <c r="J218" s="19"/>
      <c r="K218" s="19"/>
    </row>
    <row r="219" spans="1:11" ht="14.25">
      <c r="A219" s="19"/>
      <c r="B219" s="31"/>
      <c r="C219" s="19"/>
      <c r="D219" s="19"/>
      <c r="E219" s="19"/>
      <c r="F219" s="20"/>
      <c r="G219" s="19"/>
      <c r="H219" s="19"/>
      <c r="I219" s="20"/>
      <c r="J219" s="19"/>
      <c r="K219" s="19"/>
    </row>
    <row r="220" spans="1:11" ht="14.25">
      <c r="A220" s="19"/>
      <c r="B220" s="31"/>
      <c r="C220" s="19"/>
      <c r="D220" s="19"/>
      <c r="E220" s="19"/>
      <c r="F220" s="20"/>
      <c r="G220" s="19"/>
      <c r="H220" s="19"/>
      <c r="I220" s="20"/>
      <c r="J220" s="19"/>
      <c r="K220" s="19"/>
    </row>
    <row r="221" spans="1:11" ht="14.25">
      <c r="A221" s="19"/>
      <c r="B221" s="31"/>
      <c r="C221" s="19"/>
      <c r="D221" s="19"/>
      <c r="E221" s="19"/>
      <c r="F221" s="20"/>
      <c r="G221" s="19"/>
      <c r="H221" s="19"/>
      <c r="I221" s="20"/>
      <c r="J221" s="19"/>
      <c r="K221" s="19"/>
    </row>
    <row r="222" spans="1:11" ht="14.25">
      <c r="A222" s="19"/>
      <c r="B222" s="31"/>
      <c r="C222" s="19"/>
      <c r="D222" s="19"/>
      <c r="E222" s="19"/>
      <c r="F222" s="20"/>
      <c r="G222" s="19"/>
      <c r="H222" s="19"/>
      <c r="I222" s="20"/>
      <c r="J222" s="19"/>
      <c r="K222" s="19"/>
    </row>
    <row r="223" spans="1:11" ht="14.25">
      <c r="A223" s="19"/>
      <c r="B223" s="31"/>
      <c r="C223" s="19"/>
      <c r="D223" s="19"/>
      <c r="E223" s="19"/>
      <c r="F223" s="20"/>
      <c r="G223" s="19"/>
      <c r="H223" s="19"/>
      <c r="I223" s="20"/>
      <c r="J223" s="19"/>
      <c r="K223" s="19"/>
    </row>
    <row r="224" spans="1:11" ht="14.25">
      <c r="A224" s="19"/>
      <c r="B224" s="31"/>
      <c r="C224" s="19"/>
      <c r="D224" s="19"/>
      <c r="E224" s="19"/>
      <c r="F224" s="20"/>
      <c r="G224" s="19"/>
      <c r="H224" s="19"/>
      <c r="I224" s="20"/>
      <c r="J224" s="19"/>
      <c r="K224" s="19"/>
    </row>
    <row r="225" spans="1:11" ht="14.25">
      <c r="A225" s="19"/>
      <c r="B225" s="31"/>
      <c r="C225" s="19"/>
      <c r="D225" s="19"/>
      <c r="E225" s="19"/>
      <c r="F225" s="20"/>
      <c r="G225" s="19"/>
      <c r="H225" s="19"/>
      <c r="I225" s="20"/>
      <c r="J225" s="19"/>
      <c r="K225" s="19"/>
    </row>
    <row r="226" spans="1:11" ht="14.25">
      <c r="A226" s="19"/>
      <c r="B226" s="31"/>
      <c r="C226" s="19"/>
      <c r="D226" s="19"/>
      <c r="E226" s="19"/>
      <c r="F226" s="20"/>
      <c r="G226" s="19"/>
      <c r="H226" s="19"/>
      <c r="I226" s="20"/>
      <c r="J226" s="19"/>
      <c r="K226" s="19"/>
    </row>
    <row r="227" spans="1:11" ht="14.25">
      <c r="A227" s="19"/>
      <c r="B227" s="31"/>
      <c r="C227" s="19"/>
      <c r="D227" s="19"/>
      <c r="E227" s="19"/>
      <c r="F227" s="20"/>
      <c r="G227" s="19"/>
      <c r="H227" s="19"/>
      <c r="I227" s="20"/>
      <c r="J227" s="19"/>
      <c r="K227" s="19"/>
    </row>
    <row r="228" spans="1:11" ht="14.25">
      <c r="A228" s="19"/>
      <c r="B228" s="31"/>
      <c r="C228" s="19"/>
      <c r="D228" s="19"/>
      <c r="E228" s="19"/>
      <c r="F228" s="20"/>
      <c r="G228" s="19"/>
      <c r="H228" s="19"/>
      <c r="I228" s="20"/>
      <c r="J228" s="19"/>
      <c r="K228" s="19"/>
    </row>
    <row r="229" spans="1:11" ht="14.25">
      <c r="A229" s="19"/>
      <c r="B229" s="31"/>
      <c r="C229" s="19"/>
      <c r="D229" s="19"/>
      <c r="E229" s="19"/>
      <c r="F229" s="20"/>
      <c r="G229" s="19"/>
      <c r="H229" s="19"/>
      <c r="I229" s="20"/>
      <c r="J229" s="19"/>
      <c r="K229" s="19"/>
    </row>
    <row r="230" spans="1:11" ht="14.25">
      <c r="A230" s="19"/>
      <c r="B230" s="31"/>
      <c r="C230" s="19"/>
      <c r="D230" s="19"/>
      <c r="E230" s="19"/>
      <c r="F230" s="20"/>
      <c r="G230" s="19"/>
      <c r="H230" s="19"/>
      <c r="I230" s="20"/>
      <c r="J230" s="19"/>
      <c r="K230" s="19"/>
    </row>
    <row r="231" spans="1:11" ht="14.25">
      <c r="A231" s="19"/>
      <c r="B231" s="31"/>
      <c r="C231" s="19"/>
      <c r="D231" s="19"/>
      <c r="E231" s="19"/>
      <c r="F231" s="20"/>
      <c r="G231" s="19"/>
      <c r="H231" s="19"/>
      <c r="I231" s="20"/>
      <c r="J231" s="19"/>
      <c r="K231" s="19"/>
    </row>
    <row r="232" spans="1:11" ht="14.25">
      <c r="A232" s="19"/>
      <c r="B232" s="31"/>
      <c r="C232" s="19"/>
      <c r="D232" s="19"/>
      <c r="E232" s="19"/>
      <c r="F232" s="20"/>
      <c r="G232" s="19"/>
      <c r="H232" s="19"/>
      <c r="I232" s="20"/>
      <c r="J232" s="19"/>
      <c r="K232" s="19"/>
    </row>
    <row r="233" spans="1:11" ht="14.25">
      <c r="A233" s="19"/>
      <c r="B233" s="31"/>
      <c r="C233" s="19"/>
      <c r="D233" s="19"/>
      <c r="E233" s="19"/>
      <c r="F233" s="20"/>
      <c r="G233" s="19"/>
      <c r="H233" s="19"/>
      <c r="I233" s="20"/>
      <c r="J233" s="19"/>
      <c r="K233" s="19"/>
    </row>
    <row r="234" spans="1:11" ht="14.25">
      <c r="A234" s="19"/>
      <c r="B234" s="31"/>
      <c r="C234" s="19"/>
      <c r="D234" s="19"/>
      <c r="E234" s="19"/>
      <c r="F234" s="20"/>
      <c r="G234" s="19"/>
      <c r="H234" s="19"/>
      <c r="I234" s="20"/>
      <c r="J234" s="19"/>
      <c r="K234" s="19"/>
    </row>
    <row r="235" spans="1:11" ht="14.25">
      <c r="A235" s="19"/>
      <c r="B235" s="31"/>
      <c r="C235" s="19"/>
      <c r="D235" s="19"/>
      <c r="E235" s="19"/>
      <c r="F235" s="20"/>
      <c r="G235" s="19"/>
      <c r="H235" s="19"/>
      <c r="I235" s="20"/>
      <c r="J235" s="19"/>
      <c r="K235" s="19"/>
    </row>
    <row r="236" spans="1:11" ht="14.25">
      <c r="A236" s="19"/>
      <c r="B236" s="31"/>
      <c r="C236" s="19"/>
      <c r="D236" s="19"/>
      <c r="E236" s="19"/>
      <c r="F236" s="20"/>
      <c r="G236" s="19"/>
      <c r="H236" s="19"/>
      <c r="I236" s="20"/>
      <c r="J236" s="19"/>
      <c r="K236" s="19"/>
    </row>
    <row r="237" spans="1:11" ht="14.25">
      <c r="A237" s="19"/>
      <c r="B237" s="31"/>
      <c r="C237" s="19"/>
      <c r="D237" s="19"/>
      <c r="E237" s="19"/>
      <c r="F237" s="20"/>
      <c r="G237" s="19"/>
      <c r="H237" s="19"/>
      <c r="I237" s="20"/>
      <c r="J237" s="19"/>
      <c r="K237" s="19"/>
    </row>
    <row r="238" spans="1:11" ht="14.25">
      <c r="A238" s="19"/>
      <c r="B238" s="31"/>
      <c r="C238" s="19"/>
      <c r="D238" s="19"/>
      <c r="E238" s="19"/>
      <c r="F238" s="20"/>
      <c r="G238" s="19"/>
      <c r="H238" s="19"/>
      <c r="I238" s="20"/>
      <c r="J238" s="19"/>
      <c r="K238" s="19"/>
    </row>
    <row r="239" spans="1:11" ht="14.25">
      <c r="A239" s="19"/>
      <c r="B239" s="31"/>
      <c r="C239" s="19"/>
      <c r="D239" s="19"/>
      <c r="E239" s="19"/>
      <c r="F239" s="20"/>
      <c r="G239" s="19"/>
      <c r="H239" s="19"/>
      <c r="I239" s="20"/>
      <c r="J239" s="19"/>
      <c r="K239" s="19"/>
    </row>
    <row r="240" spans="1:11" ht="14.25">
      <c r="A240" s="19"/>
      <c r="B240" s="31"/>
      <c r="C240" s="19"/>
      <c r="D240" s="19"/>
      <c r="E240" s="19"/>
      <c r="F240" s="20"/>
      <c r="G240" s="19"/>
      <c r="H240" s="19"/>
      <c r="I240" s="20"/>
      <c r="J240" s="19"/>
      <c r="K240" s="19"/>
    </row>
    <row r="241" spans="1:11" ht="14.25">
      <c r="A241" s="19"/>
      <c r="B241" s="31"/>
      <c r="C241" s="19"/>
      <c r="D241" s="19"/>
      <c r="E241" s="19"/>
      <c r="F241" s="20"/>
      <c r="G241" s="19"/>
      <c r="H241" s="19"/>
      <c r="I241" s="20"/>
      <c r="J241" s="19"/>
      <c r="K241" s="19"/>
    </row>
    <row r="242" spans="1:11" ht="14.25">
      <c r="A242" s="19"/>
      <c r="B242" s="31"/>
      <c r="C242" s="19"/>
      <c r="D242" s="19"/>
      <c r="E242" s="19"/>
      <c r="F242" s="20"/>
      <c r="G242" s="19"/>
      <c r="H242" s="19"/>
      <c r="I242" s="20"/>
      <c r="J242" s="19"/>
      <c r="K242" s="19"/>
    </row>
    <row r="243" spans="1:11" ht="14.25">
      <c r="A243" s="19"/>
      <c r="B243" s="31"/>
      <c r="C243" s="19"/>
      <c r="D243" s="19"/>
      <c r="E243" s="19"/>
      <c r="F243" s="20"/>
      <c r="G243" s="19"/>
      <c r="H243" s="19"/>
      <c r="I243" s="20"/>
      <c r="J243" s="19"/>
      <c r="K243" s="19"/>
    </row>
    <row r="244" spans="1:11" ht="14.25">
      <c r="A244" s="19"/>
      <c r="B244" s="31"/>
      <c r="C244" s="19"/>
      <c r="D244" s="19"/>
      <c r="E244" s="19"/>
      <c r="F244" s="20"/>
      <c r="G244" s="19"/>
      <c r="H244" s="19"/>
      <c r="I244" s="20"/>
      <c r="J244" s="19"/>
      <c r="K244" s="19"/>
    </row>
    <row r="245" spans="1:11" ht="14.25">
      <c r="A245" s="19"/>
      <c r="B245" s="31"/>
      <c r="C245" s="19"/>
      <c r="D245" s="19"/>
      <c r="E245" s="19"/>
      <c r="F245" s="20"/>
      <c r="G245" s="19"/>
      <c r="H245" s="19"/>
      <c r="I245" s="20"/>
      <c r="J245" s="19"/>
      <c r="K245" s="19"/>
    </row>
    <row r="246" spans="1:11" ht="14.25">
      <c r="A246" s="19"/>
      <c r="B246" s="31"/>
      <c r="C246" s="19"/>
      <c r="D246" s="19"/>
      <c r="E246" s="19"/>
      <c r="F246" s="20"/>
      <c r="G246" s="19"/>
      <c r="H246" s="19"/>
      <c r="I246" s="20"/>
      <c r="J246" s="19"/>
      <c r="K246" s="19"/>
    </row>
    <row r="247" spans="1:11" ht="14.25">
      <c r="A247" s="19"/>
      <c r="B247" s="31"/>
      <c r="C247" s="19"/>
      <c r="D247" s="19"/>
      <c r="E247" s="19"/>
      <c r="F247" s="20"/>
      <c r="G247" s="19"/>
      <c r="H247" s="19"/>
      <c r="I247" s="20"/>
      <c r="J247" s="19"/>
      <c r="K247" s="19"/>
    </row>
    <row r="248" spans="1:11" ht="14.25">
      <c r="A248" s="19"/>
      <c r="B248" s="31"/>
      <c r="C248" s="19"/>
      <c r="D248" s="19"/>
      <c r="E248" s="19"/>
      <c r="F248" s="20"/>
      <c r="G248" s="19"/>
      <c r="H248" s="19"/>
      <c r="I248" s="20"/>
      <c r="J248" s="19"/>
      <c r="K248" s="19"/>
    </row>
    <row r="249" spans="1:11" ht="14.25">
      <c r="A249" s="19"/>
      <c r="B249" s="31"/>
      <c r="C249" s="19"/>
      <c r="D249" s="19"/>
      <c r="E249" s="19"/>
      <c r="F249" s="20"/>
      <c r="G249" s="19"/>
      <c r="H249" s="19"/>
      <c r="I249" s="20"/>
      <c r="J249" s="19"/>
      <c r="K249" s="19"/>
    </row>
    <row r="250" spans="1:11" ht="14.25">
      <c r="A250" s="19"/>
      <c r="B250" s="31"/>
      <c r="C250" s="19"/>
      <c r="D250" s="19"/>
      <c r="E250" s="19"/>
      <c r="F250" s="20"/>
      <c r="G250" s="19"/>
      <c r="H250" s="19"/>
      <c r="I250" s="20"/>
      <c r="J250" s="19"/>
      <c r="K250" s="19"/>
    </row>
    <row r="251" spans="1:11" ht="14.25">
      <c r="A251" s="19"/>
      <c r="B251" s="31"/>
      <c r="C251" s="19"/>
      <c r="D251" s="19"/>
      <c r="E251" s="19"/>
      <c r="F251" s="20"/>
      <c r="G251" s="19"/>
      <c r="H251" s="19"/>
      <c r="I251" s="20"/>
      <c r="J251" s="19"/>
      <c r="K251" s="19"/>
    </row>
    <row r="252" spans="1:11" ht="14.25">
      <c r="A252" s="19"/>
      <c r="B252" s="31"/>
      <c r="C252" s="19"/>
      <c r="D252" s="19"/>
      <c r="E252" s="19"/>
      <c r="F252" s="20"/>
      <c r="G252" s="19"/>
      <c r="H252" s="19"/>
      <c r="I252" s="20"/>
      <c r="J252" s="19"/>
      <c r="K252" s="19"/>
    </row>
    <row r="253" spans="1:11" ht="14.25">
      <c r="A253" s="19"/>
      <c r="B253" s="31"/>
      <c r="C253" s="19"/>
      <c r="D253" s="19"/>
      <c r="E253" s="19"/>
      <c r="F253" s="20"/>
      <c r="G253" s="19"/>
      <c r="H253" s="19"/>
      <c r="I253" s="20"/>
      <c r="J253" s="19"/>
      <c r="K253" s="19"/>
    </row>
    <row r="254" spans="1:11" ht="14.25">
      <c r="A254" s="19"/>
      <c r="B254" s="31"/>
      <c r="C254" s="19"/>
      <c r="D254" s="19"/>
      <c r="E254" s="19"/>
      <c r="F254" s="20"/>
      <c r="G254" s="19"/>
      <c r="H254" s="19"/>
      <c r="I254" s="20"/>
      <c r="J254" s="19"/>
      <c r="K254" s="19"/>
    </row>
    <row r="255" spans="1:11" ht="14.25">
      <c r="A255" s="19"/>
      <c r="B255" s="31"/>
      <c r="C255" s="19"/>
      <c r="D255" s="19"/>
      <c r="E255" s="19"/>
      <c r="F255" s="20"/>
      <c r="G255" s="19"/>
      <c r="H255" s="19"/>
      <c r="I255" s="20"/>
      <c r="J255" s="19"/>
      <c r="K255" s="19"/>
    </row>
    <row r="256" spans="1:11" ht="14.25">
      <c r="A256" s="19"/>
      <c r="B256" s="31"/>
      <c r="C256" s="19"/>
      <c r="D256" s="19"/>
      <c r="E256" s="19"/>
      <c r="F256" s="20"/>
      <c r="G256" s="19"/>
      <c r="H256" s="19"/>
      <c r="I256" s="20"/>
      <c r="J256" s="19"/>
      <c r="K256" s="19"/>
    </row>
    <row r="257" spans="1:11" ht="14.25">
      <c r="A257" s="19"/>
      <c r="B257" s="31"/>
      <c r="C257" s="19"/>
      <c r="D257" s="19"/>
      <c r="E257" s="19"/>
      <c r="F257" s="20"/>
      <c r="G257" s="19"/>
      <c r="H257" s="19"/>
      <c r="I257" s="20"/>
      <c r="J257" s="19"/>
      <c r="K257" s="19"/>
    </row>
    <row r="258" spans="1:11" ht="14.25">
      <c r="A258" s="19"/>
      <c r="B258" s="31"/>
      <c r="C258" s="19"/>
      <c r="D258" s="19"/>
      <c r="E258" s="19"/>
      <c r="F258" s="20"/>
      <c r="G258" s="19"/>
      <c r="H258" s="19"/>
      <c r="I258" s="20"/>
      <c r="J258" s="19"/>
      <c r="K258" s="19"/>
    </row>
    <row r="259" spans="1:11" ht="14.25">
      <c r="A259" s="19"/>
      <c r="B259" s="31"/>
      <c r="C259" s="19"/>
      <c r="D259" s="19"/>
      <c r="E259" s="19"/>
      <c r="F259" s="20"/>
      <c r="G259" s="19"/>
      <c r="H259" s="19"/>
      <c r="I259" s="20"/>
      <c r="J259" s="19"/>
      <c r="K259" s="19"/>
    </row>
    <row r="260" spans="1:11" ht="14.25">
      <c r="A260" s="19"/>
      <c r="B260" s="31"/>
      <c r="C260" s="19"/>
      <c r="D260" s="19"/>
      <c r="E260" s="19"/>
      <c r="F260" s="20"/>
      <c r="G260" s="19"/>
      <c r="H260" s="19"/>
      <c r="I260" s="20"/>
      <c r="J260" s="19"/>
      <c r="K260" s="19"/>
    </row>
    <row r="261" spans="1:11" ht="14.25">
      <c r="A261" s="19"/>
      <c r="B261" s="31"/>
      <c r="C261" s="19"/>
      <c r="D261" s="19"/>
      <c r="E261" s="19"/>
      <c r="F261" s="20"/>
      <c r="G261" s="19"/>
      <c r="H261" s="19"/>
      <c r="I261" s="20"/>
      <c r="J261" s="19"/>
      <c r="K261" s="19"/>
    </row>
    <row r="262" spans="1:11" ht="14.25">
      <c r="A262" s="19"/>
      <c r="B262" s="31"/>
      <c r="C262" s="19"/>
      <c r="D262" s="19"/>
      <c r="E262" s="19"/>
      <c r="F262" s="20"/>
      <c r="G262" s="19"/>
      <c r="H262" s="19"/>
      <c r="I262" s="20"/>
      <c r="J262" s="19"/>
      <c r="K262" s="19"/>
    </row>
    <row r="263" spans="1:11" ht="14.25">
      <c r="A263" s="19"/>
      <c r="B263" s="31"/>
      <c r="C263" s="19"/>
      <c r="D263" s="19"/>
      <c r="E263" s="19"/>
      <c r="F263" s="20"/>
      <c r="G263" s="19"/>
      <c r="H263" s="19"/>
      <c r="I263" s="20"/>
      <c r="J263" s="19"/>
      <c r="K263" s="19"/>
    </row>
    <row r="264" spans="1:11" ht="14.25">
      <c r="A264" s="19"/>
      <c r="B264" s="31"/>
      <c r="C264" s="19"/>
      <c r="D264" s="19"/>
      <c r="E264" s="19"/>
      <c r="F264" s="20"/>
      <c r="G264" s="19"/>
      <c r="H264" s="19"/>
      <c r="I264" s="20"/>
      <c r="J264" s="19"/>
      <c r="K264" s="19"/>
    </row>
    <row r="265" spans="1:11" ht="14.25">
      <c r="A265" s="19"/>
      <c r="B265" s="31"/>
      <c r="C265" s="19"/>
      <c r="D265" s="19"/>
      <c r="E265" s="19"/>
      <c r="F265" s="20"/>
      <c r="G265" s="19"/>
      <c r="H265" s="19"/>
      <c r="I265" s="20"/>
      <c r="J265" s="19"/>
      <c r="K265" s="19"/>
    </row>
    <row r="266" spans="1:11" ht="14.25">
      <c r="A266" s="19"/>
      <c r="B266" s="31"/>
      <c r="C266" s="19"/>
      <c r="D266" s="19"/>
      <c r="E266" s="19"/>
      <c r="F266" s="20"/>
      <c r="G266" s="19"/>
      <c r="H266" s="19"/>
      <c r="I266" s="20"/>
      <c r="J266" s="19"/>
      <c r="K266" s="19"/>
    </row>
    <row r="267" spans="1:11" ht="14.25">
      <c r="A267" s="19"/>
      <c r="B267" s="31"/>
      <c r="C267" s="19"/>
      <c r="D267" s="19"/>
      <c r="E267" s="19"/>
      <c r="F267" s="20"/>
      <c r="G267" s="19"/>
      <c r="H267" s="19"/>
      <c r="I267" s="20"/>
      <c r="J267" s="19"/>
      <c r="K267" s="19"/>
    </row>
    <row r="268" spans="1:11" ht="14.25">
      <c r="A268" s="19"/>
      <c r="B268" s="31"/>
      <c r="C268" s="19"/>
      <c r="D268" s="19"/>
      <c r="E268" s="19"/>
      <c r="F268" s="20"/>
      <c r="G268" s="19"/>
      <c r="H268" s="19"/>
      <c r="I268" s="20"/>
      <c r="J268" s="19"/>
      <c r="K268" s="19"/>
    </row>
    <row r="269" spans="1:11" ht="14.25">
      <c r="A269" s="19"/>
      <c r="B269" s="31"/>
      <c r="C269" s="19"/>
      <c r="D269" s="19"/>
      <c r="E269" s="19"/>
      <c r="F269" s="20"/>
      <c r="G269" s="19"/>
      <c r="H269" s="19"/>
      <c r="I269" s="20"/>
      <c r="J269" s="19"/>
      <c r="K269" s="19"/>
    </row>
    <row r="270" spans="1:11" ht="14.25">
      <c r="A270" s="19"/>
      <c r="B270" s="31"/>
      <c r="C270" s="19"/>
      <c r="D270" s="19"/>
      <c r="E270" s="19"/>
      <c r="F270" s="20"/>
      <c r="G270" s="19"/>
      <c r="H270" s="19"/>
      <c r="I270" s="20"/>
      <c r="J270" s="19"/>
      <c r="K270" s="19"/>
    </row>
    <row r="271" spans="1:11" ht="14.25">
      <c r="A271" s="19"/>
      <c r="B271" s="31"/>
      <c r="C271" s="19"/>
      <c r="D271" s="19"/>
      <c r="E271" s="19"/>
      <c r="F271" s="20"/>
      <c r="G271" s="19"/>
      <c r="H271" s="19"/>
      <c r="I271" s="20"/>
      <c r="J271" s="19"/>
      <c r="K271" s="19"/>
    </row>
    <row r="272" spans="1:11" ht="14.25">
      <c r="A272" s="19"/>
      <c r="B272" s="31"/>
      <c r="C272" s="19"/>
      <c r="D272" s="19"/>
      <c r="E272" s="19"/>
      <c r="F272" s="20"/>
      <c r="G272" s="19"/>
      <c r="H272" s="19"/>
      <c r="I272" s="20"/>
      <c r="J272" s="19"/>
      <c r="K272" s="19"/>
    </row>
    <row r="273" spans="1:11" ht="14.25">
      <c r="A273" s="19"/>
      <c r="B273" s="31"/>
      <c r="C273" s="19"/>
      <c r="D273" s="19"/>
      <c r="E273" s="19"/>
      <c r="F273" s="20"/>
      <c r="G273" s="19"/>
      <c r="H273" s="19"/>
      <c r="I273" s="20"/>
      <c r="J273" s="19"/>
      <c r="K273" s="19"/>
    </row>
    <row r="274" spans="1:11" ht="14.25">
      <c r="A274" s="19"/>
      <c r="B274" s="31"/>
      <c r="C274" s="19"/>
      <c r="D274" s="19"/>
      <c r="E274" s="19"/>
      <c r="F274" s="20"/>
      <c r="G274" s="19"/>
      <c r="H274" s="19"/>
      <c r="I274" s="20"/>
      <c r="J274" s="19"/>
      <c r="K274" s="19"/>
    </row>
    <row r="275" spans="1:11" ht="14.25">
      <c r="A275" s="19"/>
      <c r="B275" s="31"/>
      <c r="C275" s="19"/>
      <c r="D275" s="19"/>
      <c r="E275" s="19"/>
      <c r="F275" s="20"/>
      <c r="G275" s="19"/>
      <c r="H275" s="19"/>
      <c r="I275" s="20"/>
      <c r="J275" s="19"/>
      <c r="K275" s="19"/>
    </row>
    <row r="276" spans="1:11" ht="14.25">
      <c r="A276" s="19"/>
      <c r="B276" s="31"/>
      <c r="C276" s="19"/>
      <c r="D276" s="19"/>
      <c r="E276" s="19"/>
      <c r="F276" s="20"/>
      <c r="G276" s="19"/>
      <c r="H276" s="19"/>
      <c r="I276" s="20"/>
      <c r="J276" s="19"/>
      <c r="K276" s="19"/>
    </row>
    <row r="277" spans="1:11" ht="14.25">
      <c r="A277" s="19"/>
      <c r="B277" s="31"/>
      <c r="C277" s="19"/>
      <c r="D277" s="19"/>
      <c r="E277" s="19"/>
      <c r="F277" s="20"/>
      <c r="G277" s="19"/>
      <c r="H277" s="19"/>
      <c r="I277" s="20"/>
      <c r="J277" s="19"/>
      <c r="K277" s="19"/>
    </row>
    <row r="278" spans="1:11" ht="14.25">
      <c r="A278" s="19"/>
      <c r="B278" s="31"/>
      <c r="C278" s="19"/>
      <c r="D278" s="19"/>
      <c r="E278" s="19"/>
      <c r="F278" s="20"/>
      <c r="G278" s="19"/>
      <c r="H278" s="19"/>
      <c r="I278" s="20"/>
      <c r="J278" s="19"/>
      <c r="K278" s="19"/>
    </row>
    <row r="279" spans="1:11" ht="14.25">
      <c r="A279" s="19"/>
      <c r="B279" s="31"/>
      <c r="C279" s="19"/>
      <c r="D279" s="19"/>
      <c r="E279" s="19"/>
      <c r="F279" s="20"/>
      <c r="G279" s="19"/>
      <c r="H279" s="19"/>
      <c r="I279" s="20"/>
      <c r="J279" s="19"/>
      <c r="K279" s="19"/>
    </row>
    <row r="280" spans="1:11" ht="14.25">
      <c r="A280" s="19"/>
      <c r="B280" s="31"/>
      <c r="C280" s="19"/>
      <c r="D280" s="19"/>
      <c r="E280" s="19"/>
      <c r="F280" s="20"/>
      <c r="G280" s="19"/>
      <c r="H280" s="19"/>
      <c r="I280" s="20"/>
      <c r="J280" s="19"/>
      <c r="K280" s="19"/>
    </row>
    <row r="281" spans="1:11" ht="14.25">
      <c r="A281" s="19"/>
      <c r="B281" s="31"/>
      <c r="C281" s="19"/>
      <c r="D281" s="19"/>
      <c r="E281" s="19"/>
      <c r="F281" s="20"/>
      <c r="G281" s="19"/>
      <c r="H281" s="19"/>
      <c r="I281" s="20"/>
      <c r="J281" s="19"/>
      <c r="K281" s="19"/>
    </row>
    <row r="282" spans="1:11" ht="14.25">
      <c r="A282" s="19"/>
      <c r="B282" s="31"/>
      <c r="C282" s="19"/>
      <c r="D282" s="19"/>
      <c r="E282" s="19"/>
      <c r="F282" s="20"/>
      <c r="G282" s="19"/>
      <c r="H282" s="19"/>
      <c r="I282" s="20"/>
      <c r="J282" s="19"/>
      <c r="K282" s="19"/>
    </row>
    <row r="283" spans="1:11" ht="14.25">
      <c r="A283" s="19"/>
      <c r="B283" s="31"/>
      <c r="C283" s="19"/>
      <c r="D283" s="19"/>
      <c r="E283" s="19"/>
      <c r="F283" s="20"/>
      <c r="G283" s="19"/>
      <c r="H283" s="19"/>
      <c r="I283" s="20"/>
      <c r="J283" s="19"/>
      <c r="K283" s="19"/>
    </row>
    <row r="284" spans="1:11" ht="14.25">
      <c r="A284" s="19"/>
      <c r="B284" s="31"/>
      <c r="C284" s="19"/>
      <c r="D284" s="19"/>
      <c r="E284" s="19"/>
      <c r="F284" s="20"/>
      <c r="G284" s="19"/>
      <c r="H284" s="19"/>
      <c r="I284" s="20"/>
      <c r="J284" s="19"/>
      <c r="K284" s="19"/>
    </row>
    <row r="285" spans="1:11" ht="14.25">
      <c r="A285" s="19"/>
      <c r="B285" s="31"/>
      <c r="C285" s="19"/>
      <c r="D285" s="19"/>
      <c r="E285" s="19"/>
      <c r="F285" s="20"/>
      <c r="G285" s="19"/>
      <c r="H285" s="19"/>
      <c r="I285" s="20"/>
      <c r="J285" s="19"/>
      <c r="K285" s="19"/>
    </row>
    <row r="286" spans="1:11" ht="14.25">
      <c r="A286" s="19"/>
      <c r="B286" s="31"/>
      <c r="C286" s="19"/>
      <c r="D286" s="19"/>
      <c r="E286" s="19"/>
      <c r="F286" s="20"/>
      <c r="G286" s="19"/>
      <c r="H286" s="19"/>
      <c r="I286" s="20"/>
      <c r="J286" s="19"/>
      <c r="K286" s="19"/>
    </row>
    <row r="287" spans="1:11" ht="14.25">
      <c r="A287" s="19"/>
      <c r="B287" s="31"/>
      <c r="C287" s="19"/>
      <c r="D287" s="19"/>
      <c r="E287" s="19"/>
      <c r="F287" s="20"/>
      <c r="G287" s="19"/>
      <c r="H287" s="19"/>
      <c r="I287" s="20"/>
      <c r="J287" s="19"/>
      <c r="K287" s="19"/>
    </row>
    <row r="288" spans="1:11" ht="14.25">
      <c r="A288" s="19"/>
      <c r="B288" s="31"/>
      <c r="C288" s="19"/>
      <c r="D288" s="19"/>
      <c r="E288" s="19"/>
      <c r="F288" s="20"/>
      <c r="G288" s="19"/>
      <c r="H288" s="19"/>
      <c r="I288" s="20"/>
      <c r="J288" s="19"/>
      <c r="K288" s="19"/>
    </row>
    <row r="289" spans="1:11" ht="14.25">
      <c r="A289" s="19"/>
      <c r="B289" s="31"/>
      <c r="C289" s="19"/>
      <c r="D289" s="19"/>
      <c r="E289" s="19"/>
      <c r="F289" s="20"/>
      <c r="G289" s="19"/>
      <c r="H289" s="19"/>
      <c r="I289" s="20"/>
      <c r="J289" s="19"/>
      <c r="K289" s="19"/>
    </row>
    <row r="290" spans="1:11" ht="14.25">
      <c r="A290" s="19"/>
      <c r="B290" s="31"/>
      <c r="C290" s="19"/>
      <c r="D290" s="19"/>
      <c r="E290" s="19"/>
      <c r="F290" s="20"/>
      <c r="G290" s="19"/>
      <c r="H290" s="19"/>
      <c r="I290" s="20"/>
      <c r="J290" s="19"/>
      <c r="K290" s="19"/>
    </row>
    <row r="291" spans="1:11" ht="14.25">
      <c r="A291" s="19"/>
      <c r="B291" s="31"/>
      <c r="C291" s="19"/>
      <c r="D291" s="19"/>
      <c r="E291" s="19"/>
      <c r="F291" s="20"/>
      <c r="G291" s="19"/>
      <c r="H291" s="19"/>
      <c r="I291" s="20"/>
      <c r="J291" s="19"/>
      <c r="K291" s="19"/>
    </row>
    <row r="292" spans="1:11" ht="14.25">
      <c r="A292" s="19"/>
      <c r="B292" s="31"/>
      <c r="C292" s="19"/>
      <c r="D292" s="19"/>
      <c r="E292" s="19"/>
      <c r="F292" s="20"/>
      <c r="G292" s="19"/>
      <c r="H292" s="19"/>
      <c r="I292" s="20"/>
      <c r="J292" s="19"/>
      <c r="K292" s="19"/>
    </row>
    <row r="293" spans="1:11" ht="14.25">
      <c r="A293" s="19"/>
      <c r="B293" s="31"/>
      <c r="C293" s="19"/>
      <c r="D293" s="19"/>
      <c r="E293" s="19"/>
      <c r="F293" s="20"/>
      <c r="G293" s="19"/>
      <c r="H293" s="19"/>
      <c r="I293" s="20"/>
      <c r="J293" s="19"/>
      <c r="K293" s="19"/>
    </row>
    <row r="294" spans="1:11" ht="14.25">
      <c r="A294" s="19"/>
      <c r="B294" s="31"/>
      <c r="C294" s="19"/>
      <c r="D294" s="19"/>
      <c r="E294" s="19"/>
      <c r="F294" s="20"/>
      <c r="G294" s="19"/>
      <c r="H294" s="19"/>
      <c r="I294" s="20"/>
      <c r="J294" s="19"/>
      <c r="K294" s="19"/>
    </row>
    <row r="295" spans="1:11" ht="14.25">
      <c r="A295" s="19"/>
      <c r="B295" s="31"/>
      <c r="C295" s="19"/>
      <c r="D295" s="19"/>
      <c r="E295" s="19"/>
      <c r="F295" s="20"/>
      <c r="G295" s="19"/>
      <c r="H295" s="19"/>
      <c r="I295" s="20"/>
      <c r="J295" s="19"/>
      <c r="K295" s="19"/>
    </row>
    <row r="296" spans="1:11" ht="14.25">
      <c r="A296" s="19"/>
      <c r="B296" s="31"/>
      <c r="C296" s="19"/>
      <c r="D296" s="19"/>
      <c r="E296" s="19"/>
      <c r="F296" s="20"/>
      <c r="G296" s="19"/>
      <c r="H296" s="19"/>
      <c r="I296" s="20"/>
      <c r="J296" s="19"/>
      <c r="K296" s="19"/>
    </row>
    <row r="297" spans="1:11" ht="14.25">
      <c r="A297" s="19"/>
      <c r="B297" s="31"/>
      <c r="C297" s="19"/>
      <c r="D297" s="19"/>
      <c r="E297" s="19"/>
      <c r="F297" s="20"/>
      <c r="G297" s="19"/>
      <c r="H297" s="19"/>
      <c r="I297" s="20"/>
      <c r="J297" s="19"/>
      <c r="K297" s="19"/>
    </row>
    <row r="298" spans="1:11" ht="14.25">
      <c r="A298" s="19"/>
      <c r="B298" s="31"/>
      <c r="C298" s="19"/>
      <c r="D298" s="19"/>
      <c r="E298" s="19"/>
      <c r="F298" s="20"/>
      <c r="G298" s="19"/>
      <c r="H298" s="19"/>
      <c r="I298" s="20"/>
      <c r="J298" s="19"/>
      <c r="K298" s="19"/>
    </row>
    <row r="299" spans="1:11" ht="14.25">
      <c r="A299" s="19"/>
      <c r="B299" s="31"/>
      <c r="C299" s="19"/>
      <c r="D299" s="19"/>
      <c r="E299" s="19"/>
      <c r="F299" s="20"/>
      <c r="G299" s="19"/>
      <c r="H299" s="19"/>
      <c r="I299" s="20"/>
      <c r="J299" s="19"/>
      <c r="K299" s="19"/>
    </row>
    <row r="300" spans="1:11" ht="14.25">
      <c r="A300" s="19"/>
      <c r="B300" s="31"/>
      <c r="C300" s="19"/>
      <c r="D300" s="19"/>
      <c r="E300" s="19"/>
      <c r="F300" s="20"/>
      <c r="G300" s="19"/>
      <c r="H300" s="19"/>
      <c r="I300" s="20"/>
      <c r="J300" s="19"/>
      <c r="K300" s="19"/>
    </row>
    <row r="301" spans="1:11" ht="14.25">
      <c r="A301" s="19"/>
      <c r="B301" s="31"/>
      <c r="C301" s="19"/>
      <c r="D301" s="19"/>
      <c r="E301" s="19"/>
      <c r="F301" s="20"/>
      <c r="G301" s="19"/>
      <c r="H301" s="19"/>
      <c r="I301" s="20"/>
      <c r="J301" s="19"/>
      <c r="K301" s="19"/>
    </row>
    <row r="302" spans="1:11" ht="14.25">
      <c r="A302" s="19"/>
      <c r="B302" s="31"/>
      <c r="C302" s="19"/>
      <c r="D302" s="19"/>
      <c r="E302" s="19"/>
      <c r="F302" s="20"/>
      <c r="G302" s="19"/>
      <c r="H302" s="19"/>
      <c r="I302" s="20"/>
      <c r="J302" s="19"/>
      <c r="K302" s="19"/>
    </row>
    <row r="303" spans="1:11" ht="14.25">
      <c r="A303" s="19"/>
      <c r="B303" s="31"/>
      <c r="C303" s="19"/>
      <c r="D303" s="19"/>
      <c r="E303" s="19"/>
      <c r="F303" s="20"/>
      <c r="G303" s="19"/>
      <c r="H303" s="19"/>
      <c r="I303" s="20"/>
      <c r="J303" s="19"/>
      <c r="K303" s="19"/>
    </row>
    <row r="304" spans="1:11" ht="14.25">
      <c r="A304" s="19"/>
      <c r="B304" s="31"/>
      <c r="C304" s="19"/>
      <c r="D304" s="19"/>
      <c r="E304" s="19"/>
      <c r="F304" s="20"/>
      <c r="G304" s="19"/>
      <c r="H304" s="19"/>
      <c r="I304" s="20"/>
      <c r="J304" s="19"/>
      <c r="K304" s="19"/>
    </row>
    <row r="305" spans="1:11" ht="14.25">
      <c r="A305" s="19"/>
      <c r="B305" s="31"/>
      <c r="C305" s="19"/>
      <c r="D305" s="19"/>
      <c r="E305" s="19"/>
      <c r="F305" s="20"/>
      <c r="G305" s="19"/>
      <c r="H305" s="19"/>
      <c r="I305" s="20"/>
      <c r="J305" s="19"/>
      <c r="K305" s="19"/>
    </row>
    <row r="306" spans="1:11" ht="14.25">
      <c r="A306" s="19"/>
      <c r="B306" s="31"/>
      <c r="C306" s="19"/>
      <c r="D306" s="19"/>
      <c r="E306" s="19"/>
      <c r="F306" s="20"/>
      <c r="G306" s="19"/>
      <c r="H306" s="19"/>
      <c r="I306" s="20"/>
      <c r="J306" s="19"/>
      <c r="K306" s="19"/>
    </row>
    <row r="307" spans="1:11" ht="14.25">
      <c r="A307" s="19"/>
      <c r="B307" s="31"/>
      <c r="C307" s="19"/>
      <c r="D307" s="19"/>
      <c r="E307" s="19"/>
      <c r="F307" s="20"/>
      <c r="G307" s="19"/>
      <c r="H307" s="19"/>
      <c r="I307" s="20"/>
      <c r="J307" s="19"/>
      <c r="K307" s="19"/>
    </row>
    <row r="308" spans="1:11" ht="14.25">
      <c r="A308" s="19"/>
      <c r="B308" s="31"/>
      <c r="C308" s="19"/>
      <c r="D308" s="19"/>
      <c r="E308" s="19"/>
      <c r="F308" s="20"/>
      <c r="G308" s="19"/>
      <c r="H308" s="19"/>
      <c r="I308" s="20"/>
      <c r="J308" s="19"/>
      <c r="K308" s="19"/>
    </row>
    <row r="309" spans="1:11" ht="14.25">
      <c r="A309" s="19"/>
      <c r="B309" s="31"/>
      <c r="C309" s="19"/>
      <c r="D309" s="19"/>
      <c r="E309" s="19"/>
      <c r="F309" s="20"/>
      <c r="G309" s="19"/>
      <c r="H309" s="19"/>
      <c r="I309" s="20"/>
      <c r="J309" s="19"/>
      <c r="K309" s="19"/>
    </row>
    <row r="310" spans="1:11" ht="14.25">
      <c r="A310" s="19"/>
      <c r="B310" s="31"/>
      <c r="C310" s="19"/>
      <c r="D310" s="19"/>
      <c r="E310" s="19"/>
      <c r="F310" s="20"/>
      <c r="G310" s="19"/>
      <c r="H310" s="19"/>
      <c r="I310" s="20"/>
      <c r="J310" s="19"/>
      <c r="K310" s="19"/>
    </row>
    <row r="311" spans="1:11" ht="14.25">
      <c r="A311" s="19"/>
      <c r="B311" s="31"/>
      <c r="C311" s="19"/>
      <c r="D311" s="19"/>
      <c r="E311" s="19"/>
      <c r="F311" s="20"/>
      <c r="G311" s="19"/>
      <c r="H311" s="19"/>
      <c r="I311" s="20"/>
      <c r="J311" s="19"/>
      <c r="K311" s="19"/>
    </row>
    <row r="312" spans="1:11" ht="14.25">
      <c r="A312" s="19"/>
      <c r="B312" s="31"/>
      <c r="C312" s="19"/>
      <c r="D312" s="19"/>
      <c r="E312" s="19"/>
      <c r="F312" s="20"/>
      <c r="G312" s="19"/>
      <c r="H312" s="19"/>
      <c r="I312" s="20"/>
      <c r="J312" s="19"/>
      <c r="K312" s="19"/>
    </row>
    <row r="313" spans="1:11" ht="14.25">
      <c r="A313" s="19"/>
      <c r="B313" s="31"/>
      <c r="C313" s="19"/>
      <c r="D313" s="19"/>
      <c r="E313" s="19"/>
      <c r="F313" s="20"/>
      <c r="G313" s="19"/>
      <c r="H313" s="19"/>
      <c r="I313" s="20"/>
      <c r="J313" s="19"/>
      <c r="K313" s="19"/>
    </row>
    <row r="314" spans="1:11" ht="14.25">
      <c r="A314" s="19"/>
      <c r="B314" s="31"/>
      <c r="C314" s="19"/>
      <c r="D314" s="19"/>
      <c r="E314" s="19"/>
      <c r="F314" s="20"/>
      <c r="G314" s="19"/>
      <c r="H314" s="19"/>
      <c r="I314" s="20"/>
      <c r="J314" s="19"/>
      <c r="K314" s="19"/>
    </row>
    <row r="315" spans="1:11" ht="14.25">
      <c r="A315" s="19"/>
      <c r="B315" s="31"/>
      <c r="C315" s="19"/>
      <c r="D315" s="19"/>
      <c r="E315" s="19"/>
      <c r="F315" s="20"/>
      <c r="G315" s="19"/>
      <c r="H315" s="19"/>
      <c r="I315" s="20"/>
      <c r="J315" s="19"/>
      <c r="K315" s="19"/>
    </row>
    <row r="316" spans="1:11" ht="14.25">
      <c r="A316" s="19"/>
      <c r="B316" s="31"/>
      <c r="C316" s="19"/>
      <c r="D316" s="19"/>
      <c r="E316" s="19"/>
      <c r="F316" s="20"/>
      <c r="G316" s="19"/>
      <c r="H316" s="19"/>
      <c r="I316" s="20"/>
      <c r="J316" s="19"/>
      <c r="K316" s="19"/>
    </row>
    <row r="317" spans="1:11" ht="14.25">
      <c r="A317" s="19"/>
      <c r="B317" s="31"/>
      <c r="C317" s="19"/>
      <c r="D317" s="19"/>
      <c r="E317" s="19"/>
      <c r="F317" s="20"/>
      <c r="G317" s="19"/>
      <c r="H317" s="19"/>
      <c r="I317" s="20"/>
      <c r="J317" s="19"/>
      <c r="K317" s="19"/>
    </row>
    <row r="318" spans="1:11" ht="14.25">
      <c r="A318" s="19"/>
      <c r="B318" s="31"/>
      <c r="C318" s="19"/>
      <c r="D318" s="19"/>
      <c r="E318" s="19"/>
      <c r="F318" s="20"/>
      <c r="G318" s="19"/>
      <c r="H318" s="19"/>
      <c r="I318" s="20"/>
      <c r="J318" s="19"/>
      <c r="K318" s="19"/>
    </row>
    <row r="319" spans="1:11" ht="14.25">
      <c r="A319" s="19"/>
      <c r="B319" s="31"/>
      <c r="C319" s="19"/>
      <c r="D319" s="19"/>
      <c r="E319" s="19"/>
      <c r="F319" s="20"/>
      <c r="G319" s="19"/>
      <c r="H319" s="19"/>
      <c r="I319" s="20"/>
      <c r="J319" s="19"/>
      <c r="K319" s="19"/>
    </row>
    <row r="320" spans="1:11" ht="14.25">
      <c r="A320" s="19"/>
      <c r="B320" s="31"/>
      <c r="C320" s="19"/>
      <c r="D320" s="19"/>
      <c r="E320" s="19"/>
      <c r="F320" s="20"/>
      <c r="G320" s="19"/>
      <c r="H320" s="19"/>
      <c r="I320" s="20"/>
      <c r="J320" s="19"/>
      <c r="K320" s="19"/>
    </row>
    <row r="321" spans="1:11" ht="14.25">
      <c r="A321" s="19"/>
      <c r="B321" s="31"/>
      <c r="C321" s="19"/>
      <c r="D321" s="19"/>
      <c r="E321" s="19"/>
      <c r="F321" s="20"/>
      <c r="G321" s="19"/>
      <c r="H321" s="19"/>
      <c r="I321" s="20"/>
      <c r="J321" s="19"/>
      <c r="K321" s="19"/>
    </row>
    <row r="322" spans="1:11" ht="13.9">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5" priority="3" stopIfTrue="1" operator="lessThanOrEqual">
      <formula>-0.1</formula>
    </cfRule>
    <cfRule type="expression" dxfId="4"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45"/>
  <sheetViews>
    <sheetView workbookViewId="0">
      <pane ySplit="3" topLeftCell="A4" activePane="bottomLeft" state="frozen"/>
      <selection pane="bottomLeft" activeCell="B53" sqref="B53"/>
    </sheetView>
  </sheetViews>
  <sheetFormatPr defaultRowHeight="12.75" customHeight="1"/>
  <cols>
    <col min="1" max="2" width="41.85546875" customWidth="1"/>
    <col min="4" max="4" width="9.140625" customWidth="1"/>
    <col min="5" max="5" width="24.140625" customWidth="1"/>
    <col min="6" max="6" width="12.42578125" customWidth="1"/>
    <col min="7" max="10" width="9.140625" customWidth="1"/>
    <col min="11" max="12" width="22" bestFit="1" customWidth="1"/>
    <col min="13" max="14" width="9.140625" customWidth="1"/>
  </cols>
  <sheetData>
    <row r="1" spans="1:12" ht="12.75" customHeight="1">
      <c r="A1" t="s">
        <v>129</v>
      </c>
      <c r="B1" t="s">
        <v>130</v>
      </c>
    </row>
    <row r="3" spans="1:12">
      <c r="A3" t="s">
        <v>131</v>
      </c>
      <c r="B3" t="s">
        <v>3</v>
      </c>
      <c r="C3" t="s">
        <v>4</v>
      </c>
      <c r="D3" t="s">
        <v>132</v>
      </c>
      <c r="E3" s="2" t="s">
        <v>133</v>
      </c>
      <c r="F3" s="83" t="s">
        <v>20</v>
      </c>
    </row>
    <row r="4" spans="1:12" ht="15">
      <c r="A4" s="48" t="s">
        <v>134</v>
      </c>
      <c r="B4" t="s">
        <v>135</v>
      </c>
      <c r="C4" s="45" t="s">
        <v>136</v>
      </c>
      <c r="D4" s="44"/>
      <c r="E4" t="s">
        <v>137</v>
      </c>
      <c r="F4" s="84" t="s">
        <v>138</v>
      </c>
      <c r="G4" s="3"/>
    </row>
    <row r="5" spans="1:12" ht="15">
      <c r="A5" s="48" t="s">
        <v>139</v>
      </c>
      <c r="B5" t="s">
        <v>140</v>
      </c>
      <c r="C5" s="45" t="s">
        <v>136</v>
      </c>
      <c r="D5" s="44"/>
      <c r="E5" t="s">
        <v>137</v>
      </c>
      <c r="F5" s="85" t="s">
        <v>141</v>
      </c>
      <c r="G5" s="3"/>
    </row>
    <row r="6" spans="1:12" ht="15">
      <c r="A6" s="48" t="s">
        <v>142</v>
      </c>
      <c r="B6" t="s">
        <v>143</v>
      </c>
      <c r="C6" s="45" t="s">
        <v>136</v>
      </c>
      <c r="D6" s="44"/>
      <c r="E6" t="s">
        <v>137</v>
      </c>
      <c r="F6" s="84" t="s">
        <v>144</v>
      </c>
      <c r="G6" s="3"/>
    </row>
    <row r="7" spans="1:12" ht="12.75" customHeight="1">
      <c r="A7" s="48" t="s">
        <v>145</v>
      </c>
      <c r="B7" t="s">
        <v>146</v>
      </c>
      <c r="C7" s="45" t="s">
        <v>136</v>
      </c>
      <c r="D7" s="44"/>
      <c r="E7" t="s">
        <v>137</v>
      </c>
      <c r="F7" s="85" t="s">
        <v>147</v>
      </c>
    </row>
    <row r="8" spans="1:12" ht="12.75" customHeight="1">
      <c r="A8" s="48" t="s">
        <v>148</v>
      </c>
      <c r="B8" t="s">
        <v>149</v>
      </c>
      <c r="C8" s="45" t="s">
        <v>136</v>
      </c>
      <c r="D8" s="44"/>
      <c r="E8" t="s">
        <v>137</v>
      </c>
      <c r="F8" s="84" t="s">
        <v>150</v>
      </c>
    </row>
    <row r="9" spans="1:12" ht="12.75" customHeight="1">
      <c r="A9" s="54" t="s">
        <v>151</v>
      </c>
      <c r="B9" t="s">
        <v>152</v>
      </c>
      <c r="C9" s="45" t="s">
        <v>136</v>
      </c>
      <c r="E9" t="s">
        <v>137</v>
      </c>
      <c r="F9" s="85" t="s">
        <v>153</v>
      </c>
      <c r="K9" s="42"/>
      <c r="L9" s="42"/>
    </row>
    <row r="10" spans="1:12" ht="12.75" customHeight="1">
      <c r="A10" s="54" t="s">
        <v>154</v>
      </c>
      <c r="B10" t="s">
        <v>155</v>
      </c>
      <c r="C10" s="45" t="s">
        <v>136</v>
      </c>
      <c r="E10" t="s">
        <v>137</v>
      </c>
      <c r="F10" s="84" t="s">
        <v>156</v>
      </c>
      <c r="K10" s="42"/>
      <c r="L10" s="42"/>
    </row>
    <row r="11" spans="1:12" ht="12.75" customHeight="1">
      <c r="A11" s="54" t="s">
        <v>157</v>
      </c>
      <c r="B11" t="s">
        <v>158</v>
      </c>
      <c r="C11" s="45" t="s">
        <v>136</v>
      </c>
      <c r="E11" t="s">
        <v>137</v>
      </c>
      <c r="F11" s="85" t="s">
        <v>159</v>
      </c>
      <c r="K11" s="42"/>
      <c r="L11" s="42"/>
    </row>
    <row r="12" spans="1:12" ht="12.75" customHeight="1">
      <c r="A12" s="54" t="s">
        <v>160</v>
      </c>
      <c r="B12" t="s">
        <v>161</v>
      </c>
      <c r="C12" s="45" t="s">
        <v>136</v>
      </c>
      <c r="E12" t="s">
        <v>137</v>
      </c>
      <c r="F12" s="84" t="s">
        <v>162</v>
      </c>
      <c r="K12" s="42"/>
      <c r="L12" s="42"/>
    </row>
    <row r="13" spans="1:12" ht="12.75" customHeight="1">
      <c r="A13" s="54" t="s">
        <v>163</v>
      </c>
      <c r="B13" t="s">
        <v>164</v>
      </c>
      <c r="C13" s="45" t="s">
        <v>136</v>
      </c>
      <c r="E13" t="s">
        <v>137</v>
      </c>
      <c r="F13" s="85" t="s">
        <v>150</v>
      </c>
      <c r="K13" s="42"/>
      <c r="L13" s="42"/>
    </row>
    <row r="14" spans="1:12" ht="12.75" customHeight="1">
      <c r="A14" s="54" t="s">
        <v>165</v>
      </c>
      <c r="B14" t="s">
        <v>166</v>
      </c>
      <c r="C14" s="45" t="s">
        <v>136</v>
      </c>
      <c r="E14" t="s">
        <v>137</v>
      </c>
      <c r="F14" s="84" t="s">
        <v>138</v>
      </c>
    </row>
    <row r="15" spans="1:12" ht="12.75" customHeight="1">
      <c r="A15" s="54" t="s">
        <v>167</v>
      </c>
      <c r="B15" t="s">
        <v>168</v>
      </c>
      <c r="C15" s="45" t="s">
        <v>136</v>
      </c>
      <c r="D15" s="88"/>
      <c r="E15" s="89" t="s">
        <v>137</v>
      </c>
      <c r="F15" s="96" t="s">
        <v>169</v>
      </c>
      <c r="G15" s="55"/>
      <c r="H15" s="45"/>
      <c r="I15" s="98"/>
      <c r="J15" s="98"/>
      <c r="K15" s="54"/>
      <c r="L15" s="55"/>
    </row>
    <row r="16" spans="1:12" ht="12.75" customHeight="1">
      <c r="A16" s="54" t="s">
        <v>170</v>
      </c>
      <c r="B16" t="s">
        <v>171</v>
      </c>
      <c r="C16" s="45" t="s">
        <v>136</v>
      </c>
      <c r="E16" t="s">
        <v>137</v>
      </c>
      <c r="F16" s="84" t="s">
        <v>172</v>
      </c>
    </row>
    <row r="17" spans="1:12" ht="12.75" customHeight="1">
      <c r="A17" s="54" t="s">
        <v>173</v>
      </c>
      <c r="B17" t="s">
        <v>174</v>
      </c>
      <c r="C17" s="45" t="s">
        <v>175</v>
      </c>
      <c r="E17" t="s">
        <v>137</v>
      </c>
      <c r="F17" t="s">
        <v>176</v>
      </c>
    </row>
    <row r="18" spans="1:12" ht="12.75" customHeight="1">
      <c r="A18" s="54" t="s">
        <v>177</v>
      </c>
      <c r="B18" t="s">
        <v>178</v>
      </c>
      <c r="C18" s="45" t="s">
        <v>175</v>
      </c>
      <c r="E18" t="s">
        <v>137</v>
      </c>
      <c r="F18" s="84" t="s">
        <v>179</v>
      </c>
      <c r="K18" s="42"/>
      <c r="L18" s="42"/>
    </row>
    <row r="19" spans="1:12" ht="12.75" customHeight="1">
      <c r="A19" s="54" t="s">
        <v>180</v>
      </c>
      <c r="B19" t="s">
        <v>181</v>
      </c>
      <c r="C19" s="45" t="s">
        <v>175</v>
      </c>
      <c r="E19" t="s">
        <v>137</v>
      </c>
      <c r="F19" t="s">
        <v>182</v>
      </c>
    </row>
    <row r="20" spans="1:12" ht="12.75" customHeight="1">
      <c r="A20" s="54" t="s">
        <v>183</v>
      </c>
      <c r="B20" t="s">
        <v>184</v>
      </c>
      <c r="C20" s="45" t="s">
        <v>185</v>
      </c>
      <c r="D20" s="91"/>
      <c r="E20" s="91" t="s">
        <v>137</v>
      </c>
      <c r="F20" s="85" t="s">
        <v>186</v>
      </c>
    </row>
    <row r="21" spans="1:12" ht="12.75" customHeight="1">
      <c r="A21" s="54" t="s">
        <v>187</v>
      </c>
      <c r="B21" t="s">
        <v>188</v>
      </c>
      <c r="C21" s="45" t="s">
        <v>185</v>
      </c>
      <c r="E21" t="s">
        <v>137</v>
      </c>
      <c r="F21" t="s">
        <v>189</v>
      </c>
    </row>
    <row r="22" spans="1:12" ht="12.75" customHeight="1">
      <c r="A22" s="54" t="s">
        <v>190</v>
      </c>
      <c r="B22" t="s">
        <v>191</v>
      </c>
      <c r="C22" s="45" t="s">
        <v>192</v>
      </c>
      <c r="D22" s="97"/>
      <c r="E22" s="97" t="s">
        <v>137</v>
      </c>
      <c r="F22" s="85" t="s">
        <v>193</v>
      </c>
    </row>
    <row r="23" spans="1:12" ht="12.75" customHeight="1">
      <c r="A23" s="54" t="s">
        <v>194</v>
      </c>
      <c r="B23" t="s">
        <v>195</v>
      </c>
      <c r="C23" s="45" t="s">
        <v>192</v>
      </c>
      <c r="E23" t="s">
        <v>137</v>
      </c>
      <c r="F23" t="s">
        <v>196</v>
      </c>
    </row>
    <row r="24" spans="1:12" ht="12.75" customHeight="1">
      <c r="A24" s="54" t="s">
        <v>197</v>
      </c>
      <c r="B24" t="s">
        <v>198</v>
      </c>
      <c r="C24" s="45" t="s">
        <v>199</v>
      </c>
      <c r="D24" s="93"/>
      <c r="E24" s="93" t="s">
        <v>137</v>
      </c>
      <c r="F24" s="84" t="s">
        <v>200</v>
      </c>
    </row>
    <row r="25" spans="1:12" ht="12.75" customHeight="1">
      <c r="A25" s="54" t="s">
        <v>201</v>
      </c>
      <c r="B25" t="s">
        <v>202</v>
      </c>
      <c r="C25" s="45" t="s">
        <v>199</v>
      </c>
      <c r="E25" t="s">
        <v>137</v>
      </c>
      <c r="F25" t="s">
        <v>203</v>
      </c>
      <c r="G25" s="54"/>
      <c r="H25" s="55"/>
      <c r="I25" s="45"/>
    </row>
    <row r="26" spans="1:12" ht="12.75" customHeight="1">
      <c r="A26" s="54" t="s">
        <v>204</v>
      </c>
      <c r="B26" t="s">
        <v>205</v>
      </c>
      <c r="C26" s="45" t="s">
        <v>199</v>
      </c>
      <c r="D26" s="93"/>
      <c r="E26" s="93" t="s">
        <v>137</v>
      </c>
      <c r="F26" s="84" t="s">
        <v>206</v>
      </c>
    </row>
    <row r="27" spans="1:12" ht="12.75" customHeight="1">
      <c r="A27" s="54" t="s">
        <v>207</v>
      </c>
      <c r="B27" t="s">
        <v>208</v>
      </c>
      <c r="C27" s="45" t="s">
        <v>199</v>
      </c>
      <c r="E27" t="s">
        <v>137</v>
      </c>
      <c r="F27" t="s">
        <v>209</v>
      </c>
      <c r="G27" s="54"/>
      <c r="H27" s="55"/>
      <c r="I27" s="45"/>
    </row>
    <row r="28" spans="1:12" ht="12.75" customHeight="1">
      <c r="A28" s="90" t="s">
        <v>210</v>
      </c>
      <c r="B28" t="s">
        <v>211</v>
      </c>
      <c r="C28" s="45" t="s">
        <v>199</v>
      </c>
      <c r="D28" s="93"/>
      <c r="E28" s="93" t="s">
        <v>137</v>
      </c>
      <c r="F28" s="85" t="s">
        <v>212</v>
      </c>
      <c r="G28" s="54"/>
      <c r="H28" s="55"/>
      <c r="I28" s="45"/>
    </row>
    <row r="29" spans="1:12" ht="12.75" customHeight="1">
      <c r="A29" s="54" t="s">
        <v>213</v>
      </c>
      <c r="B29" t="s">
        <v>214</v>
      </c>
      <c r="C29" s="45" t="s">
        <v>215</v>
      </c>
      <c r="E29" t="s">
        <v>137</v>
      </c>
      <c r="F29" s="85" t="s">
        <v>216</v>
      </c>
    </row>
    <row r="30" spans="1:12" ht="12.75" customHeight="1">
      <c r="A30" s="54" t="s">
        <v>217</v>
      </c>
      <c r="B30" t="s">
        <v>218</v>
      </c>
      <c r="C30" s="45" t="s">
        <v>215</v>
      </c>
      <c r="D30" s="93"/>
      <c r="E30" s="93" t="s">
        <v>137</v>
      </c>
      <c r="F30" t="s">
        <v>219</v>
      </c>
    </row>
    <row r="31" spans="1:12" ht="12.75" customHeight="1">
      <c r="A31" s="54" t="s">
        <v>220</v>
      </c>
      <c r="B31" t="s">
        <v>221</v>
      </c>
      <c r="C31" s="45" t="s">
        <v>215</v>
      </c>
      <c r="E31" t="s">
        <v>137</v>
      </c>
      <c r="F31" s="85" t="s">
        <v>222</v>
      </c>
    </row>
    <row r="32" spans="1:12" ht="12.75" customHeight="1">
      <c r="A32" s="54" t="s">
        <v>223</v>
      </c>
      <c r="B32" t="s">
        <v>224</v>
      </c>
      <c r="C32" s="45" t="s">
        <v>215</v>
      </c>
      <c r="D32" s="93"/>
      <c r="E32" s="93" t="s">
        <v>137</v>
      </c>
      <c r="F32" t="s">
        <v>225</v>
      </c>
    </row>
    <row r="33" spans="1:6" ht="12.75" customHeight="1">
      <c r="A33" s="54" t="s">
        <v>226</v>
      </c>
      <c r="B33" t="s">
        <v>227</v>
      </c>
      <c r="C33" s="45" t="s">
        <v>215</v>
      </c>
      <c r="E33" t="s">
        <v>137</v>
      </c>
      <c r="F33" s="85" t="s">
        <v>228</v>
      </c>
    </row>
    <row r="34" spans="1:6" ht="12.75" customHeight="1">
      <c r="A34" s="54" t="s">
        <v>229</v>
      </c>
      <c r="B34" t="s">
        <v>230</v>
      </c>
      <c r="C34" s="45" t="s">
        <v>215</v>
      </c>
      <c r="D34" s="93"/>
      <c r="E34" s="93" t="s">
        <v>137</v>
      </c>
      <c r="F34" t="s">
        <v>231</v>
      </c>
    </row>
    <row r="35" spans="1:6" ht="12.75" customHeight="1">
      <c r="A35" s="54" t="s">
        <v>232</v>
      </c>
      <c r="B35" s="55" t="s">
        <v>233</v>
      </c>
      <c r="C35" s="45" t="s">
        <v>215</v>
      </c>
      <c r="E35" t="s">
        <v>137</v>
      </c>
      <c r="F35" t="s">
        <v>234</v>
      </c>
    </row>
    <row r="36" spans="1:6" ht="12.75" customHeight="1">
      <c r="A36" s="54" t="s">
        <v>235</v>
      </c>
      <c r="B36" t="s">
        <v>236</v>
      </c>
      <c r="C36" s="45" t="s">
        <v>237</v>
      </c>
      <c r="D36" s="93"/>
      <c r="E36" s="93" t="s">
        <v>137</v>
      </c>
      <c r="F36" t="s">
        <v>238</v>
      </c>
    </row>
    <row r="37" spans="1:6" ht="12.75" customHeight="1">
      <c r="A37" s="54" t="s">
        <v>239</v>
      </c>
      <c r="B37" t="s">
        <v>240</v>
      </c>
      <c r="C37" s="45" t="s">
        <v>237</v>
      </c>
      <c r="E37" t="s">
        <v>137</v>
      </c>
      <c r="F37" t="s">
        <v>241</v>
      </c>
    </row>
    <row r="38" spans="1:6" ht="12.75" customHeight="1">
      <c r="A38" s="54" t="s">
        <v>242</v>
      </c>
      <c r="B38" t="s">
        <v>243</v>
      </c>
      <c r="C38" s="45" t="s">
        <v>244</v>
      </c>
      <c r="D38" s="93"/>
      <c r="E38" s="93" t="s">
        <v>137</v>
      </c>
      <c r="F38" s="84" t="s">
        <v>245</v>
      </c>
    </row>
    <row r="39" spans="1:6" ht="12.75" customHeight="1">
      <c r="A39" s="54" t="s">
        <v>246</v>
      </c>
      <c r="B39" t="s">
        <v>247</v>
      </c>
      <c r="C39" s="45" t="s">
        <v>244</v>
      </c>
      <c r="E39" t="s">
        <v>137</v>
      </c>
      <c r="F39" t="s">
        <v>248</v>
      </c>
    </row>
    <row r="40" spans="1:6" ht="12.75" customHeight="1">
      <c r="A40" s="54" t="s">
        <v>249</v>
      </c>
      <c r="B40" t="s">
        <v>250</v>
      </c>
      <c r="C40" s="45" t="s">
        <v>244</v>
      </c>
      <c r="D40" s="93"/>
      <c r="E40" s="93" t="s">
        <v>137</v>
      </c>
      <c r="F40" s="84" t="s">
        <v>251</v>
      </c>
    </row>
    <row r="41" spans="1:6" ht="12.75" customHeight="1">
      <c r="A41" s="90" t="s">
        <v>252</v>
      </c>
      <c r="B41" t="s">
        <v>253</v>
      </c>
      <c r="C41" s="94" t="s">
        <v>254</v>
      </c>
      <c r="E41" t="s">
        <v>137</v>
      </c>
      <c r="F41" s="85" t="s">
        <v>255</v>
      </c>
    </row>
    <row r="42" spans="1:6" ht="12.75" customHeight="1">
      <c r="A42" s="92" t="s">
        <v>256</v>
      </c>
      <c r="B42" t="s">
        <v>257</v>
      </c>
      <c r="C42" s="95" t="s">
        <v>254</v>
      </c>
      <c r="D42" s="93"/>
      <c r="E42" s="93" t="s">
        <v>137</v>
      </c>
      <c r="F42" s="84" t="s">
        <v>258</v>
      </c>
    </row>
    <row r="43" spans="1:6" ht="12.75" customHeight="1">
      <c r="A43" s="90" t="s">
        <v>259</v>
      </c>
      <c r="B43" t="s">
        <v>260</v>
      </c>
      <c r="C43" s="94" t="s">
        <v>254</v>
      </c>
      <c r="E43" t="s">
        <v>137</v>
      </c>
      <c r="F43" s="85" t="s">
        <v>261</v>
      </c>
    </row>
    <row r="44" spans="1:6" ht="12.75" customHeight="1">
      <c r="A44" s="54" t="s">
        <v>262</v>
      </c>
      <c r="B44" t="s">
        <v>263</v>
      </c>
      <c r="C44" s="45" t="s">
        <v>254</v>
      </c>
      <c r="D44" s="93"/>
      <c r="E44" s="93" t="s">
        <v>137</v>
      </c>
      <c r="F44" s="84" t="s">
        <v>264</v>
      </c>
    </row>
    <row r="45" spans="1:6" ht="12.75" customHeight="1">
      <c r="A45" s="54" t="s">
        <v>265</v>
      </c>
      <c r="B45" t="s">
        <v>266</v>
      </c>
      <c r="C45" s="45" t="s">
        <v>254</v>
      </c>
      <c r="E45" t="s">
        <v>137</v>
      </c>
      <c r="F45" s="85" t="s">
        <v>267</v>
      </c>
    </row>
  </sheetData>
  <conditionalFormatting sqref="B4:B31 B33:B45">
    <cfRule type="duplicateValues" dxfId="3" priority="1"/>
  </conditionalFormatting>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
</file>

<file path=customXml/item7.xml>��
</file>

<file path=customXml/item8.xml>��
</file>

<file path=customXml/item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xml version="1.0" encoding="utf-8"?>
<?mso-contentType ?>
<FormTemplates xmlns="http://schemas.microsoft.com/sharepoint/v3/contenttype/forms">
  <Display>DocumentLibraryForm</Display>
  <Edit>DocumentLibraryForm</Edit>
  <New>DocumentLibraryForm</New>
</FormTemplates>
</file>

<file path=customXml/item20.xml>��
</file>

<file path=customXml/itemProps1.xml><?xml version="1.0" encoding="utf-8"?>
<ds:datastoreItem xmlns:ds="http://schemas.openxmlformats.org/officeDocument/2006/customXml" ds:itemID="{F6B2B1A1-1C4B-4AC9-9A7D-7A102DD1C942}"/>
</file>

<file path=customXml/itemProps2.xml><?xml version="1.0" encoding="utf-8"?>
<ds:datastoreItem xmlns:ds="http://schemas.openxmlformats.org/officeDocument/2006/customXml" ds:itemID="{E20E8303-6A67-485C-B6F4-303542CC295C}"/>
</file>

<file path=customXml/itemProps3.xml><?xml version="1.0" encoding="utf-8"?>
<ds:datastoreItem xmlns:ds="http://schemas.openxmlformats.org/officeDocument/2006/customXml" ds:itemID="{F12EFA50-0068-4A8C-85A0-F1B26389EBC3}"/>
</file>

<file path=customXml/itemProps4.xml><?xml version="1.0" encoding="utf-8"?>
<ds:datastoreItem xmlns:ds="http://schemas.openxmlformats.org/officeDocument/2006/customXml" ds:itemID="{25A5DACD-381A-4464-8E8D-1769CF4CF95E}"/>
</file>

<file path=customXml/itemProps5.xml><?xml version="1.0" encoding="utf-8"?>
<ds:datastoreItem xmlns:ds="http://schemas.openxmlformats.org/officeDocument/2006/customXml" ds:itemID="{14966E4F-347B-477B-B74C-9DAC05405806}"/>
</file>

<file path=customXml/itemProps6.xml><?xml version="1.0" encoding="utf-8"?>
<ds:datastoreItem xmlns:ds="http://schemas.openxmlformats.org/officeDocument/2006/customXml" ds:itemID="{66B09F59-6532-46F8-924A-9A02417E070D}"/>
</file>

<file path=customXml/itemProps7.xml><?xml version="1.0" encoding="utf-8"?>
<ds:datastoreItem xmlns:ds="http://schemas.openxmlformats.org/officeDocument/2006/customXml" ds:itemID="{2BC74AAC-D69B-4AF1-9649-B21EF3C1C463}"/>
</file>

<file path=customXml/itemProps8.xml><?xml version="1.0" encoding="utf-8"?>
<ds:datastoreItem xmlns:ds="http://schemas.openxmlformats.org/officeDocument/2006/customXml" ds:itemID="{BF5C6359-7763-4C37-8EAF-2BC4698CB285}"/>
</file>

<file path=customXml/itemProps9.xml><?xml version="1.0" encoding="utf-8"?>
<ds:datastoreItem xmlns:ds="http://schemas.openxmlformats.org/officeDocument/2006/customXml" ds:itemID="{8D732231-4216-4543-A665-18A2886B0EB7}"/>
</file>

<file path=customXml/itemProps10.xml><?xml version="1.0" encoding="utf-8"?>
<ds:datastoreItem xmlns:ds="http://schemas.openxmlformats.org/officeDocument/2006/customXml" ds:itemID="{3AEAA9D8-2182-46BA-A58E-96C72DDA1C54}"/>
</file>

<file path=customXml/itemProps11.xml><?xml version="1.0" encoding="utf-8"?>
<ds:datastoreItem xmlns:ds="http://schemas.openxmlformats.org/officeDocument/2006/customXml" ds:itemID="{CB52044A-5C0B-44A2-99D0-C1C315EC302D}"/>
</file>

<file path=customXml/itemProps12.xml><?xml version="1.0" encoding="utf-8"?>
<ds:datastoreItem xmlns:ds="http://schemas.openxmlformats.org/officeDocument/2006/customXml" ds:itemID="{078388C9-06F9-42F4-B857-EF76B5CAF1FD}"/>
</file>

<file path=customXml/itemProps13.xml><?xml version="1.0" encoding="utf-8"?>
<ds:datastoreItem xmlns:ds="http://schemas.openxmlformats.org/officeDocument/2006/customXml" ds:itemID="{D3A7101F-9A85-4235-8B03-415370C100B2}"/>
</file>

<file path=customXml/itemProps14.xml><?xml version="1.0" encoding="utf-8"?>
<ds:datastoreItem xmlns:ds="http://schemas.openxmlformats.org/officeDocument/2006/customXml" ds:itemID="{1954BBA4-0359-438C-B0EC-A756015F7C02}"/>
</file>

<file path=customXml/itemProps15.xml><?xml version="1.0" encoding="utf-8"?>
<ds:datastoreItem xmlns:ds="http://schemas.openxmlformats.org/officeDocument/2006/customXml" ds:itemID="{98A113BB-8B7A-453C-8BD4-8EFC67FC2D3F}"/>
</file>

<file path=customXml/itemProps16.xml><?xml version="1.0" encoding="utf-8"?>
<ds:datastoreItem xmlns:ds="http://schemas.openxmlformats.org/officeDocument/2006/customXml" ds:itemID="{89CF5C07-45EB-4100-9AFB-2C6AF77FA787}"/>
</file>

<file path=customXml/itemProps17.xml><?xml version="1.0" encoding="utf-8"?>
<ds:datastoreItem xmlns:ds="http://schemas.openxmlformats.org/officeDocument/2006/customXml" ds:itemID="{E3716282-BFD2-4ED2-BA47-BFA1123827F0}"/>
</file>

<file path=customXml/itemProps18.xml><?xml version="1.0" encoding="utf-8"?>
<ds:datastoreItem xmlns:ds="http://schemas.openxmlformats.org/officeDocument/2006/customXml" ds:itemID="{0389C43E-394D-44C0-87DC-4780FCFCFB40}"/>
</file>

<file path=customXml/itemProps19.xml><?xml version="1.0" encoding="utf-8"?>
<ds:datastoreItem xmlns:ds="http://schemas.openxmlformats.org/officeDocument/2006/customXml" ds:itemID="{7946C510-7D04-49D8-9B25-EEC04582A1CA}"/>
</file>

<file path=customXml/itemProps20.xml><?xml version="1.0" encoding="utf-8"?>
<ds:datastoreItem xmlns:ds="http://schemas.openxmlformats.org/officeDocument/2006/customXml" ds:itemID="{BE26B669-A686-459C-A5E9-FEC3409C4C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Maneesha Vuchidi [Libsy]</cp:lastModifiedBy>
  <cp:revision/>
  <dcterms:created xsi:type="dcterms:W3CDTF">2021-01-01T16:39:53Z</dcterms:created>
  <dcterms:modified xsi:type="dcterms:W3CDTF">2025-09-02T04:24:16Z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2025-02-19T15:07:26Z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4f0b5842-f6c9-4578-8573-2512e3aad7f8</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