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B31ACE71-F82B-42E2-9CFB-2AF1CA308740}" xr6:coauthVersionLast="47" xr6:coauthVersionMax="47" xr10:uidLastSave="{8D006ABF-46EF-48D0-B0C1-A68823D36BCF}"/>
  <bookViews>
    <workbookView xWindow="28680" yWindow="-120" windowWidth="29040" windowHeight="15720" tabRatio="866" firstSheet="11" activeTab="1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6" l="1" a="1"/>
  <c r="B4" i="26"/>
  <c r="H4" i="21"/>
  <c r="I4" i="21" s="1"/>
  <c r="H4" i="4"/>
  <c r="C4" i="1"/>
  <c r="C2" i="1" s="1"/>
  <c r="G4" i="30"/>
  <c r="G4" i="18"/>
  <c r="G2" i="18" s="1"/>
  <c r="I4" i="4"/>
  <c r="E4" i="72"/>
  <c r="F4" i="72" s="1"/>
  <c r="B4" i="33" a="1"/>
  <c r="B4" i="33"/>
  <c r="A4" i="33" a="1"/>
  <c r="A4" i="33"/>
  <c r="B4" i="32" a="1"/>
  <c r="B4" i="32"/>
  <c r="A4" i="32" a="1"/>
  <c r="A4" i="32"/>
  <c r="B4" i="31" a="1"/>
  <c r="B4" i="31"/>
  <c r="A4" i="31" a="1"/>
  <c r="A4" i="31"/>
  <c r="B4" i="19" a="1"/>
  <c r="B4" i="19"/>
  <c r="A4" i="19" a="1"/>
  <c r="A4" i="19"/>
  <c r="B4" i="20" a="1"/>
  <c r="B4" i="20"/>
  <c r="A4" i="20" a="1"/>
  <c r="A4" i="20"/>
  <c r="B4" i="21" a="1"/>
  <c r="B4" i="21"/>
  <c r="A4" i="21" a="1"/>
  <c r="A4" i="21"/>
  <c r="B4" i="4" a="1"/>
  <c r="B4" i="4"/>
  <c r="A4" i="4" a="1"/>
  <c r="A4" i="4"/>
  <c r="B4" i="3" a="1"/>
  <c r="B4" i="3"/>
  <c r="A4" i="3" a="1"/>
  <c r="A4" i="3"/>
  <c r="B4" i="27" a="1"/>
  <c r="B4" i="27"/>
  <c r="A4" i="27" a="1"/>
  <c r="A4" i="27"/>
  <c r="A4" i="26" a="1"/>
  <c r="A4" i="26"/>
  <c r="A4" i="72" a="1"/>
  <c r="A4" i="72"/>
  <c r="A4" i="30" a="1"/>
  <c r="A4" i="30"/>
  <c r="B4" i="72" a="1"/>
  <c r="B4" i="72"/>
  <c r="E4" i="3"/>
  <c r="F4" i="3" s="1"/>
  <c r="H4" i="3"/>
  <c r="I4" i="3" s="1"/>
  <c r="G4" i="1"/>
  <c r="G2" i="1" s="1"/>
  <c r="B4" i="34" a="1"/>
  <c r="B4" i="34"/>
  <c r="A4" i="34" a="1"/>
  <c r="A4" i="34"/>
  <c r="A1" i="34" a="1"/>
  <c r="A1" i="34"/>
  <c r="D4" i="30"/>
  <c r="C4" i="30"/>
  <c r="D4" i="29"/>
  <c r="D2" i="29" s="1"/>
  <c r="C4" i="29"/>
  <c r="C2" i="29" s="1"/>
  <c r="D4" i="18"/>
  <c r="D2" i="18" s="1"/>
  <c r="C4" i="18"/>
  <c r="B4" i="30" a="1"/>
  <c r="B4" i="30"/>
  <c r="G2" i="30"/>
  <c r="A1" i="30" a="1"/>
  <c r="A1" i="30"/>
  <c r="B4" i="29" a="1"/>
  <c r="B4" i="29"/>
  <c r="A4" i="29" a="1"/>
  <c r="A4" i="29"/>
  <c r="A1" i="29" a="1"/>
  <c r="A1" i="29"/>
  <c r="B4" i="18" a="1"/>
  <c r="B4" i="18"/>
  <c r="A4" i="18" a="1"/>
  <c r="A4" i="18"/>
  <c r="A1" i="18" a="1"/>
  <c r="A1" i="18"/>
  <c r="D4" i="1"/>
  <c r="D2" i="1" s="1"/>
  <c r="B4" i="1" a="1"/>
  <c r="B4" i="1"/>
  <c r="A4" i="1" a="1"/>
  <c r="A4" i="1"/>
  <c r="A1" i="1" a="1"/>
  <c r="A1" i="1"/>
  <c r="H4" i="33"/>
  <c r="I4" i="33"/>
  <c r="E4" i="33"/>
  <c r="F4" i="33" s="1"/>
  <c r="G2" i="33"/>
  <c r="D2" i="33"/>
  <c r="C2" i="33"/>
  <c r="H2" i="33" s="1"/>
  <c r="I2" i="33" s="1"/>
  <c r="A1" i="33" a="1"/>
  <c r="A1" i="33"/>
  <c r="H4" i="32"/>
  <c r="I4" i="32"/>
  <c r="E4" i="32"/>
  <c r="F4" i="32" s="1"/>
  <c r="G2" i="32"/>
  <c r="D2" i="32"/>
  <c r="C2" i="32"/>
  <c r="E2" i="32" s="1"/>
  <c r="F2" i="32" s="1"/>
  <c r="A1" i="32" a="1"/>
  <c r="A1" i="32"/>
  <c r="H4" i="31"/>
  <c r="I4" i="31"/>
  <c r="E4" i="31"/>
  <c r="F4" i="31" s="1"/>
  <c r="G2" i="31"/>
  <c r="D2" i="31"/>
  <c r="C2" i="31"/>
  <c r="J2" i="31" s="1"/>
  <c r="A1" i="31" a="1"/>
  <c r="A1" i="31"/>
  <c r="H4" i="28"/>
  <c r="I4" i="28" s="1"/>
  <c r="E4" i="28"/>
  <c r="F4" i="28"/>
  <c r="B4" i="28" a="1"/>
  <c r="B4" i="28"/>
  <c r="A4" i="28" a="1"/>
  <c r="A4" i="28"/>
  <c r="G2" i="28"/>
  <c r="D2" i="28"/>
  <c r="C2" i="28"/>
  <c r="E2" i="28" s="1"/>
  <c r="F2" i="28" s="1"/>
  <c r="A1" i="28" a="1"/>
  <c r="A1" i="28"/>
  <c r="H4" i="27"/>
  <c r="G4" i="29" s="1"/>
  <c r="I4" i="27"/>
  <c r="E4" i="27"/>
  <c r="F4" i="27"/>
  <c r="G2" i="27"/>
  <c r="D2" i="27"/>
  <c r="C2" i="27"/>
  <c r="J2" i="27" s="1"/>
  <c r="A1" i="27" a="1"/>
  <c r="A1" i="27"/>
  <c r="H4" i="26"/>
  <c r="H4" i="29" s="1"/>
  <c r="I4" i="26"/>
  <c r="E4" i="26"/>
  <c r="F4" i="26" s="1"/>
  <c r="G2" i="26"/>
  <c r="D2" i="26"/>
  <c r="C2" i="26"/>
  <c r="J2" i="26" s="1"/>
  <c r="A1" i="26" a="1"/>
  <c r="A1" i="26"/>
  <c r="H4" i="19"/>
  <c r="I4" i="19"/>
  <c r="E4" i="19"/>
  <c r="F4" i="19"/>
  <c r="G2" i="19"/>
  <c r="D2" i="19"/>
  <c r="C2" i="19"/>
  <c r="A1" i="19" a="1"/>
  <c r="A1" i="19"/>
  <c r="H4" i="20"/>
  <c r="I4" i="20" s="1"/>
  <c r="E4" i="20"/>
  <c r="F4" i="20" s="1"/>
  <c r="G2" i="20"/>
  <c r="D2" i="20"/>
  <c r="C2" i="20"/>
  <c r="J2" i="20" s="1"/>
  <c r="A1" i="20" a="1"/>
  <c r="A1" i="20"/>
  <c r="E4" i="21"/>
  <c r="F4" i="21"/>
  <c r="G2" i="21"/>
  <c r="D2" i="21"/>
  <c r="C2" i="21"/>
  <c r="A1" i="21" a="1"/>
  <c r="A1" i="21"/>
  <c r="E4" i="4"/>
  <c r="F4" i="4" s="1"/>
  <c r="G2" i="4"/>
  <c r="D2" i="4"/>
  <c r="C2" i="4"/>
  <c r="A1" i="4" a="1"/>
  <c r="A1" i="4"/>
  <c r="G2" i="3"/>
  <c r="D2" i="3"/>
  <c r="C2" i="3"/>
  <c r="J2" i="3"/>
  <c r="A1" i="3" a="1"/>
  <c r="A1" i="3"/>
  <c r="H4" i="72"/>
  <c r="I4" i="72"/>
  <c r="G2" i="72"/>
  <c r="D2" i="72"/>
  <c r="C2" i="72"/>
  <c r="J2" i="72"/>
  <c r="A1" i="72" a="1"/>
  <c r="A1" i="72"/>
  <c r="D2" i="30"/>
  <c r="E2" i="31" l="1"/>
  <c r="F2" i="31" s="1"/>
  <c r="H2" i="31"/>
  <c r="I2" i="31" s="1"/>
  <c r="E2" i="27"/>
  <c r="F2" i="27" s="1"/>
  <c r="H2" i="32"/>
  <c r="I2" i="32" s="1"/>
  <c r="E2" i="19"/>
  <c r="F2" i="19" s="1"/>
  <c r="H2" i="20"/>
  <c r="I2" i="20" s="1"/>
  <c r="E2" i="21"/>
  <c r="F2" i="21" s="1"/>
  <c r="E4" i="18"/>
  <c r="F4" i="18" s="1"/>
  <c r="H2" i="21"/>
  <c r="I2" i="21" s="1"/>
  <c r="H2" i="3"/>
  <c r="I2" i="3" s="1"/>
  <c r="H4" i="1"/>
  <c r="I4" i="1" s="1"/>
  <c r="E2" i="1"/>
  <c r="F2" i="1" s="1"/>
  <c r="E4" i="1"/>
  <c r="F4" i="1" s="1"/>
  <c r="E2" i="3"/>
  <c r="F2" i="3" s="1"/>
  <c r="H4" i="30"/>
  <c r="I4" i="30" s="1"/>
  <c r="H2" i="72"/>
  <c r="I2" i="72" s="1"/>
  <c r="H2" i="27"/>
  <c r="I2" i="27" s="1"/>
  <c r="H2" i="4"/>
  <c r="I2" i="4" s="1"/>
  <c r="H2" i="19"/>
  <c r="I2" i="19" s="1"/>
  <c r="H2" i="28"/>
  <c r="I2" i="28" s="1"/>
  <c r="J2" i="21"/>
  <c r="J2" i="32"/>
  <c r="E2" i="20"/>
  <c r="F2" i="20" s="1"/>
  <c r="E2" i="29"/>
  <c r="F2" i="29" s="1"/>
  <c r="I4" i="29"/>
  <c r="G4" i="34"/>
  <c r="G2" i="34" s="1"/>
  <c r="G2" i="29"/>
  <c r="H2" i="29" s="1"/>
  <c r="I2" i="29" s="1"/>
  <c r="H4" i="18"/>
  <c r="I4" i="18" s="1"/>
  <c r="H2" i="26"/>
  <c r="I2" i="26" s="1"/>
  <c r="E2" i="72"/>
  <c r="F2" i="72" s="1"/>
  <c r="E2" i="26"/>
  <c r="F2" i="26" s="1"/>
  <c r="J2" i="33"/>
  <c r="H2" i="1"/>
  <c r="I2" i="1" s="1"/>
  <c r="C2" i="18"/>
  <c r="C4" i="34"/>
  <c r="D4" i="34"/>
  <c r="D2" i="34" s="1"/>
  <c r="E4" i="29"/>
  <c r="F4" i="29" s="1"/>
  <c r="J2" i="28"/>
  <c r="E4" i="30"/>
  <c r="F4" i="30" s="1"/>
  <c r="C2" i="30"/>
  <c r="J2" i="19"/>
  <c r="E2" i="4"/>
  <c r="F2" i="4" s="1"/>
  <c r="J2" i="4"/>
  <c r="E2" i="33"/>
  <c r="F2" i="33" s="1"/>
  <c r="E4" i="34" l="1"/>
  <c r="F4" i="34" s="1"/>
  <c r="E2" i="30"/>
  <c r="F2" i="30" s="1"/>
  <c r="H2" i="30"/>
  <c r="I2" i="30" s="1"/>
  <c r="H2" i="18"/>
  <c r="I2" i="18" s="1"/>
  <c r="E2" i="18"/>
  <c r="F2" i="18" s="1"/>
  <c r="H4" i="34"/>
  <c r="I4" i="34" s="1"/>
  <c r="C2" i="34"/>
  <c r="E2" i="34" s="1"/>
  <c r="F2" i="34" s="1"/>
  <c r="H2" i="34" l="1"/>
  <c r="I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<sst xmlns="http://schemas.openxmlformats.org/spreadsheetml/2006/main" count="243" uniqueCount="57">
  <si>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</si>
  <si>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</si>
  <si>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</si>
  <si>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</si>
  <si>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</si>
  <si>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</si>
  <si>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</si>
  <si>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</si>
  <si>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</si>
  <si>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</si>
  <si>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</si>
  <si>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</si>
  <si>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</si>
  <si>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</si>
  <si>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</si>
  <si>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</si>
  <si>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</si>
  <si>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</si>
  <si>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</si>
  <si>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</si>
  <si>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</si>
  <si>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</si>
  <si>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</si>
  <si>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</si>
  <si>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</si>
  <si>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</si>
  <si>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</si>
  <si>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</si>
  <si>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</si>
  <si>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</si>
  <si>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</si>
  <si>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</si>
  <si>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</si>
  <si>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</si>
  <si>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1. Numerous inverters lost communication on 03/03, possibly due to being offline. Many of these inverters appear to be duplicates. Additionally, the Block 4 inverters have been offline since 07/24 due to a datalogger fault, which requires further troubleshooting. Inverter 1 has been offline since 03/10, and its communication board is currently being RMA’d.
2. Site was offline at 10:10 0n 07/30 due to billing mix up with Verizon and remained offline.</t>
  </si>
  <si>
    <t>1. SR097964
2. SR105456</t>
  </si>
  <si>
    <t>SR105456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</si>
  <si>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</si>
  <si>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</si>
  <si>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</si>
  <si>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</si>
  <si>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</si>
  <si>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</si>
  <si>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</si>
  <si>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</si>
  <si>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</si>
  <si>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</si>
  <si>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</si>
  <si>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Greenbaker Capital</t>
  </si>
  <si>
    <t>Site DAS Name</t>
  </si>
  <si>
    <t>Update</t>
  </si>
  <si>
    <t>DAS</t>
  </si>
  <si>
    <t>BNB Camden [0821]</t>
  </si>
  <si>
    <t>NJ: Camden - Cambell Soup (Roof Parkade)</t>
  </si>
  <si>
    <t>NJ</t>
  </si>
  <si>
    <t>AEF</t>
  </si>
  <si>
    <t>PF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</si>
</sst>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0"/>
      <color theme="10"/>
      <name val="Arial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7" fillId="0" borderId="0" applyNumberFormat="0" applyFill="0" applyBorder="0" applyAlignment="0" applyProtection="0"/>
  </cellStyleXfs>
  <cellXfs count="6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3" fontId="23" fillId="46" borderId="0" xfId="0" applyNumberFormat="1" applyFont="1" applyFill="1" applyAlignment="1">
      <alignment horizontal="right" vertical="center"/>
    </xf>
    <xf numFmtId="0" fontId="36" fillId="38" borderId="12" xfId="0" applyFont="1" applyFill="1" applyBorder="1" applyAlignment="1">
      <alignment horizontal="left" vertical="top" wrapText="1"/>
    </xf>
    <xf numFmtId="0" fontId="35" fillId="47" borderId="13" xfId="0" applyFont="1" applyFill="1" applyBorder="1" applyAlignment="1">
      <alignment horizontal="left" vertical="top" wrapText="1"/>
    </xf>
    <xf numFmtId="0" fontId="34" fillId="40" borderId="0" xfId="0" applyFont="1" applyFill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37" fillId="38" borderId="0" xfId="45" applyNumberFormat="1" applyFill="1" applyBorder="1" applyAlignment="1">
      <alignment vertical="top" wrapText="1"/>
    </xf>
    <xf numFmtId="0" fontId="37" fillId="0" borderId="0" xfId="45" applyAlignment="1">
      <alignment horizontal="left" vertical="top"/>
    </xf>
    <xf numFmtId="0" fontId="37" fillId="38" borderId="12" xfId="45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37" fillId="38" borderId="14" xfId="45" applyFill="1" applyBorder="1" applyAlignment="1">
      <alignment horizontal="left" vertical="top" wrapText="1"/>
    </xf>
    <xf numFmtId="0" fontId="37" fillId="0" borderId="0" xfId="45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105456" TargetMode="External"/><Relationship Id="rId1" Type="http://schemas.openxmlformats.org/officeDocument/2006/relationships/hyperlink" Target="https://us3.assetplanner.com/service_request?ID=097964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Greenbaker Capital</v>
      </c>
      <c r="B1" s="60"/>
      <c r="C1" s="60"/>
      <c r="D1" s="61" t="s">
        <v>0</v>
      </c>
      <c r="E1" s="61"/>
      <c r="F1" s="61"/>
      <c r="G1" s="59" t="s">
        <v>1</v>
      </c>
      <c r="H1" s="59"/>
      <c r="I1" s="59"/>
    </row>
    <row r="2" spans="1:9" ht="19.5" customHeight="1">
      <c r="A2" s="62" t="s">
        <v>2</v>
      </c>
      <c r="B2" s="62"/>
      <c r="C2" s="5">
        <f>SUM(C4:C79)</f>
        <v>352821</v>
      </c>
      <c r="D2" s="5">
        <f>SUM(D4:D79)</f>
        <v>731357.36159999995</v>
      </c>
      <c r="E2" s="5">
        <f>C2-D2</f>
        <v>-378536.36159999995</v>
      </c>
      <c r="F2" s="6">
        <f>IFERROR(E2/D2, 0)</f>
        <v>-0.5175805720638007</v>
      </c>
      <c r="G2" s="5">
        <f>SUM(G4:G79)</f>
        <v>641267.71</v>
      </c>
      <c r="H2" s="7">
        <f>C2-G2</f>
        <v>-288446.70999999996</v>
      </c>
      <c r="I2" s="6">
        <f>IFERROR(H2/G2, 0)</f>
        <v>-0.44980700805908341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NJ: Camden - Cambell Soup (Roof Parkade)</v>
      </c>
      <c r="B4" s="9" t="str" cm="1">
        <f t="array" ref="B4">Sites[State]</f>
        <v>NJ</v>
      </c>
      <c r="C4" s="23">
        <f>SUM('1st Qtr'!C4, '2nd Qtr'!C4, '3rd Qtr'!C4, '4th Qtr'!C4)</f>
        <v>352821</v>
      </c>
      <c r="D4" s="12">
        <f>SUM('1st Qtr'!D4, '2nd Qtr'!D4, '3rd Qtr'!D4, '4th Qtr'!D4)</f>
        <v>731357.36159999995</v>
      </c>
      <c r="E4" s="12">
        <f>IF(AND(ISNUMBER(C4),ISNUMBER(D4)), C4-D4, "")</f>
        <v>-378536.36159999995</v>
      </c>
      <c r="F4" s="13">
        <f>IFERROR(E4/D4, "")</f>
        <v>-0.5175805720638007</v>
      </c>
      <c r="G4" s="14">
        <f>SUM('1st Qtr'!G4, '2nd Qtr'!G4, '3rd Qtr'!G4, '4th Qtr'!G4)</f>
        <v>641267.71</v>
      </c>
      <c r="H4" s="14">
        <f>SUM('1st Qtr'!H4, '2nd Qtr'!H4, '3rd Qtr'!H4, '4th Qtr'!H4)</f>
        <v>-288446.70999999996</v>
      </c>
      <c r="I4" s="15">
        <f>IFERROR(H4/G4, "")</f>
        <v>-0.44980700805908341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O39" sqref="O39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Greenbaker Capital</v>
      </c>
      <c r="B1" s="60"/>
      <c r="C1" s="60"/>
      <c r="D1" s="61" t="s">
        <v>10</v>
      </c>
      <c r="E1" s="61"/>
      <c r="F1" s="61"/>
      <c r="G1" s="59" t="s">
        <v>11</v>
      </c>
      <c r="H1" s="59"/>
      <c r="I1" s="59"/>
    </row>
    <row r="2" spans="1:9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NJ: Camden - Cambell Soup (Roof Parkade)</v>
      </c>
      <c r="B4" s="9" t="str" cm="1">
        <f t="array" ref="B4">Sites[State]</f>
        <v>NJ</v>
      </c>
      <c r="C4" s="23">
        <f>SUM(Jan!C4, Feb!C4, Mar!C4)</f>
        <v>0</v>
      </c>
      <c r="D4" s="12">
        <f>SUM(Jan!D4, Feb!D4, Mar!D4)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O11" sqref="O11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Greenbaker Capital</v>
      </c>
      <c r="B1" s="60"/>
      <c r="C1" s="60"/>
      <c r="D1" s="61" t="s">
        <v>12</v>
      </c>
      <c r="E1" s="61"/>
      <c r="F1" s="61"/>
      <c r="G1" s="59" t="s">
        <v>13</v>
      </c>
      <c r="H1" s="59"/>
      <c r="I1" s="59"/>
    </row>
    <row r="2" spans="1:9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NJ: Camden - Cambell Soup (Roof Parkade)</v>
      </c>
      <c r="B4" s="9" t="str" cm="1">
        <f t="array" ref="B4">Sites[State]</f>
        <v>NJ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I14" sqref="I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Greenbaker Capital</v>
      </c>
      <c r="B1" s="60"/>
      <c r="C1" s="60"/>
      <c r="D1" s="61" t="s">
        <v>14</v>
      </c>
      <c r="E1" s="61"/>
      <c r="F1" s="61"/>
      <c r="G1" s="59" t="s">
        <v>15</v>
      </c>
      <c r="H1" s="59"/>
      <c r="I1" s="59"/>
    </row>
    <row r="2" spans="1:9" ht="19.5" customHeight="1">
      <c r="A2" s="62" t="s">
        <v>2</v>
      </c>
      <c r="B2" s="62"/>
      <c r="C2" s="5">
        <f>SUM(C4:C79)</f>
        <v>352821</v>
      </c>
      <c r="D2" s="5">
        <f>SUM(D4:D79)</f>
        <v>731357.36159999995</v>
      </c>
      <c r="E2" s="5">
        <f>C2-D2</f>
        <v>-378536.36159999995</v>
      </c>
      <c r="F2" s="6">
        <f>IFERROR(E2/D2, 0)</f>
        <v>-0.5175805720638007</v>
      </c>
      <c r="G2" s="5">
        <f>SUM(G4:G79)</f>
        <v>641267.71</v>
      </c>
      <c r="H2" s="7">
        <f>C2-G2</f>
        <v>-288446.70999999996</v>
      </c>
      <c r="I2" s="6">
        <f>IFERROR(H2/G2, 0)</f>
        <v>-0.44980700805908341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NJ: Camden - Cambell Soup (Roof Parkade)</v>
      </c>
      <c r="B4" s="9" t="str" cm="1">
        <f t="array" ref="B4">Sites[State]</f>
        <v>NJ</v>
      </c>
      <c r="C4" s="23">
        <f>SUM(Jul!C4, Aug!C4, Sep!C4)</f>
        <v>352821</v>
      </c>
      <c r="D4" s="12">
        <f>SUM(Jul!D4, Aug!D4, Sep!D4)</f>
        <v>731357.36159999995</v>
      </c>
      <c r="E4" s="12">
        <f>IF(AND(ISNUMBER(C4),ISNUMBER(D4)), C4-D4, "")</f>
        <v>-378536.36159999995</v>
      </c>
      <c r="F4" s="13">
        <f>IFERROR(E4/D4, "")</f>
        <v>-0.5175805720638007</v>
      </c>
      <c r="G4" s="14">
        <f>SUM(Jul!G4,Aug!H4,Sep!G4)</f>
        <v>641267.71</v>
      </c>
      <c r="H4" s="14">
        <f>SUM(Jul!H4, Aug!H4, Sep!H4)</f>
        <v>-288446.70999999996</v>
      </c>
      <c r="I4" s="15">
        <f>IFERROR(H4/G4, "")</f>
        <v>-0.44980700805908341</v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Greenbaker Capital</v>
      </c>
      <c r="B1" s="60"/>
      <c r="C1" s="60"/>
      <c r="D1" s="61" t="s">
        <v>16</v>
      </c>
      <c r="E1" s="61"/>
      <c r="F1" s="61"/>
      <c r="G1" s="59" t="s">
        <v>17</v>
      </c>
      <c r="H1" s="59"/>
      <c r="I1" s="59"/>
    </row>
    <row r="2" spans="1:9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NJ: Camden - Cambell Soup (Roof Parkade)</v>
      </c>
      <c r="B4" s="9" t="str" cm="1">
        <f t="array" ref="B4">Sites[State]</f>
        <v>NJ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SUM(Oct!G4,Nov!G4,Dec!G5)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0"/>
      <c r="D5" s="17"/>
      <c r="E5" s="17"/>
      <c r="F5" s="18"/>
      <c r="G5" s="19"/>
      <c r="H5" s="19"/>
      <c r="I5" s="18"/>
    </row>
    <row r="6" spans="1:9" ht="14.45">
      <c r="A6" s="20"/>
      <c r="B6" s="10"/>
      <c r="C6" s="40"/>
      <c r="D6" s="17"/>
      <c r="E6" s="17"/>
      <c r="F6" s="18"/>
      <c r="G6" s="19"/>
      <c r="H6" s="19"/>
      <c r="I6" s="18"/>
    </row>
    <row r="7" spans="1:9" ht="14.45">
      <c r="A7" s="20"/>
      <c r="B7" s="10"/>
      <c r="C7" s="40"/>
      <c r="D7" s="17"/>
      <c r="E7" s="17"/>
      <c r="F7" s="18"/>
      <c r="G7" s="19"/>
      <c r="H7" s="19"/>
      <c r="I7" s="18"/>
    </row>
    <row r="8" spans="1:9" ht="14.45">
      <c r="A8" s="20"/>
      <c r="B8" s="10"/>
      <c r="C8" s="40"/>
      <c r="D8" s="17"/>
      <c r="E8" s="17"/>
      <c r="F8" s="18"/>
      <c r="G8" s="19"/>
      <c r="H8" s="19"/>
      <c r="I8" s="18"/>
    </row>
    <row r="9" spans="1:9" ht="14.45">
      <c r="A9" s="20"/>
      <c r="B9" s="10"/>
      <c r="C9" s="40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F13" sqref="F13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Greenbaker Capital</v>
      </c>
      <c r="B1" s="60"/>
      <c r="C1" s="60"/>
      <c r="D1" s="61" t="s">
        <v>18</v>
      </c>
      <c r="E1" s="61"/>
      <c r="F1" s="61"/>
      <c r="G1" s="59" t="s">
        <v>19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6" t="s">
        <v>3</v>
      </c>
      <c r="B3" s="8" t="s">
        <v>4</v>
      </c>
      <c r="C3" s="45" t="s">
        <v>5</v>
      </c>
      <c r="D3" s="46" t="s">
        <v>6</v>
      </c>
      <c r="E3" s="31" t="s">
        <v>7</v>
      </c>
      <c r="F3" s="32" t="s">
        <v>8</v>
      </c>
      <c r="G3" s="47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07.25" customHeight="1">
      <c r="A4" s="11" t="str" cm="1">
        <f t="array" ref="A4">Sites[Site]</f>
        <v>NJ: Camden - Cambell Soup (Roof Parkade)</v>
      </c>
      <c r="B4" s="9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">
    <cfRule type="cellIs" dxfId="30" priority="6" stopIfTrue="1" operator="lessThanOrEqual">
      <formula>-0.1</formula>
    </cfRule>
    <cfRule type="expression" dxfId="29" priority="7">
      <formula>AND(ISNUMBER(F2), F2&gt;=0.1)</formula>
    </cfRule>
  </conditionalFormatting>
  <conditionalFormatting sqref="F4:F78 I4:I78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P321"/>
  <sheetViews>
    <sheetView zoomScale="90" zoomScaleNormal="90" workbookViewId="0">
      <pane xSplit="2" ySplit="3" topLeftCell="F13" activePane="bottomRight" state="frozen"/>
      <selection pane="bottomRight" activeCell="F13" sqref="F13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6" ht="19.5" customHeight="1">
      <c r="A1" s="60" t="str" cm="1">
        <f t="array" ref="A1">portfolio</f>
        <v>Greenbaker Capital</v>
      </c>
      <c r="B1" s="60"/>
      <c r="C1" s="60"/>
      <c r="D1" s="61" t="s">
        <v>22</v>
      </c>
      <c r="E1" s="61"/>
      <c r="F1" s="61"/>
      <c r="G1" s="59" t="s">
        <v>23</v>
      </c>
      <c r="H1" s="59"/>
      <c r="I1" s="59"/>
      <c r="J1" s="4"/>
      <c r="K1" s="4"/>
    </row>
    <row r="2" spans="1:16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6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6" ht="15.6">
      <c r="A4" s="51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3"/>
      <c r="L4" s="54"/>
      <c r="M4" s="54"/>
      <c r="N4" s="54"/>
      <c r="O4" s="54"/>
      <c r="P4" s="54"/>
    </row>
    <row r="5" spans="1:16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6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6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6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6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6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6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6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6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6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6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6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O321"/>
  <sheetViews>
    <sheetView workbookViewId="0">
      <pane xSplit="2" ySplit="3" topLeftCell="C4" activePane="bottomRight" state="frozen"/>
      <selection pane="bottomRight" activeCell="G8" sqref="G8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5" ht="19.5" customHeight="1">
      <c r="A1" s="60" t="str" cm="1">
        <f t="array" ref="A1">portfolio</f>
        <v>Greenbaker Capital</v>
      </c>
      <c r="B1" s="60"/>
      <c r="C1" s="60"/>
      <c r="D1" s="61" t="s">
        <v>24</v>
      </c>
      <c r="E1" s="61"/>
      <c r="F1" s="61"/>
      <c r="G1" s="59" t="s">
        <v>25</v>
      </c>
      <c r="H1" s="59"/>
      <c r="I1" s="59"/>
      <c r="J1" s="4"/>
      <c r="K1" s="4"/>
    </row>
    <row r="2" spans="1:15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5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  <c r="L3" s="56"/>
      <c r="M3" s="56"/>
      <c r="N3" s="56"/>
      <c r="O3" s="56"/>
    </row>
    <row r="4" spans="1:15" ht="15.6">
      <c r="A4" s="51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48"/>
      <c r="H4" s="14" t="str">
        <f>IF(AND(ISNUMBER(C4),ISNUMBER(G4)), C4-G4, "")</f>
        <v/>
      </c>
      <c r="I4" s="15" t="str">
        <f>IFERROR(H4/G4, "")</f>
        <v/>
      </c>
      <c r="J4" s="49"/>
      <c r="K4" s="55"/>
      <c r="L4" s="54"/>
      <c r="M4" s="54"/>
      <c r="N4" s="54"/>
      <c r="O4" s="56"/>
    </row>
    <row r="5" spans="1:15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  <c r="L5" s="56"/>
      <c r="M5" s="56"/>
      <c r="N5" s="56"/>
      <c r="O5" s="56"/>
    </row>
    <row r="6" spans="1:15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  <c r="L6" s="56"/>
      <c r="M6" s="56"/>
      <c r="N6" s="56"/>
      <c r="O6" s="56"/>
    </row>
    <row r="7" spans="1:15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  <c r="L7" s="56"/>
      <c r="M7" s="56"/>
      <c r="N7" s="56"/>
      <c r="O7" s="56"/>
    </row>
    <row r="8" spans="1:15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  <c r="L8" s="56"/>
      <c r="M8" s="56"/>
      <c r="N8" s="56"/>
      <c r="O8" s="56"/>
    </row>
    <row r="9" spans="1:15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  <c r="L9" s="56"/>
      <c r="M9" s="56"/>
      <c r="N9" s="56"/>
      <c r="O9" s="56"/>
    </row>
    <row r="10" spans="1:15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  <c r="L10" s="56"/>
      <c r="M10" s="56"/>
      <c r="N10" s="56"/>
      <c r="O10" s="56"/>
    </row>
    <row r="11" spans="1:15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  <c r="L11" s="56"/>
      <c r="M11" s="56"/>
      <c r="N11" s="56"/>
      <c r="O11" s="56"/>
    </row>
    <row r="12" spans="1:15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5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5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5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5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N321"/>
  <sheetViews>
    <sheetView workbookViewId="0">
      <pane xSplit="2" ySplit="3" topLeftCell="C4" activePane="bottomRight" state="frozen"/>
      <selection pane="bottomRight" activeCell="F13" sqref="F13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60" t="str" cm="1">
        <f t="array" ref="A1">portfolio</f>
        <v>Greenbaker Capital</v>
      </c>
      <c r="B1" s="60"/>
      <c r="C1" s="60"/>
      <c r="D1" s="61" t="s">
        <v>26</v>
      </c>
      <c r="E1" s="61"/>
      <c r="F1" s="61"/>
      <c r="G1" s="59" t="s">
        <v>27</v>
      </c>
      <c r="H1" s="59"/>
      <c r="I1" s="59"/>
      <c r="J1" s="4"/>
      <c r="K1" s="4"/>
    </row>
    <row r="2" spans="1:14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4" ht="115.5" customHeight="1">
      <c r="A4" s="51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50"/>
      <c r="K4" s="57"/>
      <c r="L4" s="58"/>
      <c r="M4" s="58"/>
      <c r="N4" s="58"/>
    </row>
    <row r="5" spans="1:14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4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4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4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4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4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4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4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4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4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4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4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M321"/>
  <sheetViews>
    <sheetView workbookViewId="0">
      <pane xSplit="2" ySplit="3" topLeftCell="F13" activePane="bottomRight" state="frozen"/>
      <selection pane="bottomRight" activeCell="F13" sqref="F13"/>
      <selection pane="bottomLeft" activeCell="P4" activeCellId="10" sqref="H17 C4 D4 G4 J4 K4 L4 N4 M4 O4 P4"/>
      <selection pane="topRight" activeCell="P4" activeCellId="10" sqref="H17 C4 D4 G4 J4 K4 L4 N4 M4 O4 P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60" t="str" cm="1">
        <f t="array" ref="A1">portfolio</f>
        <v>Greenbaker Capital</v>
      </c>
      <c r="B1" s="60"/>
      <c r="C1" s="60"/>
      <c r="D1" s="61" t="s">
        <v>28</v>
      </c>
      <c r="E1" s="61"/>
      <c r="F1" s="61"/>
      <c r="G1" s="59" t="s">
        <v>29</v>
      </c>
      <c r="H1" s="59"/>
      <c r="I1" s="59"/>
      <c r="J1" s="4"/>
      <c r="K1" s="4"/>
    </row>
    <row r="2" spans="1:13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3" ht="15.6">
      <c r="A4" s="51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3"/>
      <c r="L4" s="58"/>
      <c r="M4" s="58"/>
    </row>
    <row r="5" spans="1:13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3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3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3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3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3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3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3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3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3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3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3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P321"/>
  <sheetViews>
    <sheetView workbookViewId="0">
      <pane xSplit="2" ySplit="3" topLeftCell="F4" activePane="bottomRight" state="frozen"/>
      <selection pane="bottomRight" activeCell="A4" sqref="A4:XFD4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3.85546875" customWidth="1"/>
    <col min="11" max="11" width="20.5703125" bestFit="1" customWidth="1"/>
    <col min="12" max="16" width="8.85546875" style="56"/>
  </cols>
  <sheetData>
    <row r="1" spans="1:16" ht="19.5" customHeight="1">
      <c r="A1" s="60" t="str" cm="1">
        <f t="array" ref="A1">portfolio</f>
        <v>Greenbaker Capital</v>
      </c>
      <c r="B1" s="60"/>
      <c r="C1" s="60"/>
      <c r="D1" s="61" t="s">
        <v>30</v>
      </c>
      <c r="E1" s="61"/>
      <c r="F1" s="61"/>
      <c r="G1" s="59" t="s">
        <v>31</v>
      </c>
      <c r="H1" s="59"/>
      <c r="I1" s="59"/>
      <c r="J1" s="4"/>
      <c r="K1" s="4"/>
    </row>
    <row r="2" spans="1:16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6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6" ht="15.6">
      <c r="A4" s="51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3"/>
      <c r="L4" s="54"/>
      <c r="M4" s="54"/>
      <c r="N4" s="54"/>
      <c r="O4" s="54"/>
      <c r="P4" s="54"/>
    </row>
    <row r="5" spans="1:16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6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6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6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6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6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6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6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6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6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6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6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21"/>
  <sheetViews>
    <sheetView tabSelected="1" zoomScale="80" zoomScaleNormal="80" workbookViewId="0">
      <pane xSplit="2" ySplit="3" topLeftCell="C4" activePane="bottomRight" state="frozen"/>
      <selection pane="bottomRight" activeCell="E10" sqref="E10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0" t="str" cm="1">
        <f t="array" ref="A1">portfolio</f>
        <v>Greenbaker Capital</v>
      </c>
      <c r="B1" s="60"/>
      <c r="C1" s="60"/>
      <c r="D1" s="61" t="s">
        <v>32</v>
      </c>
      <c r="E1" s="61"/>
      <c r="F1" s="61"/>
      <c r="G1" s="59" t="s">
        <v>33</v>
      </c>
      <c r="H1" s="59"/>
      <c r="I1" s="59"/>
      <c r="J1" s="4"/>
      <c r="K1" s="4"/>
    </row>
    <row r="2" spans="1:12" ht="19.5" customHeight="1">
      <c r="A2" s="62" t="s">
        <v>2</v>
      </c>
      <c r="B2" s="62"/>
      <c r="C2" s="5">
        <f>SUM(C4:C79)</f>
        <v>352821</v>
      </c>
      <c r="D2" s="5">
        <f>SUM(D4:D79)</f>
        <v>731357.36159999995</v>
      </c>
      <c r="E2" s="5">
        <f>C2-D2</f>
        <v>-378536.36159999995</v>
      </c>
      <c r="F2" s="6">
        <f>IFERROR(E2/D2, 0)</f>
        <v>-0.5175805720638007</v>
      </c>
      <c r="G2" s="5">
        <f>SUM(G4:G79)</f>
        <v>641267.71</v>
      </c>
      <c r="H2" s="7">
        <f>C2-G2</f>
        <v>-288446.70999999996</v>
      </c>
      <c r="I2" s="6">
        <f>IFERROR(H2/G2, 0)</f>
        <v>-0.44980700805908341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2" ht="100.5" customHeight="1">
      <c r="A4" s="51" t="str" cm="1">
        <f t="array" ref="A4">Sites[Site]</f>
        <v>NJ: Camden - Cambell Soup (Roof Parkade)</v>
      </c>
      <c r="B4" s="27" t="str" cm="1">
        <f t="array" ref="B4">Sites[State]</f>
        <v>NJ</v>
      </c>
      <c r="C4" s="23">
        <v>352821</v>
      </c>
      <c r="D4" s="12">
        <v>731357.36159999995</v>
      </c>
      <c r="E4" s="12">
        <f>IF(AND(ISNUMBER(C4),ISNUMBER(D4)), C4-D4, "")</f>
        <v>-378536.36159999995</v>
      </c>
      <c r="F4" s="13">
        <f>IFERROR(E4/D4, "")</f>
        <v>-0.5175805720638007</v>
      </c>
      <c r="G4" s="14">
        <v>641267.71</v>
      </c>
      <c r="H4" s="14">
        <f>IF(AND(ISNUMBER(C4),ISNUMBER(G4)), C4-G4, "")</f>
        <v>-288446.70999999996</v>
      </c>
      <c r="I4" s="15">
        <f>IFERROR(H4/G4, "")</f>
        <v>-0.44980700805908341</v>
      </c>
      <c r="J4" s="36" t="s">
        <v>34</v>
      </c>
      <c r="K4" s="53" t="s">
        <v>35</v>
      </c>
      <c r="L4" s="54" t="s">
        <v>36</v>
      </c>
    </row>
    <row r="5" spans="1:12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2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097964" xr:uid="{2C5DA488-9AE7-4BAA-A29C-B39F0F735DF6}"/>
    <hyperlink ref="L4" r:id="rId2" display="https://us3.assetplanner.com/service_request?ID=105456" xr:uid="{4BDB2109-B2F6-4157-943D-C3C6949D6A5A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zoomScale="90" zoomScaleNormal="90" workbookViewId="0">
      <pane xSplit="2" ySplit="3" topLeftCell="E4" activePane="bottomRight" state="frozen"/>
      <selection pane="bottomRight" activeCell="F13" sqref="F13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Greenbaker Capital</v>
      </c>
      <c r="B1" s="60"/>
      <c r="C1" s="60"/>
      <c r="D1" s="61" t="s">
        <v>37</v>
      </c>
      <c r="E1" s="61"/>
      <c r="F1" s="61"/>
      <c r="G1" s="59" t="s">
        <v>38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F13" sqref="F13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Greenbaker Capital</v>
      </c>
      <c r="B1" s="60"/>
      <c r="C1" s="60"/>
      <c r="D1" s="61" t="s">
        <v>39</v>
      </c>
      <c r="E1" s="61"/>
      <c r="F1" s="61"/>
      <c r="G1" s="59" t="s">
        <v>40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F13" sqref="F13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Greenbaker Capital</v>
      </c>
      <c r="B1" s="60"/>
      <c r="C1" s="60"/>
      <c r="D1" s="61" t="s">
        <v>41</v>
      </c>
      <c r="E1" s="61"/>
      <c r="F1" s="61"/>
      <c r="G1" s="59" t="s">
        <v>42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2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">
    <cfRule type="cellIs" dxfId="10" priority="5" stopIfTrue="1" operator="lessThanOrEqual">
      <formula>-0.1</formula>
    </cfRule>
    <cfRule type="expression" dxfId="9" priority="6">
      <formula>AND(ISNUMBER(F2), F2&gt;=0.1)</formula>
    </cfRule>
  </conditionalFormatting>
  <conditionalFormatting sqref="F4:F79 I4:I79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zoomScale="80" zoomScaleNormal="80" workbookViewId="0">
      <pane xSplit="2" ySplit="3" topLeftCell="G4" activePane="bottomRight" state="frozen"/>
      <selection pane="bottomRight" activeCell="F13" sqref="F13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Greenbaker Capital</v>
      </c>
      <c r="B1" s="60"/>
      <c r="C1" s="60"/>
      <c r="D1" s="61" t="s">
        <v>43</v>
      </c>
      <c r="E1" s="61"/>
      <c r="F1" s="61"/>
      <c r="G1" s="59" t="s">
        <v>44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4" activePane="bottomRight" state="frozen"/>
      <selection pane="bottomRight" activeCell="F13" sqref="F13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Greenbaker Capital</v>
      </c>
      <c r="B1" s="60"/>
      <c r="C1" s="60"/>
      <c r="D1" s="61" t="s">
        <v>45</v>
      </c>
      <c r="E1" s="61"/>
      <c r="F1" s="61"/>
      <c r="G1" s="59" t="s">
        <v>46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0" sqref="B1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47</v>
      </c>
      <c r="B1" t="s">
        <v>48</v>
      </c>
    </row>
    <row r="3" spans="1:12" ht="13.15">
      <c r="A3" t="s">
        <v>49</v>
      </c>
      <c r="B3" t="s">
        <v>3</v>
      </c>
      <c r="C3" t="s">
        <v>4</v>
      </c>
      <c r="D3" t="s">
        <v>50</v>
      </c>
      <c r="E3" s="2" t="s">
        <v>51</v>
      </c>
    </row>
    <row r="4" spans="1:12" ht="14.45">
      <c r="A4" s="44" t="s">
        <v>52</v>
      </c>
      <c r="B4" t="s">
        <v>53</v>
      </c>
      <c r="C4" s="42" t="s">
        <v>54</v>
      </c>
      <c r="D4" s="41" t="s">
        <v>55</v>
      </c>
      <c r="E4" t="s">
        <v>56</v>
      </c>
      <c r="G4" s="3"/>
    </row>
    <row r="5" spans="1:12" ht="14.45">
      <c r="A5" s="44"/>
      <c r="C5" s="42"/>
      <c r="D5" s="41"/>
      <c r="G5" s="3"/>
    </row>
    <row r="6" spans="1:12" ht="14.4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8"/>
      <c r="L10" s="38"/>
    </row>
    <row r="11" spans="1:12" ht="12.75" customHeight="1">
      <c r="A11" s="44"/>
      <c r="C11" s="42"/>
      <c r="D11" s="41"/>
      <c r="K11" s="38"/>
      <c r="L11" s="38"/>
    </row>
    <row r="12" spans="1:12" ht="12.75" customHeight="1">
      <c r="A12" s="44"/>
      <c r="C12" s="42"/>
      <c r="D12" s="41"/>
      <c r="K12" s="38"/>
      <c r="L12" s="38"/>
    </row>
    <row r="13" spans="1:12" ht="12.75" customHeight="1">
      <c r="A13" s="44"/>
      <c r="C13" s="42"/>
      <c r="D13" s="41"/>
      <c r="K13" s="38"/>
      <c r="L13" s="38"/>
    </row>
    <row r="14" spans="1:12" ht="12.75" customHeight="1">
      <c r="A14" s="44"/>
      <c r="C14" s="42"/>
      <c r="D14" s="41"/>
      <c r="K14" s="38"/>
      <c r="L14" s="38"/>
    </row>
    <row r="15" spans="1:12" ht="12.75" customHeight="1">
      <c r="A15" s="44"/>
      <c r="C15" s="42"/>
      <c r="D15" s="41"/>
      <c r="K15" s="38"/>
      <c r="L15" s="38"/>
    </row>
    <row r="16" spans="1:12" ht="12.75" customHeight="1">
      <c r="A16" s="44"/>
      <c r="C16" s="42"/>
      <c r="D16" s="41"/>
      <c r="K16" s="38"/>
      <c r="L16" s="38"/>
    </row>
    <row r="17" spans="1:12" ht="12.75" customHeight="1">
      <c r="A17" s="44"/>
      <c r="C17" s="42"/>
      <c r="D17" s="41"/>
      <c r="K17" s="38"/>
      <c r="L17" s="38"/>
    </row>
    <row r="18" spans="1:12" ht="12.75" customHeight="1">
      <c r="A18" s="44"/>
      <c r="C18" s="42"/>
      <c r="D18" s="41"/>
      <c r="K18" s="38"/>
      <c r="L18" s="38"/>
    </row>
    <row r="19" spans="1:12" ht="12.75" customHeight="1">
      <c r="A19" s="44"/>
      <c r="C19" s="42"/>
      <c r="D19" s="41"/>
      <c r="K19" s="38"/>
      <c r="L19" s="38"/>
    </row>
    <row r="20" spans="1:12" ht="12.75" customHeight="1">
      <c r="A20" s="44"/>
      <c r="C20" s="42"/>
      <c r="D20" s="41"/>
      <c r="K20" s="38"/>
      <c r="L20" s="38"/>
    </row>
    <row r="21" spans="1:12" ht="12.75" customHeight="1">
      <c r="A21" s="44"/>
      <c r="C21" s="42"/>
      <c r="D21" s="41"/>
      <c r="K21" s="38"/>
      <c r="L21" s="38"/>
    </row>
    <row r="22" spans="1:12" ht="12.75" customHeight="1">
      <c r="A22" s="44"/>
      <c r="C22" s="42"/>
      <c r="D22" s="41"/>
      <c r="K22" s="38"/>
      <c r="L22" s="38"/>
    </row>
    <row r="23" spans="1:12" ht="12.75" customHeight="1">
      <c r="A23" s="44"/>
      <c r="C23" s="42"/>
      <c r="D23" s="41"/>
      <c r="K23" s="38"/>
      <c r="L23" s="38"/>
    </row>
    <row r="24" spans="1:12" ht="12.75" customHeight="1">
      <c r="A24" s="44"/>
      <c r="C24" s="42"/>
      <c r="D24" s="41"/>
      <c r="K24" s="38"/>
      <c r="L24" s="38"/>
    </row>
    <row r="25" spans="1:12" ht="12.75" customHeight="1">
      <c r="A25" s="44"/>
      <c r="C25" s="42"/>
      <c r="D25" s="41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B52044A-5C0B-44A2-99D0-C1C315EC302D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F12EFA50-0068-4A8C-85A0-F1B26389EBC3}"/>
</file>

<file path=customXml/itemProps5.xml><?xml version="1.0" encoding="utf-8"?>
<ds:datastoreItem xmlns:ds="http://schemas.openxmlformats.org/officeDocument/2006/customXml" ds:itemID="{14966E4F-347B-477B-B74C-9DAC05405806}"/>
</file>

<file path=customXml/itemProps6.xml><?xml version="1.0" encoding="utf-8"?>
<ds:datastoreItem xmlns:ds="http://schemas.openxmlformats.org/officeDocument/2006/customXml" ds:itemID="{3AEAA9D8-2182-46BA-A58E-96C72DDA1C54}"/>
</file>

<file path=customXml/itemProps7.xml><?xml version="1.0" encoding="utf-8"?>
<ds:datastoreItem xmlns:ds="http://schemas.openxmlformats.org/officeDocument/2006/customXml" ds:itemID="{E20E8303-6A67-485C-B6F4-303542CC295C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1954BBA4-0359-438C-B0EC-A756015F7C02}"/>
</file>

<file path=customXml/itemProps10.xml><?xml version="1.0" encoding="utf-8"?>
<ds:datastoreItem xmlns:ds="http://schemas.openxmlformats.org/officeDocument/2006/customXml" ds:itemID="{D3A7101F-9A85-4235-8B03-415370C100B2}"/>
</file>

<file path=customXml/itemProps11.xml><?xml version="1.0" encoding="utf-8"?>
<ds:datastoreItem xmlns:ds="http://schemas.openxmlformats.org/officeDocument/2006/customXml" ds:itemID="{F6B2B1A1-1C4B-4AC9-9A7D-7A102DD1C942}"/>
</file>

<file path=customXml/itemProps12.xml><?xml version="1.0" encoding="utf-8"?>
<ds:datastoreItem xmlns:ds="http://schemas.openxmlformats.org/officeDocument/2006/customXml" ds:itemID="{98A113BB-8B7A-453C-8BD4-8EFC67FC2D3F}"/>
</file>

<file path=customXml/itemProps13.xml><?xml version="1.0" encoding="utf-8"?>
<ds:datastoreItem xmlns:ds="http://schemas.openxmlformats.org/officeDocument/2006/customXml" ds:itemID="{89CF5C07-45EB-4100-9AFB-2C6AF77FA787}"/>
</file>

<file path=customXml/itemProps14.xml><?xml version="1.0" encoding="utf-8"?>
<ds:datastoreItem xmlns:ds="http://schemas.openxmlformats.org/officeDocument/2006/customXml" ds:itemID="{8BA0CC8B-6A71-4B6F-8F56-82CC4846BB20}"/>
</file>

<file path=customXml/itemProps15.xml><?xml version="1.0" encoding="utf-8"?>
<ds:datastoreItem xmlns:ds="http://schemas.openxmlformats.org/officeDocument/2006/customXml" ds:itemID="{66B09F59-6532-46F8-924A-9A02417E070D}"/>
</file>

<file path=customXml/itemProps16.xml><?xml version="1.0" encoding="utf-8"?>
<ds:datastoreItem xmlns:ds="http://schemas.openxmlformats.org/officeDocument/2006/customXml" ds:itemID="{8D732231-4216-4543-A665-18A2886B0EB7}"/>
</file>

<file path=customXml/itemProps17.xml><?xml version="1.0" encoding="utf-8"?>
<ds:datastoreItem xmlns:ds="http://schemas.openxmlformats.org/officeDocument/2006/customXml" ds:itemID="{0389C43E-394D-44C0-87DC-4780FCFCFB40}"/>
</file>

<file path=customXml/itemProps18.xml><?xml version="1.0" encoding="utf-8"?>
<ds:datastoreItem xmlns:ds="http://schemas.openxmlformats.org/officeDocument/2006/customXml" ds:itemID="{E3716282-BFD2-4ED2-BA47-BFA1123827F0}"/>
</file>

<file path=customXml/itemProps19.xml><?xml version="1.0" encoding="utf-8"?>
<ds:datastoreItem xmlns:ds="http://schemas.openxmlformats.org/officeDocument/2006/customXml" ds:itemID="{BE26B669-A686-459C-A5E9-FEC3409C4C81}"/>
</file>

<file path=customXml/itemProps20.xml><?xml version="1.0" encoding="utf-8"?>
<ds:datastoreItem xmlns:ds="http://schemas.openxmlformats.org/officeDocument/2006/customXml" ds:itemID="{BF5C6359-7763-4C37-8EAF-2BC4698CB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Zierlein, Roy</cp:lastModifiedBy>
  <cp:revision/>
  <dcterms:created xsi:type="dcterms:W3CDTF">2021-01-01T16:39:53Z</dcterms:created>
  <dcterms:modified xsi:type="dcterms:W3CDTF">2025-09-25T19:15:37Z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2024-08-26T12:31:49Z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68bd6363-48df-474e-93cb-d504771664c3</vt:lpwstr>
  </property>
  <property fmtid="{D5CDD505-2E9C-101B-9397-08002B2CF9AE}" pid="9" name="MSIP_Label_9d817c99-0b37-4a07-8277-96aa1f96b74b_ContentBits">
    <vt:lpwstr>0</vt:lpwstr>
  </property>
</Properties>
</file>